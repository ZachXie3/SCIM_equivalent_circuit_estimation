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TEAAC\"/>
    </mc:Choice>
  </mc:AlternateContent>
  <xr:revisionPtr revIDLastSave="0" documentId="13_ncr:1_{527A239F-249E-42A6-8371-0C2FCBD3EB2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7" l="1"/>
  <c r="F59" i="8"/>
  <c r="E59" i="8"/>
  <c r="F58" i="8"/>
  <c r="F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E58" i="8" s="1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A70" i="7" s="1"/>
  <c r="E68" i="7"/>
  <c r="D66" i="7"/>
  <c r="F50" i="7"/>
  <c r="M70" i="2"/>
  <c r="P31" i="2"/>
  <c r="P32" i="2"/>
  <c r="P33" i="2"/>
  <c r="P34" i="2"/>
  <c r="P30" i="2"/>
  <c r="M52" i="2"/>
  <c r="M41" i="2"/>
  <c r="L41" i="2"/>
  <c r="M40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M53" i="2" l="1"/>
  <c r="M54" i="2" s="1"/>
  <c r="N41" i="2"/>
  <c r="N38" i="2"/>
  <c r="E57" i="8"/>
  <c r="B70" i="7"/>
  <c r="A71" i="7"/>
  <c r="C70" i="7"/>
  <c r="B69" i="7"/>
  <c r="B75" i="7" s="1"/>
  <c r="C69" i="7"/>
  <c r="N40" i="2"/>
  <c r="N39" i="2"/>
  <c r="A72" i="7" l="1"/>
  <c r="B71" i="7"/>
  <c r="C71" i="7"/>
  <c r="B72" i="7" l="1"/>
  <c r="A73" i="7"/>
  <c r="B7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<sst xmlns="http://schemas.openxmlformats.org/spreadsheetml/2006/main" count="946" uniqueCount="722">
  <si>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</si>
  <si>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</si>
  <si>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</si>
  <si>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</si>
  <si>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</si>
  <si>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</si>
  <si>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</si>
  <si>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</si>
  <si>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</si>
  <si>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</si>
  <si>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</si>
  <si>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</si>
  <si>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</si>
  <si>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</si>
  <si>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</si>
  <si>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</si>
  <si>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</si>
  <si>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</si>
  <si>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</si>
  <si>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</si>
  <si>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</si>
  <si>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</si>
  <si>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</si>
  <si>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</si>
  <si>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</si>
  <si>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</si>
  <si>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</si>
  <si>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</si>
  <si>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</si>
  <si>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</si>
  <si>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</si>
  <si>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</si>
  <si>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</si>
  <si>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</si>
  <si>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</si>
  <si>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</si>
  <si>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</si>
  <si>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</si>
  <si>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</si>
  <si>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</si>
  <si>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</si>
  <si>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</si>
  <si>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</si>
  <si>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</si>
  <si>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</si>
  <si>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</si>
  <si>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</si>
  <si>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</si>
  <si>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</si>
  <si>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</si>
  <si>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</si>
  <si>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</si>
  <si>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</si>
  <si>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</si>
  <si>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</si>
  <si>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</si>
  <si>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</si>
  <si>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</si>
  <si>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</si>
  <si>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</si>
  <si>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</si>
  <si>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</si>
  <si>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</si>
  <si>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</si>
  <si>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</si>
  <si>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</si>
  <si>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</si>
  <si>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</si>
  <si>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</si>
  <si>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</si>
  <si>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</si>
  <si>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</si>
  <si>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</si>
  <si>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</si>
  <si>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</si>
  <si>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</si>
  <si>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</si>
  <si>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</si>
  <si>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</si>
  <si>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</si>
  <si>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</si>
  <si>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</si>
  <si>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</si>
  <si>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</si>
  <si>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</si>
  <si>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</si>
  <si>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</si>
  <si>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</si>
  <si>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</si>
  <si>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</si>
  <si>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</si>
  <si>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</si>
  <si>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</si>
  <si>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</si>
  <si>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</si>
  <si>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</si>
  <si>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</si>
  <si>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</si>
  <si>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</si>
  <si>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</si>
  <si>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</si>
  <si>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</si>
  <si>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</si>
  <si>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</si>
  <si>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</si>
  <si>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</si>
  <si>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</si>
  <si>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</si>
  <si>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</si>
  <si>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</si>
  <si>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</si>
  <si>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</si>
  <si>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</si>
  <si>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</si>
  <si>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</si>
  <si>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</si>
  <si>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</si>
  <si>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</si>
  <si>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</si>
  <si>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</si>
  <si>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</si>
  <si>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</si>
  <si>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</si>
  <si>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</si>
  <si>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</si>
  <si>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</si>
  <si>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</si>
  <si>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</si>
  <si>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</si>
  <si>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</si>
  <si>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</si>
  <si>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</si>
  <si>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</si>
  <si>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</si>
  <si>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</si>
  <si>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</si>
  <si>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</si>
  <si>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</si>
  <si>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</si>
  <si>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</si>
  <si>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</si>
  <si>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</si>
  <si>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</si>
  <si>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</si>
  <si>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</si>
  <si>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</si>
  <si>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</si>
  <si>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</si>
  <si>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</si>
  <si>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</si>
  <si>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</si>
  <si>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</si>
  <si>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</si>
  <si>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</si>
  <si>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</si>
  <si>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</si>
  <si>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</si>
  <si>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</si>
  <si>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</si>
  <si>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</si>
  <si>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</si>
  <si>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</si>
  <si>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</si>
  <si>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</si>
  <si>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</si>
  <si>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</si>
  <si>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</si>
  <si>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</si>
  <si>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</si>
  <si>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</si>
  <si>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</si>
  <si>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</si>
  <si>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</si>
  <si>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</si>
  <si>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</si>
  <si>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</si>
  <si>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</si>
  <si>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</si>
  <si>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</si>
  <si>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</si>
  <si>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</si>
  <si>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</si>
  <si>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</si>
  <si>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</si>
  <si>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</si>
  <si>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</si>
  <si>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</si>
  <si>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</si>
  <si>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</si>
  <si>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</si>
  <si>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</si>
  <si>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</si>
  <si>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</si>
  <si>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</si>
  <si>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FCKNW</t>
  </si>
  <si>
    <t>5811/12USS</t>
  </si>
  <si>
    <t>Open</t>
  </si>
  <si>
    <t>Dbl - Closed</t>
  </si>
  <si>
    <t>10.20 - 10.20</t>
  </si>
  <si>
    <t>2.83 - 2.00</t>
  </si>
  <si>
    <t>Magnetic</t>
  </si>
  <si>
    <t>4 x 10</t>
  </si>
  <si>
    <t>1 ~ 16</t>
  </si>
  <si>
    <t>(.114"x.204")x2</t>
  </si>
  <si>
    <t>Wye</t>
  </si>
  <si>
    <t>(105°C)</t>
  </si>
  <si>
    <t>CU</t>
  </si>
  <si>
    <t>AL</t>
  </si>
  <si>
    <t>ERD1: 281.0</t>
  </si>
  <si>
    <t>ERD2: 367.0</t>
  </si>
  <si>
    <t>LB:  -</t>
  </si>
  <si>
    <t>LER:  -</t>
  </si>
  <si>
    <t>UB: 406.6</t>
  </si>
  <si>
    <t>UER: 3370.3</t>
  </si>
  <si>
    <t>ERT: 85.0</t>
  </si>
  <si>
    <t>(Coeff.: 0.0566)</t>
  </si>
  <si>
    <t>Skew R.: 0.00</t>
  </si>
  <si>
    <t>G:\DESPRO\RAT FILES\1M2700U Rev.1.rat</t>
  </si>
  <si>
    <t>2-2-2-0-1-2</t>
  </si>
  <si>
    <t>B.L.-1  P.F.-1</t>
  </si>
  <si>
    <t>5153.2 / 5344.8</t>
  </si>
  <si>
    <t>4508.2 / 4349.0</t>
  </si>
  <si>
    <t>18247.0 / 16104.2</t>
  </si>
  <si>
    <t>10000.0 / 13436.0</t>
  </si>
  <si>
    <t>8023.3 / 3916.6</t>
  </si>
  <si>
    <t>772.8 / 377.2</t>
  </si>
  <si>
    <t>7250.5 / 3539.3</t>
  </si>
  <si>
    <t>1.75 / 0.85</t>
  </si>
  <si>
    <t>58 / 56</t>
  </si>
  <si>
    <t>Temp. Rise @ 100%:</t>
  </si>
  <si>
    <t>Stray Loss</t>
  </si>
  <si>
    <t>0.873 / 0.864</t>
  </si>
  <si>
    <t>0.927 / 0.917</t>
  </si>
  <si>
    <t>0.944 / 0.933</t>
  </si>
  <si>
    <t>0.950 / 0.940</t>
  </si>
  <si>
    <t>0.953 / 0.942</t>
  </si>
  <si>
    <t>0.665 / 0.669</t>
  </si>
  <si>
    <t>0.831 / 0.836</t>
  </si>
  <si>
    <t>0.882 / 0.886</t>
  </si>
  <si>
    <t>0.898 / 0.902</t>
  </si>
  <si>
    <t>0.900 / 0.905</t>
  </si>
  <si>
    <t>32.43 / 32.63</t>
  </si>
  <si>
    <t>48.91 / 49.20</t>
  </si>
  <si>
    <t>67.94 / 68.36</t>
  </si>
  <si>
    <t>88.32 / 88.86</t>
  </si>
  <si>
    <t>109.82 / 110.48</t>
  </si>
  <si>
    <t>3.06 / 3.07</t>
  </si>
  <si>
    <t>UB: 3.14 / 3.16</t>
  </si>
  <si>
    <t>UER: 2.30 / 2.31</t>
  </si>
  <si>
    <t>3592.4 / 3592.9</t>
  </si>
  <si>
    <t>3585.3 / 3585.8</t>
  </si>
  <si>
    <t>3578.0 / 3578.5</t>
  </si>
  <si>
    <t>3570.6 / 3571.1</t>
  </si>
  <si>
    <t>3563.0 / 3563.4</t>
  </si>
  <si>
    <t>0.0021 / 0.0020</t>
  </si>
  <si>
    <t>0.0041 / 0.0039</t>
  </si>
  <si>
    <t>0.0061 / 0.0060</t>
  </si>
  <si>
    <t>0.0082 / 0.0080</t>
  </si>
  <si>
    <t>0.0103 / 0.0102</t>
  </si>
  <si>
    <t>21.251 / 21.466</t>
  </si>
  <si>
    <t>1.157 / 1.169</t>
  </si>
  <si>
    <t>21.28 / 21.50</t>
  </si>
  <si>
    <t>484.7 / 618.1</t>
  </si>
  <si>
    <t>548.7 / 699.8</t>
  </si>
  <si>
    <t>169.3 / 179.7</t>
  </si>
  <si>
    <t>118.8 / 126.1</t>
  </si>
  <si>
    <t>224.6 / 230.6</t>
  </si>
  <si>
    <t>Correlated to: TEFC-1250HP.dat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</si>
  <si>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</si>
  <si>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</si>
  <si>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</si>
  <si>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</si>
  <si>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</si>
  <si>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</si>
  <si>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</si>
  <si>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</si>
  <si>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</si>
  <si>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</si>
  <si>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</si>
  <si>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</si>
  <si>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</si>
  <si>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</si>
  <si>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</si>
  <si>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</si>
  <si>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</si>
  <si>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</si>
  <si>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</si>
  <si>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</si>
  <si>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</si>
  <si>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</si>
  <si>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</si>
  <si>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</si>
  <si>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</si>
  <si>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</si>
  <si>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</si>
  <si>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</si>
  <si>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</si>
  <si>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</si>
  <si>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</si>
  <si>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</si>
  <si>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</si>
  <si>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</si>
  <si>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</si>
  <si>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</si>
  <si>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</si>
  <si>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</si>
  <si>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</si>
  <si>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</si>
  <si>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</si>
  <si>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</si>
  <si>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</si>
  <si>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</si>
  <si>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</si>
  <si>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</si>
  <si>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</si>
  <si>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</si>
  <si>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</si>
  <si>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</si>
  <si>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</si>
  <si>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</si>
  <si>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</si>
  <si>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</si>
  <si>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</si>
  <si>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</si>
  <si>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</si>
  <si>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</si>
  <si>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</si>
  <si>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</si>
  <si>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</si>
  <si>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</si>
  <si>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</si>
  <si>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</si>
  <si>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</si>
  <si>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</si>
  <si>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</si>
  <si>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</si>
  <si>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</si>
  <si>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</si>
  <si>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</si>
  <si>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</si>
  <si>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</si>
  <si>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</si>
  <si>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</si>
  <si>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</si>
  <si>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</si>
  <si>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</si>
  <si>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</si>
  <si>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</si>
  <si>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</si>
  <si>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</si>
  <si>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</si>
  <si>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</si>
  <si>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</si>
  <si>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</si>
  <si>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</si>
  <si>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</si>
  <si>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</si>
  <si>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</si>
  <si>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</si>
  <si>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</si>
  <si>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</si>
  <si>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</si>
  <si>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</si>
  <si>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</si>
  <si>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</si>
  <si>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</si>
  <si>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</si>
  <si>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</si>
  <si>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</si>
  <si>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</si>
  <si>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</si>
  <si>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</si>
  <si>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</si>
  <si>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</si>
  <si>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</si>
  <si>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</si>
  <si>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</si>
  <si>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</si>
  <si>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</si>
  <si>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</si>
  <si>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1M2700U Rev.1</t>
  </si>
  <si>
    <t>Type: TIKK - Form: FCKNW - 2 Pole - 700 HP - 4000 V - 60 Hz - 5811/12USS - Class F</t>
  </si>
  <si>
    <t>16 x 2</t>
  </si>
  <si>
    <t>1 x Wye</t>
  </si>
  <si>
    <t xml:space="preserve"> - </t>
  </si>
  <si>
    <t>58 / 77</t>
  </si>
  <si>
    <t>307 / 2132</t>
  </si>
  <si>
    <t>G</t>
  </si>
  <si>
    <t>316 / 231</t>
  </si>
  <si>
    <t>F &amp; W Loss for Sleeve Bearing : 13500W</t>
  </si>
  <si>
    <t>Efficiency for Sleeve Bearing : 94.0 %</t>
  </si>
  <si>
    <t>ODE Silencer w/ Cab-Foam</t>
  </si>
  <si>
    <t>DE Silencer w/ Cab-Foam</t>
  </si>
  <si>
    <t>Rev. 1 MCL changed from 1090 to 1070 mm.</t>
  </si>
  <si>
    <t>A. Gracia  (5/24/04)</t>
  </si>
  <si>
    <t>Rev.2 Lead AWG changed from 04 to 02.</t>
  </si>
  <si>
    <t>W.McDaniel (3/3/06)</t>
  </si>
  <si>
    <t>.114"x.204";.114"x.229" JR 08/06/09</t>
  </si>
  <si>
    <t>REV.3 CHG MCL FROM 1090 &amp; WIRE FROM</t>
  </si>
  <si>
    <t>LINK:</t>
  </si>
  <si>
    <t>TEFC-1250HP.rat with TEFC-1250HP.dat</t>
  </si>
  <si>
    <t>Run 1M2700U Rev.1.rat</t>
  </si>
  <si>
    <t>7003TCQL11F-A</t>
  </si>
  <si>
    <t>W.McDaniel</t>
  </si>
  <si>
    <t>Current (%)</t>
  </si>
  <si>
    <t>Current(%)</t>
  </si>
  <si>
    <t>S-T Curve Data (Custom Values)</t>
  </si>
  <si>
    <t>1/2 NEMA</t>
  </si>
  <si>
    <t>Load</t>
  </si>
  <si>
    <t>Load Type:</t>
  </si>
  <si>
    <t>Load Inertia:</t>
  </si>
  <si>
    <t>Accel. Time:</t>
  </si>
  <si>
    <t>Rated Torque:</t>
  </si>
  <si>
    <t>Fan / Pump</t>
  </si>
  <si>
    <t>42.5 kg.m²</t>
  </si>
  <si>
    <t>Acceleration Data (FV V)</t>
  </si>
  <si>
    <t>5.8 (s)</t>
  </si>
  <si>
    <t>142.4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</si>
  <si>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</si>
  <si>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</si>
  <si>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</si>
  <si>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</si>
  <si>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</si>
  <si>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</si>
  <si>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</si>
  <si>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</si>
  <si>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</si>
  <si>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</si>
  <si>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</si>
  <si>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</si>
  <si>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</si>
  <si>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</si>
  <si>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</si>
  <si>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</si>
  <si>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</si>
  <si>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</si>
  <si>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</si>
  <si>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</si>
  <si>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</si>
  <si>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</si>
  <si>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</si>
  <si>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</si>
  <si>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</si>
  <si>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</si>
  <si>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</si>
  <si>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</si>
  <si>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</si>
  <si>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</si>
  <si>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</si>
  <si>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</si>
  <si>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</si>
  <si>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</si>
  <si>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</si>
  <si>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</si>
  <si>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</si>
  <si>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</si>
  <si>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</si>
  <si>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- 700.0 HP - 3600 RPM - 4000 V - 60 Hz</t>
  </si>
  <si>
    <t>0~360</t>
  </si>
  <si>
    <t>360~720</t>
  </si>
  <si>
    <t>720~1080</t>
  </si>
  <si>
    <t>1080~1440</t>
  </si>
  <si>
    <t>1440~1808</t>
  </si>
  <si>
    <t>1808~2176</t>
  </si>
  <si>
    <t>2176~2544</t>
  </si>
  <si>
    <t>2544~2911</t>
  </si>
  <si>
    <t>2911~3095</t>
  </si>
  <si>
    <t>3095~3279</t>
  </si>
  <si>
    <t>3279~3463</t>
  </si>
  <si>
    <t>3463~3571</t>
  </si>
  <si>
    <t/>
  </si>
  <si>
    <t>Load Type: Fan / Pump - 252.0 lb-ft²</t>
  </si>
  <si>
    <t>116.4</t>
  </si>
  <si>
    <t>102.9</t>
  </si>
  <si>
    <t>95.3</t>
  </si>
  <si>
    <t>91.3</t>
  </si>
  <si>
    <t>90.0</t>
  </si>
  <si>
    <t>90.5</t>
  </si>
  <si>
    <t>92.8</t>
  </si>
  <si>
    <t>101.0</t>
  </si>
  <si>
    <t>117.5</t>
  </si>
  <si>
    <t>149.0</t>
  </si>
  <si>
    <t>200.2</t>
  </si>
  <si>
    <t>165.0</t>
  </si>
  <si>
    <t>22.5</t>
  </si>
  <si>
    <t>11.5</t>
  </si>
  <si>
    <t>7.0</t>
  </si>
  <si>
    <t>11.1</t>
  </si>
  <si>
    <t>18.3</t>
  </si>
  <si>
    <t>28.3</t>
  </si>
  <si>
    <t>43.0</t>
  </si>
  <si>
    <t>57.7</t>
  </si>
  <si>
    <t>70.2</t>
  </si>
  <si>
    <t>83.6</t>
  </si>
  <si>
    <t>94.4</t>
  </si>
  <si>
    <t>0.482</t>
  </si>
  <si>
    <t>0.495</t>
  </si>
  <si>
    <t>0.513</t>
  </si>
  <si>
    <t>0.537</t>
  </si>
  <si>
    <t>0.586</t>
  </si>
  <si>
    <t>0.641</t>
  </si>
  <si>
    <t>0.717</t>
  </si>
  <si>
    <t>0.797</t>
  </si>
  <si>
    <t>0.387</t>
  </si>
  <si>
    <t>0.293</t>
  </si>
  <si>
    <t>0.198</t>
  </si>
  <si>
    <t>0.191</t>
  </si>
  <si>
    <t>616.2</t>
  </si>
  <si>
    <t>612.2</t>
  </si>
  <si>
    <t>607.9</t>
  </si>
  <si>
    <t>603.0</t>
  </si>
  <si>
    <t>597.6</t>
  </si>
  <si>
    <t>591.3</t>
  </si>
  <si>
    <t>583.5</t>
  </si>
  <si>
    <t>571.6</t>
  </si>
  <si>
    <t>555.9</t>
  </si>
  <si>
    <t>529.7</t>
  </si>
  <si>
    <t>454.7</t>
  </si>
  <si>
    <t>255.7</t>
  </si>
  <si>
    <t>121.6</t>
  </si>
  <si>
    <t>123.4</t>
  </si>
  <si>
    <t>126.1</t>
  </si>
  <si>
    <t>130.1</t>
  </si>
  <si>
    <t>139.6</t>
  </si>
  <si>
    <t>149.6</t>
  </si>
  <si>
    <t>163.7</t>
  </si>
  <si>
    <t>176.7</t>
  </si>
  <si>
    <t>81.4</t>
  </si>
  <si>
    <t>58.2</t>
  </si>
  <si>
    <t>34.3</t>
  </si>
  <si>
    <t>1.0</t>
  </si>
  <si>
    <t>367.6</t>
  </si>
  <si>
    <t>293.1</t>
  </si>
  <si>
    <t>245.1</t>
  </si>
  <si>
    <t>212.4</t>
  </si>
  <si>
    <t>189.0</t>
  </si>
  <si>
    <t>171.5</t>
  </si>
  <si>
    <t>154.1</t>
  </si>
  <si>
    <t>132.3</t>
  </si>
  <si>
    <t>95.0</t>
  </si>
  <si>
    <t>62.7</t>
  </si>
  <si>
    <t>36.0</t>
  </si>
  <si>
    <t>7.4</t>
  </si>
  <si>
    <t>1306 kW / s</t>
  </si>
  <si>
    <t>1336 kW / s</t>
  </si>
  <si>
    <t>630 kW / s</t>
  </si>
  <si>
    <t>16°C</t>
  </si>
  <si>
    <t>96°C</t>
  </si>
  <si>
    <t>38°C</t>
  </si>
  <si>
    <t>32°C</t>
  </si>
  <si>
    <t>193°C</t>
  </si>
  <si>
    <t>76°C</t>
  </si>
  <si>
    <t>Acceleration Time:  5.8 s</t>
  </si>
  <si>
    <t>3.5°C / s</t>
  </si>
  <si>
    <t>32.0°C / s</t>
  </si>
  <si>
    <t>12.5°C / s</t>
  </si>
  <si>
    <t>284.4 kW</t>
  </si>
  <si>
    <t>443.5 kW</t>
  </si>
  <si>
    <t>209.3 kW</t>
  </si>
  <si>
    <t>45.8 s</t>
  </si>
  <si>
    <t>8.1 s</t>
  </si>
  <si>
    <t>14.3 s</t>
  </si>
  <si>
    <t>58°C    +</t>
  </si>
  <si>
    <t>75°C    +</t>
  </si>
  <si>
    <t>102°C    +</t>
  </si>
  <si>
    <t>185°C   +</t>
  </si>
  <si>
    <t>105°C   +</t>
  </si>
  <si>
    <t>29.2 s</t>
  </si>
  <si>
    <t>5.8 s</t>
  </si>
  <si>
    <t>8.3 s</t>
  </si>
  <si>
    <t>7.0 s</t>
  </si>
  <si>
    <t>4.1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</si>
  <si>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</si>
  <si>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</si>
  <si>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</si>
  <si>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</si>
  <si>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</si>
  <si>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</si>
  <si>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</si>
  <si>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</si>
  <si>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</si>
  <si>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</si>
  <si>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</si>
  <si>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</si>
  <si>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</si>
  <si>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</si>
  <si>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</si>
  <si>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</si>
  <si>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</si>
  <si>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</si>
  <si>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</si>
  <si>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</si>
  <si>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</si>
  <si>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146.4 lb-ft²</t>
  </si>
  <si>
    <t>252.0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</si>
  <si>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</si>
  <si>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</si>
  <si>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</si>
  <si>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</si>
  <si>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</si>
  <si>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</si>
  <si>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</si>
  <si>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</si>
  <si>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</si>
  <si>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</si>
  <si>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</si>
  <si>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</si>
  <si>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</si>
  <si>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</si>
  <si>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</si>
  <si>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</si>
  <si>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</si>
  <si>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</si>
  <si>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</si>
  <si>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</si>
  <si>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</si>
  <si>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</si>
  <si>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</si>
  <si>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</si>
  <si>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</si>
  <si>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</si>
  <si>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</si>
  <si>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</si>
  <si>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</si>
  <si>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</si>
  <si>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</si>
  <si>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</si>
  <si>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</si>
  <si>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</si>
  <si>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</si>
  <si>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</si>
  <si>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</si>
  <si>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</si>
  <si>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</si>
  <si>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</si>
  <si>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</si>
  <si>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</si>
  <si>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</si>
  <si>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</si>
  <si>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</si>
  <si>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</si>
  <si>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</si>
  <si>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</si>
  <si>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</si>
  <si>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</si>
  <si>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</si>
  <si>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</si>
  <si>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</si>
  <si>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</si>
  <si>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</si>
  <si>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</si>
  <si>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</si>
  <si>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</si>
  <si>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</si>
  <si>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</si>
  <si>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</si>
  <si>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</si>
  <si>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</si>
  <si>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</si>
  <si>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</si>
  <si>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</si>
  <si>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</si>
  <si>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</si>
  <si>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</si>
  <si>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</si>
  <si>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</si>
  <si>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</si>
  <si>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</si>
  <si>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</si>
  <si>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</si>
  <si>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</si>
  <si>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</si>
  <si>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</si>
  <si>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</si>
  <si>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</si>
  <si>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</si>
  <si>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</si>
  <si>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</si>
  <si>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</si>
  <si>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</si>
  <si>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</si>
  <si>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</si>
  <si>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</si>
  <si>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</si>
  <si>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</si>
  <si>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</si>
  <si>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</si>
  <si>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</si>
  <si>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</si>
  <si>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</si>
  <si>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</si>
  <si>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</si>
  <si>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</si>
  <si>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</si>
  <si>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</si>
  <si>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</si>
  <si>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</si>
  <si>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</si>
  <si>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</si>
  <si>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</si>
  <si>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</si>
  <si>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</si>
  <si>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</si>
  <si>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</si>
  <si>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</si>
  <si>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</si>
  <si>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</si>
  <si>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</si>
  <si>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</si>
  <si>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60 Hz</t>
  </si>
  <si>
    <t>5812USS</t>
  </si>
  <si>
    <t>FCNW4</t>
  </si>
  <si>
    <t>TIKK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</si>
  <si>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</si>
  <si>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</si>
  <si>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</si>
  <si>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</si>
  <si>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</si>
  <si>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</si>
  <si>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</si>
  <si>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1M2700U</t>
  </si>
  <si>
    <t>4160V REFER TO H050392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</si>
</sst>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7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172" fontId="64" fillId="0" borderId="0"/>
  </cellStyleXfs>
  <cellXfs count="665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69" xfId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0" fontId="24" fillId="0" borderId="0" xfId="1"/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1" fillId="5" borderId="72" xfId="1" applyFont="1" applyFill="1" applyBorder="1" applyAlignment="1">
      <alignment horizontal="left"/>
    </xf>
    <xf numFmtId="0" fontId="31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0" fontId="31" fillId="0" borderId="23" xfId="1" applyFont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0" fillId="0" borderId="127" xfId="2" applyFont="1" applyBorder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7" xfId="2" applyBorder="1"/>
    <xf numFmtId="0" fontId="50" fillId="0" borderId="0" xfId="2" applyFont="1"/>
    <xf numFmtId="0" fontId="50" fillId="0" borderId="127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7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0" fillId="0" borderId="129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2" xfId="2" applyBorder="1" applyAlignment="1">
      <alignment horizontal="left"/>
    </xf>
    <xf numFmtId="49" fontId="1" fillId="0" borderId="4" xfId="2" applyNumberFormat="1" applyBorder="1"/>
    <xf numFmtId="0" fontId="1" fillId="0" borderId="133" xfId="2" applyBorder="1" applyAlignment="1">
      <alignment horizontal="left"/>
    </xf>
    <xf numFmtId="0" fontId="47" fillId="5" borderId="120" xfId="3" applyFont="1" applyFill="1" applyBorder="1" applyAlignment="1">
      <alignment horizontal="center"/>
    </xf>
    <xf numFmtId="14" fontId="19" fillId="5" borderId="124" xfId="3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5" fillId="0" borderId="0" xfId="4" applyFont="1"/>
    <xf numFmtId="0" fontId="53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53" fillId="0" borderId="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3" fillId="0" borderId="131" xfId="4" applyFont="1" applyBorder="1" applyAlignment="1">
      <alignment horizontal="center"/>
    </xf>
    <xf numFmtId="0" fontId="53" fillId="0" borderId="132" xfId="4" quotePrefix="1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3" fillId="0" borderId="62" xfId="4" applyFont="1" applyBorder="1" applyAlignment="1">
      <alignment horizontal="center"/>
    </xf>
    <xf numFmtId="0" fontId="56" fillId="0" borderId="61" xfId="4" applyFont="1" applyBorder="1"/>
    <xf numFmtId="0" fontId="56" fillId="0" borderId="62" xfId="4" applyFont="1" applyBorder="1"/>
    <xf numFmtId="0" fontId="56" fillId="0" borderId="38" xfId="4" applyFont="1" applyBorder="1"/>
    <xf numFmtId="0" fontId="57" fillId="0" borderId="83" xfId="4" applyFont="1" applyBorder="1" applyAlignment="1">
      <alignment horizontal="centerContinuous"/>
    </xf>
    <xf numFmtId="0" fontId="56" fillId="0" borderId="0" xfId="4" applyFont="1" applyAlignment="1">
      <alignment horizontal="centerContinuous"/>
    </xf>
    <xf numFmtId="0" fontId="56" fillId="0" borderId="108" xfId="4" applyFont="1" applyBorder="1" applyAlignment="1">
      <alignment horizontal="centerContinuous"/>
    </xf>
    <xf numFmtId="0" fontId="58" fillId="0" borderId="83" xfId="4" applyFont="1" applyBorder="1" applyAlignment="1">
      <alignment horizontal="centerContinuous"/>
    </xf>
    <xf numFmtId="0" fontId="56" fillId="0" borderId="83" xfId="4" applyFont="1" applyBorder="1"/>
    <xf numFmtId="0" fontId="56" fillId="0" borderId="0" xfId="4" applyFont="1"/>
    <xf numFmtId="0" fontId="56" fillId="0" borderId="108" xfId="4" applyFont="1" applyBorder="1"/>
    <xf numFmtId="0" fontId="59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14" fontId="56" fillId="0" borderId="1" xfId="4" applyNumberFormat="1" applyFont="1" applyBorder="1" applyAlignment="1">
      <alignment horizontal="center"/>
    </xf>
    <xf numFmtId="0" fontId="59" fillId="0" borderId="0" xfId="4" applyFont="1" applyAlignment="1">
      <alignment horizontal="right"/>
    </xf>
    <xf numFmtId="0" fontId="56" fillId="0" borderId="0" xfId="4" applyFont="1" applyAlignment="1">
      <alignment horizontal="center"/>
    </xf>
    <xf numFmtId="9" fontId="56" fillId="0" borderId="0" xfId="4" applyNumberFormat="1" applyFont="1" applyAlignment="1">
      <alignment horizontal="center"/>
    </xf>
    <xf numFmtId="0" fontId="59" fillId="0" borderId="83" xfId="4" applyFont="1" applyBorder="1" applyAlignment="1">
      <alignment horizontal="right"/>
    </xf>
    <xf numFmtId="0" fontId="56" fillId="0" borderId="40" xfId="4" applyFont="1" applyBorder="1"/>
    <xf numFmtId="0" fontId="56" fillId="0" borderId="39" xfId="4" applyFont="1" applyBorder="1" applyAlignment="1">
      <alignment horizontal="center"/>
    </xf>
    <xf numFmtId="0" fontId="56" fillId="0" borderId="85" xfId="4" applyFont="1" applyBorder="1"/>
    <xf numFmtId="0" fontId="59" fillId="0" borderId="17" xfId="4" applyFont="1" applyBorder="1" applyAlignment="1">
      <alignment horizontal="right"/>
    </xf>
    <xf numFmtId="0" fontId="56" fillId="0" borderId="132" xfId="4" applyFont="1" applyBorder="1"/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61" fillId="0" borderId="0" xfId="4" applyFont="1"/>
    <xf numFmtId="0" fontId="62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3" fillId="0" borderId="0" xfId="4" applyFont="1"/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5" fillId="0" borderId="6" xfId="5" applyFont="1" applyBorder="1" applyAlignment="1">
      <alignment horizontal="centerContinuous"/>
    </xf>
    <xf numFmtId="172" fontId="65" fillId="0" borderId="7" xfId="5" applyFont="1" applyBorder="1" applyAlignment="1">
      <alignment horizontal="centerContinuous"/>
    </xf>
    <xf numFmtId="172" fontId="66" fillId="0" borderId="12" xfId="5" applyFont="1" applyBorder="1" applyAlignment="1">
      <alignment horizontal="left"/>
    </xf>
    <xf numFmtId="172" fontId="67" fillId="0" borderId="55" xfId="5" applyFont="1" applyBorder="1"/>
    <xf numFmtId="172" fontId="66" fillId="0" borderId="13" xfId="5" applyFont="1" applyBorder="1" applyAlignment="1">
      <alignment horizontal="centerContinuous"/>
    </xf>
    <xf numFmtId="172" fontId="67" fillId="0" borderId="14" xfId="5" applyFont="1" applyBorder="1" applyAlignment="1">
      <alignment horizontal="centerContinuous"/>
    </xf>
    <xf numFmtId="172" fontId="68" fillId="0" borderId="0" xfId="5" applyFont="1"/>
    <xf numFmtId="172" fontId="64" fillId="0" borderId="0" xfId="5"/>
    <xf numFmtId="172" fontId="65" fillId="0" borderId="45" xfId="5" applyFont="1" applyBorder="1" applyAlignment="1">
      <alignment horizontal="centerContinuous"/>
    </xf>
    <xf numFmtId="172" fontId="65" fillId="0" borderId="0" xfId="5" applyFont="1" applyAlignment="1">
      <alignment horizontal="centerContinuous"/>
    </xf>
    <xf numFmtId="172" fontId="66" fillId="0" borderId="109" xfId="5" applyFont="1" applyBorder="1" applyAlignment="1">
      <alignment horizontal="left"/>
    </xf>
    <xf numFmtId="172" fontId="67" fillId="0" borderId="39" xfId="5" applyFont="1" applyBorder="1"/>
    <xf numFmtId="172" fontId="66" fillId="0" borderId="40" xfId="5" applyFont="1" applyBorder="1" applyAlignment="1">
      <alignment horizontal="centerContinuous"/>
    </xf>
    <xf numFmtId="172" fontId="67" fillId="0" borderId="29" xfId="5" applyFont="1" applyBorder="1" applyAlignment="1">
      <alignment horizontal="centerContinuous"/>
    </xf>
    <xf numFmtId="172" fontId="67" fillId="0" borderId="45" xfId="5" applyFont="1" applyBorder="1" applyAlignment="1">
      <alignment horizontal="centerContinuous"/>
    </xf>
    <xf numFmtId="172" fontId="67" fillId="0" borderId="0" xfId="5" applyFont="1" applyAlignment="1">
      <alignment horizontal="centerContinuous"/>
    </xf>
    <xf numFmtId="172" fontId="66" fillId="0" borderId="40" xfId="5" quotePrefix="1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8" fillId="0" borderId="45" xfId="5" applyFont="1" applyBorder="1" applyAlignment="1">
      <alignment horizontal="centerContinuous"/>
    </xf>
    <xf numFmtId="172" fontId="68" fillId="0" borderId="46" xfId="5" applyFont="1" applyBorder="1" applyAlignment="1">
      <alignment horizontal="centerContinuous"/>
    </xf>
    <xf numFmtId="172" fontId="67" fillId="0" borderId="23" xfId="5" applyFont="1" applyBorder="1" applyAlignment="1">
      <alignment horizontal="centerContinuous"/>
    </xf>
    <xf numFmtId="172" fontId="66" fillId="0" borderId="46" xfId="5" applyFont="1" applyBorder="1" applyAlignment="1">
      <alignment horizontal="left"/>
    </xf>
    <xf numFmtId="172" fontId="67" fillId="0" borderId="48" xfId="5" applyFont="1" applyBorder="1"/>
    <xf numFmtId="172" fontId="70" fillId="0" borderId="23" xfId="5" applyFont="1" applyBorder="1" applyAlignment="1">
      <alignment horizontal="centerContinuous"/>
    </xf>
    <xf numFmtId="172" fontId="67" fillId="0" borderId="24" xfId="5" applyFont="1" applyBorder="1" applyAlignment="1">
      <alignment horizontal="centerContinuous"/>
    </xf>
    <xf numFmtId="172" fontId="68" fillId="0" borderId="0" xfId="5" applyFont="1" applyAlignment="1">
      <alignment horizontal="centerContinuous"/>
    </xf>
    <xf numFmtId="172" fontId="66" fillId="0" borderId="0" xfId="5" applyFont="1" applyAlignment="1">
      <alignment horizontal="left"/>
    </xf>
    <xf numFmtId="172" fontId="67" fillId="0" borderId="0" xfId="5" applyFont="1"/>
    <xf numFmtId="172" fontId="66" fillId="0" borderId="0" xfId="5" applyFont="1" applyAlignment="1">
      <alignment horizontal="centerContinuous"/>
    </xf>
    <xf numFmtId="172" fontId="71" fillId="0" borderId="0" xfId="5" applyFont="1"/>
    <xf numFmtId="172" fontId="71" fillId="0" borderId="0" xfId="5" applyFont="1" applyAlignment="1">
      <alignment horizontal="right"/>
    </xf>
    <xf numFmtId="172" fontId="71" fillId="0" borderId="0" xfId="5" applyFont="1" applyAlignment="1" applyProtection="1">
      <alignment horizontal="left"/>
      <protection locked="0"/>
    </xf>
    <xf numFmtId="172" fontId="71" fillId="0" borderId="0" xfId="5" applyFont="1" applyAlignment="1">
      <alignment horizontal="centerContinuous"/>
    </xf>
    <xf numFmtId="172" fontId="71" fillId="0" borderId="0" xfId="5" applyFont="1" applyAlignment="1">
      <alignment horizontal="left"/>
    </xf>
    <xf numFmtId="49" fontId="71" fillId="0" borderId="0" xfId="5" quotePrefix="1" applyNumberFormat="1" applyFont="1" applyAlignment="1" applyProtection="1">
      <alignment horizontal="left"/>
      <protection locked="0"/>
    </xf>
    <xf numFmtId="172" fontId="72" fillId="0" borderId="138" xfId="5" applyFont="1" applyBorder="1" applyAlignment="1">
      <alignment horizontal="centerContinuous"/>
    </xf>
    <xf numFmtId="172" fontId="68" fillId="0" borderId="139" xfId="5" applyFont="1" applyBorder="1" applyAlignment="1">
      <alignment horizontal="centerContinuous"/>
    </xf>
    <xf numFmtId="172" fontId="68" fillId="0" borderId="140" xfId="5" applyFont="1" applyBorder="1" applyAlignment="1">
      <alignment horizontal="centerContinuous"/>
    </xf>
    <xf numFmtId="172" fontId="71" fillId="0" borderId="45" xfId="5" applyFont="1" applyBorder="1"/>
    <xf numFmtId="172" fontId="71" fillId="0" borderId="0" xfId="5" applyFont="1" applyAlignment="1" applyProtection="1">
      <alignment horizontal="center"/>
      <protection locked="0"/>
    </xf>
    <xf numFmtId="172" fontId="71" fillId="0" borderId="21" xfId="5" applyFont="1" applyBorder="1" applyAlignment="1" applyProtection="1">
      <alignment horizontal="center"/>
      <protection locked="0"/>
    </xf>
    <xf numFmtId="172" fontId="71" fillId="0" borderId="0" xfId="5" applyFont="1" applyAlignment="1">
      <alignment horizontal="center"/>
    </xf>
    <xf numFmtId="49" fontId="71" fillId="0" borderId="0" xfId="5" applyNumberFormat="1" applyFont="1" applyAlignment="1">
      <alignment horizontal="center"/>
    </xf>
    <xf numFmtId="172" fontId="71" fillId="0" borderId="0" xfId="5" quotePrefix="1" applyFont="1" applyAlignment="1">
      <alignment horizontal="right"/>
    </xf>
    <xf numFmtId="172" fontId="71" fillId="0" borderId="0" xfId="5" quotePrefix="1" applyFont="1" applyAlignment="1" applyProtection="1">
      <alignment horizontal="center"/>
      <protection locked="0"/>
    </xf>
    <xf numFmtId="172" fontId="71" fillId="0" borderId="21" xfId="5" applyFont="1" applyBorder="1"/>
    <xf numFmtId="172" fontId="71" fillId="0" borderId="46" xfId="5" applyFont="1" applyBorder="1"/>
    <xf numFmtId="172" fontId="71" fillId="0" borderId="23" xfId="5" applyFont="1" applyBorder="1" applyAlignment="1">
      <alignment horizontal="right"/>
    </xf>
    <xf numFmtId="167" fontId="71" fillId="0" borderId="23" xfId="5" quotePrefix="1" applyNumberFormat="1" applyFont="1" applyBorder="1" applyAlignment="1" applyProtection="1">
      <alignment horizontal="center"/>
      <protection locked="0"/>
    </xf>
    <xf numFmtId="172" fontId="71" fillId="0" borderId="23" xfId="5" applyFont="1" applyBorder="1"/>
    <xf numFmtId="167" fontId="71" fillId="0" borderId="23" xfId="5" applyNumberFormat="1" applyFont="1" applyBorder="1"/>
    <xf numFmtId="172" fontId="71" fillId="0" borderId="24" xfId="5" applyFont="1" applyBorder="1"/>
    <xf numFmtId="172" fontId="73" fillId="0" borderId="45" xfId="5" quotePrefix="1" applyFont="1" applyBorder="1" applyAlignment="1">
      <alignment horizontal="left"/>
    </xf>
    <xf numFmtId="172" fontId="67" fillId="0" borderId="0" xfId="5" quotePrefix="1" applyFont="1" applyAlignment="1">
      <alignment horizontal="right"/>
    </xf>
    <xf numFmtId="172" fontId="67" fillId="0" borderId="108" xfId="5" applyFont="1" applyBorder="1"/>
    <xf numFmtId="172" fontId="73" fillId="0" borderId="0" xfId="5" applyFont="1" applyAlignment="1">
      <alignment horizontal="left"/>
    </xf>
    <xf numFmtId="172" fontId="67" fillId="0" borderId="0" xfId="5" applyFont="1" applyAlignment="1">
      <alignment horizontal="right"/>
    </xf>
    <xf numFmtId="172" fontId="67" fillId="0" borderId="108" xfId="5" applyFont="1" applyBorder="1" applyAlignment="1">
      <alignment horizontal="right"/>
    </xf>
    <xf numFmtId="172" fontId="73" fillId="0" borderId="0" xfId="5" quotePrefix="1" applyFont="1" applyAlignment="1">
      <alignment horizontal="left"/>
    </xf>
    <xf numFmtId="172" fontId="67" fillId="0" borderId="21" xfId="5" applyFont="1" applyBorder="1"/>
    <xf numFmtId="172" fontId="64" fillId="0" borderId="45" xfId="5" applyBorder="1"/>
    <xf numFmtId="172" fontId="71" fillId="0" borderId="108" xfId="5" applyFont="1" applyBorder="1" applyAlignment="1" applyProtection="1">
      <alignment horizontal="center"/>
      <protection locked="0"/>
    </xf>
    <xf numFmtId="0" fontId="71" fillId="0" borderId="108" xfId="5" applyNumberFormat="1" applyFont="1" applyBorder="1" applyAlignment="1">
      <alignment horizontal="center"/>
    </xf>
    <xf numFmtId="172" fontId="71" fillId="0" borderId="108" xfId="5" applyFont="1" applyBorder="1"/>
    <xf numFmtId="172" fontId="71" fillId="0" borderId="48" xfId="5" applyFont="1" applyBorder="1"/>
    <xf numFmtId="172" fontId="71" fillId="0" borderId="48" xfId="5" applyFont="1" applyBorder="1" applyAlignment="1">
      <alignment horizontal="left"/>
    </xf>
    <xf numFmtId="172" fontId="72" fillId="0" borderId="141" xfId="5" applyFont="1" applyBorder="1" applyAlignment="1">
      <alignment horizontal="centerContinuous"/>
    </xf>
    <xf numFmtId="172" fontId="68" fillId="0" borderId="142" xfId="5" applyFont="1" applyBorder="1" applyAlignment="1">
      <alignment horizontal="centerContinuous"/>
    </xf>
    <xf numFmtId="172" fontId="64" fillId="0" borderId="143" xfId="5" applyBorder="1"/>
    <xf numFmtId="172" fontId="68" fillId="0" borderId="144" xfId="5" applyFont="1" applyBorder="1" applyAlignment="1">
      <alignment horizontal="centerContinuous"/>
    </xf>
    <xf numFmtId="172" fontId="73" fillId="0" borderId="45" xfId="5" applyFont="1" applyBorder="1" applyAlignment="1">
      <alignment horizontal="left"/>
    </xf>
    <xf numFmtId="172" fontId="64" fillId="0" borderId="108" xfId="5" applyBorder="1"/>
    <xf numFmtId="167" fontId="71" fillId="0" borderId="0" xfId="5" applyNumberFormat="1" applyFont="1" applyAlignment="1" applyProtection="1">
      <alignment horizontal="center"/>
      <protection locked="0"/>
    </xf>
    <xf numFmtId="172" fontId="71" fillId="0" borderId="45" xfId="5" applyFont="1" applyBorder="1" applyAlignment="1">
      <alignment horizontal="left"/>
    </xf>
    <xf numFmtId="172" fontId="64" fillId="0" borderId="48" xfId="5" applyBorder="1"/>
    <xf numFmtId="172" fontId="68" fillId="0" borderId="0" xfId="5" applyFont="1" applyAlignment="1">
      <alignment horizontal="left"/>
    </xf>
    <xf numFmtId="172" fontId="68" fillId="0" borderId="141" xfId="5" applyFont="1" applyBorder="1"/>
    <xf numFmtId="172" fontId="67" fillId="0" borderId="142" xfId="5" applyFont="1" applyBorder="1" applyAlignment="1">
      <alignment horizontal="left"/>
    </xf>
    <xf numFmtId="172" fontId="67" fillId="0" borderId="144" xfId="5" applyFont="1" applyBorder="1" applyAlignment="1">
      <alignment horizontal="left"/>
    </xf>
    <xf numFmtId="172" fontId="71" fillId="0" borderId="45" xfId="5" quotePrefix="1" applyFont="1" applyBorder="1" applyAlignment="1">
      <alignment horizontal="left"/>
    </xf>
    <xf numFmtId="172" fontId="71" fillId="0" borderId="21" xfId="5" applyFont="1" applyBorder="1" applyAlignment="1">
      <alignment horizontal="left"/>
    </xf>
    <xf numFmtId="172" fontId="74" fillId="0" borderId="145" xfId="5" applyFont="1" applyBorder="1"/>
    <xf numFmtId="172" fontId="71" fillId="0" borderId="0" xfId="5" quotePrefix="1" applyFont="1" applyAlignment="1">
      <alignment horizontal="left"/>
    </xf>
    <xf numFmtId="172" fontId="71" fillId="0" borderId="146" xfId="5" quotePrefix="1" applyFont="1" applyBorder="1" applyAlignment="1">
      <alignment horizontal="left"/>
    </xf>
    <xf numFmtId="172" fontId="71" fillId="0" borderId="147" xfId="5" quotePrefix="1" applyFont="1" applyBorder="1" applyAlignment="1">
      <alignment horizontal="left"/>
    </xf>
    <xf numFmtId="172" fontId="71" fillId="0" borderId="46" xfId="5" applyFont="1" applyBorder="1" applyAlignment="1">
      <alignment horizontal="left"/>
    </xf>
    <xf numFmtId="172" fontId="71" fillId="0" borderId="23" xfId="5" applyFont="1" applyBorder="1" applyAlignment="1">
      <alignment horizontal="left"/>
    </xf>
    <xf numFmtId="172" fontId="71" fillId="0" borderId="24" xfId="5" applyFont="1" applyBorder="1" applyAlignment="1">
      <alignment horizontal="left"/>
    </xf>
    <xf numFmtId="172" fontId="67" fillId="0" borderId="0" xfId="5" applyFont="1" applyAlignment="1">
      <alignment horizontal="left"/>
    </xf>
    <xf numFmtId="172" fontId="75" fillId="0" borderId="0" xfId="5" applyFont="1" applyAlignment="1">
      <alignment horizontal="right"/>
    </xf>
    <xf numFmtId="172" fontId="64" fillId="0" borderId="0" xfId="5" applyAlignment="1">
      <alignment horizontal="right"/>
    </xf>
    <xf numFmtId="49" fontId="56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167" fontId="1" fillId="0" borderId="0" xfId="4" applyNumberFormat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17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53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0" fontId="53" fillId="0" borderId="17" xfId="4" applyFont="1" applyBorder="1" applyAlignment="1">
      <alignment horizontal="right"/>
    </xf>
    <xf numFmtId="0" fontId="53" fillId="0" borderId="131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5" fillId="0" borderId="17" xfId="4" applyFont="1" applyBorder="1" applyAlignment="1">
      <alignment horizontal="center"/>
    </xf>
    <xf numFmtId="172" fontId="76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0" fontId="56" fillId="0" borderId="17" xfId="4" applyFont="1" applyBorder="1" applyAlignment="1">
      <alignment horizontal="center"/>
    </xf>
    <xf numFmtId="0" fontId="56" fillId="0" borderId="131" xfId="4" applyFont="1" applyBorder="1" applyAlignment="1">
      <alignment horizontal="center"/>
    </xf>
    <xf numFmtId="0" fontId="56" fillId="0" borderId="132" xfId="4" applyFont="1" applyBorder="1" applyAlignment="1">
      <alignment horizontal="center"/>
    </xf>
    <xf numFmtId="0" fontId="58" fillId="0" borderId="83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58" fillId="0" borderId="108" xfId="4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60" fillId="0" borderId="108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7.599999662488699E-3</c:v>
                </c:pt>
                <c:pt idx="2">
                  <c:v>3.7999998778104782E-2</c:v>
                </c:pt>
                <c:pt idx="3" formatCode="0.00">
                  <c:v>8.9090906083583832E-2</c:v>
                </c:pt>
                <c:pt idx="4" formatCode="0.00">
                  <c:v>0.14018182456493378</c:v>
                </c:pt>
                <c:pt idx="5" formatCode="0.00">
                  <c:v>0.19127273559570313</c:v>
                </c:pt>
                <c:pt idx="6" formatCode="0.00">
                  <c:v>0.29345455765724182</c:v>
                </c:pt>
                <c:pt idx="7" formatCode="0.00">
                  <c:v>0.39563637971878052</c:v>
                </c:pt>
                <c:pt idx="8" formatCode="0.00">
                  <c:v>0.49781817197799683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86.862422147083521</c:v>
                </c:pt>
                <c:pt idx="2">
                  <c:v>230</c:v>
                </c:pt>
                <c:pt idx="3">
                  <c:v>170.38776646818758</c:v>
                </c:pt>
                <c:pt idx="4">
                  <c:v>127.6008164415428</c:v>
                </c:pt>
                <c:pt idx="5">
                  <c:v>107.32464996412293</c:v>
                </c:pt>
                <c:pt idx="6">
                  <c:v>94.677804369522661</c:v>
                </c:pt>
                <c:pt idx="7">
                  <c:v>90.978706124607001</c:v>
                </c:pt>
                <c:pt idx="8">
                  <c:v>90.057749258861293</c:v>
                </c:pt>
                <c:pt idx="9">
                  <c:v>90</c:v>
                </c:pt>
                <c:pt idx="10">
                  <c:v>92.609164448093978</c:v>
                </c:pt>
                <c:pt idx="11">
                  <c:v>97.951578526679825</c:v>
                </c:pt>
                <c:pt idx="12">
                  <c:v>107.78911913386847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2-454B-9EFE-5B7C4665EABF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7.599999662488699E-3</c:v>
                </c:pt>
                <c:pt idx="2">
                  <c:v>3.7999998778104782E-2</c:v>
                </c:pt>
                <c:pt idx="3" formatCode="0.00">
                  <c:v>8.9090906083583832E-2</c:v>
                </c:pt>
                <c:pt idx="4" formatCode="0.00">
                  <c:v>0.14018182456493378</c:v>
                </c:pt>
                <c:pt idx="5" formatCode="0.00">
                  <c:v>0.19127273559570313</c:v>
                </c:pt>
                <c:pt idx="6" formatCode="0.00">
                  <c:v>0.29345455765724182</c:v>
                </c:pt>
                <c:pt idx="7" formatCode="0.00">
                  <c:v>0.39563637971878052</c:v>
                </c:pt>
                <c:pt idx="8" formatCode="0.00">
                  <c:v>0.49781817197799683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98.480003356933594</c:v>
                </c:pt>
                <c:pt idx="2">
                  <c:v>90.300003051757813</c:v>
                </c:pt>
                <c:pt idx="3">
                  <c:v>76.83636474609375</c:v>
                </c:pt>
                <c:pt idx="4">
                  <c:v>63.552726745605469</c:v>
                </c:pt>
                <c:pt idx="5">
                  <c:v>51.919998168945313</c:v>
                </c:pt>
                <c:pt idx="6">
                  <c:v>34.112724304199219</c:v>
                </c:pt>
                <c:pt idx="7">
                  <c:v>22.479997634887695</c:v>
                </c:pt>
                <c:pt idx="8">
                  <c:v>14.174546241760254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D2-454B-9EFE-5B7C4665E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893712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7.599999662488699E-3</c:v>
                </c:pt>
                <c:pt idx="2">
                  <c:v>3.7999998778104782E-2</c:v>
                </c:pt>
                <c:pt idx="3" formatCode="0.00">
                  <c:v>8.9090906083583832E-2</c:v>
                </c:pt>
                <c:pt idx="4" formatCode="0.00">
                  <c:v>0.14018182456493378</c:v>
                </c:pt>
                <c:pt idx="5" formatCode="0.00">
                  <c:v>0.19127273559570313</c:v>
                </c:pt>
                <c:pt idx="6" formatCode="0.00">
                  <c:v>0.29345455765724182</c:v>
                </c:pt>
                <c:pt idx="7" formatCode="0.00">
                  <c:v>0.39563637971878052</c:v>
                </c:pt>
                <c:pt idx="8" formatCode="0.00">
                  <c:v>0.49781817197799683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0.23912820219993591</c:v>
                </c:pt>
                <c:pt idx="1">
                  <c:v>127.35536193847656</c:v>
                </c:pt>
                <c:pt idx="2">
                  <c:v>447.22027587890625</c:v>
                </c:pt>
                <c:pt idx="3">
                  <c:v>574.68719482421875</c:v>
                </c:pt>
                <c:pt idx="4">
                  <c:v>615.63916015625</c:v>
                </c:pt>
                <c:pt idx="5">
                  <c:v>633.6265869140625</c:v>
                </c:pt>
                <c:pt idx="6">
                  <c:v>650.75689697265625</c:v>
                </c:pt>
                <c:pt idx="7">
                  <c:v>660.534912109375</c:v>
                </c:pt>
                <c:pt idx="8">
                  <c:v>668.11993408203125</c:v>
                </c:pt>
                <c:pt idx="9">
                  <c:v>674.7291259765625</c:v>
                </c:pt>
                <c:pt idx="10">
                  <c:v>680.41644287109375</c:v>
                </c:pt>
                <c:pt idx="11">
                  <c:v>685.5838623046875</c:v>
                </c:pt>
                <c:pt idx="12">
                  <c:v>690.24945068359375</c:v>
                </c:pt>
                <c:pt idx="13">
                  <c:v>694.38201904296875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D2-454B-9EFE-5B7C4665E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4089371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0893712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99.24000003375113</c:v>
                </c:pt>
                <c:pt idx="2">
                  <c:v>96.200000122189522</c:v>
                </c:pt>
                <c:pt idx="3">
                  <c:v>91.090909391641617</c:v>
                </c:pt>
                <c:pt idx="4">
                  <c:v>85.981817543506622</c:v>
                </c:pt>
                <c:pt idx="5">
                  <c:v>80.872726440429688</c:v>
                </c:pt>
                <c:pt idx="6">
                  <c:v>70.654544234275818</c:v>
                </c:pt>
                <c:pt idx="7">
                  <c:v>60.436362028121948</c:v>
                </c:pt>
                <c:pt idx="8">
                  <c:v>50.218182802200317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98.480003356933594</c:v>
                </c:pt>
                <c:pt idx="2">
                  <c:v>90.300003051757813</c:v>
                </c:pt>
                <c:pt idx="3">
                  <c:v>76.83636474609375</c:v>
                </c:pt>
                <c:pt idx="4">
                  <c:v>63.552726745605469</c:v>
                </c:pt>
                <c:pt idx="5">
                  <c:v>51.919998168945313</c:v>
                </c:pt>
                <c:pt idx="6">
                  <c:v>34.112724304199219</c:v>
                </c:pt>
                <c:pt idx="7">
                  <c:v>22.479997634887695</c:v>
                </c:pt>
                <c:pt idx="8">
                  <c:v>14.174546241760254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97-4FF3-A2F0-33FE0DA0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196800"/>
        <c:axId val="1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99.24000003375113</c:v>
                </c:pt>
                <c:pt idx="2">
                  <c:v>96.200000122189522</c:v>
                </c:pt>
                <c:pt idx="3">
                  <c:v>91.090909391641617</c:v>
                </c:pt>
                <c:pt idx="4">
                  <c:v>85.981817543506622</c:v>
                </c:pt>
                <c:pt idx="5">
                  <c:v>80.872726440429688</c:v>
                </c:pt>
                <c:pt idx="6">
                  <c:v>70.654544234275818</c:v>
                </c:pt>
                <c:pt idx="7">
                  <c:v>60.436362028121948</c:v>
                </c:pt>
                <c:pt idx="8">
                  <c:v>50.218182802200317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86.862422147083521</c:v>
                </c:pt>
                <c:pt idx="2">
                  <c:v>230</c:v>
                </c:pt>
                <c:pt idx="3">
                  <c:v>170.38776646818758</c:v>
                </c:pt>
                <c:pt idx="4">
                  <c:v>127.6008164415428</c:v>
                </c:pt>
                <c:pt idx="5">
                  <c:v>107.32464996412293</c:v>
                </c:pt>
                <c:pt idx="6">
                  <c:v>94.677804369522661</c:v>
                </c:pt>
                <c:pt idx="7">
                  <c:v>90.978706124607001</c:v>
                </c:pt>
                <c:pt idx="8">
                  <c:v>90.057749258861293</c:v>
                </c:pt>
                <c:pt idx="9">
                  <c:v>90</c:v>
                </c:pt>
                <c:pt idx="10">
                  <c:v>92.609164448093978</c:v>
                </c:pt>
                <c:pt idx="11">
                  <c:v>97.951578526679825</c:v>
                </c:pt>
                <c:pt idx="12">
                  <c:v>107.78911913386847</c:v>
                </c:pt>
                <c:pt idx="13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97-4FF3-A2F0-33FE0DA0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196800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99.24000003375113</c:v>
                </c:pt>
                <c:pt idx="2">
                  <c:v>96.200000122189522</c:v>
                </c:pt>
                <c:pt idx="3">
                  <c:v>91.090909391641617</c:v>
                </c:pt>
                <c:pt idx="4">
                  <c:v>85.981817543506622</c:v>
                </c:pt>
                <c:pt idx="5">
                  <c:v>80.872726440429688</c:v>
                </c:pt>
                <c:pt idx="6">
                  <c:v>70.654544234275818</c:v>
                </c:pt>
                <c:pt idx="7">
                  <c:v>60.436362028121948</c:v>
                </c:pt>
                <c:pt idx="8">
                  <c:v>50.218182802200317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0.23912820219993591</c:v>
                </c:pt>
                <c:pt idx="1">
                  <c:v>127.35536193847656</c:v>
                </c:pt>
                <c:pt idx="2">
                  <c:v>447.22027587890625</c:v>
                </c:pt>
                <c:pt idx="3">
                  <c:v>574.68719482421875</c:v>
                </c:pt>
                <c:pt idx="4">
                  <c:v>615.63916015625</c:v>
                </c:pt>
                <c:pt idx="5">
                  <c:v>633.6265869140625</c:v>
                </c:pt>
                <c:pt idx="6">
                  <c:v>650.75689697265625</c:v>
                </c:pt>
                <c:pt idx="7">
                  <c:v>660.534912109375</c:v>
                </c:pt>
                <c:pt idx="8">
                  <c:v>668.11993408203125</c:v>
                </c:pt>
                <c:pt idx="9">
                  <c:v>674.7291259765625</c:v>
                </c:pt>
                <c:pt idx="10">
                  <c:v>680.41644287109375</c:v>
                </c:pt>
                <c:pt idx="11">
                  <c:v>685.5838623046875</c:v>
                </c:pt>
                <c:pt idx="12">
                  <c:v>690.24945068359375</c:v>
                </c:pt>
                <c:pt idx="13">
                  <c:v>694.38201904296875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97-4FF3-A2F0-33FE0DA0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5119680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1196800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783349799906186"/>
          <c:w val="0.23762674402541786"/>
          <c:h val="0.11216650200093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694.38202247191009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10.04525865827288</c:v>
                </c:pt>
                <c:pt idx="1">
                  <c:v>13.454128153720109</c:v>
                </c:pt>
                <c:pt idx="2">
                  <c:v>19.373944541356952</c:v>
                </c:pt>
                <c:pt idx="3">
                  <c:v>30.271788345870245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34-472E-872E-34AB6E37EF55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694.38202247191009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5.8318764822823663</c:v>
                </c:pt>
                <c:pt idx="1">
                  <c:v>7.8109301351513221</c:v>
                </c:pt>
                <c:pt idx="2">
                  <c:v>11.247739394617902</c:v>
                </c:pt>
                <c:pt idx="3">
                  <c:v>17.574592804090475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34-472E-872E-34AB6E37EF55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230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53.155668216530728</c:v>
                </c:pt>
                <c:pt idx="3">
                  <c:v>86.788112612792474</c:v>
                </c:pt>
                <c:pt idx="4">
                  <c:v>133.74244226656245</c:v>
                </c:pt>
                <c:pt idx="5" formatCode="0">
                  <c:v>300</c:v>
                </c:pt>
                <c:pt idx="6" formatCode="0">
                  <c:v>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34-472E-872E-34AB6E37EF55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694.38202247191009</c:v>
                </c:pt>
                <c:pt idx="1">
                  <c:v>692.35955056179785</c:v>
                </c:pt>
                <c:pt idx="2">
                  <c:v>687.86516853932596</c:v>
                </c:pt>
                <c:pt idx="3">
                  <c:v>683.03370786516859</c:v>
                </c:pt>
                <c:pt idx="4">
                  <c:v>677.52808988764048</c:v>
                </c:pt>
                <c:pt idx="5">
                  <c:v>671.4606741573034</c:v>
                </c:pt>
                <c:pt idx="6">
                  <c:v>664.38202247190998</c:v>
                </c:pt>
                <c:pt idx="7">
                  <c:v>655.61797752808991</c:v>
                </c:pt>
                <c:pt idx="8">
                  <c:v>642.24719101123594</c:v>
                </c:pt>
                <c:pt idx="9">
                  <c:v>624.60674157303367</c:v>
                </c:pt>
                <c:pt idx="10">
                  <c:v>595.16853932584274</c:v>
                </c:pt>
                <c:pt idx="11">
                  <c:v>510.89887640449439</c:v>
                </c:pt>
                <c:pt idx="12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0.48199999332427979</c:v>
                </c:pt>
                <c:pt idx="2">
                  <c:v>0.97699999809265137</c:v>
                </c:pt>
                <c:pt idx="3">
                  <c:v>1.4900000095367432</c:v>
                </c:pt>
                <c:pt idx="4">
                  <c:v>2.0269999504089355</c:v>
                </c:pt>
                <c:pt idx="5">
                  <c:v>2.6129999160766602</c:v>
                </c:pt>
                <c:pt idx="6">
                  <c:v>3.2539999485015869</c:v>
                </c:pt>
                <c:pt idx="7">
                  <c:v>3.9709999561309814</c:v>
                </c:pt>
                <c:pt idx="8">
                  <c:v>4.7680001258850098</c:v>
                </c:pt>
                <c:pt idx="9">
                  <c:v>5.1550002098083496</c:v>
                </c:pt>
                <c:pt idx="10">
                  <c:v>5.448000431060791</c:v>
                </c:pt>
                <c:pt idx="11">
                  <c:v>5.6460003852844238</c:v>
                </c:pt>
                <c:pt idx="12">
                  <c:v>5.8370003700256348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34-472E-872E-34AB6E37E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910112"/>
        <c:axId val="1"/>
      </c:scatterChart>
      <c:valAx>
        <c:axId val="84091011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91011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86.400001525878906</c:v>
                </c:pt>
                <c:pt idx="2">
                  <c:v>91.699996948242188</c:v>
                </c:pt>
                <c:pt idx="3">
                  <c:v>93.300003051757813</c:v>
                </c:pt>
                <c:pt idx="4">
                  <c:v>94</c:v>
                </c:pt>
                <c:pt idx="5">
                  <c:v>94.199996948242188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C9-479E-AB3E-616343FA1FF5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66.900001525878906</c:v>
                </c:pt>
                <c:pt idx="1">
                  <c:v>83.600006103515625</c:v>
                </c:pt>
                <c:pt idx="2">
                  <c:v>88.599998474121094</c:v>
                </c:pt>
                <c:pt idx="3">
                  <c:v>90.200004577636719</c:v>
                </c:pt>
                <c:pt idx="4">
                  <c:v>90.5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C9-479E-AB3E-616343FA1FF5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80.612182617229564</c:v>
                </c:pt>
                <c:pt idx="2">
                  <c:v>62.500000000010239</c:v>
                </c:pt>
                <c:pt idx="3">
                  <c:v>43.877563476561363</c:v>
                </c:pt>
                <c:pt idx="4">
                  <c:v>25</c:v>
                </c:pt>
                <c:pt idx="5">
                  <c:v>5.6121826171920475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C9-479E-AB3E-616343FA1FF5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1.1502857142857144</c:v>
                </c:pt>
                <c:pt idx="1">
                  <c:v>10.802785714285715</c:v>
                </c:pt>
                <c:pt idx="2">
                  <c:v>20.354664285714286</c:v>
                </c:pt>
                <c:pt idx="3">
                  <c:v>29.97287142857143</c:v>
                </c:pt>
                <c:pt idx="4">
                  <c:v>39.664814285714286</c:v>
                </c:pt>
                <c:pt idx="5">
                  <c:v>49.47945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C9-479E-AB3E-616343FA1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786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22</c:v>
                </c:pt>
                <c:pt idx="1">
                  <c:v>32.630001068115234</c:v>
                </c:pt>
                <c:pt idx="2">
                  <c:v>49.200000762939453</c:v>
                </c:pt>
                <c:pt idx="3">
                  <c:v>68.360000610351563</c:v>
                </c:pt>
                <c:pt idx="4">
                  <c:v>88.860000610351563</c:v>
                </c:pt>
                <c:pt idx="5">
                  <c:v>110.48000335693359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C9-479E-AB3E-616343FA1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62908786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908786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200150" y="6296025"/>
          <a:ext cx="942975" cy="1076325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3370.3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367.0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281.0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1.90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37.00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11.1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6.0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17.00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22.00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13.36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71550" y="9077325"/>
          <a:ext cx="1266825" cy="885825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190625" y="7562850"/>
          <a:ext cx="828675" cy="1114425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685800</xdr:colOff>
      <xdr:row>28</xdr:row>
      <xdr:rowOff>200025</xdr:rowOff>
    </xdr:from>
    <xdr:to>
      <xdr:col>4</xdr:col>
      <xdr:colOff>731623</xdr:colOff>
      <xdr:row>29</xdr:row>
      <xdr:rowOff>133350</xdr:rowOff>
    </xdr:to>
    <xdr:sp macro="" textlink="">
      <xdr:nvSpPr>
        <xdr:cNvPr id="122" name="Text 219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381250" y="66675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685800</xdr:colOff>
      <xdr:row>34</xdr:row>
      <xdr:rowOff>209550</xdr:rowOff>
    </xdr:from>
    <xdr:to>
      <xdr:col>4</xdr:col>
      <xdr:colOff>731623</xdr:colOff>
      <xdr:row>35</xdr:row>
      <xdr:rowOff>142875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381250" y="80486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685800</xdr:colOff>
      <xdr:row>40</xdr:row>
      <xdr:rowOff>152400</xdr:rowOff>
    </xdr:from>
    <xdr:to>
      <xdr:col>4</xdr:col>
      <xdr:colOff>731623</xdr:colOff>
      <xdr:row>41</xdr:row>
      <xdr:rowOff>85725</xdr:rowOff>
    </xdr:to>
    <xdr:sp macro="" textlink="">
      <xdr:nvSpPr>
        <xdr:cNvPr id="124" name="Text 21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381250" y="93630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0.73652</cdr:x>
      <cdr:y>0.70424</cdr:y>
    </cdr:from>
    <cdr:to>
      <cdr:x>0.97237</cdr:x>
      <cdr:y>0.72493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07434" y="45345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0.70558</cdr:x>
      <cdr:y>0.62816</cdr:y>
    </cdr:from>
    <cdr:to>
      <cdr:x>0.9884</cdr:x>
      <cdr:y>0.65329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26459" y="40446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0.72848</cdr:x>
      <cdr:y>0.79018</cdr:y>
    </cdr:from>
    <cdr:to>
      <cdr:x>0.97392</cdr:x>
      <cdr:y>0.81531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60409" y="5087863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436ED02-EF8D-4FD8-AABB-AA6BD0F9ABB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A77E416-CDAD-4BBD-A865-A4B8CA20BA8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3596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CA8864E-4593-4E02-90E8-BA6DE55C805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3592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FB31DE5-AC5D-4351-8CBB-CCD53ED8980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3588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250D22D-99A4-4ECC-BB31-DB6B1DBE091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3584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F1B4A5A-8E8A-43AC-BED5-782FA525C43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3580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F3810BE-D138-449F-A209-12A90C17643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3576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2A78392-6C92-471F-A54A-B8BC4E992CB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3572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9757892-31D1-4B45-A5B2-C391051939C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3568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9E8E03D-388B-4120-B659-ADD30E79C67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3564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3B1314C-565E-46DF-BC40-BDAC44E037C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AF6B89F-5418-484F-B501-7DA810B9EC6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1400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AD1285E-F6B0-4DC3-9B98-8CBCE5E6252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700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A8A3A3B-3F3F-4197-85C4-6221FC7D673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560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07D5A21-BDDC-4D94-AF7A-80464BA9342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420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399E2F3-039F-497D-A1F4-C0D844602AE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280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24501E6-9188-41F1-8997-CD3A3F10075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140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9584616-D001-4452-8BE8-0001A75BBFC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840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5AA23F8-921D-41B2-A91C-56FC200FC97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980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29E187D-22C8-4285-ABB6-90501EAD9C7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1120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29B14F6-53FB-497D-9DE8-F54366C6C79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1260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962025</xdr:colOff>
      <xdr:row>18</xdr:row>
      <xdr:rowOff>161925</xdr:rowOff>
    </xdr:from>
    <xdr:to>
      <xdr:col>4</xdr:col>
      <xdr:colOff>180975</xdr:colOff>
      <xdr:row>19</xdr:row>
      <xdr:rowOff>95250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305300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962025</xdr:colOff>
      <xdr:row>23</xdr:row>
      <xdr:rowOff>28575</xdr:rowOff>
    </xdr:from>
    <xdr:to>
      <xdr:col>3</xdr:col>
      <xdr:colOff>190500</xdr:colOff>
      <xdr:row>23</xdr:row>
      <xdr:rowOff>171450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3190875" y="55911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1085850</xdr:colOff>
      <xdr:row>30</xdr:row>
      <xdr:rowOff>0</xdr:rowOff>
    </xdr:from>
    <xdr:to>
      <xdr:col>2</xdr:col>
      <xdr:colOff>409575</xdr:colOff>
      <xdr:row>30</xdr:row>
      <xdr:rowOff>152400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2200275" y="72294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561975</xdr:colOff>
      <xdr:row>31</xdr:row>
      <xdr:rowOff>180975</xdr:rowOff>
    </xdr:from>
    <xdr:to>
      <xdr:col>2</xdr:col>
      <xdr:colOff>1066800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2790825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AFC707C-496F-4929-B98D-C6817EA1360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topLeftCell="A26" zoomScale="95" zoomScaleNormal="95" workbookViewId="0">
      <selection activeCell="P45" sqref="P45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218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219</v>
      </c>
    </row>
    <row r="3" spans="1:10" ht="15" customHeight="1" thickBot="1">
      <c r="A3" s="47" t="s">
        <v>1</v>
      </c>
      <c r="B3" s="94" t="s">
        <v>217</v>
      </c>
      <c r="C3" s="1"/>
      <c r="D3" s="47"/>
      <c r="E3" s="1"/>
      <c r="F3" s="1"/>
      <c r="G3" s="47" t="s">
        <v>2</v>
      </c>
      <c r="H3" s="172">
        <v>44739</v>
      </c>
      <c r="I3" s="47" t="s">
        <v>3</v>
      </c>
      <c r="J3" s="173">
        <v>0.56106481481481485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700.00001636331262</v>
      </c>
      <c r="C5" s="138">
        <v>3600</v>
      </c>
      <c r="D5" s="48" t="s">
        <v>194</v>
      </c>
      <c r="E5" s="156">
        <v>4000</v>
      </c>
      <c r="F5" s="138">
        <v>60</v>
      </c>
      <c r="G5" s="48">
        <v>105</v>
      </c>
      <c r="H5" s="76" t="s">
        <v>252</v>
      </c>
      <c r="I5" s="75" t="s">
        <v>257</v>
      </c>
      <c r="J5" s="48" t="s">
        <v>195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24.543671874999998</v>
      </c>
      <c r="J7" s="104" t="s">
        <v>19</v>
      </c>
    </row>
    <row r="8" spans="1:10" ht="15" customHeight="1">
      <c r="A8" s="9" t="s">
        <v>20</v>
      </c>
      <c r="B8" s="67">
        <v>3.2999999523162842</v>
      </c>
      <c r="C8" s="50"/>
      <c r="D8" s="5"/>
      <c r="E8" s="49"/>
      <c r="F8" s="3"/>
      <c r="G8" s="15"/>
      <c r="H8" s="9" t="s">
        <v>21</v>
      </c>
      <c r="I8" s="66">
        <v>30.456888323673823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202</v>
      </c>
      <c r="F9" s="105" t="s">
        <v>25</v>
      </c>
      <c r="G9" s="29"/>
      <c r="H9" s="9" t="s">
        <v>26</v>
      </c>
      <c r="I9" s="67">
        <v>27.500280099336912</v>
      </c>
      <c r="J9" s="102">
        <v>665.00006078198021</v>
      </c>
    </row>
    <row r="10" spans="1:10" ht="15" customHeight="1">
      <c r="A10" s="9" t="s">
        <v>27</v>
      </c>
      <c r="B10" s="67">
        <v>375</v>
      </c>
      <c r="C10" s="71">
        <v>375</v>
      </c>
      <c r="D10" s="5"/>
      <c r="E10" s="49"/>
      <c r="F10" s="114" t="s">
        <v>212</v>
      </c>
      <c r="G10" s="112" t="s">
        <v>213</v>
      </c>
      <c r="H10" s="9" t="s">
        <v>28</v>
      </c>
      <c r="I10" s="66">
        <v>14.338922976528664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368.40000009536743</v>
      </c>
      <c r="D11" s="9" t="s">
        <v>31</v>
      </c>
      <c r="E11" s="66">
        <v>0.62493749999999992</v>
      </c>
      <c r="F11" s="115"/>
      <c r="G11" s="111" t="s">
        <v>214</v>
      </c>
      <c r="H11" s="9" t="s">
        <v>32</v>
      </c>
      <c r="I11" s="66">
        <v>30.456888323673823</v>
      </c>
      <c r="J11" s="102">
        <v>25887.641705968334</v>
      </c>
    </row>
    <row r="12" spans="1:10" ht="15" customHeight="1">
      <c r="A12" s="9" t="s">
        <v>33</v>
      </c>
      <c r="B12" s="67">
        <v>375</v>
      </c>
      <c r="C12" s="71">
        <v>185</v>
      </c>
      <c r="D12" s="9" t="s">
        <v>34</v>
      </c>
      <c r="E12" s="151" t="s">
        <v>175</v>
      </c>
      <c r="F12" s="121"/>
      <c r="G12" s="113" t="s">
        <v>208</v>
      </c>
      <c r="H12" s="9" t="s">
        <v>35</v>
      </c>
      <c r="I12" s="66">
        <v>1.1789163438632333</v>
      </c>
      <c r="J12" s="101" t="s">
        <v>36</v>
      </c>
    </row>
    <row r="13" spans="1:10" ht="15" customHeight="1" thickBot="1">
      <c r="A13" s="9" t="s">
        <v>37</v>
      </c>
      <c r="B13" s="67">
        <v>85</v>
      </c>
      <c r="C13" s="71">
        <v>54.700000047683716</v>
      </c>
      <c r="D13" s="9" t="s">
        <v>38</v>
      </c>
      <c r="E13" s="68">
        <v>16</v>
      </c>
      <c r="F13" s="121"/>
      <c r="G13" s="113" t="s">
        <v>209</v>
      </c>
      <c r="H13" s="9" t="s">
        <v>40</v>
      </c>
      <c r="I13" s="66">
        <v>1</v>
      </c>
      <c r="J13" s="102">
        <v>88.324958801269531</v>
      </c>
    </row>
    <row r="14" spans="1:10" ht="15" customHeight="1" thickBot="1">
      <c r="A14" s="158" t="s">
        <v>41</v>
      </c>
      <c r="B14" s="131">
        <v>311.54998779296875</v>
      </c>
      <c r="C14" s="132">
        <v>311.54998779296875</v>
      </c>
      <c r="D14" s="9" t="s">
        <v>42</v>
      </c>
      <c r="E14" s="49" t="s">
        <v>203</v>
      </c>
      <c r="F14" s="49"/>
      <c r="G14" s="113"/>
      <c r="H14" s="47" t="s">
        <v>43</v>
      </c>
      <c r="I14" s="66">
        <v>1.1789163438632333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175</v>
      </c>
      <c r="F15" s="49"/>
      <c r="G15" s="113"/>
      <c r="H15" s="9" t="s">
        <v>47</v>
      </c>
      <c r="I15" s="66">
        <v>0.83141460458883965</v>
      </c>
      <c r="J15" s="102">
        <v>18.042724609375</v>
      </c>
    </row>
    <row r="16" spans="1:10" ht="15" customHeight="1">
      <c r="A16" s="9" t="s">
        <v>48</v>
      </c>
      <c r="B16" s="49">
        <v>48</v>
      </c>
      <c r="C16" s="50">
        <v>38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0.9554364713800827</v>
      </c>
      <c r="J16" s="103" t="s">
        <v>51</v>
      </c>
    </row>
    <row r="17" spans="1:17" ht="15" customHeight="1" thickBot="1">
      <c r="A17" s="9" t="s">
        <v>52</v>
      </c>
      <c r="B17" s="49" t="s">
        <v>196</v>
      </c>
      <c r="C17" s="50" t="s">
        <v>197</v>
      </c>
      <c r="D17" s="47" t="s">
        <v>53</v>
      </c>
      <c r="E17" s="49" t="s">
        <v>204</v>
      </c>
      <c r="F17" s="49"/>
      <c r="G17" s="113"/>
      <c r="H17" s="9" t="s">
        <v>54</v>
      </c>
      <c r="I17" s="66">
        <v>0.79436383606222771</v>
      </c>
      <c r="J17" s="102">
        <v>575.78969765309921</v>
      </c>
    </row>
    <row r="18" spans="1:17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1070</v>
      </c>
      <c r="F18" s="68">
        <v>460</v>
      </c>
      <c r="G18" s="72"/>
      <c r="H18" s="12" t="s">
        <v>57</v>
      </c>
      <c r="I18" s="129" t="s">
        <v>215</v>
      </c>
      <c r="J18" s="130"/>
    </row>
    <row r="19" spans="1:17" ht="15" customHeight="1">
      <c r="A19" s="9" t="s">
        <v>58</v>
      </c>
      <c r="B19" s="67">
        <v>62.5</v>
      </c>
      <c r="C19" s="71">
        <v>37</v>
      </c>
      <c r="D19" s="9" t="s">
        <v>59</v>
      </c>
      <c r="E19" s="68">
        <v>256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198</v>
      </c>
      <c r="C20" s="71"/>
      <c r="D20" s="9" t="s">
        <v>167</v>
      </c>
      <c r="E20" s="163">
        <v>0.16505931764253121</v>
      </c>
      <c r="F20" s="49"/>
      <c r="G20" s="50"/>
      <c r="H20" s="9" t="s">
        <v>63</v>
      </c>
      <c r="I20" s="66">
        <v>18.533136367797852</v>
      </c>
      <c r="J20" s="70">
        <v>18.533136367797852</v>
      </c>
    </row>
    <row r="21" spans="1:17" ht="15" customHeight="1">
      <c r="A21" s="9" t="s">
        <v>64</v>
      </c>
      <c r="B21" s="67">
        <v>14.5</v>
      </c>
      <c r="C21" s="71">
        <v>0</v>
      </c>
      <c r="D21" s="9" t="s">
        <v>205</v>
      </c>
      <c r="E21" s="65">
        <v>0.22018718404573415</v>
      </c>
      <c r="F21" s="65">
        <v>0.16096428036689758</v>
      </c>
      <c r="G21" s="69">
        <v>7.597196988880138E-2</v>
      </c>
      <c r="H21" s="9" t="s">
        <v>65</v>
      </c>
      <c r="I21" s="66">
        <v>47.6103515625</v>
      </c>
      <c r="J21" s="70">
        <v>20.993072509765625</v>
      </c>
    </row>
    <row r="22" spans="1:17" ht="15" customHeight="1">
      <c r="A22" s="9" t="s">
        <v>66</v>
      </c>
      <c r="B22" s="67">
        <v>2.8299999237060547</v>
      </c>
      <c r="C22" s="71">
        <v>1.8999999761581421</v>
      </c>
      <c r="D22" s="9" t="s">
        <v>67</v>
      </c>
      <c r="E22" s="49" t="s">
        <v>206</v>
      </c>
      <c r="F22" s="49" t="s">
        <v>207</v>
      </c>
      <c r="G22" s="50" t="s">
        <v>207</v>
      </c>
      <c r="H22" s="9" t="s">
        <v>68</v>
      </c>
      <c r="I22" s="66">
        <v>4.3345351219177246</v>
      </c>
      <c r="J22" s="70">
        <v>4.1995682716369629</v>
      </c>
    </row>
    <row r="23" spans="1:17" ht="15" customHeight="1">
      <c r="A23" s="9" t="s">
        <v>69</v>
      </c>
      <c r="B23" s="67">
        <v>10.043671607971191</v>
      </c>
      <c r="C23" s="71">
        <v>11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31.108683420096963</v>
      </c>
      <c r="J23" s="15" t="s">
        <v>216</v>
      </c>
    </row>
    <row r="24" spans="1:17" ht="15" customHeight="1">
      <c r="A24" s="9" t="s">
        <v>72</v>
      </c>
      <c r="B24" s="67">
        <v>0</v>
      </c>
      <c r="C24" s="71">
        <v>2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7.2923365179922683</v>
      </c>
      <c r="J24" s="70">
        <v>7.1048931446942465</v>
      </c>
    </row>
    <row r="25" spans="1:17" ht="15" customHeight="1">
      <c r="A25" s="9" t="s">
        <v>75</v>
      </c>
      <c r="B25" s="49" t="s">
        <v>175</v>
      </c>
      <c r="C25" s="71">
        <v>2</v>
      </c>
      <c r="D25" s="107" t="s">
        <v>76</v>
      </c>
      <c r="E25" s="51"/>
      <c r="F25" s="51"/>
      <c r="G25" s="58"/>
      <c r="H25" s="9" t="s">
        <v>77</v>
      </c>
      <c r="I25" s="66">
        <v>0.45712342858314514</v>
      </c>
      <c r="J25" s="70">
        <v>1.1061253547668457</v>
      </c>
    </row>
    <row r="26" spans="1:17" ht="15" customHeight="1">
      <c r="A26" s="9" t="s">
        <v>78</v>
      </c>
      <c r="B26" s="51" t="s">
        <v>199</v>
      </c>
      <c r="C26" s="58" t="s">
        <v>200</v>
      </c>
      <c r="D26" s="9" t="s">
        <v>79</v>
      </c>
      <c r="E26" s="67">
        <v>211.19256248293408</v>
      </c>
      <c r="F26" s="67">
        <v>15.468533893238694</v>
      </c>
      <c r="G26" s="71">
        <v>18.629805113139785</v>
      </c>
      <c r="H26" s="9" t="s">
        <v>80</v>
      </c>
      <c r="I26" s="66">
        <v>6.1618876457214355</v>
      </c>
      <c r="J26" s="70">
        <v>4.6350235939025879</v>
      </c>
    </row>
    <row r="27" spans="1:17" ht="15" customHeight="1" thickBot="1">
      <c r="A27" s="9" t="s">
        <v>81</v>
      </c>
      <c r="B27" s="49" t="s">
        <v>201</v>
      </c>
      <c r="C27" s="50" t="s">
        <v>201</v>
      </c>
      <c r="D27" s="10" t="s">
        <v>82</v>
      </c>
      <c r="E27" s="78" t="s">
        <v>175</v>
      </c>
      <c r="F27" s="78" t="s">
        <v>175</v>
      </c>
      <c r="G27" s="80" t="s">
        <v>175</v>
      </c>
      <c r="H27" s="10" t="s">
        <v>83</v>
      </c>
      <c r="I27" s="77">
        <v>6.1788201332092285</v>
      </c>
      <c r="J27" s="79">
        <v>4.7651820182800293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35.085827473152662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3563.4</v>
      </c>
      <c r="N29" s="169" t="s">
        <v>187</v>
      </c>
      <c r="O29" s="169"/>
      <c r="P29" s="3" t="s">
        <v>193</v>
      </c>
      <c r="Q29" s="169"/>
    </row>
    <row r="30" spans="1:17" ht="15" customHeight="1" thickBot="1">
      <c r="A30" s="7"/>
      <c r="B30" s="61" t="s">
        <v>94</v>
      </c>
      <c r="C30" s="74">
        <v>35.095949130481337</v>
      </c>
      <c r="D30" s="9" t="s">
        <v>95</v>
      </c>
      <c r="E30" s="164">
        <v>52.621632500000004</v>
      </c>
      <c r="F30" s="164">
        <v>529.63497924804688</v>
      </c>
      <c r="G30" s="164">
        <v>16.097994533579907</v>
      </c>
      <c r="H30" s="165">
        <v>644.08539511327615</v>
      </c>
      <c r="I30" s="68">
        <v>48668.956667834245</v>
      </c>
      <c r="J30" s="72">
        <v>3734.1026332209799</v>
      </c>
      <c r="M30" s="170" t="str">
        <f>RIGHT(E$41,SEARCH("/",E$41,1)-1)</f>
        <v xml:space="preserve"> 3571.1</v>
      </c>
      <c r="N30" s="169" t="s">
        <v>188</v>
      </c>
      <c r="O30" s="169"/>
      <c r="P30" s="171">
        <f>G30*6.4516</f>
        <v>103.85782153284413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6.25</v>
      </c>
      <c r="F31" s="164">
        <v>750.98538404640283</v>
      </c>
      <c r="G31" s="164">
        <v>11.353165030707103</v>
      </c>
      <c r="H31" s="165">
        <v>21.846785139269905</v>
      </c>
      <c r="I31" s="68">
        <v>9387.3173005800345</v>
      </c>
      <c r="J31" s="72">
        <v>409.06742399456164</v>
      </c>
      <c r="M31" s="170" t="str">
        <f>RIGHT(D$41,SEARCH("/",D$41,1)-1)</f>
        <v xml:space="preserve"> 3578.5</v>
      </c>
      <c r="N31" s="169" t="s">
        <v>189</v>
      </c>
      <c r="O31" s="169"/>
      <c r="P31" s="171">
        <f>G31*6.4516</f>
        <v>73.246079512109944</v>
      </c>
      <c r="Q31" s="169"/>
    </row>
    <row r="32" spans="1:17" ht="15" customHeight="1">
      <c r="A32" s="5" t="s">
        <v>98</v>
      </c>
      <c r="B32" s="66" t="s">
        <v>259</v>
      </c>
      <c r="C32" s="108"/>
      <c r="D32" s="9" t="s">
        <v>99</v>
      </c>
      <c r="E32" s="164">
        <v>23.122102407490132</v>
      </c>
      <c r="F32" s="164">
        <v>532.95817941495579</v>
      </c>
      <c r="G32" s="164">
        <v>15.997617317904904</v>
      </c>
      <c r="H32" s="165">
        <v>275.58884938133747</v>
      </c>
      <c r="I32" s="8" t="s">
        <v>100</v>
      </c>
      <c r="J32" s="72">
        <v>4143.1700572155414</v>
      </c>
      <c r="M32" s="170" t="str">
        <f>RIGHT(C$41,SEARCH("/",C$41,1)-1)</f>
        <v xml:space="preserve"> 3585.8</v>
      </c>
      <c r="N32" s="169" t="s">
        <v>190</v>
      </c>
      <c r="O32" s="169"/>
      <c r="P32" s="171">
        <f>G32*6.4516</f>
        <v>103.21022788819528</v>
      </c>
      <c r="Q32" s="169"/>
    </row>
    <row r="33" spans="1:17" ht="15" customHeight="1">
      <c r="A33" s="5" t="s">
        <v>101</v>
      </c>
      <c r="B33" s="66" t="s">
        <v>260</v>
      </c>
      <c r="C33" s="109" t="s">
        <v>102</v>
      </c>
      <c r="D33" s="9" t="s">
        <v>97</v>
      </c>
      <c r="E33" s="164">
        <v>3.7</v>
      </c>
      <c r="F33" s="164">
        <v>651.13947448730471</v>
      </c>
      <c r="G33" s="164">
        <v>13.094062539275521</v>
      </c>
      <c r="H33" s="165">
        <v>19.522561429884043</v>
      </c>
      <c r="I33" s="8" t="s">
        <v>103</v>
      </c>
      <c r="J33" s="71" t="s">
        <v>227</v>
      </c>
      <c r="M33" s="170" t="str">
        <f>RIGHT(B$41,SEARCH("/",B$41,1)-1)</f>
        <v xml:space="preserve"> 3592.9</v>
      </c>
      <c r="N33" s="169" t="s">
        <v>191</v>
      </c>
      <c r="O33" s="169"/>
      <c r="P33" s="171">
        <f>G33*6.4516</f>
        <v>84.477653878389958</v>
      </c>
      <c r="Q33" s="169"/>
    </row>
    <row r="34" spans="1:17" ht="15" customHeight="1" thickBot="1">
      <c r="A34" s="16" t="s">
        <v>104</v>
      </c>
      <c r="B34" s="77" t="s">
        <v>261</v>
      </c>
      <c r="C34" s="162">
        <v>8.5260610007277648</v>
      </c>
      <c r="D34" s="10" t="s">
        <v>20</v>
      </c>
      <c r="E34" s="166">
        <v>0.32999999523162843</v>
      </c>
      <c r="F34" s="167">
        <v>1673.8348136591148</v>
      </c>
      <c r="G34" s="167">
        <v>5.0937290413318781</v>
      </c>
      <c r="H34" s="168">
        <v>1337.6431674333116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32.862702283056741</v>
      </c>
      <c r="Q34" s="169"/>
    </row>
    <row r="35" spans="1:17" ht="15" customHeight="1">
      <c r="A35" s="12" t="s">
        <v>106</v>
      </c>
      <c r="B35" s="13"/>
      <c r="C35" s="13"/>
      <c r="D35" s="133" t="s">
        <v>229</v>
      </c>
      <c r="E35" s="143" t="s">
        <v>228</v>
      </c>
      <c r="F35" s="14"/>
      <c r="G35" s="25" t="s">
        <v>107</v>
      </c>
      <c r="H35" s="83" t="s">
        <v>222</v>
      </c>
      <c r="I35" s="9" t="s">
        <v>108</v>
      </c>
      <c r="J35" s="72" t="s">
        <v>226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220</v>
      </c>
      <c r="I36" s="9" t="s">
        <v>111</v>
      </c>
      <c r="J36" s="72" t="s">
        <v>225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241</v>
      </c>
      <c r="C37" s="174" t="s">
        <v>242</v>
      </c>
      <c r="D37" s="174" t="s">
        <v>243</v>
      </c>
      <c r="E37" s="174" t="s">
        <v>244</v>
      </c>
      <c r="F37" s="175" t="s">
        <v>245</v>
      </c>
      <c r="G37" s="9" t="s">
        <v>113</v>
      </c>
      <c r="H37" s="72" t="s">
        <v>221</v>
      </c>
      <c r="I37" s="10" t="s">
        <v>114</v>
      </c>
      <c r="J37" s="81" t="s">
        <v>224</v>
      </c>
      <c r="O37" s="148"/>
    </row>
    <row r="38" spans="1:17" ht="15" customHeight="1" thickBot="1">
      <c r="A38" s="9" t="s">
        <v>115</v>
      </c>
      <c r="B38" s="176" t="s">
        <v>231</v>
      </c>
      <c r="C38" s="176" t="s">
        <v>232</v>
      </c>
      <c r="D38" s="176" t="s">
        <v>233</v>
      </c>
      <c r="E38" s="176" t="s">
        <v>234</v>
      </c>
      <c r="F38" s="177" t="s">
        <v>235</v>
      </c>
      <c r="G38" s="16" t="s">
        <v>116</v>
      </c>
      <c r="H38" s="81" t="s">
        <v>223</v>
      </c>
      <c r="I38" s="134" t="s">
        <v>230</v>
      </c>
      <c r="J38" s="82">
        <v>6306.296875</v>
      </c>
      <c r="L38" t="str">
        <f>LEFT(E38,SEARCH("/",E38,1)-1)</f>
        <v xml:space="preserve">0.950 </v>
      </c>
      <c r="M38" t="str">
        <f>RIGHT(E38,SEARCH("/",E38,1)-1)</f>
        <v xml:space="preserve"> 0.940</v>
      </c>
      <c r="N38" s="149">
        <f>M38/L38</f>
        <v>0.98947368421052628</v>
      </c>
      <c r="O38" s="148" t="s">
        <v>178</v>
      </c>
    </row>
    <row r="39" spans="1:17" ht="15" customHeight="1">
      <c r="A39" s="9" t="s">
        <v>117</v>
      </c>
      <c r="B39" s="176" t="s">
        <v>236</v>
      </c>
      <c r="C39" s="176" t="s">
        <v>237</v>
      </c>
      <c r="D39" s="176" t="s">
        <v>238</v>
      </c>
      <c r="E39" s="176" t="s">
        <v>239</v>
      </c>
      <c r="F39" s="177" t="s">
        <v>240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0.898 </v>
      </c>
      <c r="M39" t="str">
        <f>RIGHT(E39,SEARCH("/",E39,1)-1)</f>
        <v xml:space="preserve"> 0.902</v>
      </c>
      <c r="N39" s="149">
        <f>M39/L39</f>
        <v>1.0044543429844097</v>
      </c>
      <c r="O39" s="148" t="s">
        <v>179</v>
      </c>
    </row>
    <row r="40" spans="1:17" ht="15" customHeight="1">
      <c r="A40" s="9" t="s">
        <v>119</v>
      </c>
      <c r="B40" s="178" t="s">
        <v>254</v>
      </c>
      <c r="C40" s="178" t="s">
        <v>255</v>
      </c>
      <c r="D40" s="178" t="s">
        <v>256</v>
      </c>
      <c r="E40" s="178" t="s">
        <v>257</v>
      </c>
      <c r="F40" s="179" t="s">
        <v>258</v>
      </c>
      <c r="G40" s="34" t="s">
        <v>121</v>
      </c>
      <c r="H40" s="89" t="s">
        <v>262</v>
      </c>
      <c r="I40" s="53"/>
      <c r="J40" s="54"/>
      <c r="L40" t="str">
        <f>LEFT(E37,SEARCH("/",E37,1)-1)</f>
        <v xml:space="preserve">88.32 </v>
      </c>
      <c r="M40" t="str">
        <f>RIGHT(E37,SEARCH("/",E37,1)-1)</f>
        <v xml:space="preserve"> 88.86</v>
      </c>
      <c r="N40" s="149">
        <f>M40/L40</f>
        <v>1.0061141304347827</v>
      </c>
      <c r="O40" s="148" t="s">
        <v>177</v>
      </c>
    </row>
    <row r="41" spans="1:17" ht="15" customHeight="1">
      <c r="A41" s="9" t="s">
        <v>5</v>
      </c>
      <c r="B41" s="180" t="s">
        <v>249</v>
      </c>
      <c r="C41" s="180" t="s">
        <v>250</v>
      </c>
      <c r="D41" s="180" t="s">
        <v>251</v>
      </c>
      <c r="E41" s="180" t="s">
        <v>252</v>
      </c>
      <c r="F41" s="181" t="s">
        <v>253</v>
      </c>
      <c r="G41" s="35" t="s">
        <v>122</v>
      </c>
      <c r="H41" s="90" t="s">
        <v>263</v>
      </c>
      <c r="I41" s="55"/>
      <c r="J41" s="56"/>
      <c r="L41" t="str">
        <f>LEFT(E41,SEARCH("/",E41,1)-1)</f>
        <v xml:space="preserve">3570.6 </v>
      </c>
      <c r="M41" t="str">
        <f>RIGHT(E41,SEARCH("/",E41,1)-1)</f>
        <v xml:space="preserve"> 3571.1</v>
      </c>
      <c r="N41" s="149">
        <f>M41/L41</f>
        <v>1.0001400324875371</v>
      </c>
      <c r="O41" s="148" t="s">
        <v>5</v>
      </c>
    </row>
    <row r="42" spans="1:17" ht="15" customHeight="1">
      <c r="A42" s="9" t="s">
        <v>123</v>
      </c>
      <c r="B42" s="176">
        <v>13.794994911688613</v>
      </c>
      <c r="C42" s="176">
        <v>11.703412832345798</v>
      </c>
      <c r="D42" s="176">
        <v>10.67357599535352</v>
      </c>
      <c r="E42" s="176">
        <v>10.064387571220296</v>
      </c>
      <c r="F42" s="177">
        <v>9.6680048800704519</v>
      </c>
      <c r="G42" s="34" t="s">
        <v>124</v>
      </c>
      <c r="H42" s="89" t="s">
        <v>264</v>
      </c>
      <c r="I42" s="53"/>
      <c r="J42" s="95">
        <v>0.23213348704022713</v>
      </c>
    </row>
    <row r="43" spans="1:17" ht="15" customHeight="1" thickBot="1">
      <c r="A43" s="10" t="s">
        <v>125</v>
      </c>
      <c r="B43" s="182">
        <v>22.798207393802841</v>
      </c>
      <c r="C43" s="183"/>
      <c r="D43" s="184" t="s">
        <v>267</v>
      </c>
      <c r="E43" s="184"/>
      <c r="F43" s="185"/>
      <c r="G43" s="35" t="s">
        <v>122</v>
      </c>
      <c r="H43" s="90" t="s">
        <v>265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1182.7852746592696</v>
      </c>
      <c r="I44" s="88">
        <v>3.8427367586179817E-2</v>
      </c>
      <c r="J44" s="95">
        <v>0.63076518672548509</v>
      </c>
    </row>
    <row r="45" spans="1:17" ht="15" customHeight="1">
      <c r="A45" s="9" t="s">
        <v>129</v>
      </c>
      <c r="B45" s="66">
        <v>0.2668413519859314</v>
      </c>
      <c r="C45" s="159" t="s">
        <v>130</v>
      </c>
      <c r="D45" s="70">
        <v>8.3678355440497398E-3</v>
      </c>
      <c r="E45" s="9" t="s">
        <v>131</v>
      </c>
      <c r="F45" s="72">
        <v>227.55485732331948</v>
      </c>
      <c r="G45" s="36" t="s">
        <v>122</v>
      </c>
      <c r="H45" s="84" t="s">
        <v>266</v>
      </c>
      <c r="I45" s="57"/>
      <c r="J45" s="58"/>
    </row>
    <row r="46" spans="1:17" ht="15" customHeight="1">
      <c r="A46" s="9" t="s">
        <v>132</v>
      </c>
      <c r="B46" s="66">
        <v>0.21248424053192139</v>
      </c>
      <c r="C46" s="159" t="s">
        <v>133</v>
      </c>
      <c r="D46" s="70">
        <v>8.1704212352633476E-3</v>
      </c>
      <c r="E46" s="9" t="s">
        <v>134</v>
      </c>
      <c r="F46" s="72">
        <v>428.1856049952674</v>
      </c>
      <c r="G46" s="35" t="s">
        <v>135</v>
      </c>
      <c r="H46" s="92">
        <v>260.24772565223958</v>
      </c>
      <c r="I46" s="55"/>
      <c r="J46" s="56"/>
      <c r="L46" s="144" t="s">
        <v>180</v>
      </c>
      <c r="M46" s="146">
        <f>B5^0.95</f>
        <v>504.47906404005028</v>
      </c>
    </row>
    <row r="47" spans="1:17" ht="15" customHeight="1">
      <c r="A47" s="9" t="s">
        <v>136</v>
      </c>
      <c r="B47" s="66">
        <v>0.47932559251785278</v>
      </c>
      <c r="C47" s="159" t="s">
        <v>137</v>
      </c>
      <c r="D47" s="70">
        <v>1.9149750471115112E-2</v>
      </c>
      <c r="E47" s="9" t="s">
        <v>138</v>
      </c>
      <c r="F47" s="72">
        <v>184.19222345013321</v>
      </c>
      <c r="G47" s="62" t="s">
        <v>139</v>
      </c>
      <c r="H47" s="91">
        <v>1138.2368520684781</v>
      </c>
      <c r="I47" s="88">
        <v>3.6930367326875338E-2</v>
      </c>
      <c r="J47" s="93">
        <v>0.64417866368855436</v>
      </c>
      <c r="L47" s="144" t="s">
        <v>181</v>
      </c>
      <c r="M47" s="146">
        <f>B5^1.5</f>
        <v>18520.259826850965</v>
      </c>
    </row>
    <row r="48" spans="1:17" ht="15" customHeight="1">
      <c r="A48" s="9" t="s">
        <v>140</v>
      </c>
      <c r="B48" s="66">
        <v>1.3181158341467381E-2</v>
      </c>
      <c r="C48" s="159" t="s">
        <v>100</v>
      </c>
      <c r="D48" s="70">
        <v>4.8869166523218155E-2</v>
      </c>
      <c r="E48" s="9" t="s">
        <v>141</v>
      </c>
      <c r="F48" s="72">
        <v>39.516636573094338</v>
      </c>
      <c r="G48" s="63" t="s">
        <v>122</v>
      </c>
      <c r="H48" s="84">
        <v>217.96951847201663</v>
      </c>
      <c r="I48" s="57"/>
      <c r="J48" s="58"/>
      <c r="L48" s="144" t="s">
        <v>182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0" t="s">
        <v>142</v>
      </c>
      <c r="D49" s="79">
        <v>0.95113080739974976</v>
      </c>
      <c r="E49" s="10" t="s">
        <v>143</v>
      </c>
      <c r="F49" s="81">
        <v>99.495328892824602</v>
      </c>
      <c r="G49" s="64" t="s">
        <v>135</v>
      </c>
      <c r="H49" s="92">
        <v>255.0309927607826</v>
      </c>
      <c r="I49" s="55"/>
      <c r="J49" s="59"/>
      <c r="L49" s="144" t="s">
        <v>183</v>
      </c>
      <c r="M49" s="145">
        <f>IF(A5="",0,(7200/(1000*A5))^1.8)</f>
        <v>10.031006258647469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27</v>
      </c>
    </row>
    <row r="51" spans="1:13" ht="15" customHeight="1">
      <c r="A51" s="9" t="s">
        <v>146</v>
      </c>
      <c r="B51" s="49">
        <v>38</v>
      </c>
      <c r="C51" s="8" t="s">
        <v>147</v>
      </c>
      <c r="D51" s="67">
        <v>6</v>
      </c>
      <c r="E51" s="8" t="s">
        <v>148</v>
      </c>
      <c r="F51" s="71">
        <v>11</v>
      </c>
      <c r="G51" s="8" t="s">
        <v>149</v>
      </c>
      <c r="H51" s="65">
        <v>6.3644394909898677E-2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37</v>
      </c>
      <c r="C52" s="8" t="s">
        <v>151</v>
      </c>
      <c r="D52" s="67">
        <v>9.1000000238418579</v>
      </c>
      <c r="E52" s="8" t="s">
        <v>152</v>
      </c>
      <c r="F52" s="71">
        <v>0</v>
      </c>
      <c r="G52" s="8" t="s">
        <v>169</v>
      </c>
      <c r="H52" s="67">
        <v>45465.717623539349</v>
      </c>
      <c r="I52" s="96" t="s">
        <v>246</v>
      </c>
      <c r="J52" s="60"/>
      <c r="L52" s="144" t="s">
        <v>192</v>
      </c>
      <c r="M52" s="161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17.002901077270508</v>
      </c>
      <c r="E53" s="8" t="s">
        <v>154</v>
      </c>
      <c r="F53" s="71">
        <v>0</v>
      </c>
      <c r="G53" s="8" t="s">
        <v>170</v>
      </c>
      <c r="H53" s="66">
        <v>24.68216691371244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503.15183352839767</v>
      </c>
    </row>
    <row r="54" spans="1:13" ht="15" customHeight="1">
      <c r="A54" s="9" t="s">
        <v>66</v>
      </c>
      <c r="B54" s="67">
        <v>1.8999999761581421</v>
      </c>
      <c r="C54" s="8" t="s">
        <v>156</v>
      </c>
      <c r="D54" s="67">
        <v>13.35695953849817</v>
      </c>
      <c r="E54" s="8" t="s">
        <v>154</v>
      </c>
      <c r="F54" s="71">
        <v>11</v>
      </c>
      <c r="G54" s="8" t="s">
        <v>171</v>
      </c>
      <c r="H54" s="68">
        <v>150381.5</v>
      </c>
      <c r="I54" s="97" t="s">
        <v>247</v>
      </c>
      <c r="J54" s="98" t="s">
        <v>210</v>
      </c>
      <c r="L54" s="144" t="s">
        <v>407</v>
      </c>
      <c r="M54">
        <f>M53/2</f>
        <v>251.57591676419884</v>
      </c>
    </row>
    <row r="55" spans="1:13" ht="15" customHeight="1">
      <c r="A55" s="9" t="s">
        <v>157</v>
      </c>
      <c r="B55" s="67">
        <v>6</v>
      </c>
      <c r="C55" s="8" t="s">
        <v>158</v>
      </c>
      <c r="D55" s="67">
        <v>22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</row>
    <row r="56" spans="1:13" ht="15" customHeight="1" thickBot="1">
      <c r="A56" s="10" t="s">
        <v>162</v>
      </c>
      <c r="B56" s="78">
        <v>2</v>
      </c>
      <c r="C56" s="20" t="s">
        <v>163</v>
      </c>
      <c r="D56" s="78">
        <v>23.481341959194946</v>
      </c>
      <c r="E56" s="20" t="s">
        <v>164</v>
      </c>
      <c r="F56" s="80">
        <v>0</v>
      </c>
      <c r="G56" s="20" t="s">
        <v>165</v>
      </c>
      <c r="H56" s="77">
        <v>0.68740624999999989</v>
      </c>
      <c r="I56" s="99" t="s">
        <v>248</v>
      </c>
      <c r="J56" s="59" t="s">
        <v>211</v>
      </c>
    </row>
    <row r="57" spans="1:13" ht="15" customHeight="1">
      <c r="A57" s="22" t="s">
        <v>406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404</v>
      </c>
      <c r="D58" s="3" t="s">
        <v>119</v>
      </c>
      <c r="E58" s="3" t="s">
        <v>166</v>
      </c>
      <c r="F58" s="15" t="s">
        <v>405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0.23912820219993591</v>
      </c>
      <c r="D59" s="125">
        <v>0.69999998807907104</v>
      </c>
      <c r="E59" s="84">
        <v>92.609164448093978</v>
      </c>
      <c r="F59" s="85">
        <v>680.41644287109375</v>
      </c>
      <c r="G59" s="119"/>
      <c r="H59" s="31"/>
      <c r="I59" s="31"/>
      <c r="J59" s="44"/>
    </row>
    <row r="60" spans="1:13" ht="15" customHeight="1">
      <c r="A60" s="127">
        <v>7.599999662488699E-3</v>
      </c>
      <c r="B60" s="84">
        <v>86.862422147083521</v>
      </c>
      <c r="C60" s="85">
        <v>127.35536193847656</v>
      </c>
      <c r="D60" s="125">
        <v>0.80000001192092896</v>
      </c>
      <c r="E60" s="84">
        <v>97.951578526679825</v>
      </c>
      <c r="F60" s="85">
        <v>685.5838623046875</v>
      </c>
      <c r="G60" s="119"/>
      <c r="H60" s="31"/>
      <c r="I60" s="31"/>
      <c r="J60" s="44"/>
    </row>
    <row r="61" spans="1:13" ht="15" customHeight="1">
      <c r="A61" s="127">
        <v>3.7999998778104782E-2</v>
      </c>
      <c r="B61" s="84">
        <v>230</v>
      </c>
      <c r="C61" s="85">
        <v>447.22027587890625</v>
      </c>
      <c r="D61" s="125">
        <v>0.89999997615814209</v>
      </c>
      <c r="E61" s="84">
        <v>107.78911913386847</v>
      </c>
      <c r="F61" s="85">
        <v>690.24945068359375</v>
      </c>
      <c r="G61" s="119"/>
      <c r="H61" s="31"/>
      <c r="I61" s="31"/>
      <c r="J61" s="44"/>
    </row>
    <row r="62" spans="1:13" ht="15" customHeight="1">
      <c r="A62" s="123">
        <v>8.9090906083583832E-2</v>
      </c>
      <c r="B62" s="84">
        <v>170.38776646818758</v>
      </c>
      <c r="C62" s="85">
        <v>574.68719482421875</v>
      </c>
      <c r="D62" s="126">
        <v>1</v>
      </c>
      <c r="E62" s="84">
        <v>125</v>
      </c>
      <c r="F62" s="85">
        <v>694.38201904296875</v>
      </c>
      <c r="G62" s="119"/>
      <c r="H62" s="31"/>
      <c r="I62" s="31"/>
      <c r="J62" s="44"/>
    </row>
    <row r="63" spans="1:13" ht="15" customHeight="1" thickBot="1">
      <c r="A63" s="123">
        <v>0.14018182456493378</v>
      </c>
      <c r="B63" s="84">
        <v>127.6008164415428</v>
      </c>
      <c r="C63" s="85">
        <v>615.63916015625</v>
      </c>
      <c r="D63" s="370"/>
      <c r="E63" s="86"/>
      <c r="F63" s="371"/>
      <c r="G63" s="119"/>
      <c r="H63" s="31"/>
      <c r="I63" s="31"/>
      <c r="J63" s="44"/>
    </row>
    <row r="64" spans="1:13" ht="15" customHeight="1">
      <c r="A64" s="123">
        <v>0.19127273559570313</v>
      </c>
      <c r="B64" s="84">
        <v>107.32464996412293</v>
      </c>
      <c r="C64" s="85">
        <v>633.6265869140625</v>
      </c>
      <c r="D64" s="372" t="s">
        <v>415</v>
      </c>
      <c r="E64" s="373"/>
      <c r="F64" s="373"/>
      <c r="G64" s="119"/>
      <c r="H64" s="31"/>
      <c r="I64" s="31"/>
      <c r="J64" s="44"/>
    </row>
    <row r="65" spans="1:13" ht="15" customHeight="1">
      <c r="A65" s="123">
        <v>0.29345455765724182</v>
      </c>
      <c r="B65" s="84">
        <v>94.677804369522661</v>
      </c>
      <c r="C65" s="85">
        <v>650.75689697265625</v>
      </c>
      <c r="D65" s="374" t="s">
        <v>409</v>
      </c>
      <c r="E65" s="376" t="s">
        <v>413</v>
      </c>
      <c r="F65" s="376"/>
      <c r="G65" s="119"/>
      <c r="H65" s="31"/>
      <c r="I65" s="31"/>
      <c r="J65" s="44"/>
    </row>
    <row r="66" spans="1:13" ht="15" customHeight="1">
      <c r="A66" s="123">
        <v>0.39563637971878052</v>
      </c>
      <c r="B66" s="84">
        <v>90.978706124607001</v>
      </c>
      <c r="C66" s="85">
        <v>660.534912109375</v>
      </c>
      <c r="D66" s="374" t="s">
        <v>410</v>
      </c>
      <c r="E66" s="376" t="s">
        <v>414</v>
      </c>
      <c r="F66" s="376"/>
      <c r="G66" s="119"/>
      <c r="H66" s="31"/>
      <c r="I66" s="31"/>
      <c r="J66" s="44"/>
    </row>
    <row r="67" spans="1:13" ht="15" customHeight="1">
      <c r="A67" s="123">
        <v>0.49781817197799683</v>
      </c>
      <c r="B67" s="84">
        <v>90.057749258861293</v>
      </c>
      <c r="C67" s="85">
        <v>668.11993408203125</v>
      </c>
      <c r="D67" s="374" t="s">
        <v>411</v>
      </c>
      <c r="E67" s="376" t="s">
        <v>416</v>
      </c>
      <c r="F67" s="376"/>
      <c r="G67" s="119"/>
      <c r="H67" s="31"/>
      <c r="I67" s="31"/>
      <c r="J67" s="44"/>
    </row>
    <row r="68" spans="1:13" ht="15" customHeight="1" thickBot="1">
      <c r="A68" s="124">
        <v>0.60000002384185791</v>
      </c>
      <c r="B68" s="86">
        <v>90</v>
      </c>
      <c r="C68" s="87">
        <v>674.7291259765625</v>
      </c>
      <c r="D68" s="375" t="s">
        <v>412</v>
      </c>
      <c r="E68" s="377" t="s">
        <v>417</v>
      </c>
      <c r="F68" s="377"/>
      <c r="G68" s="120"/>
      <c r="H68" s="45"/>
      <c r="I68" s="45"/>
      <c r="J68" s="46"/>
    </row>
    <row r="69" spans="1:13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3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M70">
        <f>87.4/118.8*126</f>
        <v>92.696969696969703</v>
      </c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9" t="s">
        <v>408</v>
      </c>
      <c r="B99" s="369"/>
      <c r="C99" s="369"/>
      <c r="D99" s="369"/>
      <c r="E99" s="369"/>
      <c r="F99" s="369"/>
      <c r="G99" s="369"/>
      <c r="H99" s="369"/>
      <c r="I99" s="369"/>
    </row>
    <row r="100" spans="1:9">
      <c r="A100" s="369">
        <v>100</v>
      </c>
      <c r="B100" s="369"/>
      <c r="C100" s="369"/>
      <c r="D100" s="369"/>
      <c r="E100" s="369"/>
      <c r="F100" s="369"/>
      <c r="G100" s="369"/>
      <c r="H100" s="369"/>
      <c r="I100" s="369"/>
    </row>
    <row r="101" spans="1:9">
      <c r="A101" s="369">
        <v>98.480003356933594</v>
      </c>
      <c r="B101" s="369"/>
      <c r="C101" s="369"/>
      <c r="D101" s="369"/>
      <c r="E101" s="369"/>
      <c r="F101" s="369"/>
      <c r="G101" s="369"/>
      <c r="H101" s="369"/>
      <c r="I101" s="369"/>
    </row>
    <row r="102" spans="1:9">
      <c r="A102" s="369">
        <v>90.300003051757813</v>
      </c>
      <c r="B102" s="369"/>
      <c r="C102" s="369"/>
      <c r="D102" s="369"/>
      <c r="E102" s="369"/>
      <c r="F102" s="369"/>
      <c r="G102" s="369"/>
      <c r="H102" s="369"/>
      <c r="I102" s="369"/>
    </row>
    <row r="103" spans="1:9">
      <c r="A103" s="369">
        <v>76.83636474609375</v>
      </c>
      <c r="B103" s="369"/>
      <c r="C103" s="369"/>
      <c r="D103" s="369"/>
      <c r="E103" s="369"/>
      <c r="F103" s="369"/>
      <c r="G103" s="369"/>
      <c r="H103" s="369"/>
      <c r="I103" s="369"/>
    </row>
    <row r="104" spans="1:9">
      <c r="A104" s="369">
        <v>63.552726745605469</v>
      </c>
      <c r="B104" s="369"/>
      <c r="C104" s="369"/>
      <c r="D104" s="369"/>
      <c r="E104" s="369"/>
      <c r="F104" s="369"/>
      <c r="G104" s="369"/>
      <c r="H104" s="369"/>
      <c r="I104" s="369"/>
    </row>
    <row r="105" spans="1:9">
      <c r="A105" s="369">
        <v>51.919998168945313</v>
      </c>
      <c r="B105" s="369"/>
      <c r="C105" s="369"/>
      <c r="D105" s="369"/>
      <c r="E105" s="369"/>
      <c r="F105" s="369"/>
      <c r="G105" s="369"/>
      <c r="H105" s="369"/>
      <c r="I105" s="369"/>
    </row>
    <row r="106" spans="1:9">
      <c r="A106" s="369">
        <v>34.112724304199219</v>
      </c>
      <c r="B106" s="369"/>
      <c r="C106" s="369"/>
      <c r="D106" s="369"/>
      <c r="E106" s="369"/>
      <c r="F106" s="369"/>
      <c r="G106" s="369"/>
      <c r="H106" s="369"/>
      <c r="I106" s="369"/>
    </row>
    <row r="107" spans="1:9">
      <c r="A107" s="369">
        <v>22.479997634887695</v>
      </c>
      <c r="B107" s="369"/>
      <c r="C107" s="369"/>
      <c r="D107" s="369"/>
      <c r="E107" s="369"/>
      <c r="F107" s="369"/>
      <c r="G107" s="369"/>
      <c r="H107" s="369"/>
      <c r="I107" s="369"/>
    </row>
    <row r="108" spans="1:9">
      <c r="A108" s="369">
        <v>14.174546241760254</v>
      </c>
      <c r="B108" s="369"/>
      <c r="C108" s="369"/>
      <c r="D108" s="369"/>
      <c r="E108" s="369"/>
      <c r="F108" s="369"/>
      <c r="G108" s="369"/>
      <c r="H108" s="369"/>
      <c r="I108" s="369"/>
    </row>
    <row r="109" spans="1:9">
      <c r="A109" s="369">
        <v>7.9999995231628418</v>
      </c>
      <c r="B109" s="369"/>
      <c r="C109" s="369"/>
      <c r="D109" s="369"/>
      <c r="E109" s="369"/>
      <c r="F109" s="369"/>
      <c r="G109" s="369"/>
      <c r="H109" s="369"/>
      <c r="I109" s="369"/>
    </row>
    <row r="110" spans="1:9">
      <c r="A110" s="369">
        <v>5.9999995231628418</v>
      </c>
      <c r="B110" s="369"/>
      <c r="C110" s="369"/>
      <c r="D110" s="369"/>
      <c r="E110" s="369"/>
      <c r="F110" s="369"/>
      <c r="G110" s="369"/>
      <c r="H110" s="369"/>
      <c r="I110" s="369"/>
    </row>
    <row r="111" spans="1:9">
      <c r="A111" s="369">
        <v>8.0000009536743164</v>
      </c>
      <c r="B111" s="369"/>
      <c r="C111" s="369"/>
      <c r="D111" s="369"/>
      <c r="E111" s="369"/>
      <c r="F111" s="369"/>
      <c r="G111" s="369"/>
      <c r="H111" s="369"/>
      <c r="I111" s="369"/>
    </row>
    <row r="112" spans="1:9">
      <c r="A112" s="369">
        <v>14.999996185302734</v>
      </c>
      <c r="B112" s="369"/>
      <c r="C112" s="369"/>
      <c r="D112" s="369"/>
      <c r="E112" s="369"/>
      <c r="F112" s="369"/>
      <c r="G112" s="369"/>
      <c r="H112" s="369"/>
      <c r="I112" s="369"/>
    </row>
    <row r="113" spans="1:9">
      <c r="A113" s="369">
        <v>30</v>
      </c>
      <c r="B113" s="369"/>
      <c r="C113" s="369"/>
      <c r="D113" s="369"/>
      <c r="E113" s="369"/>
      <c r="F113" s="369"/>
      <c r="G113" s="369"/>
      <c r="H113" s="369"/>
      <c r="I113" s="369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opLeftCell="A19" workbookViewId="0">
      <selection activeCell="S45" sqref="S45"/>
    </sheetView>
  </sheetViews>
  <sheetFormatPr defaultRowHeight="15.75"/>
  <cols>
    <col min="1" max="1" width="12.140625" style="328" customWidth="1"/>
    <col min="2" max="2" width="6.140625" style="328" customWidth="1"/>
    <col min="3" max="3" width="7.140625" style="328" customWidth="1"/>
    <col min="4" max="4" width="12.85546875" style="328" customWidth="1"/>
    <col min="5" max="5" width="12.5703125" style="328" customWidth="1"/>
    <col min="6" max="6" width="9.42578125" style="328" customWidth="1"/>
    <col min="7" max="7" width="5.7109375" style="328" customWidth="1"/>
    <col min="8" max="8" width="7.85546875" style="328" customWidth="1"/>
    <col min="9" max="9" width="6.5703125" style="328" customWidth="1"/>
    <col min="10" max="11" width="12" style="328" customWidth="1"/>
    <col min="12" max="26" width="9.140625" style="186"/>
    <col min="27" max="16384" width="9.140625" style="187"/>
  </cols>
  <sheetData>
    <row r="1" spans="1:26" ht="20.25" customHeight="1">
      <c r="A1" s="600" t="s">
        <v>268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</row>
    <row r="2" spans="1:26" ht="20.25" customHeight="1">
      <c r="A2" s="601" t="s">
        <v>269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</row>
    <row r="3" spans="1:26" ht="18.75" customHeight="1" thickBot="1">
      <c r="A3" s="189" t="s">
        <v>1</v>
      </c>
      <c r="B3" s="190" t="s">
        <v>380</v>
      </c>
      <c r="C3" s="191"/>
      <c r="D3" s="191"/>
      <c r="E3" s="191"/>
      <c r="F3" s="188"/>
      <c r="G3" s="191"/>
      <c r="H3" s="191"/>
      <c r="I3" s="189" t="s">
        <v>270</v>
      </c>
      <c r="J3" s="602" t="s">
        <v>402</v>
      </c>
      <c r="K3" s="602"/>
    </row>
    <row r="4" spans="1:26" s="200" customFormat="1" ht="18.399999999999999" customHeight="1" thickBot="1">
      <c r="A4" s="192" t="s">
        <v>381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271</v>
      </c>
      <c r="R4" s="198"/>
      <c r="S4" s="196"/>
      <c r="T4" s="197" t="s">
        <v>272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603" t="s">
        <v>273</v>
      </c>
      <c r="B5" s="604"/>
      <c r="C5" s="604"/>
      <c r="D5" s="201"/>
      <c r="E5" s="202"/>
      <c r="F5" s="203" t="s">
        <v>274</v>
      </c>
      <c r="G5" s="191"/>
      <c r="H5" s="191"/>
      <c r="I5" s="204"/>
      <c r="J5" s="205" t="s">
        <v>275</v>
      </c>
      <c r="K5" s="206" t="s">
        <v>276</v>
      </c>
      <c r="L5" s="196"/>
      <c r="M5" s="196"/>
      <c r="N5" s="196"/>
      <c r="O5" s="196"/>
      <c r="P5" s="196"/>
      <c r="Q5" s="207" t="s">
        <v>277</v>
      </c>
      <c r="R5" s="208"/>
      <c r="S5" s="196"/>
      <c r="T5" s="207" t="s">
        <v>278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605" t="s">
        <v>67</v>
      </c>
      <c r="B6" s="606"/>
      <c r="C6" s="606"/>
      <c r="D6" s="607" t="s">
        <v>278</v>
      </c>
      <c r="E6" s="608"/>
      <c r="F6" s="554" t="s">
        <v>280</v>
      </c>
      <c r="G6" s="555"/>
      <c r="H6" s="555"/>
      <c r="I6" s="555"/>
      <c r="J6" s="555"/>
      <c r="K6" s="556"/>
      <c r="L6" s="196"/>
      <c r="M6" s="196"/>
      <c r="N6" s="196"/>
      <c r="O6" s="196"/>
      <c r="P6" s="196"/>
      <c r="Q6" s="207" t="s">
        <v>281</v>
      </c>
      <c r="R6" s="208"/>
      <c r="S6" s="196"/>
      <c r="T6" s="207" t="s">
        <v>282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596" t="s">
        <v>20</v>
      </c>
      <c r="B7" s="597"/>
      <c r="C7" s="597"/>
      <c r="D7" s="598">
        <v>3.2999999523162802</v>
      </c>
      <c r="E7" s="599"/>
      <c r="F7" s="210" t="s">
        <v>283</v>
      </c>
      <c r="G7" s="211"/>
      <c r="H7" s="212"/>
      <c r="I7" s="213"/>
      <c r="J7" s="214">
        <v>22</v>
      </c>
      <c r="K7" s="215">
        <v>19.399999999999999</v>
      </c>
      <c r="L7" s="196"/>
      <c r="M7" s="196"/>
      <c r="N7" s="196"/>
      <c r="O7" s="196"/>
      <c r="P7" s="196"/>
      <c r="Q7" s="207" t="s">
        <v>284</v>
      </c>
      <c r="R7" s="208"/>
      <c r="S7" s="196"/>
      <c r="T7" s="207" t="s">
        <v>279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596" t="s">
        <v>285</v>
      </c>
      <c r="B8" s="597"/>
      <c r="C8" s="597"/>
      <c r="D8" s="584">
        <v>375</v>
      </c>
      <c r="E8" s="580"/>
      <c r="F8" s="216" t="s">
        <v>286</v>
      </c>
      <c r="G8" s="217"/>
      <c r="H8" s="218"/>
      <c r="I8" s="219"/>
      <c r="J8" s="220">
        <v>16104</v>
      </c>
      <c r="K8" s="221">
        <v>15690</v>
      </c>
      <c r="L8" s="196"/>
      <c r="M8" s="196"/>
      <c r="N8" s="196"/>
      <c r="O8" s="196"/>
      <c r="P8" s="196"/>
      <c r="Q8" s="207" t="s">
        <v>287</v>
      </c>
      <c r="R8" s="208"/>
      <c r="S8" s="196"/>
      <c r="T8" s="207" t="s">
        <v>288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591" t="s">
        <v>289</v>
      </c>
      <c r="B9" s="592"/>
      <c r="C9" s="593"/>
      <c r="D9" s="584">
        <v>8</v>
      </c>
      <c r="E9" s="580"/>
      <c r="F9" s="210" t="s">
        <v>290</v>
      </c>
      <c r="G9" s="211"/>
      <c r="H9" s="222">
        <v>3</v>
      </c>
      <c r="I9" s="223" t="s">
        <v>291</v>
      </c>
      <c r="J9" s="224">
        <v>153</v>
      </c>
      <c r="K9" s="221">
        <v>125.5</v>
      </c>
      <c r="L9" s="196"/>
      <c r="M9" s="196"/>
      <c r="N9" s="196"/>
      <c r="O9" s="196"/>
      <c r="P9" s="196"/>
      <c r="Q9" s="207" t="s">
        <v>292</v>
      </c>
      <c r="R9" s="208"/>
      <c r="S9" s="196"/>
      <c r="T9" s="207" t="s">
        <v>293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591" t="s">
        <v>294</v>
      </c>
      <c r="B10" s="592"/>
      <c r="C10" s="593"/>
      <c r="D10" s="567" t="s">
        <v>203</v>
      </c>
      <c r="E10" s="568"/>
      <c r="F10" s="210" t="s">
        <v>295</v>
      </c>
      <c r="G10" s="211"/>
      <c r="H10" s="222">
        <v>3</v>
      </c>
      <c r="I10" s="223" t="s">
        <v>291</v>
      </c>
      <c r="J10" s="224">
        <v>1150</v>
      </c>
      <c r="K10" s="221" t="s">
        <v>175</v>
      </c>
      <c r="L10" s="196"/>
      <c r="M10" s="196"/>
      <c r="N10" s="196"/>
      <c r="O10" s="196"/>
      <c r="P10" s="196"/>
      <c r="Q10" s="207" t="s">
        <v>296</v>
      </c>
      <c r="R10" s="208"/>
      <c r="S10" s="196"/>
      <c r="T10" s="225" t="s">
        <v>297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591" t="s">
        <v>298</v>
      </c>
      <c r="B11" s="592"/>
      <c r="C11" s="593"/>
      <c r="D11" s="562" t="s">
        <v>175</v>
      </c>
      <c r="E11" s="563"/>
      <c r="F11" s="227" t="s">
        <v>299</v>
      </c>
      <c r="G11" s="228"/>
      <c r="H11" s="229">
        <v>3</v>
      </c>
      <c r="I11" s="223" t="s">
        <v>291</v>
      </c>
      <c r="J11" s="230">
        <v>25888</v>
      </c>
      <c r="K11" s="231">
        <v>50500</v>
      </c>
      <c r="L11" s="196"/>
      <c r="M11" s="196"/>
      <c r="N11" s="196"/>
      <c r="O11" s="196"/>
      <c r="P11" s="196"/>
      <c r="Q11" s="207" t="s">
        <v>300</v>
      </c>
      <c r="R11" s="208"/>
      <c r="S11" s="196"/>
      <c r="T11" s="197" t="s">
        <v>301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302</v>
      </c>
      <c r="C12" s="233"/>
      <c r="D12" s="594" t="s">
        <v>175</v>
      </c>
      <c r="E12" s="595"/>
      <c r="F12" s="564" t="s">
        <v>303</v>
      </c>
      <c r="G12" s="565"/>
      <c r="H12" s="565"/>
      <c r="I12" s="565"/>
      <c r="J12" s="565"/>
      <c r="K12" s="566"/>
      <c r="L12" s="196"/>
      <c r="M12" s="196"/>
      <c r="N12" s="196"/>
      <c r="O12" s="196"/>
      <c r="P12" s="196"/>
      <c r="Q12" s="225" t="s">
        <v>304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591" t="s">
        <v>53</v>
      </c>
      <c r="B13" s="592"/>
      <c r="C13" s="593"/>
      <c r="D13" s="587" t="s">
        <v>383</v>
      </c>
      <c r="E13" s="588"/>
      <c r="F13" s="235"/>
      <c r="G13" s="236" t="s">
        <v>305</v>
      </c>
      <c r="H13" s="237"/>
      <c r="I13" s="238" t="s">
        <v>306</v>
      </c>
      <c r="J13" s="239" t="s">
        <v>385</v>
      </c>
      <c r="K13" s="240" t="s">
        <v>175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591" t="s">
        <v>56</v>
      </c>
      <c r="B14" s="592"/>
      <c r="C14" s="593"/>
      <c r="D14" s="594">
        <v>1070</v>
      </c>
      <c r="E14" s="595"/>
      <c r="F14" s="235"/>
      <c r="G14" s="241" t="s">
        <v>10</v>
      </c>
      <c r="H14" s="242"/>
      <c r="I14" s="242"/>
      <c r="J14" s="224" t="s">
        <v>175</v>
      </c>
      <c r="K14" s="221" t="s">
        <v>175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81" t="s">
        <v>307</v>
      </c>
      <c r="B15" s="582"/>
      <c r="C15" s="583"/>
      <c r="D15" s="560">
        <v>10.140399932861328</v>
      </c>
      <c r="E15" s="561"/>
      <c r="F15" s="235"/>
      <c r="G15" s="241" t="s">
        <v>308</v>
      </c>
      <c r="H15" s="242"/>
      <c r="I15" s="242"/>
      <c r="J15" s="224" t="s">
        <v>175</v>
      </c>
      <c r="K15" s="221" t="s">
        <v>175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57" t="s">
        <v>309</v>
      </c>
      <c r="B16" s="558"/>
      <c r="C16" s="559"/>
      <c r="D16" s="560">
        <v>3.736799955368042</v>
      </c>
      <c r="E16" s="561"/>
      <c r="F16" s="244"/>
      <c r="G16" s="245" t="s">
        <v>17</v>
      </c>
      <c r="H16" s="246"/>
      <c r="I16" s="246"/>
      <c r="J16" s="230" t="s">
        <v>175</v>
      </c>
      <c r="K16" s="231" t="s">
        <v>175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7" t="s">
        <v>310</v>
      </c>
      <c r="B17" s="248"/>
      <c r="C17" s="249"/>
      <c r="D17" s="562" t="s">
        <v>382</v>
      </c>
      <c r="E17" s="563"/>
      <c r="F17" s="564" t="s">
        <v>311</v>
      </c>
      <c r="G17" s="565"/>
      <c r="H17" s="565"/>
      <c r="I17" s="565"/>
      <c r="J17" s="565"/>
      <c r="K17" s="56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50" t="s">
        <v>312</v>
      </c>
      <c r="B18" s="251"/>
      <c r="C18" s="249"/>
      <c r="D18" s="567" t="s">
        <v>175</v>
      </c>
      <c r="E18" s="568"/>
      <c r="F18" s="569"/>
      <c r="G18" s="570"/>
      <c r="H18" s="252" t="s">
        <v>313</v>
      </c>
      <c r="I18" s="253"/>
      <c r="J18" s="220">
        <v>89</v>
      </c>
      <c r="K18" s="221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75" t="s">
        <v>314</v>
      </c>
      <c r="B19" s="576"/>
      <c r="C19" s="577"/>
      <c r="D19" s="578" t="s">
        <v>175</v>
      </c>
      <c r="E19" s="563"/>
      <c r="F19" s="571"/>
      <c r="G19" s="572"/>
      <c r="H19" s="252" t="s">
        <v>5</v>
      </c>
      <c r="I19" s="213"/>
      <c r="J19" s="220">
        <v>3570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4" t="s">
        <v>315</v>
      </c>
      <c r="C20" s="255"/>
      <c r="D20" s="579" t="s">
        <v>202</v>
      </c>
      <c r="E20" s="580"/>
      <c r="F20" s="571"/>
      <c r="G20" s="572"/>
      <c r="H20" s="252" t="s">
        <v>316</v>
      </c>
      <c r="I20" s="213"/>
      <c r="J20" s="224" t="s">
        <v>387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81" t="s">
        <v>317</v>
      </c>
      <c r="B21" s="582"/>
      <c r="C21" s="583"/>
      <c r="D21" s="584" t="s">
        <v>175</v>
      </c>
      <c r="E21" s="580"/>
      <c r="F21" s="571"/>
      <c r="G21" s="572"/>
      <c r="H21" s="256" t="s">
        <v>318</v>
      </c>
      <c r="I21" s="213"/>
      <c r="J21" s="224">
        <v>1.1499999999999999</v>
      </c>
      <c r="K21" s="221"/>
      <c r="L21" s="196"/>
      <c r="M21" s="196"/>
      <c r="N21" s="196"/>
      <c r="O21" s="196"/>
      <c r="P21" s="196"/>
      <c r="Q21" s="197" t="s">
        <v>319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50" t="s">
        <v>320</v>
      </c>
      <c r="B22" s="257"/>
      <c r="C22" s="257"/>
      <c r="D22" s="585">
        <v>0.16339999999999999</v>
      </c>
      <c r="E22" s="586"/>
      <c r="F22" s="571"/>
      <c r="G22" s="572"/>
      <c r="H22" s="252" t="s">
        <v>275</v>
      </c>
      <c r="I22" s="213"/>
      <c r="J22" s="224" t="s">
        <v>175</v>
      </c>
      <c r="K22" s="221"/>
      <c r="L22" s="196"/>
      <c r="M22" s="196"/>
      <c r="N22" s="196"/>
      <c r="O22" s="196"/>
      <c r="P22" s="196"/>
      <c r="Q22" s="207" t="s">
        <v>322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8" t="s">
        <v>323</v>
      </c>
      <c r="B23" s="259" t="s">
        <v>324</v>
      </c>
      <c r="C23" s="260"/>
      <c r="D23" s="587">
        <v>12</v>
      </c>
      <c r="E23" s="588"/>
      <c r="F23" s="571"/>
      <c r="G23" s="572"/>
      <c r="H23" s="261" t="s">
        <v>325</v>
      </c>
      <c r="I23" s="262"/>
      <c r="J23" s="263" t="s">
        <v>175</v>
      </c>
      <c r="K23" s="264"/>
      <c r="L23" s="196"/>
      <c r="Q23" s="207" t="s">
        <v>326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5" t="s">
        <v>327</v>
      </c>
      <c r="B24" s="266" t="s">
        <v>328</v>
      </c>
      <c r="C24" s="267"/>
      <c r="D24" s="589" t="s">
        <v>175</v>
      </c>
      <c r="E24" s="590"/>
      <c r="F24" s="571"/>
      <c r="G24" s="572"/>
      <c r="H24" s="252" t="s">
        <v>329</v>
      </c>
      <c r="I24" s="233"/>
      <c r="J24" s="268" t="s">
        <v>175</v>
      </c>
      <c r="K24" s="269"/>
      <c r="Q24" s="270" t="s">
        <v>175</v>
      </c>
      <c r="R24" s="271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2" t="s">
        <v>330</v>
      </c>
      <c r="B25" s="273"/>
      <c r="C25" s="273"/>
      <c r="D25" s="274"/>
      <c r="E25" s="274" t="s">
        <v>331</v>
      </c>
      <c r="F25" s="571"/>
      <c r="G25" s="572"/>
      <c r="H25" s="252" t="s">
        <v>332</v>
      </c>
      <c r="I25" s="233"/>
      <c r="J25" s="275" t="s">
        <v>175</v>
      </c>
      <c r="K25" s="269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6" t="s">
        <v>333</v>
      </c>
      <c r="B26" s="277"/>
      <c r="C26" s="278"/>
      <c r="D26" s="279" t="s">
        <v>386</v>
      </c>
      <c r="E26" s="279" t="s">
        <v>388</v>
      </c>
      <c r="F26" s="573"/>
      <c r="G26" s="574"/>
      <c r="H26" s="536"/>
      <c r="I26" s="537"/>
      <c r="J26" s="280"/>
      <c r="K26" s="281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46" t="s">
        <v>334</v>
      </c>
      <c r="B27" s="547"/>
      <c r="C27" s="547"/>
      <c r="D27" s="547"/>
      <c r="E27" s="547"/>
      <c r="F27" s="554" t="s">
        <v>335</v>
      </c>
      <c r="G27" s="555"/>
      <c r="H27" s="555"/>
      <c r="I27" s="555"/>
      <c r="J27" s="555"/>
      <c r="K27" s="556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540"/>
      <c r="B28" s="541"/>
      <c r="C28" s="541"/>
      <c r="D28" s="541"/>
      <c r="E28" s="542"/>
      <c r="F28" s="282"/>
      <c r="G28" s="283"/>
      <c r="H28" s="241" t="s">
        <v>336</v>
      </c>
      <c r="I28" s="284" t="s">
        <v>384</v>
      </c>
      <c r="J28" s="220">
        <v>618</v>
      </c>
      <c r="K28" s="215" t="s">
        <v>175</v>
      </c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540"/>
      <c r="B29" s="541"/>
      <c r="C29" s="541"/>
      <c r="D29" s="541"/>
      <c r="E29" s="542"/>
      <c r="F29" s="285"/>
      <c r="G29" s="286"/>
      <c r="H29" s="241" t="s">
        <v>337</v>
      </c>
      <c r="I29" s="287">
        <v>60</v>
      </c>
      <c r="J29" s="220">
        <v>126</v>
      </c>
      <c r="K29" s="215" t="s">
        <v>175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540"/>
      <c r="B30" s="541"/>
      <c r="C30" s="541"/>
      <c r="D30" s="541"/>
      <c r="E30" s="542"/>
      <c r="F30" s="285"/>
      <c r="G30" s="286"/>
      <c r="H30" s="241" t="s">
        <v>338</v>
      </c>
      <c r="I30" s="287">
        <v>175</v>
      </c>
      <c r="J30" s="220">
        <v>230</v>
      </c>
      <c r="K30" s="215" t="s">
        <v>175</v>
      </c>
      <c r="L30" s="196"/>
      <c r="M30" s="288"/>
      <c r="N30" s="288"/>
      <c r="O30" s="288"/>
      <c r="P30" s="288"/>
      <c r="Q30" s="288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540"/>
      <c r="B31" s="541"/>
      <c r="C31" s="541"/>
      <c r="D31" s="541"/>
      <c r="E31" s="542"/>
      <c r="F31" s="285"/>
      <c r="G31" s="286"/>
      <c r="H31" s="241" t="s">
        <v>339</v>
      </c>
      <c r="I31" s="242"/>
      <c r="J31" s="289">
        <v>0.8</v>
      </c>
      <c r="K31" s="215" t="s">
        <v>175</v>
      </c>
      <c r="L31" s="196"/>
      <c r="M31" s="288"/>
      <c r="N31" s="288"/>
      <c r="O31" s="288"/>
      <c r="P31" s="288"/>
      <c r="Q31" s="288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543"/>
      <c r="B32" s="544"/>
      <c r="C32" s="544"/>
      <c r="D32" s="544"/>
      <c r="E32" s="545"/>
      <c r="F32" s="285"/>
      <c r="G32" s="290" t="s">
        <v>340</v>
      </c>
      <c r="H32" s="241" t="s">
        <v>341</v>
      </c>
      <c r="I32" s="291"/>
      <c r="J32" s="214">
        <v>94</v>
      </c>
      <c r="K32" s="215" t="s">
        <v>175</v>
      </c>
      <c r="L32" s="196"/>
      <c r="M32" s="288"/>
      <c r="N32" s="288"/>
      <c r="O32" s="288"/>
      <c r="P32" s="288"/>
      <c r="Q32" s="288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46" t="s">
        <v>342</v>
      </c>
      <c r="B33" s="547"/>
      <c r="C33" s="547"/>
      <c r="D33" s="547"/>
      <c r="E33" s="548"/>
      <c r="F33" s="292"/>
      <c r="G33" s="293"/>
      <c r="H33" s="294" t="s">
        <v>343</v>
      </c>
      <c r="I33" s="295"/>
      <c r="J33" s="296">
        <v>90.2</v>
      </c>
      <c r="K33" s="297" t="s">
        <v>175</v>
      </c>
      <c r="L33" s="196"/>
      <c r="M33" s="288"/>
      <c r="N33" s="288"/>
      <c r="O33" s="288"/>
      <c r="P33" s="288"/>
      <c r="Q33" s="288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540"/>
      <c r="B34" s="541"/>
      <c r="C34" s="541"/>
      <c r="D34" s="541"/>
      <c r="E34" s="542"/>
      <c r="F34" s="216" t="s">
        <v>344</v>
      </c>
      <c r="G34" s="298"/>
      <c r="H34" s="299" t="s">
        <v>14</v>
      </c>
      <c r="I34" s="300"/>
      <c r="J34" s="301">
        <v>5345</v>
      </c>
      <c r="K34" s="302" t="s">
        <v>175</v>
      </c>
      <c r="L34" s="303"/>
      <c r="M34" s="288"/>
      <c r="N34" s="288"/>
      <c r="O34" s="288"/>
      <c r="P34" s="288"/>
      <c r="Q34" s="288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540"/>
      <c r="B35" s="541"/>
      <c r="C35" s="541"/>
      <c r="D35" s="541"/>
      <c r="E35" s="542"/>
      <c r="F35" s="235"/>
      <c r="G35" s="304"/>
      <c r="H35" s="305" t="s">
        <v>15</v>
      </c>
      <c r="I35" s="243"/>
      <c r="J35" s="220">
        <v>4349</v>
      </c>
      <c r="K35" s="215" t="s">
        <v>175</v>
      </c>
      <c r="M35" s="288"/>
      <c r="N35" s="288"/>
      <c r="O35" s="288"/>
      <c r="P35" s="288"/>
      <c r="Q35" s="288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540"/>
      <c r="B36" s="541"/>
      <c r="C36" s="541"/>
      <c r="D36" s="541"/>
      <c r="E36" s="542"/>
      <c r="F36" s="235"/>
      <c r="G36" s="304"/>
      <c r="H36" s="305" t="s">
        <v>345</v>
      </c>
      <c r="I36" s="243"/>
      <c r="J36" s="220">
        <v>3917</v>
      </c>
      <c r="K36" s="215" t="s">
        <v>175</v>
      </c>
      <c r="M36" s="288"/>
      <c r="N36" s="288"/>
      <c r="O36" s="288"/>
      <c r="P36" s="288"/>
      <c r="Q36" s="288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540"/>
      <c r="B37" s="541"/>
      <c r="C37" s="541"/>
      <c r="D37" s="541"/>
      <c r="E37" s="542"/>
      <c r="F37" s="285"/>
      <c r="G37" s="304"/>
      <c r="H37" s="305" t="s">
        <v>346</v>
      </c>
      <c r="I37" s="243"/>
      <c r="J37" s="220">
        <v>13436</v>
      </c>
      <c r="K37" s="215" t="s">
        <v>175</v>
      </c>
      <c r="M37" s="288"/>
      <c r="N37" s="288"/>
      <c r="O37" s="288"/>
      <c r="P37" s="288"/>
      <c r="Q37" s="288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543"/>
      <c r="B38" s="544"/>
      <c r="C38" s="544"/>
      <c r="D38" s="544"/>
      <c r="E38" s="545"/>
      <c r="F38" s="244"/>
      <c r="G38" s="306"/>
      <c r="H38" s="307" t="s">
        <v>347</v>
      </c>
      <c r="I38" s="308"/>
      <c r="J38" s="309">
        <v>6306</v>
      </c>
      <c r="K38" s="310" t="s">
        <v>175</v>
      </c>
      <c r="M38" s="288"/>
      <c r="N38" s="288"/>
      <c r="O38" s="288"/>
      <c r="P38" s="288"/>
      <c r="Q38" s="288"/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46" t="s">
        <v>348</v>
      </c>
      <c r="B39" s="547"/>
      <c r="C39" s="547"/>
      <c r="D39" s="547"/>
      <c r="E39" s="547"/>
      <c r="F39" s="311" t="s">
        <v>349</v>
      </c>
      <c r="G39" s="312" t="s">
        <v>402</v>
      </c>
      <c r="H39" s="312"/>
      <c r="I39" s="312"/>
      <c r="J39" s="312"/>
      <c r="K39" s="313"/>
      <c r="L39" s="200" t="s">
        <v>721</v>
      </c>
      <c r="M39" s="288"/>
      <c r="N39" s="288"/>
      <c r="O39" s="288"/>
      <c r="P39" s="288"/>
      <c r="Q39" s="288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540"/>
      <c r="B40" s="541"/>
      <c r="C40" s="541"/>
      <c r="D40" s="541"/>
      <c r="E40" s="542"/>
      <c r="F40" s="314" t="s">
        <v>399</v>
      </c>
      <c r="G40" s="315" t="s">
        <v>400</v>
      </c>
      <c r="H40" s="315"/>
      <c r="I40" s="315"/>
      <c r="J40" s="315"/>
      <c r="K40" s="316"/>
      <c r="M40" s="288"/>
      <c r="N40" s="288"/>
      <c r="O40" s="288"/>
      <c r="P40" s="288"/>
      <c r="Q40" s="288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540"/>
      <c r="B41" s="541"/>
      <c r="C41" s="541"/>
      <c r="D41" s="541"/>
      <c r="E41" s="542"/>
      <c r="F41" s="314"/>
      <c r="G41" s="317" t="s">
        <v>401</v>
      </c>
      <c r="H41" s="317"/>
      <c r="I41" s="317"/>
      <c r="J41" s="317"/>
      <c r="K41" s="318"/>
      <c r="L41" s="319"/>
      <c r="M41" s="288"/>
      <c r="N41" s="288"/>
      <c r="O41" s="288"/>
      <c r="P41" s="288"/>
      <c r="Q41" s="288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540"/>
      <c r="B42" s="541"/>
      <c r="C42" s="541"/>
      <c r="D42" s="541"/>
      <c r="E42" s="542"/>
      <c r="F42" s="314"/>
      <c r="G42" s="317" t="s">
        <v>389</v>
      </c>
      <c r="H42" s="317"/>
      <c r="I42" s="317"/>
      <c r="J42" s="317"/>
      <c r="K42" s="318"/>
      <c r="L42" s="196"/>
      <c r="M42" s="288"/>
      <c r="N42" s="288"/>
      <c r="O42" s="288"/>
      <c r="P42" s="288"/>
      <c r="Q42" s="288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540"/>
      <c r="B43" s="541"/>
      <c r="C43" s="541"/>
      <c r="D43" s="541"/>
      <c r="E43" s="542"/>
      <c r="F43" s="314"/>
      <c r="G43" s="317" t="s">
        <v>390</v>
      </c>
      <c r="H43" s="317"/>
      <c r="I43" s="317"/>
      <c r="J43" s="317"/>
      <c r="K43" s="318"/>
      <c r="L43" s="196"/>
      <c r="M43" s="288"/>
      <c r="N43" s="288"/>
      <c r="O43" s="288"/>
      <c r="P43" s="288"/>
      <c r="Q43" s="288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549"/>
      <c r="B44" s="550"/>
      <c r="C44" s="550"/>
      <c r="D44" s="550"/>
      <c r="E44" s="551"/>
      <c r="F44" s="314"/>
      <c r="G44" s="317" t="s">
        <v>391</v>
      </c>
      <c r="H44" s="317"/>
      <c r="I44" s="317"/>
      <c r="J44" s="317"/>
      <c r="K44" s="318"/>
      <c r="L44" s="196"/>
      <c r="M44" s="288"/>
      <c r="N44" s="288"/>
      <c r="O44" s="288"/>
      <c r="P44" s="288"/>
      <c r="Q44" s="288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20" t="s">
        <v>350</v>
      </c>
      <c r="B45" s="552"/>
      <c r="C45" s="553"/>
      <c r="D45" s="321" t="s">
        <v>351</v>
      </c>
      <c r="E45" s="367" t="s">
        <v>403</v>
      </c>
      <c r="F45" s="322"/>
      <c r="G45" s="317" t="s">
        <v>392</v>
      </c>
      <c r="H45" s="317"/>
      <c r="I45" s="317"/>
      <c r="J45" s="317"/>
      <c r="K45" s="318"/>
      <c r="L45" s="196"/>
      <c r="M45" s="288"/>
      <c r="N45" s="288"/>
      <c r="O45" s="288"/>
      <c r="P45" s="288"/>
      <c r="Q45" s="288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3" t="s">
        <v>352</v>
      </c>
      <c r="B46" s="538"/>
      <c r="C46" s="539"/>
      <c r="D46" s="324" t="s">
        <v>352</v>
      </c>
      <c r="E46" s="368">
        <v>38782</v>
      </c>
      <c r="F46" s="325"/>
      <c r="G46" s="326" t="s">
        <v>393</v>
      </c>
      <c r="H46" s="326"/>
      <c r="I46" s="326"/>
      <c r="J46" s="326"/>
      <c r="K46" s="327"/>
      <c r="L46" s="196"/>
      <c r="M46" s="288"/>
      <c r="N46" s="288"/>
      <c r="O46" s="288"/>
      <c r="P46" s="288"/>
      <c r="Q46" s="288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28"/>
      <c r="G47" s="196" t="s">
        <v>394</v>
      </c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 t="s">
        <v>395</v>
      </c>
      <c r="H48" s="196"/>
      <c r="I48" s="196"/>
      <c r="J48" s="196"/>
      <c r="K48" s="196"/>
    </row>
    <row r="49" spans="2:26" ht="17.100000000000001" customHeight="1">
      <c r="F49" s="186"/>
      <c r="G49" s="186" t="s">
        <v>396</v>
      </c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96" t="s">
        <v>398</v>
      </c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 t="s">
        <v>397</v>
      </c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 xr:uid="{00000000-0002-0000-0100-000000000000}">
      <formula1>$T$5:$T$11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334" customWidth="1"/>
    <col min="2" max="2" width="18.140625" style="334" customWidth="1"/>
    <col min="3" max="3" width="21.5703125" style="334" customWidth="1"/>
    <col min="4" max="4" width="21.28515625" style="334" bestFit="1" customWidth="1"/>
    <col min="5" max="5" width="6.85546875" style="334" bestFit="1" customWidth="1"/>
    <col min="6" max="6" width="29.85546875" style="334" customWidth="1"/>
    <col min="7" max="7" width="43.7109375" style="334" customWidth="1"/>
    <col min="8" max="8" width="17.140625" style="334" customWidth="1"/>
    <col min="9" max="9" width="7.85546875" style="334" customWidth="1"/>
    <col min="10" max="10" width="2.28515625" style="334" bestFit="1" customWidth="1"/>
    <col min="11" max="12" width="2.28515625" style="334" customWidth="1"/>
    <col min="13" max="13" width="2.5703125" style="334" bestFit="1" customWidth="1"/>
    <col min="14" max="14" width="2.28515625" style="334" bestFit="1" customWidth="1"/>
    <col min="15" max="16384" width="9.140625" style="334"/>
  </cols>
  <sheetData>
    <row r="1" spans="2:14" ht="12.75" customHeight="1">
      <c r="B1" s="329"/>
      <c r="C1" s="330"/>
      <c r="D1" s="330"/>
      <c r="E1" s="330"/>
      <c r="F1" s="330"/>
      <c r="G1" s="330"/>
      <c r="H1" s="331"/>
      <c r="I1" s="332"/>
      <c r="J1" s="333" t="s">
        <v>353</v>
      </c>
      <c r="K1" s="333" t="s">
        <v>354</v>
      </c>
      <c r="L1" s="333" t="s">
        <v>355</v>
      </c>
      <c r="M1" s="333" t="s">
        <v>354</v>
      </c>
      <c r="N1" s="333"/>
    </row>
    <row r="2" spans="2:14" ht="12.75" customHeight="1">
      <c r="B2" s="633" t="s">
        <v>356</v>
      </c>
      <c r="C2" s="634"/>
      <c r="D2" s="634"/>
      <c r="E2" s="634"/>
      <c r="F2" s="634"/>
      <c r="G2" s="634"/>
      <c r="H2" s="337"/>
      <c r="I2" s="338"/>
      <c r="J2" s="339" t="s">
        <v>357</v>
      </c>
      <c r="K2" s="339" t="s">
        <v>358</v>
      </c>
      <c r="L2" s="339" t="s">
        <v>359</v>
      </c>
      <c r="M2" s="339" t="s">
        <v>360</v>
      </c>
      <c r="N2" s="339" t="s">
        <v>361</v>
      </c>
    </row>
    <row r="3" spans="2:14" ht="12.75" customHeight="1">
      <c r="B3" s="633"/>
      <c r="C3" s="634"/>
      <c r="D3" s="634"/>
      <c r="E3" s="634"/>
      <c r="F3" s="634"/>
      <c r="G3" s="634"/>
      <c r="H3" s="337"/>
      <c r="I3" s="338"/>
      <c r="J3" s="339" t="s">
        <v>362</v>
      </c>
      <c r="K3" s="339"/>
      <c r="L3" s="339" t="s">
        <v>363</v>
      </c>
      <c r="M3" s="339" t="s">
        <v>353</v>
      </c>
      <c r="N3" s="339"/>
    </row>
    <row r="4" spans="2:14" ht="12.75" customHeight="1">
      <c r="B4" s="633"/>
      <c r="C4" s="634"/>
      <c r="D4" s="634"/>
      <c r="E4" s="634"/>
      <c r="F4" s="634"/>
      <c r="G4" s="634"/>
      <c r="H4" s="337"/>
      <c r="I4" s="338"/>
      <c r="J4" s="339" t="s">
        <v>364</v>
      </c>
      <c r="K4" s="339"/>
      <c r="L4" s="339" t="s">
        <v>359</v>
      </c>
      <c r="M4" s="339" t="s">
        <v>357</v>
      </c>
      <c r="N4" s="339"/>
    </row>
    <row r="5" spans="2:14" ht="12.75" customHeight="1">
      <c r="B5" s="335"/>
      <c r="C5" s="336"/>
      <c r="D5" s="336"/>
      <c r="E5" s="336"/>
      <c r="F5" s="336"/>
      <c r="G5" s="336"/>
      <c r="H5" s="337"/>
      <c r="I5" s="338"/>
      <c r="J5" s="339"/>
      <c r="K5" s="339" t="s">
        <v>365</v>
      </c>
      <c r="L5" s="339" t="s">
        <v>354</v>
      </c>
      <c r="M5" s="339"/>
      <c r="N5" s="339" t="s">
        <v>359</v>
      </c>
    </row>
    <row r="6" spans="2:14" ht="12" customHeight="1">
      <c r="B6" s="340"/>
      <c r="C6" s="341"/>
      <c r="D6" s="341"/>
      <c r="F6" s="341"/>
      <c r="H6" s="342"/>
      <c r="I6" s="338"/>
      <c r="J6" s="339" t="s">
        <v>358</v>
      </c>
      <c r="K6" s="339" t="s">
        <v>366</v>
      </c>
      <c r="L6" s="339"/>
      <c r="M6" s="339" t="s">
        <v>354</v>
      </c>
      <c r="N6" s="339" t="s">
        <v>367</v>
      </c>
    </row>
    <row r="7" spans="2:14" ht="12.75" customHeight="1">
      <c r="B7" s="340"/>
      <c r="D7" s="343"/>
      <c r="H7" s="342"/>
      <c r="I7" s="338"/>
      <c r="J7" s="339" t="s">
        <v>184</v>
      </c>
      <c r="K7" s="339" t="s">
        <v>362</v>
      </c>
      <c r="L7" s="339" t="s">
        <v>362</v>
      </c>
      <c r="M7" s="339" t="s">
        <v>357</v>
      </c>
      <c r="N7" s="339" t="s">
        <v>368</v>
      </c>
    </row>
    <row r="8" spans="2:14" ht="12.75" customHeight="1">
      <c r="B8" s="340"/>
      <c r="G8" s="343"/>
      <c r="H8" s="344"/>
      <c r="I8" s="339" t="s">
        <v>368</v>
      </c>
      <c r="J8" s="339" t="s">
        <v>354</v>
      </c>
      <c r="K8" s="339" t="s">
        <v>369</v>
      </c>
      <c r="L8" s="339" t="s">
        <v>357</v>
      </c>
      <c r="M8" s="339" t="s">
        <v>368</v>
      </c>
      <c r="N8" s="339" t="s">
        <v>366</v>
      </c>
    </row>
    <row r="9" spans="2:14">
      <c r="B9" s="339" t="s">
        <v>370</v>
      </c>
      <c r="C9" s="344" t="s">
        <v>371</v>
      </c>
      <c r="D9" s="344" t="s">
        <v>372</v>
      </c>
      <c r="E9" s="344" t="s">
        <v>373</v>
      </c>
      <c r="F9" s="339" t="s">
        <v>374</v>
      </c>
      <c r="G9" s="339" t="s">
        <v>375</v>
      </c>
      <c r="H9" s="339" t="s">
        <v>376</v>
      </c>
      <c r="I9" s="339" t="s">
        <v>364</v>
      </c>
      <c r="J9" s="339" t="s">
        <v>184</v>
      </c>
      <c r="K9" s="339" t="s">
        <v>357</v>
      </c>
      <c r="L9" s="339" t="s">
        <v>369</v>
      </c>
      <c r="M9" s="339" t="s">
        <v>354</v>
      </c>
      <c r="N9" s="339" t="s">
        <v>355</v>
      </c>
    </row>
    <row r="10" spans="2:14" ht="15" customHeight="1">
      <c r="B10" s="345"/>
      <c r="C10" s="346"/>
      <c r="D10" s="346"/>
      <c r="E10" s="346"/>
      <c r="F10" s="347"/>
      <c r="G10" s="348"/>
      <c r="H10" s="348"/>
      <c r="I10" s="349"/>
      <c r="J10" s="350"/>
      <c r="K10" s="350"/>
      <c r="L10" s="350"/>
      <c r="M10" s="350"/>
      <c r="N10" s="351"/>
    </row>
    <row r="11" spans="2:14" ht="15" customHeight="1">
      <c r="B11" s="345"/>
      <c r="C11" s="347"/>
      <c r="D11" s="347"/>
      <c r="E11" s="347"/>
      <c r="F11" s="347"/>
      <c r="G11" s="347"/>
      <c r="H11" s="347"/>
      <c r="I11" s="352"/>
      <c r="J11" s="350"/>
      <c r="K11" s="350"/>
      <c r="L11" s="350"/>
      <c r="M11" s="350"/>
      <c r="N11" s="351"/>
    </row>
    <row r="12" spans="2:14" ht="15" customHeight="1">
      <c r="B12" s="345"/>
      <c r="C12" s="347"/>
      <c r="D12" s="347"/>
      <c r="E12" s="347"/>
      <c r="F12" s="347"/>
      <c r="G12" s="347"/>
      <c r="H12" s="347"/>
      <c r="I12" s="352"/>
      <c r="J12" s="353"/>
      <c r="K12" s="350"/>
      <c r="L12" s="350"/>
      <c r="M12" s="350"/>
      <c r="N12" s="351"/>
    </row>
    <row r="13" spans="2:14" ht="15" customHeight="1">
      <c r="B13" s="345"/>
      <c r="C13" s="347"/>
      <c r="D13" s="347"/>
      <c r="E13" s="347"/>
      <c r="F13" s="347"/>
      <c r="G13" s="347"/>
      <c r="H13" s="347"/>
      <c r="I13" s="352"/>
      <c r="J13" s="350"/>
      <c r="K13" s="350"/>
      <c r="L13" s="350"/>
      <c r="M13" s="350"/>
      <c r="N13" s="351"/>
    </row>
    <row r="14" spans="2:14" ht="15" customHeight="1">
      <c r="B14" s="345"/>
      <c r="C14" s="347"/>
      <c r="D14" s="347"/>
      <c r="E14" s="347"/>
      <c r="F14" s="347"/>
      <c r="G14" s="347"/>
      <c r="H14" s="347"/>
      <c r="I14" s="352"/>
      <c r="J14" s="350"/>
      <c r="K14" s="350"/>
      <c r="L14" s="350"/>
      <c r="M14" s="350"/>
      <c r="N14" s="351"/>
    </row>
    <row r="15" spans="2:14" ht="15" customHeight="1">
      <c r="B15" s="345"/>
      <c r="C15" s="347"/>
      <c r="D15" s="347"/>
      <c r="E15" s="347"/>
      <c r="F15" s="347"/>
      <c r="G15" s="347"/>
      <c r="H15" s="347"/>
      <c r="I15" s="352"/>
      <c r="J15" s="350"/>
      <c r="K15" s="350"/>
      <c r="L15" s="350"/>
      <c r="M15" s="350"/>
      <c r="N15" s="351"/>
    </row>
    <row r="16" spans="2:14" ht="15" customHeight="1">
      <c r="B16" s="345"/>
      <c r="C16" s="347"/>
      <c r="D16" s="347"/>
      <c r="E16" s="347"/>
      <c r="F16" s="347"/>
      <c r="G16" s="347"/>
      <c r="H16" s="347"/>
      <c r="I16" s="352"/>
      <c r="J16" s="350"/>
      <c r="K16" s="350"/>
      <c r="L16" s="350"/>
      <c r="M16" s="350"/>
      <c r="N16" s="351"/>
    </row>
    <row r="17" spans="2:14" ht="15" customHeight="1">
      <c r="B17" s="345"/>
      <c r="C17" s="347"/>
      <c r="D17" s="347"/>
      <c r="E17" s="347"/>
      <c r="F17" s="347"/>
      <c r="G17" s="347"/>
      <c r="H17" s="347"/>
      <c r="I17" s="352"/>
      <c r="J17" s="350"/>
      <c r="K17" s="350"/>
      <c r="L17" s="350"/>
      <c r="M17" s="350"/>
      <c r="N17" s="351"/>
    </row>
    <row r="18" spans="2:14" ht="15" customHeight="1">
      <c r="B18" s="345"/>
      <c r="C18" s="347"/>
      <c r="D18" s="347"/>
      <c r="E18" s="347"/>
      <c r="F18" s="347"/>
      <c r="G18" s="347"/>
      <c r="H18" s="347"/>
      <c r="I18" s="352"/>
      <c r="J18" s="350"/>
      <c r="K18" s="350"/>
      <c r="L18" s="350"/>
      <c r="M18" s="350"/>
      <c r="N18" s="351"/>
    </row>
    <row r="19" spans="2:14" ht="15" customHeight="1">
      <c r="B19" s="345"/>
      <c r="C19" s="347"/>
      <c r="D19" s="347"/>
      <c r="E19" s="347"/>
      <c r="F19" s="347"/>
      <c r="G19" s="347"/>
      <c r="H19" s="347"/>
      <c r="I19" s="352"/>
      <c r="J19" s="350"/>
      <c r="K19" s="350"/>
      <c r="L19" s="350"/>
      <c r="M19" s="350"/>
      <c r="N19" s="351"/>
    </row>
    <row r="20" spans="2:14" ht="15" customHeight="1">
      <c r="B20" s="345"/>
      <c r="C20" s="347"/>
      <c r="D20" s="347"/>
      <c r="E20" s="347"/>
      <c r="F20" s="347"/>
      <c r="G20" s="347"/>
      <c r="H20" s="347"/>
      <c r="I20" s="352"/>
      <c r="J20" s="350"/>
      <c r="K20" s="350"/>
      <c r="L20" s="350"/>
      <c r="M20" s="350"/>
      <c r="N20" s="351"/>
    </row>
    <row r="21" spans="2:14" ht="15" customHeight="1">
      <c r="B21" s="345"/>
      <c r="C21" s="347"/>
      <c r="D21" s="347"/>
      <c r="E21" s="347"/>
      <c r="F21" s="347"/>
      <c r="G21" s="347"/>
      <c r="H21" s="347"/>
      <c r="I21" s="352"/>
      <c r="J21" s="350"/>
      <c r="K21" s="350"/>
      <c r="L21" s="350"/>
      <c r="M21" s="350"/>
      <c r="N21" s="351"/>
    </row>
    <row r="22" spans="2:14" ht="15" customHeight="1">
      <c r="B22" s="345"/>
      <c r="C22" s="347"/>
      <c r="D22" s="347"/>
      <c r="E22" s="347"/>
      <c r="F22" s="347"/>
      <c r="G22" s="347"/>
      <c r="H22" s="347"/>
      <c r="I22" s="352"/>
      <c r="J22" s="350"/>
      <c r="K22" s="350"/>
      <c r="L22" s="350"/>
      <c r="M22" s="350"/>
      <c r="N22" s="351"/>
    </row>
    <row r="23" spans="2:14" ht="15" customHeight="1">
      <c r="B23" s="345"/>
      <c r="C23" s="347"/>
      <c r="D23" s="347"/>
      <c r="E23" s="347"/>
      <c r="F23" s="347"/>
      <c r="G23" s="347"/>
      <c r="H23" s="347"/>
      <c r="I23" s="352"/>
      <c r="J23" s="350"/>
      <c r="K23" s="350"/>
      <c r="L23" s="350"/>
      <c r="M23" s="350"/>
      <c r="N23" s="351"/>
    </row>
    <row r="24" spans="2:14" ht="15" customHeight="1">
      <c r="B24" s="345"/>
      <c r="C24" s="347"/>
      <c r="D24" s="347"/>
      <c r="E24" s="347"/>
      <c r="F24" s="347"/>
      <c r="G24" s="347"/>
      <c r="H24" s="347"/>
      <c r="I24" s="352"/>
      <c r="J24" s="350"/>
      <c r="K24" s="350"/>
      <c r="L24" s="350"/>
      <c r="M24" s="350"/>
      <c r="N24" s="351"/>
    </row>
    <row r="25" spans="2:14" ht="15" customHeight="1">
      <c r="B25" s="345"/>
      <c r="C25" s="347"/>
      <c r="D25" s="347"/>
      <c r="E25" s="347"/>
      <c r="F25" s="347"/>
      <c r="G25" s="347"/>
      <c r="H25" s="347"/>
      <c r="I25" s="352"/>
      <c r="J25" s="350"/>
      <c r="K25" s="350"/>
      <c r="L25" s="350"/>
      <c r="M25" s="350"/>
      <c r="N25" s="351"/>
    </row>
    <row r="26" spans="2:14" ht="15" customHeight="1">
      <c r="B26" s="345"/>
      <c r="C26" s="347"/>
      <c r="D26" s="347"/>
      <c r="E26" s="347"/>
      <c r="F26" s="347"/>
      <c r="G26" s="347"/>
      <c r="H26" s="347"/>
      <c r="I26" s="352"/>
      <c r="J26" s="350"/>
      <c r="K26" s="350"/>
      <c r="L26" s="350"/>
      <c r="M26" s="350"/>
      <c r="N26" s="351"/>
    </row>
    <row r="27" spans="2:14" ht="15" customHeight="1">
      <c r="B27" s="345"/>
      <c r="C27" s="347"/>
      <c r="D27" s="347"/>
      <c r="E27" s="347"/>
      <c r="F27" s="347"/>
      <c r="G27" s="347"/>
      <c r="H27" s="347"/>
      <c r="I27" s="352"/>
      <c r="J27" s="350"/>
      <c r="K27" s="350"/>
      <c r="L27" s="350"/>
      <c r="M27" s="350"/>
      <c r="N27" s="351"/>
    </row>
    <row r="28" spans="2:14" ht="15" customHeight="1">
      <c r="B28" s="345"/>
      <c r="C28" s="347"/>
      <c r="D28" s="347"/>
      <c r="E28" s="347"/>
      <c r="F28" s="347"/>
      <c r="G28" s="347"/>
      <c r="H28" s="347"/>
      <c r="I28" s="352"/>
      <c r="J28" s="350"/>
      <c r="K28" s="350"/>
      <c r="L28" s="350"/>
      <c r="M28" s="350"/>
      <c r="N28" s="351"/>
    </row>
    <row r="29" spans="2:14" ht="15" customHeight="1">
      <c r="B29" s="345"/>
      <c r="C29" s="347"/>
      <c r="D29" s="347"/>
      <c r="E29" s="347"/>
      <c r="F29" s="347"/>
      <c r="G29" s="347"/>
      <c r="H29" s="347"/>
      <c r="I29" s="352"/>
      <c r="J29" s="350"/>
      <c r="K29" s="350"/>
      <c r="L29" s="350"/>
      <c r="M29" s="350"/>
      <c r="N29" s="351"/>
    </row>
    <row r="30" spans="2:14" ht="15" customHeight="1">
      <c r="B30" s="345"/>
      <c r="C30" s="347"/>
      <c r="D30" s="347"/>
      <c r="E30" s="347"/>
      <c r="F30" s="347"/>
      <c r="G30" s="347"/>
      <c r="H30" s="347"/>
      <c r="I30" s="352"/>
      <c r="J30" s="350"/>
      <c r="K30" s="350"/>
      <c r="L30" s="350"/>
      <c r="M30" s="350"/>
      <c r="N30" s="351"/>
    </row>
    <row r="31" spans="2:14" ht="15" customHeight="1">
      <c r="B31" s="345"/>
      <c r="C31" s="347"/>
      <c r="D31" s="347"/>
      <c r="E31" s="347"/>
      <c r="F31" s="347"/>
      <c r="G31" s="347"/>
      <c r="H31" s="347"/>
      <c r="I31" s="352"/>
      <c r="J31" s="350"/>
      <c r="K31" s="350"/>
      <c r="L31" s="350"/>
      <c r="M31" s="350"/>
      <c r="N31" s="351"/>
    </row>
    <row r="32" spans="2:14" ht="15" customHeight="1">
      <c r="B32" s="345"/>
      <c r="C32" s="347"/>
      <c r="D32" s="347"/>
      <c r="E32" s="347"/>
      <c r="F32" s="347"/>
      <c r="G32" s="347"/>
      <c r="H32" s="347"/>
      <c r="I32" s="352"/>
      <c r="J32" s="350"/>
      <c r="K32" s="350"/>
      <c r="L32" s="350"/>
      <c r="M32" s="350"/>
      <c r="N32" s="351"/>
    </row>
    <row r="33" spans="2:14" ht="15" customHeight="1">
      <c r="B33" s="345"/>
      <c r="C33" s="347"/>
      <c r="D33" s="347"/>
      <c r="E33" s="347"/>
      <c r="F33" s="347"/>
      <c r="G33" s="347"/>
      <c r="H33" s="347"/>
      <c r="I33" s="352"/>
      <c r="J33" s="350"/>
      <c r="K33" s="350"/>
      <c r="L33" s="350"/>
      <c r="M33" s="350"/>
      <c r="N33" s="351"/>
    </row>
    <row r="34" spans="2:14" ht="15" customHeight="1">
      <c r="B34" s="345"/>
      <c r="C34" s="347"/>
      <c r="D34" s="347"/>
      <c r="E34" s="347"/>
      <c r="F34" s="347"/>
      <c r="G34" s="347"/>
      <c r="H34" s="347"/>
      <c r="I34" s="352"/>
      <c r="J34" s="350"/>
      <c r="K34" s="350"/>
      <c r="L34" s="350"/>
      <c r="M34" s="350"/>
      <c r="N34" s="351"/>
    </row>
    <row r="35" spans="2:14" ht="15" customHeight="1">
      <c r="B35" s="345"/>
      <c r="C35" s="347"/>
      <c r="D35" s="347"/>
      <c r="E35" s="347"/>
      <c r="F35" s="347"/>
      <c r="G35" s="347"/>
      <c r="H35" s="347"/>
      <c r="I35" s="352"/>
      <c r="J35" s="350"/>
      <c r="K35" s="350"/>
      <c r="L35" s="350"/>
      <c r="M35" s="350"/>
      <c r="N35" s="351"/>
    </row>
    <row r="36" spans="2:14" ht="15" customHeight="1">
      <c r="B36" s="345"/>
      <c r="C36" s="347"/>
      <c r="D36" s="347"/>
      <c r="E36" s="347"/>
      <c r="F36" s="347"/>
      <c r="G36" s="347"/>
      <c r="H36" s="347"/>
      <c r="I36" s="352"/>
      <c r="J36" s="350"/>
      <c r="K36" s="350"/>
      <c r="L36" s="350"/>
      <c r="M36" s="350"/>
      <c r="N36" s="351"/>
    </row>
    <row r="37" spans="2:14" ht="15" customHeight="1">
      <c r="B37" s="345"/>
      <c r="C37" s="347"/>
      <c r="D37" s="347"/>
      <c r="E37" s="347"/>
      <c r="F37" s="347"/>
      <c r="G37" s="347"/>
      <c r="H37" s="347"/>
      <c r="I37" s="352"/>
      <c r="J37" s="350"/>
      <c r="K37" s="350"/>
      <c r="L37" s="350"/>
      <c r="M37" s="350"/>
      <c r="N37" s="351"/>
    </row>
    <row r="38" spans="2:14" ht="15" customHeight="1">
      <c r="B38" s="345"/>
      <c r="C38" s="347"/>
      <c r="D38" s="347"/>
      <c r="E38" s="347"/>
      <c r="F38" s="347"/>
      <c r="G38" s="347"/>
      <c r="H38" s="347"/>
      <c r="I38" s="352"/>
      <c r="J38" s="350"/>
      <c r="K38" s="350"/>
      <c r="L38" s="350"/>
      <c r="M38" s="350"/>
      <c r="N38" s="351"/>
    </row>
    <row r="39" spans="2:14" ht="15" customHeight="1">
      <c r="B39" s="345"/>
      <c r="C39" s="347"/>
      <c r="D39" s="347"/>
      <c r="E39" s="347"/>
      <c r="F39" s="347"/>
      <c r="G39" s="347"/>
      <c r="H39" s="347"/>
      <c r="I39" s="352"/>
      <c r="J39" s="350"/>
      <c r="K39" s="350"/>
      <c r="L39" s="350"/>
      <c r="M39" s="350"/>
      <c r="N39" s="351"/>
    </row>
    <row r="40" spans="2:14" ht="15" customHeight="1">
      <c r="B40" s="345"/>
      <c r="C40" s="347"/>
      <c r="D40" s="347"/>
      <c r="E40" s="347"/>
      <c r="F40" s="347"/>
      <c r="G40" s="347"/>
      <c r="H40" s="347"/>
      <c r="I40" s="352"/>
      <c r="J40" s="350"/>
      <c r="K40" s="350"/>
      <c r="L40" s="350"/>
      <c r="M40" s="350"/>
      <c r="N40" s="351"/>
    </row>
    <row r="41" spans="2:14" ht="15" customHeight="1">
      <c r="B41" s="345"/>
      <c r="C41" s="347"/>
      <c r="D41" s="347"/>
      <c r="E41" s="347"/>
      <c r="F41" s="347"/>
      <c r="G41" s="347"/>
      <c r="H41" s="347"/>
      <c r="I41" s="352"/>
      <c r="J41" s="350"/>
      <c r="K41" s="350"/>
      <c r="L41" s="350"/>
      <c r="M41" s="350"/>
      <c r="N41" s="351"/>
    </row>
    <row r="42" spans="2:14" ht="15" customHeight="1">
      <c r="B42" s="345"/>
      <c r="C42" s="347"/>
      <c r="D42" s="347"/>
      <c r="E42" s="347"/>
      <c r="F42" s="347"/>
      <c r="G42" s="347"/>
      <c r="H42" s="347"/>
      <c r="I42" s="352"/>
      <c r="J42" s="350"/>
      <c r="K42" s="350"/>
      <c r="L42" s="350"/>
      <c r="M42" s="350"/>
      <c r="N42" s="351"/>
    </row>
    <row r="43" spans="2:14" ht="15" customHeight="1">
      <c r="B43" s="345"/>
      <c r="C43" s="347"/>
      <c r="D43" s="347"/>
      <c r="E43" s="347"/>
      <c r="F43" s="347"/>
      <c r="G43" s="347"/>
      <c r="H43" s="347"/>
      <c r="I43" s="352"/>
      <c r="J43" s="350"/>
      <c r="K43" s="350"/>
      <c r="L43" s="350"/>
      <c r="M43" s="350"/>
      <c r="N43" s="351"/>
    </row>
    <row r="44" spans="2:14" ht="15" customHeight="1">
      <c r="B44" s="345"/>
      <c r="C44" s="347"/>
      <c r="D44" s="347"/>
      <c r="E44" s="347"/>
      <c r="F44" s="347"/>
      <c r="G44" s="347"/>
      <c r="H44" s="347"/>
      <c r="I44" s="352"/>
      <c r="J44" s="350"/>
      <c r="K44" s="350"/>
      <c r="L44" s="350"/>
      <c r="M44" s="350"/>
      <c r="N44" s="351"/>
    </row>
    <row r="45" spans="2:14" ht="15" customHeight="1">
      <c r="B45" s="345"/>
      <c r="C45" s="347"/>
      <c r="D45" s="347"/>
      <c r="E45" s="347"/>
      <c r="F45" s="347"/>
      <c r="G45" s="347"/>
      <c r="H45" s="347"/>
      <c r="I45" s="352"/>
      <c r="J45" s="350"/>
      <c r="K45" s="350"/>
      <c r="L45" s="350"/>
      <c r="M45" s="350"/>
      <c r="N45" s="351"/>
    </row>
    <row r="46" spans="2:14" ht="15" customHeight="1">
      <c r="B46" s="345"/>
      <c r="C46" s="347"/>
      <c r="D46" s="347"/>
      <c r="E46" s="347"/>
      <c r="F46" s="347"/>
      <c r="G46" s="347"/>
      <c r="H46" s="347"/>
      <c r="I46" s="352"/>
      <c r="J46" s="350"/>
      <c r="K46" s="350"/>
      <c r="L46" s="350"/>
      <c r="M46" s="350"/>
      <c r="N46" s="351"/>
    </row>
    <row r="47" spans="2:14" ht="15" customHeight="1">
      <c r="B47" s="345"/>
      <c r="C47" s="347"/>
      <c r="D47" s="347"/>
      <c r="E47" s="347"/>
      <c r="F47" s="347"/>
      <c r="G47" s="347"/>
      <c r="H47" s="347"/>
      <c r="I47" s="352"/>
      <c r="J47" s="350"/>
      <c r="K47" s="350"/>
      <c r="L47" s="350"/>
      <c r="M47" s="350"/>
      <c r="N47" s="351"/>
    </row>
    <row r="48" spans="2:14" ht="15" customHeight="1">
      <c r="B48" s="345"/>
      <c r="C48" s="347"/>
      <c r="D48" s="347"/>
      <c r="E48" s="347"/>
      <c r="F48" s="347"/>
      <c r="G48" s="347"/>
      <c r="H48" s="347"/>
      <c r="I48" s="352"/>
      <c r="J48" s="350"/>
      <c r="K48" s="350"/>
      <c r="L48" s="350"/>
      <c r="M48" s="350"/>
      <c r="N48" s="351"/>
    </row>
    <row r="49" spans="2:14" ht="15" customHeight="1">
      <c r="B49" s="345"/>
      <c r="C49" s="347"/>
      <c r="D49" s="347"/>
      <c r="E49" s="347"/>
      <c r="F49" s="347"/>
      <c r="G49" s="347"/>
      <c r="H49" s="347"/>
      <c r="I49" s="352"/>
      <c r="J49" s="350"/>
      <c r="K49" s="350"/>
      <c r="L49" s="350"/>
      <c r="M49" s="350"/>
      <c r="N49" s="351"/>
    </row>
    <row r="50" spans="2:14" ht="15" customHeight="1">
      <c r="B50" s="345"/>
      <c r="C50" s="347"/>
      <c r="D50" s="347"/>
      <c r="E50" s="347"/>
      <c r="F50" s="347"/>
      <c r="G50" s="347"/>
      <c r="H50" s="347"/>
      <c r="I50" s="352"/>
      <c r="J50" s="350"/>
      <c r="K50" s="350"/>
      <c r="L50" s="350"/>
      <c r="M50" s="350"/>
      <c r="N50" s="351"/>
    </row>
    <row r="51" spans="2:14" ht="15" customHeight="1">
      <c r="B51" s="345"/>
      <c r="C51" s="347"/>
      <c r="D51" s="347"/>
      <c r="E51" s="347"/>
      <c r="F51" s="347"/>
      <c r="G51" s="347"/>
      <c r="H51" s="347"/>
      <c r="I51" s="352"/>
      <c r="J51" s="350"/>
      <c r="K51" s="350"/>
      <c r="L51" s="350"/>
      <c r="M51" s="350"/>
      <c r="N51" s="351"/>
    </row>
    <row r="52" spans="2:14" ht="15" customHeight="1" thickBot="1">
      <c r="B52" s="354"/>
      <c r="C52" s="355"/>
      <c r="D52" s="355"/>
      <c r="E52" s="355"/>
      <c r="F52" s="355"/>
      <c r="G52" s="355"/>
      <c r="H52" s="355"/>
      <c r="I52" s="356"/>
      <c r="J52" s="357"/>
      <c r="K52" s="357"/>
      <c r="L52" s="357"/>
      <c r="M52" s="357"/>
      <c r="N52" s="358"/>
    </row>
    <row r="53" spans="2:14" ht="20.25" customHeight="1" thickBot="1">
      <c r="B53" s="635" t="s">
        <v>377</v>
      </c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  <c r="N53" s="635"/>
    </row>
    <row r="54" spans="2:14" ht="15" customHeight="1" thickBot="1">
      <c r="B54" s="359" t="s">
        <v>378</v>
      </c>
      <c r="C54" s="636" t="s">
        <v>375</v>
      </c>
      <c r="D54" s="637"/>
      <c r="E54" s="637"/>
      <c r="F54" s="637"/>
      <c r="G54" s="637"/>
      <c r="H54" s="360"/>
      <c r="I54" s="636" t="s">
        <v>370</v>
      </c>
      <c r="J54" s="637"/>
      <c r="K54" s="638"/>
      <c r="L54" s="636" t="s">
        <v>379</v>
      </c>
      <c r="M54" s="637"/>
      <c r="N54" s="639"/>
    </row>
    <row r="55" spans="2:14" ht="15" customHeight="1">
      <c r="B55" s="361"/>
      <c r="C55" s="625"/>
      <c r="D55" s="626"/>
      <c r="E55" s="626"/>
      <c r="F55" s="626"/>
      <c r="G55" s="626"/>
      <c r="H55" s="362"/>
      <c r="I55" s="627"/>
      <c r="J55" s="628"/>
      <c r="K55" s="629"/>
      <c r="L55" s="630"/>
      <c r="M55" s="631"/>
      <c r="N55" s="632"/>
    </row>
    <row r="56" spans="2:14" ht="15" customHeight="1">
      <c r="B56" s="363"/>
      <c r="C56" s="609"/>
      <c r="D56" s="610"/>
      <c r="E56" s="610"/>
      <c r="F56" s="610"/>
      <c r="G56" s="610"/>
      <c r="H56" s="364"/>
      <c r="I56" s="611"/>
      <c r="J56" s="612"/>
      <c r="K56" s="613"/>
      <c r="L56" s="614"/>
      <c r="M56" s="615"/>
      <c r="N56" s="616"/>
    </row>
    <row r="57" spans="2:14" ht="15" customHeight="1">
      <c r="B57" s="363"/>
      <c r="C57" s="609"/>
      <c r="D57" s="610"/>
      <c r="E57" s="610"/>
      <c r="F57" s="610"/>
      <c r="G57" s="610"/>
      <c r="H57" s="364"/>
      <c r="I57" s="611"/>
      <c r="J57" s="612"/>
      <c r="K57" s="613"/>
      <c r="L57" s="614"/>
      <c r="M57" s="615"/>
      <c r="N57" s="616"/>
    </row>
    <row r="58" spans="2:14" ht="15" customHeight="1">
      <c r="B58" s="363"/>
      <c r="C58" s="609"/>
      <c r="D58" s="610"/>
      <c r="E58" s="610"/>
      <c r="F58" s="610"/>
      <c r="G58" s="610"/>
      <c r="H58" s="364"/>
      <c r="I58" s="611"/>
      <c r="J58" s="612"/>
      <c r="K58" s="613"/>
      <c r="L58" s="614"/>
      <c r="M58" s="615"/>
      <c r="N58" s="616"/>
    </row>
    <row r="59" spans="2:14" ht="15" customHeight="1">
      <c r="B59" s="363"/>
      <c r="C59" s="609"/>
      <c r="D59" s="610"/>
      <c r="E59" s="610"/>
      <c r="F59" s="610"/>
      <c r="G59" s="610"/>
      <c r="H59" s="364"/>
      <c r="I59" s="611"/>
      <c r="J59" s="612"/>
      <c r="K59" s="613"/>
      <c r="L59" s="614"/>
      <c r="M59" s="615"/>
      <c r="N59" s="616"/>
    </row>
    <row r="60" spans="2:14" ht="15" customHeight="1">
      <c r="B60" s="363"/>
      <c r="C60" s="609"/>
      <c r="D60" s="610"/>
      <c r="E60" s="610"/>
      <c r="F60" s="610"/>
      <c r="G60" s="610"/>
      <c r="H60" s="364"/>
      <c r="I60" s="611"/>
      <c r="J60" s="612"/>
      <c r="K60" s="613"/>
      <c r="L60" s="614"/>
      <c r="M60" s="615"/>
      <c r="N60" s="616"/>
    </row>
    <row r="61" spans="2:14" ht="15" customHeight="1">
      <c r="B61" s="363"/>
      <c r="C61" s="609"/>
      <c r="D61" s="610"/>
      <c r="E61" s="610"/>
      <c r="F61" s="610"/>
      <c r="G61" s="610"/>
      <c r="H61" s="364"/>
      <c r="I61" s="611"/>
      <c r="J61" s="612"/>
      <c r="K61" s="613"/>
      <c r="L61" s="614"/>
      <c r="M61" s="615"/>
      <c r="N61" s="616"/>
    </row>
    <row r="62" spans="2:14" ht="15" customHeight="1">
      <c r="B62" s="363"/>
      <c r="C62" s="609"/>
      <c r="D62" s="610"/>
      <c r="E62" s="610"/>
      <c r="F62" s="610"/>
      <c r="G62" s="610"/>
      <c r="H62" s="364"/>
      <c r="I62" s="611"/>
      <c r="J62" s="612"/>
      <c r="K62" s="613"/>
      <c r="L62" s="614"/>
      <c r="M62" s="615"/>
      <c r="N62" s="616"/>
    </row>
    <row r="63" spans="2:14" ht="15" customHeight="1">
      <c r="B63" s="363"/>
      <c r="C63" s="609"/>
      <c r="D63" s="610"/>
      <c r="E63" s="610"/>
      <c r="F63" s="610"/>
      <c r="G63" s="610"/>
      <c r="H63" s="364"/>
      <c r="I63" s="611"/>
      <c r="J63" s="612"/>
      <c r="K63" s="613"/>
      <c r="L63" s="614"/>
      <c r="M63" s="615"/>
      <c r="N63" s="616"/>
    </row>
    <row r="64" spans="2:14" ht="15" customHeight="1">
      <c r="B64" s="363"/>
      <c r="C64" s="609"/>
      <c r="D64" s="610"/>
      <c r="E64" s="610"/>
      <c r="F64" s="610"/>
      <c r="G64" s="610"/>
      <c r="H64" s="364"/>
      <c r="I64" s="611"/>
      <c r="J64" s="612"/>
      <c r="K64" s="613"/>
      <c r="L64" s="614"/>
      <c r="M64" s="615"/>
      <c r="N64" s="616"/>
    </row>
    <row r="65" spans="2:14" ht="15" customHeight="1">
      <c r="B65" s="363"/>
      <c r="C65" s="609"/>
      <c r="D65" s="610"/>
      <c r="E65" s="610"/>
      <c r="F65" s="610"/>
      <c r="G65" s="610"/>
      <c r="H65" s="364"/>
      <c r="I65" s="611"/>
      <c r="J65" s="612"/>
      <c r="K65" s="613"/>
      <c r="L65" s="614"/>
      <c r="M65" s="615"/>
      <c r="N65" s="616"/>
    </row>
    <row r="66" spans="2:14" ht="15" customHeight="1">
      <c r="B66" s="363"/>
      <c r="C66" s="609"/>
      <c r="D66" s="610"/>
      <c r="E66" s="610"/>
      <c r="F66" s="610"/>
      <c r="G66" s="610"/>
      <c r="H66" s="364"/>
      <c r="I66" s="611"/>
      <c r="J66" s="612"/>
      <c r="K66" s="613"/>
      <c r="L66" s="614"/>
      <c r="M66" s="615"/>
      <c r="N66" s="616"/>
    </row>
    <row r="67" spans="2:14" ht="15" customHeight="1">
      <c r="B67" s="363"/>
      <c r="C67" s="609"/>
      <c r="D67" s="610"/>
      <c r="E67" s="610"/>
      <c r="F67" s="610"/>
      <c r="G67" s="610"/>
      <c r="H67" s="364"/>
      <c r="I67" s="611"/>
      <c r="J67" s="612"/>
      <c r="K67" s="613"/>
      <c r="L67" s="614"/>
      <c r="M67" s="615"/>
      <c r="N67" s="616"/>
    </row>
    <row r="68" spans="2:14" ht="15" customHeight="1">
      <c r="B68" s="363"/>
      <c r="C68" s="609"/>
      <c r="D68" s="610"/>
      <c r="E68" s="610"/>
      <c r="F68" s="610"/>
      <c r="G68" s="610"/>
      <c r="H68" s="364"/>
      <c r="I68" s="611"/>
      <c r="J68" s="612"/>
      <c r="K68" s="613"/>
      <c r="L68" s="614"/>
      <c r="M68" s="615"/>
      <c r="N68" s="616"/>
    </row>
    <row r="69" spans="2:14" ht="15" customHeight="1">
      <c r="B69" s="363"/>
      <c r="C69" s="609"/>
      <c r="D69" s="610"/>
      <c r="E69" s="610"/>
      <c r="F69" s="610"/>
      <c r="G69" s="610"/>
      <c r="H69" s="364"/>
      <c r="I69" s="611"/>
      <c r="J69" s="612"/>
      <c r="K69" s="613"/>
      <c r="L69" s="614"/>
      <c r="M69" s="615"/>
      <c r="N69" s="616"/>
    </row>
    <row r="70" spans="2:14" ht="15" customHeight="1">
      <c r="B70" s="363"/>
      <c r="C70" s="609"/>
      <c r="D70" s="610"/>
      <c r="E70" s="610"/>
      <c r="F70" s="610"/>
      <c r="G70" s="610"/>
      <c r="H70" s="364"/>
      <c r="I70" s="611"/>
      <c r="J70" s="612"/>
      <c r="K70" s="613"/>
      <c r="L70" s="614"/>
      <c r="M70" s="615"/>
      <c r="N70" s="616"/>
    </row>
    <row r="71" spans="2:14" ht="15" customHeight="1">
      <c r="B71" s="363"/>
      <c r="C71" s="609"/>
      <c r="D71" s="610"/>
      <c r="E71" s="610"/>
      <c r="F71" s="610"/>
      <c r="G71" s="610"/>
      <c r="H71" s="364"/>
      <c r="I71" s="611"/>
      <c r="J71" s="612"/>
      <c r="K71" s="613"/>
      <c r="L71" s="614"/>
      <c r="M71" s="615"/>
      <c r="N71" s="616"/>
    </row>
    <row r="72" spans="2:14">
      <c r="B72" s="363"/>
      <c r="C72" s="609"/>
      <c r="D72" s="610"/>
      <c r="E72" s="610"/>
      <c r="F72" s="610"/>
      <c r="G72" s="610"/>
      <c r="H72" s="364"/>
      <c r="I72" s="611"/>
      <c r="J72" s="612"/>
      <c r="K72" s="613"/>
      <c r="L72" s="614"/>
      <c r="M72" s="615"/>
      <c r="N72" s="616"/>
    </row>
    <row r="73" spans="2:14">
      <c r="B73" s="363"/>
      <c r="C73" s="609"/>
      <c r="D73" s="610"/>
      <c r="E73" s="610"/>
      <c r="F73" s="610"/>
      <c r="G73" s="610"/>
      <c r="H73" s="364"/>
      <c r="I73" s="611"/>
      <c r="J73" s="612"/>
      <c r="K73" s="613"/>
      <c r="L73" s="614"/>
      <c r="M73" s="615"/>
      <c r="N73" s="616"/>
    </row>
    <row r="74" spans="2:14">
      <c r="B74" s="363"/>
      <c r="C74" s="609"/>
      <c r="D74" s="610"/>
      <c r="E74" s="610"/>
      <c r="F74" s="610"/>
      <c r="G74" s="610"/>
      <c r="H74" s="364"/>
      <c r="I74" s="611"/>
      <c r="J74" s="612"/>
      <c r="K74" s="613"/>
      <c r="L74" s="614"/>
      <c r="M74" s="615"/>
      <c r="N74" s="616"/>
    </row>
    <row r="75" spans="2:14">
      <c r="B75" s="363"/>
      <c r="C75" s="609"/>
      <c r="D75" s="610"/>
      <c r="E75" s="610"/>
      <c r="F75" s="610"/>
      <c r="G75" s="610"/>
      <c r="H75" s="364"/>
      <c r="I75" s="611"/>
      <c r="J75" s="612"/>
      <c r="K75" s="613"/>
      <c r="L75" s="614"/>
      <c r="M75" s="615"/>
      <c r="N75" s="616"/>
    </row>
    <row r="76" spans="2:14">
      <c r="B76" s="363"/>
      <c r="C76" s="609"/>
      <c r="D76" s="610"/>
      <c r="E76" s="610"/>
      <c r="F76" s="610"/>
      <c r="G76" s="610"/>
      <c r="H76" s="364"/>
      <c r="I76" s="611"/>
      <c r="J76" s="612"/>
      <c r="K76" s="613"/>
      <c r="L76" s="614"/>
      <c r="M76" s="615"/>
      <c r="N76" s="616"/>
    </row>
    <row r="77" spans="2:14">
      <c r="B77" s="363"/>
      <c r="C77" s="609"/>
      <c r="D77" s="610"/>
      <c r="E77" s="610"/>
      <c r="F77" s="610"/>
      <c r="G77" s="610"/>
      <c r="H77" s="364"/>
      <c r="I77" s="611"/>
      <c r="J77" s="612"/>
      <c r="K77" s="613"/>
      <c r="L77" s="614"/>
      <c r="M77" s="615"/>
      <c r="N77" s="616"/>
    </row>
    <row r="78" spans="2:14">
      <c r="B78" s="363"/>
      <c r="C78" s="609"/>
      <c r="D78" s="610"/>
      <c r="E78" s="610"/>
      <c r="F78" s="610"/>
      <c r="G78" s="610"/>
      <c r="H78" s="364"/>
      <c r="I78" s="611"/>
      <c r="J78" s="612"/>
      <c r="K78" s="613"/>
      <c r="L78" s="614"/>
      <c r="M78" s="615"/>
      <c r="N78" s="616"/>
    </row>
    <row r="79" spans="2:14" ht="13.5" thickBot="1">
      <c r="B79" s="365"/>
      <c r="C79" s="617"/>
      <c r="D79" s="618"/>
      <c r="E79" s="618"/>
      <c r="F79" s="618"/>
      <c r="G79" s="618"/>
      <c r="H79" s="366"/>
      <c r="I79" s="619"/>
      <c r="J79" s="620"/>
      <c r="K79" s="621"/>
      <c r="L79" s="622"/>
      <c r="M79" s="623"/>
      <c r="N79" s="62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RowHeight="12.75"/>
  <cols>
    <col min="1" max="1" width="19.7109375" style="379" customWidth="1"/>
    <col min="2" max="7" width="10.7109375" style="379" customWidth="1"/>
    <col min="8" max="16384" width="9.140625" style="379"/>
  </cols>
  <sheetData>
    <row r="1" spans="1:12" ht="21" customHeight="1">
      <c r="A1" s="378" t="s">
        <v>418</v>
      </c>
      <c r="B1" s="649" t="s">
        <v>457</v>
      </c>
      <c r="C1" s="649"/>
      <c r="D1" s="649"/>
      <c r="E1" s="649"/>
      <c r="F1" s="649"/>
      <c r="G1" s="649"/>
    </row>
    <row r="2" spans="1:12" ht="15" customHeight="1"/>
    <row r="3" spans="1:12" ht="20.25">
      <c r="A3" s="380" t="s">
        <v>419</v>
      </c>
    </row>
    <row r="4" spans="1:12" ht="12" customHeight="1">
      <c r="A4" s="381"/>
      <c r="B4" s="381"/>
      <c r="C4" s="381"/>
      <c r="D4" s="381" t="s">
        <v>471</v>
      </c>
      <c r="E4" s="381"/>
      <c r="F4" s="381"/>
      <c r="G4" s="381"/>
      <c r="H4" s="381"/>
      <c r="I4" s="381"/>
      <c r="J4" s="381"/>
      <c r="K4" s="381"/>
      <c r="L4" s="381"/>
    </row>
    <row r="5" spans="1:12" ht="15.6" customHeight="1">
      <c r="A5" s="382" t="s">
        <v>5</v>
      </c>
      <c r="B5" s="382" t="s">
        <v>420</v>
      </c>
      <c r="C5" s="382" t="s">
        <v>421</v>
      </c>
      <c r="D5" s="382" t="s">
        <v>422</v>
      </c>
      <c r="E5" s="382" t="s">
        <v>423</v>
      </c>
      <c r="F5" s="382" t="s">
        <v>424</v>
      </c>
      <c r="G5" s="382" t="s">
        <v>425</v>
      </c>
      <c r="H5" s="381"/>
      <c r="I5" s="381"/>
      <c r="J5" s="381"/>
      <c r="K5" s="381"/>
      <c r="L5" s="381"/>
    </row>
    <row r="6" spans="1:12" ht="15.6" customHeight="1">
      <c r="A6" s="383" t="s">
        <v>426</v>
      </c>
      <c r="B6" s="383" t="s">
        <v>166</v>
      </c>
      <c r="C6" s="383" t="s">
        <v>166</v>
      </c>
      <c r="D6" s="383" t="s">
        <v>427</v>
      </c>
      <c r="E6" s="383" t="s">
        <v>135</v>
      </c>
      <c r="F6" s="383" t="s">
        <v>428</v>
      </c>
      <c r="G6" s="383" t="s">
        <v>428</v>
      </c>
      <c r="H6" s="381"/>
      <c r="I6" s="381"/>
      <c r="J6" s="381"/>
      <c r="K6" s="381"/>
      <c r="L6" s="381"/>
    </row>
    <row r="7" spans="1:12" ht="15.95" customHeight="1">
      <c r="A7" s="384" t="s">
        <v>458</v>
      </c>
      <c r="B7" s="384" t="s">
        <v>472</v>
      </c>
      <c r="C7" s="384" t="s">
        <v>484</v>
      </c>
      <c r="D7" s="384" t="s">
        <v>495</v>
      </c>
      <c r="E7" s="384" t="s">
        <v>507</v>
      </c>
      <c r="F7" s="384" t="s">
        <v>519</v>
      </c>
      <c r="G7" s="384" t="s">
        <v>531</v>
      </c>
      <c r="H7" s="381"/>
      <c r="I7" s="381"/>
      <c r="J7" s="381"/>
      <c r="K7" s="381"/>
      <c r="L7" s="381"/>
    </row>
    <row r="8" spans="1:12" ht="15.95" customHeight="1">
      <c r="A8" s="384" t="s">
        <v>459</v>
      </c>
      <c r="B8" s="384" t="s">
        <v>473</v>
      </c>
      <c r="C8" s="384" t="s">
        <v>485</v>
      </c>
      <c r="D8" s="384" t="s">
        <v>496</v>
      </c>
      <c r="E8" s="384" t="s">
        <v>508</v>
      </c>
      <c r="F8" s="384" t="s">
        <v>520</v>
      </c>
      <c r="G8" s="384" t="s">
        <v>532</v>
      </c>
      <c r="H8" s="381"/>
      <c r="I8" s="381"/>
      <c r="J8" s="381"/>
      <c r="K8" s="381"/>
      <c r="L8" s="381"/>
    </row>
    <row r="9" spans="1:12" ht="15.95" customHeight="1">
      <c r="A9" s="384" t="s">
        <v>460</v>
      </c>
      <c r="B9" s="384" t="s">
        <v>474</v>
      </c>
      <c r="C9" s="384" t="s">
        <v>486</v>
      </c>
      <c r="D9" s="384" t="s">
        <v>497</v>
      </c>
      <c r="E9" s="384" t="s">
        <v>509</v>
      </c>
      <c r="F9" s="384" t="s">
        <v>521</v>
      </c>
      <c r="G9" s="384" t="s">
        <v>533</v>
      </c>
      <c r="H9" s="381"/>
      <c r="I9" s="381"/>
      <c r="J9" s="381"/>
      <c r="K9" s="381"/>
      <c r="L9" s="381"/>
    </row>
    <row r="10" spans="1:12" ht="15.95" customHeight="1">
      <c r="A10" s="384" t="s">
        <v>461</v>
      </c>
      <c r="B10" s="384" t="s">
        <v>475</v>
      </c>
      <c r="C10" s="384" t="s">
        <v>486</v>
      </c>
      <c r="D10" s="384" t="s">
        <v>498</v>
      </c>
      <c r="E10" s="384" t="s">
        <v>510</v>
      </c>
      <c r="F10" s="384" t="s">
        <v>522</v>
      </c>
      <c r="G10" s="384" t="s">
        <v>534</v>
      </c>
      <c r="H10" s="381"/>
      <c r="I10" s="381"/>
      <c r="J10" s="381"/>
      <c r="K10" s="381"/>
      <c r="L10" s="381"/>
    </row>
    <row r="11" spans="1:12" ht="15.95" customHeight="1">
      <c r="A11" s="384" t="s">
        <v>462</v>
      </c>
      <c r="B11" s="384" t="s">
        <v>476</v>
      </c>
      <c r="C11" s="384" t="s">
        <v>487</v>
      </c>
      <c r="D11" s="384" t="s">
        <v>499</v>
      </c>
      <c r="E11" s="384" t="s">
        <v>511</v>
      </c>
      <c r="F11" s="384" t="s">
        <v>523</v>
      </c>
      <c r="G11" s="384" t="s">
        <v>535</v>
      </c>
      <c r="H11" s="381"/>
      <c r="I11" s="381"/>
      <c r="J11" s="381"/>
      <c r="K11" s="381"/>
      <c r="L11" s="381"/>
    </row>
    <row r="12" spans="1:12" ht="15.95" customHeight="1">
      <c r="A12" s="384" t="s">
        <v>463</v>
      </c>
      <c r="B12" s="384" t="s">
        <v>477</v>
      </c>
      <c r="C12" s="384" t="s">
        <v>488</v>
      </c>
      <c r="D12" s="384" t="s">
        <v>500</v>
      </c>
      <c r="E12" s="384" t="s">
        <v>512</v>
      </c>
      <c r="F12" s="384" t="s">
        <v>524</v>
      </c>
      <c r="G12" s="384" t="s">
        <v>536</v>
      </c>
      <c r="H12" s="381"/>
      <c r="I12" s="381"/>
      <c r="J12" s="381"/>
      <c r="K12" s="381"/>
      <c r="L12" s="381"/>
    </row>
    <row r="13" spans="1:12" ht="15.95" customHeight="1">
      <c r="A13" s="384" t="s">
        <v>464</v>
      </c>
      <c r="B13" s="384" t="s">
        <v>478</v>
      </c>
      <c r="C13" s="384" t="s">
        <v>489</v>
      </c>
      <c r="D13" s="384" t="s">
        <v>501</v>
      </c>
      <c r="E13" s="384" t="s">
        <v>513</v>
      </c>
      <c r="F13" s="384" t="s">
        <v>525</v>
      </c>
      <c r="G13" s="384" t="s">
        <v>537</v>
      </c>
      <c r="H13" s="381"/>
      <c r="I13" s="381"/>
      <c r="J13" s="381"/>
      <c r="K13" s="381"/>
      <c r="L13" s="381"/>
    </row>
    <row r="14" spans="1:12" ht="15.95" customHeight="1">
      <c r="A14" s="384" t="s">
        <v>465</v>
      </c>
      <c r="B14" s="384" t="s">
        <v>479</v>
      </c>
      <c r="C14" s="384" t="s">
        <v>490</v>
      </c>
      <c r="D14" s="384" t="s">
        <v>502</v>
      </c>
      <c r="E14" s="384" t="s">
        <v>514</v>
      </c>
      <c r="F14" s="384" t="s">
        <v>526</v>
      </c>
      <c r="G14" s="384" t="s">
        <v>538</v>
      </c>
      <c r="H14" s="381"/>
      <c r="I14" s="381"/>
      <c r="J14" s="381"/>
      <c r="K14" s="381"/>
      <c r="L14" s="381"/>
    </row>
    <row r="15" spans="1:12" ht="15.95" customHeight="1">
      <c r="A15" s="384" t="s">
        <v>466</v>
      </c>
      <c r="B15" s="384" t="s">
        <v>480</v>
      </c>
      <c r="C15" s="384" t="s">
        <v>491</v>
      </c>
      <c r="D15" s="384" t="s">
        <v>503</v>
      </c>
      <c r="E15" s="384" t="s">
        <v>515</v>
      </c>
      <c r="F15" s="384" t="s">
        <v>527</v>
      </c>
      <c r="G15" s="384" t="s">
        <v>539</v>
      </c>
      <c r="H15" s="381"/>
      <c r="I15" s="381"/>
      <c r="J15" s="381"/>
      <c r="K15" s="381"/>
      <c r="L15" s="381"/>
    </row>
    <row r="16" spans="1:12" ht="15.95" customHeight="1">
      <c r="A16" s="384" t="s">
        <v>467</v>
      </c>
      <c r="B16" s="384" t="s">
        <v>481</v>
      </c>
      <c r="C16" s="384" t="s">
        <v>492</v>
      </c>
      <c r="D16" s="384" t="s">
        <v>504</v>
      </c>
      <c r="E16" s="384" t="s">
        <v>516</v>
      </c>
      <c r="F16" s="384" t="s">
        <v>528</v>
      </c>
      <c r="G16" s="384" t="s">
        <v>540</v>
      </c>
      <c r="H16" s="381"/>
      <c r="I16" s="381"/>
      <c r="J16" s="381"/>
      <c r="K16" s="381"/>
      <c r="L16" s="381"/>
    </row>
    <row r="17" spans="1:12" ht="15.95" customHeight="1">
      <c r="A17" s="384" t="s">
        <v>468</v>
      </c>
      <c r="B17" s="384" t="s">
        <v>482</v>
      </c>
      <c r="C17" s="384" t="s">
        <v>493</v>
      </c>
      <c r="D17" s="384" t="s">
        <v>505</v>
      </c>
      <c r="E17" s="384" t="s">
        <v>517</v>
      </c>
      <c r="F17" s="384" t="s">
        <v>529</v>
      </c>
      <c r="G17" s="384" t="s">
        <v>541</v>
      </c>
      <c r="H17" s="381"/>
      <c r="I17" s="381"/>
      <c r="J17" s="381"/>
      <c r="K17" s="381"/>
      <c r="L17" s="381"/>
    </row>
    <row r="18" spans="1:12" ht="15.95" customHeight="1">
      <c r="A18" s="384" t="s">
        <v>469</v>
      </c>
      <c r="B18" s="384" t="s">
        <v>483</v>
      </c>
      <c r="C18" s="384" t="s">
        <v>494</v>
      </c>
      <c r="D18" s="384" t="s">
        <v>506</v>
      </c>
      <c r="E18" s="384" t="s">
        <v>518</v>
      </c>
      <c r="F18" s="384" t="s">
        <v>530</v>
      </c>
      <c r="G18" s="384" t="s">
        <v>542</v>
      </c>
      <c r="H18" s="381"/>
      <c r="I18" s="381"/>
      <c r="J18" s="381"/>
      <c r="K18" s="381"/>
      <c r="L18" s="381"/>
    </row>
    <row r="19" spans="1:12" ht="15.95" customHeight="1">
      <c r="A19" s="391" t="s">
        <v>470</v>
      </c>
      <c r="B19" s="391" t="s">
        <v>470</v>
      </c>
      <c r="C19" s="391" t="s">
        <v>470</v>
      </c>
      <c r="D19" s="391" t="s">
        <v>470</v>
      </c>
      <c r="E19" s="391" t="s">
        <v>470</v>
      </c>
      <c r="F19" s="391" t="s">
        <v>470</v>
      </c>
      <c r="G19" s="391" t="s">
        <v>470</v>
      </c>
      <c r="H19" s="381"/>
      <c r="I19" s="381"/>
      <c r="J19" s="381"/>
      <c r="K19" s="381"/>
      <c r="L19" s="381"/>
    </row>
    <row r="20" spans="1:12" ht="15.75">
      <c r="A20" s="38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</row>
    <row r="21" spans="1:12" ht="15.75">
      <c r="A21" s="381"/>
      <c r="B21" s="381"/>
      <c r="C21" s="381"/>
      <c r="D21" s="650" t="s">
        <v>552</v>
      </c>
      <c r="E21" s="646"/>
      <c r="F21" s="646"/>
      <c r="G21" s="647"/>
      <c r="H21" s="381"/>
      <c r="I21" s="381"/>
      <c r="J21" s="381"/>
      <c r="K21" s="381"/>
      <c r="L21" s="381"/>
    </row>
    <row r="22" spans="1:12" ht="17.25" customHeight="1">
      <c r="A22" s="381"/>
      <c r="B22" s="648" t="s">
        <v>429</v>
      </c>
      <c r="C22" s="648"/>
      <c r="D22" s="648" t="s">
        <v>430</v>
      </c>
      <c r="E22" s="648"/>
      <c r="F22" s="648" t="s">
        <v>431</v>
      </c>
      <c r="G22" s="648"/>
      <c r="H22" s="381"/>
      <c r="I22" s="381"/>
      <c r="J22" s="381"/>
      <c r="K22" s="381"/>
      <c r="L22" s="381"/>
    </row>
    <row r="23" spans="1:12" ht="15.75">
      <c r="A23" s="386" t="s">
        <v>432</v>
      </c>
      <c r="B23" s="644" t="s">
        <v>543</v>
      </c>
      <c r="C23" s="644"/>
      <c r="D23" s="644" t="s">
        <v>546</v>
      </c>
      <c r="E23" s="644"/>
      <c r="F23" s="644" t="s">
        <v>549</v>
      </c>
      <c r="G23" s="644"/>
      <c r="H23" s="381"/>
      <c r="I23" s="381"/>
      <c r="J23" s="381"/>
      <c r="K23" s="381"/>
      <c r="L23" s="381"/>
    </row>
    <row r="24" spans="1:12" ht="18" customHeight="1">
      <c r="A24" s="386" t="s">
        <v>433</v>
      </c>
      <c r="B24" s="644" t="s">
        <v>544</v>
      </c>
      <c r="C24" s="644"/>
      <c r="D24" s="644" t="s">
        <v>547</v>
      </c>
      <c r="E24" s="644"/>
      <c r="F24" s="644" t="s">
        <v>550</v>
      </c>
      <c r="G24" s="644"/>
      <c r="H24" s="381"/>
      <c r="I24" s="381"/>
      <c r="J24" s="381"/>
      <c r="K24" s="381"/>
      <c r="L24" s="381"/>
    </row>
    <row r="25" spans="1:12" ht="15.75">
      <c r="A25" s="386" t="s">
        <v>434</v>
      </c>
      <c r="B25" s="644" t="s">
        <v>545</v>
      </c>
      <c r="C25" s="644"/>
      <c r="D25" s="644" t="s">
        <v>548</v>
      </c>
      <c r="E25" s="644"/>
      <c r="F25" s="644" t="s">
        <v>551</v>
      </c>
      <c r="G25" s="644"/>
      <c r="H25" s="381"/>
      <c r="I25" s="381"/>
      <c r="J25" s="381"/>
      <c r="K25" s="381"/>
      <c r="L25" s="381"/>
    </row>
    <row r="26" spans="1:12" ht="15.75">
      <c r="A26" s="381"/>
      <c r="B26" s="381"/>
      <c r="C26" s="381"/>
      <c r="D26" s="381"/>
      <c r="E26" s="381"/>
      <c r="F26" s="381"/>
      <c r="G26" s="381"/>
      <c r="H26" s="381"/>
      <c r="I26" s="381"/>
      <c r="J26" s="381"/>
      <c r="K26" s="381"/>
      <c r="L26" s="381"/>
    </row>
    <row r="27" spans="1:12" ht="20.25">
      <c r="A27" s="380" t="s">
        <v>435</v>
      </c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</row>
    <row r="28" spans="1:12" ht="15.75">
      <c r="A28" s="381"/>
      <c r="B28" s="381"/>
      <c r="C28" s="381"/>
      <c r="D28" s="381"/>
      <c r="E28" s="645" t="s">
        <v>436</v>
      </c>
      <c r="F28" s="646"/>
      <c r="G28" s="647"/>
      <c r="H28" s="381"/>
      <c r="I28" s="381"/>
      <c r="J28" s="381"/>
      <c r="K28" s="381"/>
      <c r="L28" s="381"/>
    </row>
    <row r="29" spans="1:12" ht="15.75">
      <c r="A29" s="381"/>
      <c r="B29" s="648" t="s">
        <v>437</v>
      </c>
      <c r="C29" s="648"/>
      <c r="D29" s="385" t="s">
        <v>438</v>
      </c>
      <c r="E29" s="385" t="s">
        <v>439</v>
      </c>
      <c r="F29" s="648" t="s">
        <v>440</v>
      </c>
      <c r="G29" s="648"/>
      <c r="H29" s="381"/>
      <c r="I29" s="381"/>
      <c r="J29" s="381"/>
      <c r="K29" s="381"/>
      <c r="L29" s="381"/>
    </row>
    <row r="30" spans="1:12" ht="15.75">
      <c r="A30" s="386" t="s">
        <v>441</v>
      </c>
      <c r="B30" s="644" t="s">
        <v>553</v>
      </c>
      <c r="C30" s="644"/>
      <c r="D30" s="384" t="s">
        <v>556</v>
      </c>
      <c r="E30" s="384" t="s">
        <v>442</v>
      </c>
      <c r="F30" s="644" t="s">
        <v>559</v>
      </c>
      <c r="G30" s="644"/>
      <c r="H30" s="381"/>
      <c r="I30" s="381"/>
      <c r="J30" s="381"/>
      <c r="K30" s="381"/>
      <c r="L30" s="381"/>
    </row>
    <row r="31" spans="1:12" ht="15.75">
      <c r="A31" s="386" t="s">
        <v>443</v>
      </c>
      <c r="B31" s="644" t="s">
        <v>554</v>
      </c>
      <c r="C31" s="644"/>
      <c r="D31" s="384" t="s">
        <v>557</v>
      </c>
      <c r="E31" s="384" t="s">
        <v>444</v>
      </c>
      <c r="F31" s="644" t="s">
        <v>560</v>
      </c>
      <c r="G31" s="644"/>
      <c r="H31" s="381"/>
      <c r="I31" s="381"/>
      <c r="J31" s="381"/>
      <c r="K31" s="381"/>
      <c r="L31" s="381"/>
    </row>
    <row r="32" spans="1:12" ht="15.75">
      <c r="A32" s="386" t="s">
        <v>445</v>
      </c>
      <c r="B32" s="644" t="s">
        <v>555</v>
      </c>
      <c r="C32" s="644"/>
      <c r="D32" s="384" t="s">
        <v>558</v>
      </c>
      <c r="E32" s="384" t="s">
        <v>446</v>
      </c>
      <c r="F32" s="644" t="s">
        <v>561</v>
      </c>
      <c r="G32" s="644"/>
      <c r="H32" s="381"/>
      <c r="I32" s="381"/>
      <c r="J32" s="381"/>
      <c r="K32" s="381"/>
      <c r="L32" s="381"/>
    </row>
    <row r="33" spans="1:12" ht="15.75">
      <c r="A33" s="381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</row>
    <row r="34" spans="1:12" ht="15.75">
      <c r="A34" s="381"/>
      <c r="B34" s="381"/>
      <c r="C34" s="381"/>
      <c r="D34" s="381"/>
      <c r="E34" s="645" t="s">
        <v>447</v>
      </c>
      <c r="F34" s="646"/>
      <c r="G34" s="647"/>
      <c r="H34" s="381"/>
      <c r="I34" s="381"/>
      <c r="J34" s="381"/>
      <c r="K34" s="381"/>
      <c r="L34" s="381"/>
    </row>
    <row r="35" spans="1:12" ht="15.75">
      <c r="A35" s="381"/>
      <c r="B35" s="648" t="s">
        <v>448</v>
      </c>
      <c r="C35" s="648"/>
      <c r="D35" s="385" t="s">
        <v>439</v>
      </c>
      <c r="E35" s="385" t="s">
        <v>449</v>
      </c>
      <c r="F35" s="385" t="s">
        <v>100</v>
      </c>
      <c r="G35" s="385" t="s">
        <v>450</v>
      </c>
      <c r="H35" s="381"/>
      <c r="I35" s="381"/>
      <c r="J35" s="381"/>
      <c r="K35" s="381"/>
      <c r="L35" s="381"/>
    </row>
    <row r="36" spans="1:12" ht="15.75">
      <c r="A36" s="386" t="s">
        <v>441</v>
      </c>
      <c r="B36" s="640" t="s">
        <v>562</v>
      </c>
      <c r="C36" s="641"/>
      <c r="D36" s="387" t="s">
        <v>564</v>
      </c>
      <c r="E36" s="387" t="s">
        <v>451</v>
      </c>
      <c r="F36" s="388" t="s">
        <v>452</v>
      </c>
      <c r="G36" s="384" t="s">
        <v>567</v>
      </c>
      <c r="H36" s="381"/>
      <c r="I36" s="381"/>
      <c r="J36" s="381"/>
      <c r="K36" s="381"/>
      <c r="L36" s="381"/>
    </row>
    <row r="37" spans="1:12" ht="15.75">
      <c r="A37" s="386" t="s">
        <v>443</v>
      </c>
      <c r="B37" s="640" t="s">
        <v>563</v>
      </c>
      <c r="C37" s="641"/>
      <c r="D37" s="387" t="s">
        <v>565</v>
      </c>
      <c r="E37" s="387" t="s">
        <v>451</v>
      </c>
      <c r="F37" s="388" t="s">
        <v>453</v>
      </c>
      <c r="G37" s="389" t="s">
        <v>568</v>
      </c>
      <c r="H37" s="381"/>
      <c r="I37" s="381"/>
      <c r="J37" s="381"/>
      <c r="K37" s="381"/>
      <c r="L37" s="381"/>
    </row>
    <row r="38" spans="1:12" ht="15.75">
      <c r="A38" s="386" t="s">
        <v>445</v>
      </c>
      <c r="B38" s="640" t="s">
        <v>563</v>
      </c>
      <c r="C38" s="641"/>
      <c r="D38" s="387" t="s">
        <v>566</v>
      </c>
      <c r="E38" s="387" t="s">
        <v>451</v>
      </c>
      <c r="F38" s="388" t="s">
        <v>454</v>
      </c>
      <c r="G38" s="384" t="s">
        <v>569</v>
      </c>
      <c r="H38" s="381"/>
      <c r="I38" s="381"/>
      <c r="J38" s="381"/>
      <c r="K38" s="381"/>
      <c r="L38" s="381"/>
    </row>
    <row r="39" spans="1:12" ht="15.75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</row>
    <row r="40" spans="1:12" ht="15.75">
      <c r="A40" s="390" t="s">
        <v>455</v>
      </c>
      <c r="B40" s="642" t="s">
        <v>570</v>
      </c>
      <c r="C40" s="642"/>
      <c r="D40" s="643" t="s">
        <v>456</v>
      </c>
      <c r="E40" s="643"/>
      <c r="F40" s="642" t="s">
        <v>571</v>
      </c>
      <c r="G40" s="642"/>
      <c r="H40" s="381"/>
      <c r="I40" s="381"/>
      <c r="J40" s="381"/>
      <c r="K40" s="381"/>
      <c r="L40" s="381"/>
    </row>
    <row r="41" spans="1:12" ht="15.75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</row>
    <row r="42" spans="1:12" ht="15.75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</row>
    <row r="43" spans="1:12" ht="15.75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</row>
    <row r="44" spans="1:12" ht="15.75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</row>
    <row r="45" spans="1:12" ht="15.75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</row>
    <row r="46" spans="1:12" ht="15.75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</row>
    <row r="47" spans="1:12" ht="15.75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</row>
    <row r="48" spans="1:12" ht="15.75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</row>
    <row r="49" spans="1:12" ht="15.75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</row>
    <row r="50" spans="1:12" ht="15.75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</row>
    <row r="51" spans="1:12" ht="15.75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</row>
    <row r="52" spans="1:12" ht="15.75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</row>
    <row r="53" spans="1:12" ht="15.75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</row>
    <row r="54" spans="1:12" ht="15.75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</row>
    <row r="55" spans="1:12" ht="15.75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</row>
    <row r="56" spans="1:12" ht="15.75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</row>
    <row r="57" spans="1:12" ht="15.75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</row>
    <row r="58" spans="1:12" ht="15.75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</row>
    <row r="59" spans="1:12" ht="15.75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</row>
    <row r="60" spans="1:12" ht="15.75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</row>
    <row r="61" spans="1:12" ht="15.75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/>
  <dimension ref="A1:N120"/>
  <sheetViews>
    <sheetView showGridLines="0" tabSelected="1" zoomScaleNormal="100" workbookViewId="0">
      <selection activeCell="G16" sqref="G16"/>
    </sheetView>
  </sheetViews>
  <sheetFormatPr defaultColWidth="12.5703125" defaultRowHeight="15.75"/>
  <cols>
    <col min="1" max="13" width="7" style="444" customWidth="1"/>
    <col min="14" max="14" width="7.140625" style="444" customWidth="1"/>
    <col min="15" max="16384" width="12.5703125" style="444"/>
  </cols>
  <sheetData>
    <row r="1" spans="1:14" ht="17.100000000000001" customHeight="1">
      <c r="A1" s="437" t="s">
        <v>268</v>
      </c>
      <c r="B1" s="438"/>
      <c r="C1" s="438"/>
      <c r="D1" s="438"/>
      <c r="E1" s="438"/>
      <c r="F1" s="438"/>
      <c r="G1" s="438"/>
      <c r="H1" s="438"/>
      <c r="I1" s="438"/>
      <c r="J1" s="439" t="s">
        <v>604</v>
      </c>
      <c r="K1" s="440"/>
      <c r="L1" s="441" t="s">
        <v>605</v>
      </c>
      <c r="M1" s="442"/>
      <c r="N1" s="443"/>
    </row>
    <row r="2" spans="1:14" ht="17.100000000000001" customHeight="1">
      <c r="A2" s="445" t="s">
        <v>606</v>
      </c>
      <c r="B2" s="446"/>
      <c r="C2" s="446"/>
      <c r="D2" s="446"/>
      <c r="E2" s="446"/>
      <c r="F2" s="446"/>
      <c r="G2" s="446"/>
      <c r="H2" s="446"/>
      <c r="I2" s="446"/>
      <c r="J2" s="447" t="s">
        <v>607</v>
      </c>
      <c r="K2" s="448"/>
      <c r="L2" s="449" t="s">
        <v>608</v>
      </c>
      <c r="M2" s="450"/>
      <c r="N2" s="443"/>
    </row>
    <row r="3" spans="1:14" ht="15.95" customHeight="1">
      <c r="A3" s="451"/>
      <c r="B3" s="452"/>
      <c r="C3" s="452"/>
      <c r="D3" s="452"/>
      <c r="E3" s="452"/>
      <c r="F3" s="452"/>
      <c r="G3" s="452"/>
      <c r="H3" s="452"/>
      <c r="I3" s="452"/>
      <c r="J3" s="447" t="s">
        <v>609</v>
      </c>
      <c r="K3" s="448"/>
      <c r="L3" s="453" t="s">
        <v>610</v>
      </c>
      <c r="M3" s="450"/>
      <c r="N3" s="443"/>
    </row>
    <row r="4" spans="1:14" ht="15.95" customHeight="1">
      <c r="A4" s="454"/>
      <c r="B4" s="452"/>
      <c r="C4" s="452"/>
      <c r="D4" s="452"/>
      <c r="E4" s="452"/>
      <c r="F4" s="452"/>
      <c r="G4" s="452"/>
      <c r="H4" s="452"/>
      <c r="I4" s="452"/>
      <c r="J4" s="447" t="s">
        <v>611</v>
      </c>
      <c r="K4" s="448"/>
      <c r="L4" s="453" t="s">
        <v>612</v>
      </c>
      <c r="M4" s="450"/>
      <c r="N4" s="443"/>
    </row>
    <row r="5" spans="1:14" ht="15.95" customHeight="1">
      <c r="A5" s="451"/>
      <c r="B5" s="452"/>
      <c r="C5" s="452"/>
      <c r="D5" s="452"/>
      <c r="E5" s="452"/>
      <c r="F5" s="452"/>
      <c r="G5" s="452"/>
      <c r="H5" s="452"/>
      <c r="I5" s="452"/>
      <c r="J5" s="447" t="s">
        <v>613</v>
      </c>
      <c r="K5" s="448"/>
      <c r="L5" s="449">
        <v>2</v>
      </c>
      <c r="M5" s="450"/>
      <c r="N5" s="443"/>
    </row>
    <row r="6" spans="1:14" ht="15.95" customHeight="1">
      <c r="A6" s="455" t="s">
        <v>614</v>
      </c>
      <c r="B6" s="452"/>
      <c r="C6" s="452"/>
      <c r="D6" s="452"/>
      <c r="E6" s="452"/>
      <c r="F6" s="452"/>
      <c r="G6" s="452"/>
      <c r="H6" s="452"/>
      <c r="I6" s="452"/>
      <c r="J6" s="447" t="s">
        <v>615</v>
      </c>
      <c r="K6" s="448"/>
      <c r="L6" s="449" t="s">
        <v>616</v>
      </c>
      <c r="M6" s="450"/>
      <c r="N6" s="443"/>
    </row>
    <row r="7" spans="1:14" ht="15.95" customHeight="1" thickBot="1">
      <c r="A7" s="456" t="s">
        <v>617</v>
      </c>
      <c r="B7" s="457"/>
      <c r="C7" s="457"/>
      <c r="D7" s="457"/>
      <c r="E7" s="457"/>
      <c r="F7" s="457"/>
      <c r="G7" s="457"/>
      <c r="H7" s="457"/>
      <c r="I7" s="457"/>
      <c r="J7" s="458" t="s">
        <v>618</v>
      </c>
      <c r="K7" s="459"/>
      <c r="L7" s="460" t="s">
        <v>619</v>
      </c>
      <c r="M7" s="461"/>
      <c r="N7" s="443"/>
    </row>
    <row r="8" spans="1:14" ht="15.95" customHeight="1">
      <c r="A8" s="462"/>
      <c r="B8" s="452"/>
      <c r="C8" s="452"/>
      <c r="D8" s="452"/>
      <c r="E8" s="452"/>
      <c r="F8" s="452"/>
      <c r="G8" s="452"/>
      <c r="H8" s="452"/>
      <c r="I8" s="452"/>
      <c r="J8" s="452"/>
      <c r="K8" s="463"/>
      <c r="L8" s="464"/>
      <c r="M8" s="465"/>
      <c r="N8" s="452"/>
    </row>
    <row r="9" spans="1:14" ht="12" customHeight="1">
      <c r="A9" s="466"/>
      <c r="B9" s="467" t="s">
        <v>620</v>
      </c>
      <c r="C9" s="468" t="s">
        <v>175</v>
      </c>
      <c r="D9" s="469"/>
      <c r="E9" s="469"/>
      <c r="F9" s="469"/>
      <c r="G9" s="469"/>
      <c r="H9" s="469"/>
      <c r="I9" s="469"/>
      <c r="J9" s="469"/>
      <c r="K9" s="470"/>
      <c r="L9" s="466"/>
      <c r="M9" s="469"/>
      <c r="N9" s="452"/>
    </row>
    <row r="10" spans="1:14" ht="12" customHeight="1">
      <c r="A10" s="466"/>
      <c r="B10" s="467" t="s">
        <v>621</v>
      </c>
      <c r="C10" s="471" t="s">
        <v>175</v>
      </c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464"/>
    </row>
    <row r="11" spans="1:14" ht="16.5" thickBot="1">
      <c r="A11" s="464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</row>
    <row r="12" spans="1:14" ht="20.100000000000001" customHeight="1" thickBot="1">
      <c r="A12" s="472" t="s">
        <v>622</v>
      </c>
      <c r="B12" s="473"/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4"/>
      <c r="N12" s="443"/>
    </row>
    <row r="13" spans="1:14" ht="12.95" customHeight="1" thickTop="1">
      <c r="A13" s="475"/>
      <c r="B13" s="467" t="s">
        <v>623</v>
      </c>
      <c r="C13" s="476">
        <v>700</v>
      </c>
      <c r="D13" s="466"/>
      <c r="E13" s="467" t="s">
        <v>624</v>
      </c>
      <c r="F13" s="476">
        <v>4000</v>
      </c>
      <c r="G13" s="466"/>
      <c r="H13" s="467" t="s">
        <v>625</v>
      </c>
      <c r="I13" s="476" t="s">
        <v>709</v>
      </c>
      <c r="J13" s="466"/>
      <c r="K13" s="466"/>
      <c r="L13" s="467" t="s">
        <v>626</v>
      </c>
      <c r="M13" s="477">
        <v>3600</v>
      </c>
      <c r="N13" s="443"/>
    </row>
    <row r="14" spans="1:14" ht="12.95" customHeight="1">
      <c r="A14" s="475"/>
      <c r="B14" s="467" t="s">
        <v>627</v>
      </c>
      <c r="C14" s="468" t="s">
        <v>710</v>
      </c>
      <c r="D14" s="466"/>
      <c r="E14" s="467" t="s">
        <v>628</v>
      </c>
      <c r="F14" s="478" t="s">
        <v>669</v>
      </c>
      <c r="G14" s="466"/>
      <c r="H14" s="467" t="s">
        <v>629</v>
      </c>
      <c r="I14" s="476">
        <v>89</v>
      </c>
      <c r="J14" s="466"/>
      <c r="K14" s="466"/>
      <c r="L14" s="467" t="s">
        <v>584</v>
      </c>
      <c r="M14" s="477">
        <v>3570</v>
      </c>
      <c r="N14" s="443"/>
    </row>
    <row r="15" spans="1:14" ht="12.95" customHeight="1">
      <c r="A15" s="475"/>
      <c r="B15" s="467" t="s">
        <v>630</v>
      </c>
      <c r="C15" s="476" t="s">
        <v>711</v>
      </c>
      <c r="D15" s="466"/>
      <c r="E15" s="467" t="s">
        <v>631</v>
      </c>
      <c r="F15" s="479">
        <v>1.1499999999999999</v>
      </c>
      <c r="G15" s="466"/>
      <c r="H15" s="467" t="s">
        <v>632</v>
      </c>
      <c r="I15" s="478" t="s">
        <v>175</v>
      </c>
      <c r="J15" s="466"/>
      <c r="K15" s="466"/>
      <c r="L15" s="467" t="s">
        <v>633</v>
      </c>
      <c r="M15" s="477" t="s">
        <v>364</v>
      </c>
      <c r="N15" s="443"/>
    </row>
    <row r="16" spans="1:14" ht="12.95" customHeight="1">
      <c r="A16" s="475"/>
      <c r="B16" s="467" t="s">
        <v>634</v>
      </c>
      <c r="C16" s="476" t="s">
        <v>712</v>
      </c>
      <c r="D16" s="466"/>
      <c r="E16" s="467" t="s">
        <v>635</v>
      </c>
      <c r="F16" s="476" t="s">
        <v>451</v>
      </c>
      <c r="G16" s="466"/>
      <c r="H16" s="480" t="s">
        <v>636</v>
      </c>
      <c r="I16" s="481" t="s">
        <v>387</v>
      </c>
      <c r="J16" s="466"/>
      <c r="K16" s="466"/>
      <c r="L16" s="467" t="s">
        <v>637</v>
      </c>
      <c r="M16" s="477" t="s">
        <v>638</v>
      </c>
      <c r="N16" s="443"/>
    </row>
    <row r="17" spans="1:14" ht="12.95" customHeight="1">
      <c r="A17" s="475"/>
      <c r="B17" s="467" t="s">
        <v>639</v>
      </c>
      <c r="C17" s="468" t="s">
        <v>402</v>
      </c>
      <c r="D17" s="466"/>
      <c r="E17" s="467"/>
      <c r="F17" s="478"/>
      <c r="G17" s="466"/>
      <c r="H17" s="467" t="s">
        <v>640</v>
      </c>
      <c r="I17" s="481" t="s">
        <v>175</v>
      </c>
      <c r="J17" s="466"/>
      <c r="K17" s="466"/>
      <c r="L17" s="467"/>
      <c r="M17" s="482"/>
      <c r="N17" s="443"/>
    </row>
    <row r="18" spans="1:14" ht="12.95" customHeight="1" thickBot="1">
      <c r="A18" s="483"/>
      <c r="B18" s="484" t="s">
        <v>641</v>
      </c>
      <c r="C18" s="485" t="s">
        <v>175</v>
      </c>
      <c r="D18" s="486"/>
      <c r="E18" s="484" t="s">
        <v>642</v>
      </c>
      <c r="F18" s="485" t="s">
        <v>175</v>
      </c>
      <c r="G18" s="487"/>
      <c r="H18" s="484" t="s">
        <v>643</v>
      </c>
      <c r="I18" s="485" t="s">
        <v>175</v>
      </c>
      <c r="J18" s="486"/>
      <c r="K18" s="486"/>
      <c r="L18" s="486"/>
      <c r="M18" s="488"/>
      <c r="N18" s="443"/>
    </row>
    <row r="19" spans="1:14" ht="16.5" thickBot="1">
      <c r="A19" s="443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  <c r="M19" s="443"/>
      <c r="N19" s="443"/>
    </row>
    <row r="20" spans="1:14" ht="20.100000000000001" customHeight="1" thickBot="1">
      <c r="A20" s="472"/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4"/>
    </row>
    <row r="21" spans="1:14" ht="15.95" customHeight="1" thickTop="1">
      <c r="A21" s="489" t="s">
        <v>644</v>
      </c>
      <c r="B21" s="490"/>
      <c r="C21" s="464"/>
      <c r="D21" s="491"/>
      <c r="E21" s="492" t="s">
        <v>645</v>
      </c>
      <c r="F21" s="493"/>
      <c r="G21" s="493"/>
      <c r="H21" s="494"/>
      <c r="I21" s="495" t="s">
        <v>646</v>
      </c>
      <c r="J21" s="493"/>
      <c r="K21" s="493"/>
      <c r="L21" s="464"/>
      <c r="M21" s="496"/>
    </row>
    <row r="22" spans="1:14" ht="15.95" customHeight="1">
      <c r="A22" s="497"/>
      <c r="B22" s="466"/>
      <c r="C22" s="467" t="s">
        <v>647</v>
      </c>
      <c r="D22" s="498">
        <v>618</v>
      </c>
      <c r="E22" s="467"/>
      <c r="G22" s="480" t="s">
        <v>648</v>
      </c>
      <c r="H22" s="499">
        <v>1030</v>
      </c>
      <c r="I22" s="467"/>
      <c r="J22" s="466"/>
      <c r="K22" s="467" t="s">
        <v>649</v>
      </c>
      <c r="L22" s="466" t="s">
        <v>650</v>
      </c>
      <c r="M22" s="482"/>
    </row>
    <row r="23" spans="1:14" ht="15.95" customHeight="1">
      <c r="A23" s="497"/>
      <c r="B23" s="467"/>
      <c r="C23" s="470"/>
      <c r="D23" s="500"/>
      <c r="E23" s="467"/>
      <c r="G23" s="467" t="s">
        <v>651</v>
      </c>
      <c r="H23" s="498">
        <v>125</v>
      </c>
      <c r="I23" s="466"/>
      <c r="J23" s="466"/>
      <c r="K23" s="467" t="s">
        <v>652</v>
      </c>
      <c r="L23" s="466" t="s">
        <v>650</v>
      </c>
      <c r="M23" s="482"/>
    </row>
    <row r="24" spans="1:14" ht="15.95" customHeight="1">
      <c r="A24" s="475"/>
      <c r="B24" s="467"/>
      <c r="C24" s="466"/>
      <c r="D24" s="500"/>
      <c r="E24" s="467"/>
      <c r="G24" s="480" t="s">
        <v>653</v>
      </c>
      <c r="H24" s="498">
        <v>230</v>
      </c>
      <c r="I24" s="466"/>
      <c r="J24" s="467"/>
      <c r="K24" s="466"/>
      <c r="L24" s="466"/>
      <c r="M24" s="482"/>
    </row>
    <row r="25" spans="1:14" ht="15.95" customHeight="1" thickBot="1">
      <c r="A25" s="483"/>
      <c r="B25" s="484"/>
      <c r="C25" s="486"/>
      <c r="D25" s="501"/>
      <c r="E25" s="484"/>
      <c r="F25" s="484"/>
      <c r="G25" s="484"/>
      <c r="H25" s="502"/>
      <c r="I25" s="486"/>
      <c r="J25" s="484"/>
      <c r="K25" s="486"/>
      <c r="L25" s="486"/>
      <c r="M25" s="488"/>
    </row>
    <row r="26" spans="1:14" ht="18.95" customHeight="1" thickBot="1">
      <c r="A26" s="462"/>
      <c r="B26" s="462"/>
      <c r="C26" s="462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443"/>
    </row>
    <row r="27" spans="1:14" ht="20.100000000000001" customHeight="1" thickBot="1">
      <c r="A27" s="503"/>
      <c r="B27" s="504"/>
      <c r="C27" s="504"/>
      <c r="D27" s="504"/>
      <c r="E27" s="504"/>
      <c r="F27" s="504"/>
      <c r="G27" s="505"/>
      <c r="H27" s="504"/>
      <c r="I27" s="504"/>
      <c r="J27" s="504"/>
      <c r="K27" s="504"/>
      <c r="L27" s="504"/>
      <c r="M27" s="506"/>
    </row>
    <row r="28" spans="1:14" ht="15.95" customHeight="1" thickTop="1">
      <c r="A28" s="507" t="s">
        <v>654</v>
      </c>
      <c r="B28" s="490"/>
      <c r="C28" s="464"/>
      <c r="D28" s="464"/>
      <c r="E28" s="493"/>
      <c r="F28" s="493"/>
      <c r="G28" s="508"/>
      <c r="H28" s="492" t="s">
        <v>655</v>
      </c>
      <c r="I28" s="493"/>
      <c r="J28" s="493"/>
      <c r="K28" s="492"/>
      <c r="L28" s="493"/>
      <c r="M28" s="496"/>
    </row>
    <row r="29" spans="1:14" ht="15.95" customHeight="1">
      <c r="A29" s="475"/>
      <c r="B29" s="467"/>
      <c r="C29" s="467" t="s">
        <v>656</v>
      </c>
      <c r="D29" s="509">
        <v>94</v>
      </c>
      <c r="E29" s="467"/>
      <c r="F29" s="467"/>
      <c r="G29" s="508"/>
      <c r="H29" s="480"/>
      <c r="I29" s="467"/>
      <c r="J29" s="467" t="s">
        <v>656</v>
      </c>
      <c r="K29" s="509">
        <v>90.2</v>
      </c>
      <c r="L29" s="466"/>
      <c r="M29" s="482"/>
    </row>
    <row r="30" spans="1:14" ht="15.95" customHeight="1">
      <c r="A30" s="510"/>
      <c r="B30" s="466"/>
      <c r="C30" s="467" t="s">
        <v>657</v>
      </c>
      <c r="D30" s="509">
        <v>93.3</v>
      </c>
      <c r="E30" s="467"/>
      <c r="F30" s="467"/>
      <c r="G30" s="508"/>
      <c r="H30" s="467"/>
      <c r="I30" s="466"/>
      <c r="J30" s="467" t="s">
        <v>657</v>
      </c>
      <c r="K30" s="509">
        <v>88.6</v>
      </c>
      <c r="L30" s="466"/>
      <c r="M30" s="482"/>
    </row>
    <row r="31" spans="1:14" ht="15.95" customHeight="1">
      <c r="A31" s="475"/>
      <c r="B31" s="467"/>
      <c r="C31" s="467" t="s">
        <v>658</v>
      </c>
      <c r="D31" s="509">
        <v>91.7</v>
      </c>
      <c r="E31" s="467"/>
      <c r="F31" s="467"/>
      <c r="G31" s="508"/>
      <c r="H31" s="467"/>
      <c r="I31" s="466"/>
      <c r="J31" s="467" t="s">
        <v>658</v>
      </c>
      <c r="K31" s="509">
        <v>83.6</v>
      </c>
      <c r="L31" s="467"/>
      <c r="M31" s="482"/>
    </row>
    <row r="32" spans="1:14" ht="15.95" customHeight="1" thickBot="1">
      <c r="A32" s="483"/>
      <c r="B32" s="484"/>
      <c r="C32" s="486"/>
      <c r="D32" s="486"/>
      <c r="E32" s="484"/>
      <c r="F32" s="484"/>
      <c r="G32" s="511"/>
      <c r="H32" s="484"/>
      <c r="I32" s="486"/>
      <c r="J32" s="484"/>
      <c r="K32" s="486"/>
      <c r="L32" s="484"/>
      <c r="M32" s="488"/>
    </row>
    <row r="33" spans="1:14" ht="20.100000000000001" customHeight="1" thickBot="1">
      <c r="A33" s="512"/>
      <c r="B33" s="512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</row>
    <row r="34" spans="1:14" ht="20.100000000000001" customHeight="1" thickBot="1">
      <c r="A34" s="513"/>
      <c r="B34" s="514"/>
      <c r="C34" s="514"/>
      <c r="D34" s="514"/>
      <c r="E34" s="514"/>
      <c r="F34" s="514"/>
      <c r="G34" s="514"/>
      <c r="H34" s="514"/>
      <c r="I34" s="514"/>
      <c r="J34" s="514"/>
      <c r="K34" s="514"/>
      <c r="L34" s="514"/>
      <c r="M34" s="515"/>
    </row>
    <row r="35" spans="1:14" ht="15.95" customHeight="1" thickTop="1">
      <c r="A35" s="516" t="s">
        <v>659</v>
      </c>
      <c r="B35" s="470"/>
      <c r="C35" s="470"/>
      <c r="D35" s="470"/>
      <c r="E35" s="470"/>
      <c r="F35" s="470"/>
      <c r="G35" s="470"/>
      <c r="H35" s="470"/>
      <c r="I35" s="470"/>
      <c r="J35" s="470"/>
      <c r="K35" s="470"/>
      <c r="L35" s="470"/>
      <c r="M35" s="517"/>
    </row>
    <row r="36" spans="1:14" ht="15.95" customHeight="1">
      <c r="A36" s="510" t="s">
        <v>660</v>
      </c>
      <c r="B36" s="470"/>
      <c r="C36" s="470"/>
      <c r="D36" s="470"/>
      <c r="E36" s="470"/>
      <c r="F36" s="470"/>
      <c r="G36" s="470"/>
      <c r="H36" s="470"/>
      <c r="I36" s="470"/>
      <c r="J36" s="470"/>
      <c r="K36" s="470"/>
      <c r="L36" s="470"/>
      <c r="M36" s="517"/>
    </row>
    <row r="37" spans="1:14" ht="15.95" customHeight="1">
      <c r="A37" s="518" t="s">
        <v>661</v>
      </c>
      <c r="B37" s="470"/>
      <c r="C37" s="470"/>
      <c r="D37" s="470"/>
      <c r="E37" s="519"/>
      <c r="F37" s="470"/>
      <c r="G37" s="470"/>
      <c r="H37" s="470"/>
      <c r="I37" s="470"/>
      <c r="J37" s="470"/>
      <c r="K37" s="470"/>
      <c r="L37" s="470"/>
      <c r="M37" s="517"/>
    </row>
    <row r="38" spans="1:14" ht="15.95" customHeight="1">
      <c r="A38" s="520" t="s">
        <v>662</v>
      </c>
      <c r="B38" s="470"/>
      <c r="C38" s="470"/>
      <c r="D38" s="470"/>
      <c r="E38" s="470"/>
      <c r="F38" s="470"/>
      <c r="G38" s="470"/>
      <c r="H38" s="470"/>
      <c r="I38" s="470"/>
      <c r="J38" s="470"/>
      <c r="K38" s="470"/>
      <c r="L38" s="470"/>
      <c r="M38" s="517"/>
    </row>
    <row r="39" spans="1:14" ht="15.95" customHeight="1">
      <c r="A39" s="521" t="s">
        <v>663</v>
      </c>
      <c r="B39" s="470"/>
      <c r="C39" s="470"/>
      <c r="D39" s="470"/>
      <c r="E39" s="470"/>
      <c r="F39" s="470"/>
      <c r="G39" s="470"/>
      <c r="H39" s="470"/>
      <c r="I39" s="470"/>
      <c r="J39" s="470"/>
      <c r="K39" s="470"/>
      <c r="L39" s="470"/>
      <c r="M39" s="517"/>
    </row>
    <row r="40" spans="1:14" ht="15.95" customHeight="1" thickBot="1">
      <c r="A40" s="522" t="s">
        <v>664</v>
      </c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4"/>
    </row>
    <row r="41" spans="1:14" ht="15.95" customHeight="1"/>
    <row r="42" spans="1:14" ht="18">
      <c r="A42" s="525"/>
      <c r="B42" s="525"/>
      <c r="C42" s="525"/>
      <c r="D42" s="525"/>
      <c r="E42" s="525"/>
      <c r="F42" s="525"/>
      <c r="G42" s="525"/>
      <c r="H42" s="443"/>
      <c r="I42" s="443"/>
      <c r="J42" s="526" t="s">
        <v>665</v>
      </c>
      <c r="K42" s="651" t="s">
        <v>666</v>
      </c>
      <c r="L42" s="651"/>
      <c r="M42" s="651"/>
      <c r="N42" s="525"/>
    </row>
    <row r="43" spans="1:14" ht="7.5" customHeight="1">
      <c r="H43" s="443"/>
      <c r="I43" s="443"/>
      <c r="J43" s="443"/>
      <c r="K43" s="443"/>
      <c r="L43" s="443"/>
      <c r="M43" s="443"/>
    </row>
    <row r="44" spans="1:14" ht="16.5">
      <c r="H44" s="443"/>
      <c r="I44" s="443"/>
      <c r="J44" s="526" t="s">
        <v>667</v>
      </c>
      <c r="K44" s="652">
        <v>44739</v>
      </c>
      <c r="L44" s="652"/>
      <c r="M44" s="652"/>
    </row>
    <row r="59" spans="1:5">
      <c r="A59" s="444" t="s">
        <v>175</v>
      </c>
      <c r="B59" s="444" t="s">
        <v>668</v>
      </c>
      <c r="D59" s="444">
        <v>1</v>
      </c>
      <c r="E59" s="527" t="s">
        <v>175</v>
      </c>
    </row>
    <row r="60" spans="1:5">
      <c r="A60" s="444" t="s">
        <v>669</v>
      </c>
      <c r="B60" s="444" t="s">
        <v>670</v>
      </c>
      <c r="D60" s="444">
        <v>1.1499999999999999</v>
      </c>
      <c r="E60" s="527" t="s">
        <v>184</v>
      </c>
    </row>
    <row r="61" spans="1:5">
      <c r="A61" s="444" t="s">
        <v>671</v>
      </c>
      <c r="B61" s="444" t="s">
        <v>672</v>
      </c>
      <c r="E61" s="527" t="s">
        <v>321</v>
      </c>
    </row>
    <row r="62" spans="1:5">
      <c r="B62" s="444" t="s">
        <v>673</v>
      </c>
    </row>
    <row r="63" spans="1:5">
      <c r="B63" s="444" t="s">
        <v>674</v>
      </c>
    </row>
    <row r="64" spans="1:5">
      <c r="B64" s="444" t="s">
        <v>675</v>
      </c>
    </row>
    <row r="65" spans="2:2">
      <c r="B65" s="444" t="s">
        <v>676</v>
      </c>
    </row>
    <row r="66" spans="2:2">
      <c r="B66" s="444" t="s">
        <v>677</v>
      </c>
    </row>
    <row r="67" spans="2:2">
      <c r="B67" s="444" t="s">
        <v>678</v>
      </c>
    </row>
    <row r="68" spans="2:2">
      <c r="B68" s="444" t="s">
        <v>679</v>
      </c>
    </row>
    <row r="69" spans="2:2">
      <c r="B69" s="444" t="s">
        <v>680</v>
      </c>
    </row>
    <row r="70" spans="2:2">
      <c r="B70" s="444" t="s">
        <v>681</v>
      </c>
    </row>
    <row r="71" spans="2:2">
      <c r="B71" s="444" t="s">
        <v>682</v>
      </c>
    </row>
    <row r="72" spans="2:2">
      <c r="B72" s="444" t="s">
        <v>683</v>
      </c>
    </row>
    <row r="73" spans="2:2">
      <c r="B73" s="444" t="s">
        <v>684</v>
      </c>
    </row>
    <row r="74" spans="2:2">
      <c r="B74" s="444" t="s">
        <v>685</v>
      </c>
    </row>
    <row r="75" spans="2:2">
      <c r="B75" s="444" t="s">
        <v>686</v>
      </c>
    </row>
    <row r="76" spans="2:2">
      <c r="B76" s="444" t="s">
        <v>687</v>
      </c>
    </row>
    <row r="77" spans="2:2">
      <c r="B77" s="444" t="s">
        <v>688</v>
      </c>
    </row>
    <row r="78" spans="2:2">
      <c r="B78" s="444" t="s">
        <v>689</v>
      </c>
    </row>
    <row r="79" spans="2:2">
      <c r="B79" s="444" t="s">
        <v>690</v>
      </c>
    </row>
    <row r="80" spans="2:2">
      <c r="B80" s="444">
        <v>6312</v>
      </c>
    </row>
    <row r="81" spans="2:2">
      <c r="B81" s="444" t="s">
        <v>691</v>
      </c>
    </row>
    <row r="82" spans="2:2">
      <c r="B82" s="444" t="s">
        <v>692</v>
      </c>
    </row>
    <row r="83" spans="2:2">
      <c r="B83" s="444" t="s">
        <v>693</v>
      </c>
    </row>
    <row r="84" spans="2:2">
      <c r="B84" s="444" t="s">
        <v>694</v>
      </c>
    </row>
    <row r="85" spans="2:2">
      <c r="B85" s="444">
        <v>6313</v>
      </c>
    </row>
    <row r="86" spans="2:2">
      <c r="B86" s="444" t="s">
        <v>695</v>
      </c>
    </row>
    <row r="87" spans="2:2">
      <c r="B87" s="444" t="s">
        <v>696</v>
      </c>
    </row>
    <row r="88" spans="2:2">
      <c r="B88" s="444" t="s">
        <v>697</v>
      </c>
    </row>
    <row r="89" spans="2:2">
      <c r="B89" s="444">
        <v>6314</v>
      </c>
    </row>
    <row r="90" spans="2:2">
      <c r="B90" s="444" t="s">
        <v>698</v>
      </c>
    </row>
    <row r="91" spans="2:2">
      <c r="B91" s="444">
        <v>6317</v>
      </c>
    </row>
    <row r="92" spans="2:2">
      <c r="B92" s="444" t="s">
        <v>699</v>
      </c>
    </row>
    <row r="93" spans="2:2">
      <c r="B93" s="444">
        <v>6318</v>
      </c>
    </row>
    <row r="94" spans="2:2">
      <c r="B94" s="444" t="s">
        <v>700</v>
      </c>
    </row>
    <row r="95" spans="2:2">
      <c r="B95" s="444" t="s">
        <v>701</v>
      </c>
    </row>
    <row r="96" spans="2:2">
      <c r="B96" s="444" t="s">
        <v>702</v>
      </c>
    </row>
    <row r="97" spans="2:2">
      <c r="B97" s="444">
        <v>6320</v>
      </c>
    </row>
    <row r="98" spans="2:2">
      <c r="B98" s="444" t="s">
        <v>703</v>
      </c>
    </row>
    <row r="99" spans="2:2">
      <c r="B99" s="444" t="s">
        <v>704</v>
      </c>
    </row>
    <row r="100" spans="2:2">
      <c r="B100" s="444" t="s">
        <v>705</v>
      </c>
    </row>
    <row r="101" spans="2:2">
      <c r="B101" s="444" t="s">
        <v>706</v>
      </c>
    </row>
    <row r="102" spans="2:2">
      <c r="B102" s="444" t="s">
        <v>706</v>
      </c>
    </row>
    <row r="118" spans="2:2">
      <c r="B118" s="444" t="s">
        <v>707</v>
      </c>
    </row>
    <row r="120" spans="2:2">
      <c r="B120" s="444" t="s">
        <v>708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tabSelected="1" workbookViewId="0">
      <selection activeCell="G16" sqref="G16"/>
    </sheetView>
  </sheetViews>
  <sheetFormatPr defaultRowHeight="12.75"/>
  <cols>
    <col min="1" max="6" width="16.7109375" style="379" customWidth="1"/>
    <col min="7" max="16384" width="9.140625" style="379"/>
  </cols>
  <sheetData>
    <row r="1" spans="1:6" ht="18.95" customHeight="1">
      <c r="A1" s="392"/>
      <c r="B1" s="393"/>
      <c r="C1" s="393"/>
      <c r="D1" s="393"/>
      <c r="E1" s="393"/>
      <c r="F1" s="394"/>
    </row>
    <row r="2" spans="1:6" ht="26.1" customHeight="1">
      <c r="A2" s="395" t="s">
        <v>268</v>
      </c>
      <c r="B2" s="396"/>
      <c r="C2" s="396"/>
      <c r="D2" s="396"/>
      <c r="E2" s="396"/>
      <c r="F2" s="397"/>
    </row>
    <row r="3" spans="1:6" ht="18.95" customHeight="1">
      <c r="A3" s="398" t="s">
        <v>572</v>
      </c>
      <c r="B3" s="396"/>
      <c r="C3" s="396"/>
      <c r="D3" s="396"/>
      <c r="E3" s="396"/>
      <c r="F3" s="397"/>
    </row>
    <row r="4" spans="1:6" ht="18.95" customHeight="1">
      <c r="A4" s="399"/>
      <c r="B4" s="400"/>
      <c r="C4" s="400"/>
      <c r="D4" s="400"/>
      <c r="E4" s="400"/>
      <c r="F4" s="401"/>
    </row>
    <row r="5" spans="1:6" ht="18.95" customHeight="1">
      <c r="A5" s="399"/>
      <c r="B5" s="400"/>
      <c r="C5" s="400"/>
      <c r="D5" s="400"/>
      <c r="E5" s="400"/>
      <c r="F5" s="401"/>
    </row>
    <row r="6" spans="1:6" ht="18.95" customHeight="1">
      <c r="A6" s="402" t="s">
        <v>573</v>
      </c>
      <c r="B6" s="653" t="str">
        <f>'Performance Data Sheet'!C17</f>
        <v>7003TCQL11F-A</v>
      </c>
      <c r="C6" s="654"/>
      <c r="D6" s="655"/>
      <c r="E6" s="402" t="s">
        <v>574</v>
      </c>
      <c r="F6" s="403">
        <f>'Performance Data Sheet'!I14</f>
        <v>89</v>
      </c>
    </row>
    <row r="7" spans="1:6" ht="18.95" customHeight="1">
      <c r="A7" s="402" t="s">
        <v>575</v>
      </c>
      <c r="B7" s="403" t="str">
        <f>'Performance Data Sheet'!F14</f>
        <v>TEFC</v>
      </c>
      <c r="C7" s="402" t="s">
        <v>576</v>
      </c>
      <c r="D7" s="403" t="str">
        <f>'Performance Data Sheet'!F13 &amp; " V"</f>
        <v>4000 V</v>
      </c>
      <c r="E7" s="402" t="s">
        <v>577</v>
      </c>
      <c r="F7" s="403" t="str">
        <f>'Performance Data Sheet'!C14</f>
        <v>5812USS</v>
      </c>
    </row>
    <row r="8" spans="1:6" ht="18.95" customHeight="1">
      <c r="A8" s="402" t="s">
        <v>578</v>
      </c>
      <c r="B8" s="403">
        <v>2</v>
      </c>
      <c r="C8" s="402" t="s">
        <v>579</v>
      </c>
      <c r="D8" s="403" t="s">
        <v>580</v>
      </c>
      <c r="E8" s="402" t="s">
        <v>581</v>
      </c>
      <c r="F8" s="403" t="str">
        <f>'Performance Data Sheet'!M15</f>
        <v>F</v>
      </c>
    </row>
    <row r="9" spans="1:6" ht="18.95" customHeight="1">
      <c r="A9" s="402" t="s">
        <v>582</v>
      </c>
      <c r="B9" s="403">
        <f>'Performance Data Sheet'!C13</f>
        <v>700</v>
      </c>
      <c r="C9" s="402" t="s">
        <v>583</v>
      </c>
      <c r="D9" s="403" t="s">
        <v>593</v>
      </c>
      <c r="E9" s="402" t="s">
        <v>2</v>
      </c>
      <c r="F9" s="404">
        <f>'Performance Data Sheet'!K44</f>
        <v>44739</v>
      </c>
    </row>
    <row r="10" spans="1:6" ht="18.95" customHeight="1">
      <c r="A10" s="402" t="s">
        <v>584</v>
      </c>
      <c r="B10" s="403">
        <f>'Performance Data Sheet'!M14</f>
        <v>3570</v>
      </c>
      <c r="C10" s="402" t="s">
        <v>410</v>
      </c>
      <c r="D10" s="403" t="s">
        <v>594</v>
      </c>
      <c r="E10" s="402" t="s">
        <v>1</v>
      </c>
      <c r="F10" s="403" t="s">
        <v>720</v>
      </c>
    </row>
    <row r="11" spans="1:6" ht="18.95" customHeight="1">
      <c r="A11" s="399"/>
      <c r="B11" s="400"/>
      <c r="C11" s="400"/>
      <c r="D11" s="400"/>
      <c r="E11" s="400"/>
      <c r="F11" s="401"/>
    </row>
    <row r="12" spans="1:6" ht="18.95" customHeight="1">
      <c r="A12" s="399"/>
      <c r="B12" s="405" t="s">
        <v>585</v>
      </c>
      <c r="C12" s="406" t="str">
        <f>'Performance Data Sheet'!D22 &amp; " A"</f>
        <v>618 A</v>
      </c>
      <c r="D12" s="405" t="s">
        <v>409</v>
      </c>
      <c r="E12" s="406" t="s">
        <v>413</v>
      </c>
      <c r="F12" s="401"/>
    </row>
    <row r="13" spans="1:6" ht="18.95" customHeight="1">
      <c r="A13" s="399"/>
      <c r="B13" s="405" t="s">
        <v>586</v>
      </c>
      <c r="C13" s="407">
        <f>'Performance Data Sheet'!H23/100</f>
        <v>1.25</v>
      </c>
      <c r="D13" s="405" t="s">
        <v>587</v>
      </c>
      <c r="E13" s="406" t="s">
        <v>595</v>
      </c>
      <c r="F13" s="401"/>
    </row>
    <row r="14" spans="1:6" ht="18.95" customHeight="1">
      <c r="A14" s="399"/>
      <c r="B14" s="405" t="s">
        <v>588</v>
      </c>
      <c r="C14" s="407">
        <v>2.2999999999999998</v>
      </c>
      <c r="D14" s="405" t="s">
        <v>411</v>
      </c>
      <c r="E14" s="406" t="s">
        <v>416</v>
      </c>
      <c r="F14" s="401"/>
    </row>
    <row r="15" spans="1:6" ht="18.95" customHeight="1">
      <c r="A15" s="399"/>
      <c r="B15" s="405" t="s">
        <v>412</v>
      </c>
      <c r="C15" s="406" t="str">
        <f>'Performance Data Sheet'!H22 &amp; " lb-ft"</f>
        <v>1030 lb-ft</v>
      </c>
      <c r="D15" s="400"/>
      <c r="E15" s="400"/>
      <c r="F15" s="401"/>
    </row>
    <row r="16" spans="1:6" ht="18.95" customHeight="1">
      <c r="A16" s="399"/>
      <c r="B16" s="400"/>
      <c r="C16" s="400"/>
      <c r="D16" s="400"/>
      <c r="E16" s="400"/>
      <c r="F16" s="401"/>
    </row>
    <row r="17" spans="1:6" ht="18.95" customHeight="1">
      <c r="A17" s="399"/>
      <c r="B17" s="400"/>
      <c r="C17" s="400"/>
      <c r="D17" s="400"/>
      <c r="E17" s="400"/>
      <c r="F17" s="401"/>
    </row>
    <row r="18" spans="1:6" ht="18.95" customHeight="1">
      <c r="A18" s="399"/>
      <c r="B18" s="400"/>
      <c r="C18" s="400"/>
      <c r="D18" s="400"/>
      <c r="E18" s="400"/>
      <c r="F18" s="401"/>
    </row>
    <row r="19" spans="1:6" ht="18.95" customHeight="1">
      <c r="A19" s="399"/>
      <c r="B19" s="400"/>
      <c r="C19" s="400"/>
      <c r="D19" s="400"/>
      <c r="E19" s="400"/>
      <c r="F19" s="401"/>
    </row>
    <row r="20" spans="1:6" ht="18.95" customHeight="1">
      <c r="A20" s="399"/>
      <c r="B20" s="400"/>
      <c r="C20" s="400"/>
      <c r="D20" s="400"/>
      <c r="E20" s="400"/>
      <c r="F20" s="401"/>
    </row>
    <row r="21" spans="1:6" ht="18.95" customHeight="1">
      <c r="A21" s="399"/>
      <c r="B21" s="400"/>
      <c r="C21" s="400"/>
      <c r="D21" s="400"/>
      <c r="E21" s="400"/>
      <c r="F21" s="401"/>
    </row>
    <row r="22" spans="1:6" ht="18.95" customHeight="1">
      <c r="A22" s="399"/>
      <c r="B22" s="400"/>
      <c r="C22" s="400"/>
      <c r="D22" s="400"/>
      <c r="E22" s="400"/>
      <c r="F22" s="401"/>
    </row>
    <row r="23" spans="1:6" ht="18.95" customHeight="1">
      <c r="A23" s="399"/>
      <c r="B23" s="400"/>
      <c r="C23" s="400"/>
      <c r="D23" s="400"/>
      <c r="E23" s="400"/>
      <c r="F23" s="401"/>
    </row>
    <row r="24" spans="1:6" ht="18.95" customHeight="1">
      <c r="A24" s="399"/>
      <c r="B24" s="400"/>
      <c r="C24" s="400"/>
      <c r="D24" s="400"/>
      <c r="E24" s="400"/>
      <c r="F24" s="401"/>
    </row>
    <row r="25" spans="1:6" ht="18.95" customHeight="1">
      <c r="A25" s="399"/>
      <c r="B25" s="400"/>
      <c r="C25" s="400"/>
      <c r="D25" s="400"/>
      <c r="E25" s="400"/>
      <c r="F25" s="401"/>
    </row>
    <row r="26" spans="1:6" ht="18.95" customHeight="1">
      <c r="A26" s="399"/>
      <c r="B26" s="400"/>
      <c r="C26" s="400"/>
      <c r="D26" s="400"/>
      <c r="E26" s="400"/>
      <c r="F26" s="401"/>
    </row>
    <row r="27" spans="1:6" ht="18.95" customHeight="1">
      <c r="A27" s="399"/>
      <c r="B27" s="400"/>
      <c r="C27" s="400"/>
      <c r="D27" s="400"/>
      <c r="E27" s="400"/>
      <c r="F27" s="401"/>
    </row>
    <row r="28" spans="1:6" ht="18.95" customHeight="1">
      <c r="A28" s="399"/>
      <c r="B28" s="400"/>
      <c r="C28" s="400"/>
      <c r="D28" s="400"/>
      <c r="E28" s="400"/>
      <c r="F28" s="401"/>
    </row>
    <row r="29" spans="1:6" ht="18.95" customHeight="1">
      <c r="A29" s="399"/>
      <c r="B29" s="400"/>
      <c r="C29" s="400"/>
      <c r="D29" s="400"/>
      <c r="E29" s="400"/>
      <c r="F29" s="401"/>
    </row>
    <row r="30" spans="1:6" ht="18.95" customHeight="1">
      <c r="A30" s="399"/>
      <c r="B30" s="400"/>
      <c r="C30" s="400"/>
      <c r="D30" s="400"/>
      <c r="E30" s="400"/>
      <c r="F30" s="401"/>
    </row>
    <row r="31" spans="1:6" ht="18.95" customHeight="1">
      <c r="A31" s="399"/>
      <c r="B31" s="400"/>
      <c r="C31" s="400"/>
      <c r="D31" s="400"/>
      <c r="E31" s="400"/>
      <c r="F31" s="401"/>
    </row>
    <row r="32" spans="1:6" ht="18.95" customHeight="1">
      <c r="A32" s="399"/>
      <c r="B32" s="400"/>
      <c r="C32" s="400"/>
      <c r="D32" s="400"/>
      <c r="E32" s="400"/>
      <c r="F32" s="401"/>
    </row>
    <row r="33" spans="1:6" ht="18.95" customHeight="1">
      <c r="A33" s="399"/>
      <c r="B33" s="400"/>
      <c r="C33" s="400"/>
      <c r="D33" s="400"/>
      <c r="E33" s="400"/>
      <c r="F33" s="401"/>
    </row>
    <row r="34" spans="1:6" ht="18.95" customHeight="1">
      <c r="A34" s="399"/>
      <c r="B34" s="400"/>
      <c r="C34" s="400"/>
      <c r="D34" s="400"/>
      <c r="E34" s="400"/>
      <c r="F34" s="401"/>
    </row>
    <row r="35" spans="1:6" ht="18.95" customHeight="1">
      <c r="A35" s="399"/>
      <c r="B35" s="400"/>
      <c r="C35" s="400"/>
      <c r="D35" s="400"/>
      <c r="E35" s="400"/>
      <c r="F35" s="401"/>
    </row>
    <row r="36" spans="1:6" ht="18.95" customHeight="1">
      <c r="A36" s="399"/>
      <c r="B36" s="400"/>
      <c r="C36" s="400"/>
      <c r="D36" s="400"/>
      <c r="E36" s="400"/>
      <c r="F36" s="401"/>
    </row>
    <row r="37" spans="1:6" ht="18.95" customHeight="1">
      <c r="A37" s="399"/>
      <c r="B37" s="400"/>
      <c r="C37" s="400"/>
      <c r="D37" s="400"/>
      <c r="E37" s="400"/>
      <c r="F37" s="401"/>
    </row>
    <row r="38" spans="1:6" ht="18.95" customHeight="1">
      <c r="A38" s="399"/>
      <c r="B38" s="400"/>
      <c r="C38" s="400"/>
      <c r="D38" s="400"/>
      <c r="E38" s="400"/>
      <c r="F38" s="401"/>
    </row>
    <row r="39" spans="1:6" ht="18.95" customHeight="1">
      <c r="A39" s="408" t="s">
        <v>589</v>
      </c>
      <c r="B39" s="409" t="s">
        <v>371</v>
      </c>
      <c r="C39" s="528" t="str">
        <f>'Performance Data Sheet'!C10</f>
        <v>-</v>
      </c>
      <c r="D39" s="400"/>
      <c r="E39" s="405" t="s">
        <v>590</v>
      </c>
      <c r="F39" s="410" t="str">
        <f>F10</f>
        <v>1M2700U</v>
      </c>
    </row>
    <row r="40" spans="1:6" ht="18.95" customHeight="1">
      <c r="A40" s="399"/>
      <c r="B40" s="409"/>
      <c r="C40" s="409"/>
      <c r="D40" s="400"/>
      <c r="E40" s="400"/>
      <c r="F40" s="401"/>
    </row>
    <row r="41" spans="1:6" ht="18.95" customHeight="1">
      <c r="A41" s="399"/>
      <c r="B41" s="409"/>
      <c r="C41" s="409"/>
      <c r="D41" s="400"/>
      <c r="E41" s="400"/>
      <c r="F41" s="401"/>
    </row>
    <row r="42" spans="1:6" ht="18.95" customHeight="1">
      <c r="A42" s="399"/>
      <c r="B42" s="400"/>
      <c r="C42" s="400"/>
      <c r="D42" s="400"/>
      <c r="E42" s="400"/>
      <c r="F42" s="401"/>
    </row>
    <row r="43" spans="1:6" ht="18.95" customHeight="1">
      <c r="A43" s="411"/>
      <c r="B43" s="409"/>
      <c r="C43" s="412" t="s">
        <v>591</v>
      </c>
      <c r="D43" s="413" t="str">
        <f>'Performance Data Sheet'!K42</f>
        <v>Zichao Xie</v>
      </c>
      <c r="E43" s="412" t="s">
        <v>592</v>
      </c>
      <c r="F43" s="413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69" t="s">
        <v>408</v>
      </c>
      <c r="E53" s="369"/>
      <c r="F53" s="369"/>
      <c r="G53" s="369"/>
      <c r="H53" s="369"/>
      <c r="I53" s="369"/>
      <c r="J53" s="369"/>
      <c r="K53" s="369"/>
      <c r="L53" s="369"/>
    </row>
    <row r="54" spans="1:12" ht="15" customHeight="1">
      <c r="A54" s="416">
        <v>100</v>
      </c>
      <c r="B54" s="369">
        <v>0</v>
      </c>
      <c r="C54" s="369">
        <v>0.23912820219993591</v>
      </c>
      <c r="D54" s="369">
        <v>100</v>
      </c>
      <c r="E54" s="369"/>
      <c r="F54" s="369"/>
      <c r="G54" s="369"/>
      <c r="H54" s="369"/>
      <c r="I54" s="369"/>
      <c r="J54" s="369"/>
      <c r="K54" s="369"/>
      <c r="L54" s="369"/>
    </row>
    <row r="55" spans="1:12" ht="15" customHeight="1">
      <c r="A55" s="416">
        <v>99.24000003375113</v>
      </c>
      <c r="B55" s="369">
        <v>86.862422147083521</v>
      </c>
      <c r="C55" s="369">
        <v>127.35536193847656</v>
      </c>
      <c r="D55" s="369">
        <v>98.480003356933594</v>
      </c>
      <c r="E55" s="369"/>
      <c r="F55" s="369"/>
      <c r="G55" s="369"/>
      <c r="H55" s="369"/>
      <c r="I55" s="369"/>
      <c r="J55" s="369"/>
      <c r="K55" s="369"/>
      <c r="L55" s="369"/>
    </row>
    <row r="56" spans="1:12" ht="15" customHeight="1">
      <c r="A56" s="416">
        <v>96.200000122189522</v>
      </c>
      <c r="B56" s="369">
        <v>230</v>
      </c>
      <c r="C56" s="369">
        <v>447.22027587890625</v>
      </c>
      <c r="D56" s="369">
        <v>90.300003051757813</v>
      </c>
      <c r="E56" s="369"/>
      <c r="F56" s="369"/>
      <c r="G56" s="369"/>
      <c r="H56" s="369"/>
      <c r="I56" s="369"/>
      <c r="J56" s="369"/>
      <c r="K56" s="369"/>
      <c r="L56" s="369"/>
    </row>
    <row r="57" spans="1:12">
      <c r="A57" s="416">
        <v>91.090909391641617</v>
      </c>
      <c r="B57" s="369">
        <v>170.38776646818758</v>
      </c>
      <c r="C57" s="369">
        <v>574.68719482421875</v>
      </c>
      <c r="D57" s="369">
        <v>76.83636474609375</v>
      </c>
      <c r="E57" s="369"/>
      <c r="F57" s="369"/>
      <c r="G57" s="369"/>
      <c r="H57" s="369"/>
      <c r="I57" s="369"/>
      <c r="J57" s="369"/>
      <c r="K57" s="369"/>
      <c r="L57" s="369"/>
    </row>
    <row r="58" spans="1:12">
      <c r="A58" s="416">
        <v>85.981817543506622</v>
      </c>
      <c r="B58" s="369">
        <v>127.6008164415428</v>
      </c>
      <c r="C58" s="369">
        <v>615.63916015625</v>
      </c>
      <c r="D58" s="369">
        <v>63.552726745605469</v>
      </c>
      <c r="E58" s="369"/>
      <c r="F58" s="369"/>
      <c r="G58" s="369"/>
      <c r="H58" s="369"/>
      <c r="I58" s="369"/>
      <c r="J58" s="369"/>
      <c r="K58" s="369"/>
      <c r="L58" s="369"/>
    </row>
    <row r="59" spans="1:12">
      <c r="A59" s="416">
        <v>80.872726440429688</v>
      </c>
      <c r="B59" s="369">
        <v>107.32464996412293</v>
      </c>
      <c r="C59" s="369">
        <v>633.6265869140625</v>
      </c>
      <c r="D59" s="369">
        <v>51.919998168945313</v>
      </c>
      <c r="E59" s="369"/>
      <c r="F59" s="369"/>
      <c r="G59" s="369"/>
      <c r="H59" s="369"/>
      <c r="I59" s="369"/>
      <c r="J59" s="369"/>
      <c r="K59" s="369"/>
      <c r="L59" s="369"/>
    </row>
    <row r="60" spans="1:12">
      <c r="A60" s="416">
        <v>70.654544234275818</v>
      </c>
      <c r="B60" s="369">
        <v>94.677804369522661</v>
      </c>
      <c r="C60" s="369">
        <v>650.75689697265625</v>
      </c>
      <c r="D60" s="369">
        <v>34.112724304199219</v>
      </c>
      <c r="E60" s="369"/>
      <c r="F60" s="369"/>
      <c r="G60" s="369"/>
      <c r="H60" s="369"/>
      <c r="I60" s="369"/>
      <c r="J60" s="369"/>
      <c r="K60" s="369"/>
      <c r="L60" s="369"/>
    </row>
    <row r="61" spans="1:12">
      <c r="A61" s="416">
        <v>60.436362028121948</v>
      </c>
      <c r="B61" s="369">
        <v>90.978706124607001</v>
      </c>
      <c r="C61" s="369">
        <v>660.534912109375</v>
      </c>
      <c r="D61" s="369">
        <v>22.479997634887695</v>
      </c>
      <c r="E61" s="369"/>
      <c r="F61" s="369"/>
      <c r="G61" s="369"/>
      <c r="H61" s="369"/>
      <c r="I61" s="369"/>
      <c r="J61" s="369"/>
      <c r="K61" s="369"/>
      <c r="L61" s="369"/>
    </row>
    <row r="62" spans="1:12">
      <c r="A62" s="416">
        <v>50.218182802200317</v>
      </c>
      <c r="B62" s="369">
        <v>90.057749258861293</v>
      </c>
      <c r="C62" s="369">
        <v>668.11993408203125</v>
      </c>
      <c r="D62" s="369">
        <v>14.174546241760254</v>
      </c>
      <c r="E62" s="369"/>
      <c r="F62" s="369"/>
      <c r="G62" s="369"/>
      <c r="H62" s="369"/>
      <c r="I62" s="369"/>
      <c r="J62" s="369"/>
      <c r="K62" s="369"/>
      <c r="L62" s="369"/>
    </row>
    <row r="63" spans="1:12">
      <c r="A63" s="416">
        <v>39.999997615814209</v>
      </c>
      <c r="B63" s="369">
        <v>90</v>
      </c>
      <c r="C63" s="369">
        <v>674.7291259765625</v>
      </c>
      <c r="D63" s="369">
        <v>7.9999995231628418</v>
      </c>
      <c r="E63" s="369"/>
      <c r="F63" s="369"/>
      <c r="G63" s="369"/>
      <c r="H63" s="369"/>
      <c r="I63" s="369"/>
      <c r="J63" s="369"/>
      <c r="K63" s="369"/>
      <c r="L63" s="369"/>
    </row>
    <row r="64" spans="1:12">
      <c r="A64" s="416">
        <v>30.000001192092896</v>
      </c>
      <c r="B64" s="369">
        <v>92.609164448093978</v>
      </c>
      <c r="C64" s="369">
        <v>680.41644287109375</v>
      </c>
      <c r="D64" s="369">
        <v>5.9999995231628418</v>
      </c>
      <c r="E64" s="369"/>
      <c r="F64" s="369"/>
      <c r="G64" s="369"/>
      <c r="H64" s="369"/>
      <c r="I64" s="369"/>
      <c r="J64" s="369"/>
      <c r="K64" s="369"/>
      <c r="L64" s="369"/>
    </row>
    <row r="65" spans="1:12">
      <c r="A65" s="416">
        <v>19.999998807907104</v>
      </c>
      <c r="B65" s="369">
        <v>97.951578526679825</v>
      </c>
      <c r="C65" s="369">
        <v>685.5838623046875</v>
      </c>
      <c r="D65" s="369">
        <v>8.0000009536743164</v>
      </c>
      <c r="E65" s="369"/>
      <c r="F65" s="369"/>
      <c r="G65" s="369"/>
      <c r="H65" s="369"/>
      <c r="I65" s="369"/>
      <c r="J65" s="369"/>
      <c r="K65" s="369"/>
      <c r="L65" s="369"/>
    </row>
    <row r="66" spans="1:12">
      <c r="A66" s="416">
        <v>10.000002384185791</v>
      </c>
      <c r="B66" s="369">
        <v>107.78911913386847</v>
      </c>
      <c r="C66" s="369">
        <v>690.24945068359375</v>
      </c>
      <c r="D66" s="369">
        <v>14.999996185302734</v>
      </c>
      <c r="E66" s="369"/>
      <c r="F66" s="369"/>
      <c r="G66" s="369"/>
      <c r="H66" s="369"/>
      <c r="I66" s="369"/>
      <c r="J66" s="369"/>
      <c r="K66" s="369"/>
      <c r="L66" s="369"/>
    </row>
    <row r="67" spans="1:12">
      <c r="A67" s="417">
        <v>0</v>
      </c>
      <c r="B67" s="369">
        <v>125</v>
      </c>
      <c r="C67" s="369">
        <v>694.38201904296875</v>
      </c>
      <c r="D67" s="369">
        <v>30</v>
      </c>
      <c r="E67" s="369"/>
      <c r="F67" s="369"/>
      <c r="G67" s="369"/>
      <c r="H67" s="369"/>
      <c r="I67" s="369"/>
      <c r="J67" s="369"/>
      <c r="K67" s="369"/>
      <c r="L67" s="369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abSelected="1" topLeftCell="A39" workbookViewId="0">
      <selection activeCell="G16" sqref="G16"/>
    </sheetView>
  </sheetViews>
  <sheetFormatPr defaultRowHeight="12.75"/>
  <cols>
    <col min="1" max="6" width="16.7109375" style="379" customWidth="1"/>
    <col min="7" max="16384" width="9.140625" style="379"/>
  </cols>
  <sheetData>
    <row r="1" spans="1:6" ht="18.95" customHeight="1">
      <c r="A1" s="392"/>
      <c r="B1" s="393"/>
      <c r="C1" s="393"/>
      <c r="D1" s="393"/>
      <c r="E1" s="393"/>
      <c r="F1" s="394"/>
    </row>
    <row r="2" spans="1:6" ht="26.1" customHeight="1">
      <c r="A2" s="395" t="s">
        <v>268</v>
      </c>
      <c r="B2" s="396"/>
      <c r="C2" s="396"/>
      <c r="D2" s="396"/>
      <c r="E2" s="396"/>
      <c r="F2" s="397"/>
    </row>
    <row r="3" spans="1:6" ht="18.95" customHeight="1">
      <c r="A3" s="656" t="s">
        <v>596</v>
      </c>
      <c r="B3" s="657"/>
      <c r="C3" s="657"/>
      <c r="D3" s="657"/>
      <c r="E3" s="657"/>
      <c r="F3" s="658"/>
    </row>
    <row r="4" spans="1:6" ht="18.95" customHeight="1">
      <c r="A4" s="659" t="s">
        <v>597</v>
      </c>
      <c r="B4" s="660"/>
      <c r="C4" s="660"/>
      <c r="D4" s="660"/>
      <c r="E4" s="660"/>
      <c r="F4" s="661"/>
    </row>
    <row r="5" spans="1:6" ht="18.95" customHeight="1">
      <c r="A5" s="399"/>
      <c r="B5" s="400"/>
      <c r="C5" s="400"/>
      <c r="D5" s="400"/>
      <c r="E5" s="400"/>
      <c r="F5" s="401"/>
    </row>
    <row r="6" spans="1:6" ht="18.95" customHeight="1">
      <c r="A6" s="402" t="s">
        <v>573</v>
      </c>
      <c r="B6" s="653" t="str">
        <f>'Performance Data Sheet'!C17</f>
        <v>7003TCQL11F-A</v>
      </c>
      <c r="C6" s="654"/>
      <c r="D6" s="655"/>
      <c r="E6" s="402" t="s">
        <v>574</v>
      </c>
      <c r="F6" s="403">
        <f>'Performance Data Sheet'!I14</f>
        <v>89</v>
      </c>
    </row>
    <row r="7" spans="1:6" ht="18.95" customHeight="1">
      <c r="A7" s="402" t="s">
        <v>575</v>
      </c>
      <c r="B7" s="403" t="str">
        <f>'Performance Data Sheet'!F14</f>
        <v>TEFC</v>
      </c>
      <c r="C7" s="402" t="s">
        <v>576</v>
      </c>
      <c r="D7" s="403" t="str">
        <f>'Performance Data Sheet'!F13 &amp; " V"</f>
        <v>4000 V</v>
      </c>
      <c r="E7" s="402" t="s">
        <v>577</v>
      </c>
      <c r="F7" s="403" t="str">
        <f>'Performance Data Sheet'!C14</f>
        <v>5812USS</v>
      </c>
    </row>
    <row r="8" spans="1:6" ht="18.95" customHeight="1">
      <c r="A8" s="402" t="s">
        <v>578</v>
      </c>
      <c r="B8" s="403">
        <v>2</v>
      </c>
      <c r="C8" s="402" t="s">
        <v>579</v>
      </c>
      <c r="D8" s="403" t="s">
        <v>580</v>
      </c>
      <c r="E8" s="402" t="s">
        <v>581</v>
      </c>
      <c r="F8" s="403" t="str">
        <f>'Performance Data Sheet'!M15</f>
        <v>F</v>
      </c>
    </row>
    <row r="9" spans="1:6" ht="18.95" customHeight="1">
      <c r="A9" s="402" t="s">
        <v>582</v>
      </c>
      <c r="B9" s="403">
        <f>'Performance Data Sheet'!C13</f>
        <v>700</v>
      </c>
      <c r="C9" s="402" t="s">
        <v>583</v>
      </c>
      <c r="D9" s="403" t="s">
        <v>593</v>
      </c>
      <c r="E9" s="402" t="s">
        <v>2</v>
      </c>
      <c r="F9" s="404">
        <f>'Performance Data Sheet'!K44</f>
        <v>44739</v>
      </c>
    </row>
    <row r="10" spans="1:6" ht="18.95" customHeight="1">
      <c r="A10" s="402" t="s">
        <v>584</v>
      </c>
      <c r="B10" s="403">
        <f>'Performance Data Sheet'!M14</f>
        <v>3570</v>
      </c>
      <c r="C10" s="402" t="s">
        <v>410</v>
      </c>
      <c r="D10" s="403" t="s">
        <v>594</v>
      </c>
      <c r="E10" s="402" t="s">
        <v>1</v>
      </c>
      <c r="F10" s="403" t="s">
        <v>720</v>
      </c>
    </row>
    <row r="11" spans="1:6" ht="18.95" customHeight="1">
      <c r="A11" s="399"/>
      <c r="B11" s="400"/>
      <c r="C11" s="400"/>
      <c r="D11" s="400"/>
      <c r="E11" s="400"/>
      <c r="F11" s="401"/>
    </row>
    <row r="12" spans="1:6" ht="18.95" customHeight="1">
      <c r="A12" s="399"/>
      <c r="B12" s="405"/>
      <c r="C12" s="406" t="str">
        <f>'Performance Data Sheet'!D22 &amp; " A"</f>
        <v>618 A</v>
      </c>
      <c r="D12" s="405"/>
      <c r="E12" s="406"/>
      <c r="F12" s="401"/>
    </row>
    <row r="13" spans="1:6" ht="18.95" customHeight="1">
      <c r="A13" s="399"/>
      <c r="B13" s="405"/>
      <c r="C13" s="407">
        <f>'Performance Data Sheet'!H23/100</f>
        <v>1.25</v>
      </c>
      <c r="D13" s="405"/>
      <c r="E13" s="406"/>
      <c r="F13" s="401"/>
    </row>
    <row r="14" spans="1:6" ht="18.95" customHeight="1">
      <c r="A14" s="399"/>
      <c r="B14" s="405"/>
      <c r="C14" s="407"/>
      <c r="D14" s="405"/>
      <c r="E14" s="406"/>
      <c r="F14" s="401"/>
    </row>
    <row r="15" spans="1:6" ht="18.95" customHeight="1">
      <c r="A15" s="399"/>
      <c r="B15" s="405"/>
      <c r="C15" s="406" t="str">
        <f>'Performance Data Sheet'!H22 &amp; " lb-ft"</f>
        <v>1030 lb-ft</v>
      </c>
      <c r="D15" s="400"/>
      <c r="E15" s="400"/>
      <c r="F15" s="401"/>
    </row>
    <row r="16" spans="1:6" ht="18.95" customHeight="1">
      <c r="A16" s="399"/>
      <c r="B16" s="400"/>
      <c r="C16" s="400"/>
      <c r="D16" s="400"/>
      <c r="E16" s="400"/>
      <c r="F16" s="401"/>
    </row>
    <row r="17" spans="1:6" ht="18.95" customHeight="1">
      <c r="A17" s="399"/>
      <c r="B17" s="400"/>
      <c r="C17" s="400"/>
      <c r="D17" s="400"/>
      <c r="E17" s="400"/>
      <c r="F17" s="401"/>
    </row>
    <row r="18" spans="1:6" ht="18.95" customHeight="1">
      <c r="A18" s="399"/>
      <c r="B18" s="400"/>
      <c r="C18" s="400"/>
      <c r="D18" s="400"/>
      <c r="E18" s="400"/>
      <c r="F18" s="401"/>
    </row>
    <row r="19" spans="1:6" ht="18.95" customHeight="1">
      <c r="A19" s="399"/>
      <c r="B19" s="400"/>
      <c r="C19" s="400"/>
      <c r="D19" s="400"/>
      <c r="E19" s="400"/>
      <c r="F19" s="401"/>
    </row>
    <row r="20" spans="1:6" ht="18.95" customHeight="1">
      <c r="A20" s="399"/>
      <c r="B20" s="400"/>
      <c r="C20" s="400"/>
      <c r="D20" s="400"/>
      <c r="E20" s="400"/>
      <c r="F20" s="401"/>
    </row>
    <row r="21" spans="1:6" ht="18.95" customHeight="1">
      <c r="A21" s="399"/>
      <c r="B21" s="400"/>
      <c r="C21" s="400"/>
      <c r="D21" s="400"/>
      <c r="E21" s="400"/>
      <c r="F21" s="401"/>
    </row>
    <row r="22" spans="1:6" ht="18.95" customHeight="1">
      <c r="A22" s="399"/>
      <c r="B22" s="400"/>
      <c r="C22" s="400"/>
      <c r="D22" s="400"/>
      <c r="E22" s="400"/>
      <c r="F22" s="401"/>
    </row>
    <row r="23" spans="1:6" ht="18.95" customHeight="1">
      <c r="A23" s="399"/>
      <c r="B23" s="400"/>
      <c r="C23" s="400"/>
      <c r="D23" s="400"/>
      <c r="E23" s="400"/>
      <c r="F23" s="401"/>
    </row>
    <row r="24" spans="1:6" ht="18.95" customHeight="1">
      <c r="A24" s="399"/>
      <c r="B24" s="400"/>
      <c r="C24" s="400"/>
      <c r="D24" s="400"/>
      <c r="E24" s="400"/>
      <c r="F24" s="401"/>
    </row>
    <row r="25" spans="1:6" ht="18.95" customHeight="1">
      <c r="A25" s="399"/>
      <c r="B25" s="400"/>
      <c r="C25" s="400"/>
      <c r="D25" s="400"/>
      <c r="E25" s="400"/>
      <c r="F25" s="401"/>
    </row>
    <row r="26" spans="1:6" ht="18.95" customHeight="1">
      <c r="A26" s="399"/>
      <c r="B26" s="400"/>
      <c r="C26" s="400"/>
      <c r="D26" s="400"/>
      <c r="E26" s="400"/>
      <c r="F26" s="401"/>
    </row>
    <row r="27" spans="1:6" ht="18.95" customHeight="1">
      <c r="A27" s="399"/>
      <c r="B27" s="400"/>
      <c r="C27" s="400"/>
      <c r="D27" s="400"/>
      <c r="E27" s="400"/>
      <c r="F27" s="401"/>
    </row>
    <row r="28" spans="1:6" ht="18.95" customHeight="1">
      <c r="A28" s="399"/>
      <c r="B28" s="400"/>
      <c r="C28" s="400"/>
      <c r="D28" s="400"/>
      <c r="E28" s="400"/>
      <c r="F28" s="401"/>
    </row>
    <row r="29" spans="1:6" ht="18.95" customHeight="1">
      <c r="A29" s="399"/>
      <c r="B29" s="400"/>
      <c r="C29" s="400"/>
      <c r="D29" s="400"/>
      <c r="E29" s="400"/>
      <c r="F29" s="401"/>
    </row>
    <row r="30" spans="1:6" ht="18.95" customHeight="1">
      <c r="A30" s="399"/>
      <c r="B30" s="400"/>
      <c r="C30" s="400"/>
      <c r="D30" s="400"/>
      <c r="E30" s="400"/>
      <c r="F30" s="401"/>
    </row>
    <row r="31" spans="1:6" ht="18.95" customHeight="1">
      <c r="A31" s="399"/>
      <c r="B31" s="400"/>
      <c r="C31" s="400"/>
      <c r="D31" s="400"/>
      <c r="E31" s="400"/>
      <c r="F31" s="401"/>
    </row>
    <row r="32" spans="1:6" ht="18.95" customHeight="1">
      <c r="A32" s="399"/>
      <c r="B32" s="400"/>
      <c r="C32" s="400"/>
      <c r="D32" s="400"/>
      <c r="E32" s="400"/>
      <c r="F32" s="401"/>
    </row>
    <row r="33" spans="1:6" ht="18.95" customHeight="1">
      <c r="A33" s="399"/>
      <c r="B33" s="400"/>
      <c r="C33" s="400"/>
      <c r="D33" s="400"/>
      <c r="E33" s="400"/>
      <c r="F33" s="401"/>
    </row>
    <row r="34" spans="1:6" ht="18.95" customHeight="1">
      <c r="A34" s="399"/>
      <c r="B34" s="400"/>
      <c r="C34" s="400"/>
      <c r="D34" s="400"/>
      <c r="E34" s="400"/>
      <c r="F34" s="401"/>
    </row>
    <row r="35" spans="1:6" ht="18.95" customHeight="1">
      <c r="A35" s="399"/>
      <c r="B35" s="400"/>
      <c r="C35" s="400"/>
      <c r="D35" s="400"/>
      <c r="E35" s="400"/>
      <c r="F35" s="401"/>
    </row>
    <row r="36" spans="1:6" ht="18.95" customHeight="1">
      <c r="A36" s="399"/>
      <c r="B36" s="400"/>
      <c r="C36" s="400"/>
      <c r="D36" s="400"/>
      <c r="E36" s="400"/>
      <c r="F36" s="401"/>
    </row>
    <row r="37" spans="1:6" ht="18.95" customHeight="1">
      <c r="A37" s="399"/>
      <c r="B37" s="400"/>
      <c r="C37" s="400"/>
      <c r="D37" s="400"/>
      <c r="E37" s="400"/>
      <c r="F37" s="401"/>
    </row>
    <row r="38" spans="1:6" ht="18.95" customHeight="1">
      <c r="A38" s="399"/>
      <c r="B38" s="400"/>
      <c r="C38" s="400"/>
      <c r="D38" s="400"/>
      <c r="E38" s="400"/>
      <c r="F38" s="401"/>
    </row>
    <row r="39" spans="1:6" ht="18.95" customHeight="1">
      <c r="A39" s="408" t="s">
        <v>589</v>
      </c>
      <c r="B39" s="409" t="s">
        <v>371</v>
      </c>
      <c r="C39" s="528" t="str">
        <f>'Performance Data Sheet'!C10</f>
        <v>-</v>
      </c>
      <c r="D39" s="400"/>
      <c r="E39" s="405" t="s">
        <v>590</v>
      </c>
      <c r="F39" s="410" t="str">
        <f>F10</f>
        <v>1M2700U</v>
      </c>
    </row>
    <row r="40" spans="1:6" ht="18.95" customHeight="1">
      <c r="A40" s="399"/>
      <c r="B40" s="409"/>
      <c r="C40" s="409"/>
      <c r="D40" s="400"/>
      <c r="E40" s="400"/>
      <c r="F40" s="401"/>
    </row>
    <row r="41" spans="1:6" ht="18.95" customHeight="1">
      <c r="A41" s="399"/>
      <c r="B41" s="409"/>
      <c r="C41" s="409"/>
      <c r="D41" s="400"/>
      <c r="E41" s="400"/>
      <c r="F41" s="401"/>
    </row>
    <row r="42" spans="1:6" ht="18.95" customHeight="1">
      <c r="A42" s="399"/>
      <c r="B42" s="400"/>
      <c r="C42" s="400"/>
      <c r="D42" s="400"/>
      <c r="E42" s="400"/>
      <c r="F42" s="401"/>
    </row>
    <row r="43" spans="1:6" ht="18.95" customHeight="1">
      <c r="A43" s="411"/>
      <c r="B43" s="409"/>
      <c r="C43" s="412" t="s">
        <v>591</v>
      </c>
      <c r="D43" s="413" t="str">
        <f>'Performance Data Sheet'!K42</f>
        <v>Zichao Xie</v>
      </c>
      <c r="E43" s="412" t="s">
        <v>592</v>
      </c>
      <c r="F43" s="413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8" t="e">
        <f>5252.1*B50/D53</f>
        <v>#DIV/0!</v>
      </c>
      <c r="G50" s="418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9"/>
    </row>
    <row r="63" spans="6:9">
      <c r="I63" s="379" t="s">
        <v>39</v>
      </c>
    </row>
    <row r="66" spans="1:6">
      <c r="D66" s="418" t="e">
        <f>D65/D64</f>
        <v>#DIV/0!</v>
      </c>
    </row>
    <row r="67" spans="1:6">
      <c r="A67" s="420" t="s">
        <v>404</v>
      </c>
      <c r="B67" s="420" t="s">
        <v>598</v>
      </c>
      <c r="C67" s="420" t="s">
        <v>599</v>
      </c>
      <c r="E67" s="420" t="s">
        <v>600</v>
      </c>
      <c r="F67" s="420" t="s">
        <v>601</v>
      </c>
    </row>
    <row r="68" spans="1:6">
      <c r="A68" s="421">
        <v>694.38202247191009</v>
      </c>
      <c r="B68" s="422">
        <v>10.04525865827288</v>
      </c>
      <c r="C68" s="422">
        <v>5.8318764822823663</v>
      </c>
      <c r="E68" s="421">
        <f>A68</f>
        <v>694.38202247191009</v>
      </c>
      <c r="F68" s="422">
        <v>1E-4</v>
      </c>
    </row>
    <row r="69" spans="1:6">
      <c r="A69" s="421">
        <f>FLOOR(A68,100)</f>
        <v>600</v>
      </c>
      <c r="B69" s="422">
        <f>((A68/A69)^2)*B68</f>
        <v>13.454128153720109</v>
      </c>
      <c r="C69" s="422">
        <f>((A68/A69)^2)*C68</f>
        <v>7.8109301351513221</v>
      </c>
      <c r="E69" s="421">
        <v>692.35955056179785</v>
      </c>
      <c r="F69" s="422">
        <v>0.48199999332427979</v>
      </c>
    </row>
    <row r="70" spans="1:6">
      <c r="A70" s="421">
        <f>A69-100</f>
        <v>500</v>
      </c>
      <c r="B70" s="422">
        <f>((A68/A70)^2)*B68</f>
        <v>19.373944541356952</v>
      </c>
      <c r="C70" s="422">
        <f>((A68/A70)^2)*C68</f>
        <v>11.247739394617902</v>
      </c>
      <c r="E70" s="421">
        <v>687.86516853932596</v>
      </c>
      <c r="F70" s="422">
        <v>0.97699999809265137</v>
      </c>
    </row>
    <row r="71" spans="1:6">
      <c r="A71" s="421">
        <f>A70-100</f>
        <v>400</v>
      </c>
      <c r="B71" s="422">
        <f>((A68/A71)^2)*B68</f>
        <v>30.271788345870245</v>
      </c>
      <c r="C71" s="422">
        <f>((A68/A71)^2)*C68</f>
        <v>17.574592804090475</v>
      </c>
      <c r="E71" s="421">
        <v>683.03370786516859</v>
      </c>
      <c r="F71" s="422">
        <v>1.4900000095367432</v>
      </c>
    </row>
    <row r="72" spans="1:6">
      <c r="A72" s="421">
        <f>A71-100</f>
        <v>300</v>
      </c>
      <c r="B72" s="422">
        <f>((A68/A72)^2)*B68</f>
        <v>53.816512614880438</v>
      </c>
      <c r="C72" s="422"/>
      <c r="E72" s="421">
        <v>677.52808988764048</v>
      </c>
      <c r="F72" s="422">
        <v>2.0269999504089355</v>
      </c>
    </row>
    <row r="73" spans="1:6">
      <c r="A73" s="421">
        <f>A72-100</f>
        <v>200</v>
      </c>
      <c r="B73" s="422">
        <f>((A68/A73)^2)*B68</f>
        <v>121.08715338348098</v>
      </c>
      <c r="C73" s="422"/>
      <c r="E73" s="421">
        <v>671.4606741573034</v>
      </c>
      <c r="F73" s="422">
        <v>2.6129999160766602</v>
      </c>
    </row>
    <row r="74" spans="1:6">
      <c r="A74" s="421">
        <v>230</v>
      </c>
      <c r="B74" s="422">
        <f>((A68/A74)^2)*B68</f>
        <v>91.559284221913771</v>
      </c>
      <c r="C74" s="422">
        <f>((A68/A74)^2)*C68</f>
        <v>53.155668216530728</v>
      </c>
      <c r="E74" s="421">
        <v>664.38202247190998</v>
      </c>
      <c r="F74" s="422">
        <v>3.2539999485015869</v>
      </c>
    </row>
    <row r="75" spans="1:6">
      <c r="A75" s="423">
        <v>180</v>
      </c>
      <c r="B75" s="422">
        <f>((A68/A75)^2)*B69</f>
        <v>200.22001372275759</v>
      </c>
      <c r="C75" s="422">
        <f>((A68/A75)^2)*C68</f>
        <v>86.788112612792474</v>
      </c>
      <c r="E75" s="421">
        <v>655.61797752808991</v>
      </c>
      <c r="F75" s="422">
        <v>3.9709999561309814</v>
      </c>
    </row>
    <row r="76" spans="1:6">
      <c r="A76" s="423">
        <v>145</v>
      </c>
      <c r="B76" s="422">
        <f>((A68/A76)^2)*B68</f>
        <v>230.36794936215165</v>
      </c>
      <c r="C76" s="422">
        <f>((A68/A76)^2)*C68</f>
        <v>133.74244226656245</v>
      </c>
      <c r="E76" s="421">
        <v>642.24719101123594</v>
      </c>
      <c r="F76" s="422">
        <v>4.7680001258850098</v>
      </c>
    </row>
    <row r="77" spans="1:6">
      <c r="A77" s="423">
        <v>125</v>
      </c>
      <c r="B77" s="422"/>
      <c r="C77" s="421">
        <f>CEILING(C76*2,100)</f>
        <v>300</v>
      </c>
      <c r="E77" s="421">
        <v>624.60674157303367</v>
      </c>
      <c r="F77" s="422">
        <v>5.1550002098083496</v>
      </c>
    </row>
    <row r="78" spans="1:6">
      <c r="A78" s="423">
        <v>125</v>
      </c>
      <c r="B78" s="422"/>
      <c r="C78" s="421">
        <f>2*C77</f>
        <v>600</v>
      </c>
      <c r="E78" s="421">
        <v>595.16853932584274</v>
      </c>
      <c r="F78" s="422">
        <v>5.448000431060791</v>
      </c>
    </row>
    <row r="79" spans="1:6">
      <c r="A79" s="423">
        <v>125</v>
      </c>
      <c r="B79" s="423"/>
      <c r="C79" s="423">
        <v>10000</v>
      </c>
      <c r="E79" s="421">
        <v>510.89887640449439</v>
      </c>
      <c r="F79" s="422">
        <v>5.6460003852844238</v>
      </c>
    </row>
    <row r="80" spans="1:6">
      <c r="E80" s="421">
        <f>A77</f>
        <v>125</v>
      </c>
      <c r="F80" s="422">
        <v>5.8370003700256348</v>
      </c>
    </row>
    <row r="81" spans="5:6">
      <c r="E81" s="421"/>
      <c r="F81" s="42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69"/>
  <sheetViews>
    <sheetView workbookViewId="0">
      <selection activeCell="J12" sqref="J12"/>
    </sheetView>
  </sheetViews>
  <sheetFormatPr defaultRowHeight="12.75"/>
  <cols>
    <col min="1" max="6" width="16.7109375" style="379" customWidth="1"/>
    <col min="7" max="16384" width="9.140625" style="379"/>
  </cols>
  <sheetData>
    <row r="1" spans="1:6" ht="18.95" customHeight="1">
      <c r="A1" s="392"/>
      <c r="B1" s="393"/>
      <c r="C1" s="393"/>
      <c r="D1" s="393"/>
      <c r="E1" s="393"/>
      <c r="F1" s="394"/>
    </row>
    <row r="2" spans="1:6" ht="26.1" customHeight="1">
      <c r="A2" s="395" t="s">
        <v>268</v>
      </c>
      <c r="B2" s="396"/>
      <c r="C2" s="396"/>
      <c r="D2" s="396"/>
      <c r="E2" s="396"/>
      <c r="F2" s="397"/>
    </row>
    <row r="3" spans="1:6" ht="18.95" customHeight="1">
      <c r="A3" s="398" t="s">
        <v>602</v>
      </c>
      <c r="B3" s="396"/>
      <c r="C3" s="396"/>
      <c r="D3" s="396"/>
      <c r="E3" s="396"/>
      <c r="F3" s="397"/>
    </row>
    <row r="4" spans="1:6" ht="18.95" customHeight="1">
      <c r="A4" s="659" t="s">
        <v>597</v>
      </c>
      <c r="B4" s="660"/>
      <c r="C4" s="660"/>
      <c r="D4" s="660"/>
      <c r="E4" s="660"/>
      <c r="F4" s="661"/>
    </row>
    <row r="5" spans="1:6" ht="18.95" customHeight="1">
      <c r="A5" s="399"/>
      <c r="B5" s="400"/>
      <c r="C5" s="400"/>
      <c r="D5" s="400"/>
      <c r="E5" s="400"/>
      <c r="F5" s="401"/>
    </row>
    <row r="6" spans="1:6" ht="18.95" customHeight="1">
      <c r="A6" s="402" t="s">
        <v>573</v>
      </c>
      <c r="B6" s="653" t="str">
        <f>'Performance Data Sheet'!C17</f>
        <v>7003TCQL11F-A</v>
      </c>
      <c r="C6" s="654"/>
      <c r="D6" s="655"/>
      <c r="E6" s="402" t="s">
        <v>574</v>
      </c>
      <c r="F6" s="403">
        <f>'Performance Data Sheet'!I14</f>
        <v>89</v>
      </c>
    </row>
    <row r="7" spans="1:6" ht="18.95" customHeight="1">
      <c r="A7" s="402" t="s">
        <v>575</v>
      </c>
      <c r="B7" s="403" t="str">
        <f>'Performance Data Sheet'!F14</f>
        <v>TEFC</v>
      </c>
      <c r="C7" s="402" t="s">
        <v>576</v>
      </c>
      <c r="D7" s="403" t="str">
        <f>'Performance Data Sheet'!F13 &amp; " V"</f>
        <v>4000 V</v>
      </c>
      <c r="E7" s="402" t="s">
        <v>577</v>
      </c>
      <c r="F7" s="403" t="str">
        <f>'Performance Data Sheet'!C14</f>
        <v>5812USS</v>
      </c>
    </row>
    <row r="8" spans="1:6" ht="18.95" customHeight="1">
      <c r="A8" s="402" t="s">
        <v>578</v>
      </c>
      <c r="B8" s="403">
        <v>2</v>
      </c>
      <c r="C8" s="402" t="s">
        <v>579</v>
      </c>
      <c r="D8" s="403" t="s">
        <v>580</v>
      </c>
      <c r="E8" s="402" t="s">
        <v>581</v>
      </c>
      <c r="F8" s="403" t="str">
        <f>'Performance Data Sheet'!M15</f>
        <v>F</v>
      </c>
    </row>
    <row r="9" spans="1:6" ht="18.95" customHeight="1">
      <c r="A9" s="402" t="s">
        <v>582</v>
      </c>
      <c r="B9" s="403">
        <f>'Performance Data Sheet'!C13</f>
        <v>700</v>
      </c>
      <c r="C9" s="402" t="s">
        <v>583</v>
      </c>
      <c r="D9" s="403" t="s">
        <v>593</v>
      </c>
      <c r="E9" s="402" t="s">
        <v>2</v>
      </c>
      <c r="F9" s="404">
        <f>'Performance Data Sheet'!K44</f>
        <v>44739</v>
      </c>
    </row>
    <row r="10" spans="1:6" ht="18.95" customHeight="1">
      <c r="A10" s="402" t="s">
        <v>584</v>
      </c>
      <c r="B10" s="403">
        <f>'Performance Data Sheet'!M14</f>
        <v>3570</v>
      </c>
      <c r="C10" s="402" t="s">
        <v>410</v>
      </c>
      <c r="D10" s="403" t="s">
        <v>594</v>
      </c>
      <c r="E10" s="402" t="s">
        <v>1</v>
      </c>
      <c r="F10" s="403" t="s">
        <v>720</v>
      </c>
    </row>
    <row r="11" spans="1:6" ht="18.95" customHeight="1">
      <c r="A11" s="399"/>
      <c r="B11" s="400"/>
      <c r="C11" s="400"/>
      <c r="D11" s="400"/>
      <c r="E11" s="400"/>
      <c r="F11" s="401"/>
    </row>
    <row r="12" spans="1:6" ht="18.95" customHeight="1">
      <c r="A12" s="399"/>
      <c r="B12" s="405" t="s">
        <v>585</v>
      </c>
      <c r="C12" s="406" t="str">
        <f>'Performance Data Sheet'!D22 &amp; " A"</f>
        <v>618 A</v>
      </c>
      <c r="D12" s="405" t="s">
        <v>409</v>
      </c>
      <c r="E12" s="406" t="s">
        <v>413</v>
      </c>
      <c r="F12" s="401"/>
    </row>
    <row r="13" spans="1:6" ht="18.95" customHeight="1">
      <c r="A13" s="399"/>
      <c r="B13" s="405" t="s">
        <v>586</v>
      </c>
      <c r="C13" s="407">
        <f>'Performance Data Sheet'!H23/100</f>
        <v>1.25</v>
      </c>
      <c r="D13" s="405" t="s">
        <v>587</v>
      </c>
      <c r="E13" s="406" t="s">
        <v>595</v>
      </c>
      <c r="F13" s="401"/>
    </row>
    <row r="14" spans="1:6" ht="18.95" customHeight="1">
      <c r="A14" s="399"/>
      <c r="B14" s="405" t="s">
        <v>588</v>
      </c>
      <c r="C14" s="407">
        <v>2.2999999999999998</v>
      </c>
      <c r="D14" s="405" t="s">
        <v>411</v>
      </c>
      <c r="E14" s="406" t="s">
        <v>416</v>
      </c>
      <c r="F14" s="401"/>
    </row>
    <row r="15" spans="1:6" ht="18.95" customHeight="1">
      <c r="A15" s="399"/>
      <c r="B15" s="405" t="s">
        <v>412</v>
      </c>
      <c r="C15" s="406" t="str">
        <f>'Performance Data Sheet'!H22 &amp; " lb-ft"</f>
        <v>1030 lb-ft</v>
      </c>
      <c r="D15" s="400"/>
      <c r="E15" s="400"/>
      <c r="F15" s="401"/>
    </row>
    <row r="16" spans="1:6" ht="18.95" customHeight="1">
      <c r="A16" s="399"/>
      <c r="B16" s="400"/>
      <c r="C16" s="400"/>
      <c r="D16" s="400"/>
      <c r="E16" s="400"/>
      <c r="F16" s="401"/>
    </row>
    <row r="17" spans="1:8" ht="18.95" customHeight="1">
      <c r="A17" s="399"/>
      <c r="B17" s="400"/>
      <c r="C17" s="400"/>
      <c r="D17" s="400"/>
      <c r="E17" s="400"/>
      <c r="F17" s="401"/>
    </row>
    <row r="18" spans="1:8" ht="18.95" customHeight="1">
      <c r="A18" s="399"/>
      <c r="B18" s="400"/>
      <c r="C18" s="400"/>
      <c r="D18" s="400"/>
      <c r="E18" s="400"/>
      <c r="F18" s="401"/>
    </row>
    <row r="19" spans="1:8" ht="18.95" customHeight="1">
      <c r="A19" s="399"/>
      <c r="B19" s="400"/>
      <c r="C19" s="400"/>
      <c r="D19" s="400"/>
      <c r="E19" s="400"/>
      <c r="F19" s="401"/>
    </row>
    <row r="20" spans="1:8" ht="18.95" customHeight="1">
      <c r="A20" s="399"/>
      <c r="B20" s="400"/>
      <c r="C20" s="400"/>
      <c r="D20" s="400"/>
      <c r="E20" s="400"/>
      <c r="F20" s="401"/>
    </row>
    <row r="21" spans="1:8" ht="18.95" customHeight="1">
      <c r="A21" s="399"/>
      <c r="B21" s="400"/>
      <c r="C21" s="400"/>
      <c r="D21" s="400"/>
      <c r="E21" s="400"/>
      <c r="F21" s="401"/>
    </row>
    <row r="22" spans="1:8" ht="18.95" customHeight="1">
      <c r="A22" s="399"/>
      <c r="B22" s="400"/>
      <c r="C22" s="400"/>
      <c r="D22" s="400"/>
      <c r="E22" s="400"/>
      <c r="F22" s="401"/>
    </row>
    <row r="23" spans="1:8" ht="18.95" customHeight="1">
      <c r="A23" s="399"/>
      <c r="B23" s="400"/>
      <c r="C23" s="400"/>
      <c r="D23" s="400"/>
      <c r="E23" s="400"/>
      <c r="F23" s="401"/>
    </row>
    <row r="24" spans="1:8" ht="18.95" customHeight="1">
      <c r="A24" s="399"/>
      <c r="B24" s="400"/>
      <c r="C24" s="400"/>
      <c r="D24" s="400"/>
      <c r="E24" s="400"/>
      <c r="F24" s="401"/>
      <c r="H24" s="424"/>
    </row>
    <row r="25" spans="1:8" ht="18.95" customHeight="1">
      <c r="A25" s="399"/>
      <c r="B25" s="400"/>
      <c r="C25" s="400"/>
      <c r="D25" s="400"/>
      <c r="E25" s="400"/>
      <c r="F25" s="401"/>
    </row>
    <row r="26" spans="1:8" ht="18.95" customHeight="1">
      <c r="A26" s="399"/>
      <c r="B26" s="400"/>
      <c r="C26" s="400"/>
      <c r="D26" s="400"/>
      <c r="E26" s="400"/>
      <c r="F26" s="401"/>
    </row>
    <row r="27" spans="1:8" ht="18.95" customHeight="1">
      <c r="A27" s="399"/>
      <c r="B27" s="400"/>
      <c r="C27" s="400"/>
      <c r="D27" s="400"/>
      <c r="E27" s="400"/>
      <c r="F27" s="401"/>
    </row>
    <row r="28" spans="1:8" ht="18.95" customHeight="1">
      <c r="A28" s="399"/>
      <c r="B28" s="400"/>
      <c r="C28" s="400"/>
      <c r="D28" s="400"/>
      <c r="E28" s="400"/>
      <c r="F28" s="401"/>
    </row>
    <row r="29" spans="1:8" ht="18.95" customHeight="1">
      <c r="A29" s="399"/>
      <c r="B29" s="400"/>
      <c r="C29" s="400"/>
      <c r="D29" s="400"/>
      <c r="E29" s="400"/>
      <c r="F29" s="401"/>
    </row>
    <row r="30" spans="1:8" ht="18.95" customHeight="1">
      <c r="A30" s="399"/>
      <c r="B30" s="400"/>
      <c r="C30" s="400"/>
      <c r="D30" s="400"/>
      <c r="E30" s="400"/>
      <c r="F30" s="401"/>
    </row>
    <row r="31" spans="1:8" ht="18.95" customHeight="1">
      <c r="A31" s="399"/>
      <c r="B31" s="400"/>
      <c r="C31" s="400"/>
      <c r="D31" s="400"/>
      <c r="E31" s="400"/>
      <c r="F31" s="401"/>
    </row>
    <row r="32" spans="1:8" ht="18.95" customHeight="1">
      <c r="A32" s="399"/>
      <c r="B32" s="400"/>
      <c r="C32" s="400"/>
      <c r="D32" s="400"/>
      <c r="E32" s="400"/>
      <c r="F32" s="401"/>
    </row>
    <row r="33" spans="1:15" ht="18.95" customHeight="1">
      <c r="A33" s="399"/>
      <c r="B33" s="400"/>
      <c r="C33" s="400"/>
      <c r="D33" s="400"/>
      <c r="E33" s="400"/>
      <c r="F33" s="401"/>
    </row>
    <row r="34" spans="1:15" ht="18.95" customHeight="1">
      <c r="A34" s="399"/>
      <c r="B34" s="400"/>
      <c r="C34" s="400"/>
      <c r="D34" s="400"/>
      <c r="E34" s="400"/>
      <c r="F34" s="401"/>
    </row>
    <row r="35" spans="1:15" ht="18.95" customHeight="1">
      <c r="A35" s="399"/>
      <c r="B35" s="400"/>
      <c r="C35" s="400"/>
      <c r="D35" s="400"/>
      <c r="E35" s="400"/>
      <c r="F35" s="401"/>
    </row>
    <row r="36" spans="1:15" ht="18.95" customHeight="1">
      <c r="A36" s="399"/>
      <c r="B36" s="400"/>
      <c r="C36" s="400"/>
      <c r="D36" s="400"/>
      <c r="E36" s="400"/>
      <c r="F36" s="401"/>
      <c r="N36" s="529" t="s">
        <v>718</v>
      </c>
      <c r="O36" s="529" t="s">
        <v>719</v>
      </c>
    </row>
    <row r="37" spans="1:15" ht="18.95" customHeight="1">
      <c r="A37" s="399"/>
      <c r="B37" s="400"/>
      <c r="C37" s="400"/>
      <c r="D37" s="400"/>
      <c r="E37" s="400"/>
      <c r="F37" s="401"/>
      <c r="N37" s="529">
        <f xml:space="preserve"> L43 - (L43-L44) / 10 * 0</f>
        <v>3600</v>
      </c>
      <c r="O37" s="529">
        <f xml:space="preserve"> L45 / 10 * 10</f>
        <v>1400</v>
      </c>
    </row>
    <row r="38" spans="1:15" ht="18.95" customHeight="1">
      <c r="A38" s="399"/>
      <c r="B38" s="400"/>
      <c r="C38" s="400"/>
      <c r="D38" s="400"/>
      <c r="E38" s="400"/>
      <c r="F38" s="401"/>
      <c r="N38" s="529">
        <f xml:space="preserve"> L43 - (L43-L44) / 10 * 1</f>
        <v>3596</v>
      </c>
      <c r="O38" s="529">
        <f xml:space="preserve"> L45 / 10 * 9</f>
        <v>1260</v>
      </c>
    </row>
    <row r="39" spans="1:15" ht="18.95" customHeight="1">
      <c r="A39" s="408" t="s">
        <v>589</v>
      </c>
      <c r="B39" s="409" t="s">
        <v>371</v>
      </c>
      <c r="C39" s="528" t="str">
        <f>'Performance Data Sheet'!C10</f>
        <v>-</v>
      </c>
      <c r="D39" s="400"/>
      <c r="E39" s="405" t="s">
        <v>590</v>
      </c>
      <c r="F39" s="410" t="str">
        <f>F10</f>
        <v>1M2700U</v>
      </c>
      <c r="N39" s="529">
        <f xml:space="preserve"> L43 - (L43-L44) / 10 * 2</f>
        <v>3592</v>
      </c>
      <c r="O39" s="529">
        <f xml:space="preserve"> L45 / 10 * 8</f>
        <v>1120</v>
      </c>
    </row>
    <row r="40" spans="1:15" ht="18.95" customHeight="1">
      <c r="A40" s="399"/>
      <c r="B40" s="409"/>
      <c r="C40" s="409"/>
      <c r="D40" s="400"/>
      <c r="E40" s="400"/>
      <c r="F40" s="401"/>
      <c r="N40" s="529">
        <f xml:space="preserve"> L43 - (L43-L44) / 10 * 3</f>
        <v>3588</v>
      </c>
      <c r="O40" s="529">
        <f xml:space="preserve"> L45 / 10 * 7</f>
        <v>980</v>
      </c>
    </row>
    <row r="41" spans="1:15" ht="18.95" customHeight="1">
      <c r="A41" s="399"/>
      <c r="B41" s="409"/>
      <c r="C41" s="409"/>
      <c r="D41" s="400"/>
      <c r="E41" s="400"/>
      <c r="F41" s="401"/>
      <c r="N41" s="529">
        <f xml:space="preserve"> L43 - (L43-L44) / 10 * 4</f>
        <v>3584</v>
      </c>
      <c r="O41" s="529">
        <f xml:space="preserve"> L45 / 10 * 6</f>
        <v>840</v>
      </c>
    </row>
    <row r="42" spans="1:15" ht="18.95" customHeight="1">
      <c r="A42" s="399"/>
      <c r="B42" s="400"/>
      <c r="C42" s="400"/>
      <c r="D42" s="400"/>
      <c r="E42" s="400"/>
      <c r="F42" s="401"/>
      <c r="N42" s="529">
        <f xml:space="preserve"> L43 - (L43-L44) / 10 * 5</f>
        <v>3580</v>
      </c>
      <c r="O42" s="529">
        <f xml:space="preserve"> L45 / 10 * 5</f>
        <v>700</v>
      </c>
    </row>
    <row r="43" spans="1:15" ht="18.95" customHeight="1">
      <c r="A43" s="411"/>
      <c r="B43" s="409"/>
      <c r="C43" s="412" t="s">
        <v>591</v>
      </c>
      <c r="D43" s="413" t="str">
        <f>'Performance Data Sheet'!K42</f>
        <v>Zichao Xie</v>
      </c>
      <c r="E43" s="412" t="s">
        <v>592</v>
      </c>
      <c r="F43" s="413"/>
      <c r="K43" s="532" t="s">
        <v>715</v>
      </c>
      <c r="L43" s="533">
        <v>3600</v>
      </c>
      <c r="N43" s="529">
        <f xml:space="preserve"> L43 - (L43-L44) / 10 * 6</f>
        <v>3576</v>
      </c>
      <c r="O43" s="529">
        <f xml:space="preserve"> L45 / 10 * 4</f>
        <v>560</v>
      </c>
    </row>
    <row r="44" spans="1:15" ht="15" customHeight="1">
      <c r="K44" s="532" t="s">
        <v>716</v>
      </c>
      <c r="L44" s="534">
        <v>3560</v>
      </c>
      <c r="N44" s="529">
        <f xml:space="preserve"> L43 - (L43-L44) / 10 * 7</f>
        <v>3572</v>
      </c>
      <c r="O44" s="529">
        <f xml:space="preserve"> L45 / 10 * 3</f>
        <v>420</v>
      </c>
    </row>
    <row r="45" spans="1:15" ht="15" customHeight="1">
      <c r="K45" s="532" t="s">
        <v>717</v>
      </c>
      <c r="L45" s="534">
        <v>1400</v>
      </c>
      <c r="N45" s="529">
        <f xml:space="preserve"> L43 - (L43-L44) / 10 * 8</f>
        <v>3568</v>
      </c>
      <c r="O45" s="529">
        <f xml:space="preserve"> L45 / 10 * 2</f>
        <v>280</v>
      </c>
    </row>
    <row r="46" spans="1:15" ht="15" customHeight="1">
      <c r="N46" s="529">
        <f xml:space="preserve"> L43 - (L43-L44) / 10 * 9</f>
        <v>3564</v>
      </c>
      <c r="O46" s="529">
        <f xml:space="preserve"> L45 / 10 * 1</f>
        <v>140</v>
      </c>
    </row>
    <row r="47" spans="1:15" ht="15" customHeight="1">
      <c r="N47" s="529">
        <f xml:space="preserve"> L43 - (L43-L44) / 10 * 10</f>
        <v>3560</v>
      </c>
      <c r="O47" s="535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62" t="s">
        <v>713</v>
      </c>
      <c r="B52" s="663"/>
      <c r="C52" s="663"/>
      <c r="D52" s="663"/>
      <c r="E52" s="663"/>
      <c r="F52" s="664"/>
    </row>
    <row r="53" spans="1:6" ht="15" customHeight="1" thickBot="1">
      <c r="A53" s="530" t="s">
        <v>408</v>
      </c>
      <c r="B53" s="530" t="s">
        <v>142</v>
      </c>
      <c r="C53" s="530" t="s">
        <v>120</v>
      </c>
      <c r="D53" s="530" t="s">
        <v>135</v>
      </c>
      <c r="E53" s="530" t="s">
        <v>5</v>
      </c>
      <c r="F53" s="531" t="s">
        <v>603</v>
      </c>
    </row>
    <row r="54" spans="1:6" ht="15" customHeight="1">
      <c r="A54" s="425">
        <v>0</v>
      </c>
      <c r="B54" s="426"/>
      <c r="C54" s="427"/>
      <c r="D54" s="427">
        <v>22</v>
      </c>
      <c r="E54" s="427">
        <v>100</v>
      </c>
      <c r="F54" s="428">
        <f>16104/(L45*1000) * 100</f>
        <v>1.1502857142857144</v>
      </c>
    </row>
    <row r="55" spans="1:6" ht="15" customHeight="1">
      <c r="A55" s="429">
        <v>25</v>
      </c>
      <c r="B55" s="430">
        <v>86.400001525878906</v>
      </c>
      <c r="C55" s="431">
        <v>66.900001525878906</v>
      </c>
      <c r="D55" s="431">
        <v>32.630001068115234</v>
      </c>
      <c r="E55" s="431">
        <f xml:space="preserve"> (1.00623105687588*B10-L44)/(L43-L44)*100</f>
        <v>80.612182617229564</v>
      </c>
      <c r="F55" s="432">
        <f xml:space="preserve"> 151239/(L45*1000)*100</f>
        <v>10.802785714285715</v>
      </c>
    </row>
    <row r="56" spans="1:6" ht="15" customHeight="1">
      <c r="A56" s="429">
        <v>50</v>
      </c>
      <c r="B56" s="430">
        <v>91.699996948242188</v>
      </c>
      <c r="C56" s="431">
        <v>83.600006103515625</v>
      </c>
      <c r="D56" s="431">
        <v>49.200000762939453</v>
      </c>
      <c r="E56" s="431">
        <f xml:space="preserve"> (1.00420168067227*B10-L44)/(L43-L44)*100</f>
        <v>62.500000000010239</v>
      </c>
      <c r="F56" s="432">
        <f xml:space="preserve"> 284965.3/(L45*1000)*100</f>
        <v>20.354664285714286</v>
      </c>
    </row>
    <row r="57" spans="1:6">
      <c r="A57" s="429">
        <v>75</v>
      </c>
      <c r="B57" s="430">
        <v>93.300003051757813</v>
      </c>
      <c r="C57" s="431">
        <v>88.599998474121094</v>
      </c>
      <c r="D57" s="431">
        <v>68.360000610351563</v>
      </c>
      <c r="E57" s="431">
        <f xml:space="preserve"> (1.00211513316264*B10-L44)/(L43-L44)*100</f>
        <v>43.877563476561363</v>
      </c>
      <c r="F57" s="432">
        <f xml:space="preserve"> 419620.2/(L45*1000)*100</f>
        <v>29.97287142857143</v>
      </c>
    </row>
    <row r="58" spans="1:6">
      <c r="A58" s="429">
        <v>100</v>
      </c>
      <c r="B58" s="430">
        <v>94</v>
      </c>
      <c r="C58" s="431">
        <v>90.200004577636719</v>
      </c>
      <c r="D58" s="431">
        <v>88.860000610351563</v>
      </c>
      <c r="E58" s="431">
        <f xml:space="preserve"> (1*B10-L44)/(L43-L44)*100</f>
        <v>25</v>
      </c>
      <c r="F58" s="432">
        <f xml:space="preserve"> 555307.4/(L45*1000)*100</f>
        <v>39.664814285714286</v>
      </c>
    </row>
    <row r="59" spans="1:6" ht="13.5" thickBot="1">
      <c r="A59" s="433">
        <v>125</v>
      </c>
      <c r="B59" s="434">
        <v>94.199996948242188</v>
      </c>
      <c r="C59" s="435">
        <v>90.5</v>
      </c>
      <c r="D59" s="435">
        <v>110.48000335693359</v>
      </c>
      <c r="E59" s="435">
        <f xml:space="preserve"> (0.997827695531338*B10-L44)/(L43-L44)*100</f>
        <v>5.6121826171920475</v>
      </c>
      <c r="F59" s="436">
        <f xml:space="preserve"> 692712.3/(L45*1000)*100</f>
        <v>49.47945</v>
      </c>
    </row>
    <row r="60" spans="1:6">
      <c r="A60" s="414"/>
      <c r="B60" s="415"/>
      <c r="C60" s="415"/>
    </row>
    <row r="61" spans="1:6" ht="13.5" thickBot="1">
      <c r="A61" s="414"/>
      <c r="B61" s="415"/>
      <c r="C61" s="415"/>
    </row>
    <row r="62" spans="1:6" ht="13.5" thickBot="1">
      <c r="A62" s="662" t="s">
        <v>714</v>
      </c>
      <c r="B62" s="663"/>
      <c r="C62" s="663"/>
      <c r="D62" s="663"/>
      <c r="E62" s="663"/>
      <c r="F62" s="664"/>
    </row>
    <row r="63" spans="1:6" ht="13.5" thickBot="1">
      <c r="A63" s="530" t="s">
        <v>408</v>
      </c>
      <c r="B63" s="530" t="s">
        <v>142</v>
      </c>
      <c r="C63" s="530" t="s">
        <v>120</v>
      </c>
      <c r="D63" s="530" t="s">
        <v>135</v>
      </c>
      <c r="E63" s="530" t="s">
        <v>5</v>
      </c>
      <c r="F63" s="531" t="s">
        <v>603</v>
      </c>
    </row>
    <row r="64" spans="1:6">
      <c r="A64" s="425">
        <v>0</v>
      </c>
      <c r="B64" s="426"/>
      <c r="C64" s="427"/>
      <c r="D64" s="427">
        <v>21.412233473953037</v>
      </c>
      <c r="E64" s="427">
        <v>100</v>
      </c>
      <c r="F64" s="428">
        <v>18.440873726161819</v>
      </c>
    </row>
    <row r="65" spans="1:6">
      <c r="A65" s="429">
        <v>25</v>
      </c>
      <c r="B65" s="430">
        <v>86.401298522949219</v>
      </c>
      <c r="C65" s="431">
        <v>66.838546752929688</v>
      </c>
      <c r="D65" s="431">
        <v>32.628639221191406</v>
      </c>
      <c r="E65" s="431">
        <v>81.841716199585633</v>
      </c>
      <c r="F65" s="432">
        <v>10.792096308998804</v>
      </c>
    </row>
    <row r="66" spans="1:6">
      <c r="A66" s="429">
        <v>50</v>
      </c>
      <c r="B66" s="430">
        <v>91.714340209960938</v>
      </c>
      <c r="C66" s="431">
        <v>83.509162902832031</v>
      </c>
      <c r="D66" s="431">
        <v>49.204498291015625</v>
      </c>
      <c r="E66" s="431">
        <v>64.128595706294007</v>
      </c>
      <c r="F66" s="432">
        <v>20.333809744870507</v>
      </c>
    </row>
    <row r="67" spans="1:6">
      <c r="A67" s="429">
        <v>75</v>
      </c>
      <c r="B67" s="430">
        <v>93.387481689453125</v>
      </c>
      <c r="C67" s="431">
        <v>88.550453186035156</v>
      </c>
      <c r="D67" s="431">
        <v>68.357780456542969</v>
      </c>
      <c r="E67" s="431">
        <v>45.944228921099864</v>
      </c>
      <c r="F67" s="432">
        <v>29.95425786877076</v>
      </c>
    </row>
    <row r="68" spans="1:6">
      <c r="A68" s="429">
        <v>100</v>
      </c>
      <c r="B68" s="430">
        <v>94.048171997070313</v>
      </c>
      <c r="C68" s="431">
        <v>90.184341430664063</v>
      </c>
      <c r="D68" s="431">
        <v>88.863746643066406</v>
      </c>
      <c r="E68" s="431">
        <v>27.359003628701274</v>
      </c>
      <c r="F68" s="432">
        <v>39.658436412431563</v>
      </c>
    </row>
    <row r="69" spans="1:6" ht="13.5" thickBot="1">
      <c r="A69" s="433">
        <v>125</v>
      </c>
      <c r="B69" s="434">
        <v>94.280319213867188</v>
      </c>
      <c r="C69" s="435">
        <v>90.44415283203125</v>
      </c>
      <c r="D69" s="435">
        <v>110.48786163330078</v>
      </c>
      <c r="E69" s="435">
        <v>8.2736304473902891</v>
      </c>
      <c r="F69" s="436">
        <v>49.450978308609685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 (TIC)</cp:lastModifiedBy>
  <cp:lastPrinted>2017-05-22T14:20:14Z</cp:lastPrinted>
  <dcterms:created xsi:type="dcterms:W3CDTF">1997-10-03T20:37:30Z</dcterms:created>
  <dcterms:modified xsi:type="dcterms:W3CDTF">2024-08-08T20:33:41Z</dcterms:modified>
</cp:coreProperties>
</file>