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Top_Hat_5812_Expansion\Electric\Series-Design\WPII\6pole\"/>
    </mc:Choice>
  </mc:AlternateContent>
  <bookViews>
    <workbookView xWindow="3168" yWindow="1080" windowWidth="4800" windowHeight="5196" tabRatio="687" activeTab="1"/>
  </bookViews>
  <sheets>
    <sheet name="DesignSheet" sheetId="2" r:id="rId1"/>
    <sheet name="Data Sheet" sheetId="3" r:id="rId2"/>
    <sheet name="LoginSheet" sheetId="4" r:id="rId3"/>
    <sheet name="Performance Data Sheet" sheetId="9" r:id="rId4"/>
    <sheet name="STCurve" sheetId="5" r:id="rId5"/>
    <sheet name="Thermdam" sheetId="7" r:id="rId6"/>
    <sheet name="Performance" sheetId="8" r:id="rId7"/>
    <sheet name="StallTime" sheetId="6" r:id="rId8"/>
  </sheets>
  <externalReferences>
    <externalReference r:id="rId9"/>
  </externalReferences>
  <definedNames>
    <definedName name="_Regression_Int" localSheetId="3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6">Performance!$A$1:$F$43</definedName>
    <definedName name="_xlnm.Print_Area" localSheetId="3">'Performance Data Sheet'!$A$1:$M$44</definedName>
    <definedName name="_xlnm.Print_Area" localSheetId="7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6" hidden="1">Performance!$A$1:$F$43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F9" i="7" l="1"/>
  <c r="F7" i="7"/>
  <c r="D7" i="7"/>
  <c r="B7" i="7"/>
  <c r="F6" i="7"/>
  <c r="B6" i="7"/>
  <c r="C12" i="8"/>
  <c r="F9" i="8"/>
  <c r="F7" i="8"/>
  <c r="D7" i="8"/>
  <c r="B7" i="8"/>
  <c r="F6" i="8"/>
  <c r="B6" i="8"/>
  <c r="D43" i="8"/>
  <c r="F39" i="8"/>
  <c r="C39" i="8"/>
  <c r="D43" i="7"/>
  <c r="F39" i="7"/>
  <c r="C39" i="7"/>
  <c r="F39" i="5"/>
  <c r="D43" i="5"/>
  <c r="C39" i="5"/>
  <c r="C12" i="5"/>
  <c r="F6" i="5"/>
  <c r="D7" i="5"/>
  <c r="F9" i="5"/>
  <c r="F7" i="5"/>
  <c r="B7" i="5"/>
  <c r="B6" i="5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P31" i="2"/>
  <c r="P32" i="2"/>
  <c r="P33" i="2"/>
  <c r="P34" i="2"/>
  <c r="P30" i="2"/>
  <c r="M52" i="2"/>
  <c r="M41" i="2"/>
  <c r="N41" i="2" s="1"/>
  <c r="L41" i="2"/>
  <c r="L40" i="2"/>
  <c r="M39" i="2"/>
  <c r="L39" i="2"/>
  <c r="M38" i="2"/>
  <c r="N38" i="2" s="1"/>
  <c r="L38" i="2"/>
  <c r="M33" i="2"/>
  <c r="M32" i="2"/>
  <c r="M31" i="2"/>
  <c r="M30" i="2"/>
  <c r="M29" i="2"/>
  <c r="M50" i="2"/>
  <c r="M53" i="2" s="1"/>
  <c r="M49" i="2"/>
  <c r="M48" i="2"/>
  <c r="M46" i="2"/>
  <c r="M47" i="2"/>
  <c r="A71" i="7" l="1"/>
  <c r="C70" i="7"/>
  <c r="B70" i="7"/>
  <c r="B69" i="7"/>
  <c r="B75" i="7" s="1"/>
  <c r="C69" i="7"/>
  <c r="N40" i="2"/>
  <c r="N39" i="2"/>
  <c r="C71" i="7" l="1"/>
  <c r="B71" i="7"/>
  <c r="A72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<sst xmlns="http://schemas.openxmlformats.org/spreadsheetml/2006/main" count="919" uniqueCount="703">
  <si>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</si>
  <si>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</si>
  <si>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</si>
  <si>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</si>
  <si>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</si>
  <si>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</si>
  <si>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</si>
  <si>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</si>
  <si>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</si>
  <si>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</si>
  <si>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</si>
  <si>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</si>
  <si>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</si>
  <si>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</si>
  <si>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</si>
  <si>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</si>
  <si>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</si>
  <si>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</si>
  <si>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</si>
  <si>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</si>
  <si>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</si>
  <si>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</si>
  <si>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</si>
  <si>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</si>
  <si>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</si>
  <si>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</si>
  <si>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</si>
  <si>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</si>
  <si>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</si>
  <si>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</si>
  <si>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</si>
  <si>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</si>
  <si>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</si>
  <si>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</si>
  <si>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</si>
  <si>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</si>
  <si>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</si>
  <si>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</si>
  <si>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</si>
  <si>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</si>
  <si>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</si>
  <si>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</si>
  <si>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</si>
  <si>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</si>
  <si>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</si>
  <si>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</si>
  <si>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</si>
  <si>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</si>
  <si>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</si>
  <si>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</si>
  <si>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</si>
  <si>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</si>
  <si>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</si>
  <si>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</si>
  <si>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</si>
  <si>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</si>
  <si>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</si>
  <si>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</si>
  <si>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</si>
  <si>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</si>
  <si>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</si>
  <si>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</si>
  <si>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</si>
  <si>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</si>
  <si>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</si>
  <si>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</si>
  <si>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</si>
  <si>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</si>
  <si>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</si>
  <si>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</si>
  <si>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</si>
  <si>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</si>
  <si>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</si>
  <si>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</si>
  <si>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</si>
  <si>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</si>
  <si>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</si>
  <si>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</si>
  <si>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</si>
  <si>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</si>
  <si>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</si>
  <si>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</si>
  <si>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</si>
  <si>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</si>
  <si>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</si>
  <si>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</si>
  <si>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</si>
  <si>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</si>
  <si>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</si>
  <si>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</si>
  <si>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</si>
  <si>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</si>
  <si>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</si>
  <si>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</si>
  <si>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</si>
  <si>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</si>
  <si>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</si>
  <si>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</si>
  <si>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</si>
  <si>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</si>
  <si>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</si>
  <si>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</si>
  <si>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</si>
  <si>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</si>
  <si>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</si>
  <si>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</si>
  <si>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</si>
  <si>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</si>
  <si>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</si>
  <si>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</si>
  <si>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</si>
  <si>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</si>
  <si>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</si>
  <si>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</si>
  <si>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</si>
  <si>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</si>
  <si>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</si>
  <si>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</si>
  <si>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</si>
  <si>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</si>
  <si>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</si>
  <si>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</si>
  <si>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</si>
  <si>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</si>
  <si>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</si>
  <si>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</si>
  <si>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</si>
  <si>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</si>
  <si>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</si>
  <si>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</si>
  <si>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</si>
  <si>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</si>
  <si>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</si>
  <si>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</si>
  <si>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</si>
  <si>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</si>
  <si>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</si>
  <si>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</si>
  <si>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</si>
  <si>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</si>
  <si>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</si>
  <si>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</si>
  <si>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</si>
  <si>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</si>
  <si>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</si>
  <si>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</si>
  <si>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</si>
  <si>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</si>
  <si>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</si>
  <si>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</si>
  <si>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</si>
  <si>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</si>
  <si>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</si>
  <si>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</si>
  <si>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</si>
  <si>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</si>
  <si>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</si>
  <si>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</si>
  <si>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</si>
  <si>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</si>
  <si>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</si>
  <si>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</si>
  <si>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</si>
  <si>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</si>
  <si>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</si>
  <si>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</si>
  <si>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</si>
  <si>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</si>
  <si>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</si>
  <si>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</si>
  <si>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</si>
  <si>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</si>
  <si>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</si>
  <si>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</si>
  <si>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</si>
  <si>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</si>
  <si>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</si>
  <si>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</si>
  <si>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</si>
  <si>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</si>
  <si>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</si>
  <si>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</si>
  <si>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</si>
  <si>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</si>
  <si>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</si>
  <si>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</si>
  <si>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</si>
  <si>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</si>
  <si>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</si>
  <si>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</si>
  <si>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</si>
  <si>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</si>
  <si>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</si>
  <si>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</si>
  <si>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DCKW</t>
  </si>
  <si>
    <t>5811/12</t>
  </si>
  <si>
    <t>Open</t>
  </si>
  <si>
    <t>Dbl - Closed</t>
  </si>
  <si>
    <t>9.65 - 9.65</t>
  </si>
  <si>
    <t>2.83 - 2.00</t>
  </si>
  <si>
    <t>Magnetic</t>
  </si>
  <si>
    <t>13 x 10</t>
  </si>
  <si>
    <t>1 ~ 9</t>
  </si>
  <si>
    <t>(.051"x.204")x1</t>
  </si>
  <si>
    <t>(.051"x.182")x1</t>
  </si>
  <si>
    <t>Wye</t>
  </si>
  <si>
    <t>(105°C)</t>
  </si>
  <si>
    <t>CU</t>
  </si>
  <si>
    <t>AL</t>
  </si>
  <si>
    <t>ERD1: 340.0</t>
  </si>
  <si>
    <t>ERD2: 450.0</t>
  </si>
  <si>
    <t>LB:  -</t>
  </si>
  <si>
    <t>LER:  -</t>
  </si>
  <si>
    <t>UB: 356.6</t>
  </si>
  <si>
    <t>UER: 1800.0</t>
  </si>
  <si>
    <t>ERT: 35.0</t>
  </si>
  <si>
    <t>(Coeff.: 0.0820)</t>
  </si>
  <si>
    <t>Skew R.: 0.55</t>
  </si>
  <si>
    <t>N:\Top_Hat_5812_Expansion\Electric\Series-Design\WPII\6pole\2T6800U.rat</t>
  </si>
  <si>
    <t>2-2-2-0-1-2</t>
  </si>
  <si>
    <t>B.L.-1  P.F.-1</t>
  </si>
  <si>
    <t>8313.1 / 9021.3</t>
  </si>
  <si>
    <t>7577.6 / 7823.6</t>
  </si>
  <si>
    <t>10978.5 / 10857.4</t>
  </si>
  <si>
    <t>2500.0 / 2500.0</t>
  </si>
  <si>
    <t>7451.9 / 7400.0</t>
  </si>
  <si>
    <t>2270.2 / 2254.4</t>
  </si>
  <si>
    <t>5181.7 / 5145.6</t>
  </si>
  <si>
    <t>1.10 / 1.09</t>
  </si>
  <si>
    <t>77 / 76</t>
  </si>
  <si>
    <t>Temp. Rise @ 100%:</t>
  </si>
  <si>
    <t>Stray Loss</t>
  </si>
  <si>
    <t>0.925 / 0.911</t>
  </si>
  <si>
    <t>0.954 / 0.940</t>
  </si>
  <si>
    <t>0.960 / 0.946</t>
  </si>
  <si>
    <t>0.961 / 0.946</t>
  </si>
  <si>
    <t>0.959 / 0.944</t>
  </si>
  <si>
    <t>0.435 / 0.429</t>
  </si>
  <si>
    <t>0.663 / 0.653</t>
  </si>
  <si>
    <t>0.766 / 0.755</t>
  </si>
  <si>
    <t>0.812 / 0.800</t>
  </si>
  <si>
    <t>0.831 / 0.819</t>
  </si>
  <si>
    <t>53.52 / 55.14</t>
  </si>
  <si>
    <t>68.13 / 70.20</t>
  </si>
  <si>
    <t>87.83 / 90.50</t>
  </si>
  <si>
    <t>110.42 / 113.78</t>
  </si>
  <si>
    <t>135.23 / 139.34</t>
  </si>
  <si>
    <t>4.57 / 4.71</t>
  </si>
  <si>
    <t>UB: 4.01 / 4.13</t>
  </si>
  <si>
    <t>UER: 1.79 / 1.84</t>
  </si>
  <si>
    <t>1196.4 / 1190.8</t>
  </si>
  <si>
    <t>1192.9 / 1187.3</t>
  </si>
  <si>
    <t>1189.3 / 1183.7</t>
  </si>
  <si>
    <t>1185.5 / 1180.0</t>
  </si>
  <si>
    <t>1181.7 / 1176.2</t>
  </si>
  <si>
    <t>0.0030 / 0.0076</t>
  </si>
  <si>
    <t>0.0059 / 0.0106</t>
  </si>
  <si>
    <t>0.0090 / 0.0136</t>
  </si>
  <si>
    <t>0.0121 / 0.0167</t>
  </si>
  <si>
    <t>0.0153 / 0.0199</t>
  </si>
  <si>
    <t>44.816 / 41.988</t>
  </si>
  <si>
    <t>1.074 / 1.007</t>
  </si>
  <si>
    <t>44.83 / 42.00</t>
  </si>
  <si>
    <t>660.5 / 729.2</t>
  </si>
  <si>
    <t>598.2 / 660.4</t>
  </si>
  <si>
    <t>742.2 / 733.8</t>
  </si>
  <si>
    <t>151.4 / 149.7</t>
  </si>
  <si>
    <t>214.9 / 219.5</t>
  </si>
  <si>
    <t>Correlated to: 2N6800U(EST).dat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</si>
  <si>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</si>
  <si>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</si>
  <si>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</si>
  <si>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</si>
  <si>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</si>
  <si>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</si>
  <si>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</si>
  <si>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</si>
  <si>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</si>
  <si>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</si>
  <si>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</si>
  <si>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</si>
  <si>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</si>
  <si>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</si>
  <si>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</si>
  <si>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</si>
  <si>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</si>
  <si>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</si>
  <si>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</si>
  <si>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</si>
  <si>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</si>
  <si>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</si>
  <si>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</si>
  <si>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</si>
  <si>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</si>
  <si>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</si>
  <si>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</si>
  <si>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</si>
  <si>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</si>
  <si>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</si>
  <si>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</si>
  <si>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</si>
  <si>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</si>
  <si>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</si>
  <si>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</si>
  <si>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</si>
  <si>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</si>
  <si>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</si>
  <si>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</si>
  <si>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</si>
  <si>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</si>
  <si>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</si>
  <si>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</si>
  <si>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</si>
  <si>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</si>
  <si>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</si>
  <si>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</si>
  <si>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</si>
  <si>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</si>
  <si>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</si>
  <si>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</si>
  <si>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</si>
  <si>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</si>
  <si>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</si>
  <si>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</si>
  <si>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</si>
  <si>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</si>
  <si>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</si>
  <si>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</si>
  <si>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</si>
  <si>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</si>
  <si>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</si>
  <si>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</si>
  <si>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</si>
  <si>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</si>
  <si>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</si>
  <si>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</si>
  <si>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</si>
  <si>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</si>
  <si>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</si>
  <si>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</si>
  <si>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</si>
  <si>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</si>
  <si>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</si>
  <si>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</si>
  <si>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</si>
  <si>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</si>
  <si>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</si>
  <si>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</si>
  <si>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</si>
  <si>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</si>
  <si>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</si>
  <si>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</si>
  <si>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</si>
  <si>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</si>
  <si>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</si>
  <si>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</si>
  <si>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</si>
  <si>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</si>
  <si>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</si>
  <si>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</si>
  <si>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</si>
  <si>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</si>
  <si>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</si>
  <si>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</si>
  <si>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</si>
  <si>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</si>
  <si>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</si>
  <si>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</si>
  <si>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</si>
  <si>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</si>
  <si>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</si>
  <si>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</si>
  <si>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</si>
  <si>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</si>
  <si>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</si>
  <si>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</si>
  <si>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</si>
  <si>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</si>
  <si>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</si>
  <si>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</si>
  <si>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2T6800U</t>
  </si>
  <si>
    <t>Type: TIKK - Form: DCKW - 6 Pole - 800 HP - 4000 V - 60 Hz - 5811/12 - Class F</t>
  </si>
  <si>
    <t>26 x 2</t>
  </si>
  <si>
    <t>2 x Wye</t>
  </si>
  <si>
    <t xml:space="preserve"> - </t>
  </si>
  <si>
    <t>77 / 102</t>
  </si>
  <si>
    <t>471 / 3012</t>
  </si>
  <si>
    <t>413 / 184</t>
  </si>
  <si>
    <t>LINK: 2N6800U.RAT &amp;  2N6800U(EST).dat</t>
  </si>
  <si>
    <t>THEN RUN 2N6800U REV1.RAT</t>
  </si>
  <si>
    <t>REV1. CHG WIRE FROM 0.051"x0.204"x2</t>
  </si>
  <si>
    <t>A. Gracia</t>
  </si>
  <si>
    <t>Matt.O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</si>
  <si>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</si>
  <si>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</si>
  <si>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</si>
  <si>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</si>
  <si>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</si>
  <si>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</si>
  <si>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</si>
  <si>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</si>
  <si>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</si>
  <si>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</si>
  <si>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</si>
  <si>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</si>
  <si>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</si>
  <si>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</si>
  <si>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</si>
  <si>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</si>
  <si>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</si>
  <si>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</si>
  <si>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</si>
  <si>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</si>
  <si>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</si>
  <si>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</si>
  <si>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</si>
  <si>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</si>
  <si>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</si>
  <si>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</si>
  <si>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</si>
  <si>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</si>
  <si>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</si>
  <si>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436.0 lb-ft²</t>
  </si>
  <si>
    <t>3561 lb-ft</t>
  </si>
  <si>
    <t>Load</t>
  </si>
  <si>
    <t>Fan / Pump</t>
  </si>
  <si>
    <t>1307.6 kg.m²</t>
  </si>
  <si>
    <t>Acceleration Data (FV V)</t>
  </si>
  <si>
    <t>9.6 (s)</t>
  </si>
  <si>
    <t>490.3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</si>
  <si>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</si>
  <si>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</si>
  <si>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</si>
  <si>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</si>
  <si>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</si>
  <si>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</si>
  <si>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</si>
  <si>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</si>
  <si>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</si>
  <si>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</si>
  <si>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</si>
  <si>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</si>
  <si>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</si>
  <si>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</si>
  <si>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</si>
  <si>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</si>
  <si>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</si>
  <si>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</si>
  <si>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</si>
  <si>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</si>
  <si>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</si>
  <si>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</si>
  <si>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</si>
  <si>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</si>
  <si>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</si>
  <si>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</si>
  <si>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</si>
  <si>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</si>
  <si>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</si>
  <si>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</si>
  <si>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</si>
  <si>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</si>
  <si>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</si>
  <si>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</si>
  <si>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</si>
  <si>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</si>
  <si>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</si>
  <si>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</si>
  <si>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</si>
  <si>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- 800.0 HP - 1200 RPM - 4000 V - 60 Hz</t>
  </si>
  <si>
    <t>0~120</t>
  </si>
  <si>
    <t>120~240</t>
  </si>
  <si>
    <t>240~360</t>
  </si>
  <si>
    <t>360~480</t>
  </si>
  <si>
    <t>480~600</t>
  </si>
  <si>
    <t>600~720</t>
  </si>
  <si>
    <t>720~864</t>
  </si>
  <si>
    <t>864~1008</t>
  </si>
  <si>
    <t>1008~1080</t>
  </si>
  <si>
    <t>1080~1152</t>
  </si>
  <si>
    <t>1152~1176</t>
  </si>
  <si>
    <t>1176~1186</t>
  </si>
  <si>
    <t/>
  </si>
  <si>
    <t>Load Type: Fan / Pump - 7757.5 lb-ft²</t>
  </si>
  <si>
    <t>140.0</t>
  </si>
  <si>
    <t>123.9</t>
  </si>
  <si>
    <t>114.2</t>
  </si>
  <si>
    <t>108.8</t>
  </si>
  <si>
    <t>106.1</t>
  </si>
  <si>
    <t>105.1</t>
  </si>
  <si>
    <t>108.3</t>
  </si>
  <si>
    <t>120.8</t>
  </si>
  <si>
    <t>142.2</t>
  </si>
  <si>
    <t>187.3</t>
  </si>
  <si>
    <t>211.4</t>
  </si>
  <si>
    <t>151.4</t>
  </si>
  <si>
    <t>22.5</t>
  </si>
  <si>
    <t>11.5</t>
  </si>
  <si>
    <t>7.0</t>
  </si>
  <si>
    <t>11.0</t>
  </si>
  <si>
    <t>18.0</t>
  </si>
  <si>
    <t>29.2</t>
  </si>
  <si>
    <t>47.6</t>
  </si>
  <si>
    <t>66.4</t>
  </si>
  <si>
    <t>81.9</t>
  </si>
  <si>
    <t>92.5</t>
  </si>
  <si>
    <t>97.2</t>
  </si>
  <si>
    <t>0.767</t>
  </si>
  <si>
    <t>0.802</t>
  </si>
  <si>
    <t>0.841</t>
  </si>
  <si>
    <t>0.885</t>
  </si>
  <si>
    <t>0.948</t>
  </si>
  <si>
    <t>1.035</t>
  </si>
  <si>
    <t>1.367</t>
  </si>
  <si>
    <t>1.478</t>
  </si>
  <si>
    <t>0.713</t>
  </si>
  <si>
    <t>0.513</t>
  </si>
  <si>
    <t>0.152</t>
  </si>
  <si>
    <t>0.132</t>
  </si>
  <si>
    <t>721.3</t>
  </si>
  <si>
    <t>703.5</t>
  </si>
  <si>
    <t>685.4</t>
  </si>
  <si>
    <t>667.3</t>
  </si>
  <si>
    <t>649.2</t>
  </si>
  <si>
    <t>630.3</t>
  </si>
  <si>
    <t>609.1</t>
  </si>
  <si>
    <t>579.9</t>
  </si>
  <si>
    <t>545.7</t>
  </si>
  <si>
    <t>497.9</t>
  </si>
  <si>
    <t>393.8</t>
  </si>
  <si>
    <t>205.8</t>
  </si>
  <si>
    <t>278.7</t>
  </si>
  <si>
    <t>277.7</t>
  </si>
  <si>
    <t>276.4</t>
  </si>
  <si>
    <t>276.1</t>
  </si>
  <si>
    <t>280.0</t>
  </si>
  <si>
    <t>289.0</t>
  </si>
  <si>
    <t>359.1</t>
  </si>
  <si>
    <t>359.9</t>
  </si>
  <si>
    <t>153.7</t>
  </si>
  <si>
    <t>98.0</t>
  </si>
  <si>
    <t>1.2</t>
  </si>
  <si>
    <t>620.4</t>
  </si>
  <si>
    <t>506.0</t>
  </si>
  <si>
    <t>427.0</t>
  </si>
  <si>
    <t>369.8</t>
  </si>
  <si>
    <t>327.8</t>
  </si>
  <si>
    <t>293.7</t>
  </si>
  <si>
    <t>258.0</t>
  </si>
  <si>
    <t>207.6</t>
  </si>
  <si>
    <t>133.2</t>
  </si>
  <si>
    <t>71.3</t>
  </si>
  <si>
    <t>36.0</t>
  </si>
  <si>
    <t>22.0</t>
  </si>
  <si>
    <t>2672 kW / s</t>
  </si>
  <si>
    <t>2972 kW / s</t>
  </si>
  <si>
    <t>301 kW / s</t>
  </si>
  <si>
    <t>46°C</t>
  </si>
  <si>
    <t>134°C</t>
  </si>
  <si>
    <t>27°C</t>
  </si>
  <si>
    <t>91°C</t>
  </si>
  <si>
    <t>267°C</t>
  </si>
  <si>
    <t>53°C</t>
  </si>
  <si>
    <t>Acceleration Time:  9.6 s</t>
  </si>
  <si>
    <t>7.4°C / s</t>
  </si>
  <si>
    <t>36.6°C / s</t>
  </si>
  <si>
    <t>7.2°C / s</t>
  </si>
  <si>
    <t>436.2 kW</t>
  </si>
  <si>
    <t>812.8 kW</t>
  </si>
  <si>
    <t>82.4 kW</t>
  </si>
  <si>
    <t>21.5 s</t>
  </si>
  <si>
    <t>7.1 s</t>
  </si>
  <si>
    <t>24.8 s</t>
  </si>
  <si>
    <t>77°C    +</t>
  </si>
  <si>
    <t>105°C    +</t>
  </si>
  <si>
    <t>83°C    +</t>
  </si>
  <si>
    <t>155°C   +</t>
  </si>
  <si>
    <t>75°C   +</t>
  </si>
  <si>
    <t>11.2 s</t>
  </si>
  <si>
    <t>4.2 s</t>
  </si>
  <si>
    <t>10.4 s</t>
  </si>
  <si>
    <t>9.2 s</t>
  </si>
  <si>
    <t>3.8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</si>
  <si>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</si>
  <si>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</si>
  <si>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</si>
  <si>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</si>
  <si>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</si>
  <si>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</si>
  <si>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</si>
  <si>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</si>
  <si>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</si>
  <si>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</si>
  <si>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</si>
  <si>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</si>
  <si>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</si>
  <si>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</si>
  <si>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</si>
  <si>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</si>
  <si>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</si>
  <si>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</si>
  <si>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</si>
  <si>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</si>
  <si>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</si>
  <si>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</si>
  <si>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</si>
  <si>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</si>
  <si>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</si>
  <si>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</si>
  <si>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</si>
  <si>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</si>
  <si>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</si>
  <si>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</si>
  <si>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</si>
  <si>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</si>
  <si>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</si>
  <si>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</si>
  <si>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</si>
  <si>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</si>
  <si>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</si>
  <si>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</si>
  <si>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</si>
  <si>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</si>
  <si>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</si>
  <si>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</si>
  <si>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</si>
  <si>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</si>
  <si>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</si>
  <si>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</si>
  <si>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</si>
  <si>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</si>
  <si>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</si>
  <si>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</si>
  <si>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</si>
  <si>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</si>
  <si>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</si>
  <si>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</si>
  <si>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</si>
  <si>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</si>
  <si>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</si>
  <si>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</si>
  <si>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</si>
  <si>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</si>
  <si>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</si>
  <si>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</si>
  <si>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</si>
  <si>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</si>
  <si>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</si>
  <si>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</si>
  <si>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</si>
  <si>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</si>
  <si>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</si>
  <si>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</si>
  <si>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</si>
  <si>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</si>
  <si>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</si>
  <si>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</si>
  <si>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</si>
  <si>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</si>
  <si>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</si>
  <si>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</si>
  <si>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</si>
  <si>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</si>
  <si>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</si>
  <si>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</si>
  <si>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</si>
  <si>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</si>
  <si>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</si>
  <si>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</si>
  <si>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</si>
  <si>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</si>
  <si>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</si>
  <si>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</si>
  <si>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</si>
  <si>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</si>
  <si>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</si>
  <si>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</si>
  <si>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</si>
  <si>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</si>
  <si>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</si>
  <si>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</si>
  <si>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</si>
  <si>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</si>
  <si>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</si>
  <si>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</si>
  <si>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</si>
  <si>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</si>
  <si>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</si>
  <si>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</si>
  <si>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</si>
  <si>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</si>
  <si>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</si>
  <si>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</si>
  <si>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</si>
  <si>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</si>
  <si>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</si>
  <si>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</si>
  <si>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2T6800U REV1.</t>
  </si>
  <si>
    <t>8006WTAL11E-A</t>
  </si>
  <si>
    <t>5812U</t>
  </si>
  <si>
    <t>WP-II</t>
  </si>
  <si>
    <t>1.15</t>
  </si>
  <si>
    <t>JERRY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</si>
</sst>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  <numFmt numFmtId="193" formatCode="General&quot;°C&quot;"/>
  </numFmts>
  <fonts count="7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92" fontId="64" fillId="0" borderId="0"/>
  </cellStyleXfs>
  <cellXfs count="68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 applyFill="1"/>
    <xf numFmtId="0" fontId="33" fillId="0" borderId="52" xfId="1" applyFont="1" applyFill="1" applyBorder="1"/>
    <xf numFmtId="0" fontId="19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19" fillId="0" borderId="21" xfId="1" applyFont="1" applyFill="1" applyBorder="1"/>
    <xf numFmtId="0" fontId="33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0" fontId="19" fillId="0" borderId="24" xfId="1" applyFont="1" applyFill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3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0" fontId="34" fillId="0" borderId="78" xfId="1" applyFont="1" applyFill="1" applyBorder="1"/>
    <xf numFmtId="0" fontId="34" fillId="0" borderId="79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87" xfId="1" applyFont="1" applyFill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29" fillId="0" borderId="38" xfId="1" applyFont="1" applyFill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Fill="1" applyAlignment="1">
      <alignment horizontal="left"/>
    </xf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 applyFill="1"/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36" fillId="0" borderId="116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1" fillId="0" borderId="23" xfId="1" applyFont="1" applyFill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 applyFill="1"/>
    <xf numFmtId="0" fontId="31" fillId="0" borderId="0" xfId="1" applyFont="1" applyFill="1" applyBorder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Border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9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9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91" fontId="1" fillId="0" borderId="1" xfId="2" applyNumberFormat="1" applyBorder="1"/>
    <xf numFmtId="0" fontId="1" fillId="0" borderId="1" xfId="2" applyBorder="1" applyAlignment="1">
      <alignment horizontal="center"/>
    </xf>
    <xf numFmtId="190" fontId="1" fillId="0" borderId="18" xfId="2" applyNumberFormat="1" applyBorder="1"/>
    <xf numFmtId="49" fontId="1" fillId="0" borderId="26" xfId="2" applyNumberFormat="1" applyBorder="1"/>
    <xf numFmtId="19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1" fillId="0" borderId="53" xfId="2" applyFont="1" applyBorder="1" applyAlignment="1">
      <alignment horizontal="center"/>
    </xf>
    <xf numFmtId="0" fontId="50" fillId="0" borderId="129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0" fontId="1" fillId="0" borderId="55" xfId="2" applyBorder="1" applyAlignment="1">
      <alignment horizontal="left"/>
    </xf>
    <xf numFmtId="190" fontId="1" fillId="0" borderId="50" xfId="2" applyNumberFormat="1" applyBorder="1" applyAlignment="1">
      <alignment horizontal="center"/>
    </xf>
    <xf numFmtId="190" fontId="1" fillId="0" borderId="13" xfId="2" applyNumberFormat="1" applyBorder="1" applyAlignment="1">
      <alignment horizontal="center"/>
    </xf>
    <xf numFmtId="19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49" fontId="1" fillId="0" borderId="3" xfId="2" applyNumberFormat="1" applyBorder="1"/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0" fontId="1" fillId="0" borderId="132" xfId="2" applyBorder="1" applyAlignment="1">
      <alignment horizontal="left"/>
    </xf>
    <xf numFmtId="190" fontId="1" fillId="0" borderId="17" xfId="2" applyNumberFormat="1" applyBorder="1" applyAlignment="1">
      <alignment horizontal="center"/>
    </xf>
    <xf numFmtId="190" fontId="1" fillId="0" borderId="131" xfId="2" applyNumberFormat="1" applyBorder="1" applyAlignment="1">
      <alignment horizontal="center"/>
    </xf>
    <xf numFmtId="19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49" fontId="1" fillId="0" borderId="4" xfId="2" applyNumberFormat="1" applyBorder="1"/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0" fontId="1" fillId="0" borderId="133" xfId="2" applyBorder="1" applyAlignment="1">
      <alignment horizontal="left"/>
    </xf>
    <xf numFmtId="190" fontId="1" fillId="0" borderId="31" xfId="2" applyNumberFormat="1" applyBorder="1" applyAlignment="1">
      <alignment horizontal="center"/>
    </xf>
    <xf numFmtId="190" fontId="1" fillId="0" borderId="51" xfId="2" applyNumberFormat="1" applyBorder="1" applyAlignment="1">
      <alignment horizontal="center"/>
    </xf>
    <xf numFmtId="19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47" fillId="5" borderId="117" xfId="3" applyFont="1" applyFill="1" applyBorder="1" applyAlignment="1">
      <alignment horizontal="center"/>
    </xf>
    <xf numFmtId="0" fontId="47" fillId="5" borderId="118" xfId="3" applyFont="1" applyFill="1" applyBorder="1" applyAlignment="1">
      <alignment horizontal="center"/>
    </xf>
    <xf numFmtId="0" fontId="36" fillId="5" borderId="119" xfId="3" applyFont="1" applyFill="1" applyBorder="1"/>
    <xf numFmtId="0" fontId="47" fillId="5" borderId="120" xfId="3" applyFont="1" applyFill="1" applyBorder="1" applyAlignment="1">
      <alignment horizontal="center"/>
    </xf>
    <xf numFmtId="14" fontId="19" fillId="5" borderId="122" xfId="3" applyNumberFormat="1" applyFont="1" applyFill="1" applyBorder="1" applyAlignment="1">
      <alignment horizontal="center"/>
    </xf>
    <xf numFmtId="14" fontId="19" fillId="5" borderId="123" xfId="3" applyNumberFormat="1" applyFont="1" applyFill="1" applyBorder="1" applyAlignment="1">
      <alignment horizontal="center"/>
    </xf>
    <xf numFmtId="0" fontId="36" fillId="5" borderId="23" xfId="3" applyFont="1" applyFill="1" applyBorder="1"/>
    <xf numFmtId="14" fontId="19" fillId="5" borderId="124" xfId="3" applyNumberFormat="1" applyFont="1" applyFill="1" applyBorder="1" applyAlignment="1">
      <alignment horizontal="center"/>
    </xf>
    <xf numFmtId="184" fontId="2" fillId="0" borderId="0" xfId="0" applyNumberFormat="1" applyFont="1" applyBorder="1" applyAlignment="1">
      <alignment horizontal="center"/>
    </xf>
    <xf numFmtId="0" fontId="53" fillId="0" borderId="61" xfId="4" applyFont="1" applyBorder="1"/>
    <xf numFmtId="0" fontId="53" fillId="0" borderId="62" xfId="4" applyFont="1" applyBorder="1"/>
    <xf numFmtId="0" fontId="53" fillId="0" borderId="38" xfId="4" applyFont="1" applyBorder="1"/>
    <xf numFmtId="0" fontId="1" fillId="0" borderId="0" xfId="4"/>
    <xf numFmtId="0" fontId="54" fillId="0" borderId="83" xfId="4" applyFont="1" applyBorder="1" applyAlignment="1">
      <alignment horizontal="centerContinuous"/>
    </xf>
    <xf numFmtId="0" fontId="53" fillId="0" borderId="0" xfId="4" applyFont="1" applyBorder="1" applyAlignment="1">
      <alignment horizontal="centerContinuous"/>
    </xf>
    <xf numFmtId="0" fontId="53" fillId="0" borderId="108" xfId="4" applyFont="1" applyBorder="1" applyAlignment="1">
      <alignment horizontal="centerContinuous"/>
    </xf>
    <xf numFmtId="0" fontId="55" fillId="0" borderId="83" xfId="4" applyFont="1" applyBorder="1" applyAlignment="1">
      <alignment horizontal="centerContinuous"/>
    </xf>
    <xf numFmtId="0" fontId="53" fillId="0" borderId="83" xfId="4" applyFont="1" applyBorder="1"/>
    <xf numFmtId="0" fontId="53" fillId="0" borderId="0" xfId="4" applyFont="1" applyBorder="1"/>
    <xf numFmtId="0" fontId="53" fillId="0" borderId="108" xfId="4" applyFont="1" applyBorder="1"/>
    <xf numFmtId="0" fontId="56" fillId="0" borderId="1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6" fillId="0" borderId="0" xfId="4" applyFont="1" applyBorder="1" applyAlignment="1">
      <alignment horizontal="right"/>
    </xf>
    <xf numFmtId="0" fontId="53" fillId="0" borderId="0" xfId="4" applyFont="1" applyBorder="1" applyAlignment="1">
      <alignment horizontal="center"/>
    </xf>
    <xf numFmtId="9" fontId="53" fillId="0" borderId="0" xfId="4" applyNumberFormat="1" applyFont="1" applyBorder="1" applyAlignment="1">
      <alignment horizontal="center"/>
    </xf>
    <xf numFmtId="0" fontId="56" fillId="0" borderId="83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5" xfId="4" applyFont="1" applyBorder="1"/>
    <xf numFmtId="0" fontId="56" fillId="0" borderId="17" xfId="4" applyFont="1" applyBorder="1" applyAlignment="1">
      <alignment horizontal="right"/>
    </xf>
    <xf numFmtId="0" fontId="53" fillId="0" borderId="132" xfId="4" applyFont="1" applyBorder="1"/>
    <xf numFmtId="184" fontId="3" fillId="0" borderId="0" xfId="4" quotePrefix="1" applyNumberFormat="1" applyFont="1" applyBorder="1" applyAlignment="1">
      <alignment horizontal="center"/>
    </xf>
    <xf numFmtId="184" fontId="2" fillId="0" borderId="0" xfId="4" applyNumberFormat="1" applyFont="1" applyBorder="1" applyAlignment="1">
      <alignment horizontal="center"/>
    </xf>
    <xf numFmtId="184" fontId="3" fillId="0" borderId="0" xfId="4" applyNumberFormat="1" applyFont="1" applyBorder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25" fillId="0" borderId="0" xfId="4" applyFont="1"/>
    <xf numFmtId="0" fontId="57" fillId="0" borderId="0" xfId="4" applyFont="1"/>
    <xf numFmtId="0" fontId="58" fillId="0" borderId="26" xfId="4" applyFont="1" applyBorder="1" applyAlignment="1">
      <alignment horizontal="center"/>
    </xf>
    <xf numFmtId="0" fontId="58" fillId="0" borderId="28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59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8" fillId="0" borderId="1" xfId="4" applyFont="1" applyBorder="1" applyAlignment="1">
      <alignment horizontal="right"/>
    </xf>
    <xf numFmtId="0" fontId="57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7" fillId="0" borderId="17" xfId="4" applyFont="1" applyBorder="1" applyAlignment="1">
      <alignment horizontal="right"/>
    </xf>
    <xf numFmtId="0" fontId="57" fillId="0" borderId="131" xfId="4" applyFont="1" applyBorder="1" applyAlignment="1">
      <alignment horizontal="right"/>
    </xf>
    <xf numFmtId="0" fontId="57" fillId="0" borderId="131" xfId="4" applyFont="1" applyBorder="1" applyAlignment="1">
      <alignment horizontal="center"/>
    </xf>
    <xf numFmtId="0" fontId="57" fillId="0" borderId="132" xfId="4" quotePrefix="1" applyFont="1" applyBorder="1" applyAlignment="1">
      <alignment horizontal="center"/>
    </xf>
    <xf numFmtId="0" fontId="57" fillId="0" borderId="132" xfId="4" applyFont="1" applyBorder="1" applyAlignment="1">
      <alignment horizontal="center"/>
    </xf>
    <xf numFmtId="0" fontId="58" fillId="0" borderId="0" xfId="4" applyFont="1" applyAlignment="1">
      <alignment horizontal="right"/>
    </xf>
    <xf numFmtId="0" fontId="32" fillId="0" borderId="0" xfId="4" applyFont="1" applyAlignment="1">
      <alignment horizontal="center"/>
    </xf>
    <xf numFmtId="0" fontId="58" fillId="0" borderId="0" xfId="4" applyFont="1" applyAlignment="1">
      <alignment horizontal="right"/>
    </xf>
    <xf numFmtId="0" fontId="57" fillId="0" borderId="62" xfId="4" applyFont="1" applyBorder="1" applyAlignment="1">
      <alignment horizontal="center"/>
    </xf>
    <xf numFmtId="0" fontId="55" fillId="0" borderId="83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8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Border="1" applyAlignment="1">
      <alignment horizontal="center"/>
    </xf>
    <xf numFmtId="0" fontId="60" fillId="0" borderId="108" xfId="4" applyFont="1" applyBorder="1" applyAlignment="1">
      <alignment horizontal="center"/>
    </xf>
    <xf numFmtId="0" fontId="61" fillId="0" borderId="0" xfId="4" applyFont="1"/>
    <xf numFmtId="0" fontId="1" fillId="0" borderId="0" xfId="4" applyBorder="1"/>
    <xf numFmtId="0" fontId="62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3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84" fontId="3" fillId="0" borderId="135" xfId="4" quotePrefix="1" applyNumberFormat="1" applyFont="1" applyBorder="1" applyAlignment="1">
      <alignment horizontal="center"/>
    </xf>
    <xf numFmtId="184" fontId="2" fillId="0" borderId="39" xfId="4" applyNumberFormat="1" applyFont="1" applyBorder="1" applyAlignment="1">
      <alignment horizontal="center"/>
    </xf>
    <xf numFmtId="184" fontId="2" fillId="0" borderId="28" xfId="4" applyNumberFormat="1" applyFont="1" applyBorder="1" applyAlignment="1">
      <alignment horizontal="center"/>
    </xf>
    <xf numFmtId="184" fontId="2" fillId="0" borderId="136" xfId="4" applyNumberFormat="1" applyFont="1" applyBorder="1" applyAlignment="1">
      <alignment horizontal="center"/>
    </xf>
    <xf numFmtId="184" fontId="3" fillId="0" borderId="137" xfId="4" quotePrefix="1" applyNumberFormat="1" applyFont="1" applyBorder="1" applyAlignment="1">
      <alignment horizontal="center"/>
    </xf>
    <xf numFmtId="184" fontId="2" fillId="0" borderId="132" xfId="4" applyNumberFormat="1" applyFont="1" applyBorder="1" applyAlignment="1">
      <alignment horizontal="center"/>
    </xf>
    <xf numFmtId="184" fontId="2" fillId="0" borderId="1" xfId="4" applyNumberFormat="1" applyFont="1" applyBorder="1" applyAlignment="1">
      <alignment horizontal="center"/>
    </xf>
    <xf numFmtId="184" fontId="2" fillId="0" borderId="9" xfId="4" applyNumberFormat="1" applyFont="1" applyBorder="1" applyAlignment="1">
      <alignment horizontal="center"/>
    </xf>
    <xf numFmtId="184" fontId="3" fillId="0" borderId="25" xfId="4" quotePrefix="1" applyNumberFormat="1" applyFont="1" applyBorder="1" applyAlignment="1">
      <alignment horizontal="center"/>
    </xf>
    <xf numFmtId="184" fontId="2" fillId="0" borderId="133" xfId="4" applyNumberFormat="1" applyFont="1" applyBorder="1" applyAlignment="1">
      <alignment horizontal="center"/>
    </xf>
    <xf numFmtId="184" fontId="2" fillId="0" borderId="11" xfId="4" applyNumberFormat="1" applyFont="1" applyBorder="1" applyAlignment="1">
      <alignment horizontal="center"/>
    </xf>
    <xf numFmtId="184" fontId="2" fillId="0" borderId="33" xfId="4" applyNumberFormat="1" applyFont="1" applyBorder="1" applyAlignment="1">
      <alignment horizontal="center"/>
    </xf>
    <xf numFmtId="192" fontId="65" fillId="0" borderId="6" xfId="5" applyFont="1" applyBorder="1" applyAlignment="1" applyProtection="1">
      <alignment horizontal="centerContinuous"/>
    </xf>
    <xf numFmtId="192" fontId="65" fillId="0" borderId="7" xfId="5" applyFont="1" applyBorder="1" applyAlignment="1">
      <alignment horizontal="centerContinuous"/>
    </xf>
    <xf numFmtId="192" fontId="66" fillId="0" borderId="12" xfId="5" applyFont="1" applyBorder="1" applyAlignment="1" applyProtection="1">
      <alignment horizontal="left"/>
    </xf>
    <xf numFmtId="192" fontId="67" fillId="0" borderId="55" xfId="5" applyFont="1" applyBorder="1"/>
    <xf numFmtId="192" fontId="66" fillId="0" borderId="13" xfId="5" applyFont="1" applyBorder="1" applyAlignment="1">
      <alignment horizontal="centerContinuous"/>
    </xf>
    <xf numFmtId="192" fontId="67" fillId="0" borderId="14" xfId="5" applyFont="1" applyBorder="1" applyAlignment="1">
      <alignment horizontal="centerContinuous"/>
    </xf>
    <xf numFmtId="192" fontId="68" fillId="0" borderId="0" xfId="5" applyFont="1"/>
    <xf numFmtId="192" fontId="64" fillId="0" borderId="0" xfId="5"/>
    <xf numFmtId="192" fontId="65" fillId="0" borderId="45" xfId="5" applyFont="1" applyBorder="1" applyAlignment="1" applyProtection="1">
      <alignment horizontal="centerContinuous"/>
    </xf>
    <xf numFmtId="192" fontId="65" fillId="0" borderId="0" xfId="5" applyFont="1" applyBorder="1" applyAlignment="1">
      <alignment horizontal="centerContinuous"/>
    </xf>
    <xf numFmtId="192" fontId="66" fillId="0" borderId="109" xfId="5" applyFont="1" applyBorder="1" applyAlignment="1" applyProtection="1">
      <alignment horizontal="left"/>
    </xf>
    <xf numFmtId="192" fontId="67" fillId="0" borderId="39" xfId="5" applyFont="1" applyBorder="1"/>
    <xf numFmtId="192" fontId="66" fillId="0" borderId="40" xfId="5" applyFont="1" applyBorder="1" applyAlignment="1" applyProtection="1">
      <alignment horizontal="centerContinuous"/>
    </xf>
    <xf numFmtId="192" fontId="67" fillId="0" borderId="29" xfId="5" applyFont="1" applyBorder="1" applyAlignment="1">
      <alignment horizontal="centerContinuous"/>
    </xf>
    <xf numFmtId="192" fontId="67" fillId="0" borderId="45" xfId="5" applyFont="1" applyBorder="1" applyAlignment="1">
      <alignment horizontal="centerContinuous"/>
    </xf>
    <xf numFmtId="192" fontId="67" fillId="0" borderId="0" xfId="5" applyFont="1" applyBorder="1" applyAlignment="1">
      <alignment horizontal="centerContinuous"/>
    </xf>
    <xf numFmtId="192" fontId="66" fillId="0" borderId="40" xfId="5" quotePrefix="1" applyFont="1" applyBorder="1" applyAlignment="1">
      <alignment horizontal="centerContinuous"/>
    </xf>
    <xf numFmtId="192" fontId="69" fillId="0" borderId="45" xfId="5" applyFont="1" applyBorder="1" applyAlignment="1" applyProtection="1">
      <alignment horizontal="centerContinuous"/>
    </xf>
    <xf numFmtId="192" fontId="66" fillId="0" borderId="40" xfId="5" quotePrefix="1" applyFont="1" applyBorder="1" applyAlignment="1" applyProtection="1">
      <alignment horizontal="centerContinuous"/>
    </xf>
    <xf numFmtId="192" fontId="68" fillId="0" borderId="45" xfId="5" applyFont="1" applyBorder="1" applyAlignment="1">
      <alignment horizontal="centerContinuous"/>
    </xf>
    <xf numFmtId="192" fontId="66" fillId="0" borderId="40" xfId="5" applyFont="1" applyBorder="1" applyAlignment="1">
      <alignment horizontal="centerContinuous"/>
    </xf>
    <xf numFmtId="192" fontId="68" fillId="0" borderId="46" xfId="5" applyFont="1" applyBorder="1" applyAlignment="1" applyProtection="1">
      <alignment horizontal="centerContinuous"/>
    </xf>
    <xf numFmtId="192" fontId="67" fillId="0" borderId="23" xfId="5" applyFont="1" applyBorder="1" applyAlignment="1">
      <alignment horizontal="centerContinuous"/>
    </xf>
    <xf numFmtId="192" fontId="66" fillId="0" borderId="46" xfId="5" applyFont="1" applyBorder="1" applyAlignment="1" applyProtection="1">
      <alignment horizontal="left"/>
    </xf>
    <xf numFmtId="192" fontId="67" fillId="0" borderId="48" xfId="5" applyFont="1" applyBorder="1"/>
    <xf numFmtId="192" fontId="70" fillId="0" borderId="23" xfId="5" applyFont="1" applyBorder="1" applyAlignment="1">
      <alignment horizontal="centerContinuous"/>
    </xf>
    <xf numFmtId="192" fontId="67" fillId="0" borderId="24" xfId="5" applyFont="1" applyBorder="1" applyAlignment="1">
      <alignment horizontal="centerContinuous"/>
    </xf>
    <xf numFmtId="192" fontId="68" fillId="0" borderId="0" xfId="5" applyFont="1" applyBorder="1" applyAlignment="1" applyProtection="1">
      <alignment horizontal="centerContinuous"/>
    </xf>
    <xf numFmtId="192" fontId="66" fillId="0" borderId="0" xfId="5" applyFont="1" applyBorder="1" applyAlignment="1" applyProtection="1">
      <alignment horizontal="left"/>
    </xf>
    <xf numFmtId="192" fontId="67" fillId="0" borderId="0" xfId="5" applyFont="1" applyBorder="1"/>
    <xf numFmtId="192" fontId="66" fillId="0" borderId="0" xfId="5" applyFont="1" applyBorder="1" applyAlignment="1">
      <alignment horizontal="centerContinuous"/>
    </xf>
    <xf numFmtId="192" fontId="71" fillId="0" borderId="0" xfId="5" applyFont="1"/>
    <xf numFmtId="192" fontId="71" fillId="0" borderId="0" xfId="5" applyFont="1" applyAlignment="1" applyProtection="1">
      <alignment horizontal="right"/>
    </xf>
    <xf numFmtId="192" fontId="71" fillId="0" borderId="0" xfId="5" applyFont="1" applyAlignment="1" applyProtection="1">
      <alignment horizontal="left"/>
      <protection locked="0"/>
    </xf>
    <xf numFmtId="192" fontId="71" fillId="0" borderId="0" xfId="5" applyFont="1" applyBorder="1" applyAlignment="1">
      <alignment horizontal="centerContinuous"/>
    </xf>
    <xf numFmtId="192" fontId="71" fillId="0" borderId="0" xfId="5" applyFont="1" applyBorder="1" applyAlignment="1" applyProtection="1">
      <alignment horizontal="left"/>
    </xf>
    <xf numFmtId="192" fontId="71" fillId="0" borderId="0" xfId="5" applyFont="1" applyBorder="1"/>
    <xf numFmtId="49" fontId="71" fillId="0" borderId="0" xfId="5" quotePrefix="1" applyNumberFormat="1" applyFont="1" applyAlignment="1" applyProtection="1">
      <alignment horizontal="left"/>
      <protection locked="0"/>
    </xf>
    <xf numFmtId="192" fontId="67" fillId="0" borderId="0" xfId="5" applyFont="1"/>
    <xf numFmtId="192" fontId="72" fillId="0" borderId="138" xfId="5" applyFont="1" applyBorder="1" applyAlignment="1" applyProtection="1">
      <alignment horizontal="centerContinuous"/>
    </xf>
    <xf numFmtId="192" fontId="68" fillId="0" borderId="139" xfId="5" applyFont="1" applyBorder="1" applyAlignment="1">
      <alignment horizontal="centerContinuous"/>
    </xf>
    <xf numFmtId="192" fontId="68" fillId="0" borderId="140" xfId="5" applyFont="1" applyBorder="1" applyAlignment="1">
      <alignment horizontal="centerContinuous"/>
    </xf>
    <xf numFmtId="192" fontId="71" fillId="0" borderId="45" xfId="5" applyFont="1" applyBorder="1"/>
    <xf numFmtId="192" fontId="71" fillId="0" borderId="0" xfId="5" applyFont="1" applyBorder="1" applyAlignment="1" applyProtection="1">
      <alignment horizontal="right"/>
    </xf>
    <xf numFmtId="192" fontId="71" fillId="0" borderId="0" xfId="5" applyFont="1" applyBorder="1" applyAlignment="1" applyProtection="1">
      <alignment horizontal="center"/>
      <protection locked="0"/>
    </xf>
    <xf numFmtId="192" fontId="71" fillId="0" borderId="21" xfId="5" applyFont="1" applyBorder="1" applyAlignment="1" applyProtection="1">
      <alignment horizontal="center"/>
      <protection locked="0"/>
    </xf>
    <xf numFmtId="192" fontId="71" fillId="0" borderId="0" xfId="5" applyFont="1" applyBorder="1" applyAlignment="1">
      <alignment horizontal="center"/>
    </xf>
    <xf numFmtId="49" fontId="71" fillId="0" borderId="0" xfId="5" applyNumberFormat="1" applyFont="1" applyBorder="1" applyAlignment="1">
      <alignment horizontal="center"/>
    </xf>
    <xf numFmtId="193" fontId="71" fillId="0" borderId="0" xfId="5" applyNumberFormat="1" applyFont="1" applyBorder="1" applyAlignment="1" applyProtection="1">
      <alignment horizontal="center"/>
      <protection locked="0"/>
    </xf>
    <xf numFmtId="192" fontId="71" fillId="0" borderId="0" xfId="5" quotePrefix="1" applyFont="1" applyBorder="1" applyAlignment="1" applyProtection="1">
      <alignment horizontal="right"/>
    </xf>
    <xf numFmtId="192" fontId="71" fillId="0" borderId="0" xfId="5" quotePrefix="1" applyFont="1" applyBorder="1" applyAlignment="1" applyProtection="1">
      <alignment horizontal="center"/>
      <protection locked="0"/>
    </xf>
    <xf numFmtId="192" fontId="71" fillId="0" borderId="0" xfId="5" applyFont="1" applyBorder="1" applyAlignment="1" applyProtection="1">
      <alignment horizontal="left"/>
      <protection locked="0"/>
    </xf>
    <xf numFmtId="192" fontId="71" fillId="0" borderId="21" xfId="5" applyFont="1" applyBorder="1"/>
    <xf numFmtId="192" fontId="71" fillId="0" borderId="46" xfId="5" applyFont="1" applyBorder="1"/>
    <xf numFmtId="192" fontId="71" fillId="0" borderId="23" xfId="5" applyFont="1" applyBorder="1" applyAlignment="1" applyProtection="1">
      <alignment horizontal="right"/>
    </xf>
    <xf numFmtId="184" fontId="71" fillId="0" borderId="23" xfId="5" quotePrefix="1" applyNumberFormat="1" applyFont="1" applyBorder="1" applyAlignment="1" applyProtection="1">
      <alignment horizontal="center"/>
      <protection locked="0"/>
    </xf>
    <xf numFmtId="192" fontId="71" fillId="0" borderId="23" xfId="5" applyFont="1" applyBorder="1"/>
    <xf numFmtId="192" fontId="71" fillId="0" borderId="23" xfId="5" applyFont="1" applyBorder="1" applyAlignment="1">
      <alignment horizontal="right"/>
    </xf>
    <xf numFmtId="184" fontId="71" fillId="0" borderId="23" xfId="5" applyNumberFormat="1" applyFont="1" applyBorder="1" applyProtection="1"/>
    <xf numFmtId="192" fontId="71" fillId="0" borderId="24" xfId="5" applyFont="1" applyBorder="1"/>
    <xf numFmtId="192" fontId="73" fillId="0" borderId="45" xfId="5" quotePrefix="1" applyFont="1" applyBorder="1" applyAlignment="1">
      <alignment horizontal="left"/>
    </xf>
    <xf numFmtId="192" fontId="67" fillId="0" borderId="0" xfId="5" quotePrefix="1" applyFont="1" applyBorder="1" applyAlignment="1" applyProtection="1">
      <alignment horizontal="right"/>
    </xf>
    <xf numFmtId="192" fontId="67" fillId="0" borderId="108" xfId="5" applyFont="1" applyBorder="1"/>
    <xf numFmtId="192" fontId="73" fillId="0" borderId="0" xfId="5" applyFont="1" applyBorder="1" applyAlignment="1" applyProtection="1">
      <alignment horizontal="left"/>
    </xf>
    <xf numFmtId="192" fontId="67" fillId="0" borderId="0" xfId="5" applyFont="1" applyBorder="1" applyAlignment="1" applyProtection="1">
      <alignment horizontal="right"/>
    </xf>
    <xf numFmtId="192" fontId="67" fillId="0" borderId="108" xfId="5" applyFont="1" applyBorder="1" applyAlignment="1" applyProtection="1">
      <alignment horizontal="right"/>
    </xf>
    <xf numFmtId="192" fontId="73" fillId="0" borderId="0" xfId="5" quotePrefix="1" applyFont="1" applyBorder="1" applyAlignment="1" applyProtection="1">
      <alignment horizontal="left"/>
    </xf>
    <xf numFmtId="192" fontId="67" fillId="0" borderId="0" xfId="5" applyFont="1" applyBorder="1" applyAlignment="1">
      <alignment horizontal="right"/>
    </xf>
    <xf numFmtId="192" fontId="67" fillId="0" borderId="21" xfId="5" applyFont="1" applyBorder="1"/>
    <xf numFmtId="192" fontId="64" fillId="0" borderId="45" xfId="5" applyBorder="1"/>
    <xf numFmtId="192" fontId="71" fillId="0" borderId="0" xfId="5" applyFont="1" applyBorder="1" applyAlignment="1">
      <alignment horizontal="right"/>
    </xf>
    <xf numFmtId="192" fontId="71" fillId="0" borderId="108" xfId="5" applyFont="1" applyBorder="1" applyAlignment="1" applyProtection="1">
      <alignment horizontal="center"/>
      <protection locked="0"/>
    </xf>
    <xf numFmtId="1" fontId="71" fillId="0" borderId="108" xfId="5" applyNumberFormat="1" applyFont="1" applyBorder="1" applyAlignment="1">
      <alignment horizontal="center"/>
    </xf>
    <xf numFmtId="192" fontId="71" fillId="0" borderId="0" xfId="5" applyFont="1" applyBorder="1" applyAlignment="1">
      <alignment horizontal="left"/>
    </xf>
    <xf numFmtId="192" fontId="71" fillId="0" borderId="108" xfId="5" applyFont="1" applyBorder="1"/>
    <xf numFmtId="192" fontId="71" fillId="0" borderId="48" xfId="5" applyFont="1" applyBorder="1"/>
    <xf numFmtId="192" fontId="71" fillId="0" borderId="48" xfId="5" applyFont="1" applyBorder="1" applyAlignment="1">
      <alignment horizontal="left"/>
    </xf>
    <xf numFmtId="192" fontId="68" fillId="0" borderId="0" xfId="5" applyFont="1" applyBorder="1" applyAlignment="1">
      <alignment horizontal="centerContinuous"/>
    </xf>
    <xf numFmtId="192" fontId="68" fillId="0" borderId="0" xfId="5" applyFont="1" applyBorder="1"/>
    <xf numFmtId="192" fontId="72" fillId="0" borderId="141" xfId="5" applyFont="1" applyBorder="1" applyAlignment="1" applyProtection="1">
      <alignment horizontal="centerContinuous"/>
    </xf>
    <xf numFmtId="192" fontId="68" fillId="0" borderId="142" xfId="5" applyFont="1" applyBorder="1" applyAlignment="1">
      <alignment horizontal="centerContinuous"/>
    </xf>
    <xf numFmtId="192" fontId="64" fillId="0" borderId="143" xfId="5" applyBorder="1"/>
    <xf numFmtId="192" fontId="68" fillId="0" borderId="144" xfId="5" applyFont="1" applyBorder="1" applyAlignment="1">
      <alignment horizontal="centerContinuous"/>
    </xf>
    <xf numFmtId="192" fontId="73" fillId="0" borderId="45" xfId="5" applyFont="1" applyBorder="1" applyAlignment="1">
      <alignment horizontal="left"/>
    </xf>
    <xf numFmtId="192" fontId="64" fillId="0" borderId="108" xfId="5" applyBorder="1"/>
    <xf numFmtId="184" fontId="71" fillId="0" borderId="0" xfId="5" applyNumberFormat="1" applyFont="1" applyBorder="1" applyAlignment="1" applyProtection="1">
      <alignment horizontal="center"/>
      <protection locked="0"/>
    </xf>
    <xf numFmtId="192" fontId="71" fillId="0" borderId="45" xfId="5" applyFont="1" applyBorder="1" applyAlignment="1">
      <alignment horizontal="left"/>
    </xf>
    <xf numFmtId="192" fontId="64" fillId="0" borderId="48" xfId="5" applyBorder="1"/>
    <xf numFmtId="192" fontId="68" fillId="0" borderId="0" xfId="5" applyFont="1" applyBorder="1" applyAlignment="1">
      <alignment horizontal="left"/>
    </xf>
    <xf numFmtId="192" fontId="68" fillId="0" borderId="0" xfId="5" applyFont="1" applyAlignment="1">
      <alignment horizontal="left"/>
    </xf>
    <xf numFmtId="192" fontId="68" fillId="0" borderId="141" xfId="5" applyFont="1" applyBorder="1"/>
    <xf numFmtId="192" fontId="67" fillId="0" borderId="142" xfId="5" applyFont="1" applyBorder="1" applyAlignment="1">
      <alignment horizontal="left"/>
    </xf>
    <xf numFmtId="192" fontId="67" fillId="0" borderId="144" xfId="5" applyFont="1" applyBorder="1" applyAlignment="1">
      <alignment horizontal="left"/>
    </xf>
    <xf numFmtId="192" fontId="71" fillId="0" borderId="45" xfId="5" quotePrefix="1" applyFont="1" applyBorder="1" applyAlignment="1">
      <alignment horizontal="left"/>
    </xf>
    <xf numFmtId="192" fontId="71" fillId="0" borderId="21" xfId="5" applyFont="1" applyBorder="1" applyAlignment="1">
      <alignment horizontal="left"/>
    </xf>
    <xf numFmtId="192" fontId="74" fillId="0" borderId="145" xfId="5" applyFont="1" applyBorder="1"/>
    <xf numFmtId="192" fontId="71" fillId="0" borderId="0" xfId="5" quotePrefix="1" applyFont="1" applyBorder="1" applyAlignment="1" applyProtection="1">
      <alignment horizontal="left"/>
    </xf>
    <xf numFmtId="192" fontId="71" fillId="0" borderId="146" xfId="5" quotePrefix="1" applyFont="1" applyBorder="1" applyAlignment="1" applyProtection="1">
      <alignment horizontal="left"/>
    </xf>
    <xf numFmtId="192" fontId="71" fillId="0" borderId="147" xfId="5" quotePrefix="1" applyFont="1" applyBorder="1" applyAlignment="1">
      <alignment horizontal="left"/>
    </xf>
    <xf numFmtId="192" fontId="71" fillId="0" borderId="46" xfId="5" applyFont="1" applyBorder="1" applyAlignment="1">
      <alignment horizontal="left"/>
    </xf>
    <xf numFmtId="192" fontId="71" fillId="0" borderId="23" xfId="5" applyFont="1" applyBorder="1" applyAlignment="1">
      <alignment horizontal="left"/>
    </xf>
    <xf numFmtId="192" fontId="71" fillId="0" borderId="24" xfId="5" applyFont="1" applyBorder="1" applyAlignment="1">
      <alignment horizontal="left"/>
    </xf>
    <xf numFmtId="192" fontId="67" fillId="0" borderId="0" xfId="5" applyFont="1" applyAlignment="1">
      <alignment horizontal="left"/>
    </xf>
    <xf numFmtId="192" fontId="75" fillId="0" borderId="0" xfId="5" applyFont="1" applyAlignment="1" applyProtection="1">
      <alignment horizontal="right"/>
    </xf>
    <xf numFmtId="192" fontId="76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192" fontId="64" fillId="0" borderId="0" xfId="5" applyAlignment="1">
      <alignment horizontal="right"/>
    </xf>
    <xf numFmtId="49" fontId="53" fillId="0" borderId="40" xfId="4" applyNumberFormat="1" applyFont="1" applyBorder="1"/>
  </cellXfs>
  <cellStyles count="6">
    <cellStyle name="Normal" xfId="0" builtinId="0"/>
    <cellStyle name="Normal 2" xfId="1"/>
    <cellStyle name="Normal 3" xfId="4"/>
    <cellStyle name="Normal 4" xfId="5"/>
    <cellStyle name="Normal_OPTEST" xfId="3"/>
    <cellStyle name="Normal_PROJ_REV_HIST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58.151261602155792</c:v>
                </c:pt>
                <c:pt idx="2">
                  <c:v>202.77836097261726</c:v>
                </c:pt>
                <c:pt idx="3">
                  <c:v>220</c:v>
                </c:pt>
                <c:pt idx="4">
                  <c:v>154.53456722191009</c:v>
                </c:pt>
                <c:pt idx="5">
                  <c:v>129.86275948978025</c:v>
                </c:pt>
                <c:pt idx="6">
                  <c:v>111.69624438103961</c:v>
                </c:pt>
                <c:pt idx="7">
                  <c:v>105</c:v>
                </c:pt>
                <c:pt idx="8">
                  <c:v>105.28160373707013</c:v>
                </c:pt>
                <c:pt idx="9">
                  <c:v>106.90940368521325</c:v>
                </c:pt>
                <c:pt idx="10">
                  <c:v>110.65230143068808</c:v>
                </c:pt>
                <c:pt idx="11">
                  <c:v>117.73690824540756</c:v>
                </c:pt>
                <c:pt idx="12">
                  <c:v>130.04490244993832</c:v>
                </c:pt>
                <c:pt idx="13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1B-486F-819B-D0072167247D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89.75</c:v>
                </c:pt>
                <c:pt idx="4">
                  <c:v>74</c:v>
                </c:pt>
                <c:pt idx="5">
                  <c:v>58.799999237060547</c:v>
                </c:pt>
                <c:pt idx="6">
                  <c:v>36.400001525878906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1B-486F-819B-D0072167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77248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0.39323347806930542</c:v>
                </c:pt>
                <c:pt idx="1">
                  <c:v>79.235595703125</c:v>
                </c:pt>
                <c:pt idx="2">
                  <c:v>281.76608276367188</c:v>
                </c:pt>
                <c:pt idx="3">
                  <c:v>409.136474609375</c:v>
                </c:pt>
                <c:pt idx="4">
                  <c:v>464.34567260742188</c:v>
                </c:pt>
                <c:pt idx="5">
                  <c:v>493.0284423828125</c:v>
                </c:pt>
                <c:pt idx="6">
                  <c:v>524.26165771484375</c:v>
                </c:pt>
                <c:pt idx="7">
                  <c:v>544.417236328125</c:v>
                </c:pt>
                <c:pt idx="8">
                  <c:v>561.4146728515625</c:v>
                </c:pt>
                <c:pt idx="9">
                  <c:v>577.4471435546875</c:v>
                </c:pt>
                <c:pt idx="10">
                  <c:v>593.25982666015625</c:v>
                </c:pt>
                <c:pt idx="11">
                  <c:v>609.12591552734375</c:v>
                </c:pt>
                <c:pt idx="12">
                  <c:v>625.11181640625</c:v>
                </c:pt>
                <c:pt idx="13">
                  <c:v>640.35089111328125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1B-486F-819B-D0072167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1347724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3477248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58.151261602155792</c:v>
                </c:pt>
                <c:pt idx="2">
                  <c:v>202.77836097261726</c:v>
                </c:pt>
                <c:pt idx="3">
                  <c:v>220</c:v>
                </c:pt>
                <c:pt idx="4">
                  <c:v>154.53456722191009</c:v>
                </c:pt>
                <c:pt idx="5">
                  <c:v>129.86275948978025</c:v>
                </c:pt>
                <c:pt idx="6">
                  <c:v>111.69624438103961</c:v>
                </c:pt>
                <c:pt idx="7">
                  <c:v>105</c:v>
                </c:pt>
                <c:pt idx="8">
                  <c:v>105.28160373707013</c:v>
                </c:pt>
                <c:pt idx="9">
                  <c:v>106.90940368521325</c:v>
                </c:pt>
                <c:pt idx="10">
                  <c:v>110.65230143068808</c:v>
                </c:pt>
                <c:pt idx="11">
                  <c:v>117.73690824540756</c:v>
                </c:pt>
                <c:pt idx="12">
                  <c:v>130.04490244993832</c:v>
                </c:pt>
                <c:pt idx="13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B7-4F1A-8D74-75061CB4D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023352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0.39323347806930542</c:v>
                </c:pt>
                <c:pt idx="1">
                  <c:v>79.235595703125</c:v>
                </c:pt>
                <c:pt idx="2">
                  <c:v>281.76608276367188</c:v>
                </c:pt>
                <c:pt idx="3">
                  <c:v>409.136474609375</c:v>
                </c:pt>
                <c:pt idx="4">
                  <c:v>464.34567260742188</c:v>
                </c:pt>
                <c:pt idx="5">
                  <c:v>493.0284423828125</c:v>
                </c:pt>
                <c:pt idx="6">
                  <c:v>524.26165771484375</c:v>
                </c:pt>
                <c:pt idx="7">
                  <c:v>544.417236328125</c:v>
                </c:pt>
                <c:pt idx="8">
                  <c:v>561.4146728515625</c:v>
                </c:pt>
                <c:pt idx="9">
                  <c:v>577.4471435546875</c:v>
                </c:pt>
                <c:pt idx="10">
                  <c:v>593.25982666015625</c:v>
                </c:pt>
                <c:pt idx="11">
                  <c:v>609.12591552734375</c:v>
                </c:pt>
                <c:pt idx="12">
                  <c:v>625.11181640625</c:v>
                </c:pt>
                <c:pt idx="13">
                  <c:v>640.35089111328125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B7-4F1A-8D74-75061CB4D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0702335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0702335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4814557418"/>
          <c:y val="0.94018422510518729"/>
          <c:w val="0.29863048654440782"/>
          <c:h val="4.29447933163870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640.35087719298247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13.088557379586357</c:v>
                </c:pt>
                <c:pt idx="1">
                  <c:v>14.908203010288567</c:v>
                </c:pt>
                <c:pt idx="2">
                  <c:v>21.467812334815541</c:v>
                </c:pt>
                <c:pt idx="3">
                  <c:v>33.543456773149281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DE-41EE-96D9-A27287ADF569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640.35087719298247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5.4838306563241144</c:v>
                </c:pt>
                <c:pt idx="1">
                  <c:v>6.2462239594129816</c:v>
                </c:pt>
                <c:pt idx="2">
                  <c:v>8.9945625015546948</c:v>
                </c:pt>
                <c:pt idx="3">
                  <c:v>14.05400390867921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DE-41EE-96D9-A27287ADF569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46.459517053485001</c:v>
                </c:pt>
                <c:pt idx="3">
                  <c:v>69.402488437922031</c:v>
                </c:pt>
                <c:pt idx="4">
                  <c:v>106.95080263441969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DE-41EE-96D9-A27287ADF569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640.35087719298247</c:v>
                </c:pt>
                <c:pt idx="1">
                  <c:v>632.71929824561403</c:v>
                </c:pt>
                <c:pt idx="2">
                  <c:v>617.10526315789468</c:v>
                </c:pt>
                <c:pt idx="3">
                  <c:v>601.22807017543857</c:v>
                </c:pt>
                <c:pt idx="4">
                  <c:v>585.35087719298247</c:v>
                </c:pt>
                <c:pt idx="5">
                  <c:v>569.47368421052636</c:v>
                </c:pt>
                <c:pt idx="6">
                  <c:v>552.8947368421052</c:v>
                </c:pt>
                <c:pt idx="7">
                  <c:v>534.29824561403507</c:v>
                </c:pt>
                <c:pt idx="8">
                  <c:v>508.68421052631578</c:v>
                </c:pt>
                <c:pt idx="9">
                  <c:v>478.68421052631584</c:v>
                </c:pt>
                <c:pt idx="10">
                  <c:v>436.75438596491227</c:v>
                </c:pt>
                <c:pt idx="11">
                  <c:v>345.43859649122805</c:v>
                </c:pt>
                <c:pt idx="12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0.76700001955032349</c:v>
                </c:pt>
                <c:pt idx="2">
                  <c:v>1.5690000057220459</c:v>
                </c:pt>
                <c:pt idx="3">
                  <c:v>2.4100000858306885</c:v>
                </c:pt>
                <c:pt idx="4">
                  <c:v>3.2950000762939453</c:v>
                </c:pt>
                <c:pt idx="5">
                  <c:v>4.2430000305175781</c:v>
                </c:pt>
                <c:pt idx="6">
                  <c:v>5.2779998779296875</c:v>
                </c:pt>
                <c:pt idx="7">
                  <c:v>6.6449999809265137</c:v>
                </c:pt>
                <c:pt idx="8">
                  <c:v>8.1230001449584961</c:v>
                </c:pt>
                <c:pt idx="9">
                  <c:v>8.8360004425048828</c:v>
                </c:pt>
                <c:pt idx="10">
                  <c:v>9.3489999771118164</c:v>
                </c:pt>
                <c:pt idx="11">
                  <c:v>9.5010004043579102</c:v>
                </c:pt>
                <c:pt idx="12">
                  <c:v>9.633000373840332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DE-41EE-96D9-A27287ADF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88728"/>
        <c:axId val="1"/>
      </c:scatterChart>
      <c:valAx>
        <c:axId val="9134887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34887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91.025444030761719</c:v>
                </c:pt>
                <c:pt idx="2">
                  <c:v>93.916549682617188</c:v>
                </c:pt>
                <c:pt idx="3">
                  <c:v>94.550369262695313</c:v>
                </c:pt>
                <c:pt idx="4">
                  <c:v>94.581634521484375</c:v>
                </c:pt>
                <c:pt idx="5">
                  <c:v>94.358612060546875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A-4CAA-B889-34ECD4CD7B5F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42.872283935546875</c:v>
                </c:pt>
                <c:pt idx="1">
                  <c:v>65.283279418945313</c:v>
                </c:pt>
                <c:pt idx="2">
                  <c:v>75.44488525390625</c:v>
                </c:pt>
                <c:pt idx="3">
                  <c:v>79.989707946777344</c:v>
                </c:pt>
                <c:pt idx="4">
                  <c:v>81.837059020996094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0A-4CAA-B889-34ECD4CD7B5F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69.658611992334102</c:v>
                </c:pt>
                <c:pt idx="2">
                  <c:v>57.973859955285945</c:v>
                </c:pt>
                <c:pt idx="3">
                  <c:v>45.953465285416243</c:v>
                </c:pt>
                <c:pt idx="4">
                  <c:v>33.501320974233991</c:v>
                </c:pt>
                <c:pt idx="5">
                  <c:v>20.747955896830117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0A-4CAA-B889-34ECD4CD7B5F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11.166434678466214</c:v>
                </c:pt>
                <c:pt idx="1">
                  <c:v>10.256522694199576</c:v>
                </c:pt>
                <c:pt idx="2">
                  <c:v>19.881574945469112</c:v>
                </c:pt>
                <c:pt idx="3">
                  <c:v>29.622455761939907</c:v>
                </c:pt>
                <c:pt idx="4">
                  <c:v>39.483550043978994</c:v>
                </c:pt>
                <c:pt idx="5">
                  <c:v>49.471089737207613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0A-4CAA-B889-34ECD4CD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4364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46.281065026150586</c:v>
                </c:pt>
                <c:pt idx="1">
                  <c:v>55.25042724609375</c:v>
                </c:pt>
                <c:pt idx="2">
                  <c:v>70.333290100097656</c:v>
                </c:pt>
                <c:pt idx="3">
                  <c:v>90.678291320800781</c:v>
                </c:pt>
                <c:pt idx="4">
                  <c:v>113.99720764160156</c:v>
                </c:pt>
                <c:pt idx="5">
                  <c:v>139.60905456542969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0A-4CAA-B889-34ECD4CD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701436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014364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56</xdr:row>
      <xdr:rowOff>7620</xdr:rowOff>
    </xdr:from>
    <xdr:to>
      <xdr:col>9</xdr:col>
      <xdr:colOff>838200</xdr:colOff>
      <xdr:row>67</xdr:row>
      <xdr:rowOff>182880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358140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02580" y="988314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43</xdr:row>
      <xdr:rowOff>0</xdr:rowOff>
    </xdr:from>
    <xdr:to>
      <xdr:col>9</xdr:col>
      <xdr:colOff>320040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26542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335280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28066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403860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250180" y="988314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38734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449636</xdr:colOff>
      <xdr:row>29</xdr:row>
      <xdr:rowOff>202266</xdr:rowOff>
    </xdr:to>
    <xdr:sp macro="" textlink="">
      <xdr:nvSpPr>
        <xdr:cNvPr id="7" name="Depth"/>
        <xdr:cNvSpPr txBox="1">
          <a:spLocks noChangeArrowheads="1"/>
        </xdr:cNvSpPr>
      </xdr:nvSpPr>
      <xdr:spPr bwMode="auto">
        <a:xfrm>
          <a:off x="1861185" y="6768465"/>
          <a:ext cx="2496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53.0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/>
        <xdr:cNvSpPr txBox="1">
          <a:spLocks noChangeArrowheads="1"/>
        </xdr:cNvSpPr>
      </xdr:nvSpPr>
      <xdr:spPr bwMode="auto">
        <a:xfrm>
          <a:off x="880110" y="7139940"/>
          <a:ext cx="39250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211455</xdr:colOff>
      <xdr:row>26</xdr:row>
      <xdr:rowOff>200025</xdr:rowOff>
    </xdr:from>
    <xdr:to>
      <xdr:col>3</xdr:col>
      <xdr:colOff>47725</xdr:colOff>
      <xdr:row>27</xdr:row>
      <xdr:rowOff>66675</xdr:rowOff>
    </xdr:to>
    <xdr:sp macro="" textlink="">
      <xdr:nvSpPr>
        <xdr:cNvPr id="9" name="Width"/>
        <xdr:cNvSpPr txBox="1">
          <a:spLocks noChangeArrowheads="1"/>
        </xdr:cNvSpPr>
      </xdr:nvSpPr>
      <xdr:spPr bwMode="auto">
        <a:xfrm>
          <a:off x="1407795" y="6196965"/>
          <a:ext cx="30109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13.8</a:t>
          </a:r>
        </a:p>
      </xdr:txBody>
    </xdr:sp>
    <xdr:clientData/>
  </xdr:twoCellAnchor>
  <xdr:twoCellAnchor>
    <xdr:from>
      <xdr:col>1</xdr:col>
      <xdr:colOff>388620</xdr:colOff>
      <xdr:row>27</xdr:row>
      <xdr:rowOff>60960</xdr:rowOff>
    </xdr:from>
    <xdr:to>
      <xdr:col>3</xdr:col>
      <xdr:colOff>434340</xdr:colOff>
      <xdr:row>31</xdr:row>
      <xdr:rowOff>220980</xdr:rowOff>
    </xdr:to>
    <xdr:grpSp>
      <xdr:nvGrpSpPr>
        <xdr:cNvPr id="10" name="Group 534"/>
        <xdr:cNvGrpSpPr>
          <a:grpSpLocks/>
        </xdr:cNvGrpSpPr>
      </xdr:nvGrpSpPr>
      <xdr:grpSpPr bwMode="auto">
        <a:xfrm>
          <a:off x="1181100" y="6286500"/>
          <a:ext cx="914400" cy="1074420"/>
          <a:chOff x="126" y="661"/>
          <a:chExt cx="99" cy="113"/>
        </a:xfrm>
      </xdr:grpSpPr>
      <xdr:sp macro="" textlink="">
        <xdr:nvSpPr>
          <xdr:cNvPr id="11" name="Line 298"/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/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/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/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/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/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/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/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/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/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/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/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/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/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/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/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/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/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/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/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/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/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/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/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/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422910</xdr:colOff>
      <xdr:row>42</xdr:row>
      <xdr:rowOff>180975</xdr:rowOff>
    </xdr:from>
    <xdr:to>
      <xdr:col>3</xdr:col>
      <xdr:colOff>297269</xdr:colOff>
      <xdr:row>43</xdr:row>
      <xdr:rowOff>66675</xdr:rowOff>
    </xdr:to>
    <xdr:sp macro="" textlink="">
      <xdr:nvSpPr>
        <xdr:cNvPr id="36" name="Area"/>
        <xdr:cNvSpPr txBox="1">
          <a:spLocks noChangeArrowheads="1"/>
        </xdr:cNvSpPr>
      </xdr:nvSpPr>
      <xdr:spPr bwMode="auto">
        <a:xfrm>
          <a:off x="1619250" y="9835515"/>
          <a:ext cx="33917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1800.0</a:t>
          </a:r>
        </a:p>
      </xdr:txBody>
    </xdr:sp>
    <xdr:clientData/>
  </xdr:twoCellAnchor>
  <xdr:twoCellAnchor>
    <xdr:from>
      <xdr:col>1</xdr:col>
      <xdr:colOff>249555</xdr:colOff>
      <xdr:row>40</xdr:row>
      <xdr:rowOff>200025</xdr:rowOff>
    </xdr:from>
    <xdr:to>
      <xdr:col>2</xdr:col>
      <xdr:colOff>240030</xdr:colOff>
      <xdr:row>41</xdr:row>
      <xdr:rowOff>104775</xdr:rowOff>
    </xdr:to>
    <xdr:sp macro="" textlink="">
      <xdr:nvSpPr>
        <xdr:cNvPr id="37" name="OD"/>
        <xdr:cNvSpPr txBox="1">
          <a:spLocks noChangeArrowheads="1"/>
        </xdr:cNvSpPr>
      </xdr:nvSpPr>
      <xdr:spPr bwMode="auto">
        <a:xfrm>
          <a:off x="1042035" y="9397365"/>
          <a:ext cx="394335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335227</xdr:colOff>
      <xdr:row>40</xdr:row>
      <xdr:rowOff>152400</xdr:rowOff>
    </xdr:to>
    <xdr:sp macro="" textlink="">
      <xdr:nvSpPr>
        <xdr:cNvPr id="38" name="Height"/>
        <xdr:cNvSpPr txBox="1">
          <a:spLocks noChangeArrowheads="1"/>
        </xdr:cNvSpPr>
      </xdr:nvSpPr>
      <xdr:spPr bwMode="auto">
        <a:xfrm>
          <a:off x="1263015" y="9254490"/>
          <a:ext cx="2685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55.0</a:t>
          </a:r>
        </a:p>
      </xdr:txBody>
    </xdr:sp>
    <xdr:clientData/>
  </xdr:twoCellAnchor>
  <xdr:twoCellAnchor>
    <xdr:from>
      <xdr:col>2</xdr:col>
      <xdr:colOff>344805</xdr:colOff>
      <xdr:row>40</xdr:row>
      <xdr:rowOff>57150</xdr:rowOff>
    </xdr:from>
    <xdr:to>
      <xdr:col>3</xdr:col>
      <xdr:colOff>173355</xdr:colOff>
      <xdr:row>40</xdr:row>
      <xdr:rowOff>180975</xdr:rowOff>
    </xdr:to>
    <xdr:sp macro="" textlink="">
      <xdr:nvSpPr>
        <xdr:cNvPr id="39" name="Thickness"/>
        <xdr:cNvSpPr txBox="1">
          <a:spLocks noChangeArrowheads="1"/>
        </xdr:cNvSpPr>
      </xdr:nvSpPr>
      <xdr:spPr bwMode="auto">
        <a:xfrm>
          <a:off x="1541145" y="9254490"/>
          <a:ext cx="2933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1</xdr:col>
      <xdr:colOff>287655</xdr:colOff>
      <xdr:row>42</xdr:row>
      <xdr:rowOff>0</xdr:rowOff>
    </xdr:from>
    <xdr:to>
      <xdr:col>2</xdr:col>
      <xdr:colOff>182880</xdr:colOff>
      <xdr:row>42</xdr:row>
      <xdr:rowOff>123825</xdr:rowOff>
    </xdr:to>
    <xdr:sp macro="" textlink="">
      <xdr:nvSpPr>
        <xdr:cNvPr id="40" name="ID"/>
        <xdr:cNvSpPr txBox="1">
          <a:spLocks noChangeArrowheads="1"/>
        </xdr:cNvSpPr>
      </xdr:nvSpPr>
      <xdr:spPr bwMode="auto">
        <a:xfrm>
          <a:off x="1080135" y="9654540"/>
          <a:ext cx="29908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340.0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373380</xdr:colOff>
      <xdr:row>32</xdr:row>
      <xdr:rowOff>200025</xdr:rowOff>
    </xdr:to>
    <xdr:sp macro="" textlink="">
      <xdr:nvSpPr>
        <xdr:cNvPr id="41" name="Tip2"/>
        <xdr:cNvSpPr txBox="1">
          <a:spLocks noChangeArrowheads="1"/>
        </xdr:cNvSpPr>
      </xdr:nvSpPr>
      <xdr:spPr bwMode="auto">
        <a:xfrm>
          <a:off x="1786890" y="745426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0.70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470482</xdr:colOff>
      <xdr:row>35</xdr:row>
      <xdr:rowOff>161925</xdr:rowOff>
    </xdr:to>
    <xdr:sp macro="" textlink="">
      <xdr:nvSpPr>
        <xdr:cNvPr id="42" name="Depth2"/>
        <xdr:cNvSpPr txBox="1">
          <a:spLocks noChangeArrowheads="1"/>
        </xdr:cNvSpPr>
      </xdr:nvSpPr>
      <xdr:spPr bwMode="auto">
        <a:xfrm>
          <a:off x="1863090" y="8101965"/>
          <a:ext cx="268552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30.70</a:t>
          </a:r>
        </a:p>
      </xdr:txBody>
    </xdr:sp>
    <xdr:clientData/>
  </xdr:twoCellAnchor>
  <xdr:twoCellAnchor>
    <xdr:from>
      <xdr:col>2</xdr:col>
      <xdr:colOff>394335</xdr:colOff>
      <xdr:row>33</xdr:row>
      <xdr:rowOff>142875</xdr:rowOff>
    </xdr:from>
    <xdr:to>
      <xdr:col>3</xdr:col>
      <xdr:colOff>163767</xdr:colOff>
      <xdr:row>34</xdr:row>
      <xdr:rowOff>9525</xdr:rowOff>
    </xdr:to>
    <xdr:sp macro="" textlink="">
      <xdr:nvSpPr>
        <xdr:cNvPr id="43" name="Hat Depth"/>
        <xdr:cNvSpPr txBox="1">
          <a:spLocks noChangeArrowheads="1"/>
        </xdr:cNvSpPr>
      </xdr:nvSpPr>
      <xdr:spPr bwMode="auto">
        <a:xfrm>
          <a:off x="1590675" y="7740015"/>
          <a:ext cx="2342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382905</xdr:colOff>
      <xdr:row>34</xdr:row>
      <xdr:rowOff>38100</xdr:rowOff>
    </xdr:from>
    <xdr:to>
      <xdr:col>3</xdr:col>
      <xdr:colOff>173355</xdr:colOff>
      <xdr:row>34</xdr:row>
      <xdr:rowOff>161925</xdr:rowOff>
    </xdr:to>
    <xdr:sp macro="" textlink="">
      <xdr:nvSpPr>
        <xdr:cNvPr id="44" name="Up Bar Depth"/>
        <xdr:cNvSpPr txBox="1">
          <a:spLocks noChangeArrowheads="1"/>
        </xdr:cNvSpPr>
      </xdr:nvSpPr>
      <xdr:spPr bwMode="auto">
        <a:xfrm>
          <a:off x="1579245" y="7863840"/>
          <a:ext cx="2552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135402</xdr:colOff>
      <xdr:row>34</xdr:row>
      <xdr:rowOff>171450</xdr:rowOff>
    </xdr:to>
    <xdr:sp macro="" textlink="">
      <xdr:nvSpPr>
        <xdr:cNvPr id="45" name="Up Bar Width"/>
        <xdr:cNvSpPr txBox="1">
          <a:spLocks noChangeArrowheads="1"/>
        </xdr:cNvSpPr>
      </xdr:nvSpPr>
      <xdr:spPr bwMode="auto">
        <a:xfrm>
          <a:off x="1144905" y="7844790"/>
          <a:ext cx="186837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8.0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459105</xdr:colOff>
      <xdr:row>35</xdr:row>
      <xdr:rowOff>190500</xdr:rowOff>
    </xdr:to>
    <xdr:sp macro="" textlink="">
      <xdr:nvSpPr>
        <xdr:cNvPr id="46" name="Width2"/>
        <xdr:cNvSpPr txBox="1">
          <a:spLocks noChangeArrowheads="1"/>
        </xdr:cNvSpPr>
      </xdr:nvSpPr>
      <xdr:spPr bwMode="auto">
        <a:xfrm>
          <a:off x="1360170" y="8140065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15.15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344805</xdr:colOff>
      <xdr:row>36</xdr:row>
      <xdr:rowOff>142875</xdr:rowOff>
    </xdr:to>
    <xdr:sp macro="" textlink="">
      <xdr:nvSpPr>
        <xdr:cNvPr id="47" name="Low Bar Depth"/>
        <xdr:cNvSpPr txBox="1">
          <a:spLocks noChangeArrowheads="1"/>
        </xdr:cNvSpPr>
      </xdr:nvSpPr>
      <xdr:spPr bwMode="auto">
        <a:xfrm>
          <a:off x="1710690" y="830199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23.00</a:t>
          </a:r>
        </a:p>
      </xdr:txBody>
    </xdr:sp>
    <xdr:clientData/>
  </xdr:twoCellAnchor>
  <xdr:twoCellAnchor>
    <xdr:from>
      <xdr:col>2</xdr:col>
      <xdr:colOff>182880</xdr:colOff>
      <xdr:row>36</xdr:row>
      <xdr:rowOff>152400</xdr:rowOff>
    </xdr:from>
    <xdr:to>
      <xdr:col>2</xdr:col>
      <xdr:colOff>411480</xdr:colOff>
      <xdr:row>37</xdr:row>
      <xdr:rowOff>28575</xdr:rowOff>
    </xdr:to>
    <xdr:sp macro="" textlink="">
      <xdr:nvSpPr>
        <xdr:cNvPr id="48" name="Width3"/>
        <xdr:cNvSpPr txBox="1">
          <a:spLocks noChangeArrowheads="1"/>
        </xdr:cNvSpPr>
      </xdr:nvSpPr>
      <xdr:spPr bwMode="auto">
        <a:xfrm>
          <a:off x="1379220" y="8435340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11.71</a:t>
          </a:r>
        </a:p>
      </xdr:txBody>
    </xdr:sp>
    <xdr:clientData/>
  </xdr:twoCellAnchor>
  <xdr:twoCellAnchor>
    <xdr:from>
      <xdr:col>1</xdr:col>
      <xdr:colOff>160020</xdr:colOff>
      <xdr:row>39</xdr:row>
      <xdr:rowOff>91440</xdr:rowOff>
    </xdr:from>
    <xdr:to>
      <xdr:col>3</xdr:col>
      <xdr:colOff>533400</xdr:colOff>
      <xdr:row>43</xdr:row>
      <xdr:rowOff>68580</xdr:rowOff>
    </xdr:to>
    <xdr:grpSp>
      <xdr:nvGrpSpPr>
        <xdr:cNvPr id="49" name="Group 512"/>
        <xdr:cNvGrpSpPr>
          <a:grpSpLocks/>
        </xdr:cNvGrpSpPr>
      </xdr:nvGrpSpPr>
      <xdr:grpSpPr bwMode="auto">
        <a:xfrm>
          <a:off x="952500" y="9060180"/>
          <a:ext cx="1242060" cy="891540"/>
          <a:chOff x="102" y="929"/>
          <a:chExt cx="133" cy="93"/>
        </a:xfrm>
      </xdr:grpSpPr>
      <xdr:sp macro="" textlink="">
        <xdr:nvSpPr>
          <xdr:cNvPr id="50" name="Line 479"/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/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/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358140</xdr:colOff>
      <xdr:row>44</xdr:row>
      <xdr:rowOff>0</xdr:rowOff>
    </xdr:to>
    <xdr:sp macro="" textlink="">
      <xdr:nvSpPr>
        <xdr:cNvPr id="83" name="Rectangle 513"/>
        <xdr:cNvSpPr>
          <a:spLocks noChangeArrowheads="1"/>
        </xdr:cNvSpPr>
      </xdr:nvSpPr>
      <xdr:spPr bwMode="auto">
        <a:xfrm>
          <a:off x="5402580" y="1009650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44</xdr:row>
      <xdr:rowOff>0</xdr:rowOff>
    </xdr:from>
    <xdr:to>
      <xdr:col>9</xdr:col>
      <xdr:colOff>320040</xdr:colOff>
      <xdr:row>44</xdr:row>
      <xdr:rowOff>0</xdr:rowOff>
    </xdr:to>
    <xdr:sp macro="" textlink="">
      <xdr:nvSpPr>
        <xdr:cNvPr id="84" name="Rectangle 514"/>
        <xdr:cNvSpPr>
          <a:spLocks noChangeArrowheads="1"/>
        </xdr:cNvSpPr>
      </xdr:nvSpPr>
      <xdr:spPr bwMode="auto">
        <a:xfrm>
          <a:off x="526542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335280</xdr:colOff>
      <xdr:row>44</xdr:row>
      <xdr:rowOff>0</xdr:rowOff>
    </xdr:to>
    <xdr:sp macro="" textlink="">
      <xdr:nvSpPr>
        <xdr:cNvPr id="85" name="Rectangle 515"/>
        <xdr:cNvSpPr>
          <a:spLocks noChangeArrowheads="1"/>
        </xdr:cNvSpPr>
      </xdr:nvSpPr>
      <xdr:spPr bwMode="auto">
        <a:xfrm>
          <a:off x="528066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403860</xdr:colOff>
      <xdr:row>44</xdr:row>
      <xdr:rowOff>0</xdr:rowOff>
    </xdr:to>
    <xdr:sp macro="" textlink="">
      <xdr:nvSpPr>
        <xdr:cNvPr id="86" name="Rectangle 516"/>
        <xdr:cNvSpPr>
          <a:spLocks noChangeArrowheads="1"/>
        </xdr:cNvSpPr>
      </xdr:nvSpPr>
      <xdr:spPr bwMode="auto">
        <a:xfrm>
          <a:off x="5250180" y="1009650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87" name="Rectangle 517"/>
        <xdr:cNvSpPr>
          <a:spLocks noChangeArrowheads="1"/>
        </xdr:cNvSpPr>
      </xdr:nvSpPr>
      <xdr:spPr bwMode="auto">
        <a:xfrm>
          <a:off x="538734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373380</xdr:colOff>
      <xdr:row>32</xdr:row>
      <xdr:rowOff>182880</xdr:rowOff>
    </xdr:from>
    <xdr:to>
      <xdr:col>3</xdr:col>
      <xdr:colOff>320040</xdr:colOff>
      <xdr:row>37</xdr:row>
      <xdr:rowOff>152400</xdr:rowOff>
    </xdr:to>
    <xdr:grpSp>
      <xdr:nvGrpSpPr>
        <xdr:cNvPr id="88" name="Group 523"/>
        <xdr:cNvGrpSpPr>
          <a:grpSpLocks/>
        </xdr:cNvGrpSpPr>
      </xdr:nvGrpSpPr>
      <xdr:grpSpPr bwMode="auto">
        <a:xfrm>
          <a:off x="1165860" y="7551420"/>
          <a:ext cx="815340" cy="1112520"/>
          <a:chOff x="774" y="670"/>
          <a:chExt cx="87" cy="117"/>
        </a:xfrm>
      </xdr:grpSpPr>
      <xdr:grpSp>
        <xdr:nvGrpSpPr>
          <xdr:cNvPr id="89" name="Group 522"/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/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/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/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/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/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/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/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/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/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/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/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/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/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/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/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/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/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/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/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/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/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/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/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/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/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/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/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/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/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/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/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/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670560</xdr:colOff>
      <xdr:row>28</xdr:row>
      <xdr:rowOff>200025</xdr:rowOff>
    </xdr:from>
    <xdr:to>
      <xdr:col>4</xdr:col>
      <xdr:colOff>724004</xdr:colOff>
      <xdr:row>29</xdr:row>
      <xdr:rowOff>133350</xdr:rowOff>
    </xdr:to>
    <xdr:sp macro="" textlink="">
      <xdr:nvSpPr>
        <xdr:cNvPr id="122" name="Text 219"/>
        <xdr:cNvSpPr txBox="1">
          <a:spLocks noChangeArrowheads="1"/>
        </xdr:cNvSpPr>
      </xdr:nvSpPr>
      <xdr:spPr bwMode="auto">
        <a:xfrm>
          <a:off x="2331720" y="6654165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670560</xdr:colOff>
      <xdr:row>34</xdr:row>
      <xdr:rowOff>209550</xdr:rowOff>
    </xdr:from>
    <xdr:to>
      <xdr:col>4</xdr:col>
      <xdr:colOff>724004</xdr:colOff>
      <xdr:row>35</xdr:row>
      <xdr:rowOff>142875</xdr:rowOff>
    </xdr:to>
    <xdr:sp macro="" textlink="">
      <xdr:nvSpPr>
        <xdr:cNvPr id="123" name="Text 219"/>
        <xdr:cNvSpPr txBox="1">
          <a:spLocks noChangeArrowheads="1"/>
        </xdr:cNvSpPr>
      </xdr:nvSpPr>
      <xdr:spPr bwMode="auto">
        <a:xfrm>
          <a:off x="2331720" y="803529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670560</xdr:colOff>
      <xdr:row>40</xdr:row>
      <xdr:rowOff>152400</xdr:rowOff>
    </xdr:from>
    <xdr:to>
      <xdr:col>4</xdr:col>
      <xdr:colOff>724004</xdr:colOff>
      <xdr:row>41</xdr:row>
      <xdr:rowOff>85725</xdr:rowOff>
    </xdr:to>
    <xdr:sp macro="" textlink="">
      <xdr:nvSpPr>
        <xdr:cNvPr id="124" name="Text 219"/>
        <xdr:cNvSpPr txBox="1">
          <a:spLocks noChangeArrowheads="1"/>
        </xdr:cNvSpPr>
      </xdr:nvSpPr>
      <xdr:spPr bwMode="auto">
        <a:xfrm>
          <a:off x="2331720" y="934974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594360" y="1272540"/>
          <a:ext cx="9220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7620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594360" y="1440180"/>
          <a:ext cx="116281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7620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594360" y="487680"/>
          <a:ext cx="0" cy="777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0.63871</cdr:x>
      <cdr:y>0.65025</cdr:y>
    </cdr:from>
    <cdr:to>
      <cdr:x>0.878</cdr:x>
      <cdr:y>0.67094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0.63871</cdr:x>
      <cdr:y>0.54409</cdr:y>
    </cdr:from>
    <cdr:to>
      <cdr:x>0.92546</cdr:x>
      <cdr:y>0.56946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0.66675</cdr:x>
      <cdr:y>0.76182</cdr:y>
    </cdr:from>
    <cdr:to>
      <cdr:x>0.91587</cdr:x>
      <cdr:y>0.78695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1197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1191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1185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1179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1176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1173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desprom\Destem\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topLeftCell="A27" zoomScale="95" zoomScaleNormal="95" workbookViewId="0">
      <selection activeCell="M41" sqref="M41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  <col min="12" max="12" width="13.44140625" bestFit="1" customWidth="1"/>
    <col min="13" max="13" width="9" bestFit="1" customWidth="1"/>
  </cols>
  <sheetData>
    <row r="1" spans="1:10" ht="17.399999999999999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219</v>
      </c>
    </row>
    <row r="2" spans="1:10" ht="17.399999999999999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220</v>
      </c>
    </row>
    <row r="3" spans="1:10" ht="15" customHeight="1" thickBot="1">
      <c r="A3" s="49" t="s">
        <v>1</v>
      </c>
      <c r="B3" s="96" t="s">
        <v>218</v>
      </c>
      <c r="C3" s="1"/>
      <c r="D3" s="49"/>
      <c r="E3" s="1"/>
      <c r="F3" s="1"/>
      <c r="G3" s="49" t="s">
        <v>2</v>
      </c>
      <c r="H3" s="174">
        <v>44866</v>
      </c>
      <c r="I3" s="49" t="s">
        <v>3</v>
      </c>
      <c r="J3" s="175">
        <v>0.45353009259259264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2">
        <v>799.99998363668738</v>
      </c>
      <c r="C5" s="140">
        <v>1200</v>
      </c>
      <c r="D5" s="50" t="s">
        <v>194</v>
      </c>
      <c r="E5" s="158">
        <v>4000</v>
      </c>
      <c r="F5" s="140">
        <v>60</v>
      </c>
      <c r="G5" s="50">
        <v>105</v>
      </c>
      <c r="H5" s="78" t="s">
        <v>253</v>
      </c>
      <c r="I5" s="77" t="s">
        <v>258</v>
      </c>
      <c r="J5" s="50" t="s">
        <v>195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26.47080462962963</v>
      </c>
      <c r="J7" s="106" t="s">
        <v>19</v>
      </c>
    </row>
    <row r="8" spans="1:10" ht="15" customHeight="1">
      <c r="A8" s="10" t="s">
        <v>20</v>
      </c>
      <c r="B8" s="69">
        <v>1.6000000238418579</v>
      </c>
      <c r="C8" s="52"/>
      <c r="D8" s="6"/>
      <c r="E8" s="51"/>
      <c r="F8" s="4"/>
      <c r="G8" s="16"/>
      <c r="H8" s="10" t="s">
        <v>21</v>
      </c>
      <c r="I8" s="68">
        <v>33.794532425004697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202</v>
      </c>
      <c r="F9" s="107" t="s">
        <v>25</v>
      </c>
      <c r="G9" s="30"/>
      <c r="H9" s="10" t="s">
        <v>26</v>
      </c>
      <c r="I9" s="69">
        <v>30.132668527317165</v>
      </c>
      <c r="J9" s="104">
        <v>547.14931305159769</v>
      </c>
    </row>
    <row r="10" spans="1:10" ht="15" customHeight="1">
      <c r="A10" s="10" t="s">
        <v>27</v>
      </c>
      <c r="B10" s="69">
        <v>620</v>
      </c>
      <c r="C10" s="73">
        <v>620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16.816340590353001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451.79999995231628</v>
      </c>
      <c r="D11" s="10" t="s">
        <v>31</v>
      </c>
      <c r="E11" s="68">
        <v>0.88879999999999992</v>
      </c>
      <c r="F11" s="117"/>
      <c r="G11" s="113" t="s">
        <v>215</v>
      </c>
      <c r="H11" s="10" t="s">
        <v>32</v>
      </c>
      <c r="I11" s="68">
        <v>33.794532425004697</v>
      </c>
      <c r="J11" s="104">
        <v>33812.116500379481</v>
      </c>
    </row>
    <row r="12" spans="1:10" ht="15" customHeight="1">
      <c r="A12" s="10" t="s">
        <v>33</v>
      </c>
      <c r="B12" s="69">
        <v>455</v>
      </c>
      <c r="C12" s="73">
        <v>270</v>
      </c>
      <c r="D12" s="10" t="s">
        <v>34</v>
      </c>
      <c r="E12" s="153" t="s">
        <v>175</v>
      </c>
      <c r="F12" s="123"/>
      <c r="G12" s="115" t="s">
        <v>209</v>
      </c>
      <c r="H12" s="10" t="s">
        <v>35</v>
      </c>
      <c r="I12" s="68">
        <v>1.2392075857280178</v>
      </c>
      <c r="J12" s="103" t="s">
        <v>36</v>
      </c>
    </row>
    <row r="13" spans="1:10" ht="15" customHeight="1" thickBot="1">
      <c r="A13" s="10" t="s">
        <v>37</v>
      </c>
      <c r="B13" s="69">
        <v>54.5</v>
      </c>
      <c r="C13" s="73">
        <v>60.199999213218689</v>
      </c>
      <c r="D13" s="10" t="s">
        <v>38</v>
      </c>
      <c r="E13" s="70">
        <v>26</v>
      </c>
      <c r="F13" s="123"/>
      <c r="G13" s="115" t="s">
        <v>210</v>
      </c>
      <c r="H13" s="10" t="s">
        <v>40</v>
      </c>
      <c r="I13" s="68">
        <v>1</v>
      </c>
      <c r="J13" s="104">
        <v>110.41960906982422</v>
      </c>
    </row>
    <row r="14" spans="1:10" ht="15" customHeight="1" thickBot="1">
      <c r="A14" s="160" t="s">
        <v>41</v>
      </c>
      <c r="B14" s="133">
        <v>455.70001220703125</v>
      </c>
      <c r="C14" s="134">
        <v>455.70001220703125</v>
      </c>
      <c r="D14" s="10" t="s">
        <v>42</v>
      </c>
      <c r="E14" s="51" t="s">
        <v>203</v>
      </c>
      <c r="F14" s="51"/>
      <c r="G14" s="115"/>
      <c r="H14" s="49" t="s">
        <v>43</v>
      </c>
      <c r="I14" s="68">
        <v>1.2392075857280178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204</v>
      </c>
      <c r="F15" s="51"/>
      <c r="G15" s="115"/>
      <c r="H15" s="10" t="s">
        <v>47</v>
      </c>
      <c r="I15" s="68">
        <v>0.98478329261472586</v>
      </c>
      <c r="J15" s="104">
        <v>19.739049145299145</v>
      </c>
    </row>
    <row r="16" spans="1:10" ht="15" customHeight="1">
      <c r="A16" s="10" t="s">
        <v>48</v>
      </c>
      <c r="B16" s="51">
        <v>54</v>
      </c>
      <c r="C16" s="52">
        <v>42</v>
      </c>
      <c r="D16" s="10" t="s">
        <v>49</v>
      </c>
      <c r="E16" s="51">
        <v>2</v>
      </c>
      <c r="F16" s="51"/>
      <c r="G16" s="115"/>
      <c r="H16" s="10" t="s">
        <v>50</v>
      </c>
      <c r="I16" s="68">
        <v>0.95963581196089087</v>
      </c>
      <c r="J16" s="105" t="s">
        <v>51</v>
      </c>
    </row>
    <row r="17" spans="1:17" ht="15" customHeight="1" thickBot="1">
      <c r="A17" s="10" t="s">
        <v>52</v>
      </c>
      <c r="B17" s="51" t="s">
        <v>196</v>
      </c>
      <c r="C17" s="52" t="s">
        <v>197</v>
      </c>
      <c r="D17" s="49" t="s">
        <v>53</v>
      </c>
      <c r="E17" s="51" t="s">
        <v>205</v>
      </c>
      <c r="F17" s="51"/>
      <c r="G17" s="115"/>
      <c r="H17" s="10" t="s">
        <v>54</v>
      </c>
      <c r="I17" s="68">
        <v>0.94503331461385198</v>
      </c>
      <c r="J17" s="104">
        <v>542.27853591611779</v>
      </c>
    </row>
    <row r="18" spans="1:17" ht="15" customHeight="1">
      <c r="A18" s="10" t="s">
        <v>55</v>
      </c>
      <c r="B18" s="51" t="s">
        <v>175</v>
      </c>
      <c r="C18" s="73">
        <v>0.80000001192092896</v>
      </c>
      <c r="D18" s="10" t="s">
        <v>56</v>
      </c>
      <c r="E18" s="137">
        <v>1010</v>
      </c>
      <c r="F18" s="70">
        <v>655.53895824009135</v>
      </c>
      <c r="G18" s="74"/>
      <c r="H18" s="13" t="s">
        <v>57</v>
      </c>
      <c r="I18" s="131" t="s">
        <v>216</v>
      </c>
      <c r="J18" s="132"/>
    </row>
    <row r="19" spans="1:17" ht="15" customHeight="1">
      <c r="A19" s="10" t="s">
        <v>58</v>
      </c>
      <c r="B19" s="69">
        <v>53</v>
      </c>
      <c r="C19" s="73">
        <v>30.700000762939453</v>
      </c>
      <c r="D19" s="10" t="s">
        <v>59</v>
      </c>
      <c r="E19" s="70">
        <v>234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198</v>
      </c>
      <c r="C20" s="73"/>
      <c r="D20" s="10" t="s">
        <v>167</v>
      </c>
      <c r="E20" s="165">
        <v>0.17037122765123661</v>
      </c>
      <c r="F20" s="51"/>
      <c r="G20" s="52"/>
      <c r="H20" s="10" t="s">
        <v>63</v>
      </c>
      <c r="I20" s="68">
        <v>16.998285293579102</v>
      </c>
      <c r="J20" s="72">
        <v>16.998285293579102</v>
      </c>
    </row>
    <row r="21" spans="1:17" ht="15" customHeight="1">
      <c r="A21" s="10" t="s">
        <v>64</v>
      </c>
      <c r="B21" s="69">
        <v>13.800000190734863</v>
      </c>
      <c r="C21" s="73">
        <v>0</v>
      </c>
      <c r="D21" s="10" t="s">
        <v>206</v>
      </c>
      <c r="E21" s="67">
        <v>0.22727320938151208</v>
      </c>
      <c r="F21" s="67">
        <v>0.27978909015655518</v>
      </c>
      <c r="G21" s="71">
        <v>2.8362707974100638E-2</v>
      </c>
      <c r="H21" s="10" t="s">
        <v>65</v>
      </c>
      <c r="I21" s="68">
        <v>20.608598709106445</v>
      </c>
      <c r="J21" s="72">
        <v>11.025115966796875</v>
      </c>
    </row>
    <row r="22" spans="1:17" ht="15" customHeight="1">
      <c r="A22" s="10" t="s">
        <v>66</v>
      </c>
      <c r="B22" s="69">
        <v>2.8299999237060547</v>
      </c>
      <c r="C22" s="73">
        <v>0.69999998807907104</v>
      </c>
      <c r="D22" s="10" t="s">
        <v>67</v>
      </c>
      <c r="E22" s="51" t="s">
        <v>207</v>
      </c>
      <c r="F22" s="51" t="s">
        <v>208</v>
      </c>
      <c r="G22" s="52" t="s">
        <v>208</v>
      </c>
      <c r="H22" s="10" t="s">
        <v>68</v>
      </c>
      <c r="I22" s="68">
        <v>11.438048362731934</v>
      </c>
      <c r="J22" s="72">
        <v>5.9109220504760742</v>
      </c>
    </row>
    <row r="23" spans="1:17" ht="15" customHeight="1">
      <c r="A23" s="10" t="s">
        <v>69</v>
      </c>
      <c r="B23" s="69">
        <v>12.670804023742676</v>
      </c>
      <c r="C23" s="73">
        <v>17.5</v>
      </c>
      <c r="D23" s="10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5.2373659116328879</v>
      </c>
      <c r="J23" s="16" t="s">
        <v>217</v>
      </c>
    </row>
    <row r="24" spans="1:17" ht="15" customHeight="1">
      <c r="A24" s="10" t="s">
        <v>72</v>
      </c>
      <c r="B24" s="69">
        <v>0</v>
      </c>
      <c r="C24" s="73">
        <v>2</v>
      </c>
      <c r="D24" s="10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3.7951758807303717</v>
      </c>
      <c r="J24" s="72">
        <v>2.2209138484511128</v>
      </c>
    </row>
    <row r="25" spans="1:17" ht="15" customHeight="1">
      <c r="A25" s="10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0.53542500734329224</v>
      </c>
      <c r="J25" s="72">
        <v>0.92439734935760498</v>
      </c>
    </row>
    <row r="26" spans="1:17" ht="15" customHeight="1">
      <c r="A26" s="10" t="s">
        <v>78</v>
      </c>
      <c r="B26" s="53" t="s">
        <v>199</v>
      </c>
      <c r="C26" s="60" t="s">
        <v>200</v>
      </c>
      <c r="D26" s="10" t="s">
        <v>79</v>
      </c>
      <c r="E26" s="69">
        <v>80.72136492725447</v>
      </c>
      <c r="F26" s="69">
        <v>24.814940580852124</v>
      </c>
      <c r="G26" s="73">
        <v>12.694803617461417</v>
      </c>
      <c r="H26" s="10" t="s">
        <v>80</v>
      </c>
      <c r="I26" s="68">
        <v>5.3121657371520996</v>
      </c>
      <c r="J26" s="72">
        <v>3.3719122409820557</v>
      </c>
    </row>
    <row r="27" spans="1:17" ht="15" customHeight="1" thickBot="1">
      <c r="A27" s="10" t="s">
        <v>81</v>
      </c>
      <c r="B27" s="51" t="s">
        <v>201</v>
      </c>
      <c r="C27" s="52" t="s">
        <v>201</v>
      </c>
      <c r="D27" s="11" t="s">
        <v>82</v>
      </c>
      <c r="E27" s="80">
        <v>71.595989754405167</v>
      </c>
      <c r="F27" s="80" t="s">
        <v>175</v>
      </c>
      <c r="G27" s="82" t="s">
        <v>175</v>
      </c>
      <c r="H27" s="11" t="s">
        <v>83</v>
      </c>
      <c r="I27" s="79">
        <v>5.339080810546875</v>
      </c>
      <c r="J27" s="81">
        <v>3.4963269233703613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29.993534776267836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1176.2</v>
      </c>
      <c r="N29" s="171" t="s">
        <v>187</v>
      </c>
      <c r="O29" s="171"/>
      <c r="P29" s="4" t="s">
        <v>193</v>
      </c>
      <c r="Q29" s="171"/>
    </row>
    <row r="30" spans="1:17" ht="15" customHeight="1" thickBot="1">
      <c r="A30" s="8"/>
      <c r="B30" s="63" t="s">
        <v>94</v>
      </c>
      <c r="C30" s="76">
        <v>29.998152958770756</v>
      </c>
      <c r="D30" s="10" t="s">
        <v>95</v>
      </c>
      <c r="E30" s="166">
        <v>17.540544166666667</v>
      </c>
      <c r="F30" s="166">
        <v>496.71301330566405</v>
      </c>
      <c r="G30" s="166">
        <v>15.784809720231456</v>
      </c>
      <c r="H30" s="167">
        <v>490.16191459704538</v>
      </c>
      <c r="I30" s="70">
        <v>48023.422256618214</v>
      </c>
      <c r="J30" s="74">
        <v>3569.1499322210998</v>
      </c>
      <c r="M30" s="172" t="str">
        <f>RIGHT(E$41,SEARCH("/",E$41,1)-1)</f>
        <v xml:space="preserve"> 1180.0</v>
      </c>
      <c r="N30" s="171" t="s">
        <v>188</v>
      </c>
      <c r="O30" s="171"/>
      <c r="P30" s="173">
        <f>G30*6.4516</f>
        <v>101.83727839104526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5.3000000000000007</v>
      </c>
      <c r="F31" s="166">
        <v>519.66769934631941</v>
      </c>
      <c r="G31" s="166">
        <v>15.087565400842021</v>
      </c>
      <c r="H31" s="167">
        <v>109.06962832964773</v>
      </c>
      <c r="I31" s="70">
        <v>16525.432839212961</v>
      </c>
      <c r="J31" s="74">
        <v>1141.5102873125084</v>
      </c>
      <c r="M31" s="172" t="str">
        <f>RIGHT(D$41,SEARCH("/",D$41,1)-1)</f>
        <v xml:space="preserve"> 1183.7</v>
      </c>
      <c r="N31" s="171" t="s">
        <v>189</v>
      </c>
      <c r="O31" s="171"/>
      <c r="P31" s="173">
        <f>G31*6.4516</f>
        <v>97.338936940072387</v>
      </c>
      <c r="Q31" s="171"/>
    </row>
    <row r="32" spans="1:17" ht="15" customHeight="1">
      <c r="A32" s="6" t="s">
        <v>98</v>
      </c>
      <c r="B32" s="68" t="s">
        <v>260</v>
      </c>
      <c r="C32" s="110"/>
      <c r="D32" s="10" t="s">
        <v>99</v>
      </c>
      <c r="E32" s="166">
        <v>10.220639425470928</v>
      </c>
      <c r="F32" s="166">
        <v>548.66280752654063</v>
      </c>
      <c r="G32" s="166">
        <v>14.290234900264187</v>
      </c>
      <c r="H32" s="167">
        <v>149.16926556028622</v>
      </c>
      <c r="I32" s="9" t="s">
        <v>100</v>
      </c>
      <c r="J32" s="74">
        <v>4710.6602195336081</v>
      </c>
      <c r="M32" s="172" t="str">
        <f>RIGHT(C$41,SEARCH("/",C$41,1)-1)</f>
        <v xml:space="preserve"> 1187.3</v>
      </c>
      <c r="N32" s="171" t="s">
        <v>190</v>
      </c>
      <c r="O32" s="171"/>
      <c r="P32" s="173">
        <f>G32*6.4516</f>
        <v>92.194879482544422</v>
      </c>
      <c r="Q32" s="171"/>
    </row>
    <row r="33" spans="1:17" ht="15" customHeight="1">
      <c r="A33" s="6" t="s">
        <v>101</v>
      </c>
      <c r="B33" s="68" t="s">
        <v>261</v>
      </c>
      <c r="C33" s="111" t="s">
        <v>102</v>
      </c>
      <c r="D33" s="10" t="s">
        <v>97</v>
      </c>
      <c r="E33" s="166">
        <v>3.0700000762939457</v>
      </c>
      <c r="F33" s="166">
        <v>558.2325149536133</v>
      </c>
      <c r="G33" s="166">
        <v>14.045259261267173</v>
      </c>
      <c r="H33" s="167">
        <v>41.528308610324935</v>
      </c>
      <c r="I33" s="9" t="s">
        <v>103</v>
      </c>
      <c r="J33" s="73" t="s">
        <v>228</v>
      </c>
      <c r="M33" s="172" t="str">
        <f>RIGHT(B$41,SEARCH("/",B$41,1)-1)</f>
        <v xml:space="preserve"> 1190.8</v>
      </c>
      <c r="N33" s="171" t="s">
        <v>191</v>
      </c>
      <c r="O33" s="171"/>
      <c r="P33" s="173">
        <f>G33*6.4516</f>
        <v>90.614394649991297</v>
      </c>
      <c r="Q33" s="171"/>
    </row>
    <row r="34" spans="1:17" ht="15" customHeight="1" thickBot="1">
      <c r="A34" s="17" t="s">
        <v>104</v>
      </c>
      <c r="B34" s="79" t="s">
        <v>262</v>
      </c>
      <c r="C34" s="164">
        <v>7.8405204005927018</v>
      </c>
      <c r="D34" s="11" t="s">
        <v>20</v>
      </c>
      <c r="E34" s="168">
        <v>0.1600000023841858</v>
      </c>
      <c r="F34" s="169">
        <v>942.02335235129863</v>
      </c>
      <c r="G34" s="169">
        <v>8.323063734059982</v>
      </c>
      <c r="H34" s="170">
        <v>1059.7262988592779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53.697077986661377</v>
      </c>
      <c r="Q34" s="171"/>
    </row>
    <row r="35" spans="1:17" ht="15" customHeight="1">
      <c r="A35" s="13" t="s">
        <v>106</v>
      </c>
      <c r="B35" s="14"/>
      <c r="C35" s="14"/>
      <c r="D35" s="135" t="s">
        <v>230</v>
      </c>
      <c r="E35" s="145" t="s">
        <v>229</v>
      </c>
      <c r="F35" s="15"/>
      <c r="G35" s="26" t="s">
        <v>107</v>
      </c>
      <c r="H35" s="85" t="s">
        <v>223</v>
      </c>
      <c r="I35" s="10" t="s">
        <v>108</v>
      </c>
      <c r="J35" s="74" t="s">
        <v>227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221</v>
      </c>
      <c r="I36" s="10" t="s">
        <v>111</v>
      </c>
      <c r="J36" s="74" t="s">
        <v>226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242</v>
      </c>
      <c r="C37" s="176" t="s">
        <v>243</v>
      </c>
      <c r="D37" s="176" t="s">
        <v>244</v>
      </c>
      <c r="E37" s="176" t="s">
        <v>245</v>
      </c>
      <c r="F37" s="177" t="s">
        <v>246</v>
      </c>
      <c r="G37" s="10" t="s">
        <v>113</v>
      </c>
      <c r="H37" s="74" t="s">
        <v>222</v>
      </c>
      <c r="I37" s="11" t="s">
        <v>114</v>
      </c>
      <c r="J37" s="83" t="s">
        <v>225</v>
      </c>
      <c r="O37" s="150"/>
    </row>
    <row r="38" spans="1:17" ht="15" customHeight="1" thickBot="1">
      <c r="A38" s="10" t="s">
        <v>115</v>
      </c>
      <c r="B38" s="178" t="s">
        <v>232</v>
      </c>
      <c r="C38" s="178" t="s">
        <v>233</v>
      </c>
      <c r="D38" s="178" t="s">
        <v>234</v>
      </c>
      <c r="E38" s="178" t="s">
        <v>235</v>
      </c>
      <c r="F38" s="179" t="s">
        <v>236</v>
      </c>
      <c r="G38" s="17" t="s">
        <v>116</v>
      </c>
      <c r="H38" s="83" t="s">
        <v>224</v>
      </c>
      <c r="I38" s="136" t="s">
        <v>231</v>
      </c>
      <c r="J38" s="84">
        <v>7172.42822265625</v>
      </c>
      <c r="L38" t="str">
        <f>LEFT(E38,SEARCH("/",E38,1)-1)</f>
        <v xml:space="preserve">0.961 </v>
      </c>
      <c r="M38" t="str">
        <f>RIGHT(E38,SEARCH("/",E38,1)-1)</f>
        <v xml:space="preserve"> 0.946</v>
      </c>
      <c r="N38" s="151">
        <f>M38/L38</f>
        <v>0.98439125910509884</v>
      </c>
      <c r="O38" s="150" t="s">
        <v>178</v>
      </c>
    </row>
    <row r="39" spans="1:17" ht="15" customHeight="1">
      <c r="A39" s="10" t="s">
        <v>117</v>
      </c>
      <c r="B39" s="178" t="s">
        <v>237</v>
      </c>
      <c r="C39" s="178" t="s">
        <v>238</v>
      </c>
      <c r="D39" s="178" t="s">
        <v>239</v>
      </c>
      <c r="E39" s="178" t="s">
        <v>240</v>
      </c>
      <c r="F39" s="179" t="s">
        <v>241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0.812 </v>
      </c>
      <c r="M39" t="str">
        <f>RIGHT(E39,SEARCH("/",E39,1)-1)</f>
        <v xml:space="preserve"> 0.800</v>
      </c>
      <c r="N39" s="151">
        <f>M39/L39</f>
        <v>0.98522167487684731</v>
      </c>
      <c r="O39" s="150" t="s">
        <v>179</v>
      </c>
    </row>
    <row r="40" spans="1:17" ht="15" customHeight="1">
      <c r="A40" s="10" t="s">
        <v>119</v>
      </c>
      <c r="B40" s="180" t="s">
        <v>255</v>
      </c>
      <c r="C40" s="180" t="s">
        <v>256</v>
      </c>
      <c r="D40" s="180" t="s">
        <v>257</v>
      </c>
      <c r="E40" s="180" t="s">
        <v>258</v>
      </c>
      <c r="F40" s="181" t="s">
        <v>259</v>
      </c>
      <c r="G40" s="35" t="s">
        <v>121</v>
      </c>
      <c r="H40" s="91" t="s">
        <v>263</v>
      </c>
      <c r="I40" s="55"/>
      <c r="J40" s="56"/>
      <c r="L40" t="str">
        <f>LEFT(E37,SEARCH("/",E37,1)-1)</f>
        <v xml:space="preserve">110.42 </v>
      </c>
      <c r="M40">
        <v>114</v>
      </c>
      <c r="N40" s="151">
        <f>M40/L40</f>
        <v>1.0324216627422569</v>
      </c>
      <c r="O40" s="150" t="s">
        <v>177</v>
      </c>
    </row>
    <row r="41" spans="1:17" ht="15" customHeight="1">
      <c r="A41" s="10" t="s">
        <v>5</v>
      </c>
      <c r="B41" s="182" t="s">
        <v>250</v>
      </c>
      <c r="C41" s="182" t="s">
        <v>251</v>
      </c>
      <c r="D41" s="182" t="s">
        <v>252</v>
      </c>
      <c r="E41" s="182" t="s">
        <v>253</v>
      </c>
      <c r="F41" s="183" t="s">
        <v>254</v>
      </c>
      <c r="G41" s="36" t="s">
        <v>122</v>
      </c>
      <c r="H41" s="92" t="s">
        <v>264</v>
      </c>
      <c r="I41" s="57"/>
      <c r="J41" s="58"/>
      <c r="L41" t="str">
        <f>LEFT(E41,SEARCH("/",E41,1)-1)</f>
        <v xml:space="preserve">1185.5 </v>
      </c>
      <c r="M41" t="str">
        <f>RIGHT(E41,SEARCH("/",E41,1)-1)</f>
        <v xml:space="preserve"> 1180.0</v>
      </c>
      <c r="N41" s="151">
        <f>M41/L41</f>
        <v>0.99536060733867571</v>
      </c>
      <c r="O41" s="150" t="s">
        <v>5</v>
      </c>
    </row>
    <row r="42" spans="1:17" ht="15" customHeight="1">
      <c r="A42" s="10" t="s">
        <v>123</v>
      </c>
      <c r="B42" s="178">
        <v>9.837321599150803</v>
      </c>
      <c r="C42" s="178">
        <v>9.3090665482377108</v>
      </c>
      <c r="D42" s="178">
        <v>8.9474918377224153</v>
      </c>
      <c r="E42" s="178">
        <v>8.6079506846453775</v>
      </c>
      <c r="F42" s="179">
        <v>8.3344542620649342</v>
      </c>
      <c r="G42" s="35" t="s">
        <v>124</v>
      </c>
      <c r="H42" s="91" t="s">
        <v>265</v>
      </c>
      <c r="I42" s="55"/>
      <c r="J42" s="97">
        <v>0.26439887272567242</v>
      </c>
    </row>
    <row r="43" spans="1:17" ht="15" customHeight="1" thickBot="1">
      <c r="A43" s="11" t="s">
        <v>125</v>
      </c>
      <c r="B43" s="184">
        <v>11.555647423600625</v>
      </c>
      <c r="C43" s="185"/>
      <c r="D43" s="186" t="s">
        <v>268</v>
      </c>
      <c r="E43" s="186"/>
      <c r="F43" s="187"/>
      <c r="G43" s="36" t="s">
        <v>122</v>
      </c>
      <c r="H43" s="92" t="s">
        <v>266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1298.0910803589281</v>
      </c>
      <c r="I44" s="90">
        <v>5.7955677670928039E-2</v>
      </c>
      <c r="J44" s="97">
        <v>0.5868184042458261</v>
      </c>
    </row>
    <row r="45" spans="1:17" ht="15" customHeight="1">
      <c r="A45" s="10" t="s">
        <v>129</v>
      </c>
      <c r="B45" s="68">
        <v>0.49500232934951782</v>
      </c>
      <c r="C45" s="161" t="s">
        <v>130</v>
      </c>
      <c r="D45" s="72">
        <v>1.0812443681061268E-2</v>
      </c>
      <c r="E45" s="10" t="s">
        <v>131</v>
      </c>
      <c r="F45" s="74">
        <v>1078.2321432010126</v>
      </c>
      <c r="G45" s="37" t="s">
        <v>122</v>
      </c>
      <c r="H45" s="86" t="s">
        <v>267</v>
      </c>
      <c r="I45" s="59"/>
      <c r="J45" s="60"/>
    </row>
    <row r="46" spans="1:17" ht="15" customHeight="1">
      <c r="A46" s="10" t="s">
        <v>132</v>
      </c>
      <c r="B46" s="68">
        <v>0.20824895799160004</v>
      </c>
      <c r="C46" s="161" t="s">
        <v>133</v>
      </c>
      <c r="D46" s="72">
        <v>1.2080250307917595E-2</v>
      </c>
      <c r="E46" s="10" t="s">
        <v>134</v>
      </c>
      <c r="F46" s="74">
        <v>1930.1770713041997</v>
      </c>
      <c r="G46" s="36" t="s">
        <v>135</v>
      </c>
      <c r="H46" s="94">
        <v>300.77340424389979</v>
      </c>
      <c r="I46" s="57"/>
      <c r="J46" s="58"/>
      <c r="L46" s="146" t="s">
        <v>180</v>
      </c>
      <c r="M46" s="148">
        <f>B5^0.95</f>
        <v>572.71094007948739</v>
      </c>
    </row>
    <row r="47" spans="1:17" ht="15" customHeight="1">
      <c r="A47" s="10" t="s">
        <v>136</v>
      </c>
      <c r="B47" s="68">
        <v>0.70325130224227905</v>
      </c>
      <c r="C47" s="161" t="s">
        <v>137</v>
      </c>
      <c r="D47" s="72">
        <v>4.1890079155564308E-3</v>
      </c>
      <c r="E47" s="10" t="s">
        <v>138</v>
      </c>
      <c r="F47" s="74">
        <v>1579.8116091419711</v>
      </c>
      <c r="G47" s="64" t="s">
        <v>139</v>
      </c>
      <c r="H47" s="93">
        <v>1225.1250650497491</v>
      </c>
      <c r="I47" s="90">
        <v>5.4566868499681169E-2</v>
      </c>
      <c r="J47" s="95">
        <v>0.60641356359856402</v>
      </c>
      <c r="L47" s="146" t="s">
        <v>181</v>
      </c>
      <c r="M47" s="148">
        <f>B5^1.5</f>
        <v>22627.416303732971</v>
      </c>
    </row>
    <row r="48" spans="1:17" ht="15" customHeight="1">
      <c r="A48" s="10" t="s">
        <v>140</v>
      </c>
      <c r="B48" s="68">
        <v>9.7794244065880775E-3</v>
      </c>
      <c r="C48" s="161" t="s">
        <v>100</v>
      </c>
      <c r="D48" s="72">
        <v>3.6861125379800797E-2</v>
      </c>
      <c r="E48" s="10" t="s">
        <v>141</v>
      </c>
      <c r="F48" s="74">
        <v>313.94305257793849</v>
      </c>
      <c r="G48" s="65" t="s">
        <v>122</v>
      </c>
      <c r="H48" s="86">
        <v>205.28235424072221</v>
      </c>
      <c r="I48" s="59"/>
      <c r="J48" s="60"/>
      <c r="L48" s="146" t="s">
        <v>182</v>
      </c>
      <c r="M48" s="147">
        <f>IF(A5="",0,(7200/(1000*A5))^2.4)</f>
        <v>1.5489414099829009</v>
      </c>
    </row>
    <row r="49" spans="1:13" ht="15" customHeight="1" thickBot="1">
      <c r="A49" s="8"/>
      <c r="B49" s="54"/>
      <c r="C49" s="162" t="s">
        <v>142</v>
      </c>
      <c r="D49" s="81">
        <v>0.9631388783454895</v>
      </c>
      <c r="E49" s="11" t="s">
        <v>143</v>
      </c>
      <c r="F49" s="83">
        <v>610.21088259566466</v>
      </c>
      <c r="G49" s="66" t="s">
        <v>135</v>
      </c>
      <c r="H49" s="94">
        <v>291.59372502381564</v>
      </c>
      <c r="I49" s="57"/>
      <c r="J49" s="61"/>
      <c r="L49" s="146" t="s">
        <v>183</v>
      </c>
      <c r="M49" s="147">
        <f>IF(A5="",0,(7200/(1000*A5))^1.8)</f>
        <v>1.388437205763783</v>
      </c>
    </row>
    <row r="50" spans="1:13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146</v>
      </c>
      <c r="B51" s="51">
        <v>42</v>
      </c>
      <c r="C51" s="9" t="s">
        <v>147</v>
      </c>
      <c r="D51" s="69">
        <v>8</v>
      </c>
      <c r="E51" s="9" t="s">
        <v>148</v>
      </c>
      <c r="F51" s="73">
        <v>17.5</v>
      </c>
      <c r="G51" s="9" t="s">
        <v>149</v>
      </c>
      <c r="H51" s="67">
        <v>0.11144639777983709</v>
      </c>
      <c r="I51" s="44" t="s">
        <v>150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30.700000762939453</v>
      </c>
      <c r="C52" s="9" t="s">
        <v>151</v>
      </c>
      <c r="D52" s="69">
        <v>3.0000007748603821</v>
      </c>
      <c r="E52" s="9" t="s">
        <v>152</v>
      </c>
      <c r="F52" s="73">
        <v>0</v>
      </c>
      <c r="G52" s="9" t="s">
        <v>169</v>
      </c>
      <c r="H52" s="69">
        <v>100020.38757888737</v>
      </c>
      <c r="I52" s="98" t="s">
        <v>247</v>
      </c>
      <c r="J52" s="62"/>
      <c r="L52" s="146" t="s">
        <v>192</v>
      </c>
      <c r="M52" s="163">
        <f>F5</f>
        <v>60</v>
      </c>
    </row>
    <row r="53" spans="1:13" ht="15" customHeight="1">
      <c r="A53" s="10" t="s">
        <v>64</v>
      </c>
      <c r="B53" s="69">
        <v>0</v>
      </c>
      <c r="C53" s="9" t="s">
        <v>153</v>
      </c>
      <c r="D53" s="69">
        <v>15.154560089111328</v>
      </c>
      <c r="E53" s="9" t="s">
        <v>154</v>
      </c>
      <c r="F53" s="73">
        <v>0</v>
      </c>
      <c r="G53" s="9" t="s">
        <v>170</v>
      </c>
      <c r="H53" s="68">
        <v>73.499346120587404</v>
      </c>
      <c r="I53" s="43" t="s">
        <v>155</v>
      </c>
      <c r="J53" s="38"/>
      <c r="L53" s="146" t="s">
        <v>186</v>
      </c>
      <c r="M53" s="152">
        <f>IF(F5=60,M50*M46/M48-M51*M47/M49,IF(F5&lt;&gt;60,(60/M52)^2*(M50*M46/M48-M51*M47/M49),0))</f>
        <v>7757.4955677789831</v>
      </c>
    </row>
    <row r="54" spans="1:13" ht="15" customHeight="1">
      <c r="A54" s="10" t="s">
        <v>66</v>
      </c>
      <c r="B54" s="69">
        <v>0.69999998807907104</v>
      </c>
      <c r="C54" s="9" t="s">
        <v>156</v>
      </c>
      <c r="D54" s="69">
        <v>11.707339863219318</v>
      </c>
      <c r="E54" s="9" t="s">
        <v>154</v>
      </c>
      <c r="F54" s="73">
        <v>17.5</v>
      </c>
      <c r="G54" s="9" t="s">
        <v>171</v>
      </c>
      <c r="H54" s="70">
        <v>219961</v>
      </c>
      <c r="I54" s="99" t="s">
        <v>248</v>
      </c>
      <c r="J54" s="100" t="s">
        <v>211</v>
      </c>
    </row>
    <row r="55" spans="1:13" ht="15" customHeight="1">
      <c r="A55" s="10" t="s">
        <v>157</v>
      </c>
      <c r="B55" s="69">
        <v>8</v>
      </c>
      <c r="C55" s="9" t="s">
        <v>158</v>
      </c>
      <c r="D55" s="69">
        <v>23</v>
      </c>
      <c r="E55" s="9" t="s">
        <v>159</v>
      </c>
      <c r="F55" s="73">
        <v>0</v>
      </c>
      <c r="G55" s="9" t="s">
        <v>160</v>
      </c>
      <c r="H55" s="69">
        <v>0.94999998807907104</v>
      </c>
      <c r="I55" s="43" t="s">
        <v>161</v>
      </c>
      <c r="J55" s="38"/>
    </row>
    <row r="56" spans="1:13" ht="15" customHeight="1" thickBot="1">
      <c r="A56" s="11" t="s">
        <v>162</v>
      </c>
      <c r="B56" s="80">
        <v>2</v>
      </c>
      <c r="C56" s="21" t="s">
        <v>163</v>
      </c>
      <c r="D56" s="80">
        <v>25.091414664883299</v>
      </c>
      <c r="E56" s="21" t="s">
        <v>164</v>
      </c>
      <c r="F56" s="82">
        <v>0</v>
      </c>
      <c r="G56" s="21" t="s">
        <v>165</v>
      </c>
      <c r="H56" s="79">
        <v>0.91659999999999997</v>
      </c>
      <c r="I56" s="101" t="s">
        <v>249</v>
      </c>
      <c r="J56" s="61" t="s">
        <v>212</v>
      </c>
    </row>
    <row r="57" spans="1:13" ht="15" customHeight="1">
      <c r="A57" s="23" t="s">
        <v>393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394</v>
      </c>
      <c r="D58" s="4" t="s">
        <v>119</v>
      </c>
      <c r="E58" s="4" t="s">
        <v>166</v>
      </c>
      <c r="F58" s="16" t="s">
        <v>395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0.39323347806930542</v>
      </c>
      <c r="D59" s="127">
        <v>0.69999998807907104</v>
      </c>
      <c r="E59" s="86">
        <v>110.65230143068808</v>
      </c>
      <c r="F59" s="87">
        <v>593.25982666015625</v>
      </c>
      <c r="G59" s="121"/>
      <c r="H59" s="45"/>
      <c r="I59" s="45"/>
      <c r="J59" s="46"/>
    </row>
    <row r="60" spans="1:13" ht="15" customHeight="1">
      <c r="A60" s="129">
        <v>3.9999997243285179E-3</v>
      </c>
      <c r="B60" s="86">
        <v>58.151261602155792</v>
      </c>
      <c r="C60" s="87">
        <v>79.235595703125</v>
      </c>
      <c r="D60" s="127">
        <v>0.80000001192092896</v>
      </c>
      <c r="E60" s="86">
        <v>117.73690824540756</v>
      </c>
      <c r="F60" s="87">
        <v>609.12591552734375</v>
      </c>
      <c r="G60" s="121"/>
      <c r="H60" s="45"/>
      <c r="I60" s="45"/>
      <c r="J60" s="46"/>
    </row>
    <row r="61" spans="1:13" ht="15" customHeight="1">
      <c r="A61" s="129">
        <v>1.9999999552965164E-2</v>
      </c>
      <c r="B61" s="86">
        <v>202.77836097261726</v>
      </c>
      <c r="C61" s="87">
        <v>281.76608276367188</v>
      </c>
      <c r="D61" s="127">
        <v>0.89999997615814209</v>
      </c>
      <c r="E61" s="86">
        <v>130.04490244993832</v>
      </c>
      <c r="F61" s="87">
        <v>625.11181640625</v>
      </c>
      <c r="G61" s="121"/>
      <c r="H61" s="45"/>
      <c r="I61" s="45"/>
      <c r="J61" s="46"/>
    </row>
    <row r="62" spans="1:13" ht="15" customHeight="1">
      <c r="A62" s="125">
        <v>3.9999999105930328E-2</v>
      </c>
      <c r="B62" s="86">
        <v>220</v>
      </c>
      <c r="C62" s="87">
        <v>409.136474609375</v>
      </c>
      <c r="D62" s="128">
        <v>1</v>
      </c>
      <c r="E62" s="86">
        <v>150</v>
      </c>
      <c r="F62" s="87">
        <v>640.35089111328125</v>
      </c>
      <c r="G62" s="121"/>
      <c r="H62" s="45"/>
      <c r="I62" s="45"/>
      <c r="J62" s="46"/>
    </row>
    <row r="63" spans="1:13" ht="15" customHeight="1" thickBot="1">
      <c r="A63" s="125">
        <v>0.10000000149011612</v>
      </c>
      <c r="B63" s="86">
        <v>154.53456722191009</v>
      </c>
      <c r="C63" s="87">
        <v>464.34567260742188</v>
      </c>
      <c r="D63" s="509"/>
      <c r="E63" s="510"/>
      <c r="F63" s="511"/>
      <c r="G63" s="121"/>
      <c r="H63" s="45"/>
      <c r="I63" s="45"/>
      <c r="J63" s="46"/>
    </row>
    <row r="64" spans="1:13" ht="15" customHeight="1">
      <c r="A64" s="125">
        <v>0.15999999642372131</v>
      </c>
      <c r="B64" s="86">
        <v>129.86275948978025</v>
      </c>
      <c r="C64" s="87">
        <v>493.0284423828125</v>
      </c>
      <c r="D64" s="512" t="s">
        <v>427</v>
      </c>
      <c r="E64" s="513"/>
      <c r="F64" s="513"/>
      <c r="G64" s="121"/>
      <c r="H64" s="45"/>
      <c r="I64" s="45"/>
      <c r="J64" s="46"/>
    </row>
    <row r="65" spans="1:10" ht="15" customHeight="1">
      <c r="A65" s="125">
        <v>0.2800000011920929</v>
      </c>
      <c r="B65" s="86">
        <v>111.69624438103961</v>
      </c>
      <c r="C65" s="87">
        <v>524.26165771484375</v>
      </c>
      <c r="D65" s="514" t="s">
        <v>412</v>
      </c>
      <c r="E65" s="516" t="s">
        <v>425</v>
      </c>
      <c r="F65" s="517"/>
      <c r="G65" s="121"/>
      <c r="H65" s="45"/>
      <c r="I65" s="45"/>
      <c r="J65" s="46"/>
    </row>
    <row r="66" spans="1:10" ht="15" customHeight="1">
      <c r="A66" s="125">
        <v>0.40000000596046448</v>
      </c>
      <c r="B66" s="86">
        <v>105</v>
      </c>
      <c r="C66" s="87">
        <v>544.417236328125</v>
      </c>
      <c r="D66" s="514" t="s">
        <v>409</v>
      </c>
      <c r="E66" s="516" t="s">
        <v>426</v>
      </c>
      <c r="F66" s="517"/>
      <c r="G66" s="121"/>
      <c r="H66" s="45"/>
      <c r="I66" s="45"/>
      <c r="J66" s="46"/>
    </row>
    <row r="67" spans="1:10" ht="15" customHeight="1">
      <c r="A67" s="125">
        <v>0.5</v>
      </c>
      <c r="B67" s="86">
        <v>105.28160373707013</v>
      </c>
      <c r="C67" s="87">
        <v>561.4146728515625</v>
      </c>
      <c r="D67" s="514" t="s">
        <v>416</v>
      </c>
      <c r="E67" s="516" t="s">
        <v>428</v>
      </c>
      <c r="F67" s="517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106.90940368521325</v>
      </c>
      <c r="C68" s="89">
        <v>577.4471435546875</v>
      </c>
      <c r="D68" s="515" t="s">
        <v>417</v>
      </c>
      <c r="E68" s="518" t="s">
        <v>429</v>
      </c>
      <c r="F68" s="518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508" t="s">
        <v>424</v>
      </c>
      <c r="B99" s="508"/>
      <c r="C99" s="508"/>
      <c r="D99" s="508"/>
      <c r="E99" s="508"/>
      <c r="F99" s="508"/>
      <c r="G99" s="508"/>
      <c r="H99" s="508"/>
      <c r="I99" s="508"/>
    </row>
    <row r="100" spans="1:9">
      <c r="A100" s="508">
        <v>100</v>
      </c>
      <c r="B100" s="508"/>
      <c r="C100" s="508"/>
      <c r="D100" s="508"/>
      <c r="E100" s="508"/>
      <c r="F100" s="508"/>
      <c r="G100" s="508"/>
      <c r="H100" s="508"/>
      <c r="I100" s="508"/>
    </row>
    <row r="101" spans="1:9">
      <c r="A101" s="508">
        <v>99.199996948242188</v>
      </c>
      <c r="B101" s="508"/>
      <c r="C101" s="508"/>
      <c r="D101" s="508"/>
      <c r="E101" s="508"/>
      <c r="F101" s="508"/>
      <c r="G101" s="508"/>
      <c r="H101" s="508"/>
      <c r="I101" s="508"/>
    </row>
    <row r="102" spans="1:9">
      <c r="A102" s="508">
        <v>95.25</v>
      </c>
      <c r="B102" s="508"/>
      <c r="C102" s="508"/>
      <c r="D102" s="508"/>
      <c r="E102" s="508"/>
      <c r="F102" s="508"/>
      <c r="G102" s="508"/>
      <c r="H102" s="508"/>
      <c r="I102" s="508"/>
    </row>
    <row r="103" spans="1:9">
      <c r="A103" s="508">
        <v>89.75</v>
      </c>
      <c r="B103" s="508"/>
      <c r="C103" s="508"/>
      <c r="D103" s="508"/>
      <c r="E103" s="508"/>
      <c r="F103" s="508"/>
      <c r="G103" s="508"/>
      <c r="H103" s="508"/>
      <c r="I103" s="508"/>
    </row>
    <row r="104" spans="1:9">
      <c r="A104" s="508">
        <v>74</v>
      </c>
      <c r="B104" s="508"/>
      <c r="C104" s="508"/>
      <c r="D104" s="508"/>
      <c r="E104" s="508"/>
      <c r="F104" s="508"/>
      <c r="G104" s="508"/>
      <c r="H104" s="508"/>
      <c r="I104" s="508"/>
    </row>
    <row r="105" spans="1:9">
      <c r="A105" s="508">
        <v>58.799999237060547</v>
      </c>
      <c r="B105" s="508"/>
      <c r="C105" s="508"/>
      <c r="D105" s="508"/>
      <c r="E105" s="508"/>
      <c r="F105" s="508"/>
      <c r="G105" s="508"/>
      <c r="H105" s="508"/>
      <c r="I105" s="508"/>
    </row>
    <row r="106" spans="1:9">
      <c r="A106" s="508">
        <v>36.400001525878906</v>
      </c>
      <c r="B106" s="508"/>
      <c r="C106" s="508"/>
      <c r="D106" s="508"/>
      <c r="E106" s="508"/>
      <c r="F106" s="508"/>
      <c r="G106" s="508"/>
      <c r="H106" s="508"/>
      <c r="I106" s="508"/>
    </row>
    <row r="107" spans="1:9">
      <c r="A107" s="508">
        <v>22</v>
      </c>
      <c r="B107" s="508"/>
      <c r="C107" s="508"/>
      <c r="D107" s="508"/>
      <c r="E107" s="508"/>
      <c r="F107" s="508"/>
      <c r="G107" s="508"/>
      <c r="H107" s="508"/>
      <c r="I107" s="508"/>
    </row>
    <row r="108" spans="1:9">
      <c r="A108" s="508">
        <v>14</v>
      </c>
      <c r="B108" s="508"/>
      <c r="C108" s="508"/>
      <c r="D108" s="508"/>
      <c r="E108" s="508"/>
      <c r="F108" s="508"/>
      <c r="G108" s="508"/>
      <c r="H108" s="508"/>
      <c r="I108" s="508"/>
    </row>
    <row r="109" spans="1:9">
      <c r="A109" s="508">
        <v>7.9999995231628418</v>
      </c>
      <c r="B109" s="508"/>
      <c r="C109" s="508"/>
      <c r="D109" s="508"/>
      <c r="E109" s="508"/>
      <c r="F109" s="508"/>
      <c r="G109" s="508"/>
      <c r="H109" s="508"/>
      <c r="I109" s="508"/>
    </row>
    <row r="110" spans="1:9">
      <c r="A110" s="508">
        <v>5.9999995231628418</v>
      </c>
      <c r="B110" s="508"/>
      <c r="C110" s="508"/>
      <c r="D110" s="508"/>
      <c r="E110" s="508"/>
      <c r="F110" s="508"/>
      <c r="G110" s="508"/>
      <c r="H110" s="508"/>
      <c r="I110" s="508"/>
    </row>
    <row r="111" spans="1:9">
      <c r="A111" s="508">
        <v>8.0000009536743164</v>
      </c>
      <c r="B111" s="508"/>
      <c r="C111" s="508"/>
      <c r="D111" s="508"/>
      <c r="E111" s="508"/>
      <c r="F111" s="508"/>
      <c r="G111" s="508"/>
      <c r="H111" s="508"/>
      <c r="I111" s="508"/>
    </row>
    <row r="112" spans="1:9">
      <c r="A112" s="508">
        <v>14.999996185302734</v>
      </c>
      <c r="B112" s="508"/>
      <c r="C112" s="508"/>
      <c r="D112" s="508"/>
      <c r="E112" s="508"/>
      <c r="F112" s="508"/>
      <c r="G112" s="508"/>
      <c r="H112" s="508"/>
      <c r="I112" s="508"/>
    </row>
    <row r="113" spans="1:9">
      <c r="A113" s="508">
        <v>30</v>
      </c>
      <c r="B113" s="508"/>
      <c r="C113" s="508"/>
      <c r="D113" s="508"/>
      <c r="E113" s="508"/>
      <c r="F113" s="508"/>
      <c r="G113" s="508"/>
      <c r="H113" s="508"/>
      <c r="I113" s="508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F6" sqref="F6:K6"/>
    </sheetView>
  </sheetViews>
  <sheetFormatPr defaultColWidth="10.88671875" defaultRowHeight="15"/>
  <cols>
    <col min="1" max="1" width="11.5546875" style="397" customWidth="1"/>
    <col min="2" max="2" width="5.88671875" style="397" customWidth="1"/>
    <col min="3" max="3" width="6.77734375" style="397" customWidth="1"/>
    <col min="4" max="4" width="12.21875" style="397" customWidth="1"/>
    <col min="5" max="5" width="12" style="397" customWidth="1"/>
    <col min="6" max="6" width="9" style="397" customWidth="1"/>
    <col min="7" max="7" width="5.44140625" style="397" customWidth="1"/>
    <col min="8" max="8" width="7.44140625" style="397" customWidth="1"/>
    <col min="9" max="9" width="6.21875" style="397" customWidth="1"/>
    <col min="10" max="10" width="11.44140625" style="398" customWidth="1"/>
    <col min="11" max="11" width="11.44140625" style="397" customWidth="1"/>
    <col min="12" max="26" width="10.88671875" style="189"/>
    <col min="27" max="16384" width="10.88671875" style="190"/>
  </cols>
  <sheetData>
    <row r="1" spans="1:26" ht="20.25" customHeight="1">
      <c r="A1" s="188" t="s">
        <v>269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270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380</v>
      </c>
      <c r="C3" s="194"/>
      <c r="D3" s="194"/>
      <c r="E3" s="194"/>
      <c r="F3" s="195"/>
      <c r="G3" s="194"/>
      <c r="H3" s="194"/>
      <c r="I3" s="192" t="s">
        <v>271</v>
      </c>
      <c r="J3" s="196" t="s">
        <v>698</v>
      </c>
      <c r="K3" s="196"/>
    </row>
    <row r="4" spans="1:26" s="205" customFormat="1" ht="18.45" customHeight="1" thickBot="1">
      <c r="A4" s="197" t="s">
        <v>381</v>
      </c>
      <c r="B4" s="198"/>
      <c r="C4" s="199"/>
      <c r="D4" s="199"/>
      <c r="E4" s="199"/>
      <c r="F4" s="199"/>
      <c r="G4" s="199"/>
      <c r="H4" s="199"/>
      <c r="I4" s="199"/>
      <c r="J4" s="199"/>
      <c r="K4" s="200"/>
      <c r="L4" s="201"/>
      <c r="M4" s="201"/>
      <c r="N4" s="201"/>
      <c r="O4" s="201"/>
      <c r="P4" s="201"/>
      <c r="Q4" s="202" t="s">
        <v>272</v>
      </c>
      <c r="R4" s="203"/>
      <c r="S4" s="201"/>
      <c r="T4" s="202" t="s">
        <v>273</v>
      </c>
      <c r="U4" s="204"/>
      <c r="V4" s="201"/>
      <c r="W4" s="201"/>
      <c r="X4" s="201"/>
      <c r="Y4" s="201"/>
      <c r="Z4" s="201"/>
    </row>
    <row r="5" spans="1:26" s="205" customFormat="1" ht="18.45" customHeight="1">
      <c r="A5" s="206" t="s">
        <v>274</v>
      </c>
      <c r="B5" s="207"/>
      <c r="C5" s="207"/>
      <c r="D5" s="208"/>
      <c r="E5" s="209"/>
      <c r="F5" s="210" t="s">
        <v>275</v>
      </c>
      <c r="G5" s="211"/>
      <c r="H5" s="211"/>
      <c r="I5" s="212"/>
      <c r="J5" s="213" t="s">
        <v>276</v>
      </c>
      <c r="K5" s="214" t="s">
        <v>277</v>
      </c>
      <c r="L5" s="201"/>
      <c r="M5" s="201"/>
      <c r="N5" s="201"/>
      <c r="O5" s="201"/>
      <c r="P5" s="201"/>
      <c r="Q5" s="215" t="s">
        <v>278</v>
      </c>
      <c r="R5" s="216"/>
      <c r="S5" s="201"/>
      <c r="T5" s="215" t="s">
        <v>279</v>
      </c>
      <c r="U5" s="217"/>
      <c r="V5" s="201"/>
      <c r="W5" s="201"/>
      <c r="X5" s="201"/>
      <c r="Y5" s="201"/>
      <c r="Z5" s="201"/>
    </row>
    <row r="6" spans="1:26" s="205" customFormat="1" ht="18.45" customHeight="1">
      <c r="A6" s="218" t="s">
        <v>67</v>
      </c>
      <c r="B6" s="219"/>
      <c r="C6" s="219"/>
      <c r="D6" s="220" t="s">
        <v>280</v>
      </c>
      <c r="E6" s="221"/>
      <c r="F6" s="222" t="s">
        <v>281</v>
      </c>
      <c r="G6" s="223"/>
      <c r="H6" s="223"/>
      <c r="I6" s="223"/>
      <c r="J6" s="223"/>
      <c r="K6" s="224"/>
      <c r="L6" s="201"/>
      <c r="M6" s="201"/>
      <c r="N6" s="201"/>
      <c r="O6" s="201"/>
      <c r="P6" s="201"/>
      <c r="Q6" s="215" t="s">
        <v>282</v>
      </c>
      <c r="R6" s="216"/>
      <c r="S6" s="201"/>
      <c r="T6" s="215" t="s">
        <v>283</v>
      </c>
      <c r="U6" s="217"/>
      <c r="V6" s="201"/>
      <c r="W6" s="201"/>
      <c r="X6" s="201"/>
      <c r="Y6" s="201"/>
      <c r="Z6" s="201"/>
    </row>
    <row r="7" spans="1:26" s="205" customFormat="1" ht="18.45" customHeight="1">
      <c r="A7" s="225" t="s">
        <v>20</v>
      </c>
      <c r="B7" s="226"/>
      <c r="C7" s="226"/>
      <c r="D7" s="227">
        <v>1.6000000238418599</v>
      </c>
      <c r="E7" s="228"/>
      <c r="F7" s="229" t="s">
        <v>284</v>
      </c>
      <c r="G7" s="230"/>
      <c r="H7" s="231"/>
      <c r="I7" s="232"/>
      <c r="J7" s="233">
        <v>42</v>
      </c>
      <c r="K7" s="234" t="s">
        <v>175</v>
      </c>
      <c r="L7" s="201"/>
      <c r="M7" s="201"/>
      <c r="N7" s="201"/>
      <c r="O7" s="201"/>
      <c r="P7" s="201"/>
      <c r="Q7" s="215" t="s">
        <v>285</v>
      </c>
      <c r="R7" s="216"/>
      <c r="S7" s="201"/>
      <c r="T7" s="215" t="s">
        <v>280</v>
      </c>
      <c r="U7" s="217"/>
      <c r="V7" s="201"/>
      <c r="W7" s="201"/>
      <c r="X7" s="201"/>
      <c r="Y7" s="201"/>
      <c r="Z7" s="201"/>
    </row>
    <row r="8" spans="1:26" s="205" customFormat="1" ht="18.45" customHeight="1">
      <c r="A8" s="225" t="s">
        <v>286</v>
      </c>
      <c r="B8" s="226"/>
      <c r="C8" s="226"/>
      <c r="D8" s="235">
        <v>620</v>
      </c>
      <c r="E8" s="236"/>
      <c r="F8" s="237" t="s">
        <v>287</v>
      </c>
      <c r="G8" s="238"/>
      <c r="H8" s="239"/>
      <c r="I8" s="240"/>
      <c r="J8" s="241">
        <v>10857</v>
      </c>
      <c r="K8" s="242" t="s">
        <v>175</v>
      </c>
      <c r="L8" s="201"/>
      <c r="M8" s="201"/>
      <c r="N8" s="201"/>
      <c r="O8" s="201"/>
      <c r="P8" s="201"/>
      <c r="Q8" s="215" t="s">
        <v>288</v>
      </c>
      <c r="R8" s="216"/>
      <c r="S8" s="201"/>
      <c r="T8" s="215" t="s">
        <v>289</v>
      </c>
      <c r="U8" s="217"/>
      <c r="V8" s="201"/>
      <c r="W8" s="201"/>
      <c r="X8" s="201"/>
      <c r="Y8" s="201"/>
      <c r="Z8" s="201"/>
    </row>
    <row r="9" spans="1:26" s="205" customFormat="1" ht="18.45" customHeight="1">
      <c r="A9" s="243" t="s">
        <v>290</v>
      </c>
      <c r="B9" s="244"/>
      <c r="C9" s="245"/>
      <c r="D9" s="235">
        <v>13</v>
      </c>
      <c r="E9" s="236"/>
      <c r="F9" s="229" t="s">
        <v>291</v>
      </c>
      <c r="G9" s="230"/>
      <c r="H9" s="246">
        <v>3</v>
      </c>
      <c r="I9" s="247" t="s">
        <v>292</v>
      </c>
      <c r="J9" s="248">
        <v>232</v>
      </c>
      <c r="K9" s="242" t="s">
        <v>175</v>
      </c>
      <c r="L9" s="201"/>
      <c r="M9" s="201"/>
      <c r="N9" s="201"/>
      <c r="O9" s="201"/>
      <c r="P9" s="201"/>
      <c r="Q9" s="215" t="s">
        <v>293</v>
      </c>
      <c r="R9" s="216"/>
      <c r="S9" s="201"/>
      <c r="T9" s="215" t="s">
        <v>294</v>
      </c>
      <c r="U9" s="217"/>
      <c r="V9" s="201"/>
      <c r="W9" s="201"/>
      <c r="X9" s="201"/>
      <c r="Y9" s="201"/>
      <c r="Z9" s="201"/>
    </row>
    <row r="10" spans="1:26" s="205" customFormat="1" ht="18.45" customHeight="1" thickBot="1">
      <c r="A10" s="243" t="s">
        <v>295</v>
      </c>
      <c r="B10" s="244"/>
      <c r="C10" s="245"/>
      <c r="D10" s="249" t="s">
        <v>203</v>
      </c>
      <c r="E10" s="250"/>
      <c r="F10" s="229" t="s">
        <v>296</v>
      </c>
      <c r="G10" s="230"/>
      <c r="H10" s="246">
        <v>3</v>
      </c>
      <c r="I10" s="247" t="s">
        <v>292</v>
      </c>
      <c r="J10" s="248">
        <v>1150</v>
      </c>
      <c r="K10" s="242" t="s">
        <v>175</v>
      </c>
      <c r="L10" s="201"/>
      <c r="M10" s="201"/>
      <c r="N10" s="201"/>
      <c r="O10" s="201"/>
      <c r="P10" s="201"/>
      <c r="Q10" s="215" t="s">
        <v>297</v>
      </c>
      <c r="R10" s="216"/>
      <c r="S10" s="201"/>
      <c r="T10" s="251" t="s">
        <v>298</v>
      </c>
      <c r="U10" s="252"/>
      <c r="V10" s="201"/>
      <c r="W10" s="201"/>
      <c r="X10" s="201"/>
      <c r="Y10" s="201"/>
      <c r="Z10" s="201"/>
    </row>
    <row r="11" spans="1:26" s="205" customFormat="1" ht="18.45" customHeight="1" thickBot="1">
      <c r="A11" s="243" t="s">
        <v>299</v>
      </c>
      <c r="B11" s="244"/>
      <c r="C11" s="245"/>
      <c r="D11" s="253" t="s">
        <v>204</v>
      </c>
      <c r="E11" s="254"/>
      <c r="F11" s="255" t="s">
        <v>300</v>
      </c>
      <c r="G11" s="256"/>
      <c r="H11" s="257">
        <v>3</v>
      </c>
      <c r="I11" s="247" t="s">
        <v>292</v>
      </c>
      <c r="J11" s="258">
        <v>33812</v>
      </c>
      <c r="K11" s="259" t="s">
        <v>175</v>
      </c>
      <c r="L11" s="201"/>
      <c r="M11" s="201"/>
      <c r="N11" s="201"/>
      <c r="O11" s="201"/>
      <c r="P11" s="201"/>
      <c r="Q11" s="215" t="s">
        <v>301</v>
      </c>
      <c r="R11" s="216"/>
      <c r="S11" s="201"/>
      <c r="T11" s="202" t="s">
        <v>302</v>
      </c>
      <c r="U11" s="204"/>
      <c r="V11" s="201"/>
      <c r="W11" s="201"/>
      <c r="X11" s="201"/>
      <c r="Y11" s="201"/>
      <c r="Z11" s="201"/>
    </row>
    <row r="12" spans="1:26" s="205" customFormat="1" ht="18.45" customHeight="1" thickBot="1">
      <c r="A12" s="260" t="s">
        <v>303</v>
      </c>
      <c r="C12" s="261"/>
      <c r="D12" s="262" t="s">
        <v>175</v>
      </c>
      <c r="E12" s="263"/>
      <c r="F12" s="264" t="s">
        <v>304</v>
      </c>
      <c r="G12" s="265"/>
      <c r="H12" s="265"/>
      <c r="I12" s="265"/>
      <c r="J12" s="265"/>
      <c r="K12" s="266"/>
      <c r="L12" s="201"/>
      <c r="M12" s="201"/>
      <c r="N12" s="201"/>
      <c r="O12" s="201"/>
      <c r="P12" s="201"/>
      <c r="Q12" s="251" t="s">
        <v>305</v>
      </c>
      <c r="R12" s="267"/>
      <c r="S12" s="201"/>
      <c r="T12" s="201"/>
      <c r="U12" s="201"/>
      <c r="V12" s="201"/>
      <c r="W12" s="201"/>
      <c r="X12" s="201"/>
      <c r="Y12" s="201"/>
      <c r="Z12" s="201"/>
    </row>
    <row r="13" spans="1:26" s="205" customFormat="1" ht="18.45" customHeight="1">
      <c r="A13" s="243" t="s">
        <v>53</v>
      </c>
      <c r="B13" s="244"/>
      <c r="C13" s="245"/>
      <c r="D13" s="268" t="s">
        <v>383</v>
      </c>
      <c r="E13" s="269"/>
      <c r="F13" s="270"/>
      <c r="G13" s="271" t="s">
        <v>306</v>
      </c>
      <c r="H13" s="272"/>
      <c r="I13" s="273" t="s">
        <v>307</v>
      </c>
      <c r="J13" s="274" t="s">
        <v>385</v>
      </c>
      <c r="K13" s="275" t="s">
        <v>175</v>
      </c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 s="205" customFormat="1" ht="18.45" customHeight="1">
      <c r="A14" s="243" t="s">
        <v>56</v>
      </c>
      <c r="B14" s="244"/>
      <c r="C14" s="245"/>
      <c r="D14" s="262">
        <v>1010</v>
      </c>
      <c r="E14" s="263"/>
      <c r="F14" s="270"/>
      <c r="G14" s="276" t="s">
        <v>10</v>
      </c>
      <c r="H14" s="277"/>
      <c r="I14" s="277"/>
      <c r="J14" s="248" t="s">
        <v>175</v>
      </c>
      <c r="K14" s="242" t="s">
        <v>175</v>
      </c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 s="205" customFormat="1" ht="18.45" customHeight="1">
      <c r="A15" s="278" t="s">
        <v>308</v>
      </c>
      <c r="B15" s="279"/>
      <c r="C15" s="280"/>
      <c r="D15" s="281">
        <v>11.289600372314453</v>
      </c>
      <c r="E15" s="282"/>
      <c r="F15" s="270"/>
      <c r="G15" s="276" t="s">
        <v>309</v>
      </c>
      <c r="H15" s="277"/>
      <c r="I15" s="277"/>
      <c r="J15" s="248" t="s">
        <v>175</v>
      </c>
      <c r="K15" s="242" t="s">
        <v>175</v>
      </c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 s="205" customFormat="1" ht="18.45" customHeight="1">
      <c r="A16" s="283" t="s">
        <v>310</v>
      </c>
      <c r="B16" s="284"/>
      <c r="C16" s="285"/>
      <c r="D16" s="281">
        <v>3.5956003665924072</v>
      </c>
      <c r="E16" s="282"/>
      <c r="F16" s="286"/>
      <c r="G16" s="287" t="s">
        <v>17</v>
      </c>
      <c r="H16" s="288"/>
      <c r="I16" s="288"/>
      <c r="J16" s="258" t="s">
        <v>175</v>
      </c>
      <c r="K16" s="259" t="s">
        <v>175</v>
      </c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spans="1:26" s="205" customFormat="1" ht="18.45" customHeight="1">
      <c r="A17" s="289" t="s">
        <v>311</v>
      </c>
      <c r="B17" s="290"/>
      <c r="C17" s="291"/>
      <c r="D17" s="253" t="s">
        <v>382</v>
      </c>
      <c r="E17" s="254"/>
      <c r="F17" s="264" t="s">
        <v>312</v>
      </c>
      <c r="G17" s="265"/>
      <c r="H17" s="265"/>
      <c r="I17" s="265"/>
      <c r="J17" s="265"/>
      <c r="K17" s="266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spans="1:26" s="205" customFormat="1" ht="18.45" customHeight="1">
      <c r="A18" s="292" t="s">
        <v>313</v>
      </c>
      <c r="B18" s="293"/>
      <c r="C18" s="291"/>
      <c r="D18" s="249" t="s">
        <v>175</v>
      </c>
      <c r="E18" s="250"/>
      <c r="F18" s="294"/>
      <c r="G18" s="295"/>
      <c r="H18" s="296" t="s">
        <v>314</v>
      </c>
      <c r="I18" s="297"/>
      <c r="J18" s="241">
        <v>114</v>
      </c>
      <c r="K18" s="242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 s="205" customFormat="1" ht="18.45" customHeight="1">
      <c r="A19" s="298" t="s">
        <v>315</v>
      </c>
      <c r="B19" s="299"/>
      <c r="C19" s="300"/>
      <c r="D19" s="301" t="s">
        <v>175</v>
      </c>
      <c r="E19" s="254"/>
      <c r="F19" s="302"/>
      <c r="G19" s="303"/>
      <c r="H19" s="296" t="s">
        <v>5</v>
      </c>
      <c r="I19" s="232"/>
      <c r="J19" s="241">
        <v>1180</v>
      </c>
      <c r="K19" s="242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spans="1:26" s="205" customFormat="1" ht="18.45" customHeight="1" thickBot="1">
      <c r="A20" s="304" t="s">
        <v>316</v>
      </c>
      <c r="C20" s="305"/>
      <c r="D20" s="306" t="s">
        <v>202</v>
      </c>
      <c r="E20" s="236"/>
      <c r="F20" s="302"/>
      <c r="G20" s="303"/>
      <c r="H20" s="296" t="s">
        <v>317</v>
      </c>
      <c r="I20" s="232"/>
      <c r="J20" s="248" t="s">
        <v>361</v>
      </c>
      <c r="K20" s="242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 s="205" customFormat="1" ht="18.45" customHeight="1" thickBot="1">
      <c r="A21" s="278" t="s">
        <v>318</v>
      </c>
      <c r="B21" s="279"/>
      <c r="C21" s="280"/>
      <c r="D21" s="235" t="s">
        <v>175</v>
      </c>
      <c r="E21" s="236"/>
      <c r="F21" s="302"/>
      <c r="G21" s="303"/>
      <c r="H21" s="307" t="s">
        <v>319</v>
      </c>
      <c r="I21" s="232"/>
      <c r="J21" s="248">
        <v>1.1499999999999999</v>
      </c>
      <c r="K21" s="242"/>
      <c r="L21" s="201"/>
      <c r="M21" s="201"/>
      <c r="N21" s="201"/>
      <c r="O21" s="201"/>
      <c r="P21" s="201"/>
      <c r="Q21" s="202" t="s">
        <v>320</v>
      </c>
      <c r="R21" s="204"/>
      <c r="S21" s="201"/>
      <c r="T21" s="201"/>
      <c r="U21" s="201"/>
      <c r="V21" s="201"/>
      <c r="W21" s="201"/>
      <c r="X21" s="201"/>
      <c r="Y21" s="201"/>
      <c r="Z21" s="201"/>
    </row>
    <row r="22" spans="1:26" s="205" customFormat="1" ht="18.45" customHeight="1">
      <c r="A22" s="292" t="s">
        <v>321</v>
      </c>
      <c r="B22" s="308"/>
      <c r="C22" s="308"/>
      <c r="D22" s="309">
        <v>0.1703999936580658</v>
      </c>
      <c r="E22" s="310"/>
      <c r="F22" s="302"/>
      <c r="G22" s="303"/>
      <c r="H22" s="296" t="s">
        <v>276</v>
      </c>
      <c r="I22" s="232"/>
      <c r="J22" s="248"/>
      <c r="K22" s="242"/>
      <c r="L22" s="201"/>
      <c r="M22" s="201"/>
      <c r="N22" s="201"/>
      <c r="O22" s="201"/>
      <c r="P22" s="201"/>
      <c r="Q22" s="215" t="s">
        <v>322</v>
      </c>
      <c r="R22" s="217"/>
      <c r="S22" s="201"/>
      <c r="T22" s="201"/>
      <c r="U22" s="201"/>
      <c r="V22" s="201"/>
      <c r="W22" s="201"/>
      <c r="X22" s="201"/>
      <c r="Y22" s="201"/>
      <c r="Z22" s="201"/>
    </row>
    <row r="23" spans="1:26" s="205" customFormat="1" ht="18.45" customHeight="1">
      <c r="A23" s="311" t="s">
        <v>323</v>
      </c>
      <c r="B23" s="312" t="s">
        <v>324</v>
      </c>
      <c r="C23" s="313"/>
      <c r="D23" s="268">
        <v>177.6</v>
      </c>
      <c r="E23" s="269"/>
      <c r="F23" s="302"/>
      <c r="G23" s="303"/>
      <c r="H23" s="314" t="s">
        <v>325</v>
      </c>
      <c r="I23" s="315"/>
      <c r="J23" s="316"/>
      <c r="K23" s="317"/>
      <c r="L23" s="201"/>
      <c r="Q23" s="215" t="s">
        <v>326</v>
      </c>
      <c r="R23" s="217"/>
      <c r="S23" s="201"/>
      <c r="T23" s="201"/>
      <c r="U23" s="201"/>
      <c r="V23" s="201"/>
      <c r="W23" s="201"/>
      <c r="X23" s="201"/>
      <c r="Y23" s="201"/>
      <c r="Z23" s="201"/>
    </row>
    <row r="24" spans="1:26" s="205" customFormat="1" ht="18.45" customHeight="1" thickBot="1">
      <c r="A24" s="318" t="s">
        <v>327</v>
      </c>
      <c r="B24" s="319" t="s">
        <v>328</v>
      </c>
      <c r="C24" s="320"/>
      <c r="D24" s="321">
        <v>157.5</v>
      </c>
      <c r="E24" s="322"/>
      <c r="F24" s="302"/>
      <c r="G24" s="303"/>
      <c r="H24" s="296" t="s">
        <v>329</v>
      </c>
      <c r="I24" s="261"/>
      <c r="J24" s="323"/>
      <c r="K24" s="324"/>
      <c r="Q24" s="325" t="s">
        <v>175</v>
      </c>
      <c r="R24" s="326"/>
      <c r="S24" s="201"/>
      <c r="T24" s="201"/>
      <c r="U24" s="201"/>
      <c r="V24" s="201"/>
      <c r="W24" s="201"/>
      <c r="X24" s="201"/>
      <c r="Y24" s="201"/>
      <c r="Z24" s="201"/>
    </row>
    <row r="25" spans="1:26" s="205" customFormat="1" ht="18.45" customHeight="1">
      <c r="A25" s="327" t="s">
        <v>330</v>
      </c>
      <c r="B25" s="328"/>
      <c r="C25" s="328"/>
      <c r="D25" s="329"/>
      <c r="E25" s="329" t="s">
        <v>331</v>
      </c>
      <c r="F25" s="302"/>
      <c r="G25" s="303"/>
      <c r="H25" s="296" t="s">
        <v>332</v>
      </c>
      <c r="I25" s="261"/>
      <c r="J25" s="330">
        <v>80</v>
      </c>
      <c r="K25" s="324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 s="205" customFormat="1" ht="18.45" customHeight="1">
      <c r="A26" s="331" t="s">
        <v>333</v>
      </c>
      <c r="B26" s="332"/>
      <c r="C26" s="333"/>
      <c r="D26" s="334" t="s">
        <v>386</v>
      </c>
      <c r="E26" s="334" t="s">
        <v>387</v>
      </c>
      <c r="F26" s="335"/>
      <c r="G26" s="336"/>
      <c r="H26" s="337"/>
      <c r="I26" s="338"/>
      <c r="J26" s="339"/>
      <c r="K26" s="340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 s="205" customFormat="1" ht="18.45" customHeight="1">
      <c r="A27" s="341" t="s">
        <v>334</v>
      </c>
      <c r="B27" s="342"/>
      <c r="C27" s="342"/>
      <c r="D27" s="342"/>
      <c r="E27" s="342"/>
      <c r="F27" s="222" t="s">
        <v>335</v>
      </c>
      <c r="G27" s="223"/>
      <c r="H27" s="223"/>
      <c r="I27" s="223"/>
      <c r="J27" s="223"/>
      <c r="K27" s="224"/>
      <c r="R27" s="201"/>
      <c r="S27" s="201"/>
      <c r="T27" s="201"/>
      <c r="U27" s="201"/>
      <c r="V27" s="201"/>
      <c r="W27" s="201"/>
      <c r="X27" s="201"/>
      <c r="Y27" s="201"/>
      <c r="Z27" s="201"/>
    </row>
    <row r="28" spans="1:26" s="205" customFormat="1" ht="18.45" customHeight="1">
      <c r="A28" s="343"/>
      <c r="B28" s="344"/>
      <c r="C28" s="344"/>
      <c r="D28" s="344"/>
      <c r="E28" s="345"/>
      <c r="F28" s="346"/>
      <c r="G28" s="347"/>
      <c r="H28" s="276" t="s">
        <v>336</v>
      </c>
      <c r="I28" s="348" t="s">
        <v>384</v>
      </c>
      <c r="J28" s="241">
        <v>729</v>
      </c>
      <c r="K28" s="234" t="s">
        <v>175</v>
      </c>
      <c r="R28" s="201"/>
      <c r="S28" s="201"/>
      <c r="T28" s="201"/>
      <c r="U28" s="201"/>
      <c r="V28" s="201"/>
      <c r="W28" s="201"/>
      <c r="X28" s="201"/>
      <c r="Y28" s="201"/>
      <c r="Z28" s="201"/>
    </row>
    <row r="29" spans="1:26" s="205" customFormat="1" ht="18.45" customHeight="1">
      <c r="A29" s="343"/>
      <c r="B29" s="344"/>
      <c r="C29" s="344"/>
      <c r="D29" s="344"/>
      <c r="E29" s="345"/>
      <c r="F29" s="349"/>
      <c r="G29" s="350"/>
      <c r="H29" s="276" t="s">
        <v>337</v>
      </c>
      <c r="I29" s="351">
        <v>60</v>
      </c>
      <c r="J29" s="241">
        <v>149</v>
      </c>
      <c r="K29" s="234" t="s">
        <v>175</v>
      </c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 s="205" customFormat="1" ht="18.45" customHeight="1">
      <c r="A30" s="343"/>
      <c r="B30" s="344"/>
      <c r="C30" s="344"/>
      <c r="D30" s="344"/>
      <c r="E30" s="345"/>
      <c r="F30" s="349"/>
      <c r="G30" s="350"/>
      <c r="H30" s="276" t="s">
        <v>338</v>
      </c>
      <c r="I30" s="351">
        <v>175</v>
      </c>
      <c r="J30" s="241">
        <v>219</v>
      </c>
      <c r="K30" s="234" t="s">
        <v>175</v>
      </c>
      <c r="L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 s="205" customFormat="1" ht="18.45" customHeight="1">
      <c r="A31" s="343"/>
      <c r="B31" s="344"/>
      <c r="C31" s="344"/>
      <c r="D31" s="344"/>
      <c r="E31" s="345"/>
      <c r="F31" s="349"/>
      <c r="G31" s="350"/>
      <c r="H31" s="276" t="s">
        <v>339</v>
      </c>
      <c r="I31" s="277"/>
      <c r="J31" s="352">
        <v>1.67</v>
      </c>
      <c r="K31" s="234" t="s">
        <v>175</v>
      </c>
      <c r="L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 s="205" customFormat="1" ht="18.45" customHeight="1">
      <c r="A32" s="353"/>
      <c r="B32" s="354"/>
      <c r="C32" s="354"/>
      <c r="D32" s="354"/>
      <c r="E32" s="355"/>
      <c r="F32" s="349"/>
      <c r="G32" s="356" t="s">
        <v>340</v>
      </c>
      <c r="H32" s="276" t="s">
        <v>341</v>
      </c>
      <c r="I32" s="357"/>
      <c r="J32" s="233">
        <v>94.6</v>
      </c>
      <c r="K32" s="234" t="s">
        <v>175</v>
      </c>
      <c r="L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spans="1:26" s="205" customFormat="1" ht="18.45" customHeight="1">
      <c r="A33" s="341" t="s">
        <v>342</v>
      </c>
      <c r="B33" s="342"/>
      <c r="C33" s="342"/>
      <c r="D33" s="342"/>
      <c r="E33" s="358"/>
      <c r="F33" s="359"/>
      <c r="G33" s="360"/>
      <c r="H33" s="361" t="s">
        <v>343</v>
      </c>
      <c r="I33" s="362"/>
      <c r="J33" s="363">
        <v>80</v>
      </c>
      <c r="K33" s="364" t="s">
        <v>175</v>
      </c>
      <c r="L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spans="1:26" s="205" customFormat="1" ht="18.45" customHeight="1">
      <c r="A34" s="343"/>
      <c r="B34" s="344"/>
      <c r="C34" s="344"/>
      <c r="D34" s="344"/>
      <c r="E34" s="345"/>
      <c r="F34" s="237" t="s">
        <v>344</v>
      </c>
      <c r="G34" s="365"/>
      <c r="H34" s="366" t="s">
        <v>14</v>
      </c>
      <c r="I34" s="367"/>
      <c r="J34" s="368">
        <v>9021</v>
      </c>
      <c r="K34" s="369" t="s">
        <v>175</v>
      </c>
      <c r="L34" s="370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 s="205" customFormat="1" ht="18.45" customHeight="1">
      <c r="A35" s="343"/>
      <c r="B35" s="344"/>
      <c r="C35" s="344"/>
      <c r="D35" s="344"/>
      <c r="E35" s="345"/>
      <c r="F35" s="270"/>
      <c r="G35" s="371"/>
      <c r="H35" s="372" t="s">
        <v>15</v>
      </c>
      <c r="I35" s="373"/>
      <c r="J35" s="241">
        <v>7824</v>
      </c>
      <c r="K35" s="234" t="s">
        <v>175</v>
      </c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 s="205" customFormat="1" ht="18.45" customHeight="1">
      <c r="A36" s="343"/>
      <c r="B36" s="344"/>
      <c r="C36" s="344"/>
      <c r="D36" s="344"/>
      <c r="E36" s="345"/>
      <c r="F36" s="270"/>
      <c r="G36" s="371"/>
      <c r="H36" s="372" t="s">
        <v>345</v>
      </c>
      <c r="I36" s="373"/>
      <c r="J36" s="241">
        <v>7400</v>
      </c>
      <c r="K36" s="234" t="s">
        <v>175</v>
      </c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 s="205" customFormat="1" ht="18.45" customHeight="1">
      <c r="A37" s="343"/>
      <c r="B37" s="344"/>
      <c r="C37" s="344"/>
      <c r="D37" s="344"/>
      <c r="E37" s="345"/>
      <c r="F37" s="349"/>
      <c r="G37" s="371"/>
      <c r="H37" s="372" t="s">
        <v>346</v>
      </c>
      <c r="I37" s="373"/>
      <c r="J37" s="241">
        <v>2500</v>
      </c>
      <c r="K37" s="234" t="s">
        <v>175</v>
      </c>
      <c r="R37" s="201"/>
      <c r="S37" s="201"/>
      <c r="T37" s="201"/>
      <c r="U37" s="201"/>
      <c r="V37" s="201"/>
      <c r="W37" s="201"/>
      <c r="X37" s="201"/>
      <c r="Y37" s="201"/>
      <c r="Z37" s="201"/>
    </row>
    <row r="38" spans="1:26" s="205" customFormat="1" ht="18.45" customHeight="1">
      <c r="A38" s="353"/>
      <c r="B38" s="354"/>
      <c r="C38" s="354"/>
      <c r="D38" s="354"/>
      <c r="E38" s="355"/>
      <c r="F38" s="286"/>
      <c r="G38" s="374"/>
      <c r="H38" s="375" t="s">
        <v>347</v>
      </c>
      <c r="I38" s="376"/>
      <c r="J38" s="377">
        <v>7172</v>
      </c>
      <c r="K38" s="378" t="s">
        <v>175</v>
      </c>
      <c r="R38" s="201"/>
      <c r="S38" s="201"/>
      <c r="T38" s="201"/>
      <c r="U38" s="201"/>
      <c r="V38" s="201"/>
      <c r="W38" s="201"/>
      <c r="X38" s="201"/>
      <c r="Y38" s="201"/>
      <c r="Z38" s="201"/>
    </row>
    <row r="39" spans="1:26" s="205" customFormat="1" ht="18.45" customHeight="1">
      <c r="A39" s="341" t="s">
        <v>348</v>
      </c>
      <c r="B39" s="342"/>
      <c r="C39" s="342"/>
      <c r="D39" s="342"/>
      <c r="E39" s="342"/>
      <c r="F39" s="379" t="s">
        <v>349</v>
      </c>
      <c r="G39" s="380"/>
      <c r="H39" s="380"/>
      <c r="I39" s="380"/>
      <c r="J39" s="380"/>
      <c r="K39" s="381"/>
      <c r="R39" s="201"/>
      <c r="S39" s="201"/>
      <c r="T39" s="201"/>
      <c r="U39" s="201"/>
      <c r="V39" s="201"/>
      <c r="W39" s="201"/>
      <c r="X39" s="201"/>
      <c r="Y39" s="201"/>
      <c r="Z39" s="201"/>
    </row>
    <row r="40" spans="1:26" s="205" customFormat="1" ht="18.45" customHeight="1">
      <c r="A40" s="343"/>
      <c r="B40" s="344"/>
      <c r="C40" s="344"/>
      <c r="D40" s="344"/>
      <c r="E40" s="345"/>
      <c r="F40" s="382" t="s">
        <v>388</v>
      </c>
      <c r="G40" s="383"/>
      <c r="H40" s="383"/>
      <c r="I40" s="383"/>
      <c r="J40" s="383"/>
      <c r="K40" s="384"/>
      <c r="R40" s="201"/>
      <c r="S40" s="201"/>
      <c r="T40" s="201"/>
      <c r="U40" s="201"/>
      <c r="V40" s="201"/>
      <c r="W40" s="201"/>
      <c r="X40" s="201"/>
      <c r="Y40" s="201"/>
      <c r="Z40" s="201"/>
    </row>
    <row r="41" spans="1:26" s="205" customFormat="1" ht="18.45" customHeight="1">
      <c r="A41" s="343"/>
      <c r="B41" s="344"/>
      <c r="C41" s="344"/>
      <c r="D41" s="344"/>
      <c r="E41" s="345"/>
      <c r="F41" s="382"/>
      <c r="G41" s="385" t="s">
        <v>389</v>
      </c>
      <c r="H41" s="385"/>
      <c r="I41" s="385"/>
      <c r="J41" s="385"/>
      <c r="K41" s="386"/>
      <c r="L41" s="387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 s="205" customFormat="1" ht="18.45" customHeight="1">
      <c r="A42" s="343"/>
      <c r="B42" s="344"/>
      <c r="C42" s="344"/>
      <c r="D42" s="344"/>
      <c r="E42" s="345"/>
      <c r="F42" s="382"/>
      <c r="G42" s="385"/>
      <c r="H42" s="385"/>
      <c r="I42" s="385"/>
      <c r="J42" s="385"/>
      <c r="K42" s="386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 s="205" customFormat="1" ht="18.45" customHeight="1">
      <c r="A43" s="343"/>
      <c r="B43" s="344"/>
      <c r="C43" s="344"/>
      <c r="D43" s="344"/>
      <c r="E43" s="345"/>
      <c r="F43" s="382"/>
      <c r="G43" s="385"/>
      <c r="H43" s="385"/>
      <c r="I43" s="385"/>
      <c r="J43" s="385"/>
      <c r="K43" s="386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spans="1:26" s="205" customFormat="1" ht="17.100000000000001" customHeight="1" thickBot="1">
      <c r="A44" s="388"/>
      <c r="B44" s="389"/>
      <c r="C44" s="389"/>
      <c r="D44" s="389"/>
      <c r="E44" s="390"/>
      <c r="F44" s="382"/>
      <c r="G44" s="385"/>
      <c r="H44" s="385"/>
      <c r="I44" s="385"/>
      <c r="J44" s="385"/>
      <c r="K44" s="386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 s="205" customFormat="1" ht="17.100000000000001" customHeight="1">
      <c r="A45" s="391" t="s">
        <v>350</v>
      </c>
      <c r="B45" s="468" t="s">
        <v>391</v>
      </c>
      <c r="C45" s="469"/>
      <c r="D45" s="470" t="s">
        <v>351</v>
      </c>
      <c r="E45" s="471" t="s">
        <v>392</v>
      </c>
      <c r="F45" s="392"/>
      <c r="G45" s="385"/>
      <c r="H45" s="385"/>
      <c r="I45" s="385"/>
      <c r="J45" s="385"/>
      <c r="K45" s="386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 s="205" customFormat="1" ht="17.100000000000001" customHeight="1" thickBot="1">
      <c r="A46" s="393" t="s">
        <v>352</v>
      </c>
      <c r="B46" s="472">
        <v>37587</v>
      </c>
      <c r="C46" s="473"/>
      <c r="D46" s="474" t="s">
        <v>352</v>
      </c>
      <c r="E46" s="475">
        <v>37585</v>
      </c>
      <c r="F46" s="394"/>
      <c r="G46" s="395" t="s">
        <v>390</v>
      </c>
      <c r="H46" s="395"/>
      <c r="I46" s="395"/>
      <c r="J46" s="395"/>
      <c r="K46" s="396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 s="205" customFormat="1" ht="17.100000000000001" customHeight="1">
      <c r="F47" s="397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</row>
    <row r="48" spans="1:26" s="205" customFormat="1" ht="17.100000000000001" customHeight="1">
      <c r="F48" s="201"/>
      <c r="G48" s="201"/>
      <c r="H48" s="201"/>
      <c r="I48" s="201"/>
      <c r="J48" s="201"/>
      <c r="K48" s="201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F50" s="189"/>
      <c r="G50" s="189"/>
      <c r="H50" s="189"/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F51" s="189"/>
      <c r="G51" s="189"/>
      <c r="H51" s="189"/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F53" s="189"/>
      <c r="G53" s="189"/>
      <c r="H53" s="189"/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E45" sqref="E45"/>
    </sheetView>
  </sheetViews>
  <sheetFormatPr defaultColWidth="8.6640625" defaultRowHeight="13.2"/>
  <cols>
    <col min="1" max="1" width="8.6640625" style="404" customWidth="1"/>
    <col min="2" max="2" width="17.21875" style="404" customWidth="1"/>
    <col min="3" max="3" width="20.5546875" style="404" customWidth="1"/>
    <col min="4" max="4" width="20.21875" style="404" bestFit="1" customWidth="1"/>
    <col min="5" max="5" width="6.5546875" style="404" bestFit="1" customWidth="1"/>
    <col min="6" max="6" width="28.33203125" style="404" customWidth="1"/>
    <col min="7" max="7" width="41.5546875" style="404" customWidth="1"/>
    <col min="8" max="8" width="16.33203125" style="404" customWidth="1"/>
    <col min="9" max="9" width="7.44140625" style="404" customWidth="1"/>
    <col min="10" max="10" width="2.21875" style="404" bestFit="1" customWidth="1"/>
    <col min="11" max="12" width="2.21875" style="404" customWidth="1"/>
    <col min="13" max="13" width="2.44140625" style="404" bestFit="1" customWidth="1"/>
    <col min="14" max="14" width="2.21875" style="404" bestFit="1" customWidth="1"/>
    <col min="15" max="16384" width="8.6640625" style="404"/>
  </cols>
  <sheetData>
    <row r="1" spans="2:14" ht="12.75" customHeight="1">
      <c r="B1" s="399"/>
      <c r="C1" s="400"/>
      <c r="D1" s="400"/>
      <c r="E1" s="400"/>
      <c r="F1" s="400"/>
      <c r="G1" s="400"/>
      <c r="H1" s="401"/>
      <c r="I1" s="402"/>
      <c r="J1" s="403" t="s">
        <v>353</v>
      </c>
      <c r="K1" s="403" t="s">
        <v>354</v>
      </c>
      <c r="L1" s="403" t="s">
        <v>355</v>
      </c>
      <c r="M1" s="403" t="s">
        <v>354</v>
      </c>
      <c r="N1" s="403"/>
    </row>
    <row r="2" spans="2:14" ht="12.75" customHeight="1">
      <c r="B2" s="405" t="s">
        <v>356</v>
      </c>
      <c r="C2" s="406"/>
      <c r="D2" s="406"/>
      <c r="E2" s="406"/>
      <c r="F2" s="406"/>
      <c r="G2" s="406"/>
      <c r="H2" s="407"/>
      <c r="I2" s="408"/>
      <c r="J2" s="409" t="s">
        <v>357</v>
      </c>
      <c r="K2" s="409" t="s">
        <v>358</v>
      </c>
      <c r="L2" s="409" t="s">
        <v>359</v>
      </c>
      <c r="M2" s="409" t="s">
        <v>360</v>
      </c>
      <c r="N2" s="409" t="s">
        <v>361</v>
      </c>
    </row>
    <row r="3" spans="2:14" ht="12.75" customHeight="1">
      <c r="B3" s="405"/>
      <c r="C3" s="406"/>
      <c r="D3" s="406"/>
      <c r="E3" s="406"/>
      <c r="F3" s="406"/>
      <c r="G3" s="406"/>
      <c r="H3" s="407"/>
      <c r="I3" s="408"/>
      <c r="J3" s="409" t="s">
        <v>362</v>
      </c>
      <c r="K3" s="409"/>
      <c r="L3" s="409" t="s">
        <v>363</v>
      </c>
      <c r="M3" s="409" t="s">
        <v>353</v>
      </c>
      <c r="N3" s="409"/>
    </row>
    <row r="4" spans="2:14" ht="12.75" customHeight="1">
      <c r="B4" s="405"/>
      <c r="C4" s="406"/>
      <c r="D4" s="406"/>
      <c r="E4" s="406"/>
      <c r="F4" s="406"/>
      <c r="G4" s="406"/>
      <c r="H4" s="407"/>
      <c r="I4" s="408"/>
      <c r="J4" s="409" t="s">
        <v>364</v>
      </c>
      <c r="K4" s="409"/>
      <c r="L4" s="409" t="s">
        <v>359</v>
      </c>
      <c r="M4" s="409" t="s">
        <v>357</v>
      </c>
      <c r="N4" s="409"/>
    </row>
    <row r="5" spans="2:14" ht="12.75" customHeight="1">
      <c r="B5" s="410"/>
      <c r="C5" s="411"/>
      <c r="D5" s="411"/>
      <c r="E5" s="411"/>
      <c r="F5" s="411"/>
      <c r="G5" s="411"/>
      <c r="H5" s="407"/>
      <c r="I5" s="408"/>
      <c r="J5" s="409"/>
      <c r="K5" s="409" t="s">
        <v>365</v>
      </c>
      <c r="L5" s="409" t="s">
        <v>354</v>
      </c>
      <c r="M5" s="409"/>
      <c r="N5" s="409" t="s">
        <v>359</v>
      </c>
    </row>
    <row r="6" spans="2:14" ht="12" customHeight="1">
      <c r="B6" s="412"/>
      <c r="C6" s="413"/>
      <c r="D6" s="413"/>
      <c r="F6" s="413"/>
      <c r="H6" s="414"/>
      <c r="I6" s="408"/>
      <c r="J6" s="409" t="s">
        <v>358</v>
      </c>
      <c r="K6" s="409" t="s">
        <v>366</v>
      </c>
      <c r="L6" s="409"/>
      <c r="M6" s="409" t="s">
        <v>354</v>
      </c>
      <c r="N6" s="409" t="s">
        <v>367</v>
      </c>
    </row>
    <row r="7" spans="2:14" ht="12.75" customHeight="1">
      <c r="B7" s="412"/>
      <c r="D7" s="415"/>
      <c r="H7" s="414"/>
      <c r="I7" s="408"/>
      <c r="J7" s="409" t="s">
        <v>184</v>
      </c>
      <c r="K7" s="409" t="s">
        <v>362</v>
      </c>
      <c r="L7" s="409" t="s">
        <v>362</v>
      </c>
      <c r="M7" s="409" t="s">
        <v>357</v>
      </c>
      <c r="N7" s="409" t="s">
        <v>368</v>
      </c>
    </row>
    <row r="8" spans="2:14" ht="12.75" customHeight="1">
      <c r="B8" s="412"/>
      <c r="G8" s="415"/>
      <c r="H8" s="416"/>
      <c r="I8" s="409" t="s">
        <v>368</v>
      </c>
      <c r="J8" s="409" t="s">
        <v>354</v>
      </c>
      <c r="K8" s="409" t="s">
        <v>369</v>
      </c>
      <c r="L8" s="409" t="s">
        <v>357</v>
      </c>
      <c r="M8" s="409" t="s">
        <v>368</v>
      </c>
      <c r="N8" s="409" t="s">
        <v>366</v>
      </c>
    </row>
    <row r="9" spans="2:14">
      <c r="B9" s="409" t="s">
        <v>370</v>
      </c>
      <c r="C9" s="416" t="s">
        <v>371</v>
      </c>
      <c r="D9" s="416" t="s">
        <v>372</v>
      </c>
      <c r="E9" s="416" t="s">
        <v>373</v>
      </c>
      <c r="F9" s="409" t="s">
        <v>374</v>
      </c>
      <c r="G9" s="409" t="s">
        <v>375</v>
      </c>
      <c r="H9" s="409" t="s">
        <v>376</v>
      </c>
      <c r="I9" s="409" t="s">
        <v>364</v>
      </c>
      <c r="J9" s="409" t="s">
        <v>184</v>
      </c>
      <c r="K9" s="409" t="s">
        <v>357</v>
      </c>
      <c r="L9" s="409" t="s">
        <v>369</v>
      </c>
      <c r="M9" s="409" t="s">
        <v>354</v>
      </c>
      <c r="N9" s="409" t="s">
        <v>355</v>
      </c>
    </row>
    <row r="10" spans="2:14" ht="15" customHeight="1">
      <c r="B10" s="417"/>
      <c r="C10" s="418"/>
      <c r="D10" s="418"/>
      <c r="E10" s="418"/>
      <c r="F10" s="419"/>
      <c r="G10" s="420"/>
      <c r="H10" s="420"/>
      <c r="I10" s="421"/>
      <c r="J10" s="422"/>
      <c r="K10" s="422"/>
      <c r="L10" s="422"/>
      <c r="M10" s="422"/>
      <c r="N10" s="423"/>
    </row>
    <row r="11" spans="2:14" ht="15" customHeight="1">
      <c r="B11" s="417"/>
      <c r="C11" s="419"/>
      <c r="D11" s="419"/>
      <c r="E11" s="419"/>
      <c r="F11" s="419"/>
      <c r="G11" s="419"/>
      <c r="H11" s="419"/>
      <c r="I11" s="424"/>
      <c r="J11" s="422"/>
      <c r="K11" s="422"/>
      <c r="L11" s="422"/>
      <c r="M11" s="422"/>
      <c r="N11" s="423"/>
    </row>
    <row r="12" spans="2:14" ht="15" customHeight="1">
      <c r="B12" s="417"/>
      <c r="C12" s="419"/>
      <c r="D12" s="419"/>
      <c r="E12" s="419"/>
      <c r="F12" s="419"/>
      <c r="G12" s="419"/>
      <c r="H12" s="419"/>
      <c r="I12" s="424"/>
      <c r="J12" s="425"/>
      <c r="K12" s="422"/>
      <c r="L12" s="422"/>
      <c r="M12" s="422"/>
      <c r="N12" s="423"/>
    </row>
    <row r="13" spans="2:14" ht="15" customHeight="1">
      <c r="B13" s="417"/>
      <c r="C13" s="419"/>
      <c r="D13" s="419"/>
      <c r="E13" s="419"/>
      <c r="F13" s="419"/>
      <c r="G13" s="419"/>
      <c r="H13" s="419"/>
      <c r="I13" s="424"/>
      <c r="J13" s="422"/>
      <c r="K13" s="422"/>
      <c r="L13" s="422"/>
      <c r="M13" s="422"/>
      <c r="N13" s="423"/>
    </row>
    <row r="14" spans="2:14" ht="15" customHeight="1">
      <c r="B14" s="417"/>
      <c r="C14" s="419"/>
      <c r="D14" s="419"/>
      <c r="E14" s="419"/>
      <c r="F14" s="419"/>
      <c r="G14" s="419"/>
      <c r="H14" s="419"/>
      <c r="I14" s="424"/>
      <c r="J14" s="422"/>
      <c r="K14" s="422"/>
      <c r="L14" s="422"/>
      <c r="M14" s="422"/>
      <c r="N14" s="423"/>
    </row>
    <row r="15" spans="2:14" ht="15" customHeight="1">
      <c r="B15" s="417"/>
      <c r="C15" s="419"/>
      <c r="D15" s="419"/>
      <c r="E15" s="419"/>
      <c r="F15" s="419"/>
      <c r="G15" s="419"/>
      <c r="H15" s="419"/>
      <c r="I15" s="424"/>
      <c r="J15" s="422"/>
      <c r="K15" s="422"/>
      <c r="L15" s="422"/>
      <c r="M15" s="422"/>
      <c r="N15" s="423"/>
    </row>
    <row r="16" spans="2:14" ht="15" customHeight="1">
      <c r="B16" s="417"/>
      <c r="C16" s="419"/>
      <c r="D16" s="419"/>
      <c r="E16" s="419"/>
      <c r="F16" s="419"/>
      <c r="G16" s="419"/>
      <c r="H16" s="419"/>
      <c r="I16" s="424"/>
      <c r="J16" s="422"/>
      <c r="K16" s="422"/>
      <c r="L16" s="422"/>
      <c r="M16" s="422"/>
      <c r="N16" s="423"/>
    </row>
    <row r="17" spans="2:14" ht="15" customHeight="1">
      <c r="B17" s="417"/>
      <c r="C17" s="419"/>
      <c r="D17" s="419"/>
      <c r="E17" s="419"/>
      <c r="F17" s="419"/>
      <c r="G17" s="419"/>
      <c r="H17" s="419"/>
      <c r="I17" s="424"/>
      <c r="J17" s="422"/>
      <c r="K17" s="422"/>
      <c r="L17" s="422"/>
      <c r="M17" s="422"/>
      <c r="N17" s="423"/>
    </row>
    <row r="18" spans="2:14" ht="15" customHeight="1">
      <c r="B18" s="417"/>
      <c r="C18" s="419"/>
      <c r="D18" s="419"/>
      <c r="E18" s="419"/>
      <c r="F18" s="419"/>
      <c r="G18" s="419"/>
      <c r="H18" s="419"/>
      <c r="I18" s="424"/>
      <c r="J18" s="422"/>
      <c r="K18" s="422"/>
      <c r="L18" s="422"/>
      <c r="M18" s="422"/>
      <c r="N18" s="423"/>
    </row>
    <row r="19" spans="2:14" ht="15" customHeight="1">
      <c r="B19" s="417"/>
      <c r="C19" s="419"/>
      <c r="D19" s="419"/>
      <c r="E19" s="419"/>
      <c r="F19" s="419"/>
      <c r="G19" s="419"/>
      <c r="H19" s="419"/>
      <c r="I19" s="424"/>
      <c r="J19" s="422"/>
      <c r="K19" s="422"/>
      <c r="L19" s="422"/>
      <c r="M19" s="422"/>
      <c r="N19" s="423"/>
    </row>
    <row r="20" spans="2:14" ht="15" customHeight="1">
      <c r="B20" s="417"/>
      <c r="C20" s="419"/>
      <c r="D20" s="419"/>
      <c r="E20" s="419"/>
      <c r="F20" s="419"/>
      <c r="G20" s="419"/>
      <c r="H20" s="419"/>
      <c r="I20" s="424"/>
      <c r="J20" s="422"/>
      <c r="K20" s="422"/>
      <c r="L20" s="422"/>
      <c r="M20" s="422"/>
      <c r="N20" s="423"/>
    </row>
    <row r="21" spans="2:14" ht="15" customHeight="1">
      <c r="B21" s="417"/>
      <c r="C21" s="419"/>
      <c r="D21" s="419"/>
      <c r="E21" s="419"/>
      <c r="F21" s="419"/>
      <c r="G21" s="419"/>
      <c r="H21" s="419"/>
      <c r="I21" s="424"/>
      <c r="J21" s="422"/>
      <c r="K21" s="422"/>
      <c r="L21" s="422"/>
      <c r="M21" s="422"/>
      <c r="N21" s="423"/>
    </row>
    <row r="22" spans="2:14" ht="15" customHeight="1">
      <c r="B22" s="417"/>
      <c r="C22" s="419"/>
      <c r="D22" s="419"/>
      <c r="E22" s="419"/>
      <c r="F22" s="419"/>
      <c r="G22" s="419"/>
      <c r="H22" s="419"/>
      <c r="I22" s="424"/>
      <c r="J22" s="422"/>
      <c r="K22" s="422"/>
      <c r="L22" s="422"/>
      <c r="M22" s="422"/>
      <c r="N22" s="423"/>
    </row>
    <row r="23" spans="2:14" ht="15" customHeight="1">
      <c r="B23" s="417"/>
      <c r="C23" s="419"/>
      <c r="D23" s="419"/>
      <c r="E23" s="419"/>
      <c r="F23" s="419"/>
      <c r="G23" s="419"/>
      <c r="H23" s="419"/>
      <c r="I23" s="424"/>
      <c r="J23" s="422"/>
      <c r="K23" s="422"/>
      <c r="L23" s="422"/>
      <c r="M23" s="422"/>
      <c r="N23" s="423"/>
    </row>
    <row r="24" spans="2:14" ht="15" customHeight="1">
      <c r="B24" s="417"/>
      <c r="C24" s="419"/>
      <c r="D24" s="419"/>
      <c r="E24" s="419"/>
      <c r="F24" s="419"/>
      <c r="G24" s="419"/>
      <c r="H24" s="419"/>
      <c r="I24" s="424"/>
      <c r="J24" s="422"/>
      <c r="K24" s="422"/>
      <c r="L24" s="422"/>
      <c r="M24" s="422"/>
      <c r="N24" s="423"/>
    </row>
    <row r="25" spans="2:14" ht="15" customHeight="1">
      <c r="B25" s="417"/>
      <c r="C25" s="419"/>
      <c r="D25" s="419"/>
      <c r="E25" s="419"/>
      <c r="F25" s="419"/>
      <c r="G25" s="419"/>
      <c r="H25" s="419"/>
      <c r="I25" s="424"/>
      <c r="J25" s="422"/>
      <c r="K25" s="422"/>
      <c r="L25" s="422"/>
      <c r="M25" s="422"/>
      <c r="N25" s="423"/>
    </row>
    <row r="26" spans="2:14" ht="15" customHeight="1">
      <c r="B26" s="417"/>
      <c r="C26" s="419"/>
      <c r="D26" s="419"/>
      <c r="E26" s="419"/>
      <c r="F26" s="419"/>
      <c r="G26" s="419"/>
      <c r="H26" s="419"/>
      <c r="I26" s="424"/>
      <c r="J26" s="422"/>
      <c r="K26" s="422"/>
      <c r="L26" s="422"/>
      <c r="M26" s="422"/>
      <c r="N26" s="423"/>
    </row>
    <row r="27" spans="2:14" ht="15" customHeight="1">
      <c r="B27" s="417"/>
      <c r="C27" s="419"/>
      <c r="D27" s="419"/>
      <c r="E27" s="419"/>
      <c r="F27" s="419"/>
      <c r="G27" s="419"/>
      <c r="H27" s="419"/>
      <c r="I27" s="424"/>
      <c r="J27" s="422"/>
      <c r="K27" s="422"/>
      <c r="L27" s="422"/>
      <c r="M27" s="422"/>
      <c r="N27" s="423"/>
    </row>
    <row r="28" spans="2:14" ht="15" customHeight="1">
      <c r="B28" s="417"/>
      <c r="C28" s="419"/>
      <c r="D28" s="419"/>
      <c r="E28" s="419"/>
      <c r="F28" s="419"/>
      <c r="G28" s="419"/>
      <c r="H28" s="419"/>
      <c r="I28" s="424"/>
      <c r="J28" s="422"/>
      <c r="K28" s="422"/>
      <c r="L28" s="422"/>
      <c r="M28" s="422"/>
      <c r="N28" s="423"/>
    </row>
    <row r="29" spans="2:14" ht="15" customHeight="1">
      <c r="B29" s="417"/>
      <c r="C29" s="419"/>
      <c r="D29" s="419"/>
      <c r="E29" s="419"/>
      <c r="F29" s="419"/>
      <c r="G29" s="419"/>
      <c r="H29" s="419"/>
      <c r="I29" s="424"/>
      <c r="J29" s="422"/>
      <c r="K29" s="422"/>
      <c r="L29" s="422"/>
      <c r="M29" s="422"/>
      <c r="N29" s="423"/>
    </row>
    <row r="30" spans="2:14" ht="15" customHeight="1">
      <c r="B30" s="417"/>
      <c r="C30" s="419"/>
      <c r="D30" s="419"/>
      <c r="E30" s="419"/>
      <c r="F30" s="419"/>
      <c r="G30" s="419"/>
      <c r="H30" s="419"/>
      <c r="I30" s="424"/>
      <c r="J30" s="422"/>
      <c r="K30" s="422"/>
      <c r="L30" s="422"/>
      <c r="M30" s="422"/>
      <c r="N30" s="423"/>
    </row>
    <row r="31" spans="2:14" ht="15" customHeight="1">
      <c r="B31" s="417"/>
      <c r="C31" s="419"/>
      <c r="D31" s="419"/>
      <c r="E31" s="419"/>
      <c r="F31" s="419"/>
      <c r="G31" s="419"/>
      <c r="H31" s="419"/>
      <c r="I31" s="424"/>
      <c r="J31" s="422"/>
      <c r="K31" s="422"/>
      <c r="L31" s="422"/>
      <c r="M31" s="422"/>
      <c r="N31" s="423"/>
    </row>
    <row r="32" spans="2:14" ht="15" customHeight="1">
      <c r="B32" s="417"/>
      <c r="C32" s="419"/>
      <c r="D32" s="419"/>
      <c r="E32" s="419"/>
      <c r="F32" s="419"/>
      <c r="G32" s="419"/>
      <c r="H32" s="419"/>
      <c r="I32" s="424"/>
      <c r="J32" s="422"/>
      <c r="K32" s="422"/>
      <c r="L32" s="422"/>
      <c r="M32" s="422"/>
      <c r="N32" s="423"/>
    </row>
    <row r="33" spans="2:14" ht="15" customHeight="1">
      <c r="B33" s="417"/>
      <c r="C33" s="419"/>
      <c r="D33" s="419"/>
      <c r="E33" s="419"/>
      <c r="F33" s="419"/>
      <c r="G33" s="419"/>
      <c r="H33" s="419"/>
      <c r="I33" s="424"/>
      <c r="J33" s="422"/>
      <c r="K33" s="422"/>
      <c r="L33" s="422"/>
      <c r="M33" s="422"/>
      <c r="N33" s="423"/>
    </row>
    <row r="34" spans="2:14" ht="15" customHeight="1">
      <c r="B34" s="417"/>
      <c r="C34" s="419"/>
      <c r="D34" s="419"/>
      <c r="E34" s="419"/>
      <c r="F34" s="419"/>
      <c r="G34" s="419"/>
      <c r="H34" s="419"/>
      <c r="I34" s="424"/>
      <c r="J34" s="422"/>
      <c r="K34" s="422"/>
      <c r="L34" s="422"/>
      <c r="M34" s="422"/>
      <c r="N34" s="423"/>
    </row>
    <row r="35" spans="2:14" ht="15" customHeight="1">
      <c r="B35" s="417"/>
      <c r="C35" s="419"/>
      <c r="D35" s="419"/>
      <c r="E35" s="419"/>
      <c r="F35" s="419"/>
      <c r="G35" s="419"/>
      <c r="H35" s="419"/>
      <c r="I35" s="424"/>
      <c r="J35" s="422"/>
      <c r="K35" s="422"/>
      <c r="L35" s="422"/>
      <c r="M35" s="422"/>
      <c r="N35" s="423"/>
    </row>
    <row r="36" spans="2:14" ht="15" customHeight="1">
      <c r="B36" s="417"/>
      <c r="C36" s="419"/>
      <c r="D36" s="419"/>
      <c r="E36" s="419"/>
      <c r="F36" s="419"/>
      <c r="G36" s="419"/>
      <c r="H36" s="419"/>
      <c r="I36" s="424"/>
      <c r="J36" s="422"/>
      <c r="K36" s="422"/>
      <c r="L36" s="422"/>
      <c r="M36" s="422"/>
      <c r="N36" s="423"/>
    </row>
    <row r="37" spans="2:14" ht="15" customHeight="1">
      <c r="B37" s="417"/>
      <c r="C37" s="419"/>
      <c r="D37" s="419"/>
      <c r="E37" s="419"/>
      <c r="F37" s="419"/>
      <c r="G37" s="419"/>
      <c r="H37" s="419"/>
      <c r="I37" s="424"/>
      <c r="J37" s="422"/>
      <c r="K37" s="422"/>
      <c r="L37" s="422"/>
      <c r="M37" s="422"/>
      <c r="N37" s="423"/>
    </row>
    <row r="38" spans="2:14" ht="15" customHeight="1">
      <c r="B38" s="417"/>
      <c r="C38" s="419"/>
      <c r="D38" s="419"/>
      <c r="E38" s="419"/>
      <c r="F38" s="419"/>
      <c r="G38" s="419"/>
      <c r="H38" s="419"/>
      <c r="I38" s="424"/>
      <c r="J38" s="422"/>
      <c r="K38" s="422"/>
      <c r="L38" s="422"/>
      <c r="M38" s="422"/>
      <c r="N38" s="423"/>
    </row>
    <row r="39" spans="2:14" ht="15" customHeight="1">
      <c r="B39" s="417"/>
      <c r="C39" s="419"/>
      <c r="D39" s="419"/>
      <c r="E39" s="419"/>
      <c r="F39" s="419"/>
      <c r="G39" s="419"/>
      <c r="H39" s="419"/>
      <c r="I39" s="424"/>
      <c r="J39" s="422"/>
      <c r="K39" s="422"/>
      <c r="L39" s="422"/>
      <c r="M39" s="422"/>
      <c r="N39" s="423"/>
    </row>
    <row r="40" spans="2:14" ht="15" customHeight="1">
      <c r="B40" s="417"/>
      <c r="C40" s="419"/>
      <c r="D40" s="419"/>
      <c r="E40" s="419"/>
      <c r="F40" s="419"/>
      <c r="G40" s="419"/>
      <c r="H40" s="419"/>
      <c r="I40" s="424"/>
      <c r="J40" s="422"/>
      <c r="K40" s="422"/>
      <c r="L40" s="422"/>
      <c r="M40" s="422"/>
      <c r="N40" s="423"/>
    </row>
    <row r="41" spans="2:14" ht="15" customHeight="1">
      <c r="B41" s="417"/>
      <c r="C41" s="419"/>
      <c r="D41" s="419"/>
      <c r="E41" s="419"/>
      <c r="F41" s="419"/>
      <c r="G41" s="419"/>
      <c r="H41" s="419"/>
      <c r="I41" s="424"/>
      <c r="J41" s="422"/>
      <c r="K41" s="422"/>
      <c r="L41" s="422"/>
      <c r="M41" s="422"/>
      <c r="N41" s="423"/>
    </row>
    <row r="42" spans="2:14" ht="15" customHeight="1">
      <c r="B42" s="417"/>
      <c r="C42" s="419"/>
      <c r="D42" s="419"/>
      <c r="E42" s="419"/>
      <c r="F42" s="419"/>
      <c r="G42" s="419"/>
      <c r="H42" s="419"/>
      <c r="I42" s="424"/>
      <c r="J42" s="422"/>
      <c r="K42" s="422"/>
      <c r="L42" s="422"/>
      <c r="M42" s="422"/>
      <c r="N42" s="423"/>
    </row>
    <row r="43" spans="2:14" ht="15" customHeight="1">
      <c r="B43" s="417"/>
      <c r="C43" s="419"/>
      <c r="D43" s="419"/>
      <c r="E43" s="419"/>
      <c r="F43" s="419"/>
      <c r="G43" s="419"/>
      <c r="H43" s="419"/>
      <c r="I43" s="424"/>
      <c r="J43" s="422"/>
      <c r="K43" s="422"/>
      <c r="L43" s="422"/>
      <c r="M43" s="422"/>
      <c r="N43" s="423"/>
    </row>
    <row r="44" spans="2:14" ht="15" customHeight="1">
      <c r="B44" s="417"/>
      <c r="C44" s="419"/>
      <c r="D44" s="419"/>
      <c r="E44" s="419"/>
      <c r="F44" s="419"/>
      <c r="G44" s="419"/>
      <c r="H44" s="419"/>
      <c r="I44" s="424"/>
      <c r="J44" s="422"/>
      <c r="K44" s="422"/>
      <c r="L44" s="422"/>
      <c r="M44" s="422"/>
      <c r="N44" s="423"/>
    </row>
    <row r="45" spans="2:14" ht="15" customHeight="1">
      <c r="B45" s="417"/>
      <c r="C45" s="419"/>
      <c r="D45" s="419"/>
      <c r="E45" s="419"/>
      <c r="F45" s="419"/>
      <c r="G45" s="419"/>
      <c r="H45" s="419"/>
      <c r="I45" s="424"/>
      <c r="J45" s="422"/>
      <c r="K45" s="422"/>
      <c r="L45" s="422"/>
      <c r="M45" s="422"/>
      <c r="N45" s="423"/>
    </row>
    <row r="46" spans="2:14" ht="15" customHeight="1">
      <c r="B46" s="417"/>
      <c r="C46" s="419"/>
      <c r="D46" s="419"/>
      <c r="E46" s="419"/>
      <c r="F46" s="419"/>
      <c r="G46" s="419"/>
      <c r="H46" s="419"/>
      <c r="I46" s="424"/>
      <c r="J46" s="422"/>
      <c r="K46" s="422"/>
      <c r="L46" s="422"/>
      <c r="M46" s="422"/>
      <c r="N46" s="423"/>
    </row>
    <row r="47" spans="2:14" ht="15" customHeight="1">
      <c r="B47" s="417"/>
      <c r="C47" s="419"/>
      <c r="D47" s="419"/>
      <c r="E47" s="419"/>
      <c r="F47" s="419"/>
      <c r="G47" s="419"/>
      <c r="H47" s="419"/>
      <c r="I47" s="424"/>
      <c r="J47" s="422"/>
      <c r="K47" s="422"/>
      <c r="L47" s="422"/>
      <c r="M47" s="422"/>
      <c r="N47" s="423"/>
    </row>
    <row r="48" spans="2:14" ht="15" customHeight="1">
      <c r="B48" s="417"/>
      <c r="C48" s="419"/>
      <c r="D48" s="419"/>
      <c r="E48" s="419"/>
      <c r="F48" s="419"/>
      <c r="G48" s="419"/>
      <c r="H48" s="419"/>
      <c r="I48" s="424"/>
      <c r="J48" s="422"/>
      <c r="K48" s="422"/>
      <c r="L48" s="422"/>
      <c r="M48" s="422"/>
      <c r="N48" s="423"/>
    </row>
    <row r="49" spans="2:14" ht="15" customHeight="1">
      <c r="B49" s="417"/>
      <c r="C49" s="419"/>
      <c r="D49" s="419"/>
      <c r="E49" s="419"/>
      <c r="F49" s="419"/>
      <c r="G49" s="419"/>
      <c r="H49" s="419"/>
      <c r="I49" s="424"/>
      <c r="J49" s="422"/>
      <c r="K49" s="422"/>
      <c r="L49" s="422"/>
      <c r="M49" s="422"/>
      <c r="N49" s="423"/>
    </row>
    <row r="50" spans="2:14" ht="15" customHeight="1">
      <c r="B50" s="417"/>
      <c r="C50" s="419"/>
      <c r="D50" s="419"/>
      <c r="E50" s="419"/>
      <c r="F50" s="419"/>
      <c r="G50" s="419"/>
      <c r="H50" s="419"/>
      <c r="I50" s="424"/>
      <c r="J50" s="422"/>
      <c r="K50" s="422"/>
      <c r="L50" s="422"/>
      <c r="M50" s="422"/>
      <c r="N50" s="423"/>
    </row>
    <row r="51" spans="2:14" ht="15" customHeight="1">
      <c r="B51" s="417"/>
      <c r="C51" s="419"/>
      <c r="D51" s="419"/>
      <c r="E51" s="419"/>
      <c r="F51" s="419"/>
      <c r="G51" s="419"/>
      <c r="H51" s="419"/>
      <c r="I51" s="424"/>
      <c r="J51" s="422"/>
      <c r="K51" s="422"/>
      <c r="L51" s="422"/>
      <c r="M51" s="422"/>
      <c r="N51" s="423"/>
    </row>
    <row r="52" spans="2:14" ht="15" customHeight="1" thickBot="1">
      <c r="B52" s="426"/>
      <c r="C52" s="427"/>
      <c r="D52" s="427"/>
      <c r="E52" s="427"/>
      <c r="F52" s="427"/>
      <c r="G52" s="427"/>
      <c r="H52" s="427"/>
      <c r="I52" s="428"/>
      <c r="J52" s="429"/>
      <c r="K52" s="429"/>
      <c r="L52" s="429"/>
      <c r="M52" s="429"/>
      <c r="N52" s="430"/>
    </row>
    <row r="53" spans="2:14" ht="20.25" customHeight="1" thickBot="1">
      <c r="B53" s="431" t="s">
        <v>377</v>
      </c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</row>
    <row r="54" spans="2:14" ht="15" customHeight="1" thickBot="1">
      <c r="B54" s="432" t="s">
        <v>378</v>
      </c>
      <c r="C54" s="433" t="s">
        <v>375</v>
      </c>
      <c r="D54" s="434"/>
      <c r="E54" s="434"/>
      <c r="F54" s="434"/>
      <c r="G54" s="434"/>
      <c r="H54" s="435"/>
      <c r="I54" s="433" t="s">
        <v>370</v>
      </c>
      <c r="J54" s="434"/>
      <c r="K54" s="436"/>
      <c r="L54" s="433" t="s">
        <v>379</v>
      </c>
      <c r="M54" s="434"/>
      <c r="N54" s="437"/>
    </row>
    <row r="55" spans="2:14" ht="15" customHeight="1">
      <c r="B55" s="438"/>
      <c r="C55" s="439"/>
      <c r="D55" s="440"/>
      <c r="E55" s="440"/>
      <c r="F55" s="440"/>
      <c r="G55" s="440"/>
      <c r="H55" s="441"/>
      <c r="I55" s="442"/>
      <c r="J55" s="443"/>
      <c r="K55" s="444"/>
      <c r="L55" s="445"/>
      <c r="M55" s="446"/>
      <c r="N55" s="447"/>
    </row>
    <row r="56" spans="2:14" ht="15" customHeight="1">
      <c r="B56" s="448"/>
      <c r="C56" s="449"/>
      <c r="D56" s="450"/>
      <c r="E56" s="450"/>
      <c r="F56" s="450"/>
      <c r="G56" s="450"/>
      <c r="H56" s="451"/>
      <c r="I56" s="452"/>
      <c r="J56" s="453"/>
      <c r="K56" s="454"/>
      <c r="L56" s="455"/>
      <c r="M56" s="456"/>
      <c r="N56" s="457"/>
    </row>
    <row r="57" spans="2:14" ht="15" customHeight="1">
      <c r="B57" s="448"/>
      <c r="C57" s="449"/>
      <c r="D57" s="450"/>
      <c r="E57" s="450"/>
      <c r="F57" s="450"/>
      <c r="G57" s="450"/>
      <c r="H57" s="451"/>
      <c r="I57" s="452"/>
      <c r="J57" s="453"/>
      <c r="K57" s="454"/>
      <c r="L57" s="455"/>
      <c r="M57" s="456"/>
      <c r="N57" s="457"/>
    </row>
    <row r="58" spans="2:14" ht="15" customHeight="1">
      <c r="B58" s="448"/>
      <c r="C58" s="449"/>
      <c r="D58" s="450"/>
      <c r="E58" s="450"/>
      <c r="F58" s="450"/>
      <c r="G58" s="450"/>
      <c r="H58" s="451"/>
      <c r="I58" s="452"/>
      <c r="J58" s="453"/>
      <c r="K58" s="454"/>
      <c r="L58" s="455"/>
      <c r="M58" s="456"/>
      <c r="N58" s="457"/>
    </row>
    <row r="59" spans="2:14" ht="15" customHeight="1">
      <c r="B59" s="448"/>
      <c r="C59" s="449"/>
      <c r="D59" s="450"/>
      <c r="E59" s="450"/>
      <c r="F59" s="450"/>
      <c r="G59" s="450"/>
      <c r="H59" s="451"/>
      <c r="I59" s="452"/>
      <c r="J59" s="453"/>
      <c r="K59" s="454"/>
      <c r="L59" s="455"/>
      <c r="M59" s="456"/>
      <c r="N59" s="457"/>
    </row>
    <row r="60" spans="2:14" ht="15" customHeight="1">
      <c r="B60" s="448"/>
      <c r="C60" s="449"/>
      <c r="D60" s="450"/>
      <c r="E60" s="450"/>
      <c r="F60" s="450"/>
      <c r="G60" s="450"/>
      <c r="H60" s="451"/>
      <c r="I60" s="452"/>
      <c r="J60" s="453"/>
      <c r="K60" s="454"/>
      <c r="L60" s="455"/>
      <c r="M60" s="456"/>
      <c r="N60" s="457"/>
    </row>
    <row r="61" spans="2:14" ht="15" customHeight="1">
      <c r="B61" s="448"/>
      <c r="C61" s="449"/>
      <c r="D61" s="450"/>
      <c r="E61" s="450"/>
      <c r="F61" s="450"/>
      <c r="G61" s="450"/>
      <c r="H61" s="451"/>
      <c r="I61" s="452"/>
      <c r="J61" s="453"/>
      <c r="K61" s="454"/>
      <c r="L61" s="455"/>
      <c r="M61" s="456"/>
      <c r="N61" s="457"/>
    </row>
    <row r="62" spans="2:14" ht="15" customHeight="1">
      <c r="B62" s="448"/>
      <c r="C62" s="449"/>
      <c r="D62" s="450"/>
      <c r="E62" s="450"/>
      <c r="F62" s="450"/>
      <c r="G62" s="450"/>
      <c r="H62" s="451"/>
      <c r="I62" s="452"/>
      <c r="J62" s="453"/>
      <c r="K62" s="454"/>
      <c r="L62" s="455"/>
      <c r="M62" s="456"/>
      <c r="N62" s="457"/>
    </row>
    <row r="63" spans="2:14" ht="15" customHeight="1">
      <c r="B63" s="448"/>
      <c r="C63" s="449"/>
      <c r="D63" s="450"/>
      <c r="E63" s="450"/>
      <c r="F63" s="450"/>
      <c r="G63" s="450"/>
      <c r="H63" s="451"/>
      <c r="I63" s="452"/>
      <c r="J63" s="453"/>
      <c r="K63" s="454"/>
      <c r="L63" s="455"/>
      <c r="M63" s="456"/>
      <c r="N63" s="457"/>
    </row>
    <row r="64" spans="2:14" ht="15" customHeight="1">
      <c r="B64" s="448"/>
      <c r="C64" s="449"/>
      <c r="D64" s="450"/>
      <c r="E64" s="450"/>
      <c r="F64" s="450"/>
      <c r="G64" s="450"/>
      <c r="H64" s="451"/>
      <c r="I64" s="452"/>
      <c r="J64" s="453"/>
      <c r="K64" s="454"/>
      <c r="L64" s="455"/>
      <c r="M64" s="456"/>
      <c r="N64" s="457"/>
    </row>
    <row r="65" spans="2:14" ht="15" customHeight="1">
      <c r="B65" s="448"/>
      <c r="C65" s="449"/>
      <c r="D65" s="450"/>
      <c r="E65" s="450"/>
      <c r="F65" s="450"/>
      <c r="G65" s="450"/>
      <c r="H65" s="451"/>
      <c r="I65" s="452"/>
      <c r="J65" s="453"/>
      <c r="K65" s="454"/>
      <c r="L65" s="455"/>
      <c r="M65" s="456"/>
      <c r="N65" s="457"/>
    </row>
    <row r="66" spans="2:14" ht="15" customHeight="1">
      <c r="B66" s="448"/>
      <c r="C66" s="449"/>
      <c r="D66" s="450"/>
      <c r="E66" s="450"/>
      <c r="F66" s="450"/>
      <c r="G66" s="450"/>
      <c r="H66" s="451"/>
      <c r="I66" s="452"/>
      <c r="J66" s="453"/>
      <c r="K66" s="454"/>
      <c r="L66" s="455"/>
      <c r="M66" s="456"/>
      <c r="N66" s="457"/>
    </row>
    <row r="67" spans="2:14" ht="15" customHeight="1">
      <c r="B67" s="448"/>
      <c r="C67" s="449"/>
      <c r="D67" s="450"/>
      <c r="E67" s="450"/>
      <c r="F67" s="450"/>
      <c r="G67" s="450"/>
      <c r="H67" s="451"/>
      <c r="I67" s="452"/>
      <c r="J67" s="453"/>
      <c r="K67" s="454"/>
      <c r="L67" s="455"/>
      <c r="M67" s="456"/>
      <c r="N67" s="457"/>
    </row>
    <row r="68" spans="2:14" ht="15" customHeight="1">
      <c r="B68" s="448"/>
      <c r="C68" s="449"/>
      <c r="D68" s="450"/>
      <c r="E68" s="450"/>
      <c r="F68" s="450"/>
      <c r="G68" s="450"/>
      <c r="H68" s="451"/>
      <c r="I68" s="452"/>
      <c r="J68" s="453"/>
      <c r="K68" s="454"/>
      <c r="L68" s="455"/>
      <c r="M68" s="456"/>
      <c r="N68" s="457"/>
    </row>
    <row r="69" spans="2:14" ht="15" customHeight="1">
      <c r="B69" s="448"/>
      <c r="C69" s="449"/>
      <c r="D69" s="450"/>
      <c r="E69" s="450"/>
      <c r="F69" s="450"/>
      <c r="G69" s="450"/>
      <c r="H69" s="451"/>
      <c r="I69" s="452"/>
      <c r="J69" s="453"/>
      <c r="K69" s="454"/>
      <c r="L69" s="455"/>
      <c r="M69" s="456"/>
      <c r="N69" s="457"/>
    </row>
    <row r="70" spans="2:14" ht="15" customHeight="1">
      <c r="B70" s="448"/>
      <c r="C70" s="449"/>
      <c r="D70" s="450"/>
      <c r="E70" s="450"/>
      <c r="F70" s="450"/>
      <c r="G70" s="450"/>
      <c r="H70" s="451"/>
      <c r="I70" s="452"/>
      <c r="J70" s="453"/>
      <c r="K70" s="454"/>
      <c r="L70" s="455"/>
      <c r="M70" s="456"/>
      <c r="N70" s="457"/>
    </row>
    <row r="71" spans="2:14" ht="15" customHeight="1">
      <c r="B71" s="448"/>
      <c r="C71" s="449"/>
      <c r="D71" s="450"/>
      <c r="E71" s="450"/>
      <c r="F71" s="450"/>
      <c r="G71" s="450"/>
      <c r="H71" s="451"/>
      <c r="I71" s="452"/>
      <c r="J71" s="453"/>
      <c r="K71" s="454"/>
      <c r="L71" s="455"/>
      <c r="M71" s="456"/>
      <c r="N71" s="457"/>
    </row>
    <row r="72" spans="2:14">
      <c r="B72" s="448"/>
      <c r="C72" s="449"/>
      <c r="D72" s="450"/>
      <c r="E72" s="450"/>
      <c r="F72" s="450"/>
      <c r="G72" s="450"/>
      <c r="H72" s="451"/>
      <c r="I72" s="452"/>
      <c r="J72" s="453"/>
      <c r="K72" s="454"/>
      <c r="L72" s="455"/>
      <c r="M72" s="456"/>
      <c r="N72" s="457"/>
    </row>
    <row r="73" spans="2:14">
      <c r="B73" s="448"/>
      <c r="C73" s="449"/>
      <c r="D73" s="450"/>
      <c r="E73" s="450"/>
      <c r="F73" s="450"/>
      <c r="G73" s="450"/>
      <c r="H73" s="451"/>
      <c r="I73" s="452"/>
      <c r="J73" s="453"/>
      <c r="K73" s="454"/>
      <c r="L73" s="455"/>
      <c r="M73" s="456"/>
      <c r="N73" s="457"/>
    </row>
    <row r="74" spans="2:14">
      <c r="B74" s="448"/>
      <c r="C74" s="449"/>
      <c r="D74" s="450"/>
      <c r="E74" s="450"/>
      <c r="F74" s="450"/>
      <c r="G74" s="450"/>
      <c r="H74" s="451"/>
      <c r="I74" s="452"/>
      <c r="J74" s="453"/>
      <c r="K74" s="454"/>
      <c r="L74" s="455"/>
      <c r="M74" s="456"/>
      <c r="N74" s="457"/>
    </row>
    <row r="75" spans="2:14">
      <c r="B75" s="448"/>
      <c r="C75" s="449"/>
      <c r="D75" s="450"/>
      <c r="E75" s="450"/>
      <c r="F75" s="450"/>
      <c r="G75" s="450"/>
      <c r="H75" s="451"/>
      <c r="I75" s="452"/>
      <c r="J75" s="453"/>
      <c r="K75" s="454"/>
      <c r="L75" s="455"/>
      <c r="M75" s="456"/>
      <c r="N75" s="457"/>
    </row>
    <row r="76" spans="2:14">
      <c r="B76" s="448"/>
      <c r="C76" s="449"/>
      <c r="D76" s="450"/>
      <c r="E76" s="450"/>
      <c r="F76" s="450"/>
      <c r="G76" s="450"/>
      <c r="H76" s="451"/>
      <c r="I76" s="452"/>
      <c r="J76" s="453"/>
      <c r="K76" s="454"/>
      <c r="L76" s="455"/>
      <c r="M76" s="456"/>
      <c r="N76" s="457"/>
    </row>
    <row r="77" spans="2:14">
      <c r="B77" s="448"/>
      <c r="C77" s="449"/>
      <c r="D77" s="450"/>
      <c r="E77" s="450"/>
      <c r="F77" s="450"/>
      <c r="G77" s="450"/>
      <c r="H77" s="451"/>
      <c r="I77" s="452"/>
      <c r="J77" s="453"/>
      <c r="K77" s="454"/>
      <c r="L77" s="455"/>
      <c r="M77" s="456"/>
      <c r="N77" s="457"/>
    </row>
    <row r="78" spans="2:14">
      <c r="B78" s="448"/>
      <c r="C78" s="449"/>
      <c r="D78" s="450"/>
      <c r="E78" s="450"/>
      <c r="F78" s="450"/>
      <c r="G78" s="450"/>
      <c r="H78" s="451"/>
      <c r="I78" s="452"/>
      <c r="J78" s="453"/>
      <c r="K78" s="454"/>
      <c r="L78" s="455"/>
      <c r="M78" s="456"/>
      <c r="N78" s="457"/>
    </row>
    <row r="79" spans="2:14" ht="13.8" thickBot="1">
      <c r="B79" s="458"/>
      <c r="C79" s="459"/>
      <c r="D79" s="460"/>
      <c r="E79" s="460"/>
      <c r="F79" s="460"/>
      <c r="G79" s="460"/>
      <c r="H79" s="461"/>
      <c r="I79" s="462"/>
      <c r="J79" s="463"/>
      <c r="K79" s="464"/>
      <c r="L79" s="465"/>
      <c r="M79" s="466"/>
      <c r="N79" s="467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9" transitionEvaluation="1"/>
  <dimension ref="A1:N120"/>
  <sheetViews>
    <sheetView showGridLines="0" topLeftCell="A19" zoomScaleNormal="100" workbookViewId="0">
      <selection activeCell="K43" sqref="K43"/>
    </sheetView>
  </sheetViews>
  <sheetFormatPr defaultColWidth="12" defaultRowHeight="15.6"/>
  <cols>
    <col min="1" max="13" width="6.6640625" style="579" customWidth="1"/>
    <col min="14" max="14" width="6.77734375" style="579" customWidth="1"/>
    <col min="15" max="16384" width="12" style="579"/>
  </cols>
  <sheetData>
    <row r="1" spans="1:14" ht="17.100000000000001" customHeight="1">
      <c r="A1" s="572" t="s">
        <v>269</v>
      </c>
      <c r="B1" s="573"/>
      <c r="C1" s="573"/>
      <c r="D1" s="573"/>
      <c r="E1" s="573"/>
      <c r="F1" s="573"/>
      <c r="G1" s="573"/>
      <c r="H1" s="573"/>
      <c r="I1" s="573"/>
      <c r="J1" s="574" t="s">
        <v>591</v>
      </c>
      <c r="K1" s="575"/>
      <c r="L1" s="576" t="s">
        <v>592</v>
      </c>
      <c r="M1" s="577"/>
      <c r="N1" s="578"/>
    </row>
    <row r="2" spans="1:14" ht="17.100000000000001" customHeight="1">
      <c r="A2" s="580" t="s">
        <v>593</v>
      </c>
      <c r="B2" s="581"/>
      <c r="C2" s="581"/>
      <c r="D2" s="581"/>
      <c r="E2" s="581"/>
      <c r="F2" s="581"/>
      <c r="G2" s="581"/>
      <c r="H2" s="581"/>
      <c r="I2" s="581"/>
      <c r="J2" s="582" t="s">
        <v>594</v>
      </c>
      <c r="K2" s="583"/>
      <c r="L2" s="584" t="s">
        <v>595</v>
      </c>
      <c r="M2" s="585"/>
      <c r="N2" s="578"/>
    </row>
    <row r="3" spans="1:14" ht="15.9" customHeight="1">
      <c r="A3" s="586"/>
      <c r="B3" s="587"/>
      <c r="C3" s="587"/>
      <c r="D3" s="587"/>
      <c r="E3" s="587"/>
      <c r="F3" s="587"/>
      <c r="G3" s="587"/>
      <c r="H3" s="587"/>
      <c r="I3" s="587"/>
      <c r="J3" s="582" t="s">
        <v>596</v>
      </c>
      <c r="K3" s="583"/>
      <c r="L3" s="588" t="s">
        <v>597</v>
      </c>
      <c r="M3" s="585"/>
      <c r="N3" s="578"/>
    </row>
    <row r="4" spans="1:14" ht="15.9" customHeight="1">
      <c r="A4" s="589"/>
      <c r="B4" s="587"/>
      <c r="C4" s="587"/>
      <c r="D4" s="587"/>
      <c r="E4" s="587"/>
      <c r="F4" s="587"/>
      <c r="G4" s="587"/>
      <c r="H4" s="587"/>
      <c r="I4" s="587"/>
      <c r="J4" s="582" t="s">
        <v>598</v>
      </c>
      <c r="K4" s="583"/>
      <c r="L4" s="590" t="s">
        <v>599</v>
      </c>
      <c r="M4" s="585"/>
      <c r="N4" s="578"/>
    </row>
    <row r="5" spans="1:14" ht="15.9" customHeight="1">
      <c r="A5" s="586"/>
      <c r="B5" s="587"/>
      <c r="C5" s="587"/>
      <c r="D5" s="587"/>
      <c r="E5" s="587"/>
      <c r="F5" s="587"/>
      <c r="G5" s="587"/>
      <c r="H5" s="587"/>
      <c r="I5" s="587"/>
      <c r="J5" s="582" t="s">
        <v>600</v>
      </c>
      <c r="K5" s="583"/>
      <c r="L5" s="584">
        <v>2</v>
      </c>
      <c r="M5" s="585"/>
      <c r="N5" s="578"/>
    </row>
    <row r="6" spans="1:14" ht="15.9" customHeight="1">
      <c r="A6" s="591" t="s">
        <v>601</v>
      </c>
      <c r="B6" s="587"/>
      <c r="C6" s="587"/>
      <c r="D6" s="587"/>
      <c r="E6" s="587"/>
      <c r="F6" s="587"/>
      <c r="G6" s="587"/>
      <c r="H6" s="587"/>
      <c r="I6" s="587"/>
      <c r="J6" s="582" t="s">
        <v>602</v>
      </c>
      <c r="K6" s="583"/>
      <c r="L6" s="592" t="s">
        <v>603</v>
      </c>
      <c r="M6" s="585"/>
      <c r="N6" s="578"/>
    </row>
    <row r="7" spans="1:14" ht="15.9" customHeight="1" thickBot="1">
      <c r="A7" s="593" t="s">
        <v>604</v>
      </c>
      <c r="B7" s="594"/>
      <c r="C7" s="594"/>
      <c r="D7" s="594"/>
      <c r="E7" s="594"/>
      <c r="F7" s="594"/>
      <c r="G7" s="594"/>
      <c r="H7" s="594"/>
      <c r="I7" s="594"/>
      <c r="J7" s="595" t="s">
        <v>605</v>
      </c>
      <c r="K7" s="596"/>
      <c r="L7" s="597" t="s">
        <v>606</v>
      </c>
      <c r="M7" s="598"/>
      <c r="N7" s="578"/>
    </row>
    <row r="8" spans="1:14" ht="15.9" customHeight="1">
      <c r="A8" s="599"/>
      <c r="B8" s="587"/>
      <c r="C8" s="587"/>
      <c r="D8" s="587"/>
      <c r="E8" s="587"/>
      <c r="F8" s="587"/>
      <c r="G8" s="587"/>
      <c r="H8" s="587"/>
      <c r="I8" s="587"/>
      <c r="J8" s="587"/>
      <c r="K8" s="600"/>
      <c r="L8" s="601"/>
      <c r="M8" s="602"/>
      <c r="N8" s="587"/>
    </row>
    <row r="9" spans="1:14" ht="12" customHeight="1">
      <c r="A9" s="603"/>
      <c r="B9" s="604" t="s">
        <v>607</v>
      </c>
      <c r="C9" s="605"/>
      <c r="D9" s="606"/>
      <c r="E9" s="606"/>
      <c r="F9" s="606"/>
      <c r="G9" s="606"/>
      <c r="H9" s="606"/>
      <c r="I9" s="606"/>
      <c r="J9" s="606"/>
      <c r="K9" s="607"/>
      <c r="L9" s="608"/>
      <c r="M9" s="606"/>
      <c r="N9" s="587"/>
    </row>
    <row r="10" spans="1:14" ht="12" customHeight="1">
      <c r="A10" s="603"/>
      <c r="B10" s="604" t="s">
        <v>608</v>
      </c>
      <c r="C10" s="609"/>
      <c r="D10" s="608"/>
      <c r="E10" s="608"/>
      <c r="F10" s="608"/>
      <c r="G10" s="608"/>
      <c r="H10" s="608"/>
      <c r="I10" s="608"/>
      <c r="J10" s="608"/>
      <c r="K10" s="608"/>
      <c r="L10" s="608"/>
      <c r="M10" s="608"/>
      <c r="N10" s="601"/>
    </row>
    <row r="11" spans="1:14" ht="16.2" thickBot="1">
      <c r="A11" s="610"/>
      <c r="B11" s="610"/>
      <c r="C11" s="610"/>
      <c r="D11" s="610"/>
      <c r="E11" s="610"/>
      <c r="F11" s="610"/>
      <c r="G11" s="610"/>
      <c r="H11" s="610"/>
      <c r="I11" s="610"/>
      <c r="J11" s="610"/>
      <c r="K11" s="610"/>
      <c r="L11" s="610"/>
      <c r="M11" s="610"/>
      <c r="N11" s="610"/>
    </row>
    <row r="12" spans="1:14" ht="20.100000000000001" customHeight="1" thickBot="1">
      <c r="A12" s="611" t="s">
        <v>609</v>
      </c>
      <c r="B12" s="612"/>
      <c r="C12" s="612"/>
      <c r="D12" s="612"/>
      <c r="E12" s="612"/>
      <c r="F12" s="612"/>
      <c r="G12" s="612"/>
      <c r="H12" s="612"/>
      <c r="I12" s="612"/>
      <c r="J12" s="612"/>
      <c r="K12" s="612"/>
      <c r="L12" s="612"/>
      <c r="M12" s="613"/>
      <c r="N12" s="578"/>
    </row>
    <row r="13" spans="1:14" ht="12.9" customHeight="1" thickTop="1">
      <c r="A13" s="614"/>
      <c r="B13" s="615" t="s">
        <v>610</v>
      </c>
      <c r="C13" s="616">
        <v>800</v>
      </c>
      <c r="D13" s="608"/>
      <c r="E13" s="615" t="s">
        <v>611</v>
      </c>
      <c r="F13" s="616">
        <v>4000</v>
      </c>
      <c r="G13" s="608"/>
      <c r="H13" s="615" t="s">
        <v>612</v>
      </c>
      <c r="I13" s="616" t="s">
        <v>696</v>
      </c>
      <c r="J13" s="608"/>
      <c r="K13" s="608"/>
      <c r="L13" s="615" t="s">
        <v>613</v>
      </c>
      <c r="M13" s="617">
        <v>1200</v>
      </c>
      <c r="N13" s="578"/>
    </row>
    <row r="14" spans="1:14" ht="12.9" customHeight="1">
      <c r="A14" s="614"/>
      <c r="B14" s="615" t="s">
        <v>614</v>
      </c>
      <c r="C14" s="616" t="s">
        <v>699</v>
      </c>
      <c r="D14" s="608"/>
      <c r="E14" s="615" t="s">
        <v>615</v>
      </c>
      <c r="F14" s="618" t="s">
        <v>700</v>
      </c>
      <c r="G14" s="608"/>
      <c r="H14" s="615" t="s">
        <v>616</v>
      </c>
      <c r="I14" s="616">
        <v>114</v>
      </c>
      <c r="J14" s="608"/>
      <c r="K14" s="608"/>
      <c r="L14" s="615" t="s">
        <v>408</v>
      </c>
      <c r="M14" s="617">
        <v>1180</v>
      </c>
      <c r="N14" s="578"/>
    </row>
    <row r="15" spans="1:14" ht="12.9" customHeight="1">
      <c r="A15" s="614"/>
      <c r="B15" s="615" t="s">
        <v>617</v>
      </c>
      <c r="C15" s="616" t="s">
        <v>194</v>
      </c>
      <c r="D15" s="608"/>
      <c r="E15" s="615" t="s">
        <v>618</v>
      </c>
      <c r="F15" s="619" t="s">
        <v>701</v>
      </c>
      <c r="G15" s="608"/>
      <c r="H15" s="615" t="s">
        <v>619</v>
      </c>
      <c r="I15" s="618" t="s">
        <v>175</v>
      </c>
      <c r="J15" s="608"/>
      <c r="K15" s="608"/>
      <c r="L15" s="615" t="s">
        <v>620</v>
      </c>
      <c r="M15" s="617" t="s">
        <v>364</v>
      </c>
      <c r="N15" s="578"/>
    </row>
    <row r="16" spans="1:14" ht="12.9" customHeight="1">
      <c r="A16" s="614"/>
      <c r="B16" s="615" t="s">
        <v>621</v>
      </c>
      <c r="C16" s="616" t="s">
        <v>695</v>
      </c>
      <c r="D16" s="608"/>
      <c r="E16" s="615" t="s">
        <v>622</v>
      </c>
      <c r="F16" s="620">
        <v>40</v>
      </c>
      <c r="G16" s="608"/>
      <c r="H16" s="621" t="s">
        <v>623</v>
      </c>
      <c r="I16" s="622" t="s">
        <v>361</v>
      </c>
      <c r="J16" s="608"/>
      <c r="K16" s="608"/>
      <c r="L16" s="615" t="s">
        <v>624</v>
      </c>
      <c r="M16" s="617" t="s">
        <v>625</v>
      </c>
      <c r="N16" s="578"/>
    </row>
    <row r="17" spans="1:14" ht="12.9" customHeight="1">
      <c r="A17" s="614"/>
      <c r="B17" s="615" t="s">
        <v>626</v>
      </c>
      <c r="C17" s="623" t="s">
        <v>698</v>
      </c>
      <c r="D17" s="608"/>
      <c r="E17" s="615"/>
      <c r="F17" s="618"/>
      <c r="G17" s="608"/>
      <c r="H17" s="615" t="s">
        <v>627</v>
      </c>
      <c r="I17" s="622" t="s">
        <v>175</v>
      </c>
      <c r="J17" s="608"/>
      <c r="K17" s="608"/>
      <c r="L17" s="615"/>
      <c r="M17" s="624"/>
      <c r="N17" s="578"/>
    </row>
    <row r="18" spans="1:14" ht="12.9" customHeight="1" thickBot="1">
      <c r="A18" s="625"/>
      <c r="B18" s="626" t="s">
        <v>628</v>
      </c>
      <c r="C18" s="627" t="s">
        <v>175</v>
      </c>
      <c r="D18" s="628"/>
      <c r="E18" s="629" t="s">
        <v>629</v>
      </c>
      <c r="F18" s="627" t="s">
        <v>175</v>
      </c>
      <c r="G18" s="630"/>
      <c r="H18" s="629" t="s">
        <v>630</v>
      </c>
      <c r="I18" s="627" t="s">
        <v>175</v>
      </c>
      <c r="J18" s="628"/>
      <c r="K18" s="628"/>
      <c r="L18" s="628"/>
      <c r="M18" s="631"/>
      <c r="N18" s="578"/>
    </row>
    <row r="19" spans="1:14" ht="16.2" thickBot="1">
      <c r="A19" s="578"/>
      <c r="B19" s="578"/>
      <c r="C19" s="578"/>
      <c r="D19" s="578"/>
      <c r="E19" s="578"/>
      <c r="F19" s="578"/>
      <c r="G19" s="578"/>
      <c r="H19" s="578"/>
      <c r="I19" s="578"/>
      <c r="J19" s="578"/>
      <c r="K19" s="578"/>
      <c r="L19" s="578"/>
      <c r="M19" s="578"/>
      <c r="N19" s="578"/>
    </row>
    <row r="20" spans="1:14" ht="20.100000000000001" customHeight="1" thickBot="1">
      <c r="A20" s="611"/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3"/>
    </row>
    <row r="21" spans="1:14" ht="15.9" customHeight="1" thickTop="1">
      <c r="A21" s="632" t="s">
        <v>631</v>
      </c>
      <c r="B21" s="633"/>
      <c r="C21" s="601"/>
      <c r="D21" s="634"/>
      <c r="E21" s="635" t="s">
        <v>632</v>
      </c>
      <c r="F21" s="636"/>
      <c r="G21" s="636"/>
      <c r="H21" s="637"/>
      <c r="I21" s="638" t="s">
        <v>633</v>
      </c>
      <c r="J21" s="639"/>
      <c r="K21" s="639"/>
      <c r="L21" s="601"/>
      <c r="M21" s="640"/>
    </row>
    <row r="22" spans="1:14" ht="15.9" customHeight="1">
      <c r="A22" s="641"/>
      <c r="B22" s="608"/>
      <c r="C22" s="642" t="s">
        <v>634</v>
      </c>
      <c r="D22" s="643">
        <v>730</v>
      </c>
      <c r="E22" s="615"/>
      <c r="G22" s="621" t="s">
        <v>635</v>
      </c>
      <c r="H22" s="644">
        <v>3561</v>
      </c>
      <c r="I22" s="642"/>
      <c r="J22" s="608"/>
      <c r="K22" s="642" t="s">
        <v>636</v>
      </c>
      <c r="L22" s="608"/>
      <c r="M22" s="624"/>
    </row>
    <row r="23" spans="1:14" ht="15.9" customHeight="1">
      <c r="A23" s="641"/>
      <c r="B23" s="642"/>
      <c r="C23" s="645"/>
      <c r="D23" s="646"/>
      <c r="E23" s="615"/>
      <c r="G23" s="615" t="s">
        <v>637</v>
      </c>
      <c r="H23" s="643">
        <v>150</v>
      </c>
      <c r="I23" s="608"/>
      <c r="J23" s="608"/>
      <c r="K23" s="615" t="s">
        <v>638</v>
      </c>
      <c r="L23" s="608"/>
      <c r="M23" s="624"/>
    </row>
    <row r="24" spans="1:14" ht="15.9" customHeight="1">
      <c r="A24" s="614"/>
      <c r="B24" s="615"/>
      <c r="C24" s="608"/>
      <c r="D24" s="646"/>
      <c r="E24" s="615"/>
      <c r="G24" s="621" t="s">
        <v>639</v>
      </c>
      <c r="H24" s="643">
        <v>220</v>
      </c>
      <c r="I24" s="608"/>
      <c r="J24" s="615"/>
      <c r="K24" s="608"/>
      <c r="L24" s="608"/>
      <c r="M24" s="624"/>
    </row>
    <row r="25" spans="1:14" ht="15.9" customHeight="1" thickBot="1">
      <c r="A25" s="625"/>
      <c r="B25" s="626"/>
      <c r="C25" s="628"/>
      <c r="D25" s="647"/>
      <c r="E25" s="629"/>
      <c r="F25" s="629"/>
      <c r="G25" s="629"/>
      <c r="H25" s="648"/>
      <c r="I25" s="628"/>
      <c r="J25" s="629"/>
      <c r="K25" s="628"/>
      <c r="L25" s="628"/>
      <c r="M25" s="631"/>
    </row>
    <row r="26" spans="1:14" ht="18.899999999999999" customHeight="1" thickBot="1">
      <c r="A26" s="649"/>
      <c r="B26" s="649"/>
      <c r="C26" s="649"/>
      <c r="D26" s="650"/>
      <c r="E26" s="650"/>
      <c r="F26" s="650"/>
      <c r="G26" s="650"/>
      <c r="H26" s="650"/>
      <c r="I26" s="650"/>
      <c r="J26" s="650"/>
      <c r="K26" s="650"/>
      <c r="L26" s="650"/>
      <c r="M26" s="578"/>
      <c r="N26" s="578"/>
    </row>
    <row r="27" spans="1:14" ht="20.100000000000001" customHeight="1" thickBot="1">
      <c r="A27" s="651"/>
      <c r="B27" s="652"/>
      <c r="C27" s="652"/>
      <c r="D27" s="652"/>
      <c r="E27" s="652"/>
      <c r="F27" s="652"/>
      <c r="G27" s="653"/>
      <c r="H27" s="652"/>
      <c r="I27" s="652"/>
      <c r="J27" s="652"/>
      <c r="K27" s="652"/>
      <c r="L27" s="652"/>
      <c r="M27" s="654"/>
    </row>
    <row r="28" spans="1:14" ht="15.9" customHeight="1" thickTop="1">
      <c r="A28" s="655" t="s">
        <v>640</v>
      </c>
      <c r="B28" s="633"/>
      <c r="C28" s="601"/>
      <c r="D28" s="601"/>
      <c r="E28" s="636"/>
      <c r="F28" s="636"/>
      <c r="G28" s="656"/>
      <c r="H28" s="635" t="s">
        <v>641</v>
      </c>
      <c r="I28" s="636"/>
      <c r="J28" s="639"/>
      <c r="K28" s="635"/>
      <c r="L28" s="639"/>
      <c r="M28" s="640"/>
    </row>
    <row r="29" spans="1:14" ht="15.9" customHeight="1">
      <c r="A29" s="614"/>
      <c r="B29" s="642"/>
      <c r="C29" s="642" t="s">
        <v>642</v>
      </c>
      <c r="D29" s="657">
        <v>94.6</v>
      </c>
      <c r="E29" s="615"/>
      <c r="F29" s="615"/>
      <c r="G29" s="656"/>
      <c r="H29" s="621"/>
      <c r="I29" s="642"/>
      <c r="J29" s="642" t="s">
        <v>642</v>
      </c>
      <c r="K29" s="657">
        <v>80</v>
      </c>
      <c r="L29" s="608"/>
      <c r="M29" s="624"/>
    </row>
    <row r="30" spans="1:14" ht="15.9" customHeight="1">
      <c r="A30" s="658"/>
      <c r="B30" s="608"/>
      <c r="C30" s="642" t="s">
        <v>643</v>
      </c>
      <c r="D30" s="657">
        <v>94.6</v>
      </c>
      <c r="E30" s="615"/>
      <c r="F30" s="615"/>
      <c r="G30" s="656"/>
      <c r="H30" s="615"/>
      <c r="I30" s="608"/>
      <c r="J30" s="642" t="s">
        <v>643</v>
      </c>
      <c r="K30" s="657">
        <v>75.400000000000006</v>
      </c>
      <c r="L30" s="608"/>
      <c r="M30" s="624"/>
    </row>
    <row r="31" spans="1:14" ht="15.9" customHeight="1">
      <c r="A31" s="614"/>
      <c r="B31" s="615"/>
      <c r="C31" s="642" t="s">
        <v>644</v>
      </c>
      <c r="D31" s="657">
        <v>93.9</v>
      </c>
      <c r="E31" s="615"/>
      <c r="F31" s="615"/>
      <c r="G31" s="656"/>
      <c r="H31" s="615"/>
      <c r="I31" s="608"/>
      <c r="J31" s="642" t="s">
        <v>644</v>
      </c>
      <c r="K31" s="657">
        <v>65.3</v>
      </c>
      <c r="L31" s="615"/>
      <c r="M31" s="624"/>
    </row>
    <row r="32" spans="1:14" ht="15.9" customHeight="1" thickBot="1">
      <c r="A32" s="625"/>
      <c r="B32" s="626"/>
      <c r="C32" s="628"/>
      <c r="D32" s="628"/>
      <c r="E32" s="629"/>
      <c r="F32" s="629"/>
      <c r="G32" s="659"/>
      <c r="H32" s="629"/>
      <c r="I32" s="628"/>
      <c r="J32" s="629"/>
      <c r="K32" s="628"/>
      <c r="L32" s="629"/>
      <c r="M32" s="631"/>
    </row>
    <row r="33" spans="1:14" ht="20.100000000000001" customHeight="1" thickBot="1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1"/>
      <c r="N33" s="661"/>
    </row>
    <row r="34" spans="1:14" ht="20.100000000000001" customHeight="1" thickBot="1">
      <c r="A34" s="662"/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4"/>
    </row>
    <row r="35" spans="1:14" ht="15.9" customHeight="1" thickTop="1">
      <c r="A35" s="665" t="s">
        <v>645</v>
      </c>
      <c r="B35" s="645"/>
      <c r="C35" s="645"/>
      <c r="D35" s="645"/>
      <c r="E35" s="645"/>
      <c r="F35" s="645"/>
      <c r="G35" s="645"/>
      <c r="H35" s="645"/>
      <c r="I35" s="645"/>
      <c r="J35" s="645"/>
      <c r="K35" s="645"/>
      <c r="L35" s="645"/>
      <c r="M35" s="666"/>
    </row>
    <row r="36" spans="1:14" ht="15.9" customHeight="1">
      <c r="A36" s="658" t="s">
        <v>646</v>
      </c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66"/>
    </row>
    <row r="37" spans="1:14" ht="15.9" customHeight="1">
      <c r="A37" s="667" t="s">
        <v>647</v>
      </c>
      <c r="B37" s="645"/>
      <c r="C37" s="645"/>
      <c r="D37" s="645"/>
      <c r="E37" s="668"/>
      <c r="F37" s="645"/>
      <c r="G37" s="645"/>
      <c r="H37" s="645"/>
      <c r="I37" s="645"/>
      <c r="J37" s="645"/>
      <c r="K37" s="645"/>
      <c r="L37" s="645"/>
      <c r="M37" s="666"/>
    </row>
    <row r="38" spans="1:14" ht="15.9" customHeight="1">
      <c r="A38" s="669" t="s">
        <v>648</v>
      </c>
      <c r="B38" s="645"/>
      <c r="C38" s="645"/>
      <c r="D38" s="645"/>
      <c r="E38" s="645"/>
      <c r="F38" s="645"/>
      <c r="G38" s="645"/>
      <c r="H38" s="645"/>
      <c r="I38" s="645"/>
      <c r="J38" s="645"/>
      <c r="K38" s="645"/>
      <c r="L38" s="645"/>
      <c r="M38" s="666"/>
    </row>
    <row r="39" spans="1:14" ht="15.9" customHeight="1">
      <c r="A39" s="670" t="s">
        <v>649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66"/>
    </row>
    <row r="40" spans="1:14" ht="15.9" customHeight="1" thickBot="1">
      <c r="A40" s="671" t="s">
        <v>650</v>
      </c>
      <c r="B40" s="672"/>
      <c r="C40" s="672"/>
      <c r="D40" s="672"/>
      <c r="E40" s="672"/>
      <c r="F40" s="672"/>
      <c r="G40" s="672"/>
      <c r="H40" s="672"/>
      <c r="I40" s="672"/>
      <c r="J40" s="672"/>
      <c r="K40" s="672"/>
      <c r="L40" s="672"/>
      <c r="M40" s="673"/>
    </row>
    <row r="41" spans="1:14" ht="15.9" customHeight="1"/>
    <row r="42" spans="1:14" ht="18.600000000000001">
      <c r="A42" s="674"/>
      <c r="B42" s="674"/>
      <c r="C42" s="674"/>
      <c r="D42" s="674"/>
      <c r="E42" s="674"/>
      <c r="F42" s="674"/>
      <c r="G42" s="674"/>
      <c r="H42" s="578"/>
      <c r="I42" s="578"/>
      <c r="J42" s="675" t="s">
        <v>651</v>
      </c>
      <c r="K42" s="676" t="s">
        <v>702</v>
      </c>
      <c r="L42" s="676"/>
      <c r="M42" s="676"/>
      <c r="N42" s="674"/>
    </row>
    <row r="43" spans="1:14" ht="7.5" customHeight="1">
      <c r="H43" s="578"/>
      <c r="I43" s="578"/>
      <c r="J43" s="578"/>
      <c r="K43" s="578"/>
      <c r="L43" s="578"/>
      <c r="M43" s="578"/>
    </row>
    <row r="44" spans="1:14" ht="16.8">
      <c r="H44" s="578"/>
      <c r="I44" s="578"/>
      <c r="J44" s="675" t="s">
        <v>652</v>
      </c>
      <c r="K44" s="677">
        <v>44866</v>
      </c>
      <c r="L44" s="677"/>
      <c r="M44" s="677"/>
    </row>
    <row r="59" spans="1:5">
      <c r="A59" s="579" t="s">
        <v>175</v>
      </c>
      <c r="B59" s="579" t="s">
        <v>653</v>
      </c>
      <c r="D59" s="579">
        <v>1</v>
      </c>
      <c r="E59" s="678" t="s">
        <v>175</v>
      </c>
    </row>
    <row r="60" spans="1:5">
      <c r="A60" s="579" t="s">
        <v>654</v>
      </c>
      <c r="B60" s="579" t="s">
        <v>655</v>
      </c>
      <c r="D60" s="579">
        <v>1.1499999999999999</v>
      </c>
      <c r="E60" s="678" t="s">
        <v>184</v>
      </c>
    </row>
    <row r="61" spans="1:5">
      <c r="A61" s="579" t="s">
        <v>656</v>
      </c>
      <c r="B61" s="579" t="s">
        <v>657</v>
      </c>
      <c r="E61" s="678" t="s">
        <v>658</v>
      </c>
    </row>
    <row r="62" spans="1:5">
      <c r="B62" s="579" t="s">
        <v>659</v>
      </c>
    </row>
    <row r="63" spans="1:5">
      <c r="B63" s="579" t="s">
        <v>660</v>
      </c>
    </row>
    <row r="64" spans="1:5">
      <c r="B64" s="579" t="s">
        <v>661</v>
      </c>
    </row>
    <row r="65" spans="2:2">
      <c r="B65" s="579" t="s">
        <v>662</v>
      </c>
    </row>
    <row r="66" spans="2:2">
      <c r="B66" s="579" t="s">
        <v>663</v>
      </c>
    </row>
    <row r="67" spans="2:2">
      <c r="B67" s="579" t="s">
        <v>664</v>
      </c>
    </row>
    <row r="68" spans="2:2">
      <c r="B68" s="579" t="s">
        <v>665</v>
      </c>
    </row>
    <row r="69" spans="2:2">
      <c r="B69" s="579" t="s">
        <v>666</v>
      </c>
    </row>
    <row r="70" spans="2:2">
      <c r="B70" s="579" t="s">
        <v>667</v>
      </c>
    </row>
    <row r="71" spans="2:2">
      <c r="B71" s="579" t="s">
        <v>668</v>
      </c>
    </row>
    <row r="72" spans="2:2">
      <c r="B72" s="579" t="s">
        <v>669</v>
      </c>
    </row>
    <row r="73" spans="2:2">
      <c r="B73" s="579" t="s">
        <v>670</v>
      </c>
    </row>
    <row r="74" spans="2:2">
      <c r="B74" s="579" t="s">
        <v>671</v>
      </c>
    </row>
    <row r="75" spans="2:2">
      <c r="B75" s="579" t="s">
        <v>672</v>
      </c>
    </row>
    <row r="76" spans="2:2">
      <c r="B76" s="579" t="s">
        <v>673</v>
      </c>
    </row>
    <row r="77" spans="2:2">
      <c r="B77" s="579" t="s">
        <v>674</v>
      </c>
    </row>
    <row r="78" spans="2:2">
      <c r="B78" s="579" t="s">
        <v>675</v>
      </c>
    </row>
    <row r="79" spans="2:2">
      <c r="B79" s="579" t="s">
        <v>676</v>
      </c>
    </row>
    <row r="80" spans="2:2">
      <c r="B80" s="579">
        <v>6312</v>
      </c>
    </row>
    <row r="81" spans="2:2">
      <c r="B81" s="579" t="s">
        <v>677</v>
      </c>
    </row>
    <row r="82" spans="2:2">
      <c r="B82" s="579" t="s">
        <v>678</v>
      </c>
    </row>
    <row r="83" spans="2:2">
      <c r="B83" s="579" t="s">
        <v>679</v>
      </c>
    </row>
    <row r="84" spans="2:2">
      <c r="B84" s="579" t="s">
        <v>680</v>
      </c>
    </row>
    <row r="85" spans="2:2">
      <c r="B85" s="579">
        <v>6313</v>
      </c>
    </row>
    <row r="86" spans="2:2">
      <c r="B86" s="579" t="s">
        <v>681</v>
      </c>
    </row>
    <row r="87" spans="2:2">
      <c r="B87" s="579" t="s">
        <v>682</v>
      </c>
    </row>
    <row r="88" spans="2:2">
      <c r="B88" s="579" t="s">
        <v>683</v>
      </c>
    </row>
    <row r="89" spans="2:2">
      <c r="B89" s="579">
        <v>6314</v>
      </c>
    </row>
    <row r="90" spans="2:2">
      <c r="B90" s="579" t="s">
        <v>684</v>
      </c>
    </row>
    <row r="91" spans="2:2">
      <c r="B91" s="579">
        <v>6317</v>
      </c>
    </row>
    <row r="92" spans="2:2">
      <c r="B92" s="579" t="s">
        <v>685</v>
      </c>
    </row>
    <row r="93" spans="2:2">
      <c r="B93" s="579">
        <v>6318</v>
      </c>
    </row>
    <row r="94" spans="2:2">
      <c r="B94" s="579" t="s">
        <v>686</v>
      </c>
    </row>
    <row r="95" spans="2:2">
      <c r="B95" s="579" t="s">
        <v>687</v>
      </c>
    </row>
    <row r="96" spans="2:2">
      <c r="B96" s="579" t="s">
        <v>688</v>
      </c>
    </row>
    <row r="97" spans="2:2">
      <c r="B97" s="579">
        <v>6320</v>
      </c>
    </row>
    <row r="98" spans="2:2">
      <c r="B98" s="579" t="s">
        <v>689</v>
      </c>
    </row>
    <row r="99" spans="2:2">
      <c r="B99" s="579" t="s">
        <v>690</v>
      </c>
    </row>
    <row r="100" spans="2:2">
      <c r="B100" s="579" t="s">
        <v>691</v>
      </c>
    </row>
    <row r="101" spans="2:2">
      <c r="B101" s="579" t="s">
        <v>692</v>
      </c>
    </row>
    <row r="102" spans="2:2">
      <c r="B102" s="579" t="s">
        <v>692</v>
      </c>
    </row>
    <row r="118" spans="2:2">
      <c r="B118" s="579" t="s">
        <v>693</v>
      </c>
    </row>
    <row r="120" spans="2:2">
      <c r="B120" s="579" t="s">
        <v>694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A7" sqref="A7"/>
    </sheetView>
  </sheetViews>
  <sheetFormatPr defaultRowHeight="13.2"/>
  <cols>
    <col min="1" max="6" width="16.6640625" style="480" customWidth="1"/>
    <col min="7" max="16384" width="8.88671875" style="480"/>
  </cols>
  <sheetData>
    <row r="1" spans="1:6" ht="18.899999999999999" customHeight="1">
      <c r="A1" s="477"/>
      <c r="B1" s="478"/>
      <c r="C1" s="478"/>
      <c r="D1" s="478"/>
      <c r="E1" s="478"/>
      <c r="F1" s="479"/>
    </row>
    <row r="2" spans="1:6" ht="26.1" customHeight="1">
      <c r="A2" s="481" t="s">
        <v>269</v>
      </c>
      <c r="B2" s="482"/>
      <c r="C2" s="482"/>
      <c r="D2" s="482"/>
      <c r="E2" s="482"/>
      <c r="F2" s="483"/>
    </row>
    <row r="3" spans="1:6" ht="18.899999999999999" customHeight="1">
      <c r="A3" s="484" t="s">
        <v>396</v>
      </c>
      <c r="B3" s="482"/>
      <c r="C3" s="482"/>
      <c r="D3" s="482"/>
      <c r="E3" s="482"/>
      <c r="F3" s="483"/>
    </row>
    <row r="4" spans="1:6" ht="18.899999999999999" customHeight="1">
      <c r="A4" s="485"/>
      <c r="B4" s="486"/>
      <c r="C4" s="486"/>
      <c r="D4" s="486"/>
      <c r="E4" s="486"/>
      <c r="F4" s="487"/>
    </row>
    <row r="5" spans="1:6" ht="18.899999999999999" customHeight="1">
      <c r="A5" s="485"/>
      <c r="B5" s="486"/>
      <c r="C5" s="486"/>
      <c r="D5" s="486"/>
      <c r="E5" s="486"/>
      <c r="F5" s="487"/>
    </row>
    <row r="6" spans="1:6" ht="18.899999999999999" customHeight="1">
      <c r="A6" s="488" t="s">
        <v>397</v>
      </c>
      <c r="B6" s="489" t="str">
        <f>'Performance Data Sheet'!C17</f>
        <v>8006WTAL11E-A</v>
      </c>
      <c r="C6" s="490"/>
      <c r="D6" s="491"/>
      <c r="E6" s="488" t="s">
        <v>398</v>
      </c>
      <c r="F6" s="492" t="str">
        <f>'Performance Data Sheet'!I14 &amp; " A"</f>
        <v>114 A</v>
      </c>
    </row>
    <row r="7" spans="1:6" ht="18.899999999999999" customHeight="1">
      <c r="A7" s="488" t="s">
        <v>399</v>
      </c>
      <c r="B7" s="492" t="str">
        <f>'Performance Data Sheet'!F14</f>
        <v>WP-II</v>
      </c>
      <c r="C7" s="488" t="s">
        <v>400</v>
      </c>
      <c r="D7" s="492" t="str">
        <f>'Performance Data Sheet'!F13 &amp; " V"</f>
        <v>4000 V</v>
      </c>
      <c r="E7" s="488" t="s">
        <v>401</v>
      </c>
      <c r="F7" s="492" t="str">
        <f>'Performance Data Sheet'!C14</f>
        <v>5812U</v>
      </c>
    </row>
    <row r="8" spans="1:6" ht="18.899999999999999" customHeight="1">
      <c r="A8" s="488" t="s">
        <v>402</v>
      </c>
      <c r="B8" s="492">
        <v>6</v>
      </c>
      <c r="C8" s="488" t="s">
        <v>403</v>
      </c>
      <c r="D8" s="492" t="s">
        <v>404</v>
      </c>
      <c r="E8" s="488" t="s">
        <v>405</v>
      </c>
      <c r="F8" s="492" t="s">
        <v>364</v>
      </c>
    </row>
    <row r="9" spans="1:6" ht="18.899999999999999" customHeight="1">
      <c r="A9" s="488" t="s">
        <v>406</v>
      </c>
      <c r="B9" s="492">
        <v>800</v>
      </c>
      <c r="C9" s="488" t="s">
        <v>407</v>
      </c>
      <c r="D9" s="492" t="s">
        <v>422</v>
      </c>
      <c r="E9" s="488" t="s">
        <v>2</v>
      </c>
      <c r="F9" s="493">
        <f>'Performance Data Sheet'!K44</f>
        <v>44866</v>
      </c>
    </row>
    <row r="10" spans="1:6" ht="18.899999999999999" customHeight="1">
      <c r="A10" s="488" t="s">
        <v>408</v>
      </c>
      <c r="B10" s="492">
        <v>1180</v>
      </c>
      <c r="C10" s="488" t="s">
        <v>409</v>
      </c>
      <c r="D10" s="492" t="s">
        <v>410</v>
      </c>
      <c r="E10" s="488" t="s">
        <v>1</v>
      </c>
      <c r="F10" s="492" t="s">
        <v>697</v>
      </c>
    </row>
    <row r="11" spans="1:6" ht="18.899999999999999" customHeight="1">
      <c r="A11" s="485"/>
      <c r="B11" s="486"/>
      <c r="C11" s="486"/>
      <c r="D11" s="486"/>
      <c r="E11" s="486"/>
      <c r="F11" s="487"/>
    </row>
    <row r="12" spans="1:6" ht="18.899999999999999" customHeight="1">
      <c r="A12" s="485"/>
      <c r="B12" s="494" t="s">
        <v>411</v>
      </c>
      <c r="C12" s="495" t="str">
        <f>'Performance Data Sheet'!D22 &amp; " A"</f>
        <v>730 A</v>
      </c>
      <c r="D12" s="494" t="s">
        <v>412</v>
      </c>
      <c r="E12" s="495" t="s">
        <v>410</v>
      </c>
      <c r="F12" s="487"/>
    </row>
    <row r="13" spans="1:6" ht="18.899999999999999" customHeight="1">
      <c r="A13" s="485"/>
      <c r="B13" s="494" t="s">
        <v>413</v>
      </c>
      <c r="C13" s="496">
        <v>1.5</v>
      </c>
      <c r="D13" s="494" t="s">
        <v>414</v>
      </c>
      <c r="E13" s="495" t="s">
        <v>410</v>
      </c>
      <c r="F13" s="487"/>
    </row>
    <row r="14" spans="1:6" ht="18.899999999999999" customHeight="1">
      <c r="A14" s="485"/>
      <c r="B14" s="494" t="s">
        <v>415</v>
      </c>
      <c r="C14" s="496">
        <v>2.2000000000000002</v>
      </c>
      <c r="D14" s="494" t="s">
        <v>416</v>
      </c>
      <c r="E14" s="495" t="s">
        <v>410</v>
      </c>
      <c r="F14" s="487"/>
    </row>
    <row r="15" spans="1:6" ht="18.899999999999999" customHeight="1">
      <c r="A15" s="485"/>
      <c r="B15" s="494" t="s">
        <v>417</v>
      </c>
      <c r="C15" s="495" t="s">
        <v>423</v>
      </c>
      <c r="D15" s="486"/>
      <c r="E15" s="486"/>
      <c r="F15" s="487"/>
    </row>
    <row r="16" spans="1:6" ht="18.899999999999999" customHeight="1">
      <c r="A16" s="485"/>
      <c r="B16" s="486"/>
      <c r="C16" s="486"/>
      <c r="D16" s="486"/>
      <c r="E16" s="486"/>
      <c r="F16" s="487"/>
    </row>
    <row r="17" spans="1:6" ht="18.899999999999999" customHeight="1">
      <c r="A17" s="485"/>
      <c r="B17" s="486"/>
      <c r="C17" s="486"/>
      <c r="D17" s="486"/>
      <c r="E17" s="486"/>
      <c r="F17" s="487"/>
    </row>
    <row r="18" spans="1:6" ht="18.899999999999999" customHeight="1">
      <c r="A18" s="485"/>
      <c r="B18" s="486"/>
      <c r="C18" s="486"/>
      <c r="D18" s="486"/>
      <c r="E18" s="486"/>
      <c r="F18" s="487"/>
    </row>
    <row r="19" spans="1:6" ht="18.899999999999999" customHeight="1">
      <c r="A19" s="485"/>
      <c r="B19" s="486"/>
      <c r="C19" s="486"/>
      <c r="D19" s="486"/>
      <c r="E19" s="486"/>
      <c r="F19" s="487"/>
    </row>
    <row r="20" spans="1:6" ht="18.899999999999999" customHeight="1">
      <c r="A20" s="485"/>
      <c r="B20" s="486"/>
      <c r="C20" s="486"/>
      <c r="D20" s="486"/>
      <c r="E20" s="486"/>
      <c r="F20" s="487"/>
    </row>
    <row r="21" spans="1:6" ht="18.899999999999999" customHeight="1">
      <c r="A21" s="485"/>
      <c r="B21" s="486"/>
      <c r="C21" s="486"/>
      <c r="D21" s="486"/>
      <c r="E21" s="486"/>
      <c r="F21" s="487"/>
    </row>
    <row r="22" spans="1:6" ht="18.899999999999999" customHeight="1">
      <c r="A22" s="485"/>
      <c r="B22" s="486"/>
      <c r="C22" s="486"/>
      <c r="D22" s="486"/>
      <c r="E22" s="486"/>
      <c r="F22" s="487"/>
    </row>
    <row r="23" spans="1:6" ht="18.899999999999999" customHeight="1">
      <c r="A23" s="485"/>
      <c r="B23" s="486"/>
      <c r="C23" s="486"/>
      <c r="D23" s="486"/>
      <c r="E23" s="486"/>
      <c r="F23" s="487"/>
    </row>
    <row r="24" spans="1:6" ht="18.899999999999999" customHeight="1">
      <c r="A24" s="485"/>
      <c r="B24" s="486"/>
      <c r="C24" s="486"/>
      <c r="D24" s="486"/>
      <c r="E24" s="486"/>
      <c r="F24" s="487"/>
    </row>
    <row r="25" spans="1:6" ht="18.899999999999999" customHeight="1">
      <c r="A25" s="485"/>
      <c r="B25" s="486"/>
      <c r="C25" s="486"/>
      <c r="D25" s="486"/>
      <c r="E25" s="486"/>
      <c r="F25" s="487"/>
    </row>
    <row r="26" spans="1:6" ht="18.899999999999999" customHeight="1">
      <c r="A26" s="485"/>
      <c r="B26" s="486"/>
      <c r="C26" s="486"/>
      <c r="D26" s="486"/>
      <c r="E26" s="486"/>
      <c r="F26" s="487"/>
    </row>
    <row r="27" spans="1:6" ht="18.899999999999999" customHeight="1">
      <c r="A27" s="485"/>
      <c r="B27" s="486"/>
      <c r="C27" s="486"/>
      <c r="D27" s="486"/>
      <c r="E27" s="486"/>
      <c r="F27" s="487"/>
    </row>
    <row r="28" spans="1:6" ht="18.899999999999999" customHeight="1">
      <c r="A28" s="485"/>
      <c r="B28" s="486"/>
      <c r="C28" s="486"/>
      <c r="D28" s="486"/>
      <c r="E28" s="486"/>
      <c r="F28" s="487"/>
    </row>
    <row r="29" spans="1:6" ht="18.899999999999999" customHeight="1">
      <c r="A29" s="485"/>
      <c r="B29" s="486"/>
      <c r="C29" s="486"/>
      <c r="D29" s="486"/>
      <c r="E29" s="486"/>
      <c r="F29" s="487"/>
    </row>
    <row r="30" spans="1:6" ht="18.899999999999999" customHeight="1">
      <c r="A30" s="485"/>
      <c r="B30" s="486"/>
      <c r="C30" s="486"/>
      <c r="D30" s="486"/>
      <c r="E30" s="486"/>
      <c r="F30" s="487"/>
    </row>
    <row r="31" spans="1:6" ht="18.899999999999999" customHeight="1">
      <c r="A31" s="485"/>
      <c r="B31" s="486"/>
      <c r="C31" s="486"/>
      <c r="D31" s="486"/>
      <c r="E31" s="486"/>
      <c r="F31" s="487"/>
    </row>
    <row r="32" spans="1:6" ht="18.899999999999999" customHeight="1">
      <c r="A32" s="485"/>
      <c r="B32" s="486"/>
      <c r="C32" s="486"/>
      <c r="D32" s="486"/>
      <c r="E32" s="486"/>
      <c r="F32" s="487"/>
    </row>
    <row r="33" spans="1:6" ht="18.899999999999999" customHeight="1">
      <c r="A33" s="485"/>
      <c r="B33" s="486"/>
      <c r="C33" s="486"/>
      <c r="D33" s="486"/>
      <c r="E33" s="486"/>
      <c r="F33" s="487"/>
    </row>
    <row r="34" spans="1:6" ht="18.899999999999999" customHeight="1">
      <c r="A34" s="485"/>
      <c r="B34" s="486"/>
      <c r="C34" s="486"/>
      <c r="D34" s="486"/>
      <c r="E34" s="486"/>
      <c r="F34" s="487"/>
    </row>
    <row r="35" spans="1:6" ht="18.899999999999999" customHeight="1">
      <c r="A35" s="485"/>
      <c r="B35" s="486"/>
      <c r="C35" s="486"/>
      <c r="D35" s="486"/>
      <c r="E35" s="486"/>
      <c r="F35" s="487"/>
    </row>
    <row r="36" spans="1:6" ht="18.899999999999999" customHeight="1">
      <c r="A36" s="485"/>
      <c r="B36" s="486"/>
      <c r="C36" s="486"/>
      <c r="D36" s="486"/>
      <c r="E36" s="486"/>
      <c r="F36" s="487"/>
    </row>
    <row r="37" spans="1:6" ht="18.899999999999999" customHeight="1">
      <c r="A37" s="485"/>
      <c r="B37" s="486"/>
      <c r="C37" s="486"/>
      <c r="D37" s="486"/>
      <c r="E37" s="486"/>
      <c r="F37" s="487"/>
    </row>
    <row r="38" spans="1:6" ht="18.899999999999999" customHeight="1">
      <c r="A38" s="485"/>
      <c r="B38" s="486"/>
      <c r="C38" s="486"/>
      <c r="D38" s="486"/>
      <c r="E38" s="486"/>
      <c r="F38" s="487"/>
    </row>
    <row r="39" spans="1:6" ht="18.899999999999999" customHeight="1">
      <c r="A39" s="497" t="s">
        <v>418</v>
      </c>
      <c r="B39" s="498" t="s">
        <v>371</v>
      </c>
      <c r="C39" s="679">
        <f>'Performance Data Sheet'!C10</f>
        <v>0</v>
      </c>
      <c r="D39" s="486"/>
      <c r="E39" s="494" t="s">
        <v>419</v>
      </c>
      <c r="F39" s="499" t="str">
        <f>F10</f>
        <v>2T6800U REV1.</v>
      </c>
    </row>
    <row r="40" spans="1:6" ht="18.899999999999999" customHeight="1">
      <c r="A40" s="485"/>
      <c r="B40" s="498"/>
      <c r="C40" s="498"/>
      <c r="D40" s="486"/>
      <c r="E40" s="486"/>
      <c r="F40" s="487"/>
    </row>
    <row r="41" spans="1:6" ht="18.899999999999999" customHeight="1">
      <c r="A41" s="485"/>
      <c r="B41" s="498"/>
      <c r="C41" s="498"/>
      <c r="D41" s="486"/>
      <c r="E41" s="486"/>
      <c r="F41" s="487"/>
    </row>
    <row r="42" spans="1:6" ht="18.899999999999999" customHeight="1">
      <c r="A42" s="485"/>
      <c r="B42" s="486"/>
      <c r="C42" s="486"/>
      <c r="D42" s="486"/>
      <c r="E42" s="486"/>
      <c r="F42" s="487"/>
    </row>
    <row r="43" spans="1:6" ht="18.899999999999999" customHeight="1">
      <c r="A43" s="500"/>
      <c r="B43" s="498"/>
      <c r="C43" s="501" t="s">
        <v>420</v>
      </c>
      <c r="D43" s="502" t="str">
        <f>'Performance Data Sheet'!K42</f>
        <v>JERRY R</v>
      </c>
      <c r="E43" s="501" t="s">
        <v>421</v>
      </c>
      <c r="F43" s="50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506">
        <v>100</v>
      </c>
      <c r="B54" s="476">
        <v>0</v>
      </c>
      <c r="C54" s="476">
        <v>0.39323347806930542</v>
      </c>
    </row>
    <row r="55" spans="1:3" ht="15" customHeight="1">
      <c r="A55" s="506">
        <v>99.600000027567148</v>
      </c>
      <c r="B55" s="476">
        <v>58.151261602155792</v>
      </c>
      <c r="C55" s="476">
        <v>79.235595703125</v>
      </c>
    </row>
    <row r="56" spans="1:3" ht="15" customHeight="1">
      <c r="A56" s="506">
        <v>98.000000044703484</v>
      </c>
      <c r="B56" s="476">
        <v>202.77836097261726</v>
      </c>
      <c r="C56" s="476">
        <v>281.76608276367188</v>
      </c>
    </row>
    <row r="57" spans="1:3">
      <c r="A57" s="506">
        <v>96.000000089406967</v>
      </c>
      <c r="B57" s="476">
        <v>220</v>
      </c>
      <c r="C57" s="476">
        <v>409.136474609375</v>
      </c>
    </row>
    <row r="58" spans="1:3">
      <c r="A58" s="506">
        <v>89.999999850988388</v>
      </c>
      <c r="B58" s="476">
        <v>154.53456722191009</v>
      </c>
      <c r="C58" s="476">
        <v>464.34567260742188</v>
      </c>
    </row>
    <row r="59" spans="1:3">
      <c r="A59" s="506">
        <v>84.000000357627869</v>
      </c>
      <c r="B59" s="476">
        <v>129.86275948978025</v>
      </c>
      <c r="C59" s="476">
        <v>493.0284423828125</v>
      </c>
    </row>
    <row r="60" spans="1:3">
      <c r="A60" s="506">
        <v>71.99999988079071</v>
      </c>
      <c r="B60" s="476">
        <v>111.69624438103961</v>
      </c>
      <c r="C60" s="476">
        <v>524.26165771484375</v>
      </c>
    </row>
    <row r="61" spans="1:3">
      <c r="A61" s="506">
        <v>59.999999403953552</v>
      </c>
      <c r="B61" s="476">
        <v>105</v>
      </c>
      <c r="C61" s="476">
        <v>544.417236328125</v>
      </c>
    </row>
    <row r="62" spans="1:3">
      <c r="A62" s="506">
        <v>50</v>
      </c>
      <c r="B62" s="476">
        <v>105.28160373707013</v>
      </c>
      <c r="C62" s="476">
        <v>561.4146728515625</v>
      </c>
    </row>
    <row r="63" spans="1:3">
      <c r="A63" s="506">
        <v>39.999997615814209</v>
      </c>
      <c r="B63" s="476">
        <v>106.90940368521325</v>
      </c>
      <c r="C63" s="476">
        <v>577.4471435546875</v>
      </c>
    </row>
    <row r="64" spans="1:3">
      <c r="A64" s="506">
        <v>30.000001192092896</v>
      </c>
      <c r="B64" s="476">
        <v>110.65230143068808</v>
      </c>
      <c r="C64" s="476">
        <v>593.25982666015625</v>
      </c>
    </row>
    <row r="65" spans="1:3">
      <c r="A65" s="506">
        <v>19.999998807907104</v>
      </c>
      <c r="B65" s="476">
        <v>117.73690824540756</v>
      </c>
      <c r="C65" s="476">
        <v>609.12591552734375</v>
      </c>
    </row>
    <row r="66" spans="1:3">
      <c r="A66" s="506">
        <v>10.000002384185791</v>
      </c>
      <c r="B66" s="476">
        <v>130.04490244993832</v>
      </c>
      <c r="C66" s="476">
        <v>625.11181640625</v>
      </c>
    </row>
    <row r="67" spans="1:3">
      <c r="A67" s="507">
        <v>0</v>
      </c>
      <c r="B67" s="476">
        <v>150</v>
      </c>
      <c r="C67" s="476">
        <v>640.35089111328125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A6" sqref="A6:F10"/>
    </sheetView>
  </sheetViews>
  <sheetFormatPr defaultRowHeight="13.2"/>
  <cols>
    <col min="1" max="6" width="16.6640625" style="480" customWidth="1"/>
    <col min="7" max="16384" width="8.88671875" style="480"/>
  </cols>
  <sheetData>
    <row r="1" spans="1:6" ht="18.899999999999999" customHeight="1">
      <c r="A1" s="477"/>
      <c r="B1" s="478"/>
      <c r="C1" s="478"/>
      <c r="D1" s="478"/>
      <c r="E1" s="478"/>
      <c r="F1" s="479"/>
    </row>
    <row r="2" spans="1:6" ht="26.1" customHeight="1">
      <c r="A2" s="481" t="s">
        <v>269</v>
      </c>
      <c r="B2" s="482"/>
      <c r="C2" s="482"/>
      <c r="D2" s="482"/>
      <c r="E2" s="482"/>
      <c r="F2" s="483"/>
    </row>
    <row r="3" spans="1:6" ht="18.899999999999999" customHeight="1">
      <c r="A3" s="543" t="s">
        <v>583</v>
      </c>
      <c r="B3" s="544"/>
      <c r="C3" s="544"/>
      <c r="D3" s="544"/>
      <c r="E3" s="544"/>
      <c r="F3" s="545"/>
    </row>
    <row r="4" spans="1:6" ht="18.899999999999999" customHeight="1">
      <c r="A4" s="546" t="s">
        <v>584</v>
      </c>
      <c r="B4" s="547"/>
      <c r="C4" s="547"/>
      <c r="D4" s="547"/>
      <c r="E4" s="547"/>
      <c r="F4" s="548"/>
    </row>
    <row r="5" spans="1:6" ht="18.899999999999999" customHeight="1">
      <c r="A5" s="485"/>
      <c r="B5" s="486"/>
      <c r="C5" s="486"/>
      <c r="D5" s="486"/>
      <c r="E5" s="486"/>
      <c r="F5" s="487"/>
    </row>
    <row r="6" spans="1:6" ht="18.899999999999999" customHeight="1">
      <c r="A6" s="488" t="s">
        <v>397</v>
      </c>
      <c r="B6" s="489" t="str">
        <f>'Performance Data Sheet'!C17</f>
        <v>8006WTAL11E-A</v>
      </c>
      <c r="C6" s="490"/>
      <c r="D6" s="491"/>
      <c r="E6" s="488" t="s">
        <v>398</v>
      </c>
      <c r="F6" s="492" t="str">
        <f>'Performance Data Sheet'!I14 &amp; " A"</f>
        <v>114 A</v>
      </c>
    </row>
    <row r="7" spans="1:6" ht="18.899999999999999" customHeight="1">
      <c r="A7" s="488" t="s">
        <v>399</v>
      </c>
      <c r="B7" s="492" t="str">
        <f>'Performance Data Sheet'!F14</f>
        <v>WP-II</v>
      </c>
      <c r="C7" s="488" t="s">
        <v>400</v>
      </c>
      <c r="D7" s="492" t="str">
        <f>'Performance Data Sheet'!F13 &amp; " V"</f>
        <v>4000 V</v>
      </c>
      <c r="E7" s="488" t="s">
        <v>401</v>
      </c>
      <c r="F7" s="492" t="str">
        <f>'Performance Data Sheet'!C14</f>
        <v>5812U</v>
      </c>
    </row>
    <row r="8" spans="1:6" ht="18.899999999999999" customHeight="1">
      <c r="A8" s="488" t="s">
        <v>402</v>
      </c>
      <c r="B8" s="492">
        <v>6</v>
      </c>
      <c r="C8" s="488" t="s">
        <v>403</v>
      </c>
      <c r="D8" s="492" t="s">
        <v>404</v>
      </c>
      <c r="E8" s="488" t="s">
        <v>405</v>
      </c>
      <c r="F8" s="492" t="s">
        <v>364</v>
      </c>
    </row>
    <row r="9" spans="1:6" ht="18.899999999999999" customHeight="1">
      <c r="A9" s="488" t="s">
        <v>406</v>
      </c>
      <c r="B9" s="492">
        <v>800</v>
      </c>
      <c r="C9" s="488" t="s">
        <v>407</v>
      </c>
      <c r="D9" s="492" t="s">
        <v>422</v>
      </c>
      <c r="E9" s="488" t="s">
        <v>2</v>
      </c>
      <c r="F9" s="493">
        <f>'Performance Data Sheet'!K44</f>
        <v>44866</v>
      </c>
    </row>
    <row r="10" spans="1:6" ht="18.899999999999999" customHeight="1">
      <c r="A10" s="488" t="s">
        <v>408</v>
      </c>
      <c r="B10" s="492">
        <v>1180</v>
      </c>
      <c r="C10" s="488" t="s">
        <v>409</v>
      </c>
      <c r="D10" s="492" t="s">
        <v>410</v>
      </c>
      <c r="E10" s="488" t="s">
        <v>1</v>
      </c>
      <c r="F10" s="492" t="s">
        <v>697</v>
      </c>
    </row>
    <row r="11" spans="1:6" ht="18.899999999999999" customHeight="1">
      <c r="A11" s="485"/>
      <c r="B11" s="486"/>
      <c r="C11" s="486"/>
      <c r="D11" s="486"/>
      <c r="E11" s="486"/>
      <c r="F11" s="487"/>
    </row>
    <row r="12" spans="1:6" ht="18.899999999999999" customHeight="1">
      <c r="A12" s="485"/>
      <c r="B12" s="494"/>
      <c r="C12" s="495"/>
      <c r="D12" s="494"/>
      <c r="E12" s="495"/>
      <c r="F12" s="487"/>
    </row>
    <row r="13" spans="1:6" ht="18.899999999999999" customHeight="1">
      <c r="A13" s="485"/>
      <c r="B13" s="494"/>
      <c r="C13" s="496"/>
      <c r="D13" s="494"/>
      <c r="E13" s="495"/>
      <c r="F13" s="487"/>
    </row>
    <row r="14" spans="1:6" ht="18.899999999999999" customHeight="1">
      <c r="A14" s="485"/>
      <c r="B14" s="494"/>
      <c r="C14" s="496"/>
      <c r="D14" s="494"/>
      <c r="E14" s="495"/>
      <c r="F14" s="487"/>
    </row>
    <row r="15" spans="1:6" ht="18.899999999999999" customHeight="1">
      <c r="A15" s="485"/>
      <c r="B15" s="494"/>
      <c r="C15" s="495"/>
      <c r="D15" s="486"/>
      <c r="E15" s="486"/>
      <c r="F15" s="487"/>
    </row>
    <row r="16" spans="1:6" ht="18.899999999999999" customHeight="1">
      <c r="A16" s="485"/>
      <c r="B16" s="486"/>
      <c r="C16" s="486"/>
      <c r="D16" s="486"/>
      <c r="E16" s="486"/>
      <c r="F16" s="487"/>
    </row>
    <row r="17" spans="1:6" ht="18.899999999999999" customHeight="1">
      <c r="A17" s="485"/>
      <c r="B17" s="486"/>
      <c r="C17" s="486"/>
      <c r="D17" s="486"/>
      <c r="E17" s="486"/>
      <c r="F17" s="487"/>
    </row>
    <row r="18" spans="1:6" ht="18.899999999999999" customHeight="1">
      <c r="A18" s="485"/>
      <c r="B18" s="486"/>
      <c r="C18" s="486"/>
      <c r="D18" s="486"/>
      <c r="E18" s="486"/>
      <c r="F18" s="487"/>
    </row>
    <row r="19" spans="1:6" ht="18.899999999999999" customHeight="1">
      <c r="A19" s="485"/>
      <c r="B19" s="486"/>
      <c r="C19" s="486"/>
      <c r="D19" s="486"/>
      <c r="E19" s="486"/>
      <c r="F19" s="487"/>
    </row>
    <row r="20" spans="1:6" ht="18.899999999999999" customHeight="1">
      <c r="A20" s="485"/>
      <c r="B20" s="486"/>
      <c r="C20" s="486"/>
      <c r="D20" s="486"/>
      <c r="E20" s="486"/>
      <c r="F20" s="487"/>
    </row>
    <row r="21" spans="1:6" ht="18.899999999999999" customHeight="1">
      <c r="A21" s="485"/>
      <c r="B21" s="486"/>
      <c r="C21" s="486"/>
      <c r="D21" s="486"/>
      <c r="E21" s="486"/>
      <c r="F21" s="487"/>
    </row>
    <row r="22" spans="1:6" ht="18.899999999999999" customHeight="1">
      <c r="A22" s="485"/>
      <c r="B22" s="486"/>
      <c r="C22" s="486"/>
      <c r="D22" s="486"/>
      <c r="E22" s="486"/>
      <c r="F22" s="487"/>
    </row>
    <row r="23" spans="1:6" ht="18.899999999999999" customHeight="1">
      <c r="A23" s="485"/>
      <c r="B23" s="486"/>
      <c r="C23" s="486"/>
      <c r="D23" s="486"/>
      <c r="E23" s="486"/>
      <c r="F23" s="487"/>
    </row>
    <row r="24" spans="1:6" ht="18.899999999999999" customHeight="1">
      <c r="A24" s="485"/>
      <c r="B24" s="486"/>
      <c r="C24" s="486"/>
      <c r="D24" s="486"/>
      <c r="E24" s="486"/>
      <c r="F24" s="487"/>
    </row>
    <row r="25" spans="1:6" ht="18.899999999999999" customHeight="1">
      <c r="A25" s="485"/>
      <c r="B25" s="486"/>
      <c r="C25" s="486"/>
      <c r="D25" s="486"/>
      <c r="E25" s="486"/>
      <c r="F25" s="487"/>
    </row>
    <row r="26" spans="1:6" ht="18.899999999999999" customHeight="1">
      <c r="A26" s="485"/>
      <c r="B26" s="486"/>
      <c r="C26" s="486"/>
      <c r="D26" s="486"/>
      <c r="E26" s="486"/>
      <c r="F26" s="487"/>
    </row>
    <row r="27" spans="1:6" ht="18.899999999999999" customHeight="1">
      <c r="A27" s="485"/>
      <c r="B27" s="486"/>
      <c r="C27" s="486"/>
      <c r="D27" s="486"/>
      <c r="E27" s="486"/>
      <c r="F27" s="487"/>
    </row>
    <row r="28" spans="1:6" ht="18.899999999999999" customHeight="1">
      <c r="A28" s="485"/>
      <c r="B28" s="486"/>
      <c r="C28" s="486"/>
      <c r="D28" s="486"/>
      <c r="E28" s="486"/>
      <c r="F28" s="487"/>
    </row>
    <row r="29" spans="1:6" ht="18.899999999999999" customHeight="1">
      <c r="A29" s="485"/>
      <c r="B29" s="486"/>
      <c r="C29" s="486"/>
      <c r="D29" s="486"/>
      <c r="E29" s="486"/>
      <c r="F29" s="487"/>
    </row>
    <row r="30" spans="1:6" ht="18.899999999999999" customHeight="1">
      <c r="A30" s="485"/>
      <c r="B30" s="486"/>
      <c r="C30" s="486"/>
      <c r="D30" s="486"/>
      <c r="E30" s="486"/>
      <c r="F30" s="487"/>
    </row>
    <row r="31" spans="1:6" ht="18.899999999999999" customHeight="1">
      <c r="A31" s="485"/>
      <c r="B31" s="486"/>
      <c r="C31" s="486"/>
      <c r="D31" s="486"/>
      <c r="E31" s="486"/>
      <c r="F31" s="487"/>
    </row>
    <row r="32" spans="1:6" ht="18.899999999999999" customHeight="1">
      <c r="A32" s="485"/>
      <c r="B32" s="486"/>
      <c r="C32" s="486"/>
      <c r="D32" s="486"/>
      <c r="E32" s="486"/>
      <c r="F32" s="487"/>
    </row>
    <row r="33" spans="1:6" ht="18.899999999999999" customHeight="1">
      <c r="A33" s="485"/>
      <c r="B33" s="486"/>
      <c r="C33" s="486"/>
      <c r="D33" s="486"/>
      <c r="E33" s="486"/>
      <c r="F33" s="487"/>
    </row>
    <row r="34" spans="1:6" ht="18.899999999999999" customHeight="1">
      <c r="A34" s="485"/>
      <c r="B34" s="486"/>
      <c r="C34" s="486"/>
      <c r="D34" s="486"/>
      <c r="E34" s="486"/>
      <c r="F34" s="487"/>
    </row>
    <row r="35" spans="1:6" ht="18.899999999999999" customHeight="1">
      <c r="A35" s="485"/>
      <c r="B35" s="486"/>
      <c r="C35" s="486"/>
      <c r="D35" s="486"/>
      <c r="E35" s="486"/>
      <c r="F35" s="487"/>
    </row>
    <row r="36" spans="1:6" ht="18.899999999999999" customHeight="1">
      <c r="A36" s="485"/>
      <c r="B36" s="486"/>
      <c r="C36" s="486"/>
      <c r="D36" s="486"/>
      <c r="E36" s="486"/>
      <c r="F36" s="487"/>
    </row>
    <row r="37" spans="1:6" ht="18.899999999999999" customHeight="1">
      <c r="A37" s="485"/>
      <c r="B37" s="486"/>
      <c r="C37" s="486"/>
      <c r="D37" s="486"/>
      <c r="E37" s="486"/>
      <c r="F37" s="487"/>
    </row>
    <row r="38" spans="1:6" ht="18.899999999999999" customHeight="1">
      <c r="A38" s="485"/>
      <c r="B38" s="486"/>
      <c r="C38" s="486"/>
      <c r="D38" s="486"/>
      <c r="E38" s="486"/>
      <c r="F38" s="487"/>
    </row>
    <row r="39" spans="1:6" ht="18.899999999999999" customHeight="1">
      <c r="A39" s="497" t="s">
        <v>418</v>
      </c>
      <c r="B39" s="498" t="s">
        <v>371</v>
      </c>
      <c r="C39" s="679">
        <f>'Performance Data Sheet'!C10</f>
        <v>0</v>
      </c>
      <c r="D39" s="486"/>
      <c r="E39" s="494" t="s">
        <v>419</v>
      </c>
      <c r="F39" s="499" t="str">
        <f>F10</f>
        <v>2T6800U REV1.</v>
      </c>
    </row>
    <row r="40" spans="1:6" ht="18.899999999999999" customHeight="1">
      <c r="A40" s="485"/>
      <c r="B40" s="498"/>
      <c r="C40" s="498"/>
      <c r="D40" s="486"/>
      <c r="E40" s="486"/>
      <c r="F40" s="487"/>
    </row>
    <row r="41" spans="1:6" ht="18.899999999999999" customHeight="1">
      <c r="A41" s="485"/>
      <c r="B41" s="498"/>
      <c r="C41" s="498"/>
      <c r="D41" s="486"/>
      <c r="E41" s="486"/>
      <c r="F41" s="487"/>
    </row>
    <row r="42" spans="1:6" ht="18.899999999999999" customHeight="1">
      <c r="A42" s="485"/>
      <c r="B42" s="486"/>
      <c r="C42" s="486"/>
      <c r="D42" s="486"/>
      <c r="E42" s="486"/>
      <c r="F42" s="487"/>
    </row>
    <row r="43" spans="1:6" ht="18.899999999999999" customHeight="1">
      <c r="A43" s="500"/>
      <c r="B43" s="498"/>
      <c r="C43" s="501" t="s">
        <v>420</v>
      </c>
      <c r="D43" s="502" t="str">
        <f>'Performance Data Sheet'!K42</f>
        <v>JERRY R</v>
      </c>
      <c r="E43" s="501" t="s">
        <v>421</v>
      </c>
      <c r="F43" s="50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49" t="e">
        <f>5252.1*B50/D53</f>
        <v>#DIV/0!</v>
      </c>
      <c r="G50" s="549"/>
    </row>
    <row r="51" spans="6:9" ht="15" customHeight="1">
      <c r="G51" s="550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1"/>
    </row>
    <row r="63" spans="6:9">
      <c r="I63" s="552" t="s">
        <v>39</v>
      </c>
    </row>
    <row r="64" spans="6:9">
      <c r="I64" s="552"/>
    </row>
    <row r="65" spans="1:9">
      <c r="I65" s="552"/>
    </row>
    <row r="66" spans="1:9">
      <c r="D66" s="549" t="e">
        <f>D65/D64</f>
        <v>#DIV/0!</v>
      </c>
    </row>
    <row r="67" spans="1:9">
      <c r="A67" s="553" t="s">
        <v>394</v>
      </c>
      <c r="B67" s="553" t="s">
        <v>585</v>
      </c>
      <c r="C67" s="553" t="s">
        <v>586</v>
      </c>
      <c r="E67" s="553" t="s">
        <v>587</v>
      </c>
      <c r="F67" s="553" t="s">
        <v>588</v>
      </c>
    </row>
    <row r="68" spans="1:9">
      <c r="A68" s="554">
        <v>640.35087719298247</v>
      </c>
      <c r="B68" s="555">
        <v>13.088557379586357</v>
      </c>
      <c r="C68" s="555">
        <v>5.4838306563241144</v>
      </c>
      <c r="E68" s="554">
        <f>A68</f>
        <v>640.35087719298247</v>
      </c>
      <c r="F68" s="555">
        <v>1E-4</v>
      </c>
    </row>
    <row r="69" spans="1:9">
      <c r="A69" s="554">
        <f>FLOOR(A68,100)</f>
        <v>600</v>
      </c>
      <c r="B69" s="555">
        <f>((A68/A69)^2)*B68</f>
        <v>14.908203010288567</v>
      </c>
      <c r="C69" s="555">
        <f>((A68/A69)^2)*C68</f>
        <v>6.2462239594129816</v>
      </c>
      <c r="E69" s="554">
        <v>632.71929824561403</v>
      </c>
      <c r="F69" s="555">
        <v>0.76700001955032349</v>
      </c>
    </row>
    <row r="70" spans="1:9">
      <c r="A70" s="554">
        <f>A69-100</f>
        <v>500</v>
      </c>
      <c r="B70" s="555">
        <f>((A68/A70)^2)*B68</f>
        <v>21.467812334815541</v>
      </c>
      <c r="C70" s="555">
        <f>((A68/A70)^2)*C68</f>
        <v>8.9945625015546948</v>
      </c>
      <c r="E70" s="554">
        <v>617.10526315789468</v>
      </c>
      <c r="F70" s="555">
        <v>1.5690000057220459</v>
      </c>
    </row>
    <row r="71" spans="1:9">
      <c r="A71" s="554">
        <f>A70-100</f>
        <v>400</v>
      </c>
      <c r="B71" s="555">
        <f>((A68/A71)^2)*B68</f>
        <v>33.543456773149281</v>
      </c>
      <c r="C71" s="555">
        <f>((A68/A71)^2)*C68</f>
        <v>14.05400390867921</v>
      </c>
      <c r="E71" s="554">
        <v>601.22807017543857</v>
      </c>
      <c r="F71" s="555">
        <v>2.4100000858306885</v>
      </c>
    </row>
    <row r="72" spans="1:9">
      <c r="A72" s="554">
        <f>A71-100</f>
        <v>300</v>
      </c>
      <c r="B72" s="555">
        <f>((A68/A72)^2)*B68</f>
        <v>59.632812041154267</v>
      </c>
      <c r="C72" s="555"/>
      <c r="E72" s="554">
        <v>585.35087719298247</v>
      </c>
      <c r="F72" s="555">
        <v>3.2950000762939453</v>
      </c>
    </row>
    <row r="73" spans="1:9">
      <c r="A73" s="554">
        <f>A72-100</f>
        <v>200</v>
      </c>
      <c r="B73" s="555">
        <f>((A68/A73)^2)*B68</f>
        <v>134.17382709259712</v>
      </c>
      <c r="C73" s="555"/>
      <c r="E73" s="554">
        <v>569.47368421052636</v>
      </c>
      <c r="F73" s="555">
        <v>4.2430000305175781</v>
      </c>
    </row>
    <row r="74" spans="1:9">
      <c r="A74" s="554">
        <v>220</v>
      </c>
      <c r="B74" s="555">
        <f>((A68/A74)^2)*B68</f>
        <v>110.8874604071051</v>
      </c>
      <c r="C74" s="555">
        <f>((A68/A74)^2)*C68</f>
        <v>46.459517053485001</v>
      </c>
      <c r="E74" s="554">
        <v>552.8947368421052</v>
      </c>
      <c r="F74" s="555">
        <v>5.2779998779296875</v>
      </c>
    </row>
    <row r="75" spans="1:9">
      <c r="A75" s="556">
        <v>180</v>
      </c>
      <c r="B75" s="555">
        <f>((A68/A75)^2)*B69</f>
        <v>188.67584575365015</v>
      </c>
      <c r="C75" s="555">
        <f>((A68/A75)^2)*C68</f>
        <v>69.402488437922031</v>
      </c>
      <c r="E75" s="554">
        <v>534.29824561403507</v>
      </c>
      <c r="F75" s="555">
        <v>6.6449999809265137</v>
      </c>
    </row>
    <row r="76" spans="1:9">
      <c r="A76" s="556">
        <v>145</v>
      </c>
      <c r="B76" s="555">
        <f>((A68/A76)^2)*B68</f>
        <v>255.26530719162358</v>
      </c>
      <c r="C76" s="555">
        <f>((A68/A76)^2)*C68</f>
        <v>106.95080263441969</v>
      </c>
      <c r="E76" s="554">
        <v>508.68421052631578</v>
      </c>
      <c r="F76" s="555">
        <v>8.1230001449584961</v>
      </c>
    </row>
    <row r="77" spans="1:9">
      <c r="A77" s="556">
        <v>125</v>
      </c>
      <c r="B77" s="555"/>
      <c r="C77" s="554">
        <f>CEILING(C76*2,100)</f>
        <v>300</v>
      </c>
      <c r="E77" s="554">
        <v>478.68421052631584</v>
      </c>
      <c r="F77" s="555">
        <v>8.8360004425048828</v>
      </c>
    </row>
    <row r="78" spans="1:9">
      <c r="A78" s="556">
        <v>125</v>
      </c>
      <c r="B78" s="555"/>
      <c r="C78" s="554">
        <f>2*C77</f>
        <v>600</v>
      </c>
      <c r="E78" s="554">
        <v>436.75438596491227</v>
      </c>
      <c r="F78" s="555">
        <v>9.3489999771118164</v>
      </c>
    </row>
    <row r="79" spans="1:9">
      <c r="A79" s="556">
        <v>125</v>
      </c>
      <c r="B79" s="556"/>
      <c r="C79" s="556">
        <v>10000</v>
      </c>
      <c r="E79" s="554">
        <v>345.43859649122805</v>
      </c>
      <c r="F79" s="555">
        <v>9.5010004043579102</v>
      </c>
    </row>
    <row r="80" spans="1:9">
      <c r="E80" s="554">
        <v>0</v>
      </c>
      <c r="F80" s="555">
        <v>9.633000373840332</v>
      </c>
    </row>
    <row r="81" spans="5:6">
      <c r="E81" s="554"/>
      <c r="F81" s="555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A6" sqref="A6:F10"/>
    </sheetView>
  </sheetViews>
  <sheetFormatPr defaultRowHeight="13.2"/>
  <cols>
    <col min="1" max="6" width="16.6640625" style="480" customWidth="1"/>
    <col min="7" max="16384" width="8.88671875" style="480"/>
  </cols>
  <sheetData>
    <row r="1" spans="1:6" ht="18.899999999999999" customHeight="1">
      <c r="A1" s="477"/>
      <c r="B1" s="478"/>
      <c r="C1" s="478"/>
      <c r="D1" s="478"/>
      <c r="E1" s="478"/>
      <c r="F1" s="479"/>
    </row>
    <row r="2" spans="1:6" ht="26.1" customHeight="1">
      <c r="A2" s="481" t="s">
        <v>269</v>
      </c>
      <c r="B2" s="482"/>
      <c r="C2" s="482"/>
      <c r="D2" s="482"/>
      <c r="E2" s="482"/>
      <c r="F2" s="483"/>
    </row>
    <row r="3" spans="1:6" ht="18.899999999999999" customHeight="1">
      <c r="A3" s="484" t="s">
        <v>589</v>
      </c>
      <c r="B3" s="482"/>
      <c r="C3" s="482"/>
      <c r="D3" s="482"/>
      <c r="E3" s="482"/>
      <c r="F3" s="483"/>
    </row>
    <row r="4" spans="1:6" ht="18.899999999999999" customHeight="1">
      <c r="A4" s="546" t="s">
        <v>584</v>
      </c>
      <c r="B4" s="547"/>
      <c r="C4" s="547"/>
      <c r="D4" s="547"/>
      <c r="E4" s="547"/>
      <c r="F4" s="548"/>
    </row>
    <row r="5" spans="1:6" ht="18.899999999999999" customHeight="1">
      <c r="A5" s="485"/>
      <c r="B5" s="486"/>
      <c r="C5" s="486"/>
      <c r="D5" s="486"/>
      <c r="E5" s="486"/>
      <c r="F5" s="487"/>
    </row>
    <row r="6" spans="1:6" ht="18.899999999999999" customHeight="1">
      <c r="A6" s="488" t="s">
        <v>397</v>
      </c>
      <c r="B6" s="489" t="str">
        <f>'Performance Data Sheet'!C17</f>
        <v>8006WTAL11E-A</v>
      </c>
      <c r="C6" s="490"/>
      <c r="D6" s="491"/>
      <c r="E6" s="488" t="s">
        <v>398</v>
      </c>
      <c r="F6" s="492" t="str">
        <f>'Performance Data Sheet'!I14 &amp; " A"</f>
        <v>114 A</v>
      </c>
    </row>
    <row r="7" spans="1:6" ht="18.899999999999999" customHeight="1">
      <c r="A7" s="488" t="s">
        <v>399</v>
      </c>
      <c r="B7" s="492" t="str">
        <f>'Performance Data Sheet'!F14</f>
        <v>WP-II</v>
      </c>
      <c r="C7" s="488" t="s">
        <v>400</v>
      </c>
      <c r="D7" s="492" t="str">
        <f>'Performance Data Sheet'!F13 &amp; " V"</f>
        <v>4000 V</v>
      </c>
      <c r="E7" s="488" t="s">
        <v>401</v>
      </c>
      <c r="F7" s="492" t="str">
        <f>'Performance Data Sheet'!C14</f>
        <v>5812U</v>
      </c>
    </row>
    <row r="8" spans="1:6" ht="18.899999999999999" customHeight="1">
      <c r="A8" s="488" t="s">
        <v>402</v>
      </c>
      <c r="B8" s="492">
        <v>6</v>
      </c>
      <c r="C8" s="488" t="s">
        <v>403</v>
      </c>
      <c r="D8" s="492" t="s">
        <v>404</v>
      </c>
      <c r="E8" s="488" t="s">
        <v>405</v>
      </c>
      <c r="F8" s="492" t="s">
        <v>364</v>
      </c>
    </row>
    <row r="9" spans="1:6" ht="18.899999999999999" customHeight="1">
      <c r="A9" s="488" t="s">
        <v>406</v>
      </c>
      <c r="B9" s="492">
        <v>800</v>
      </c>
      <c r="C9" s="488" t="s">
        <v>407</v>
      </c>
      <c r="D9" s="492" t="s">
        <v>422</v>
      </c>
      <c r="E9" s="488" t="s">
        <v>2</v>
      </c>
      <c r="F9" s="493">
        <f>'Performance Data Sheet'!K44</f>
        <v>44866</v>
      </c>
    </row>
    <row r="10" spans="1:6" ht="18.899999999999999" customHeight="1">
      <c r="A10" s="488" t="s">
        <v>408</v>
      </c>
      <c r="B10" s="492">
        <v>1180</v>
      </c>
      <c r="C10" s="488" t="s">
        <v>409</v>
      </c>
      <c r="D10" s="492" t="s">
        <v>410</v>
      </c>
      <c r="E10" s="488" t="s">
        <v>1</v>
      </c>
      <c r="F10" s="492" t="s">
        <v>697</v>
      </c>
    </row>
    <row r="11" spans="1:6" ht="18.899999999999999" customHeight="1">
      <c r="A11" s="485"/>
      <c r="B11" s="486"/>
      <c r="C11" s="486"/>
      <c r="D11" s="486"/>
      <c r="E11" s="486"/>
      <c r="F11" s="487"/>
    </row>
    <row r="12" spans="1:6" ht="18.899999999999999" customHeight="1">
      <c r="A12" s="485"/>
      <c r="B12" s="494" t="s">
        <v>411</v>
      </c>
      <c r="C12" s="495" t="str">
        <f>'Performance Data Sheet'!D22 &amp; " A"</f>
        <v>730 A</v>
      </c>
      <c r="D12" s="494" t="s">
        <v>412</v>
      </c>
      <c r="E12" s="495" t="s">
        <v>410</v>
      </c>
      <c r="F12" s="487"/>
    </row>
    <row r="13" spans="1:6" ht="18.899999999999999" customHeight="1">
      <c r="A13" s="485"/>
      <c r="B13" s="494" t="s">
        <v>413</v>
      </c>
      <c r="C13" s="496">
        <v>1.5</v>
      </c>
      <c r="D13" s="494" t="s">
        <v>414</v>
      </c>
      <c r="E13" s="495" t="s">
        <v>410</v>
      </c>
      <c r="F13" s="487"/>
    </row>
    <row r="14" spans="1:6" ht="18.899999999999999" customHeight="1">
      <c r="A14" s="485"/>
      <c r="B14" s="494" t="s">
        <v>415</v>
      </c>
      <c r="C14" s="496">
        <v>2.2000000000000002</v>
      </c>
      <c r="D14" s="494" t="s">
        <v>416</v>
      </c>
      <c r="E14" s="495" t="s">
        <v>410</v>
      </c>
      <c r="F14" s="487"/>
    </row>
    <row r="15" spans="1:6" ht="18.899999999999999" customHeight="1">
      <c r="A15" s="485"/>
      <c r="B15" s="494" t="s">
        <v>417</v>
      </c>
      <c r="C15" s="495" t="s">
        <v>423</v>
      </c>
      <c r="D15" s="486"/>
      <c r="E15" s="486"/>
      <c r="F15" s="487"/>
    </row>
    <row r="16" spans="1:6" ht="18.899999999999999" customHeight="1">
      <c r="A16" s="485"/>
      <c r="B16" s="486"/>
      <c r="C16" s="486"/>
      <c r="D16" s="486"/>
      <c r="E16" s="486"/>
      <c r="F16" s="487"/>
    </row>
    <row r="17" spans="1:8" ht="18.899999999999999" customHeight="1">
      <c r="A17" s="485"/>
      <c r="B17" s="486"/>
      <c r="C17" s="486"/>
      <c r="D17" s="486"/>
      <c r="E17" s="486"/>
      <c r="F17" s="487"/>
    </row>
    <row r="18" spans="1:8" ht="18.899999999999999" customHeight="1">
      <c r="A18" s="485"/>
      <c r="B18" s="486"/>
      <c r="C18" s="486"/>
      <c r="D18" s="486"/>
      <c r="E18" s="486"/>
      <c r="F18" s="487"/>
    </row>
    <row r="19" spans="1:8" ht="18.899999999999999" customHeight="1">
      <c r="A19" s="485"/>
      <c r="B19" s="486"/>
      <c r="C19" s="486"/>
      <c r="D19" s="486"/>
      <c r="E19" s="486"/>
      <c r="F19" s="487"/>
    </row>
    <row r="20" spans="1:8" ht="18.899999999999999" customHeight="1">
      <c r="A20" s="485"/>
      <c r="B20" s="486"/>
      <c r="C20" s="486"/>
      <c r="D20" s="486"/>
      <c r="E20" s="486"/>
      <c r="F20" s="487"/>
    </row>
    <row r="21" spans="1:8" ht="18.899999999999999" customHeight="1">
      <c r="A21" s="485"/>
      <c r="B21" s="486"/>
      <c r="C21" s="486"/>
      <c r="D21" s="486"/>
      <c r="E21" s="486"/>
      <c r="F21" s="487"/>
    </row>
    <row r="22" spans="1:8" ht="18.899999999999999" customHeight="1">
      <c r="A22" s="485"/>
      <c r="B22" s="486"/>
      <c r="C22" s="486"/>
      <c r="D22" s="486"/>
      <c r="E22" s="486"/>
      <c r="F22" s="487"/>
    </row>
    <row r="23" spans="1:8" ht="18.899999999999999" customHeight="1">
      <c r="A23" s="485"/>
      <c r="B23" s="486"/>
      <c r="C23" s="486"/>
      <c r="D23" s="486"/>
      <c r="E23" s="486"/>
      <c r="F23" s="487"/>
    </row>
    <row r="24" spans="1:8" ht="18.899999999999999" customHeight="1">
      <c r="A24" s="485"/>
      <c r="B24" s="486"/>
      <c r="C24" s="486"/>
      <c r="D24" s="486"/>
      <c r="E24" s="486"/>
      <c r="F24" s="487"/>
      <c r="H24" s="557"/>
    </row>
    <row r="25" spans="1:8" ht="18.899999999999999" customHeight="1">
      <c r="A25" s="485"/>
      <c r="B25" s="486"/>
      <c r="C25" s="486"/>
      <c r="D25" s="486"/>
      <c r="E25" s="486"/>
      <c r="F25" s="487"/>
    </row>
    <row r="26" spans="1:8" ht="18.899999999999999" customHeight="1">
      <c r="A26" s="485"/>
      <c r="B26" s="486"/>
      <c r="C26" s="486"/>
      <c r="D26" s="486"/>
      <c r="E26" s="486"/>
      <c r="F26" s="487"/>
    </row>
    <row r="27" spans="1:8" ht="18.899999999999999" customHeight="1">
      <c r="A27" s="485"/>
      <c r="B27" s="486"/>
      <c r="C27" s="486"/>
      <c r="D27" s="486"/>
      <c r="E27" s="486"/>
      <c r="F27" s="487"/>
    </row>
    <row r="28" spans="1:8" ht="18.899999999999999" customHeight="1">
      <c r="A28" s="485"/>
      <c r="B28" s="486"/>
      <c r="C28" s="486"/>
      <c r="D28" s="486"/>
      <c r="E28" s="486"/>
      <c r="F28" s="487"/>
    </row>
    <row r="29" spans="1:8" ht="18.899999999999999" customHeight="1">
      <c r="A29" s="485"/>
      <c r="B29" s="486"/>
      <c r="C29" s="486"/>
      <c r="D29" s="486"/>
      <c r="E29" s="486"/>
      <c r="F29" s="487"/>
    </row>
    <row r="30" spans="1:8" ht="18.899999999999999" customHeight="1">
      <c r="A30" s="485"/>
      <c r="B30" s="486"/>
      <c r="C30" s="486"/>
      <c r="D30" s="486"/>
      <c r="E30" s="486"/>
      <c r="F30" s="487"/>
    </row>
    <row r="31" spans="1:8" ht="18.899999999999999" customHeight="1">
      <c r="A31" s="485"/>
      <c r="B31" s="486"/>
      <c r="C31" s="486"/>
      <c r="D31" s="486"/>
      <c r="E31" s="486"/>
      <c r="F31" s="487"/>
    </row>
    <row r="32" spans="1:8" ht="18.899999999999999" customHeight="1">
      <c r="A32" s="485"/>
      <c r="B32" s="486"/>
      <c r="C32" s="486"/>
      <c r="D32" s="486"/>
      <c r="E32" s="486"/>
      <c r="F32" s="487"/>
    </row>
    <row r="33" spans="1:6" ht="18.899999999999999" customHeight="1">
      <c r="A33" s="485"/>
      <c r="B33" s="486"/>
      <c r="C33" s="486"/>
      <c r="D33" s="486"/>
      <c r="E33" s="486"/>
      <c r="F33" s="487"/>
    </row>
    <row r="34" spans="1:6" ht="18.899999999999999" customHeight="1">
      <c r="A34" s="485"/>
      <c r="B34" s="486"/>
      <c r="C34" s="486"/>
      <c r="D34" s="486"/>
      <c r="E34" s="486"/>
      <c r="F34" s="487"/>
    </row>
    <row r="35" spans="1:6" ht="18.899999999999999" customHeight="1">
      <c r="A35" s="485"/>
      <c r="B35" s="486"/>
      <c r="C35" s="486"/>
      <c r="D35" s="486"/>
      <c r="E35" s="486"/>
      <c r="F35" s="487"/>
    </row>
    <row r="36" spans="1:6" ht="18.899999999999999" customHeight="1">
      <c r="A36" s="485"/>
      <c r="B36" s="486"/>
      <c r="C36" s="486"/>
      <c r="D36" s="486"/>
      <c r="E36" s="486"/>
      <c r="F36" s="487"/>
    </row>
    <row r="37" spans="1:6" ht="18.899999999999999" customHeight="1">
      <c r="A37" s="485"/>
      <c r="B37" s="486"/>
      <c r="C37" s="486"/>
      <c r="D37" s="486"/>
      <c r="E37" s="486"/>
      <c r="F37" s="487"/>
    </row>
    <row r="38" spans="1:6" ht="18.899999999999999" customHeight="1">
      <c r="A38" s="485"/>
      <c r="B38" s="486"/>
      <c r="C38" s="486"/>
      <c r="D38" s="486"/>
      <c r="E38" s="486"/>
      <c r="F38" s="487"/>
    </row>
    <row r="39" spans="1:6" ht="18.899999999999999" customHeight="1">
      <c r="A39" s="497" t="s">
        <v>418</v>
      </c>
      <c r="B39" s="498" t="s">
        <v>371</v>
      </c>
      <c r="C39" s="679">
        <f>'Performance Data Sheet'!C10</f>
        <v>0</v>
      </c>
      <c r="D39" s="486"/>
      <c r="E39" s="494" t="s">
        <v>419</v>
      </c>
      <c r="F39" s="499" t="str">
        <f>F10</f>
        <v>2T6800U REV1.</v>
      </c>
    </row>
    <row r="40" spans="1:6" ht="18.899999999999999" customHeight="1">
      <c r="A40" s="485"/>
      <c r="B40" s="498"/>
      <c r="C40" s="498"/>
      <c r="D40" s="486"/>
      <c r="E40" s="486"/>
      <c r="F40" s="487"/>
    </row>
    <row r="41" spans="1:6" ht="18.899999999999999" customHeight="1">
      <c r="A41" s="485"/>
      <c r="B41" s="498"/>
      <c r="C41" s="498"/>
      <c r="D41" s="486"/>
      <c r="E41" s="486"/>
      <c r="F41" s="487"/>
    </row>
    <row r="42" spans="1:6" ht="18.899999999999999" customHeight="1">
      <c r="A42" s="485"/>
      <c r="B42" s="486"/>
      <c r="C42" s="486"/>
      <c r="D42" s="486"/>
      <c r="E42" s="486"/>
      <c r="F42" s="487"/>
    </row>
    <row r="43" spans="1:6" ht="18.899999999999999" customHeight="1">
      <c r="A43" s="500"/>
      <c r="B43" s="498"/>
      <c r="C43" s="501" t="s">
        <v>420</v>
      </c>
      <c r="D43" s="502" t="str">
        <f>'Performance Data Sheet'!K42</f>
        <v>JERRY R</v>
      </c>
      <c r="E43" s="501" t="s">
        <v>421</v>
      </c>
      <c r="F43" s="50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58" t="s">
        <v>424</v>
      </c>
      <c r="B53" s="558" t="s">
        <v>142</v>
      </c>
      <c r="C53" s="558" t="s">
        <v>120</v>
      </c>
      <c r="D53" s="558" t="s">
        <v>135</v>
      </c>
      <c r="E53" s="558" t="s">
        <v>5</v>
      </c>
      <c r="F53" s="559" t="s">
        <v>590</v>
      </c>
    </row>
    <row r="54" spans="1:6" ht="15" customHeight="1">
      <c r="A54" s="560">
        <v>0</v>
      </c>
      <c r="B54" s="561"/>
      <c r="C54" s="562"/>
      <c r="D54" s="562">
        <v>46.281065026150586</v>
      </c>
      <c r="E54" s="562">
        <v>100</v>
      </c>
      <c r="F54" s="563">
        <v>11.166434678466214</v>
      </c>
    </row>
    <row r="55" spans="1:6" ht="15" customHeight="1">
      <c r="A55" s="564">
        <v>25</v>
      </c>
      <c r="B55" s="565">
        <v>91.025444030761719</v>
      </c>
      <c r="C55" s="566">
        <v>42.872283935546875</v>
      </c>
      <c r="D55" s="566">
        <v>55.25042724609375</v>
      </c>
      <c r="E55" s="566">
        <v>69.658611992334102</v>
      </c>
      <c r="F55" s="567">
        <v>10.256522694199576</v>
      </c>
    </row>
    <row r="56" spans="1:6" ht="15" customHeight="1">
      <c r="A56" s="564">
        <v>50</v>
      </c>
      <c r="B56" s="565">
        <v>93.916549682617188</v>
      </c>
      <c r="C56" s="566">
        <v>65.283279418945313</v>
      </c>
      <c r="D56" s="566">
        <v>70.333290100097656</v>
      </c>
      <c r="E56" s="566">
        <v>57.973859955285945</v>
      </c>
      <c r="F56" s="567">
        <v>19.881574945469112</v>
      </c>
    </row>
    <row r="57" spans="1:6">
      <c r="A57" s="564">
        <v>75</v>
      </c>
      <c r="B57" s="565">
        <v>94.550369262695313</v>
      </c>
      <c r="C57" s="566">
        <v>75.44488525390625</v>
      </c>
      <c r="D57" s="566">
        <v>90.678291320800781</v>
      </c>
      <c r="E57" s="566">
        <v>45.953465285416243</v>
      </c>
      <c r="F57" s="567">
        <v>29.622455761939907</v>
      </c>
    </row>
    <row r="58" spans="1:6">
      <c r="A58" s="564">
        <v>100</v>
      </c>
      <c r="B58" s="565">
        <v>94.581634521484375</v>
      </c>
      <c r="C58" s="566">
        <v>79.989707946777344</v>
      </c>
      <c r="D58" s="566">
        <v>113.99720764160156</v>
      </c>
      <c r="E58" s="566">
        <v>33.501320974233991</v>
      </c>
      <c r="F58" s="567">
        <v>39.483550043978994</v>
      </c>
    </row>
    <row r="59" spans="1:6" ht="13.8" thickBot="1">
      <c r="A59" s="568">
        <v>125</v>
      </c>
      <c r="B59" s="569">
        <v>94.358612060546875</v>
      </c>
      <c r="C59" s="570">
        <v>81.837059020996094</v>
      </c>
      <c r="D59" s="570">
        <v>139.60905456542969</v>
      </c>
      <c r="E59" s="570">
        <v>20.747955896830117</v>
      </c>
      <c r="F59" s="571">
        <v>49.471089737207613</v>
      </c>
    </row>
    <row r="60" spans="1:6">
      <c r="A60" s="503"/>
      <c r="B60" s="504"/>
      <c r="C60" s="504"/>
    </row>
    <row r="61" spans="1:6">
      <c r="A61" s="503"/>
      <c r="B61" s="504"/>
      <c r="C61" s="504"/>
    </row>
    <row r="62" spans="1:6">
      <c r="A62" s="503"/>
      <c r="B62" s="504"/>
      <c r="C62" s="504"/>
    </row>
    <row r="63" spans="1:6">
      <c r="A63" s="503"/>
      <c r="B63" s="504"/>
      <c r="C63" s="504"/>
    </row>
    <row r="64" spans="1:6">
      <c r="A64" s="503"/>
      <c r="B64" s="504"/>
      <c r="C64" s="504"/>
    </row>
    <row r="65" spans="1:3">
      <c r="A65" s="503"/>
      <c r="B65" s="504"/>
      <c r="C65" s="504"/>
    </row>
    <row r="66" spans="1:3">
      <c r="A66" s="503"/>
      <c r="B66" s="504"/>
      <c r="C66" s="504"/>
    </row>
    <row r="67" spans="1:3">
      <c r="A67" s="505"/>
      <c r="B67" s="504"/>
      <c r="C67" s="504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3.2"/>
  <cols>
    <col min="1" max="1" width="19.6640625" style="480" customWidth="1"/>
    <col min="2" max="7" width="10.6640625" style="480" customWidth="1"/>
    <col min="8" max="16384" width="8.88671875" style="480"/>
  </cols>
  <sheetData>
    <row r="1" spans="1:12" ht="21" customHeight="1">
      <c r="A1" s="519" t="s">
        <v>430</v>
      </c>
      <c r="B1" s="520" t="s">
        <v>469</v>
      </c>
      <c r="C1" s="520"/>
      <c r="D1" s="520"/>
      <c r="E1" s="520"/>
      <c r="F1" s="520"/>
      <c r="G1" s="520"/>
    </row>
    <row r="2" spans="1:12" ht="15" customHeight="1"/>
    <row r="3" spans="1:12" ht="20.399999999999999">
      <c r="A3" s="521" t="s">
        <v>431</v>
      </c>
    </row>
    <row r="4" spans="1:12" ht="12" customHeight="1">
      <c r="A4" s="522"/>
      <c r="B4" s="522"/>
      <c r="C4" s="522"/>
      <c r="D4" s="522" t="s">
        <v>483</v>
      </c>
      <c r="E4" s="522"/>
      <c r="F4" s="522"/>
      <c r="G4" s="522"/>
      <c r="H4" s="522"/>
      <c r="I4" s="522"/>
      <c r="J4" s="522"/>
      <c r="K4" s="522"/>
      <c r="L4" s="522"/>
    </row>
    <row r="5" spans="1:12" ht="15.6" customHeight="1">
      <c r="A5" s="523" t="s">
        <v>5</v>
      </c>
      <c r="B5" s="523" t="s">
        <v>432</v>
      </c>
      <c r="C5" s="523" t="s">
        <v>433</v>
      </c>
      <c r="D5" s="523" t="s">
        <v>434</v>
      </c>
      <c r="E5" s="523" t="s">
        <v>435</v>
      </c>
      <c r="F5" s="523" t="s">
        <v>436</v>
      </c>
      <c r="G5" s="523" t="s">
        <v>437</v>
      </c>
      <c r="H5" s="522"/>
      <c r="I5" s="522"/>
      <c r="J5" s="522"/>
      <c r="K5" s="522"/>
      <c r="L5" s="522"/>
    </row>
    <row r="6" spans="1:12" ht="15.6" customHeight="1">
      <c r="A6" s="524" t="s">
        <v>438</v>
      </c>
      <c r="B6" s="524" t="s">
        <v>166</v>
      </c>
      <c r="C6" s="524" t="s">
        <v>166</v>
      </c>
      <c r="D6" s="524" t="s">
        <v>439</v>
      </c>
      <c r="E6" s="524" t="s">
        <v>135</v>
      </c>
      <c r="F6" s="524" t="s">
        <v>440</v>
      </c>
      <c r="G6" s="524" t="s">
        <v>440</v>
      </c>
      <c r="H6" s="522"/>
      <c r="I6" s="522"/>
      <c r="J6" s="522"/>
      <c r="K6" s="522"/>
      <c r="L6" s="522"/>
    </row>
    <row r="7" spans="1:12" ht="15.9" customHeight="1">
      <c r="A7" s="525" t="s">
        <v>470</v>
      </c>
      <c r="B7" s="525" t="s">
        <v>484</v>
      </c>
      <c r="C7" s="525" t="s">
        <v>496</v>
      </c>
      <c r="D7" s="525" t="s">
        <v>507</v>
      </c>
      <c r="E7" s="525" t="s">
        <v>519</v>
      </c>
      <c r="F7" s="525" t="s">
        <v>531</v>
      </c>
      <c r="G7" s="525" t="s">
        <v>542</v>
      </c>
      <c r="H7" s="522"/>
      <c r="I7" s="522"/>
      <c r="J7" s="522"/>
      <c r="K7" s="522"/>
      <c r="L7" s="522"/>
    </row>
    <row r="8" spans="1:12" ht="15.9" customHeight="1">
      <c r="A8" s="525" t="s">
        <v>471</v>
      </c>
      <c r="B8" s="525" t="s">
        <v>485</v>
      </c>
      <c r="C8" s="525" t="s">
        <v>497</v>
      </c>
      <c r="D8" s="525" t="s">
        <v>508</v>
      </c>
      <c r="E8" s="525" t="s">
        <v>520</v>
      </c>
      <c r="F8" s="525" t="s">
        <v>532</v>
      </c>
      <c r="G8" s="525" t="s">
        <v>543</v>
      </c>
      <c r="H8" s="522"/>
      <c r="I8" s="522"/>
      <c r="J8" s="522"/>
      <c r="K8" s="522"/>
      <c r="L8" s="522"/>
    </row>
    <row r="9" spans="1:12" ht="15.9" customHeight="1">
      <c r="A9" s="525" t="s">
        <v>472</v>
      </c>
      <c r="B9" s="525" t="s">
        <v>486</v>
      </c>
      <c r="C9" s="525" t="s">
        <v>498</v>
      </c>
      <c r="D9" s="525" t="s">
        <v>509</v>
      </c>
      <c r="E9" s="525" t="s">
        <v>521</v>
      </c>
      <c r="F9" s="525" t="s">
        <v>533</v>
      </c>
      <c r="G9" s="525" t="s">
        <v>544</v>
      </c>
      <c r="H9" s="522"/>
      <c r="I9" s="522"/>
      <c r="J9" s="522"/>
      <c r="K9" s="522"/>
      <c r="L9" s="522"/>
    </row>
    <row r="10" spans="1:12" ht="15.9" customHeight="1">
      <c r="A10" s="525" t="s">
        <v>473</v>
      </c>
      <c r="B10" s="525" t="s">
        <v>487</v>
      </c>
      <c r="C10" s="525" t="s">
        <v>498</v>
      </c>
      <c r="D10" s="525" t="s">
        <v>510</v>
      </c>
      <c r="E10" s="525" t="s">
        <v>522</v>
      </c>
      <c r="F10" s="525" t="s">
        <v>534</v>
      </c>
      <c r="G10" s="525" t="s">
        <v>545</v>
      </c>
      <c r="H10" s="522"/>
      <c r="I10" s="522"/>
      <c r="J10" s="522"/>
      <c r="K10" s="522"/>
      <c r="L10" s="522"/>
    </row>
    <row r="11" spans="1:12" ht="15.9" customHeight="1">
      <c r="A11" s="525" t="s">
        <v>474</v>
      </c>
      <c r="B11" s="525" t="s">
        <v>488</v>
      </c>
      <c r="C11" s="525" t="s">
        <v>499</v>
      </c>
      <c r="D11" s="525" t="s">
        <v>511</v>
      </c>
      <c r="E11" s="525" t="s">
        <v>523</v>
      </c>
      <c r="F11" s="525" t="s">
        <v>535</v>
      </c>
      <c r="G11" s="525" t="s">
        <v>546</v>
      </c>
      <c r="H11" s="522"/>
      <c r="I11" s="522"/>
      <c r="J11" s="522"/>
      <c r="K11" s="522"/>
      <c r="L11" s="522"/>
    </row>
    <row r="12" spans="1:12" ht="15.9" customHeight="1">
      <c r="A12" s="525" t="s">
        <v>475</v>
      </c>
      <c r="B12" s="525" t="s">
        <v>489</v>
      </c>
      <c r="C12" s="525" t="s">
        <v>500</v>
      </c>
      <c r="D12" s="525" t="s">
        <v>512</v>
      </c>
      <c r="E12" s="525" t="s">
        <v>524</v>
      </c>
      <c r="F12" s="525" t="s">
        <v>536</v>
      </c>
      <c r="G12" s="525" t="s">
        <v>547</v>
      </c>
      <c r="H12" s="522"/>
      <c r="I12" s="522"/>
      <c r="J12" s="522"/>
      <c r="K12" s="522"/>
      <c r="L12" s="522"/>
    </row>
    <row r="13" spans="1:12" ht="15.9" customHeight="1">
      <c r="A13" s="525" t="s">
        <v>476</v>
      </c>
      <c r="B13" s="525" t="s">
        <v>490</v>
      </c>
      <c r="C13" s="525" t="s">
        <v>501</v>
      </c>
      <c r="D13" s="525" t="s">
        <v>513</v>
      </c>
      <c r="E13" s="525" t="s">
        <v>525</v>
      </c>
      <c r="F13" s="525" t="s">
        <v>537</v>
      </c>
      <c r="G13" s="525" t="s">
        <v>548</v>
      </c>
      <c r="H13" s="522"/>
      <c r="I13" s="522"/>
      <c r="J13" s="522"/>
      <c r="K13" s="522"/>
      <c r="L13" s="522"/>
    </row>
    <row r="14" spans="1:12" ht="15.9" customHeight="1">
      <c r="A14" s="525" t="s">
        <v>477</v>
      </c>
      <c r="B14" s="525" t="s">
        <v>491</v>
      </c>
      <c r="C14" s="525" t="s">
        <v>502</v>
      </c>
      <c r="D14" s="525" t="s">
        <v>514</v>
      </c>
      <c r="E14" s="525" t="s">
        <v>526</v>
      </c>
      <c r="F14" s="525" t="s">
        <v>538</v>
      </c>
      <c r="G14" s="525" t="s">
        <v>549</v>
      </c>
      <c r="H14" s="522"/>
      <c r="I14" s="522"/>
      <c r="J14" s="522"/>
      <c r="K14" s="522"/>
      <c r="L14" s="522"/>
    </row>
    <row r="15" spans="1:12" ht="15.9" customHeight="1">
      <c r="A15" s="525" t="s">
        <v>478</v>
      </c>
      <c r="B15" s="525" t="s">
        <v>492</v>
      </c>
      <c r="C15" s="525" t="s">
        <v>503</v>
      </c>
      <c r="D15" s="525" t="s">
        <v>515</v>
      </c>
      <c r="E15" s="525" t="s">
        <v>527</v>
      </c>
      <c r="F15" s="525" t="s">
        <v>539</v>
      </c>
      <c r="G15" s="525" t="s">
        <v>550</v>
      </c>
      <c r="H15" s="522"/>
      <c r="I15" s="522"/>
      <c r="J15" s="522"/>
      <c r="K15" s="522"/>
      <c r="L15" s="522"/>
    </row>
    <row r="16" spans="1:12" ht="15.9" customHeight="1">
      <c r="A16" s="525" t="s">
        <v>479</v>
      </c>
      <c r="B16" s="525" t="s">
        <v>493</v>
      </c>
      <c r="C16" s="525" t="s">
        <v>504</v>
      </c>
      <c r="D16" s="525" t="s">
        <v>516</v>
      </c>
      <c r="E16" s="525" t="s">
        <v>528</v>
      </c>
      <c r="F16" s="525" t="s">
        <v>540</v>
      </c>
      <c r="G16" s="525" t="s">
        <v>551</v>
      </c>
      <c r="H16" s="522"/>
      <c r="I16" s="522"/>
      <c r="J16" s="522"/>
      <c r="K16" s="522"/>
      <c r="L16" s="522"/>
    </row>
    <row r="17" spans="1:12" ht="15.9" customHeight="1">
      <c r="A17" s="525" t="s">
        <v>480</v>
      </c>
      <c r="B17" s="525" t="s">
        <v>494</v>
      </c>
      <c r="C17" s="525" t="s">
        <v>505</v>
      </c>
      <c r="D17" s="525" t="s">
        <v>517</v>
      </c>
      <c r="E17" s="525" t="s">
        <v>529</v>
      </c>
      <c r="F17" s="525" t="s">
        <v>496</v>
      </c>
      <c r="G17" s="525" t="s">
        <v>552</v>
      </c>
      <c r="H17" s="522"/>
      <c r="I17" s="522"/>
      <c r="J17" s="522"/>
      <c r="K17" s="522"/>
      <c r="L17" s="522"/>
    </row>
    <row r="18" spans="1:12" ht="15.9" customHeight="1">
      <c r="A18" s="525" t="s">
        <v>481</v>
      </c>
      <c r="B18" s="525" t="s">
        <v>495</v>
      </c>
      <c r="C18" s="525" t="s">
        <v>506</v>
      </c>
      <c r="D18" s="525" t="s">
        <v>518</v>
      </c>
      <c r="E18" s="525" t="s">
        <v>530</v>
      </c>
      <c r="F18" s="525" t="s">
        <v>541</v>
      </c>
      <c r="G18" s="525" t="s">
        <v>553</v>
      </c>
      <c r="H18" s="522"/>
      <c r="I18" s="522"/>
      <c r="J18" s="522"/>
      <c r="K18" s="522"/>
      <c r="L18" s="522"/>
    </row>
    <row r="19" spans="1:12" ht="15.9" customHeight="1">
      <c r="A19" s="542" t="s">
        <v>482</v>
      </c>
      <c r="B19" s="542" t="s">
        <v>482</v>
      </c>
      <c r="C19" s="542" t="s">
        <v>482</v>
      </c>
      <c r="D19" s="542" t="s">
        <v>482</v>
      </c>
      <c r="E19" s="542" t="s">
        <v>482</v>
      </c>
      <c r="F19" s="542" t="s">
        <v>482</v>
      </c>
      <c r="G19" s="542" t="s">
        <v>482</v>
      </c>
      <c r="H19" s="522"/>
      <c r="I19" s="522"/>
      <c r="J19" s="522"/>
      <c r="K19" s="522"/>
      <c r="L19" s="522"/>
    </row>
    <row r="20" spans="1:12" ht="15.6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</row>
    <row r="21" spans="1:12" ht="16.2">
      <c r="A21" s="522"/>
      <c r="B21" s="522"/>
      <c r="C21" s="522"/>
      <c r="D21" s="526" t="s">
        <v>563</v>
      </c>
      <c r="E21" s="527"/>
      <c r="F21" s="527"/>
      <c r="G21" s="528"/>
      <c r="H21" s="522"/>
      <c r="I21" s="522"/>
      <c r="J21" s="522"/>
      <c r="K21" s="522"/>
      <c r="L21" s="522"/>
    </row>
    <row r="22" spans="1:12" ht="17.25" customHeight="1">
      <c r="A22" s="522"/>
      <c r="B22" s="529" t="s">
        <v>441</v>
      </c>
      <c r="C22" s="529"/>
      <c r="D22" s="529" t="s">
        <v>442</v>
      </c>
      <c r="E22" s="529"/>
      <c r="F22" s="529" t="s">
        <v>443</v>
      </c>
      <c r="G22" s="529"/>
      <c r="H22" s="522"/>
      <c r="I22" s="522"/>
      <c r="J22" s="522"/>
      <c r="K22" s="522"/>
      <c r="L22" s="522"/>
    </row>
    <row r="23" spans="1:12" ht="15.6">
      <c r="A23" s="530" t="s">
        <v>444</v>
      </c>
      <c r="B23" s="531" t="s">
        <v>554</v>
      </c>
      <c r="C23" s="531"/>
      <c r="D23" s="531" t="s">
        <v>557</v>
      </c>
      <c r="E23" s="531"/>
      <c r="F23" s="531" t="s">
        <v>560</v>
      </c>
      <c r="G23" s="531"/>
      <c r="H23" s="522"/>
      <c r="I23" s="522"/>
      <c r="J23" s="522"/>
      <c r="K23" s="522"/>
      <c r="L23" s="522"/>
    </row>
    <row r="24" spans="1:12" ht="18" customHeight="1">
      <c r="A24" s="530" t="s">
        <v>445</v>
      </c>
      <c r="B24" s="531" t="s">
        <v>555</v>
      </c>
      <c r="C24" s="531"/>
      <c r="D24" s="531" t="s">
        <v>558</v>
      </c>
      <c r="E24" s="531"/>
      <c r="F24" s="531" t="s">
        <v>561</v>
      </c>
      <c r="G24" s="531"/>
      <c r="H24" s="522"/>
      <c r="I24" s="522"/>
      <c r="J24" s="522"/>
      <c r="K24" s="522"/>
      <c r="L24" s="522"/>
    </row>
    <row r="25" spans="1:12" ht="15.6">
      <c r="A25" s="530" t="s">
        <v>446</v>
      </c>
      <c r="B25" s="531" t="s">
        <v>556</v>
      </c>
      <c r="C25" s="531"/>
      <c r="D25" s="531" t="s">
        <v>559</v>
      </c>
      <c r="E25" s="531"/>
      <c r="F25" s="531" t="s">
        <v>562</v>
      </c>
      <c r="G25" s="531"/>
      <c r="H25" s="522"/>
      <c r="I25" s="522"/>
      <c r="J25" s="522"/>
      <c r="K25" s="522"/>
      <c r="L25" s="522"/>
    </row>
    <row r="26" spans="1:12" ht="15.6">
      <c r="A26" s="522"/>
      <c r="B26" s="522"/>
      <c r="C26" s="522"/>
      <c r="D26" s="522"/>
      <c r="E26" s="522"/>
      <c r="F26" s="522"/>
      <c r="G26" s="522"/>
      <c r="H26" s="522"/>
      <c r="I26" s="522"/>
      <c r="J26" s="522"/>
      <c r="K26" s="522"/>
      <c r="L26" s="522"/>
    </row>
    <row r="27" spans="1:12" ht="20.399999999999999">
      <c r="A27" s="521" t="s">
        <v>447</v>
      </c>
      <c r="B27" s="522"/>
      <c r="C27" s="522"/>
      <c r="D27" s="522"/>
      <c r="E27" s="522"/>
      <c r="F27" s="522"/>
      <c r="G27" s="522"/>
      <c r="H27" s="522"/>
      <c r="I27" s="522"/>
      <c r="J27" s="522"/>
      <c r="K27" s="522"/>
      <c r="L27" s="522"/>
    </row>
    <row r="28" spans="1:12" ht="15.6">
      <c r="A28" s="522"/>
      <c r="B28" s="522"/>
      <c r="C28" s="522"/>
      <c r="D28" s="522"/>
      <c r="E28" s="532" t="s">
        <v>448</v>
      </c>
      <c r="F28" s="527"/>
      <c r="G28" s="528"/>
      <c r="H28" s="522"/>
      <c r="I28" s="522"/>
      <c r="J28" s="522"/>
      <c r="K28" s="522"/>
      <c r="L28" s="522"/>
    </row>
    <row r="29" spans="1:12" ht="15.6">
      <c r="A29" s="522"/>
      <c r="B29" s="529" t="s">
        <v>449</v>
      </c>
      <c r="C29" s="529"/>
      <c r="D29" s="533" t="s">
        <v>450</v>
      </c>
      <c r="E29" s="533" t="s">
        <v>451</v>
      </c>
      <c r="F29" s="529" t="s">
        <v>452</v>
      </c>
      <c r="G29" s="529"/>
      <c r="H29" s="522"/>
      <c r="I29" s="522"/>
      <c r="J29" s="522"/>
      <c r="K29" s="522"/>
      <c r="L29" s="522"/>
    </row>
    <row r="30" spans="1:12" ht="15.6">
      <c r="A30" s="530" t="s">
        <v>453</v>
      </c>
      <c r="B30" s="531" t="s">
        <v>564</v>
      </c>
      <c r="C30" s="531"/>
      <c r="D30" s="525" t="s">
        <v>567</v>
      </c>
      <c r="E30" s="525" t="s">
        <v>454</v>
      </c>
      <c r="F30" s="531" t="s">
        <v>570</v>
      </c>
      <c r="G30" s="531"/>
      <c r="H30" s="522"/>
      <c r="I30" s="522"/>
      <c r="J30" s="522"/>
      <c r="K30" s="522"/>
      <c r="L30" s="522"/>
    </row>
    <row r="31" spans="1:12" ht="15.6">
      <c r="A31" s="530" t="s">
        <v>455</v>
      </c>
      <c r="B31" s="531" t="s">
        <v>565</v>
      </c>
      <c r="C31" s="531"/>
      <c r="D31" s="525" t="s">
        <v>568</v>
      </c>
      <c r="E31" s="525" t="s">
        <v>456</v>
      </c>
      <c r="F31" s="531" t="s">
        <v>571</v>
      </c>
      <c r="G31" s="531"/>
      <c r="H31" s="522"/>
      <c r="I31" s="522"/>
      <c r="J31" s="522"/>
      <c r="K31" s="522"/>
      <c r="L31" s="522"/>
    </row>
    <row r="32" spans="1:12" ht="15.6">
      <c r="A32" s="530" t="s">
        <v>457</v>
      </c>
      <c r="B32" s="531" t="s">
        <v>566</v>
      </c>
      <c r="C32" s="531"/>
      <c r="D32" s="525" t="s">
        <v>569</v>
      </c>
      <c r="E32" s="525" t="s">
        <v>458</v>
      </c>
      <c r="F32" s="531" t="s">
        <v>572</v>
      </c>
      <c r="G32" s="531"/>
      <c r="H32" s="522"/>
      <c r="I32" s="522"/>
      <c r="J32" s="522"/>
      <c r="K32" s="522"/>
      <c r="L32" s="522"/>
    </row>
    <row r="33" spans="1:12" ht="15.6">
      <c r="A33" s="522"/>
      <c r="B33" s="522"/>
      <c r="C33" s="522"/>
      <c r="D33" s="522"/>
      <c r="E33" s="522"/>
      <c r="F33" s="522"/>
      <c r="G33" s="522"/>
      <c r="H33" s="522"/>
      <c r="I33" s="522"/>
      <c r="J33" s="522"/>
      <c r="K33" s="522"/>
      <c r="L33" s="522"/>
    </row>
    <row r="34" spans="1:12" ht="15.6">
      <c r="A34" s="522"/>
      <c r="B34" s="522"/>
      <c r="C34" s="522"/>
      <c r="D34" s="522"/>
      <c r="E34" s="532" t="s">
        <v>459</v>
      </c>
      <c r="F34" s="527"/>
      <c r="G34" s="528"/>
      <c r="H34" s="522"/>
      <c r="I34" s="522"/>
      <c r="J34" s="522"/>
      <c r="K34" s="522"/>
      <c r="L34" s="522"/>
    </row>
    <row r="35" spans="1:12" ht="15.6">
      <c r="A35" s="522"/>
      <c r="B35" s="529" t="s">
        <v>460</v>
      </c>
      <c r="C35" s="529"/>
      <c r="D35" s="533" t="s">
        <v>451</v>
      </c>
      <c r="E35" s="533" t="s">
        <v>461</v>
      </c>
      <c r="F35" s="533" t="s">
        <v>100</v>
      </c>
      <c r="G35" s="533" t="s">
        <v>462</v>
      </c>
      <c r="H35" s="522"/>
      <c r="I35" s="522"/>
      <c r="J35" s="522"/>
      <c r="K35" s="522"/>
      <c r="L35" s="522"/>
    </row>
    <row r="36" spans="1:12" ht="15.6">
      <c r="A36" s="530" t="s">
        <v>453</v>
      </c>
      <c r="B36" s="534" t="s">
        <v>573</v>
      </c>
      <c r="C36" s="535"/>
      <c r="D36" s="536" t="s">
        <v>575</v>
      </c>
      <c r="E36" s="536" t="s">
        <v>463</v>
      </c>
      <c r="F36" s="537" t="s">
        <v>464</v>
      </c>
      <c r="G36" s="525" t="s">
        <v>578</v>
      </c>
      <c r="H36" s="522"/>
      <c r="I36" s="522"/>
      <c r="J36" s="522"/>
      <c r="K36" s="522"/>
      <c r="L36" s="522"/>
    </row>
    <row r="37" spans="1:12" ht="15.6">
      <c r="A37" s="530" t="s">
        <v>455</v>
      </c>
      <c r="B37" s="534" t="s">
        <v>574</v>
      </c>
      <c r="C37" s="535"/>
      <c r="D37" s="536" t="s">
        <v>576</v>
      </c>
      <c r="E37" s="536" t="s">
        <v>463</v>
      </c>
      <c r="F37" s="537" t="s">
        <v>465</v>
      </c>
      <c r="G37" s="538" t="s">
        <v>579</v>
      </c>
      <c r="H37" s="522"/>
      <c r="I37" s="522"/>
      <c r="J37" s="522"/>
      <c r="K37" s="522"/>
      <c r="L37" s="522"/>
    </row>
    <row r="38" spans="1:12" ht="15.6">
      <c r="A38" s="530" t="s">
        <v>457</v>
      </c>
      <c r="B38" s="534" t="s">
        <v>574</v>
      </c>
      <c r="C38" s="535"/>
      <c r="D38" s="536" t="s">
        <v>577</v>
      </c>
      <c r="E38" s="536" t="s">
        <v>463</v>
      </c>
      <c r="F38" s="537" t="s">
        <v>466</v>
      </c>
      <c r="G38" s="525" t="s">
        <v>580</v>
      </c>
      <c r="H38" s="522"/>
      <c r="I38" s="522"/>
      <c r="J38" s="522"/>
      <c r="K38" s="522"/>
      <c r="L38" s="522"/>
    </row>
    <row r="39" spans="1:12" ht="15.6">
      <c r="A39" s="522"/>
      <c r="B39" s="522"/>
      <c r="C39" s="522"/>
      <c r="D39" s="522"/>
      <c r="E39" s="522"/>
      <c r="F39" s="522"/>
      <c r="G39" s="522"/>
      <c r="H39" s="522"/>
      <c r="I39" s="522"/>
      <c r="J39" s="522"/>
      <c r="K39" s="522"/>
      <c r="L39" s="522"/>
    </row>
    <row r="40" spans="1:12" ht="15.6">
      <c r="A40" s="539" t="s">
        <v>467</v>
      </c>
      <c r="B40" s="540" t="s">
        <v>581</v>
      </c>
      <c r="C40" s="540"/>
      <c r="D40" s="541" t="s">
        <v>468</v>
      </c>
      <c r="E40" s="541"/>
      <c r="F40" s="540" t="s">
        <v>582</v>
      </c>
      <c r="G40" s="540"/>
      <c r="H40" s="522"/>
      <c r="I40" s="522"/>
      <c r="J40" s="522"/>
      <c r="K40" s="522"/>
      <c r="L40" s="522"/>
    </row>
    <row r="41" spans="1:12" ht="15.6">
      <c r="A41" s="522"/>
      <c r="B41" s="522"/>
      <c r="C41" s="522"/>
      <c r="D41" s="522"/>
      <c r="E41" s="522"/>
      <c r="F41" s="522"/>
      <c r="G41" s="522"/>
      <c r="H41" s="522"/>
      <c r="I41" s="522"/>
      <c r="J41" s="522"/>
      <c r="K41" s="522"/>
      <c r="L41" s="522"/>
    </row>
    <row r="42" spans="1:12" ht="15.6">
      <c r="A42" s="522"/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</row>
    <row r="43" spans="1:12" ht="15.6">
      <c r="A43" s="522"/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</row>
    <row r="44" spans="1:12" ht="15.6">
      <c r="A44" s="522"/>
      <c r="B44" s="522"/>
      <c r="C44" s="522"/>
      <c r="D44" s="522"/>
      <c r="E44" s="522"/>
      <c r="F44" s="522"/>
      <c r="G44" s="522"/>
      <c r="H44" s="522"/>
      <c r="I44" s="522"/>
      <c r="J44" s="522"/>
      <c r="K44" s="522"/>
      <c r="L44" s="522"/>
    </row>
    <row r="45" spans="1:12" ht="15.6">
      <c r="A45" s="522"/>
      <c r="B45" s="522"/>
      <c r="C45" s="522"/>
      <c r="D45" s="522"/>
      <c r="E45" s="522"/>
      <c r="F45" s="522"/>
      <c r="G45" s="522"/>
      <c r="H45" s="522"/>
      <c r="I45" s="522"/>
      <c r="J45" s="522"/>
      <c r="K45" s="522"/>
      <c r="L45" s="522"/>
    </row>
    <row r="46" spans="1:12" ht="15.6">
      <c r="A46" s="522"/>
      <c r="B46" s="522"/>
      <c r="C46" s="522"/>
      <c r="D46" s="522"/>
      <c r="E46" s="522"/>
      <c r="F46" s="522"/>
      <c r="G46" s="522"/>
      <c r="H46" s="522"/>
      <c r="I46" s="522"/>
      <c r="J46" s="522"/>
      <c r="K46" s="522"/>
      <c r="L46" s="522"/>
    </row>
    <row r="47" spans="1:12" ht="15.6">
      <c r="A47" s="522"/>
      <c r="B47" s="522"/>
      <c r="C47" s="522"/>
      <c r="D47" s="522"/>
      <c r="E47" s="522"/>
      <c r="F47" s="522"/>
      <c r="G47" s="522"/>
      <c r="H47" s="522"/>
      <c r="I47" s="522"/>
      <c r="J47" s="522"/>
      <c r="K47" s="522"/>
      <c r="L47" s="522"/>
    </row>
    <row r="48" spans="1:12" ht="15.6">
      <c r="A48" s="522"/>
      <c r="B48" s="522"/>
      <c r="C48" s="522"/>
      <c r="D48" s="522"/>
      <c r="E48" s="522"/>
      <c r="F48" s="522"/>
      <c r="G48" s="522"/>
      <c r="H48" s="522"/>
      <c r="I48" s="522"/>
      <c r="J48" s="522"/>
      <c r="K48" s="522"/>
      <c r="L48" s="522"/>
    </row>
    <row r="49" spans="1:12" ht="15.6">
      <c r="A49" s="522"/>
      <c r="B49" s="522"/>
      <c r="C49" s="522"/>
      <c r="D49" s="522"/>
      <c r="E49" s="522"/>
      <c r="F49" s="522"/>
      <c r="G49" s="522"/>
      <c r="H49" s="522"/>
      <c r="I49" s="522"/>
      <c r="J49" s="522"/>
      <c r="K49" s="522"/>
      <c r="L49" s="522"/>
    </row>
    <row r="50" spans="1:12" ht="15.6">
      <c r="A50" s="522"/>
      <c r="B50" s="522"/>
      <c r="C50" s="522"/>
      <c r="D50" s="522"/>
      <c r="E50" s="522"/>
      <c r="F50" s="522"/>
      <c r="G50" s="522"/>
      <c r="H50" s="522"/>
      <c r="I50" s="522"/>
      <c r="J50" s="522"/>
      <c r="K50" s="522"/>
      <c r="L50" s="522"/>
    </row>
    <row r="51" spans="1:12" ht="15.6">
      <c r="A51" s="522"/>
      <c r="B51" s="522"/>
      <c r="C51" s="522"/>
      <c r="D51" s="522"/>
      <c r="E51" s="522"/>
      <c r="F51" s="522"/>
      <c r="G51" s="522"/>
      <c r="H51" s="522"/>
      <c r="I51" s="522"/>
      <c r="J51" s="522"/>
      <c r="K51" s="522"/>
      <c r="L51" s="522"/>
    </row>
    <row r="52" spans="1:12" ht="15.6">
      <c r="A52" s="522"/>
      <c r="B52" s="522"/>
      <c r="C52" s="522"/>
      <c r="D52" s="522"/>
      <c r="E52" s="522"/>
      <c r="F52" s="522"/>
      <c r="G52" s="522"/>
      <c r="H52" s="522"/>
      <c r="I52" s="522"/>
      <c r="J52" s="522"/>
      <c r="K52" s="522"/>
      <c r="L52" s="522"/>
    </row>
    <row r="53" spans="1:12" ht="15.6">
      <c r="A53" s="522"/>
      <c r="B53" s="522"/>
      <c r="C53" s="522"/>
      <c r="D53" s="522"/>
      <c r="E53" s="522"/>
      <c r="F53" s="522"/>
      <c r="G53" s="522"/>
      <c r="H53" s="522"/>
      <c r="I53" s="522"/>
      <c r="J53" s="522"/>
      <c r="K53" s="522"/>
      <c r="L53" s="522"/>
    </row>
    <row r="54" spans="1:12" ht="15.6">
      <c r="A54" s="522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</row>
    <row r="55" spans="1:12" ht="15.6">
      <c r="A55" s="522"/>
      <c r="B55" s="522"/>
      <c r="C55" s="522"/>
      <c r="D55" s="522"/>
      <c r="E55" s="522"/>
      <c r="F55" s="522"/>
      <c r="G55" s="522"/>
      <c r="H55" s="522"/>
      <c r="I55" s="522"/>
      <c r="J55" s="522"/>
      <c r="K55" s="522"/>
      <c r="L55" s="522"/>
    </row>
    <row r="56" spans="1:12" ht="15.6">
      <c r="A56" s="522"/>
      <c r="B56" s="522"/>
      <c r="C56" s="522"/>
      <c r="D56" s="522"/>
      <c r="E56" s="522"/>
      <c r="F56" s="522"/>
      <c r="G56" s="522"/>
      <c r="H56" s="522"/>
      <c r="I56" s="522"/>
      <c r="J56" s="522"/>
      <c r="K56" s="522"/>
      <c r="L56" s="522"/>
    </row>
    <row r="57" spans="1:12" ht="15.6">
      <c r="A57" s="522"/>
      <c r="B57" s="522"/>
      <c r="C57" s="522"/>
      <c r="D57" s="522"/>
      <c r="E57" s="522"/>
      <c r="F57" s="522"/>
      <c r="G57" s="522"/>
      <c r="H57" s="522"/>
      <c r="I57" s="522"/>
      <c r="J57" s="522"/>
      <c r="K57" s="522"/>
      <c r="L57" s="522"/>
    </row>
    <row r="58" spans="1:12" ht="15.6">
      <c r="A58" s="522"/>
      <c r="B58" s="522"/>
      <c r="C58" s="522"/>
      <c r="D58" s="522"/>
      <c r="E58" s="522"/>
      <c r="F58" s="522"/>
      <c r="G58" s="522"/>
      <c r="H58" s="522"/>
      <c r="I58" s="522"/>
      <c r="J58" s="522"/>
      <c r="K58" s="522"/>
      <c r="L58" s="522"/>
    </row>
    <row r="59" spans="1:12" ht="15.6">
      <c r="A59" s="522"/>
      <c r="B59" s="522"/>
      <c r="C59" s="522"/>
      <c r="D59" s="522"/>
      <c r="E59" s="522"/>
      <c r="F59" s="522"/>
      <c r="G59" s="522"/>
      <c r="H59" s="522"/>
      <c r="I59" s="522"/>
      <c r="J59" s="522"/>
      <c r="K59" s="522"/>
      <c r="L59" s="522"/>
    </row>
    <row r="60" spans="1:12" ht="15.6">
      <c r="A60" s="522"/>
      <c r="B60" s="522"/>
      <c r="C60" s="522"/>
      <c r="D60" s="522"/>
      <c r="E60" s="522"/>
      <c r="F60" s="522"/>
      <c r="G60" s="522"/>
      <c r="H60" s="522"/>
      <c r="I60" s="522"/>
      <c r="J60" s="522"/>
      <c r="K60" s="522"/>
      <c r="L60" s="522"/>
    </row>
    <row r="61" spans="1:12" ht="15.6">
      <c r="A61" s="522"/>
      <c r="B61" s="522"/>
      <c r="C61" s="522"/>
      <c r="D61" s="522"/>
      <c r="E61" s="522"/>
      <c r="F61" s="522"/>
      <c r="G61" s="522"/>
      <c r="H61" s="522"/>
      <c r="I61" s="522"/>
      <c r="J61" s="522"/>
      <c r="K61" s="522"/>
      <c r="L61" s="522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</vt:lpstr>
      <vt:lpstr>StallTime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2022-11-01T15:57:16Z</dcterms:modified>
</cp:coreProperties>
</file>