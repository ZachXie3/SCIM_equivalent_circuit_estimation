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xr:revisionPtr revIDLastSave="0" documentId="13_ncr:9_{93987D15-9B02-4DE0-B6B4-25CBB58502C0}" xr6:coauthVersionLast="47" xr6:coauthVersionMax="47" xr10:uidLastSave="{00000000-0000-0000-0000-000000000000}"/>
  <bookViews>
    <workbookView xWindow="28680" yWindow="-120" windowWidth="29040" windowHeight="15720" tabRatio="893" activeTab="1" xr2:uid="{79563AE7-3885-48A0-A740-858E8AD7474D}"/>
  </bookViews>
  <sheets>
    <sheet name="DesignSheet" sheetId="2" r:id="rId1"/>
    <sheet name="Data Sheet" sheetId="3" r:id="rId2"/>
    <sheet name="Performance Data Sheet" sheetId="9" r:id="rId3"/>
    <sheet name="STCurve" sheetId="5" r:id="rId4"/>
    <sheet name="Thermdam" sheetId="7" r:id="rId5"/>
    <sheet name="Performance 4000V" sheetId="8" r:id="rId6"/>
    <sheet name="Performance 2300V" sheetId="10" r:id="rId7"/>
    <sheet name="StallTime" sheetId="6" r:id="rId8"/>
  </sheets>
  <externalReferences>
    <externalReference r:id="rId9"/>
  </externalReferences>
  <definedNames>
    <definedName name="_Regression_Int" localSheetId="2" hidden="1">1</definedName>
    <definedName name="_xlnm.Print_Area" localSheetId="1">'Data Sheet'!$A$1:$K$46</definedName>
    <definedName name="_xlnm.Print_Area" localSheetId="0">DesignSheet!$A$1:$J$69</definedName>
    <definedName name="_xlnm.Print_Area" localSheetId="6">'Performance 2300V'!$A$1:$F$43</definedName>
    <definedName name="_xlnm.Print_Area" localSheetId="5">'Performance 4000V'!$A$1:$F$43</definedName>
    <definedName name="_xlnm.Print_Area" localSheetId="2">'Performance Data Sheet'!$A$1:$M$44</definedName>
    <definedName name="_xlnm.Print_Area" localSheetId="7">StallTime!$A$1:$G$40</definedName>
    <definedName name="_xlnm.Print_Area" localSheetId="3">STCurve!$A$1:$F$43</definedName>
    <definedName name="_xlnm.Print_Area" localSheetId="4">Thermdam!$A$1:$F$43</definedName>
    <definedName name="Print_Area_MI">'Performance Data Sheet'!$A$10:$N$42</definedName>
    <definedName name="Z_852987ED_B4F5_11D1_ABEC_0000832EB49E_.wvu.PrintArea" localSheetId="6" hidden="1">'Performance 2300V'!$A$1:$F$43</definedName>
    <definedName name="Z_852987ED_B4F5_11D1_ABEC_0000832EB49E_.wvu.PrintArea" localSheetId="5" hidden="1">'Performance 4000V'!$A$1:$F$43</definedName>
    <definedName name="Z_852987ED_B4F5_11D1_ABEC_0000832EB49E_.wvu.PrintArea" localSheetId="3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0" l="1"/>
  <c r="F39" i="10"/>
  <c r="C39" i="10"/>
  <c r="F9" i="10"/>
  <c r="F7" i="10"/>
  <c r="B7" i="10"/>
  <c r="B6" i="10"/>
  <c r="F9" i="7"/>
  <c r="F7" i="7"/>
  <c r="D7" i="7"/>
  <c r="B7" i="7"/>
  <c r="F6" i="7"/>
  <c r="B6" i="7"/>
  <c r="C12" i="8"/>
  <c r="F9" i="8"/>
  <c r="F7" i="8"/>
  <c r="D7" i="8"/>
  <c r="B7" i="8"/>
  <c r="F6" i="8"/>
  <c r="B6" i="8"/>
  <c r="D43" i="8"/>
  <c r="F39" i="8"/>
  <c r="C39" i="8"/>
  <c r="D43" i="7"/>
  <c r="F39" i="7"/>
  <c r="C39" i="7"/>
  <c r="F39" i="5"/>
  <c r="D43" i="5"/>
  <c r="C39" i="5"/>
  <c r="C12" i="5"/>
  <c r="F6" i="5"/>
  <c r="D7" i="5"/>
  <c r="F9" i="5"/>
  <c r="F7" i="5"/>
  <c r="B7" i="5"/>
  <c r="B6" i="5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P31" i="2"/>
  <c r="P32" i="2"/>
  <c r="P33" i="2"/>
  <c r="P34" i="2"/>
  <c r="P30" i="2"/>
  <c r="M52" i="2"/>
  <c r="L41" i="2"/>
  <c r="N40" i="2"/>
  <c r="L40" i="2"/>
  <c r="M39" i="2"/>
  <c r="N39" i="2" s="1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A71" i="7" l="1"/>
  <c r="C70" i="7"/>
  <c r="B70" i="7"/>
  <c r="B69" i="7"/>
  <c r="B75" i="7" s="1"/>
  <c r="C69" i="7"/>
  <c r="N41" i="2"/>
  <c r="N38" i="2"/>
  <c r="M53" i="2"/>
  <c r="C71" i="7" l="1"/>
  <c r="B71" i="7"/>
  <c r="A72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7551A97E-66D3-446A-95D2-EA936C41011A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6B4C6283-D0C4-41C7-A014-3B30DCFD983B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7BBC194D-7A9F-4BFF-A470-C6CFCF77BD92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<sst xmlns="http://schemas.openxmlformats.org/spreadsheetml/2006/main" count="924" uniqueCount="684">
  <si>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</si>
  <si>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</si>
  <si>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</si>
  <si>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</si>
  <si>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</si>
  <si>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</si>
  <si>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</si>
  <si>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</si>
  <si>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</si>
  <si>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</si>
  <si>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</si>
  <si>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</si>
  <si>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</si>
  <si>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</si>
  <si>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</si>
  <si>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</si>
  <si>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</si>
  <si>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</si>
  <si>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</si>
  <si>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</si>
  <si>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</si>
  <si>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</si>
  <si>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</si>
  <si>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</si>
  <si>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</si>
  <si>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</si>
  <si>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</si>
  <si>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</si>
  <si>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</si>
  <si>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</si>
  <si>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</si>
  <si>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</si>
  <si>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</si>
  <si>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</si>
  <si>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</si>
  <si>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</si>
  <si>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</si>
  <si>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</si>
  <si>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</si>
  <si>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</si>
  <si>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</si>
  <si>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</si>
  <si>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</si>
  <si>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</si>
  <si>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</si>
  <si>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</si>
  <si>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</si>
  <si>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</si>
  <si>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</si>
  <si>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</si>
  <si>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</si>
  <si>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</si>
  <si>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</si>
  <si>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</si>
  <si>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</si>
  <si>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</si>
  <si>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</si>
  <si>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</si>
  <si>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</si>
  <si>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</si>
  <si>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</si>
  <si>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</si>
  <si>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</si>
  <si>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</si>
  <si>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</si>
  <si>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</si>
  <si>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</si>
  <si>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</si>
  <si>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</si>
  <si>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</si>
  <si>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</si>
  <si>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</si>
  <si>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</si>
  <si>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</si>
  <si>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</si>
  <si>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</si>
  <si>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</si>
  <si>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</si>
  <si>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</si>
  <si>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</si>
  <si>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</si>
  <si>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</si>
  <si>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</si>
  <si>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</si>
  <si>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</si>
  <si>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</si>
  <si>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</si>
  <si>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</si>
  <si>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</si>
  <si>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</si>
  <si>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</si>
  <si>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</si>
  <si>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</si>
  <si>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</si>
  <si>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</si>
  <si>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</si>
  <si>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</si>
  <si>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</si>
  <si>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</si>
  <si>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</si>
  <si>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</si>
  <si>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</si>
  <si>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</si>
  <si>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</si>
  <si>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</si>
  <si>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</si>
  <si>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</si>
  <si>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</si>
  <si>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</si>
  <si>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</si>
  <si>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</si>
  <si>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</si>
  <si>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</si>
  <si>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</si>
  <si>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</si>
  <si>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</si>
  <si>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</si>
  <si>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</si>
  <si>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</si>
  <si>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</si>
  <si>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</si>
  <si>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</si>
  <si>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</si>
  <si>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</si>
  <si>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</si>
  <si>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</si>
  <si>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</si>
  <si>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</si>
  <si>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</si>
  <si>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</si>
  <si>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</si>
  <si>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</si>
  <si>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</si>
  <si>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</si>
  <si>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</si>
  <si>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</si>
  <si>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</si>
  <si>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</si>
  <si>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</si>
  <si>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</si>
  <si>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</si>
  <si>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</si>
  <si>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</si>
  <si>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</si>
  <si>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</si>
  <si>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</si>
  <si>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</si>
  <si>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</si>
  <si>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</si>
  <si>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</si>
  <si>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</si>
  <si>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</si>
  <si>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</si>
  <si>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</si>
  <si>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</si>
  <si>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</si>
  <si>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</si>
  <si>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</si>
  <si>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</si>
  <si>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</si>
  <si>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</si>
  <si>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</si>
  <si>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</si>
  <si>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</si>
  <si>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</si>
  <si>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</si>
  <si>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</si>
  <si>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</si>
  <si>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</si>
  <si>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</si>
  <si>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</si>
  <si>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</si>
  <si>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</si>
  <si>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</si>
  <si>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</si>
  <si>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</si>
  <si>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</si>
  <si>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</si>
  <si>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</si>
  <si>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</si>
  <si>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</si>
  <si>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</si>
  <si>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</si>
  <si>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</si>
  <si>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</si>
  <si>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</si>
  <si>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</si>
  <si>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</si>
  <si>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</si>
  <si>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</si>
  <si>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</si>
  <si>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</si>
  <si>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</si>
  <si>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</si>
  <si>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DCKW</t>
  </si>
  <si>
    <t>Open</t>
  </si>
  <si>
    <t>Dbl - Closed</t>
  </si>
  <si>
    <t>8.00 - 8.00</t>
  </si>
  <si>
    <t>2.83 - 0.50</t>
  </si>
  <si>
    <t>Magnetic</t>
  </si>
  <si>
    <t>8 x 10</t>
  </si>
  <si>
    <t>1 ~ 14</t>
  </si>
  <si>
    <t>(.064"x.162")x1</t>
  </si>
  <si>
    <t>(.064"x.144")x1</t>
  </si>
  <si>
    <t>Wye</t>
  </si>
  <si>
    <t>(105°C)</t>
  </si>
  <si>
    <t>CU</t>
  </si>
  <si>
    <t>AL</t>
  </si>
  <si>
    <t>ERD1: 299.0</t>
  </si>
  <si>
    <t>ERD2: 385.0</t>
  </si>
  <si>
    <t>LB:  -</t>
  </si>
  <si>
    <t>LER:  -</t>
  </si>
  <si>
    <t>UB: 264.6</t>
  </si>
  <si>
    <t>UER: 2000.0</t>
  </si>
  <si>
    <t>ERT: 50.0</t>
  </si>
  <si>
    <t>(Coeff.: 0.0983)</t>
  </si>
  <si>
    <t>Skew R.: 0.00</t>
  </si>
  <si>
    <t>N:\DESPRO\RAT FILES\1T4450K REV1.rat</t>
  </si>
  <si>
    <t>2-2-2-0-1-2</t>
  </si>
  <si>
    <t>B.L.-1  P.F.-1</t>
  </si>
  <si>
    <t>6269.6 / 7096.9</t>
  </si>
  <si>
    <t>4633.4 / 5622.9</t>
  </si>
  <si>
    <t>7293.2 / 7401.1</t>
  </si>
  <si>
    <t>1600.0 / 3440.4</t>
  </si>
  <si>
    <t>5096.3 / 3738.7</t>
  </si>
  <si>
    <t>1015.1 / 744.7</t>
  </si>
  <si>
    <t>4081.2 / 2994.0</t>
  </si>
  <si>
    <t>1.50 / 1.10</t>
  </si>
  <si>
    <t>63 / 62</t>
  </si>
  <si>
    <t>Temp. Rise @ 100%:</t>
  </si>
  <si>
    <t>Stray Loss</t>
  </si>
  <si>
    <t>0.914 / 0.895</t>
  </si>
  <si>
    <t>0.945 / 0.925</t>
  </si>
  <si>
    <t>0.952 / 0.932</t>
  </si>
  <si>
    <t>0.949 / 0.929</t>
  </si>
  <si>
    <t>0.570 / 0.569</t>
  </si>
  <si>
    <t>0.725 / 0.724</t>
  </si>
  <si>
    <t>0.817 / 0.816</t>
  </si>
  <si>
    <t>0.856 / 0.855</t>
  </si>
  <si>
    <t>0.873 / 0.872</t>
  </si>
  <si>
    <t>23.24 / 23.77</t>
  </si>
  <si>
    <t>35.36 / 36.16</t>
  </si>
  <si>
    <t>46.71 / 47.76</t>
  </si>
  <si>
    <t>59.43 / 60.77</t>
  </si>
  <si>
    <t>73.13 / 74.78</t>
  </si>
  <si>
    <t>4.95 / 5.06</t>
  </si>
  <si>
    <t>UB: 4.17 / 4.27</t>
  </si>
  <si>
    <t>UER: 1.94 / 1.98</t>
  </si>
  <si>
    <t>1792.8 / 1787.0</t>
  </si>
  <si>
    <t>1788.3 / 1782.6</t>
  </si>
  <si>
    <t>1782.4 / 1776.7</t>
  </si>
  <si>
    <t>1776.3 / 1770.6</t>
  </si>
  <si>
    <t>1770.2 / 1764.5</t>
  </si>
  <si>
    <t>0.0040 / 0.0072</t>
  </si>
  <si>
    <t>0.0065 / 0.0097</t>
  </si>
  <si>
    <t>0.0098 / 0.0129</t>
  </si>
  <si>
    <t>0.0131 / 0.0163</t>
  </si>
  <si>
    <t>0.0166 / 0.0197</t>
  </si>
  <si>
    <t>21.179 / 18.799</t>
  </si>
  <si>
    <t>0.735 / 0.652</t>
  </si>
  <si>
    <t>21.19 / 18.81</t>
  </si>
  <si>
    <t>350.8 / 368.1</t>
  </si>
  <si>
    <t>590.2 / 619.3</t>
  </si>
  <si>
    <t>274.3 / 276.5</t>
  </si>
  <si>
    <t>149.0 / 150.2</t>
  </si>
  <si>
    <t>252.1 / 284.1</t>
  </si>
  <si>
    <t>Correlated to: 1T4450K.dat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</si>
  <si>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</si>
  <si>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</si>
  <si>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</si>
  <si>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</si>
  <si>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</si>
  <si>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</si>
  <si>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</si>
  <si>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</si>
  <si>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</si>
  <si>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</si>
  <si>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</si>
  <si>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</si>
  <si>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</si>
  <si>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</si>
  <si>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</si>
  <si>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</si>
  <si>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</si>
  <si>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</si>
  <si>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</si>
  <si>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</si>
  <si>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</si>
  <si>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</si>
  <si>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</si>
  <si>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</si>
  <si>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</si>
  <si>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</si>
  <si>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</si>
  <si>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</si>
  <si>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</si>
  <si>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</si>
  <si>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</si>
  <si>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</si>
  <si>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</si>
  <si>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</si>
  <si>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</si>
  <si>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</si>
  <si>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</si>
  <si>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</si>
  <si>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</si>
  <si>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</si>
  <si>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</si>
  <si>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</si>
  <si>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</si>
  <si>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</si>
  <si>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</si>
  <si>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</si>
  <si>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</si>
  <si>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</si>
  <si>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</si>
  <si>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</si>
  <si>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</si>
  <si>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</si>
  <si>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</si>
  <si>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</si>
  <si>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</si>
  <si>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</si>
  <si>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</si>
  <si>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</si>
  <si>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</si>
  <si>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</si>
  <si>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</si>
  <si>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</si>
  <si>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</si>
  <si>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</si>
  <si>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</si>
  <si>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</si>
  <si>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</si>
  <si>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</si>
  <si>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</si>
  <si>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</si>
  <si>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</si>
  <si>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</si>
  <si>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</si>
  <si>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</si>
  <si>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</si>
  <si>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</si>
  <si>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</si>
  <si>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</si>
  <si>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</si>
  <si>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</si>
  <si>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</si>
  <si>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</si>
  <si>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</si>
  <si>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Jerry R</t>
  </si>
  <si>
    <t>Date</t>
  </si>
  <si>
    <t>F</t>
  </si>
  <si>
    <t>PROJECT</t>
  </si>
  <si>
    <t>1T4450K REV1</t>
  </si>
  <si>
    <t>Type: TIKK - Form: DCKW - 4 Pole - 450 HP - 2300 / 4000 V - 60 Hz - 5012 - Class F</t>
  </si>
  <si>
    <t>17 x 2</t>
  </si>
  <si>
    <t>1D / 1Y</t>
  </si>
  <si>
    <t>106 / 61</t>
  </si>
  <si>
    <t>33 / 18.8</t>
  </si>
  <si>
    <t>637/ 368</t>
  </si>
  <si>
    <t>708 / 409</t>
  </si>
  <si>
    <t>63 / 83</t>
  </si>
  <si>
    <t>506 / 3053</t>
  </si>
  <si>
    <t>G</t>
  </si>
  <si>
    <t>427 / 198</t>
  </si>
  <si>
    <t>4504WTAK11F-A</t>
  </si>
  <si>
    <t>8,9</t>
  </si>
  <si>
    <t xml:space="preserve">LINK: 1T4450K.RAT AND DAT </t>
  </si>
  <si>
    <t>THEN RUN 1T4450K REV1</t>
  </si>
  <si>
    <t>REV1. CHG FROM EDS-C-1059-3</t>
  </si>
  <si>
    <t>CHG FROM 0.064"x.162"x2 JROD 05/20/2025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</si>
  <si>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</si>
  <si>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</si>
  <si>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</si>
  <si>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</si>
  <si>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</si>
  <si>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</si>
  <si>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</si>
  <si>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</si>
  <si>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</si>
  <si>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</si>
  <si>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</si>
  <si>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</si>
  <si>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</si>
  <si>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</si>
  <si>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</si>
  <si>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</si>
  <si>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</si>
  <si>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</si>
  <si>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</si>
  <si>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</si>
  <si>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</si>
  <si>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</si>
  <si>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</si>
  <si>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</si>
  <si>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</si>
  <si>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</si>
  <si>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</si>
  <si>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</si>
  <si>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</si>
  <si>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158.6 lb-ft²</t>
  </si>
  <si>
    <t>1335 lb-ft</t>
  </si>
  <si>
    <t>Load</t>
  </si>
  <si>
    <t>Fan / Pump</t>
  </si>
  <si>
    <t>Acceleration Data (FV V)</t>
  </si>
  <si>
    <t>184.1 kg.m</t>
  </si>
  <si>
    <t>144.5 kg.m²</t>
  </si>
  <si>
    <t>4.4 (s)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</si>
  <si>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</si>
  <si>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</si>
  <si>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</si>
  <si>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</si>
  <si>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</si>
  <si>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</si>
  <si>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</si>
  <si>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</si>
  <si>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</si>
  <si>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</si>
  <si>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</si>
  <si>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</si>
  <si>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</si>
  <si>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</si>
  <si>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</si>
  <si>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</si>
  <si>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</si>
  <si>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</si>
  <si>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</si>
  <si>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</si>
  <si>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</si>
  <si>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</si>
  <si>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</si>
  <si>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</si>
  <si>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</si>
  <si>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</si>
  <si>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</si>
  <si>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</si>
  <si>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</si>
  <si>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</si>
  <si>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</si>
  <si>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</si>
  <si>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</si>
  <si>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</si>
  <si>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</si>
  <si>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</si>
  <si>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</si>
  <si>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</si>
  <si>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</si>
  <si>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- 450.0 HP - 1800 RPM - 4000 V - 60 Hz</t>
  </si>
  <si>
    <t>0~180</t>
  </si>
  <si>
    <t>180~360</t>
  </si>
  <si>
    <t>360~540</t>
  </si>
  <si>
    <t>540~720</t>
  </si>
  <si>
    <t>720~900</t>
  </si>
  <si>
    <t>900~1080</t>
  </si>
  <si>
    <t>1080~1296</t>
  </si>
  <si>
    <t>1296~1512</t>
  </si>
  <si>
    <t>1512~1620</t>
  </si>
  <si>
    <t>1620~1728</t>
  </si>
  <si>
    <t>1728~1764</t>
  </si>
  <si>
    <t>1764~1776</t>
  </si>
  <si>
    <t/>
  </si>
  <si>
    <t>Load Type: Fan / Pump - 857.0 lb-ft²</t>
  </si>
  <si>
    <t>139.7</t>
  </si>
  <si>
    <t>123.3</t>
  </si>
  <si>
    <t>113.8</t>
  </si>
  <si>
    <t>108.5</t>
  </si>
  <si>
    <t>106.0</t>
  </si>
  <si>
    <t>105.1</t>
  </si>
  <si>
    <t>111.3</t>
  </si>
  <si>
    <t>132.9</t>
  </si>
  <si>
    <t>166.9</t>
  </si>
  <si>
    <t>232.8</t>
  </si>
  <si>
    <t>254.9</t>
  </si>
  <si>
    <t>164.9</t>
  </si>
  <si>
    <t>22.5</t>
  </si>
  <si>
    <t>11.5</t>
  </si>
  <si>
    <t>7.0</t>
  </si>
  <si>
    <t>11.0</t>
  </si>
  <si>
    <t>18.0</t>
  </si>
  <si>
    <t>29.2</t>
  </si>
  <si>
    <t>47.6</t>
  </si>
  <si>
    <t>66.4</t>
  </si>
  <si>
    <t>81.9</t>
  </si>
  <si>
    <t>92.5</t>
  </si>
  <si>
    <t>97.2</t>
  </si>
  <si>
    <t>0.381</t>
  </si>
  <si>
    <t>0.399</t>
  </si>
  <si>
    <t>0.418</t>
  </si>
  <si>
    <t>0.440</t>
  </si>
  <si>
    <t>0.470</t>
  </si>
  <si>
    <t>0.513</t>
  </si>
  <si>
    <t>0.653</t>
  </si>
  <si>
    <t>0.628</t>
  </si>
  <si>
    <t>0.267</t>
  </si>
  <si>
    <t>0.178</t>
  </si>
  <si>
    <t>0.055</t>
  </si>
  <si>
    <t>0.045</t>
  </si>
  <si>
    <t>366.9</t>
  </si>
  <si>
    <t>364.6</t>
  </si>
  <si>
    <t>362.0</t>
  </si>
  <si>
    <t>359.0</t>
  </si>
  <si>
    <t>355.4</t>
  </si>
  <si>
    <t>350.5</t>
  </si>
  <si>
    <t>342.8</t>
  </si>
  <si>
    <t>327.3</t>
  </si>
  <si>
    <t>305.5</t>
  </si>
  <si>
    <t>272.8</t>
  </si>
  <si>
    <t>207.0</t>
  </si>
  <si>
    <t>102.9</t>
  </si>
  <si>
    <t>91.6</t>
  </si>
  <si>
    <t>94.9</t>
  </si>
  <si>
    <t>98.0</t>
  </si>
  <si>
    <t>101.5</t>
  </si>
  <si>
    <t>106.6</t>
  </si>
  <si>
    <t>113.6</t>
  </si>
  <si>
    <t>140.0</t>
  </si>
  <si>
    <t>127.3</t>
  </si>
  <si>
    <t>47.5</t>
  </si>
  <si>
    <t>27.3</t>
  </si>
  <si>
    <t>6.2</t>
  </si>
  <si>
    <t>0.3</t>
  </si>
  <si>
    <t>190.4</t>
  </si>
  <si>
    <t>155.0</t>
  </si>
  <si>
    <t>130.6</t>
  </si>
  <si>
    <t>113.2</t>
  </si>
  <si>
    <t>100.3</t>
  </si>
  <si>
    <t>89.9</t>
  </si>
  <si>
    <t>76.1</t>
  </si>
  <si>
    <t>57.5</t>
  </si>
  <si>
    <t>35.1</t>
  </si>
  <si>
    <t>18.3</t>
  </si>
  <si>
    <t>10.3</t>
  </si>
  <si>
    <t>6.6</t>
  </si>
  <si>
    <t>955 kW / s</t>
  </si>
  <si>
    <t>834 kW / s</t>
  </si>
  <si>
    <t>150 kW / s</t>
  </si>
  <si>
    <t>25°C</t>
  </si>
  <si>
    <t>76°C</t>
  </si>
  <si>
    <t>14°C</t>
  </si>
  <si>
    <t>51°C</t>
  </si>
  <si>
    <t>152°C</t>
  </si>
  <si>
    <t>28°C</t>
  </si>
  <si>
    <t>Acceleration Time:  4.4 s</t>
  </si>
  <si>
    <t>7.3°C / s</t>
  </si>
  <si>
    <t>38.8°C / s</t>
  </si>
  <si>
    <t>7.1°C / s</t>
  </si>
  <si>
    <t>275.6 kW</t>
  </si>
  <si>
    <t>427.0 kW</t>
  </si>
  <si>
    <t>76.6 kW</t>
  </si>
  <si>
    <t>21.9 s</t>
  </si>
  <si>
    <t>6.7 s</t>
  </si>
  <si>
    <t>25.3 s</t>
  </si>
  <si>
    <t>63°C    +</t>
  </si>
  <si>
    <t>83°C    +</t>
  </si>
  <si>
    <t>97°C    +</t>
  </si>
  <si>
    <t>177°C   +</t>
  </si>
  <si>
    <t>97°C   +</t>
  </si>
  <si>
    <t>13.3 s</t>
  </si>
  <si>
    <t>4.6 s</t>
  </si>
  <si>
    <t>13.6 s</t>
  </si>
  <si>
    <t>10.1 s</t>
  </si>
  <si>
    <t>5.4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</si>
  <si>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</si>
  <si>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</si>
  <si>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</si>
  <si>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</si>
  <si>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</si>
  <si>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</si>
  <si>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</si>
  <si>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</si>
  <si>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</si>
  <si>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</si>
  <si>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</si>
  <si>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</si>
  <si>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</si>
  <si>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</si>
  <si>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</si>
  <si>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</si>
  <si>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</si>
  <si>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</si>
  <si>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</si>
  <si>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</si>
  <si>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</si>
  <si>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</si>
  <si>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</si>
  <si>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</si>
  <si>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</si>
  <si>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</si>
  <si>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</si>
  <si>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</si>
  <si>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</si>
  <si>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</si>
  <si>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</si>
  <si>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</si>
  <si>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</si>
  <si>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</si>
  <si>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</si>
  <si>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</si>
  <si>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</si>
  <si>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</si>
  <si>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</si>
  <si>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</si>
  <si>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</si>
  <si>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</si>
  <si>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</si>
  <si>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</si>
  <si>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</si>
  <si>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</si>
  <si>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</si>
  <si>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</si>
  <si>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</si>
  <si>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</si>
  <si>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</si>
  <si>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</si>
  <si>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</si>
  <si>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</si>
  <si>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</si>
  <si>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</si>
  <si>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</si>
  <si>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</si>
  <si>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</si>
  <si>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</si>
  <si>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</si>
  <si>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</si>
  <si>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</si>
  <si>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</si>
  <si>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</si>
  <si>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</si>
  <si>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</si>
  <si>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</si>
  <si>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</si>
  <si>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</si>
  <si>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</si>
  <si>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</si>
  <si>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</si>
  <si>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</si>
  <si>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</si>
  <si>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</si>
  <si>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</si>
  <si>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</si>
  <si>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</si>
  <si>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</si>
  <si>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</si>
  <si>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</si>
  <si>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</si>
  <si>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</si>
  <si>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</si>
  <si>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</si>
  <si>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</si>
  <si>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</si>
  <si>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</si>
  <si>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</si>
  <si>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</si>
  <si>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</si>
  <si>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</si>
  <si>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</si>
  <si>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</si>
  <si>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</si>
  <si>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</si>
  <si>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</si>
  <si>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</si>
  <si>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</si>
  <si>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</si>
  <si>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</si>
  <si>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</si>
  <si>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</si>
  <si>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</si>
  <si>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</si>
  <si>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</si>
  <si>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</si>
  <si>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</si>
  <si>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</si>
  <si>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</si>
  <si>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</si>
  <si>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</si>
  <si>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</si>
  <si>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WP-II</t>
  </si>
  <si>
    <t>1.15</t>
  </si>
  <si>
    <t>5012US</t>
  </si>
  <si>
    <t>ASSUMED 1/2 NEMA</t>
  </si>
  <si>
    <t>106 A</t>
  </si>
  <si>
    <t>2300 V</t>
  </si>
  <si>
    <t>637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</si>
</sst>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2" formatCode="General_)"/>
    <numFmt numFmtId="193" formatCode="General&quot;°C&quot;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i/>
      <sz val="12"/>
      <color indexed="8"/>
      <name val="Bradley Hand ITC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24" fillId="0" borderId="0"/>
    <xf numFmtId="0" fontId="1" fillId="0" borderId="0"/>
    <xf numFmtId="192" fontId="62" fillId="0" borderId="0"/>
  </cellStyleXfs>
  <cellXfs count="59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184" fontId="38" fillId="0" borderId="65" xfId="1" applyNumberFormat="1" applyFont="1" applyBorder="1" applyAlignment="1">
      <alignment horizontal="center"/>
    </xf>
    <xf numFmtId="184" fontId="38" fillId="0" borderId="66" xfId="1" applyNumberFormat="1" applyFont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0" fontId="19" fillId="0" borderId="24" xfId="1" applyFont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8" fillId="0" borderId="92" xfId="1" applyFont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4" fillId="0" borderId="78" xfId="1" applyFont="1" applyBorder="1"/>
    <xf numFmtId="0" fontId="34" fillId="0" borderId="79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29" fillId="0" borderId="38" xfId="1" applyFont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36" fillId="0" borderId="116" xfId="1" applyFont="1" applyBorder="1"/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36" fillId="5" borderId="119" xfId="1" applyFont="1" applyFill="1" applyBorder="1"/>
    <xf numFmtId="0" fontId="48" fillId="5" borderId="120" xfId="1" applyFont="1" applyFill="1" applyBorder="1" applyAlignment="1">
      <alignment horizontal="center" shrinkToFit="1"/>
    </xf>
    <xf numFmtId="0" fontId="31" fillId="5" borderId="45" xfId="1" applyFont="1" applyFill="1" applyBorder="1"/>
    <xf numFmtId="0" fontId="36" fillId="5" borderId="121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184" fontId="2" fillId="0" borderId="0" xfId="0" applyNumberFormat="1" applyFont="1" applyBorder="1" applyAlignment="1">
      <alignment horizontal="center"/>
    </xf>
    <xf numFmtId="0" fontId="51" fillId="0" borderId="61" xfId="2" applyFont="1" applyBorder="1"/>
    <xf numFmtId="0" fontId="51" fillId="0" borderId="62" xfId="2" applyFont="1" applyBorder="1"/>
    <xf numFmtId="0" fontId="51" fillId="0" borderId="38" xfId="2" applyFont="1" applyBorder="1"/>
    <xf numFmtId="0" fontId="1" fillId="0" borderId="0" xfId="2"/>
    <xf numFmtId="0" fontId="52" fillId="0" borderId="83" xfId="2" applyFont="1" applyBorder="1" applyAlignment="1">
      <alignment horizontal="centerContinuous"/>
    </xf>
    <xf numFmtId="0" fontId="51" fillId="0" borderId="0" xfId="2" applyFont="1" applyAlignment="1">
      <alignment horizontal="centerContinuous"/>
    </xf>
    <xf numFmtId="0" fontId="51" fillId="0" borderId="108" xfId="2" applyFont="1" applyBorder="1" applyAlignment="1">
      <alignment horizontal="centerContinuous"/>
    </xf>
    <xf numFmtId="0" fontId="53" fillId="0" borderId="83" xfId="2" applyFont="1" applyBorder="1" applyAlignment="1">
      <alignment horizontal="centerContinuous"/>
    </xf>
    <xf numFmtId="0" fontId="51" fillId="0" borderId="83" xfId="2" applyFont="1" applyBorder="1"/>
    <xf numFmtId="0" fontId="51" fillId="0" borderId="0" xfId="2" applyFont="1"/>
    <xf numFmtId="0" fontId="51" fillId="0" borderId="108" xfId="2" applyFont="1" applyBorder="1"/>
    <xf numFmtId="0" fontId="54" fillId="0" borderId="1" xfId="2" applyFont="1" applyBorder="1" applyAlignment="1">
      <alignment horizontal="right"/>
    </xf>
    <xf numFmtId="0" fontId="51" fillId="0" borderId="17" xfId="2" applyFont="1" applyBorder="1" applyAlignment="1">
      <alignment horizontal="center"/>
    </xf>
    <xf numFmtId="0" fontId="51" fillId="0" borderId="127" xfId="2" applyFont="1" applyBorder="1" applyAlignment="1">
      <alignment horizontal="center"/>
    </xf>
    <xf numFmtId="0" fontId="51" fillId="0" borderId="128" xfId="2" applyFont="1" applyBorder="1" applyAlignment="1">
      <alignment horizontal="center"/>
    </xf>
    <xf numFmtId="0" fontId="51" fillId="0" borderId="1" xfId="2" applyFont="1" applyBorder="1" applyAlignment="1">
      <alignment horizontal="center"/>
    </xf>
    <xf numFmtId="14" fontId="51" fillId="0" borderId="1" xfId="2" applyNumberFormat="1" applyFont="1" applyBorder="1" applyAlignment="1">
      <alignment horizontal="center"/>
    </xf>
    <xf numFmtId="0" fontId="54" fillId="0" borderId="0" xfId="2" applyFont="1" applyAlignment="1">
      <alignment horizontal="right"/>
    </xf>
    <xf numFmtId="0" fontId="51" fillId="0" borderId="0" xfId="2" applyFont="1" applyAlignment="1">
      <alignment horizontal="center"/>
    </xf>
    <xf numFmtId="9" fontId="51" fillId="0" borderId="0" xfId="2" applyNumberFormat="1" applyFont="1" applyAlignment="1">
      <alignment horizontal="center"/>
    </xf>
    <xf numFmtId="0" fontId="54" fillId="0" borderId="83" xfId="2" applyFont="1" applyBorder="1" applyAlignment="1">
      <alignment horizontal="right"/>
    </xf>
    <xf numFmtId="0" fontId="51" fillId="0" borderId="40" xfId="2" applyFont="1" applyBorder="1"/>
    <xf numFmtId="0" fontId="51" fillId="0" borderId="39" xfId="2" applyFont="1" applyBorder="1" applyAlignment="1">
      <alignment horizontal="center"/>
    </xf>
    <xf numFmtId="0" fontId="51" fillId="0" borderId="85" xfId="2" applyFont="1" applyBorder="1"/>
    <xf numFmtId="0" fontId="54" fillId="0" borderId="17" xfId="2" applyFont="1" applyBorder="1" applyAlignment="1">
      <alignment horizontal="right"/>
    </xf>
    <xf numFmtId="0" fontId="51" fillId="0" borderId="128" xfId="2" applyFont="1" applyBorder="1"/>
    <xf numFmtId="184" fontId="3" fillId="0" borderId="0" xfId="2" quotePrefix="1" applyNumberFormat="1" applyFont="1" applyAlignment="1">
      <alignment horizontal="center"/>
    </xf>
    <xf numFmtId="184" fontId="2" fillId="0" borderId="0" xfId="2" applyNumberFormat="1" applyFont="1" applyAlignment="1">
      <alignment horizontal="center"/>
    </xf>
    <xf numFmtId="184" fontId="3" fillId="0" borderId="0" xfId="2" applyNumberFormat="1" applyFont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0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0" fontId="25" fillId="0" borderId="0" xfId="2" applyFont="1"/>
    <xf numFmtId="0" fontId="55" fillId="0" borderId="0" xfId="2" applyFont="1"/>
    <xf numFmtId="0" fontId="56" fillId="0" borderId="26" xfId="2" applyFont="1" applyBorder="1" applyAlignment="1">
      <alignment horizontal="center"/>
    </xf>
    <xf numFmtId="0" fontId="56" fillId="0" borderId="28" xfId="2" applyFont="1" applyBorder="1" applyAlignment="1">
      <alignment horizontal="center"/>
    </xf>
    <xf numFmtId="0" fontId="55" fillId="0" borderId="1" xfId="2" applyFont="1" applyBorder="1" applyAlignment="1">
      <alignment horizontal="center"/>
    </xf>
    <xf numFmtId="0" fontId="57" fillId="0" borderId="17" xfId="2" applyFont="1" applyBorder="1" applyAlignment="1">
      <alignment horizontal="center"/>
    </xf>
    <xf numFmtId="0" fontId="32" fillId="0" borderId="127" xfId="2" applyFont="1" applyBorder="1" applyAlignment="1">
      <alignment horizontal="center"/>
    </xf>
    <xf numFmtId="0" fontId="32" fillId="0" borderId="128" xfId="2" applyFont="1" applyBorder="1" applyAlignment="1">
      <alignment horizontal="center"/>
    </xf>
    <xf numFmtId="0" fontId="56" fillId="0" borderId="1" xfId="2" applyFont="1" applyBorder="1" applyAlignment="1">
      <alignment horizontal="center"/>
    </xf>
    <xf numFmtId="0" fontId="56" fillId="0" borderId="1" xfId="2" applyFont="1" applyBorder="1" applyAlignment="1">
      <alignment horizontal="right"/>
    </xf>
    <xf numFmtId="0" fontId="55" fillId="0" borderId="1" xfId="2" applyFont="1" applyBorder="1" applyAlignment="1">
      <alignment horizontal="center"/>
    </xf>
    <xf numFmtId="0" fontId="32" fillId="0" borderId="17" xfId="2" applyFont="1" applyBorder="1" applyAlignment="1">
      <alignment horizontal="center"/>
    </xf>
    <xf numFmtId="0" fontId="56" fillId="0" borderId="1" xfId="2" applyFont="1" applyBorder="1" applyAlignment="1">
      <alignment horizontal="center"/>
    </xf>
    <xf numFmtId="0" fontId="55" fillId="0" borderId="17" xfId="2" applyFont="1" applyBorder="1" applyAlignment="1">
      <alignment horizontal="right"/>
    </xf>
    <xf numFmtId="0" fontId="55" fillId="0" borderId="127" xfId="2" applyFont="1" applyBorder="1" applyAlignment="1">
      <alignment horizontal="right"/>
    </xf>
    <xf numFmtId="0" fontId="55" fillId="0" borderId="127" xfId="2" applyFont="1" applyBorder="1" applyAlignment="1">
      <alignment horizontal="center"/>
    </xf>
    <xf numFmtId="0" fontId="55" fillId="0" borderId="128" xfId="2" quotePrefix="1" applyFont="1" applyBorder="1" applyAlignment="1">
      <alignment horizontal="center"/>
    </xf>
    <xf numFmtId="0" fontId="55" fillId="0" borderId="128" xfId="2" applyFont="1" applyBorder="1" applyAlignment="1">
      <alignment horizontal="center"/>
    </xf>
    <xf numFmtId="0" fontId="56" fillId="0" borderId="0" xfId="2" applyFont="1" applyAlignment="1">
      <alignment horizontal="right"/>
    </xf>
    <xf numFmtId="0" fontId="32" fillId="0" borderId="0" xfId="2" applyFont="1" applyAlignment="1">
      <alignment horizontal="center"/>
    </xf>
    <xf numFmtId="0" fontId="56" fillId="0" borderId="0" xfId="2" applyFont="1" applyAlignment="1">
      <alignment horizontal="right"/>
    </xf>
    <xf numFmtId="0" fontId="55" fillId="0" borderId="62" xfId="2" applyFont="1" applyBorder="1" applyAlignment="1">
      <alignment horizontal="center"/>
    </xf>
    <xf numFmtId="0" fontId="53" fillId="0" borderId="83" xfId="2" applyFont="1" applyBorder="1" applyAlignment="1">
      <alignment horizontal="center"/>
    </xf>
    <xf numFmtId="0" fontId="53" fillId="0" borderId="0" xfId="2" applyFont="1" applyAlignment="1">
      <alignment horizontal="center"/>
    </xf>
    <xf numFmtId="0" fontId="53" fillId="0" borderId="108" xfId="2" applyFont="1" applyBorder="1" applyAlignment="1">
      <alignment horizontal="center"/>
    </xf>
    <xf numFmtId="0" fontId="58" fillId="0" borderId="83" xfId="2" applyFont="1" applyBorder="1" applyAlignment="1">
      <alignment horizontal="center"/>
    </xf>
    <xf numFmtId="0" fontId="58" fillId="0" borderId="0" xfId="2" applyFont="1" applyAlignment="1">
      <alignment horizontal="center"/>
    </xf>
    <xf numFmtId="0" fontId="58" fillId="0" borderId="108" xfId="2" applyFont="1" applyBorder="1" applyAlignment="1">
      <alignment horizontal="center"/>
    </xf>
    <xf numFmtId="0" fontId="59" fillId="0" borderId="0" xfId="2" applyFont="1"/>
    <xf numFmtId="0" fontId="60" fillId="0" borderId="0" xfId="2" applyFont="1"/>
    <xf numFmtId="0" fontId="2" fillId="0" borderId="1" xfId="2" applyFont="1" applyBorder="1" applyAlignment="1">
      <alignment horizontal="center"/>
    </xf>
    <xf numFmtId="1" fontId="2" fillId="5" borderId="1" xfId="2" applyNumberFormat="1" applyFont="1" applyFill="1" applyBorder="1" applyAlignment="1">
      <alignment horizontal="center"/>
    </xf>
    <xf numFmtId="2" fontId="2" fillId="5" borderId="1" xfId="2" applyNumberFormat="1" applyFont="1" applyFill="1" applyBorder="1" applyAlignment="1">
      <alignment horizontal="center"/>
    </xf>
    <xf numFmtId="0" fontId="2" fillId="5" borderId="1" xfId="2" applyFont="1" applyFill="1" applyBorder="1" applyAlignment="1">
      <alignment horizontal="center"/>
    </xf>
    <xf numFmtId="0" fontId="61" fillId="0" borderId="0" xfId="2" applyFont="1"/>
    <xf numFmtId="0" fontId="2" fillId="0" borderId="44" xfId="2" applyFont="1" applyBorder="1" applyAlignment="1">
      <alignment horizontal="center"/>
    </xf>
    <xf numFmtId="0" fontId="2" fillId="0" borderId="54" xfId="2" applyFont="1" applyBorder="1" applyAlignment="1">
      <alignment horizontal="center"/>
    </xf>
    <xf numFmtId="184" fontId="3" fillId="0" borderId="131" xfId="2" quotePrefix="1" applyNumberFormat="1" applyFont="1" applyBorder="1" applyAlignment="1">
      <alignment horizontal="center"/>
    </xf>
    <xf numFmtId="184" fontId="2" fillId="0" borderId="39" xfId="2" applyNumberFormat="1" applyFont="1" applyBorder="1" applyAlignment="1">
      <alignment horizontal="center"/>
    </xf>
    <xf numFmtId="184" fontId="2" fillId="0" borderId="28" xfId="2" applyNumberFormat="1" applyFont="1" applyBorder="1" applyAlignment="1">
      <alignment horizontal="center"/>
    </xf>
    <xf numFmtId="184" fontId="2" fillId="0" borderId="132" xfId="2" applyNumberFormat="1" applyFont="1" applyBorder="1" applyAlignment="1">
      <alignment horizontal="center"/>
    </xf>
    <xf numFmtId="184" fontId="3" fillId="0" borderId="133" xfId="2" quotePrefix="1" applyNumberFormat="1" applyFont="1" applyBorder="1" applyAlignment="1">
      <alignment horizontal="center"/>
    </xf>
    <xf numFmtId="184" fontId="2" fillId="0" borderId="128" xfId="2" applyNumberFormat="1" applyFont="1" applyBorder="1" applyAlignment="1">
      <alignment horizontal="center"/>
    </xf>
    <xf numFmtId="184" fontId="2" fillId="0" borderId="1" xfId="2" applyNumberFormat="1" applyFont="1" applyBorder="1" applyAlignment="1">
      <alignment horizontal="center"/>
    </xf>
    <xf numFmtId="184" fontId="2" fillId="0" borderId="9" xfId="2" applyNumberFormat="1" applyFont="1" applyBorder="1" applyAlignment="1">
      <alignment horizontal="center"/>
    </xf>
    <xf numFmtId="184" fontId="3" fillId="0" borderId="25" xfId="2" quotePrefix="1" applyNumberFormat="1" applyFont="1" applyBorder="1" applyAlignment="1">
      <alignment horizontal="center"/>
    </xf>
    <xf numFmtId="184" fontId="2" fillId="0" borderId="129" xfId="2" applyNumberFormat="1" applyFont="1" applyBorder="1" applyAlignment="1">
      <alignment horizontal="center"/>
    </xf>
    <xf numFmtId="184" fontId="2" fillId="0" borderId="11" xfId="2" applyNumberFormat="1" applyFont="1" applyBorder="1" applyAlignment="1">
      <alignment horizontal="center"/>
    </xf>
    <xf numFmtId="184" fontId="2" fillId="0" borderId="33" xfId="2" applyNumberFormat="1" applyFont="1" applyBorder="1" applyAlignment="1">
      <alignment horizontal="center"/>
    </xf>
    <xf numFmtId="192" fontId="63" fillId="0" borderId="6" xfId="3" applyFont="1" applyBorder="1" applyAlignment="1">
      <alignment horizontal="centerContinuous"/>
    </xf>
    <xf numFmtId="192" fontId="63" fillId="0" borderId="7" xfId="3" applyFont="1" applyBorder="1" applyAlignment="1">
      <alignment horizontal="centerContinuous"/>
    </xf>
    <xf numFmtId="192" fontId="64" fillId="0" borderId="12" xfId="3" applyFont="1" applyBorder="1" applyAlignment="1">
      <alignment horizontal="left"/>
    </xf>
    <xf numFmtId="192" fontId="65" fillId="0" borderId="55" xfId="3" applyFont="1" applyBorder="1"/>
    <xf numFmtId="192" fontId="64" fillId="0" borderId="13" xfId="3" applyFont="1" applyBorder="1" applyAlignment="1">
      <alignment horizontal="centerContinuous"/>
    </xf>
    <xf numFmtId="192" fontId="65" fillId="0" borderId="14" xfId="3" applyFont="1" applyBorder="1" applyAlignment="1">
      <alignment horizontal="centerContinuous"/>
    </xf>
    <xf numFmtId="192" fontId="66" fillId="0" borderId="0" xfId="3" applyFont="1"/>
    <xf numFmtId="192" fontId="62" fillId="0" borderId="0" xfId="3"/>
    <xf numFmtId="192" fontId="63" fillId="0" borderId="45" xfId="3" applyFont="1" applyBorder="1" applyAlignment="1">
      <alignment horizontal="centerContinuous"/>
    </xf>
    <xf numFmtId="192" fontId="63" fillId="0" borderId="0" xfId="3" applyFont="1" applyAlignment="1">
      <alignment horizontal="centerContinuous"/>
    </xf>
    <xf numFmtId="192" fontId="64" fillId="0" borderId="109" xfId="3" applyFont="1" applyBorder="1" applyAlignment="1">
      <alignment horizontal="left"/>
    </xf>
    <xf numFmtId="192" fontId="65" fillId="0" borderId="39" xfId="3" applyFont="1" applyBorder="1"/>
    <xf numFmtId="192" fontId="64" fillId="0" borderId="40" xfId="3" applyFont="1" applyBorder="1" applyAlignment="1">
      <alignment horizontal="centerContinuous"/>
    </xf>
    <xf numFmtId="192" fontId="65" fillId="0" borderId="29" xfId="3" applyFont="1" applyBorder="1" applyAlignment="1">
      <alignment horizontal="centerContinuous"/>
    </xf>
    <xf numFmtId="192" fontId="65" fillId="0" borderId="45" xfId="3" applyFont="1" applyBorder="1" applyAlignment="1">
      <alignment horizontal="centerContinuous"/>
    </xf>
    <xf numFmtId="192" fontId="65" fillId="0" borderId="0" xfId="3" applyFont="1" applyAlignment="1">
      <alignment horizontal="centerContinuous"/>
    </xf>
    <xf numFmtId="192" fontId="64" fillId="0" borderId="40" xfId="3" quotePrefix="1" applyFont="1" applyBorder="1" applyAlignment="1">
      <alignment horizontal="centerContinuous"/>
    </xf>
    <xf numFmtId="192" fontId="67" fillId="0" borderId="45" xfId="3" applyFont="1" applyBorder="1" applyAlignment="1">
      <alignment horizontal="centerContinuous"/>
    </xf>
    <xf numFmtId="192" fontId="66" fillId="0" borderId="45" xfId="3" applyFont="1" applyBorder="1" applyAlignment="1">
      <alignment horizontal="centerContinuous"/>
    </xf>
    <xf numFmtId="192" fontId="66" fillId="0" borderId="46" xfId="3" applyFont="1" applyBorder="1" applyAlignment="1">
      <alignment horizontal="centerContinuous"/>
    </xf>
    <xf numFmtId="192" fontId="65" fillId="0" borderId="23" xfId="3" applyFont="1" applyBorder="1" applyAlignment="1">
      <alignment horizontal="centerContinuous"/>
    </xf>
    <xf numFmtId="192" fontId="64" fillId="0" borderId="46" xfId="3" applyFont="1" applyBorder="1" applyAlignment="1">
      <alignment horizontal="left"/>
    </xf>
    <xf numFmtId="192" fontId="65" fillId="0" borderId="48" xfId="3" applyFont="1" applyBorder="1"/>
    <xf numFmtId="192" fontId="68" fillId="0" borderId="23" xfId="3" applyFont="1" applyBorder="1" applyAlignment="1">
      <alignment horizontal="centerContinuous"/>
    </xf>
    <xf numFmtId="192" fontId="65" fillId="0" borderId="24" xfId="3" applyFont="1" applyBorder="1" applyAlignment="1">
      <alignment horizontal="centerContinuous"/>
    </xf>
    <xf numFmtId="192" fontId="66" fillId="0" borderId="0" xfId="3" applyFont="1" applyAlignment="1">
      <alignment horizontal="centerContinuous"/>
    </xf>
    <xf numFmtId="192" fontId="64" fillId="0" borderId="0" xfId="3" applyFont="1" applyAlignment="1">
      <alignment horizontal="left"/>
    </xf>
    <xf numFmtId="192" fontId="65" fillId="0" borderId="0" xfId="3" applyFont="1"/>
    <xf numFmtId="192" fontId="64" fillId="0" borderId="0" xfId="3" applyFont="1" applyAlignment="1">
      <alignment horizontal="centerContinuous"/>
    </xf>
    <xf numFmtId="192" fontId="69" fillId="0" borderId="0" xfId="3" applyFont="1"/>
    <xf numFmtId="192" fontId="69" fillId="0" borderId="0" xfId="3" applyFont="1" applyAlignment="1">
      <alignment horizontal="right"/>
    </xf>
    <xf numFmtId="192" fontId="69" fillId="0" borderId="0" xfId="3" applyFont="1" applyAlignment="1" applyProtection="1">
      <alignment horizontal="left"/>
      <protection locked="0"/>
    </xf>
    <xf numFmtId="192" fontId="69" fillId="0" borderId="0" xfId="3" applyFont="1" applyAlignment="1">
      <alignment horizontal="centerContinuous"/>
    </xf>
    <xf numFmtId="192" fontId="69" fillId="0" borderId="0" xfId="3" applyFont="1" applyAlignment="1">
      <alignment horizontal="left"/>
    </xf>
    <xf numFmtId="49" fontId="69" fillId="0" borderId="0" xfId="3" quotePrefix="1" applyNumberFormat="1" applyFont="1" applyAlignment="1" applyProtection="1">
      <alignment horizontal="left"/>
      <protection locked="0"/>
    </xf>
    <xf numFmtId="192" fontId="70" fillId="0" borderId="134" xfId="3" applyFont="1" applyBorder="1" applyAlignment="1">
      <alignment horizontal="centerContinuous"/>
    </xf>
    <xf numFmtId="192" fontId="66" fillId="0" borderId="135" xfId="3" applyFont="1" applyBorder="1" applyAlignment="1">
      <alignment horizontal="centerContinuous"/>
    </xf>
    <xf numFmtId="192" fontId="66" fillId="0" borderId="136" xfId="3" applyFont="1" applyBorder="1" applyAlignment="1">
      <alignment horizontal="centerContinuous"/>
    </xf>
    <xf numFmtId="192" fontId="69" fillId="0" borderId="45" xfId="3" applyFont="1" applyBorder="1"/>
    <xf numFmtId="192" fontId="69" fillId="0" borderId="0" xfId="3" applyFont="1" applyAlignment="1" applyProtection="1">
      <alignment horizontal="center"/>
      <protection locked="0"/>
    </xf>
    <xf numFmtId="192" fontId="69" fillId="0" borderId="21" xfId="3" applyFont="1" applyBorder="1" applyAlignment="1" applyProtection="1">
      <alignment horizontal="center"/>
      <protection locked="0"/>
    </xf>
    <xf numFmtId="192" fontId="69" fillId="0" borderId="0" xfId="3" applyFont="1" applyAlignment="1">
      <alignment horizontal="center"/>
    </xf>
    <xf numFmtId="49" fontId="69" fillId="0" borderId="0" xfId="3" applyNumberFormat="1" applyFont="1" applyAlignment="1">
      <alignment horizontal="center"/>
    </xf>
    <xf numFmtId="193" fontId="69" fillId="0" borderId="0" xfId="3" applyNumberFormat="1" applyFont="1" applyAlignment="1" applyProtection="1">
      <alignment horizontal="center"/>
      <protection locked="0"/>
    </xf>
    <xf numFmtId="192" fontId="69" fillId="0" borderId="0" xfId="3" quotePrefix="1" applyFont="1" applyAlignment="1">
      <alignment horizontal="right"/>
    </xf>
    <xf numFmtId="192" fontId="69" fillId="0" borderId="0" xfId="3" quotePrefix="1" applyFont="1" applyAlignment="1" applyProtection="1">
      <alignment horizontal="center"/>
      <protection locked="0"/>
    </xf>
    <xf numFmtId="192" fontId="69" fillId="0" borderId="21" xfId="3" applyFont="1" applyBorder="1"/>
    <xf numFmtId="192" fontId="69" fillId="0" borderId="46" xfId="3" applyFont="1" applyBorder="1"/>
    <xf numFmtId="192" fontId="69" fillId="0" borderId="23" xfId="3" applyFont="1" applyBorder="1" applyAlignment="1">
      <alignment horizontal="right"/>
    </xf>
    <xf numFmtId="184" fontId="69" fillId="0" borderId="23" xfId="3" quotePrefix="1" applyNumberFormat="1" applyFont="1" applyBorder="1" applyAlignment="1" applyProtection="1">
      <alignment horizontal="center"/>
      <protection locked="0"/>
    </xf>
    <xf numFmtId="192" fontId="69" fillId="0" borderId="23" xfId="3" applyFont="1" applyBorder="1"/>
    <xf numFmtId="184" fontId="69" fillId="0" borderId="23" xfId="3" applyNumberFormat="1" applyFont="1" applyBorder="1"/>
    <xf numFmtId="192" fontId="69" fillId="0" borderId="24" xfId="3" applyFont="1" applyBorder="1"/>
    <xf numFmtId="192" fontId="71" fillId="0" borderId="45" xfId="3" quotePrefix="1" applyFont="1" applyBorder="1" applyAlignment="1">
      <alignment horizontal="left"/>
    </xf>
    <xf numFmtId="192" fontId="65" fillId="0" borderId="0" xfId="3" quotePrefix="1" applyFont="1" applyAlignment="1">
      <alignment horizontal="right"/>
    </xf>
    <xf numFmtId="192" fontId="65" fillId="0" borderId="108" xfId="3" applyFont="1" applyBorder="1"/>
    <xf numFmtId="192" fontId="71" fillId="0" borderId="0" xfId="3" applyFont="1" applyAlignment="1">
      <alignment horizontal="left"/>
    </xf>
    <xf numFmtId="192" fontId="65" fillId="0" borderId="0" xfId="3" applyFont="1" applyAlignment="1">
      <alignment horizontal="right"/>
    </xf>
    <xf numFmtId="192" fontId="65" fillId="0" borderId="108" xfId="3" applyFont="1" applyBorder="1" applyAlignment="1">
      <alignment horizontal="right"/>
    </xf>
    <xf numFmtId="192" fontId="71" fillId="0" borderId="0" xfId="3" quotePrefix="1" applyFont="1" applyAlignment="1">
      <alignment horizontal="left"/>
    </xf>
    <xf numFmtId="192" fontId="65" fillId="0" borderId="21" xfId="3" applyFont="1" applyBorder="1"/>
    <xf numFmtId="192" fontId="62" fillId="0" borderId="45" xfId="3" applyBorder="1"/>
    <xf numFmtId="192" fontId="69" fillId="0" borderId="108" xfId="3" applyFont="1" applyBorder="1" applyAlignment="1" applyProtection="1">
      <alignment horizontal="center"/>
      <protection locked="0"/>
    </xf>
    <xf numFmtId="1" fontId="69" fillId="0" borderId="108" xfId="3" applyNumberFormat="1" applyFont="1" applyBorder="1" applyAlignment="1">
      <alignment horizontal="center"/>
    </xf>
    <xf numFmtId="192" fontId="69" fillId="0" borderId="108" xfId="3" applyFont="1" applyBorder="1"/>
    <xf numFmtId="192" fontId="69" fillId="0" borderId="48" xfId="3" applyFont="1" applyBorder="1"/>
    <xf numFmtId="192" fontId="69" fillId="0" borderId="48" xfId="3" applyFont="1" applyBorder="1" applyAlignment="1">
      <alignment horizontal="left"/>
    </xf>
    <xf numFmtId="192" fontId="70" fillId="0" borderId="137" xfId="3" applyFont="1" applyBorder="1" applyAlignment="1">
      <alignment horizontal="centerContinuous"/>
    </xf>
    <xf numFmtId="192" fontId="66" fillId="0" borderId="138" xfId="3" applyFont="1" applyBorder="1" applyAlignment="1">
      <alignment horizontal="centerContinuous"/>
    </xf>
    <xf numFmtId="192" fontId="62" fillId="0" borderId="139" xfId="3" applyBorder="1"/>
    <xf numFmtId="192" fontId="66" fillId="0" borderId="140" xfId="3" applyFont="1" applyBorder="1" applyAlignment="1">
      <alignment horizontal="centerContinuous"/>
    </xf>
    <xf numFmtId="192" fontId="71" fillId="0" borderId="45" xfId="3" applyFont="1" applyBorder="1" applyAlignment="1">
      <alignment horizontal="left"/>
    </xf>
    <xf numFmtId="192" fontId="62" fillId="0" borderId="108" xfId="3" applyBorder="1"/>
    <xf numFmtId="184" fontId="69" fillId="0" borderId="0" xfId="3" applyNumberFormat="1" applyFont="1" applyAlignment="1" applyProtection="1">
      <alignment horizontal="center"/>
      <protection locked="0"/>
    </xf>
    <xf numFmtId="192" fontId="69" fillId="0" borderId="45" xfId="3" applyFont="1" applyBorder="1" applyAlignment="1">
      <alignment horizontal="left"/>
    </xf>
    <xf numFmtId="192" fontId="62" fillId="0" borderId="48" xfId="3" applyBorder="1"/>
    <xf numFmtId="192" fontId="66" fillId="0" borderId="0" xfId="3" applyFont="1" applyAlignment="1">
      <alignment horizontal="left"/>
    </xf>
    <xf numFmtId="192" fontId="66" fillId="0" borderId="137" xfId="3" applyFont="1" applyBorder="1"/>
    <xf numFmtId="192" fontId="65" fillId="0" borderId="138" xfId="3" applyFont="1" applyBorder="1" applyAlignment="1">
      <alignment horizontal="left"/>
    </xf>
    <xf numFmtId="192" fontId="65" fillId="0" borderId="140" xfId="3" applyFont="1" applyBorder="1" applyAlignment="1">
      <alignment horizontal="left"/>
    </xf>
    <xf numFmtId="192" fontId="69" fillId="0" borderId="45" xfId="3" quotePrefix="1" applyFont="1" applyBorder="1" applyAlignment="1">
      <alignment horizontal="left"/>
    </xf>
    <xf numFmtId="192" fontId="69" fillId="0" borderId="21" xfId="3" applyFont="1" applyBorder="1" applyAlignment="1">
      <alignment horizontal="left"/>
    </xf>
    <xf numFmtId="192" fontId="72" fillId="0" borderId="141" xfId="3" applyFont="1" applyBorder="1"/>
    <xf numFmtId="192" fontId="69" fillId="0" borderId="0" xfId="3" quotePrefix="1" applyFont="1" applyAlignment="1">
      <alignment horizontal="left"/>
    </xf>
    <xf numFmtId="192" fontId="69" fillId="0" borderId="142" xfId="3" quotePrefix="1" applyFont="1" applyBorder="1" applyAlignment="1">
      <alignment horizontal="left"/>
    </xf>
    <xf numFmtId="192" fontId="69" fillId="0" borderId="143" xfId="3" quotePrefix="1" applyFont="1" applyBorder="1" applyAlignment="1">
      <alignment horizontal="left"/>
    </xf>
    <xf numFmtId="192" fontId="69" fillId="0" borderId="46" xfId="3" applyFont="1" applyBorder="1" applyAlignment="1">
      <alignment horizontal="left"/>
    </xf>
    <xf numFmtId="192" fontId="69" fillId="0" borderId="23" xfId="3" applyFont="1" applyBorder="1" applyAlignment="1">
      <alignment horizontal="left"/>
    </xf>
    <xf numFmtId="192" fontId="69" fillId="0" borderId="24" xfId="3" applyFont="1" applyBorder="1" applyAlignment="1">
      <alignment horizontal="left"/>
    </xf>
    <xf numFmtId="192" fontId="65" fillId="0" borderId="0" xfId="3" applyFont="1" applyAlignment="1">
      <alignment horizontal="left"/>
    </xf>
    <xf numFmtId="192" fontId="73" fillId="0" borderId="0" xfId="3" applyFont="1" applyAlignment="1">
      <alignment horizontal="right"/>
    </xf>
    <xf numFmtId="192" fontId="74" fillId="0" borderId="144" xfId="3" applyFont="1" applyBorder="1" applyAlignment="1" applyProtection="1">
      <alignment horizontal="center"/>
      <protection locked="0"/>
    </xf>
    <xf numFmtId="14" fontId="24" fillId="0" borderId="144" xfId="3" quotePrefix="1" applyNumberFormat="1" applyFont="1" applyBorder="1" applyAlignment="1" applyProtection="1">
      <alignment horizontal="center"/>
      <protection locked="0"/>
    </xf>
    <xf numFmtId="192" fontId="62" fillId="0" borderId="0" xfId="3" applyAlignment="1">
      <alignment horizontal="right"/>
    </xf>
    <xf numFmtId="49" fontId="51" fillId="0" borderId="40" xfId="2" applyNumberFormat="1" applyFont="1" applyBorder="1"/>
  </cellXfs>
  <cellStyles count="4">
    <cellStyle name="Normal" xfId="0" builtinId="0"/>
    <cellStyle name="Normal 2" xfId="1" xr:uid="{C4264757-64CC-467F-ADBB-09D9E24E7A07}"/>
    <cellStyle name="Normal 3" xfId="2" xr:uid="{0D21AE2C-E0B7-4BF9-BD88-74A1CCE1423A}"/>
    <cellStyle name="Normal 4" xfId="3" xr:uid="{71DA641D-3FAA-47DF-B974-7C0A8E481EC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60.590668108440973</c:v>
                </c:pt>
                <c:pt idx="2">
                  <c:v>229.88257134724446</c:v>
                </c:pt>
                <c:pt idx="3">
                  <c:v>280</c:v>
                </c:pt>
                <c:pt idx="4">
                  <c:v>185.59793451009489</c:v>
                </c:pt>
                <c:pt idx="5">
                  <c:v>148.13774538302908</c:v>
                </c:pt>
                <c:pt idx="6">
                  <c:v>117.66236131484995</c:v>
                </c:pt>
                <c:pt idx="7">
                  <c:v>105</c:v>
                </c:pt>
                <c:pt idx="8">
                  <c:v>105.27216949768788</c:v>
                </c:pt>
                <c:pt idx="9">
                  <c:v>106.77490376090489</c:v>
                </c:pt>
                <c:pt idx="10">
                  <c:v>110.32032385772303</c:v>
                </c:pt>
                <c:pt idx="11">
                  <c:v>117.19705160507721</c:v>
                </c:pt>
                <c:pt idx="12">
                  <c:v>129.40433530840414</c:v>
                </c:pt>
                <c:pt idx="13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AC-46EF-A3F8-9400C862EEF7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89.75</c:v>
                </c:pt>
                <c:pt idx="4">
                  <c:v>74</c:v>
                </c:pt>
                <c:pt idx="5">
                  <c:v>58.799999237060547</c:v>
                </c:pt>
                <c:pt idx="6">
                  <c:v>36.400001525878906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AC-46EF-A3F8-9400C862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96344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0.34741073846817017</c:v>
                </c:pt>
                <c:pt idx="1">
                  <c:v>70.554397583007813</c:v>
                </c:pt>
                <c:pt idx="2">
                  <c:v>266.98489379882813</c:v>
                </c:pt>
                <c:pt idx="3">
                  <c:v>411.84152221679688</c:v>
                </c:pt>
                <c:pt idx="4">
                  <c:v>482.46722412109375</c:v>
                </c:pt>
                <c:pt idx="5">
                  <c:v>519.28948974609375</c:v>
                </c:pt>
                <c:pt idx="6">
                  <c:v>553.9833984375</c:v>
                </c:pt>
                <c:pt idx="7">
                  <c:v>569.90985107421875</c:v>
                </c:pt>
                <c:pt idx="8">
                  <c:v>579.31756591796875</c:v>
                </c:pt>
                <c:pt idx="9">
                  <c:v>585.9466552734375</c:v>
                </c:pt>
                <c:pt idx="10">
                  <c:v>591.2000732421875</c:v>
                </c:pt>
                <c:pt idx="11">
                  <c:v>595.67755126953125</c:v>
                </c:pt>
                <c:pt idx="12">
                  <c:v>599.658203125</c:v>
                </c:pt>
                <c:pt idx="13">
                  <c:v>603.2786865234375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AC-46EF-A3F8-9400C862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739634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396344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60.590668108440973</c:v>
                </c:pt>
                <c:pt idx="2">
                  <c:v>229.88257134724446</c:v>
                </c:pt>
                <c:pt idx="3">
                  <c:v>280</c:v>
                </c:pt>
                <c:pt idx="4">
                  <c:v>185.59793451009489</c:v>
                </c:pt>
                <c:pt idx="5">
                  <c:v>148.13774538302908</c:v>
                </c:pt>
                <c:pt idx="6">
                  <c:v>117.66236131484995</c:v>
                </c:pt>
                <c:pt idx="7">
                  <c:v>105</c:v>
                </c:pt>
                <c:pt idx="8">
                  <c:v>105.27216949768788</c:v>
                </c:pt>
                <c:pt idx="9">
                  <c:v>106.77490376090489</c:v>
                </c:pt>
                <c:pt idx="10">
                  <c:v>110.32032385772303</c:v>
                </c:pt>
                <c:pt idx="11">
                  <c:v>117.19705160507721</c:v>
                </c:pt>
                <c:pt idx="12">
                  <c:v>129.40433530840414</c:v>
                </c:pt>
                <c:pt idx="13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36-4F5E-A5CF-42539A8DC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109376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0.34741073846817017</c:v>
                </c:pt>
                <c:pt idx="1">
                  <c:v>70.554397583007813</c:v>
                </c:pt>
                <c:pt idx="2">
                  <c:v>266.98489379882813</c:v>
                </c:pt>
                <c:pt idx="3">
                  <c:v>411.84152221679688</c:v>
                </c:pt>
                <c:pt idx="4">
                  <c:v>482.46722412109375</c:v>
                </c:pt>
                <c:pt idx="5">
                  <c:v>519.28948974609375</c:v>
                </c:pt>
                <c:pt idx="6">
                  <c:v>553.9833984375</c:v>
                </c:pt>
                <c:pt idx="7">
                  <c:v>569.90985107421875</c:v>
                </c:pt>
                <c:pt idx="8">
                  <c:v>579.31756591796875</c:v>
                </c:pt>
                <c:pt idx="9">
                  <c:v>585.9466552734375</c:v>
                </c:pt>
                <c:pt idx="10">
                  <c:v>591.2000732421875</c:v>
                </c:pt>
                <c:pt idx="11">
                  <c:v>595.67755126953125</c:v>
                </c:pt>
                <c:pt idx="12">
                  <c:v>599.658203125</c:v>
                </c:pt>
                <c:pt idx="13">
                  <c:v>603.2786865234375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36-4F5E-A5CF-42539A8DC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42710937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710937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386020168531561"/>
          <c:y val="0.94296657784697058"/>
          <c:w val="0.30701809642215772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603.27868852459017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14.368299756731307</c:v>
                </c:pt>
                <c:pt idx="1">
                  <c:v>14.52575940051644</c:v>
                </c:pt>
                <c:pt idx="2">
                  <c:v>20.917093536743678</c:v>
                </c:pt>
                <c:pt idx="3">
                  <c:v>32.682958651161989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0-4BD6-BC28-B795D000B42B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603.27868852459017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7.7404219763619562</c:v>
                </c:pt>
                <c:pt idx="1">
                  <c:v>7.825247885326835</c:v>
                </c:pt>
                <c:pt idx="2">
                  <c:v>11.268356954870644</c:v>
                </c:pt>
                <c:pt idx="3">
                  <c:v>17.606807741985378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0-4BD6-BC28-B795D000B42B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280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35.932260697929351</c:v>
                </c:pt>
                <c:pt idx="3">
                  <c:v>86.94719872585371</c:v>
                </c:pt>
                <c:pt idx="4">
                  <c:v>133.98759756088756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00-4BD6-BC28-B795D000B42B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603.27868852459017</c:v>
                </c:pt>
                <c:pt idx="1">
                  <c:v>601.47540983606552</c:v>
                </c:pt>
                <c:pt idx="2">
                  <c:v>597.70491803278685</c:v>
                </c:pt>
                <c:pt idx="3">
                  <c:v>593.44262295081967</c:v>
                </c:pt>
                <c:pt idx="4">
                  <c:v>588.52459016393448</c:v>
                </c:pt>
                <c:pt idx="5">
                  <c:v>582.62295081967216</c:v>
                </c:pt>
                <c:pt idx="6">
                  <c:v>574.59016393442619</c:v>
                </c:pt>
                <c:pt idx="7">
                  <c:v>561.96721311475414</c:v>
                </c:pt>
                <c:pt idx="8">
                  <c:v>536.55737704918033</c:v>
                </c:pt>
                <c:pt idx="9">
                  <c:v>500.81967213114751</c:v>
                </c:pt>
                <c:pt idx="10">
                  <c:v>447.21311475409834</c:v>
                </c:pt>
                <c:pt idx="11">
                  <c:v>339.34426229508199</c:v>
                </c:pt>
                <c:pt idx="12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0.38100001215934753</c:v>
                </c:pt>
                <c:pt idx="2">
                  <c:v>0.78000003099441528</c:v>
                </c:pt>
                <c:pt idx="3">
                  <c:v>1.1980000734329224</c:v>
                </c:pt>
                <c:pt idx="4">
                  <c:v>1.6380001306533813</c:v>
                </c:pt>
                <c:pt idx="5">
                  <c:v>2.1080000400543213</c:v>
                </c:pt>
                <c:pt idx="6">
                  <c:v>2.6210000514984131</c:v>
                </c:pt>
                <c:pt idx="7">
                  <c:v>3.2740001678466797</c:v>
                </c:pt>
                <c:pt idx="8">
                  <c:v>3.9020001888275146</c:v>
                </c:pt>
                <c:pt idx="9">
                  <c:v>4.1690001487731934</c:v>
                </c:pt>
                <c:pt idx="10">
                  <c:v>4.3470001220703125</c:v>
                </c:pt>
                <c:pt idx="11">
                  <c:v>4.4019999504089355</c:v>
                </c:pt>
                <c:pt idx="12">
                  <c:v>4.4470000267028809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00-4BD6-BC28-B795D000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341192"/>
        <c:axId val="1"/>
      </c:scatterChart>
      <c:valAx>
        <c:axId val="124534119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534119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89.512550354003906</c:v>
                </c:pt>
                <c:pt idx="2">
                  <c:v>92.5185546875</c:v>
                </c:pt>
                <c:pt idx="3">
                  <c:v>93.205276489257813</c:v>
                </c:pt>
                <c:pt idx="4">
                  <c:v>93.202438354492188</c:v>
                </c:pt>
                <c:pt idx="5">
                  <c:v>92.905250549316406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9E-4566-94B5-AAC903E136C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56.9329833984375</c:v>
                </c:pt>
                <c:pt idx="1">
                  <c:v>72.416572570800781</c:v>
                </c:pt>
                <c:pt idx="2">
                  <c:v>81.621055603027344</c:v>
                </c:pt>
                <c:pt idx="3">
                  <c:v>85.5372314453125</c:v>
                </c:pt>
                <c:pt idx="4">
                  <c:v>87.1669921875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9E-4566-94B5-AAC903E136C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66.295522971706959</c:v>
                </c:pt>
                <c:pt idx="2">
                  <c:v>55.205841127404028</c:v>
                </c:pt>
                <c:pt idx="3">
                  <c:v>40.448620357165588</c:v>
                </c:pt>
                <c:pt idx="4">
                  <c:v>25.325667839675958</c:v>
                </c:pt>
                <c:pt idx="5">
                  <c:v>9.8962972387756309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9E-4566-94B5-AAC903E136C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0.74011000000000016</c:v>
                </c:pt>
                <c:pt idx="1">
                  <c:v>9.4092596164053788</c:v>
                </c:pt>
                <c:pt idx="2">
                  <c:v>18.207089956968936</c:v>
                </c:pt>
                <c:pt idx="3">
                  <c:v>27.109417088015977</c:v>
                </c:pt>
                <c:pt idx="4">
                  <c:v>36.146987345241811</c:v>
                </c:pt>
                <c:pt idx="5">
                  <c:v>45.328264586494875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9E-4566-94B5-AAC903E13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38540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21.751523764974632</c:v>
                </c:pt>
                <c:pt idx="1">
                  <c:v>23.855230331420898</c:v>
                </c:pt>
                <c:pt idx="2">
                  <c:v>36.290645599365234</c:v>
                </c:pt>
                <c:pt idx="3">
                  <c:v>47.941333770751953</c:v>
                </c:pt>
                <c:pt idx="4">
                  <c:v>60.997077941894531</c:v>
                </c:pt>
                <c:pt idx="5">
                  <c:v>75.060104370117188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9E-4566-94B5-AAC903E13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22738540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738540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89.512550354003906</c:v>
                </c:pt>
                <c:pt idx="2">
                  <c:v>92.5185546875</c:v>
                </c:pt>
                <c:pt idx="3">
                  <c:v>93.205276489257813</c:v>
                </c:pt>
                <c:pt idx="4">
                  <c:v>93.202438354492188</c:v>
                </c:pt>
                <c:pt idx="5">
                  <c:v>92.905250549316406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9-424B-930A-C7E5CEDB4E86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56.9329833984375</c:v>
                </c:pt>
                <c:pt idx="1">
                  <c:v>72.416572570800781</c:v>
                </c:pt>
                <c:pt idx="2">
                  <c:v>81.621055603027344</c:v>
                </c:pt>
                <c:pt idx="3">
                  <c:v>85.5372314453125</c:v>
                </c:pt>
                <c:pt idx="4">
                  <c:v>87.1669921875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29-424B-930A-C7E5CEDB4E86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66.295522971706959</c:v>
                </c:pt>
                <c:pt idx="2">
                  <c:v>55.205841127404028</c:v>
                </c:pt>
                <c:pt idx="3">
                  <c:v>40.448620357165588</c:v>
                </c:pt>
                <c:pt idx="4">
                  <c:v>25.325667839675958</c:v>
                </c:pt>
                <c:pt idx="5">
                  <c:v>9.8962972387756309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29-424B-930A-C7E5CEDB4E86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0.74011000000000016</c:v>
                </c:pt>
                <c:pt idx="1">
                  <c:v>9.4092596164053788</c:v>
                </c:pt>
                <c:pt idx="2">
                  <c:v>18.207089956968936</c:v>
                </c:pt>
                <c:pt idx="3">
                  <c:v>27.109417088015977</c:v>
                </c:pt>
                <c:pt idx="4">
                  <c:v>36.146987345241811</c:v>
                </c:pt>
                <c:pt idx="5">
                  <c:v>45.328264586494875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29-424B-930A-C7E5CEDB4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38540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37.674744302977935</c:v>
                </c:pt>
                <c:pt idx="1">
                  <c:v>41.318470960279143</c:v>
                </c:pt>
                <c:pt idx="2">
                  <c:v>62.857242017576475</c:v>
                </c:pt>
                <c:pt idx="3">
                  <c:v>83.036825873560005</c:v>
                </c:pt>
                <c:pt idx="4">
                  <c:v>106</c:v>
                </c:pt>
                <c:pt idx="5">
                  <c:v>130.00791439046569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29-424B-930A-C7E5CEDB4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22738540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738540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34A2DDE1-92B7-0E29-3680-DE709DD05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272E216-24BA-4B2A-97AC-D38EE0A57752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5633D64-7138-4B4F-BD8F-2F922E2A2705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849796-4F1A-49C4-A190-199AB3B97A3F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2901AFD-897D-43C0-A645-A7602756C493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B670A0-7F64-4D7F-ACD6-B0B85030000B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459236</xdr:colOff>
      <xdr:row>29</xdr:row>
      <xdr:rowOff>202266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54D9857E-23BF-4C30-9B7C-30C7E46FE4EF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92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46.0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F106B675-E685-4FCA-A777-66E7D00A3C17}"/>
            </a:ext>
          </a:extLst>
        </xdr:cNvPr>
        <xdr:cNvSpPr txBox="1">
          <a:spLocks noChangeArrowheads="1"/>
        </xdr:cNvSpPr>
      </xdr:nvSpPr>
      <xdr:spPr bwMode="auto">
        <a:xfrm>
          <a:off x="897255" y="7153275"/>
          <a:ext cx="39822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220980</xdr:colOff>
      <xdr:row>26</xdr:row>
      <xdr:rowOff>200025</xdr:rowOff>
    </xdr:from>
    <xdr:to>
      <xdr:col>3</xdr:col>
      <xdr:colOff>47780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92A763AC-3661-4208-AD36-33D152A1A37A}"/>
            </a:ext>
          </a:extLst>
        </xdr:cNvPr>
        <xdr:cNvSpPr txBox="1">
          <a:spLocks noChangeArrowheads="1"/>
        </xdr:cNvSpPr>
      </xdr:nvSpPr>
      <xdr:spPr bwMode="auto">
        <a:xfrm>
          <a:off x="1440180" y="6210300"/>
          <a:ext cx="303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11.6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4DE472A7-316A-4946-AEA2-A26EDA602CB8}"/>
            </a:ext>
          </a:extLst>
        </xdr:cNvPr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93D718C6-AE7C-54A4-CEAA-53951A01F41C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4F71AE17-57C6-52B1-6ED8-69879C2A170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F0E82413-5F86-BCC2-D188-BD689FBC5F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363F43E0-7C8B-8BC3-15D1-58FCBFA870E8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ABC09AE9-F771-4B51-8629-75DF993FFF76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6997D203-3B51-3922-B218-E06D229153E5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BC78EC9E-E31C-455C-DDE3-1C4ACF3C226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23C53B2B-36CA-C4A8-BCA7-4BFF1A57307D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B6ECD347-C3E8-2B41-C827-0D6EF8142F4B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4EFCCC7F-B153-DA7F-FECE-AB8DA6668879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9FEA2815-077C-2187-2908-544A9A782C73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608411C-3D1F-BEF8-1548-64E522FF5D72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3549FFA-1920-852A-18F5-6109B092883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D2DD7941-0445-DEB7-9202-02E7E9014F5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A6EC9E3B-3486-EAD5-280F-80555316854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A4F4719-ADBD-5EA5-9C5A-1DB46059283F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4D578B9-A375-4A1D-247A-BAAD447826E2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2985DFA2-63C1-C9A9-BB79-71934E306C78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A5D46480-1412-BA90-5D19-2A9E5E95E7A6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675A5C42-8ABA-E63D-12E1-664A8CFA8644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136FB887-241C-19D0-0739-AC45CBA571A3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6571E59-8F12-0E98-CCB1-2A887F8D90D1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8EEF465D-1873-3C18-2B55-7B7104B04FFA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9CEBEBBF-3B7D-5A6F-75A0-DE493BAA741E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431192BF-58E5-0541-DB23-14EDCD067291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432435</xdr:colOff>
      <xdr:row>42</xdr:row>
      <xdr:rowOff>180975</xdr:rowOff>
    </xdr:from>
    <xdr:to>
      <xdr:col>3</xdr:col>
      <xdr:colOff>306794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E868A229-2D17-4911-9D3C-3F0F7C1B4C31}"/>
            </a:ext>
          </a:extLst>
        </xdr:cNvPr>
        <xdr:cNvSpPr txBox="1">
          <a:spLocks noChangeArrowheads="1"/>
        </xdr:cNvSpPr>
      </xdr:nvSpPr>
      <xdr:spPr bwMode="auto">
        <a:xfrm>
          <a:off x="1651635" y="9848850"/>
          <a:ext cx="35060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2000.0</a:t>
          </a:r>
        </a:p>
      </xdr:txBody>
    </xdr:sp>
    <xdr:clientData/>
  </xdr:twoCellAnchor>
  <xdr:twoCellAnchor>
    <xdr:from>
      <xdr:col>1</xdr:col>
      <xdr:colOff>259080</xdr:colOff>
      <xdr:row>40</xdr:row>
      <xdr:rowOff>200025</xdr:rowOff>
    </xdr:from>
    <xdr:to>
      <xdr:col>2</xdr:col>
      <xdr:colOff>240252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1DBCBAB3-5616-485D-B447-67B192CAE256}"/>
            </a:ext>
          </a:extLst>
        </xdr:cNvPr>
        <xdr:cNvSpPr txBox="1">
          <a:spLocks noChangeArrowheads="1"/>
        </xdr:cNvSpPr>
      </xdr:nvSpPr>
      <xdr:spPr bwMode="auto">
        <a:xfrm>
          <a:off x="1068705" y="9410700"/>
          <a:ext cx="390747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385.0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344818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FD495C61-0BC4-41D4-8C86-DD18C96DECE6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8143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354330</xdr:colOff>
      <xdr:row>40</xdr:row>
      <xdr:rowOff>57150</xdr:rowOff>
    </xdr:from>
    <xdr:to>
      <xdr:col>3</xdr:col>
      <xdr:colOff>182880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BD77B80C-48DA-418F-BE9D-E22C896A3411}"/>
            </a:ext>
          </a:extLst>
        </xdr:cNvPr>
        <xdr:cNvSpPr txBox="1">
          <a:spLocks noChangeArrowheads="1"/>
        </xdr:cNvSpPr>
      </xdr:nvSpPr>
      <xdr:spPr bwMode="auto">
        <a:xfrm>
          <a:off x="1573530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1</xdr:col>
      <xdr:colOff>297180</xdr:colOff>
      <xdr:row>42</xdr:row>
      <xdr:rowOff>0</xdr:rowOff>
    </xdr:from>
    <xdr:to>
      <xdr:col>2</xdr:col>
      <xdr:colOff>192405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DFA05E51-914E-4F33-A8E9-4B610ADE28B7}"/>
            </a:ext>
          </a:extLst>
        </xdr:cNvPr>
        <xdr:cNvSpPr txBox="1">
          <a:spLocks noChangeArrowheads="1"/>
        </xdr:cNvSpPr>
      </xdr:nvSpPr>
      <xdr:spPr bwMode="auto">
        <a:xfrm>
          <a:off x="1106805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299.0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383286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5D781AE4-F2C4-4785-98DC-26C2EBAA9072}"/>
            </a:ext>
          </a:extLst>
        </xdr:cNvPr>
        <xdr:cNvSpPr txBox="1">
          <a:spLocks noChangeArrowheads="1"/>
        </xdr:cNvSpPr>
      </xdr:nvSpPr>
      <xdr:spPr bwMode="auto">
        <a:xfrm>
          <a:off x="1821180" y="7467600"/>
          <a:ext cx="257556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480073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C68CADC1-D62E-4A0B-9CFA-B646284F7F6C}"/>
            </a:ext>
          </a:extLst>
        </xdr:cNvPr>
        <xdr:cNvSpPr txBox="1">
          <a:spLocks noChangeArrowheads="1"/>
        </xdr:cNvSpPr>
      </xdr:nvSpPr>
      <xdr:spPr bwMode="auto">
        <a:xfrm>
          <a:off x="1897380" y="8115300"/>
          <a:ext cx="278143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27.80</a:t>
          </a:r>
        </a:p>
      </xdr:txBody>
    </xdr:sp>
    <xdr:clientData/>
  </xdr:twoCellAnchor>
  <xdr:twoCellAnchor>
    <xdr:from>
      <xdr:col>2</xdr:col>
      <xdr:colOff>403860</xdr:colOff>
      <xdr:row>33</xdr:row>
      <xdr:rowOff>142875</xdr:rowOff>
    </xdr:from>
    <xdr:to>
      <xdr:col>3</xdr:col>
      <xdr:colOff>163465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9BF38368-8922-4549-981B-D1255AA2B39D}"/>
            </a:ext>
          </a:extLst>
        </xdr:cNvPr>
        <xdr:cNvSpPr txBox="1">
          <a:spLocks noChangeArrowheads="1"/>
        </xdr:cNvSpPr>
      </xdr:nvSpPr>
      <xdr:spPr bwMode="auto">
        <a:xfrm>
          <a:off x="1623060" y="7753350"/>
          <a:ext cx="23585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392430</xdr:colOff>
      <xdr:row>34</xdr:row>
      <xdr:rowOff>38100</xdr:rowOff>
    </xdr:from>
    <xdr:to>
      <xdr:col>3</xdr:col>
      <xdr:colOff>182880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C46BB0B6-ED5D-40BA-97EA-7BFBF6E1B6D7}"/>
            </a:ext>
          </a:extLst>
        </xdr:cNvPr>
        <xdr:cNvSpPr txBox="1">
          <a:spLocks noChangeArrowheads="1"/>
        </xdr:cNvSpPr>
      </xdr:nvSpPr>
      <xdr:spPr bwMode="auto">
        <a:xfrm>
          <a:off x="1611630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9.0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145030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30970219-DFEC-4803-9964-04C82776E09F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2180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6.0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468948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4323CCA1-2E38-4D7C-8ECA-63B5ABD50D08}"/>
            </a:ext>
          </a:extLst>
        </xdr:cNvPr>
        <xdr:cNvSpPr txBox="1">
          <a:spLocks noChangeArrowheads="1"/>
        </xdr:cNvSpPr>
      </xdr:nvSpPr>
      <xdr:spPr bwMode="auto">
        <a:xfrm>
          <a:off x="1383030" y="8153400"/>
          <a:ext cx="305118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13.93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354648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D56BEC0C-8921-4217-B62A-DF1A83D2A06E}"/>
            </a:ext>
          </a:extLst>
        </xdr:cNvPr>
        <xdr:cNvSpPr txBox="1">
          <a:spLocks noChangeArrowheads="1"/>
        </xdr:cNvSpPr>
      </xdr:nvSpPr>
      <xdr:spPr bwMode="auto">
        <a:xfrm>
          <a:off x="1744980" y="8315325"/>
          <a:ext cx="305118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16.00</a:t>
          </a:r>
        </a:p>
      </xdr:txBody>
    </xdr:sp>
    <xdr:clientData/>
  </xdr:twoCellAnchor>
  <xdr:twoCellAnchor>
    <xdr:from>
      <xdr:col>2</xdr:col>
      <xdr:colOff>192405</xdr:colOff>
      <xdr:row>36</xdr:row>
      <xdr:rowOff>152400</xdr:rowOff>
    </xdr:from>
    <xdr:to>
      <xdr:col>2</xdr:col>
      <xdr:colOff>421005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956D1789-B719-4EB5-81D2-0627DE0C749F}"/>
            </a:ext>
          </a:extLst>
        </xdr:cNvPr>
        <xdr:cNvSpPr txBox="1">
          <a:spLocks noChangeArrowheads="1"/>
        </xdr:cNvSpPr>
      </xdr:nvSpPr>
      <xdr:spPr bwMode="auto">
        <a:xfrm>
          <a:off x="1411605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11.64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479937A1-F0AE-4E52-8DEC-92E4F32988E3}"/>
            </a:ext>
          </a:extLst>
        </xdr:cNvPr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ECF3EF04-3766-23F2-E949-61AEE262EC2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74F72212-9524-FB0F-1FEE-8D918928B59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A686D80B-29A2-91A8-FCE5-DFD35D9FDA68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B22B9A3E-8827-174E-CD94-2FCB6C6DD4B9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846E880A-E940-A4E7-9134-F0AAF6826EB6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BD4CD912-15C4-7B34-E3B8-2613147B8A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1C8B7793-DF24-765A-98D4-A2C81A17A967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E508060D-63F4-6FED-A94C-52A599C3ACAF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A30495E5-39B2-7CEC-C3E7-4418D25B572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E8F605E7-C529-DF33-8A1B-38F971C1DBA7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5220EE8D-3496-1DD3-6C93-36AF770BB8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78705184-8EA4-A708-5C7B-F0C386E72B4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DECDE95E-3441-B188-4E9A-A63598394628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2F055B3B-E1FB-C081-417F-539E9216C0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AEB75E57-80D4-B686-0C27-D994F2247E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B3508D-E8EA-CC2D-82F9-3DA862AF3B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21299ECF-F525-FE3C-AEAF-0C5F1DE106A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D55B089B-E351-8E83-E244-15E92CA6D331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D0F65906-00A1-B292-A063-C6B521C409BE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CFD9F113-7652-4BFC-AF20-DFC55A3E518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50C6F420-4057-EFF8-49F1-569E3BD1E3B8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75F6D126-0F74-6293-A548-BD6CA3EFE395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3A6296EB-E9B1-30A0-1005-B987BEDE1294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824E118D-0F81-40FA-3213-F8D39A3E590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1CEB42CD-B817-739F-54A3-D1CC963BE6F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D5084283-99E4-22B6-9E2C-E6C2D55FABE2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A9DBF3E5-2A95-B88F-2540-50137DCCB1F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556D324-E7FF-C261-0D3D-7AED4DB8C9CE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248C42AB-7AD7-0952-8B2F-F2ECDCB68E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CCD689E9-83B2-FD4A-C304-862A659ADB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42F58EE6-FB4D-0F8D-C473-23B3B8AF2FF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F2FDD725-A969-8AD4-48D2-A31B05CBE3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6B498B02-1018-D3EF-8931-B894A485C2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D3CFCEC8-0849-4A06-A784-BFB6D6B42AC4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80867F78-5EC6-4B2B-B0DF-162A15295753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68BABF83-FFB6-4581-BAB7-9910AFAB8BA7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CCC76EC6-5BE7-46D9-A8B0-CB2E237C28B8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26299861-1B2E-4C2B-91B2-64BD6223072F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C97337DF-DA77-4FD1-B24C-D59D8C0CE06E}"/>
            </a:ext>
          </a:extLst>
        </xdr:cNvPr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C8685669-F2D0-E56B-51BE-82FA235306C9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6BEF45DA-18F5-DB17-47E8-2B2BF6341F6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51C00A3B-0535-4744-47A0-2C95E0DFF3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C5D85CAB-EEBB-4C42-0F5E-8A318AFF86E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8C7B0E0D-B7D1-39F4-AC42-911D492BEF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2BB522C2-EBDA-1034-A3C7-5D56D2E981B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D6B6A378-4B41-B2B0-8C71-F7CBD49B3B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410485DC-38AA-5078-A0E3-7FA4C48ACD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B1712186-315E-12F3-E75A-B87D172085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74E90700-875D-E3A8-D8A0-3303FDDA86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8F17E2D6-0859-30F4-51A3-FC4579AB04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3691A4B9-DAB6-ACE1-5B45-B299E12A64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54CFAB8D-6060-3292-F02B-453C4EBA1A5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4FFDE705-20FF-0136-3995-BBAB8956C6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356D06D1-C32F-EB40-5B23-081C5D94050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9E8C3D74-E7D2-B50B-17AC-F21DD5E833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79300355-6605-2ACD-8784-8F659DF44A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C6B0CB3D-F572-1401-3F15-1BF73B4048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38D7C255-F039-D5E7-0E68-D9CAB9BC42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BEA43216-D985-A917-37CF-48BDA007B0C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9FDA3D4C-6E43-0356-C7B5-0FEB5FBB5D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25BD5176-541B-89AF-26E7-27B6A8D7F1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330A6B6B-3E8E-0ED4-7043-8FA0CC647A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5A0DD5DE-6F11-C685-C4A4-BD8BC5F5C95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AE24CF13-8BD4-F29D-A594-94F982E889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510B2F8B-FF5E-1556-14F7-04CE4CE593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22359CF8-3303-78FD-723E-9F241C83393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4BEE4632-7336-A48C-3174-5CB8CBFEEF4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6349EFDA-5A2A-1AEF-D61C-229BDAB2A44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E0CF205B-EB74-054C-C0A4-BB6CCEF14E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D8F506E-FB82-3CB8-1344-6D23D3517E8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76B536A3-A7B4-645A-5BFE-03D8BDD0AA8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96A3E9B7-07A6-DC40-B670-BE2A67204B11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689610</xdr:colOff>
      <xdr:row>28</xdr:row>
      <xdr:rowOff>200025</xdr:rowOff>
    </xdr:from>
    <xdr:to>
      <xdr:col>4</xdr:col>
      <xdr:colOff>733568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4C60704F-6872-4AEE-A84B-E4D111B8458A}"/>
            </a:ext>
          </a:extLst>
        </xdr:cNvPr>
        <xdr:cNvSpPr txBox="1">
          <a:spLocks noChangeArrowheads="1"/>
        </xdr:cNvSpPr>
      </xdr:nvSpPr>
      <xdr:spPr bwMode="auto">
        <a:xfrm>
          <a:off x="2385060" y="6667500"/>
          <a:ext cx="901208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689610</xdr:colOff>
      <xdr:row>34</xdr:row>
      <xdr:rowOff>209550</xdr:rowOff>
    </xdr:from>
    <xdr:to>
      <xdr:col>4</xdr:col>
      <xdr:colOff>733568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7568882F-DAB7-4317-A025-C9FB42C9534D}"/>
            </a:ext>
          </a:extLst>
        </xdr:cNvPr>
        <xdr:cNvSpPr txBox="1">
          <a:spLocks noChangeArrowheads="1"/>
        </xdr:cNvSpPr>
      </xdr:nvSpPr>
      <xdr:spPr bwMode="auto">
        <a:xfrm>
          <a:off x="2385060" y="8048625"/>
          <a:ext cx="901208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689610</xdr:colOff>
      <xdr:row>40</xdr:row>
      <xdr:rowOff>152400</xdr:rowOff>
    </xdr:from>
    <xdr:to>
      <xdr:col>4</xdr:col>
      <xdr:colOff>733568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B90323B3-C61D-4E77-8351-910223F51ECA}"/>
            </a:ext>
          </a:extLst>
        </xdr:cNvPr>
        <xdr:cNvSpPr txBox="1">
          <a:spLocks noChangeArrowheads="1"/>
        </xdr:cNvSpPr>
      </xdr:nvSpPr>
      <xdr:spPr bwMode="auto">
        <a:xfrm>
          <a:off x="2385060" y="9363075"/>
          <a:ext cx="901208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76A40-8A6C-48A4-8FC8-0E6F410AC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944B1-985D-414D-A787-0A45AA1E2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0.63994</cdr:x>
      <cdr:y>0.64877</cdr:y>
    </cdr:from>
    <cdr:to>
      <cdr:x>0.87554</cdr:x>
      <cdr:y>0.66922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0.63994</cdr:x>
      <cdr:y>0.54311</cdr:y>
    </cdr:from>
    <cdr:to>
      <cdr:x>0.92227</cdr:x>
      <cdr:y>0.56823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0.66749</cdr:x>
      <cdr:y>0.75985</cdr:y>
    </cdr:from>
    <cdr:to>
      <cdr:x>0.91268</cdr:x>
      <cdr:y>0.78474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0.29956</cdr:x>
      <cdr:y>0.36108</cdr:y>
    </cdr:from>
    <cdr:to>
      <cdr:x>0.6237</cdr:x>
      <cdr:y>0.38818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0.62346</cdr:x>
      <cdr:y>0.19384</cdr:y>
    </cdr:from>
    <cdr:to>
      <cdr:x>0.94834</cdr:x>
      <cdr:y>0.22242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0EB89-2A53-40C0-94BC-4F70CAF0A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18A7ED0E-05B4-4AB8-AD9D-9C2008F10E91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B8888804-BBD7-4B89-9E82-B2D60F537AEC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4D64036E-FE56-4B7E-86E6-A26CC031E936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70DDCD7C-8D24-42B4-A83A-82D0923EA232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7E631908-ACA3-43C3-97E7-A6086A50A392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A2A2944-10C0-44D5-99D6-B0517CB82FD3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BC7B3CE-1BB3-4600-9762-B12C36039356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C98A8B15-AB07-44B8-A5E6-0C88447E85BB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1772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FF8D9F93-785E-40A6-815D-A1ACB629F530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1768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77281E08-2FFC-4779-90B6-B84CB3004A22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1764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F59B98EF-7291-4321-BAFA-25A4EA915CC6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867D7F85-8BAA-491D-8A34-171300B12D07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85D4E607-A9C4-4526-9963-DAEFE4F53E0A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67AAA697-28C0-452F-B0D0-791185BEC2B9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C7D3F857-AA04-4BA7-AF00-991ED13787FE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259729A-0077-4FBB-BC4E-C0D21920D82B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1B51205E-AAEE-4F11-AA3D-A8512D2E88C0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3AD459C2-E431-4EAD-A13C-80177B98FCAB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8691DDD-85C2-42C0-BF84-6E09922E8BCF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FDE1D1D4-1F25-4EE7-92B6-D2B1742DB173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C660D8F1-1106-434F-80EE-A51212763B43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992CCFAC-DB94-439E-8BE3-6C121F2E2413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42323958-7DBD-4903-8E27-9BFA7B3694C3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751D49C2-2066-44D8-A9A9-337294DF5C2B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22386A5A-3B9F-4849-BB4D-2BD47436B3BB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3073DF21-892C-4173-808C-BB7D318EB3A2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773430</xdr:colOff>
      <xdr:row>28</xdr:row>
      <xdr:rowOff>57150</xdr:rowOff>
    </xdr:from>
    <xdr:to>
      <xdr:col>2</xdr:col>
      <xdr:colOff>93461</xdr:colOff>
      <xdr:row>28</xdr:row>
      <xdr:rowOff>209550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B0AF8F7E-37B7-4E1D-80C7-189F4FC23D86}"/>
            </a:ext>
          </a:extLst>
        </xdr:cNvPr>
        <xdr:cNvSpPr txBox="1">
          <a:spLocks noChangeArrowheads="1"/>
        </xdr:cNvSpPr>
      </xdr:nvSpPr>
      <xdr:spPr bwMode="auto">
        <a:xfrm>
          <a:off x="1887855" y="6810375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475BC021-83AE-4397-B37C-B44994487E94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34BBD361-2034-4E15-A0C7-8204C3AA3B9A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2B9C-6EB5-4AD4-9F67-4DA483FB6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C87123B0-F186-45F5-95BD-15413F086B64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C06D34C-8AAF-4CAC-A669-34DF123D4496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264C8ED-BE51-4A7C-8476-AF244757D3E6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F7A2C03C-992D-43D5-8B18-4C3DCCCBDB30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B873F414-5524-4C39-92B1-ED7ABFD5D859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1E54BDB-F8F0-4403-A0E2-A1BB238FDDFB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1ED8B221-53C5-48C7-9032-4DE78AC4539D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258B9D04-4279-4D30-98E8-8D7CD1CFA0AB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1772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77D1B23-0001-42E5-ABD0-FEB0A556B860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1768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7E813D5C-C0FE-4F04-B1A6-85602224FAB5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1764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3214DC5E-EB86-485E-82E4-C52C99ADE9AB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3CE88638-D5B9-4E23-AF4E-771F5A427666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79CDA3CE-B546-41DA-967D-1871C2226D76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2A81F671-C3B9-4365-983F-A75DD10663FB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62D0E945-8F5F-4692-B073-37E5CEDC733F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D9761935-7D94-4ECE-8304-3BBFB034085C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C4832A9F-0EBD-4FC7-9267-2D350BAB8CDB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BE4B3CF0-4002-4F3B-A7D5-134BC3A3B60F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9B097856-6218-4B47-A7DD-D10BDAB14997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898CE7D5-D75E-484B-A41E-C00D1A3C2F5A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6FF8E931-C4CB-40D4-807E-2C70A2F18744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26C8CD8-2F9C-4839-8F1B-C03CB1EBF5F6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7779B8EF-1706-4745-9D81-AC14E5A2EBAF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1862587A-0185-4B7F-8E74-2B5D3D2EEE1B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1022985</xdr:colOff>
      <xdr:row>19</xdr:row>
      <xdr:rowOff>163830</xdr:rowOff>
    </xdr:from>
    <xdr:to>
      <xdr:col>4</xdr:col>
      <xdr:colOff>245804</xdr:colOff>
      <xdr:row>20</xdr:row>
      <xdr:rowOff>104862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874F419B-3C4E-40F8-B6C5-56D379B9C1BB}"/>
            </a:ext>
          </a:extLst>
        </xdr:cNvPr>
        <xdr:cNvSpPr txBox="1">
          <a:spLocks noChangeArrowheads="1"/>
        </xdr:cNvSpPr>
      </xdr:nvSpPr>
      <xdr:spPr bwMode="auto">
        <a:xfrm>
          <a:off x="4366260" y="477393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93543EC9-CA89-4982-9A80-D0BFB0A16EE4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735330</xdr:colOff>
      <xdr:row>29</xdr:row>
      <xdr:rowOff>171450</xdr:rowOff>
    </xdr:from>
    <xdr:to>
      <xdr:col>2</xdr:col>
      <xdr:colOff>55361</xdr:colOff>
      <xdr:row>30</xdr:row>
      <xdr:rowOff>85725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CF3D9436-1330-450B-ACFE-88235DFAB96D}"/>
            </a:ext>
          </a:extLst>
        </xdr:cNvPr>
        <xdr:cNvSpPr txBox="1">
          <a:spLocks noChangeArrowheads="1"/>
        </xdr:cNvSpPr>
      </xdr:nvSpPr>
      <xdr:spPr bwMode="auto">
        <a:xfrm>
          <a:off x="1849755" y="716280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3211AAC0-B1F4-40E0-98D1-702DC828DFBA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D7EE460F-9E29-4327-8506-CFC3221AB61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desprom\Destem\CustomerSheet.xls" TargetMode="External"/><Relationship Id="rId1" Type="http://schemas.openxmlformats.org/officeDocument/2006/relationships/externalLinkPath" Target="file:///C:\Program%20Files\desprom\Destem\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11E5-B8E9-456B-B492-76F19D2F0A2C}">
  <sheetPr codeName="Sheet11">
    <pageSetUpPr fitToPage="1"/>
  </sheetPr>
  <dimension ref="A1:Q113"/>
  <sheetViews>
    <sheetView topLeftCell="A13" zoomScale="95" zoomScaleNormal="95" workbookViewId="0">
      <selection activeCell="M42" sqref="M4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218</v>
      </c>
    </row>
    <row r="2" spans="1:10" ht="18.75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219</v>
      </c>
    </row>
    <row r="3" spans="1:10" ht="15" customHeight="1" thickBot="1">
      <c r="A3" s="49" t="s">
        <v>1</v>
      </c>
      <c r="B3" s="96" t="s">
        <v>217</v>
      </c>
      <c r="C3" s="1"/>
      <c r="D3" s="49"/>
      <c r="E3" s="1"/>
      <c r="F3" s="1"/>
      <c r="G3" s="49" t="s">
        <v>2</v>
      </c>
      <c r="H3" s="174">
        <v>45797</v>
      </c>
      <c r="I3" s="49" t="s">
        <v>3</v>
      </c>
      <c r="J3" s="175">
        <v>0.29847222222222225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450.00001636331268</v>
      </c>
      <c r="C5" s="140">
        <v>1800</v>
      </c>
      <c r="D5" s="50" t="s">
        <v>194</v>
      </c>
      <c r="E5" s="158">
        <v>4000</v>
      </c>
      <c r="F5" s="140">
        <v>60</v>
      </c>
      <c r="G5" s="50">
        <v>105</v>
      </c>
      <c r="H5" s="78" t="s">
        <v>251</v>
      </c>
      <c r="I5" s="77" t="s">
        <v>256</v>
      </c>
      <c r="J5" s="50">
        <v>5012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20.420334999999998</v>
      </c>
      <c r="J7" s="106" t="s">
        <v>19</v>
      </c>
    </row>
    <row r="8" spans="1:10" ht="15" customHeight="1">
      <c r="A8" s="10" t="s">
        <v>20</v>
      </c>
      <c r="B8" s="69">
        <v>1.7000000476837158</v>
      </c>
      <c r="C8" s="52"/>
      <c r="D8" s="6"/>
      <c r="E8" s="51"/>
      <c r="F8" s="4"/>
      <c r="G8" s="16"/>
      <c r="H8" s="10" t="s">
        <v>21</v>
      </c>
      <c r="I8" s="68">
        <v>27.603152129554424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24.011743564777213</v>
      </c>
      <c r="J9" s="104">
        <v>558.28774679082392</v>
      </c>
    </row>
    <row r="10" spans="1:10" ht="15" customHeight="1">
      <c r="A10" s="10" t="s">
        <v>27</v>
      </c>
      <c r="B10" s="69">
        <v>395</v>
      </c>
      <c r="C10" s="73">
        <v>395</v>
      </c>
      <c r="D10" s="6"/>
      <c r="E10" s="51"/>
      <c r="F10" s="116" t="s">
        <v>212</v>
      </c>
      <c r="G10" s="114" t="s">
        <v>213</v>
      </c>
      <c r="H10" s="10" t="s">
        <v>28</v>
      </c>
      <c r="I10" s="68">
        <v>12.416524461106047</v>
      </c>
      <c r="J10" s="103" t="s">
        <v>29</v>
      </c>
    </row>
    <row r="11" spans="1:10" ht="15" customHeight="1" thickBot="1">
      <c r="A11" s="10" t="s">
        <v>30</v>
      </c>
      <c r="B11" s="69">
        <v>590</v>
      </c>
      <c r="C11" s="73">
        <v>386.59999990463257</v>
      </c>
      <c r="D11" s="10" t="s">
        <v>31</v>
      </c>
      <c r="E11" s="68">
        <v>0.86657999999999991</v>
      </c>
      <c r="F11" s="117"/>
      <c r="G11" s="113" t="s">
        <v>214</v>
      </c>
      <c r="H11" s="10" t="s">
        <v>32</v>
      </c>
      <c r="I11" s="68">
        <v>27.603152129554424</v>
      </c>
      <c r="J11" s="104">
        <v>20793.029071545348</v>
      </c>
    </row>
    <row r="12" spans="1:10" ht="15" customHeight="1">
      <c r="A12" s="10" t="s">
        <v>33</v>
      </c>
      <c r="B12" s="69">
        <v>390</v>
      </c>
      <c r="C12" s="73">
        <v>220</v>
      </c>
      <c r="D12" s="10" t="s">
        <v>34</v>
      </c>
      <c r="E12" s="153" t="s">
        <v>175</v>
      </c>
      <c r="F12" s="123"/>
      <c r="G12" s="115" t="s">
        <v>208</v>
      </c>
      <c r="H12" s="10" t="s">
        <v>35</v>
      </c>
      <c r="I12" s="68">
        <v>1.2245199353199294</v>
      </c>
      <c r="J12" s="103" t="s">
        <v>36</v>
      </c>
    </row>
    <row r="13" spans="1:10" ht="15" customHeight="1" thickBot="1">
      <c r="A13" s="10" t="s">
        <v>37</v>
      </c>
      <c r="B13" s="69">
        <v>54</v>
      </c>
      <c r="C13" s="73">
        <v>55.500000715255737</v>
      </c>
      <c r="D13" s="10" t="s">
        <v>38</v>
      </c>
      <c r="E13" s="70">
        <v>17</v>
      </c>
      <c r="F13" s="123"/>
      <c r="G13" s="115" t="s">
        <v>209</v>
      </c>
      <c r="H13" s="10" t="s">
        <v>40</v>
      </c>
      <c r="I13" s="68">
        <v>1</v>
      </c>
      <c r="J13" s="104">
        <v>59.428176879882813</v>
      </c>
    </row>
    <row r="14" spans="1:10" ht="15" customHeight="1" thickBot="1">
      <c r="A14" s="160" t="s">
        <v>41</v>
      </c>
      <c r="B14" s="133">
        <v>292.95001220703125</v>
      </c>
      <c r="C14" s="134">
        <v>292.95001220703125</v>
      </c>
      <c r="D14" s="10" t="s">
        <v>42</v>
      </c>
      <c r="E14" s="51" t="s">
        <v>202</v>
      </c>
      <c r="F14" s="51"/>
      <c r="G14" s="115"/>
      <c r="H14" s="49" t="s">
        <v>43</v>
      </c>
      <c r="I14" s="68">
        <v>1.2245199353199294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203</v>
      </c>
      <c r="F15" s="51"/>
      <c r="G15" s="115"/>
      <c r="H15" s="10" t="s">
        <v>47</v>
      </c>
      <c r="I15" s="68">
        <v>0.97811904826498275</v>
      </c>
      <c r="J15" s="104">
        <v>13.585110294117648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7" ht="15" customHeight="1" thickBot="1">
      <c r="A17" s="10" t="s">
        <v>52</v>
      </c>
      <c r="B17" s="51" t="s">
        <v>195</v>
      </c>
      <c r="C17" s="52" t="s">
        <v>196</v>
      </c>
      <c r="D17" s="49" t="s">
        <v>53</v>
      </c>
      <c r="E17" s="51" t="s">
        <v>204</v>
      </c>
      <c r="F17" s="51"/>
      <c r="G17" s="115"/>
      <c r="H17" s="10" t="s">
        <v>54</v>
      </c>
      <c r="I17" s="68">
        <v>0.93557673708121603</v>
      </c>
      <c r="J17" s="104">
        <v>494.7416420729669</v>
      </c>
    </row>
    <row r="18" spans="1:17" ht="15" customHeight="1">
      <c r="A18" s="10" t="s">
        <v>55</v>
      </c>
      <c r="B18" s="51" t="s">
        <v>175</v>
      </c>
      <c r="C18" s="73">
        <v>0</v>
      </c>
      <c r="D18" s="10" t="s">
        <v>56</v>
      </c>
      <c r="E18" s="137">
        <v>900</v>
      </c>
      <c r="F18" s="70">
        <v>445</v>
      </c>
      <c r="G18" s="74"/>
      <c r="H18" s="13" t="s">
        <v>57</v>
      </c>
      <c r="I18" s="131" t="s">
        <v>215</v>
      </c>
      <c r="J18" s="132"/>
    </row>
    <row r="19" spans="1:17" ht="15" customHeight="1">
      <c r="A19" s="10" t="s">
        <v>58</v>
      </c>
      <c r="B19" s="69">
        <v>46</v>
      </c>
      <c r="C19" s="73">
        <v>27.799999237060547</v>
      </c>
      <c r="D19" s="10" t="s">
        <v>59</v>
      </c>
      <c r="E19" s="70">
        <v>340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197</v>
      </c>
      <c r="C20" s="73"/>
      <c r="D20" s="10" t="s">
        <v>167</v>
      </c>
      <c r="E20" s="165">
        <v>0.4435904919500771</v>
      </c>
      <c r="F20" s="51"/>
      <c r="G20" s="52"/>
      <c r="H20" s="10" t="s">
        <v>63</v>
      </c>
      <c r="I20" s="68">
        <v>18.694345474243164</v>
      </c>
      <c r="J20" s="72">
        <v>18.694345474243164</v>
      </c>
    </row>
    <row r="21" spans="1:17" ht="15" customHeight="1">
      <c r="A21" s="10" t="s">
        <v>64</v>
      </c>
      <c r="B21" s="69">
        <v>11.600000381469727</v>
      </c>
      <c r="C21" s="73">
        <v>0</v>
      </c>
      <c r="D21" s="10" t="s">
        <v>205</v>
      </c>
      <c r="E21" s="67">
        <v>0.59174448729686113</v>
      </c>
      <c r="F21" s="67">
        <v>0.5055917501449585</v>
      </c>
      <c r="G21" s="71">
        <v>9.0697715856934313E-2</v>
      </c>
      <c r="H21" s="10" t="s">
        <v>65</v>
      </c>
      <c r="I21" s="68">
        <v>31.934114456176758</v>
      </c>
      <c r="J21" s="72">
        <v>18.105617523193359</v>
      </c>
    </row>
    <row r="22" spans="1:17" ht="15" customHeight="1">
      <c r="A22" s="10" t="s">
        <v>66</v>
      </c>
      <c r="B22" s="69">
        <v>2.8299999237060547</v>
      </c>
      <c r="C22" s="73">
        <v>0.80000001192092896</v>
      </c>
      <c r="D22" s="10" t="s">
        <v>67</v>
      </c>
      <c r="E22" s="51" t="s">
        <v>206</v>
      </c>
      <c r="F22" s="51" t="s">
        <v>207</v>
      </c>
      <c r="G22" s="52" t="s">
        <v>207</v>
      </c>
      <c r="H22" s="10" t="s">
        <v>68</v>
      </c>
      <c r="I22" s="68">
        <v>8.2551250457763672</v>
      </c>
      <c r="J22" s="72">
        <v>5.8281154632568359</v>
      </c>
    </row>
    <row r="23" spans="1:17" ht="15" customHeight="1">
      <c r="A23" s="10" t="s">
        <v>69</v>
      </c>
      <c r="B23" s="69">
        <v>8.8203344345092773</v>
      </c>
      <c r="C23" s="73">
        <v>12</v>
      </c>
      <c r="D23" s="10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17.445522622631355</v>
      </c>
      <c r="J23" s="16" t="s">
        <v>216</v>
      </c>
    </row>
    <row r="24" spans="1:17" ht="15" customHeight="1">
      <c r="A24" s="10" t="s">
        <v>72</v>
      </c>
      <c r="B24" s="69">
        <v>0</v>
      </c>
      <c r="C24" s="73">
        <v>2</v>
      </c>
      <c r="D24" s="10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5.4616211314240024</v>
      </c>
      <c r="J24" s="72">
        <v>3.8559027978972735</v>
      </c>
    </row>
    <row r="25" spans="1:17" ht="15" customHeight="1">
      <c r="A25" s="10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1.1880339384078979</v>
      </c>
      <c r="J25" s="72">
        <v>1.9625091552734375</v>
      </c>
    </row>
    <row r="26" spans="1:17" ht="15" customHeight="1">
      <c r="A26" s="10" t="s">
        <v>78</v>
      </c>
      <c r="B26" s="53" t="s">
        <v>198</v>
      </c>
      <c r="C26" s="60" t="s">
        <v>199</v>
      </c>
      <c r="D26" s="10" t="s">
        <v>79</v>
      </c>
      <c r="E26" s="69">
        <v>52.067241275933206</v>
      </c>
      <c r="F26" s="69">
        <v>12.278476526113907</v>
      </c>
      <c r="G26" s="73">
        <v>12.011681234826435</v>
      </c>
      <c r="H26" s="10" t="s">
        <v>80</v>
      </c>
      <c r="I26" s="68">
        <v>8.0409040451049805</v>
      </c>
      <c r="J26" s="72">
        <v>6.2849540710449219</v>
      </c>
    </row>
    <row r="27" spans="1:17" ht="15" customHeight="1" thickBot="1">
      <c r="A27" s="10" t="s">
        <v>81</v>
      </c>
      <c r="B27" s="51" t="s">
        <v>200</v>
      </c>
      <c r="C27" s="52" t="s">
        <v>200</v>
      </c>
      <c r="D27" s="11" t="s">
        <v>82</v>
      </c>
      <c r="E27" s="80">
        <v>46.001771462166857</v>
      </c>
      <c r="F27" s="80" t="s">
        <v>175</v>
      </c>
      <c r="G27" s="82" t="s">
        <v>175</v>
      </c>
      <c r="H27" s="11" t="s">
        <v>83</v>
      </c>
      <c r="I27" s="79">
        <v>8.1281948089599609</v>
      </c>
      <c r="J27" s="81">
        <v>6.5842304229736328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26.996180714336781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1764.5</v>
      </c>
      <c r="N29" s="171" t="s">
        <v>187</v>
      </c>
      <c r="O29" s="171"/>
      <c r="P29" s="4" t="s">
        <v>193</v>
      </c>
      <c r="Q29" s="171"/>
    </row>
    <row r="30" spans="1:17" ht="15" customHeight="1" thickBot="1">
      <c r="A30" s="8"/>
      <c r="B30" s="63" t="s">
        <v>94</v>
      </c>
      <c r="C30" s="76">
        <v>26.998908071743767</v>
      </c>
      <c r="D30" s="10" t="s">
        <v>95</v>
      </c>
      <c r="E30" s="166">
        <v>23.169226250000001</v>
      </c>
      <c r="F30" s="166">
        <v>316.38601318359378</v>
      </c>
      <c r="G30" s="166">
        <v>17.227896644887306</v>
      </c>
      <c r="H30" s="167">
        <v>531.28765026671329</v>
      </c>
      <c r="I30" s="70">
        <v>26637.997622219562</v>
      </c>
      <c r="J30" s="74">
        <v>2281.1916384829215</v>
      </c>
      <c r="M30" s="172" t="str">
        <f>RIGHT(E$41,SEARCH("/",E$41,1)-1)</f>
        <v xml:space="preserve"> 1770.6</v>
      </c>
      <c r="N30" s="171" t="s">
        <v>188</v>
      </c>
      <c r="O30" s="171"/>
      <c r="P30" s="173">
        <f>G30*6.4516</f>
        <v>111.14749799415495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4.6000000000000005</v>
      </c>
      <c r="F31" s="166">
        <v>387.58756203893864</v>
      </c>
      <c r="G31" s="166">
        <v>14.063055858503814</v>
      </c>
      <c r="H31" s="167">
        <v>40.545021010662701</v>
      </c>
      <c r="I31" s="70">
        <v>7131.6111415164714</v>
      </c>
      <c r="J31" s="74">
        <v>439.58281875536863</v>
      </c>
      <c r="M31" s="172" t="str">
        <f>RIGHT(D$41,SEARCH("/",D$41,1)-1)</f>
        <v xml:space="preserve"> 1776.7</v>
      </c>
      <c r="N31" s="171" t="s">
        <v>189</v>
      </c>
      <c r="O31" s="171"/>
      <c r="P31" s="173">
        <f>G31*6.4516</f>
        <v>90.729211176723211</v>
      </c>
      <c r="Q31" s="171"/>
    </row>
    <row r="32" spans="1:17" ht="15" customHeight="1">
      <c r="A32" s="6" t="s">
        <v>98</v>
      </c>
      <c r="B32" s="68" t="s">
        <v>258</v>
      </c>
      <c r="C32" s="110"/>
      <c r="D32" s="10" t="s">
        <v>99</v>
      </c>
      <c r="E32" s="166">
        <v>12.998328681176005</v>
      </c>
      <c r="F32" s="166">
        <v>325.17451774048823</v>
      </c>
      <c r="G32" s="166">
        <v>16.762277600623417</v>
      </c>
      <c r="H32" s="167">
        <v>259.41767286644102</v>
      </c>
      <c r="I32" s="9" t="s">
        <v>100</v>
      </c>
      <c r="J32" s="74">
        <v>2720.7744572382899</v>
      </c>
      <c r="M32" s="172" t="str">
        <f>RIGHT(C$41,SEARCH("/",C$41,1)-1)</f>
        <v xml:space="preserve"> 1782.6</v>
      </c>
      <c r="N32" s="171" t="s">
        <v>190</v>
      </c>
      <c r="O32" s="171"/>
      <c r="P32" s="173">
        <f>G32*6.4516</f>
        <v>108.14351016818203</v>
      </c>
      <c r="Q32" s="171"/>
    </row>
    <row r="33" spans="1:17" ht="15" customHeight="1">
      <c r="A33" s="6" t="s">
        <v>101</v>
      </c>
      <c r="B33" s="68" t="s">
        <v>259</v>
      </c>
      <c r="C33" s="111" t="s">
        <v>102</v>
      </c>
      <c r="D33" s="10" t="s">
        <v>97</v>
      </c>
      <c r="E33" s="166">
        <v>2.7799999237060549</v>
      </c>
      <c r="F33" s="166">
        <v>386.69401611328124</v>
      </c>
      <c r="G33" s="166">
        <v>14.095551800362346</v>
      </c>
      <c r="H33" s="167">
        <v>24.704486837286321</v>
      </c>
      <c r="I33" s="9" t="s">
        <v>103</v>
      </c>
      <c r="J33" s="73" t="s">
        <v>227</v>
      </c>
      <c r="M33" s="172" t="str">
        <f>RIGHT(B$41,SEARCH("/",B$41,1)-1)</f>
        <v xml:space="preserve"> 1787.0</v>
      </c>
      <c r="N33" s="171" t="s">
        <v>191</v>
      </c>
      <c r="O33" s="171"/>
      <c r="P33" s="173">
        <f>G33*6.4516</f>
        <v>90.938861995217707</v>
      </c>
      <c r="Q33" s="171"/>
    </row>
    <row r="34" spans="1:17" ht="15" customHeight="1" thickBot="1">
      <c r="A34" s="17" t="s">
        <v>104</v>
      </c>
      <c r="B34" s="79" t="s">
        <v>260</v>
      </c>
      <c r="C34" s="164">
        <v>5.4506655350149069</v>
      </c>
      <c r="D34" s="11" t="s">
        <v>20</v>
      </c>
      <c r="E34" s="168">
        <v>0.1700000047683716</v>
      </c>
      <c r="F34" s="169">
        <v>787.95028232669119</v>
      </c>
      <c r="G34" s="169">
        <v>6.9175246932077536</v>
      </c>
      <c r="H34" s="170">
        <v>935.81532824990404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44.629102310699146</v>
      </c>
      <c r="Q34" s="171"/>
    </row>
    <row r="35" spans="1:17" ht="15" customHeight="1">
      <c r="A35" s="13" t="s">
        <v>106</v>
      </c>
      <c r="B35" s="14"/>
      <c r="C35" s="14"/>
      <c r="D35" s="135" t="s">
        <v>229</v>
      </c>
      <c r="E35" s="145" t="s">
        <v>228</v>
      </c>
      <c r="F35" s="15"/>
      <c r="G35" s="26" t="s">
        <v>107</v>
      </c>
      <c r="H35" s="85" t="s">
        <v>222</v>
      </c>
      <c r="I35" s="10" t="s">
        <v>108</v>
      </c>
      <c r="J35" s="74" t="s">
        <v>226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220</v>
      </c>
      <c r="I36" s="10" t="s">
        <v>111</v>
      </c>
      <c r="J36" s="74" t="s">
        <v>225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240</v>
      </c>
      <c r="C37" s="176" t="s">
        <v>241</v>
      </c>
      <c r="D37" s="176" t="s">
        <v>242</v>
      </c>
      <c r="E37" s="176" t="s">
        <v>243</v>
      </c>
      <c r="F37" s="177" t="s">
        <v>244</v>
      </c>
      <c r="G37" s="10" t="s">
        <v>113</v>
      </c>
      <c r="H37" s="74" t="s">
        <v>221</v>
      </c>
      <c r="I37" s="11" t="s">
        <v>114</v>
      </c>
      <c r="J37" s="83" t="s">
        <v>224</v>
      </c>
      <c r="O37" s="150"/>
    </row>
    <row r="38" spans="1:17" ht="15" customHeight="1" thickBot="1">
      <c r="A38" s="10" t="s">
        <v>115</v>
      </c>
      <c r="B38" s="178" t="s">
        <v>231</v>
      </c>
      <c r="C38" s="178" t="s">
        <v>232</v>
      </c>
      <c r="D38" s="178" t="s">
        <v>233</v>
      </c>
      <c r="E38" s="178" t="s">
        <v>233</v>
      </c>
      <c r="F38" s="179" t="s">
        <v>234</v>
      </c>
      <c r="G38" s="17" t="s">
        <v>116</v>
      </c>
      <c r="H38" s="83" t="s">
        <v>223</v>
      </c>
      <c r="I38" s="136" t="s">
        <v>230</v>
      </c>
      <c r="J38" s="84">
        <v>4527.423828125</v>
      </c>
      <c r="L38" t="str">
        <f>LEFT(E38,SEARCH("/",E38,1)-1)</f>
        <v xml:space="preserve">0.952 </v>
      </c>
      <c r="M38" t="str">
        <f>RIGHT(E38,SEARCH("/",E38,1)-1)</f>
        <v xml:space="preserve"> 0.932</v>
      </c>
      <c r="N38" s="151">
        <f>M38/L38</f>
        <v>0.97899159663865554</v>
      </c>
      <c r="O38" s="150" t="s">
        <v>178</v>
      </c>
    </row>
    <row r="39" spans="1:17" ht="15" customHeight="1">
      <c r="A39" s="10" t="s">
        <v>117</v>
      </c>
      <c r="B39" s="178" t="s">
        <v>235</v>
      </c>
      <c r="C39" s="178" t="s">
        <v>236</v>
      </c>
      <c r="D39" s="178" t="s">
        <v>237</v>
      </c>
      <c r="E39" s="178" t="s">
        <v>238</v>
      </c>
      <c r="F39" s="179" t="s">
        <v>239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0.856 </v>
      </c>
      <c r="M39" t="str">
        <f>RIGHT(E39,SEARCH("/",E39,1)-1)</f>
        <v xml:space="preserve"> 0.855</v>
      </c>
      <c r="N39" s="151">
        <f>M39/L39</f>
        <v>0.99883177570093462</v>
      </c>
      <c r="O39" s="150" t="s">
        <v>179</v>
      </c>
    </row>
    <row r="40" spans="1:17" ht="15" customHeight="1">
      <c r="A40" s="10" t="s">
        <v>119</v>
      </c>
      <c r="B40" s="180" t="s">
        <v>253</v>
      </c>
      <c r="C40" s="180" t="s">
        <v>254</v>
      </c>
      <c r="D40" s="180" t="s">
        <v>255</v>
      </c>
      <c r="E40" s="180" t="s">
        <v>256</v>
      </c>
      <c r="F40" s="181" t="s">
        <v>257</v>
      </c>
      <c r="G40" s="35" t="s">
        <v>121</v>
      </c>
      <c r="H40" s="91" t="s">
        <v>261</v>
      </c>
      <c r="I40" s="55"/>
      <c r="J40" s="56"/>
      <c r="L40" t="str">
        <f>LEFT(E37,SEARCH("/",E37,1)-1)</f>
        <v xml:space="preserve">59.43 </v>
      </c>
      <c r="M40">
        <v>61</v>
      </c>
      <c r="N40" s="151">
        <f>M40/L40</f>
        <v>1.0264176341914857</v>
      </c>
      <c r="O40" s="150" t="s">
        <v>177</v>
      </c>
    </row>
    <row r="41" spans="1:17" ht="15" customHeight="1">
      <c r="A41" s="10" t="s">
        <v>5</v>
      </c>
      <c r="B41" s="182" t="s">
        <v>248</v>
      </c>
      <c r="C41" s="182" t="s">
        <v>249</v>
      </c>
      <c r="D41" s="182" t="s">
        <v>250</v>
      </c>
      <c r="E41" s="182" t="s">
        <v>251</v>
      </c>
      <c r="F41" s="183" t="s">
        <v>252</v>
      </c>
      <c r="G41" s="36" t="s">
        <v>122</v>
      </c>
      <c r="H41" s="92" t="s">
        <v>262</v>
      </c>
      <c r="I41" s="57"/>
      <c r="J41" s="58"/>
      <c r="L41" t="str">
        <f>LEFT(E41,SEARCH("/",E41,1)-1)</f>
        <v xml:space="preserve">1776.3 </v>
      </c>
      <c r="M41">
        <v>1770</v>
      </c>
      <c r="N41" s="151">
        <f>M41/L41</f>
        <v>0.99645330180712721</v>
      </c>
      <c r="O41" s="150" t="s">
        <v>5</v>
      </c>
    </row>
    <row r="42" spans="1:17" ht="15" customHeight="1">
      <c r="A42" s="10" t="s">
        <v>123</v>
      </c>
      <c r="B42" s="178">
        <v>16.693935986995008</v>
      </c>
      <c r="C42" s="178">
        <v>15.139236906071458</v>
      </c>
      <c r="D42" s="178">
        <v>14.355724720772983</v>
      </c>
      <c r="E42" s="178">
        <v>13.854389464855847</v>
      </c>
      <c r="F42" s="179">
        <v>13.494036627970605</v>
      </c>
      <c r="G42" s="35" t="s">
        <v>124</v>
      </c>
      <c r="H42" s="91" t="s">
        <v>263</v>
      </c>
      <c r="I42" s="55"/>
      <c r="J42" s="97">
        <v>0.2980709230559932</v>
      </c>
    </row>
    <row r="43" spans="1:17" ht="15" customHeight="1" thickBot="1">
      <c r="A43" s="11" t="s">
        <v>125</v>
      </c>
      <c r="B43" s="184">
        <v>21.004377967454062</v>
      </c>
      <c r="C43" s="185"/>
      <c r="D43" s="186" t="s">
        <v>266</v>
      </c>
      <c r="E43" s="186"/>
      <c r="F43" s="187"/>
      <c r="G43" s="36" t="s">
        <v>122</v>
      </c>
      <c r="H43" s="92" t="s">
        <v>264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857.5284963337815</v>
      </c>
      <c r="I44" s="90">
        <v>7.3957025076149041E-2</v>
      </c>
      <c r="J44" s="97">
        <v>0.58628180426800358</v>
      </c>
    </row>
    <row r="45" spans="1:17" ht="15" customHeight="1">
      <c r="A45" s="10" t="s">
        <v>129</v>
      </c>
      <c r="B45" s="68">
        <v>0.41615152359008789</v>
      </c>
      <c r="C45" s="161" t="s">
        <v>130</v>
      </c>
      <c r="D45" s="72">
        <v>1.5103308483958244E-2</v>
      </c>
      <c r="E45" s="10" t="s">
        <v>131</v>
      </c>
      <c r="F45" s="74">
        <v>410.40718394052851</v>
      </c>
      <c r="G45" s="37" t="s">
        <v>122</v>
      </c>
      <c r="H45" s="86" t="s">
        <v>265</v>
      </c>
      <c r="I45" s="59"/>
      <c r="J45" s="60"/>
    </row>
    <row r="46" spans="1:17" ht="15" customHeight="1">
      <c r="A46" s="10" t="s">
        <v>132</v>
      </c>
      <c r="B46" s="68">
        <v>0.17719566822052002</v>
      </c>
      <c r="C46" s="161" t="s">
        <v>133</v>
      </c>
      <c r="D46" s="72">
        <v>1.3140302151441574E-2</v>
      </c>
      <c r="E46" s="10" t="s">
        <v>134</v>
      </c>
      <c r="F46" s="74">
        <v>743.49497131712883</v>
      </c>
      <c r="G46" s="36" t="s">
        <v>135</v>
      </c>
      <c r="H46" s="94">
        <v>195.49693002419963</v>
      </c>
      <c r="I46" s="57"/>
      <c r="J46" s="58"/>
      <c r="L46" s="146" t="s">
        <v>180</v>
      </c>
      <c r="M46" s="148">
        <f>B5^0.95</f>
        <v>331.55219167078911</v>
      </c>
    </row>
    <row r="47" spans="1:17" ht="15" customHeight="1">
      <c r="A47" s="10" t="s">
        <v>136</v>
      </c>
      <c r="B47" s="68">
        <v>0.59334719181060791</v>
      </c>
      <c r="C47" s="161" t="s">
        <v>137</v>
      </c>
      <c r="D47" s="72">
        <v>4.7661601565778255E-3</v>
      </c>
      <c r="E47" s="10" t="s">
        <v>138</v>
      </c>
      <c r="F47" s="74">
        <v>615.83502800272311</v>
      </c>
      <c r="G47" s="64" t="s">
        <v>139</v>
      </c>
      <c r="H47" s="93">
        <v>796.60859808782868</v>
      </c>
      <c r="I47" s="90">
        <v>6.83466690667765E-2</v>
      </c>
      <c r="J47" s="95">
        <v>0.6126771702904581</v>
      </c>
      <c r="L47" s="146" t="s">
        <v>181</v>
      </c>
      <c r="M47" s="148">
        <f>B5^1.5</f>
        <v>9545.9420666958213</v>
      </c>
    </row>
    <row r="48" spans="1:17" ht="15" customHeight="1">
      <c r="A48" s="10" t="s">
        <v>140</v>
      </c>
      <c r="B48" s="68">
        <v>1.2466295622289181E-2</v>
      </c>
      <c r="C48" s="161" t="s">
        <v>100</v>
      </c>
      <c r="D48" s="72">
        <v>4.5476067811250687E-2</v>
      </c>
      <c r="E48" s="10" t="s">
        <v>141</v>
      </c>
      <c r="F48" s="74">
        <v>122.35001765879758</v>
      </c>
      <c r="G48" s="65" t="s">
        <v>122</v>
      </c>
      <c r="H48" s="86">
        <v>237.2977566639313</v>
      </c>
      <c r="I48" s="59"/>
      <c r="J48" s="60"/>
      <c r="L48" s="146" t="s">
        <v>182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2" t="s">
        <v>142</v>
      </c>
      <c r="D49" s="81">
        <v>0.95452392101287842</v>
      </c>
      <c r="E49" s="11" t="s">
        <v>143</v>
      </c>
      <c r="F49" s="83">
        <v>244.47554041545808</v>
      </c>
      <c r="G49" s="66" t="s">
        <v>135</v>
      </c>
      <c r="H49" s="94">
        <v>187.66355838350947</v>
      </c>
      <c r="I49" s="57"/>
      <c r="J49" s="61"/>
      <c r="L49" s="146" t="s">
        <v>183</v>
      </c>
      <c r="M49" s="147">
        <f>IF(A5="",0,(7200/(1000*A5))^1.8)</f>
        <v>2.8806500970683282</v>
      </c>
    </row>
    <row r="50" spans="1:13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146</v>
      </c>
      <c r="B51" s="51">
        <v>44</v>
      </c>
      <c r="C51" s="9" t="s">
        <v>147</v>
      </c>
      <c r="D51" s="69">
        <v>6</v>
      </c>
      <c r="E51" s="9" t="s">
        <v>148</v>
      </c>
      <c r="F51" s="73">
        <v>12</v>
      </c>
      <c r="G51" s="9" t="s">
        <v>149</v>
      </c>
      <c r="H51" s="67">
        <v>9.8450917283280773E-2</v>
      </c>
      <c r="I51" s="44" t="s">
        <v>150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27.799999237060547</v>
      </c>
      <c r="C52" s="9" t="s">
        <v>151</v>
      </c>
      <c r="D52" s="69">
        <v>6.9999992251396179</v>
      </c>
      <c r="E52" s="9" t="s">
        <v>152</v>
      </c>
      <c r="F52" s="73">
        <v>0</v>
      </c>
      <c r="G52" s="9" t="s">
        <v>169</v>
      </c>
      <c r="H52" s="69">
        <v>47079.761376772498</v>
      </c>
      <c r="I52" s="98" t="s">
        <v>245</v>
      </c>
      <c r="J52" s="62"/>
      <c r="L52" s="146" t="s">
        <v>192</v>
      </c>
      <c r="M52" s="163">
        <f>F5</f>
        <v>60</v>
      </c>
    </row>
    <row r="53" spans="1:13" ht="15" customHeight="1">
      <c r="A53" s="10" t="s">
        <v>64</v>
      </c>
      <c r="B53" s="69">
        <v>0</v>
      </c>
      <c r="C53" s="9" t="s">
        <v>153</v>
      </c>
      <c r="D53" s="69">
        <v>13.931597709655762</v>
      </c>
      <c r="E53" s="9" t="s">
        <v>154</v>
      </c>
      <c r="F53" s="73">
        <v>0</v>
      </c>
      <c r="G53" s="9" t="s">
        <v>170</v>
      </c>
      <c r="H53" s="68">
        <v>26.738777248334749</v>
      </c>
      <c r="I53" s="43" t="s">
        <v>155</v>
      </c>
      <c r="J53" s="38"/>
      <c r="L53" s="146" t="s">
        <v>186</v>
      </c>
      <c r="M53" s="152">
        <f>IF(F5=60,M50*M46/M48-M51*M47/M49,IF(F5&lt;&gt;60,(60/M52)^2*(M50*M46/M48-M51*M47/M49),0))</f>
        <v>1714.3773173035611</v>
      </c>
    </row>
    <row r="54" spans="1:13" ht="15" customHeight="1">
      <c r="A54" s="10" t="s">
        <v>66</v>
      </c>
      <c r="B54" s="69">
        <v>0.80000001192092896</v>
      </c>
      <c r="C54" s="9" t="s">
        <v>156</v>
      </c>
      <c r="D54" s="69">
        <v>11.642914591515982</v>
      </c>
      <c r="E54" s="9" t="s">
        <v>154</v>
      </c>
      <c r="F54" s="73">
        <v>12</v>
      </c>
      <c r="G54" s="9" t="s">
        <v>171</v>
      </c>
      <c r="H54" s="70">
        <v>109651.5</v>
      </c>
      <c r="I54" s="99" t="s">
        <v>246</v>
      </c>
      <c r="J54" s="100" t="s">
        <v>210</v>
      </c>
    </row>
    <row r="55" spans="1:13" ht="15" customHeight="1">
      <c r="A55" s="10" t="s">
        <v>157</v>
      </c>
      <c r="B55" s="69">
        <v>6</v>
      </c>
      <c r="C55" s="9" t="s">
        <v>158</v>
      </c>
      <c r="D55" s="69">
        <v>16</v>
      </c>
      <c r="E55" s="9" t="s">
        <v>159</v>
      </c>
      <c r="F55" s="73">
        <v>0</v>
      </c>
      <c r="G55" s="9" t="s">
        <v>160</v>
      </c>
      <c r="H55" s="69">
        <v>1</v>
      </c>
      <c r="I55" s="43" t="s">
        <v>161</v>
      </c>
      <c r="J55" s="38"/>
    </row>
    <row r="56" spans="1:13" ht="15" customHeight="1" thickBot="1">
      <c r="A56" s="11" t="s">
        <v>162</v>
      </c>
      <c r="B56" s="80">
        <v>2</v>
      </c>
      <c r="C56" s="21" t="s">
        <v>163</v>
      </c>
      <c r="D56" s="80">
        <v>20.917714309670302</v>
      </c>
      <c r="E56" s="21" t="s">
        <v>164</v>
      </c>
      <c r="F56" s="82">
        <v>0</v>
      </c>
      <c r="G56" s="21" t="s">
        <v>165</v>
      </c>
      <c r="H56" s="79">
        <v>0.89993499999999993</v>
      </c>
      <c r="I56" s="101" t="s">
        <v>247</v>
      </c>
      <c r="J56" s="61" t="s">
        <v>211</v>
      </c>
    </row>
    <row r="57" spans="1:13" ht="15" customHeight="1">
      <c r="A57" s="23" t="s">
        <v>372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373</v>
      </c>
      <c r="D58" s="4" t="s">
        <v>119</v>
      </c>
      <c r="E58" s="4" t="s">
        <v>166</v>
      </c>
      <c r="F58" s="16" t="s">
        <v>374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0.34741073846817017</v>
      </c>
      <c r="D59" s="127">
        <v>0.69999998807907104</v>
      </c>
      <c r="E59" s="86">
        <v>110.32032385772303</v>
      </c>
      <c r="F59" s="87">
        <v>591.2000732421875</v>
      </c>
      <c r="G59" s="121"/>
      <c r="H59" s="45"/>
      <c r="I59" s="45"/>
      <c r="J59" s="46"/>
    </row>
    <row r="60" spans="1:13" ht="15" customHeight="1">
      <c r="A60" s="129">
        <v>3.9999997243285179E-3</v>
      </c>
      <c r="B60" s="86">
        <v>60.590668108440973</v>
      </c>
      <c r="C60" s="87">
        <v>70.554397583007813</v>
      </c>
      <c r="D60" s="127">
        <v>0.80000001192092896</v>
      </c>
      <c r="E60" s="86">
        <v>117.19705160507721</v>
      </c>
      <c r="F60" s="87">
        <v>595.67755126953125</v>
      </c>
      <c r="G60" s="121"/>
      <c r="H60" s="45"/>
      <c r="I60" s="45"/>
      <c r="J60" s="46"/>
    </row>
    <row r="61" spans="1:13" ht="15" customHeight="1">
      <c r="A61" s="129">
        <v>1.9999999552965164E-2</v>
      </c>
      <c r="B61" s="86">
        <v>229.88257134724446</v>
      </c>
      <c r="C61" s="87">
        <v>266.98489379882813</v>
      </c>
      <c r="D61" s="127">
        <v>0.89999997615814209</v>
      </c>
      <c r="E61" s="86">
        <v>129.40433530840414</v>
      </c>
      <c r="F61" s="87">
        <v>599.658203125</v>
      </c>
      <c r="G61" s="121"/>
      <c r="H61" s="45"/>
      <c r="I61" s="45"/>
      <c r="J61" s="46"/>
    </row>
    <row r="62" spans="1:13" ht="15" customHeight="1">
      <c r="A62" s="125">
        <v>3.9999999105930328E-2</v>
      </c>
      <c r="B62" s="86">
        <v>280</v>
      </c>
      <c r="C62" s="87">
        <v>411.84152221679688</v>
      </c>
      <c r="D62" s="128">
        <v>1</v>
      </c>
      <c r="E62" s="86">
        <v>150</v>
      </c>
      <c r="F62" s="87">
        <v>603.2786865234375</v>
      </c>
      <c r="G62" s="121"/>
      <c r="H62" s="45"/>
      <c r="I62" s="45"/>
      <c r="J62" s="46"/>
    </row>
    <row r="63" spans="1:13" ht="15" customHeight="1" thickBot="1">
      <c r="A63" s="125">
        <v>0.10000000149011612</v>
      </c>
      <c r="B63" s="86">
        <v>185.59793451009489</v>
      </c>
      <c r="C63" s="87">
        <v>482.46722412109375</v>
      </c>
      <c r="D63" s="438"/>
      <c r="E63" s="439"/>
      <c r="F63" s="440"/>
      <c r="G63" s="121"/>
      <c r="H63" s="45"/>
      <c r="I63" s="45"/>
      <c r="J63" s="46"/>
    </row>
    <row r="64" spans="1:13" ht="15" customHeight="1">
      <c r="A64" s="125">
        <v>0.15999999642372131</v>
      </c>
      <c r="B64" s="86">
        <v>148.13774538302908</v>
      </c>
      <c r="C64" s="87">
        <v>519.28948974609375</v>
      </c>
      <c r="D64" s="441" t="s">
        <v>405</v>
      </c>
      <c r="E64" s="442"/>
      <c r="F64" s="442"/>
      <c r="G64" s="121"/>
      <c r="H64" s="45"/>
      <c r="I64" s="45"/>
      <c r="J64" s="46"/>
    </row>
    <row r="65" spans="1:10" ht="15" customHeight="1">
      <c r="A65" s="125">
        <v>0.2800000011920929</v>
      </c>
      <c r="B65" s="86">
        <v>117.66236131484995</v>
      </c>
      <c r="C65" s="87">
        <v>553.9833984375</v>
      </c>
      <c r="D65" s="443" t="s">
        <v>391</v>
      </c>
      <c r="E65" s="445" t="s">
        <v>404</v>
      </c>
      <c r="F65" s="446"/>
      <c r="G65" s="121"/>
      <c r="H65" s="45"/>
      <c r="I65" s="45"/>
      <c r="J65" s="46"/>
    </row>
    <row r="66" spans="1:10" ht="15" customHeight="1">
      <c r="A66" s="125">
        <v>0.40000000596046448</v>
      </c>
      <c r="B66" s="86">
        <v>105</v>
      </c>
      <c r="C66" s="87">
        <v>569.90985107421875</v>
      </c>
      <c r="D66" s="443" t="s">
        <v>388</v>
      </c>
      <c r="E66" s="445" t="s">
        <v>407</v>
      </c>
      <c r="F66" s="446"/>
      <c r="G66" s="121"/>
      <c r="H66" s="45"/>
      <c r="I66" s="45"/>
      <c r="J66" s="46"/>
    </row>
    <row r="67" spans="1:10" ht="15" customHeight="1">
      <c r="A67" s="125">
        <v>0.5</v>
      </c>
      <c r="B67" s="86">
        <v>105.27216949768788</v>
      </c>
      <c r="C67" s="87">
        <v>579.31756591796875</v>
      </c>
      <c r="D67" s="443" t="s">
        <v>395</v>
      </c>
      <c r="E67" s="445" t="s">
        <v>408</v>
      </c>
      <c r="F67" s="446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106.77490376090489</v>
      </c>
      <c r="C68" s="89">
        <v>585.9466552734375</v>
      </c>
      <c r="D68" s="444" t="s">
        <v>396</v>
      </c>
      <c r="E68" s="447" t="s">
        <v>406</v>
      </c>
      <c r="F68" s="447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37" t="s">
        <v>403</v>
      </c>
      <c r="B99" s="437"/>
      <c r="C99" s="437"/>
      <c r="D99" s="437"/>
      <c r="E99" s="437"/>
      <c r="F99" s="437"/>
      <c r="G99" s="437"/>
      <c r="H99" s="437"/>
      <c r="I99" s="437"/>
    </row>
    <row r="100" spans="1:9">
      <c r="A100" s="437">
        <v>100</v>
      </c>
      <c r="B100" s="437"/>
      <c r="C100" s="437"/>
      <c r="D100" s="437"/>
      <c r="E100" s="437"/>
      <c r="F100" s="437"/>
      <c r="G100" s="437"/>
      <c r="H100" s="437"/>
      <c r="I100" s="437"/>
    </row>
    <row r="101" spans="1:9">
      <c r="A101" s="437">
        <v>99.199996948242188</v>
      </c>
      <c r="B101" s="437"/>
      <c r="C101" s="437"/>
      <c r="D101" s="437"/>
      <c r="E101" s="437"/>
      <c r="F101" s="437"/>
      <c r="G101" s="437"/>
      <c r="H101" s="437"/>
      <c r="I101" s="437"/>
    </row>
    <row r="102" spans="1:9">
      <c r="A102" s="437">
        <v>95.25</v>
      </c>
      <c r="B102" s="437"/>
      <c r="C102" s="437"/>
      <c r="D102" s="437"/>
      <c r="E102" s="437"/>
      <c r="F102" s="437"/>
      <c r="G102" s="437"/>
      <c r="H102" s="437"/>
      <c r="I102" s="437"/>
    </row>
    <row r="103" spans="1:9">
      <c r="A103" s="437">
        <v>89.75</v>
      </c>
      <c r="B103" s="437"/>
      <c r="C103" s="437"/>
      <c r="D103" s="437"/>
      <c r="E103" s="437"/>
      <c r="F103" s="437"/>
      <c r="G103" s="437"/>
      <c r="H103" s="437"/>
      <c r="I103" s="437"/>
    </row>
    <row r="104" spans="1:9">
      <c r="A104" s="437">
        <v>74</v>
      </c>
      <c r="B104" s="437"/>
      <c r="C104" s="437"/>
      <c r="D104" s="437"/>
      <c r="E104" s="437"/>
      <c r="F104" s="437"/>
      <c r="G104" s="437"/>
      <c r="H104" s="437"/>
      <c r="I104" s="437"/>
    </row>
    <row r="105" spans="1:9">
      <c r="A105" s="437">
        <v>58.799999237060547</v>
      </c>
      <c r="B105" s="437"/>
      <c r="C105" s="437"/>
      <c r="D105" s="437"/>
      <c r="E105" s="437"/>
      <c r="F105" s="437"/>
      <c r="G105" s="437"/>
      <c r="H105" s="437"/>
      <c r="I105" s="437"/>
    </row>
    <row r="106" spans="1:9">
      <c r="A106" s="437">
        <v>36.400001525878906</v>
      </c>
      <c r="B106" s="437"/>
      <c r="C106" s="437"/>
      <c r="D106" s="437"/>
      <c r="E106" s="437"/>
      <c r="F106" s="437"/>
      <c r="G106" s="437"/>
      <c r="H106" s="437"/>
      <c r="I106" s="437"/>
    </row>
    <row r="107" spans="1:9">
      <c r="A107" s="437">
        <v>22</v>
      </c>
      <c r="B107" s="437"/>
      <c r="C107" s="437"/>
      <c r="D107" s="437"/>
      <c r="E107" s="437"/>
      <c r="F107" s="437"/>
      <c r="G107" s="437"/>
      <c r="H107" s="437"/>
      <c r="I107" s="437"/>
    </row>
    <row r="108" spans="1:9">
      <c r="A108" s="437">
        <v>14</v>
      </c>
      <c r="B108" s="437"/>
      <c r="C108" s="437"/>
      <c r="D108" s="437"/>
      <c r="E108" s="437"/>
      <c r="F108" s="437"/>
      <c r="G108" s="437"/>
      <c r="H108" s="437"/>
      <c r="I108" s="437"/>
    </row>
    <row r="109" spans="1:9">
      <c r="A109" s="437">
        <v>7.9999995231628418</v>
      </c>
      <c r="B109" s="437"/>
      <c r="C109" s="437"/>
      <c r="D109" s="437"/>
      <c r="E109" s="437"/>
      <c r="F109" s="437"/>
      <c r="G109" s="437"/>
      <c r="H109" s="437"/>
      <c r="I109" s="437"/>
    </row>
    <row r="110" spans="1:9">
      <c r="A110" s="437">
        <v>5.9999995231628418</v>
      </c>
      <c r="B110" s="437"/>
      <c r="C110" s="437"/>
      <c r="D110" s="437"/>
      <c r="E110" s="437"/>
      <c r="F110" s="437"/>
      <c r="G110" s="437"/>
      <c r="H110" s="437"/>
      <c r="I110" s="437"/>
    </row>
    <row r="111" spans="1:9">
      <c r="A111" s="437">
        <v>8.0000009536743164</v>
      </c>
      <c r="B111" s="437"/>
      <c r="C111" s="437"/>
      <c r="D111" s="437"/>
      <c r="E111" s="437"/>
      <c r="F111" s="437"/>
      <c r="G111" s="437"/>
      <c r="H111" s="437"/>
      <c r="I111" s="437"/>
    </row>
    <row r="112" spans="1:9">
      <c r="A112" s="437">
        <v>14.999996185302734</v>
      </c>
      <c r="B112" s="437"/>
      <c r="C112" s="437"/>
      <c r="D112" s="437"/>
      <c r="E112" s="437"/>
      <c r="F112" s="437"/>
      <c r="G112" s="437"/>
      <c r="H112" s="437"/>
      <c r="I112" s="437"/>
    </row>
    <row r="113" spans="1:9">
      <c r="A113" s="437">
        <v>30</v>
      </c>
      <c r="B113" s="437"/>
      <c r="C113" s="437"/>
      <c r="D113" s="437"/>
      <c r="E113" s="437"/>
      <c r="F113" s="437"/>
      <c r="G113" s="437"/>
      <c r="H113" s="437"/>
      <c r="I113" s="437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A298-209B-4CB5-854E-AD77A48DED91}">
  <sheetPr>
    <pageSetUpPr fitToPage="1"/>
  </sheetPr>
  <dimension ref="A1:Z53"/>
  <sheetViews>
    <sheetView tabSelected="1" workbookViewId="0">
      <selection activeCell="M7" sqref="M7"/>
    </sheetView>
  </sheetViews>
  <sheetFormatPr defaultRowHeight="15.75"/>
  <cols>
    <col min="1" max="1" width="12.140625" style="404" customWidth="1"/>
    <col min="2" max="2" width="6.140625" style="404" customWidth="1"/>
    <col min="3" max="3" width="7.140625" style="404" customWidth="1"/>
    <col min="4" max="4" width="12.85546875" style="404" customWidth="1"/>
    <col min="5" max="5" width="12.5703125" style="404" customWidth="1"/>
    <col min="6" max="6" width="9.42578125" style="404" customWidth="1"/>
    <col min="7" max="7" width="5.7109375" style="404" customWidth="1"/>
    <col min="8" max="8" width="7.85546875" style="404" customWidth="1"/>
    <col min="9" max="9" width="6.5703125" style="404" customWidth="1"/>
    <col min="10" max="11" width="12" style="404" customWidth="1"/>
    <col min="12" max="26" width="9.140625" style="189"/>
    <col min="27" max="16384" width="9.140625" style="190"/>
  </cols>
  <sheetData>
    <row r="1" spans="1:26" ht="20.25" customHeight="1">
      <c r="A1" s="188" t="s">
        <v>267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268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354</v>
      </c>
      <c r="C3" s="194"/>
      <c r="D3" s="194"/>
      <c r="E3" s="194"/>
      <c r="F3" s="195"/>
      <c r="G3" s="194"/>
      <c r="H3" s="194"/>
      <c r="I3" s="192" t="s">
        <v>269</v>
      </c>
      <c r="J3" s="196" t="s">
        <v>366</v>
      </c>
      <c r="K3" s="196"/>
    </row>
    <row r="4" spans="1:26" s="205" customFormat="1" ht="18.399999999999999" customHeight="1" thickBot="1">
      <c r="A4" s="197" t="s">
        <v>355</v>
      </c>
      <c r="B4" s="198"/>
      <c r="C4" s="199"/>
      <c r="D4" s="199"/>
      <c r="E4" s="199"/>
      <c r="F4" s="199"/>
      <c r="G4" s="199"/>
      <c r="H4" s="199"/>
      <c r="I4" s="199"/>
      <c r="J4" s="199"/>
      <c r="K4" s="200"/>
      <c r="L4" s="201"/>
      <c r="M4" s="201"/>
      <c r="N4" s="201"/>
      <c r="O4" s="201"/>
      <c r="P4" s="201"/>
      <c r="Q4" s="202" t="s">
        <v>270</v>
      </c>
      <c r="R4" s="203"/>
      <c r="S4" s="201"/>
      <c r="T4" s="202" t="s">
        <v>271</v>
      </c>
      <c r="U4" s="204"/>
      <c r="V4" s="201"/>
      <c r="W4" s="201"/>
      <c r="X4" s="201"/>
      <c r="Y4" s="201"/>
      <c r="Z4" s="201"/>
    </row>
    <row r="5" spans="1:26" s="205" customFormat="1" ht="18.399999999999999" customHeight="1">
      <c r="A5" s="206" t="s">
        <v>272</v>
      </c>
      <c r="B5" s="207"/>
      <c r="C5" s="207"/>
      <c r="D5" s="208"/>
      <c r="E5" s="209"/>
      <c r="F5" s="210" t="s">
        <v>273</v>
      </c>
      <c r="G5" s="194"/>
      <c r="H5" s="194"/>
      <c r="I5" s="211"/>
      <c r="J5" s="212" t="s">
        <v>274</v>
      </c>
      <c r="K5" s="213" t="s">
        <v>275</v>
      </c>
      <c r="L5" s="201"/>
      <c r="M5" s="201"/>
      <c r="N5" s="201"/>
      <c r="O5" s="201"/>
      <c r="P5" s="201"/>
      <c r="Q5" s="214" t="s">
        <v>276</v>
      </c>
      <c r="R5" s="215"/>
      <c r="S5" s="201"/>
      <c r="T5" s="214" t="s">
        <v>277</v>
      </c>
      <c r="U5" s="216"/>
      <c r="V5" s="201"/>
      <c r="W5" s="201"/>
      <c r="X5" s="201"/>
      <c r="Y5" s="201"/>
      <c r="Z5" s="201"/>
    </row>
    <row r="6" spans="1:26" s="205" customFormat="1" ht="18.399999999999999" customHeight="1">
      <c r="A6" s="217" t="s">
        <v>67</v>
      </c>
      <c r="B6" s="218"/>
      <c r="C6" s="218"/>
      <c r="D6" s="219" t="s">
        <v>278</v>
      </c>
      <c r="E6" s="220"/>
      <c r="F6" s="221" t="s">
        <v>279</v>
      </c>
      <c r="G6" s="222"/>
      <c r="H6" s="222"/>
      <c r="I6" s="222"/>
      <c r="J6" s="222"/>
      <c r="K6" s="223"/>
      <c r="L6" s="201"/>
      <c r="M6" s="201"/>
      <c r="N6" s="201"/>
      <c r="O6" s="201"/>
      <c r="P6" s="201"/>
      <c r="Q6" s="214" t="s">
        <v>280</v>
      </c>
      <c r="R6" s="215"/>
      <c r="S6" s="201"/>
      <c r="T6" s="214" t="s">
        <v>281</v>
      </c>
      <c r="U6" s="216"/>
      <c r="V6" s="201"/>
      <c r="W6" s="201"/>
      <c r="X6" s="201"/>
      <c r="Y6" s="201"/>
      <c r="Z6" s="201"/>
    </row>
    <row r="7" spans="1:26" s="205" customFormat="1" ht="18.399999999999999" customHeight="1">
      <c r="A7" s="224" t="s">
        <v>20</v>
      </c>
      <c r="B7" s="225"/>
      <c r="C7" s="225"/>
      <c r="D7" s="226">
        <v>1.70000004768372</v>
      </c>
      <c r="E7" s="227"/>
      <c r="F7" s="228" t="s">
        <v>282</v>
      </c>
      <c r="G7" s="229"/>
      <c r="H7" s="230"/>
      <c r="I7" s="231"/>
      <c r="J7" s="232" t="s">
        <v>359</v>
      </c>
      <c r="K7" s="233" t="s">
        <v>175</v>
      </c>
      <c r="L7" s="201"/>
      <c r="M7" s="201"/>
      <c r="N7" s="201"/>
      <c r="O7" s="201"/>
      <c r="P7" s="201"/>
      <c r="Q7" s="214" t="s">
        <v>283</v>
      </c>
      <c r="R7" s="215"/>
      <c r="S7" s="201"/>
      <c r="T7" s="214" t="s">
        <v>278</v>
      </c>
      <c r="U7" s="216"/>
      <c r="V7" s="201"/>
      <c r="W7" s="201"/>
      <c r="X7" s="201"/>
      <c r="Y7" s="201"/>
      <c r="Z7" s="201"/>
    </row>
    <row r="8" spans="1:26" s="205" customFormat="1" ht="18.399999999999999" customHeight="1">
      <c r="A8" s="224" t="s">
        <v>284</v>
      </c>
      <c r="B8" s="225"/>
      <c r="C8" s="225"/>
      <c r="D8" s="234">
        <v>395</v>
      </c>
      <c r="E8" s="235"/>
      <c r="F8" s="236" t="s">
        <v>285</v>
      </c>
      <c r="G8" s="237"/>
      <c r="H8" s="238"/>
      <c r="I8" s="239"/>
      <c r="J8" s="240">
        <v>7401</v>
      </c>
      <c r="K8" s="241" t="s">
        <v>175</v>
      </c>
      <c r="L8" s="201"/>
      <c r="M8" s="201"/>
      <c r="N8" s="201"/>
      <c r="O8" s="201"/>
      <c r="P8" s="201"/>
      <c r="Q8" s="214" t="s">
        <v>286</v>
      </c>
      <c r="R8" s="215"/>
      <c r="S8" s="201"/>
      <c r="T8" s="214" t="s">
        <v>287</v>
      </c>
      <c r="U8" s="216"/>
      <c r="V8" s="201"/>
      <c r="W8" s="201"/>
      <c r="X8" s="201"/>
      <c r="Y8" s="201"/>
      <c r="Z8" s="201"/>
    </row>
    <row r="9" spans="1:26" s="205" customFormat="1" ht="18.399999999999999" customHeight="1">
      <c r="A9" s="242" t="s">
        <v>288</v>
      </c>
      <c r="B9" s="243"/>
      <c r="C9" s="244"/>
      <c r="D9" s="234" t="s">
        <v>367</v>
      </c>
      <c r="E9" s="235"/>
      <c r="F9" s="228" t="s">
        <v>289</v>
      </c>
      <c r="G9" s="229"/>
      <c r="H9" s="245">
        <v>3</v>
      </c>
      <c r="I9" s="246" t="s">
        <v>290</v>
      </c>
      <c r="J9" s="247">
        <v>122</v>
      </c>
      <c r="K9" s="241" t="s">
        <v>175</v>
      </c>
      <c r="L9" s="201"/>
      <c r="M9" s="201"/>
      <c r="N9" s="201"/>
      <c r="O9" s="201"/>
      <c r="P9" s="201"/>
      <c r="Q9" s="214" t="s">
        <v>291</v>
      </c>
      <c r="R9" s="215"/>
      <c r="S9" s="201"/>
      <c r="T9" s="214" t="s">
        <v>292</v>
      </c>
      <c r="U9" s="216"/>
      <c r="V9" s="201"/>
      <c r="W9" s="201"/>
      <c r="X9" s="201"/>
      <c r="Y9" s="201"/>
      <c r="Z9" s="201"/>
    </row>
    <row r="10" spans="1:26" s="205" customFormat="1" ht="18.399999999999999" customHeight="1" thickBot="1">
      <c r="A10" s="242" t="s">
        <v>293</v>
      </c>
      <c r="B10" s="243"/>
      <c r="C10" s="244"/>
      <c r="D10" s="248" t="s">
        <v>202</v>
      </c>
      <c r="E10" s="249"/>
      <c r="F10" s="228" t="s">
        <v>294</v>
      </c>
      <c r="G10" s="229"/>
      <c r="H10" s="245">
        <v>3</v>
      </c>
      <c r="I10" s="246" t="s">
        <v>290</v>
      </c>
      <c r="J10" s="247">
        <v>1150</v>
      </c>
      <c r="K10" s="241" t="s">
        <v>175</v>
      </c>
      <c r="L10" s="201"/>
      <c r="M10" s="201"/>
      <c r="N10" s="201"/>
      <c r="O10" s="201"/>
      <c r="P10" s="201"/>
      <c r="Q10" s="214" t="s">
        <v>295</v>
      </c>
      <c r="R10" s="215"/>
      <c r="S10" s="201"/>
      <c r="T10" s="250" t="s">
        <v>296</v>
      </c>
      <c r="U10" s="251"/>
      <c r="V10" s="201"/>
      <c r="W10" s="201"/>
      <c r="X10" s="201"/>
      <c r="Y10" s="201"/>
      <c r="Z10" s="201"/>
    </row>
    <row r="11" spans="1:26" s="205" customFormat="1" ht="18.399999999999999" customHeight="1" thickBot="1">
      <c r="A11" s="242" t="s">
        <v>297</v>
      </c>
      <c r="B11" s="243"/>
      <c r="C11" s="244"/>
      <c r="D11" s="252" t="s">
        <v>203</v>
      </c>
      <c r="E11" s="253"/>
      <c r="F11" s="254" t="s">
        <v>298</v>
      </c>
      <c r="G11" s="255"/>
      <c r="H11" s="256">
        <v>3</v>
      </c>
      <c r="I11" s="246" t="s">
        <v>290</v>
      </c>
      <c r="J11" s="257">
        <v>20793</v>
      </c>
      <c r="K11" s="258" t="s">
        <v>175</v>
      </c>
      <c r="L11" s="201"/>
      <c r="M11" s="201"/>
      <c r="N11" s="201"/>
      <c r="O11" s="201"/>
      <c r="P11" s="201"/>
      <c r="Q11" s="214" t="s">
        <v>299</v>
      </c>
      <c r="R11" s="215"/>
      <c r="S11" s="201"/>
      <c r="T11" s="202" t="s">
        <v>300</v>
      </c>
      <c r="U11" s="204"/>
      <c r="V11" s="201"/>
      <c r="W11" s="201"/>
      <c r="X11" s="201"/>
      <c r="Y11" s="201"/>
      <c r="Z11" s="201"/>
    </row>
    <row r="12" spans="1:26" s="205" customFormat="1" ht="18.399999999999999" customHeight="1" thickBot="1">
      <c r="A12" s="259" t="s">
        <v>301</v>
      </c>
      <c r="C12" s="260"/>
      <c r="D12" s="261" t="s">
        <v>175</v>
      </c>
      <c r="E12" s="262"/>
      <c r="F12" s="263" t="s">
        <v>302</v>
      </c>
      <c r="G12" s="264"/>
      <c r="H12" s="264"/>
      <c r="I12" s="264"/>
      <c r="J12" s="264"/>
      <c r="K12" s="265"/>
      <c r="L12" s="201"/>
      <c r="M12" s="201"/>
      <c r="N12" s="201"/>
      <c r="O12" s="201"/>
      <c r="P12" s="201"/>
      <c r="Q12" s="250" t="s">
        <v>303</v>
      </c>
      <c r="R12" s="266"/>
      <c r="S12" s="201"/>
      <c r="T12" s="201"/>
      <c r="U12" s="201"/>
      <c r="V12" s="201"/>
      <c r="W12" s="201"/>
      <c r="X12" s="201"/>
      <c r="Y12" s="201"/>
      <c r="Z12" s="201"/>
    </row>
    <row r="13" spans="1:26" s="205" customFormat="1" ht="18.399999999999999" customHeight="1">
      <c r="A13" s="242" t="s">
        <v>53</v>
      </c>
      <c r="B13" s="243"/>
      <c r="C13" s="244"/>
      <c r="D13" s="267" t="s">
        <v>357</v>
      </c>
      <c r="E13" s="268"/>
      <c r="F13" s="269"/>
      <c r="G13" s="270" t="s">
        <v>304</v>
      </c>
      <c r="H13" s="271"/>
      <c r="I13" s="272" t="s">
        <v>305</v>
      </c>
      <c r="J13" s="273" t="s">
        <v>362</v>
      </c>
      <c r="K13" s="274" t="s">
        <v>175</v>
      </c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 s="205" customFormat="1" ht="18.399999999999999" customHeight="1">
      <c r="A14" s="242" t="s">
        <v>56</v>
      </c>
      <c r="B14" s="243"/>
      <c r="C14" s="244"/>
      <c r="D14" s="261">
        <v>900</v>
      </c>
      <c r="E14" s="262"/>
      <c r="F14" s="269"/>
      <c r="G14" s="275" t="s">
        <v>10</v>
      </c>
      <c r="H14" s="276"/>
      <c r="I14" s="276"/>
      <c r="J14" s="247" t="s">
        <v>175</v>
      </c>
      <c r="K14" s="241" t="s">
        <v>175</v>
      </c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 s="205" customFormat="1" ht="18.399999999999999" customHeight="1">
      <c r="A15" s="277" t="s">
        <v>306</v>
      </c>
      <c r="B15" s="278"/>
      <c r="C15" s="279"/>
      <c r="D15" s="280">
        <v>12.134799003601074</v>
      </c>
      <c r="E15" s="281"/>
      <c r="F15" s="269"/>
      <c r="G15" s="275" t="s">
        <v>307</v>
      </c>
      <c r="H15" s="276"/>
      <c r="I15" s="276"/>
      <c r="J15" s="247" t="s">
        <v>175</v>
      </c>
      <c r="K15" s="241" t="s">
        <v>175</v>
      </c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 s="205" customFormat="1" ht="18.399999999999999" customHeight="1">
      <c r="A16" s="282" t="s">
        <v>308</v>
      </c>
      <c r="B16" s="283"/>
      <c r="C16" s="284"/>
      <c r="D16" s="280">
        <v>3.427600622177124</v>
      </c>
      <c r="E16" s="281"/>
      <c r="F16" s="285"/>
      <c r="G16" s="286" t="s">
        <v>17</v>
      </c>
      <c r="H16" s="287"/>
      <c r="I16" s="287"/>
      <c r="J16" s="257" t="s">
        <v>175</v>
      </c>
      <c r="K16" s="258" t="s">
        <v>175</v>
      </c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spans="1:26" s="205" customFormat="1" ht="18.399999999999999" customHeight="1">
      <c r="A17" s="288" t="s">
        <v>309</v>
      </c>
      <c r="B17" s="289"/>
      <c r="C17" s="290"/>
      <c r="D17" s="252" t="s">
        <v>356</v>
      </c>
      <c r="E17" s="253"/>
      <c r="F17" s="263" t="s">
        <v>310</v>
      </c>
      <c r="G17" s="264"/>
      <c r="H17" s="264"/>
      <c r="I17" s="264"/>
      <c r="J17" s="264"/>
      <c r="K17" s="265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spans="1:26" s="205" customFormat="1" ht="18.399999999999999" customHeight="1">
      <c r="A18" s="291" t="s">
        <v>311</v>
      </c>
      <c r="B18" s="292"/>
      <c r="C18" s="290"/>
      <c r="D18" s="248" t="s">
        <v>175</v>
      </c>
      <c r="E18" s="249"/>
      <c r="F18" s="293"/>
      <c r="G18" s="294"/>
      <c r="H18" s="295" t="s">
        <v>312</v>
      </c>
      <c r="I18" s="296"/>
      <c r="J18" s="240" t="s">
        <v>358</v>
      </c>
      <c r="K18" s="24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 s="205" customFormat="1" ht="18.399999999999999" customHeight="1">
      <c r="A19" s="297" t="s">
        <v>313</v>
      </c>
      <c r="B19" s="298"/>
      <c r="C19" s="299"/>
      <c r="D19" s="300" t="s">
        <v>175</v>
      </c>
      <c r="E19" s="253"/>
      <c r="F19" s="301"/>
      <c r="G19" s="302"/>
      <c r="H19" s="295" t="s">
        <v>5</v>
      </c>
      <c r="I19" s="231"/>
      <c r="J19" s="240">
        <v>1770</v>
      </c>
      <c r="K19" s="24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spans="1:26" s="205" customFormat="1" ht="18.399999999999999" customHeight="1" thickBot="1">
      <c r="A20" s="303" t="s">
        <v>314</v>
      </c>
      <c r="C20" s="304"/>
      <c r="D20" s="305" t="s">
        <v>201</v>
      </c>
      <c r="E20" s="235"/>
      <c r="F20" s="301"/>
      <c r="G20" s="302"/>
      <c r="H20" s="295" t="s">
        <v>315</v>
      </c>
      <c r="I20" s="231"/>
      <c r="J20" s="247" t="s">
        <v>364</v>
      </c>
      <c r="K20" s="24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 s="205" customFormat="1" ht="18.399999999999999" customHeight="1" thickBot="1">
      <c r="A21" s="277" t="s">
        <v>316</v>
      </c>
      <c r="B21" s="278"/>
      <c r="C21" s="279"/>
      <c r="D21" s="234" t="s">
        <v>175</v>
      </c>
      <c r="E21" s="235"/>
      <c r="F21" s="301"/>
      <c r="G21" s="302"/>
      <c r="H21" s="306" t="s">
        <v>317</v>
      </c>
      <c r="I21" s="231"/>
      <c r="J21" s="247">
        <v>1.1499999999999999</v>
      </c>
      <c r="K21" s="241"/>
      <c r="L21" s="201"/>
      <c r="M21" s="201"/>
      <c r="N21" s="201"/>
      <c r="O21" s="201"/>
      <c r="P21" s="201"/>
      <c r="Q21" s="202" t="s">
        <v>318</v>
      </c>
      <c r="R21" s="204"/>
      <c r="S21" s="201"/>
      <c r="T21" s="201"/>
      <c r="U21" s="201"/>
      <c r="V21" s="201"/>
      <c r="W21" s="201"/>
      <c r="X21" s="201"/>
      <c r="Y21" s="201"/>
      <c r="Z21" s="201"/>
    </row>
    <row r="22" spans="1:26" s="205" customFormat="1" ht="18.399999999999999" customHeight="1">
      <c r="A22" s="291" t="s">
        <v>319</v>
      </c>
      <c r="B22" s="307"/>
      <c r="C22" s="307"/>
      <c r="D22" s="308">
        <v>0.44359999895095825</v>
      </c>
      <c r="E22" s="309"/>
      <c r="F22" s="301"/>
      <c r="G22" s="302"/>
      <c r="H22" s="295" t="s">
        <v>274</v>
      </c>
      <c r="I22" s="231"/>
      <c r="J22" s="247" t="s">
        <v>175</v>
      </c>
      <c r="K22" s="241"/>
      <c r="L22" s="201"/>
      <c r="M22" s="201"/>
      <c r="N22" s="201"/>
      <c r="O22" s="201"/>
      <c r="P22" s="201"/>
      <c r="Q22" s="214" t="s">
        <v>320</v>
      </c>
      <c r="R22" s="216"/>
      <c r="S22" s="201"/>
      <c r="T22" s="201"/>
      <c r="U22" s="201"/>
      <c r="V22" s="201"/>
      <c r="W22" s="201"/>
      <c r="X22" s="201"/>
      <c r="Y22" s="201"/>
      <c r="Z22" s="201"/>
    </row>
    <row r="23" spans="1:26" s="205" customFormat="1" ht="18.399999999999999" customHeight="1">
      <c r="A23" s="310" t="s">
        <v>321</v>
      </c>
      <c r="B23" s="311" t="s">
        <v>322</v>
      </c>
      <c r="C23" s="312"/>
      <c r="D23" s="267">
        <v>114.5</v>
      </c>
      <c r="E23" s="268"/>
      <c r="F23" s="301"/>
      <c r="G23" s="302"/>
      <c r="H23" s="313" t="s">
        <v>323</v>
      </c>
      <c r="I23" s="314"/>
      <c r="J23" s="315" t="s">
        <v>175</v>
      </c>
      <c r="K23" s="316"/>
      <c r="L23" s="201"/>
      <c r="Q23" s="214" t="s">
        <v>324</v>
      </c>
      <c r="R23" s="216"/>
      <c r="S23" s="201"/>
      <c r="T23" s="201"/>
      <c r="U23" s="201"/>
      <c r="V23" s="201"/>
      <c r="W23" s="201"/>
      <c r="X23" s="201"/>
      <c r="Y23" s="201"/>
      <c r="Z23" s="201"/>
    </row>
    <row r="24" spans="1:26" s="205" customFormat="1" ht="18.399999999999999" customHeight="1" thickBot="1">
      <c r="A24" s="317" t="s">
        <v>325</v>
      </c>
      <c r="B24" s="318" t="s">
        <v>326</v>
      </c>
      <c r="C24" s="319"/>
      <c r="D24" s="320">
        <v>101.2</v>
      </c>
      <c r="E24" s="321"/>
      <c r="F24" s="301"/>
      <c r="G24" s="302"/>
      <c r="H24" s="295" t="s">
        <v>327</v>
      </c>
      <c r="I24" s="260"/>
      <c r="J24" s="322" t="s">
        <v>175</v>
      </c>
      <c r="K24" s="323"/>
      <c r="Q24" s="324" t="s">
        <v>175</v>
      </c>
      <c r="R24" s="325"/>
      <c r="S24" s="201"/>
      <c r="T24" s="201"/>
      <c r="U24" s="201"/>
      <c r="V24" s="201"/>
      <c r="W24" s="201"/>
      <c r="X24" s="201"/>
      <c r="Y24" s="201"/>
      <c r="Z24" s="201"/>
    </row>
    <row r="25" spans="1:26" s="205" customFormat="1" ht="18.399999999999999" customHeight="1">
      <c r="A25" s="326" t="s">
        <v>328</v>
      </c>
      <c r="B25" s="327"/>
      <c r="C25" s="327"/>
      <c r="D25" s="328"/>
      <c r="E25" s="328" t="s">
        <v>329</v>
      </c>
      <c r="F25" s="301"/>
      <c r="G25" s="302"/>
      <c r="H25" s="295" t="s">
        <v>330</v>
      </c>
      <c r="I25" s="260"/>
      <c r="J25" s="329" t="s">
        <v>175</v>
      </c>
      <c r="K25" s="323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 s="205" customFormat="1" ht="18.399999999999999" customHeight="1">
      <c r="A26" s="330" t="s">
        <v>331</v>
      </c>
      <c r="B26" s="331"/>
      <c r="C26" s="332"/>
      <c r="D26" s="333" t="s">
        <v>363</v>
      </c>
      <c r="E26" s="333" t="s">
        <v>365</v>
      </c>
      <c r="F26" s="334"/>
      <c r="G26" s="335"/>
      <c r="H26" s="336"/>
      <c r="I26" s="337"/>
      <c r="J26" s="338"/>
      <c r="K26" s="339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 s="205" customFormat="1" ht="18.399999999999999" customHeight="1">
      <c r="A27" s="340" t="s">
        <v>332</v>
      </c>
      <c r="B27" s="341"/>
      <c r="C27" s="341"/>
      <c r="D27" s="341"/>
      <c r="E27" s="341"/>
      <c r="F27" s="221" t="s">
        <v>333</v>
      </c>
      <c r="G27" s="222"/>
      <c r="H27" s="222"/>
      <c r="I27" s="222"/>
      <c r="J27" s="222"/>
      <c r="K27" s="223"/>
      <c r="R27" s="201"/>
      <c r="S27" s="201"/>
      <c r="T27" s="201"/>
      <c r="U27" s="201"/>
      <c r="V27" s="201"/>
      <c r="W27" s="201"/>
      <c r="X27" s="201"/>
      <c r="Y27" s="201"/>
      <c r="Z27" s="201"/>
    </row>
    <row r="28" spans="1:26" s="205" customFormat="1" ht="18.399999999999999" customHeight="1">
      <c r="A28" s="342"/>
      <c r="B28" s="343"/>
      <c r="C28" s="343"/>
      <c r="D28" s="343"/>
      <c r="E28" s="344"/>
      <c r="F28" s="345"/>
      <c r="G28" s="346"/>
      <c r="H28" s="275" t="s">
        <v>334</v>
      </c>
      <c r="I28" s="347" t="s">
        <v>361</v>
      </c>
      <c r="J28" s="240" t="s">
        <v>360</v>
      </c>
      <c r="K28" s="233" t="s">
        <v>175</v>
      </c>
      <c r="R28" s="201"/>
      <c r="S28" s="201"/>
      <c r="T28" s="201"/>
      <c r="U28" s="201"/>
      <c r="V28" s="201"/>
      <c r="W28" s="201"/>
      <c r="X28" s="201"/>
      <c r="Y28" s="201"/>
      <c r="Z28" s="201"/>
    </row>
    <row r="29" spans="1:26" s="205" customFormat="1" ht="18.399999999999999" customHeight="1">
      <c r="A29" s="342"/>
      <c r="B29" s="343"/>
      <c r="C29" s="343"/>
      <c r="D29" s="343"/>
      <c r="E29" s="344"/>
      <c r="F29" s="348"/>
      <c r="G29" s="349"/>
      <c r="H29" s="275" t="s">
        <v>335</v>
      </c>
      <c r="I29" s="350">
        <v>80</v>
      </c>
      <c r="J29" s="240">
        <v>150</v>
      </c>
      <c r="K29" s="233" t="s">
        <v>175</v>
      </c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 s="205" customFormat="1" ht="18.399999999999999" customHeight="1">
      <c r="A30" s="342"/>
      <c r="B30" s="343"/>
      <c r="C30" s="343"/>
      <c r="D30" s="343"/>
      <c r="E30" s="344"/>
      <c r="F30" s="348"/>
      <c r="G30" s="349"/>
      <c r="H30" s="275" t="s">
        <v>336</v>
      </c>
      <c r="I30" s="350">
        <v>175</v>
      </c>
      <c r="J30" s="240">
        <v>284</v>
      </c>
      <c r="K30" s="233" t="s">
        <v>175</v>
      </c>
      <c r="L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 s="205" customFormat="1" ht="18.399999999999999" customHeight="1">
      <c r="A31" s="342"/>
      <c r="B31" s="343"/>
      <c r="C31" s="343"/>
      <c r="D31" s="343"/>
      <c r="E31" s="344"/>
      <c r="F31" s="348"/>
      <c r="G31" s="349"/>
      <c r="H31" s="275" t="s">
        <v>337</v>
      </c>
      <c r="I31" s="276"/>
      <c r="J31" s="351">
        <v>1.63</v>
      </c>
      <c r="K31" s="233" t="s">
        <v>175</v>
      </c>
      <c r="L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 s="205" customFormat="1" ht="18.399999999999999" customHeight="1">
      <c r="A32" s="352"/>
      <c r="B32" s="353"/>
      <c r="C32" s="353"/>
      <c r="D32" s="353"/>
      <c r="E32" s="354"/>
      <c r="F32" s="348"/>
      <c r="G32" s="355" t="s">
        <v>338</v>
      </c>
      <c r="H32" s="275" t="s">
        <v>339</v>
      </c>
      <c r="I32" s="356"/>
      <c r="J32" s="232">
        <v>93.2</v>
      </c>
      <c r="K32" s="233" t="s">
        <v>175</v>
      </c>
      <c r="L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 spans="1:26" s="205" customFormat="1" ht="18.399999999999999" customHeight="1">
      <c r="A33" s="340" t="s">
        <v>340</v>
      </c>
      <c r="B33" s="341"/>
      <c r="C33" s="341"/>
      <c r="D33" s="341"/>
      <c r="E33" s="357"/>
      <c r="F33" s="358"/>
      <c r="G33" s="359"/>
      <c r="H33" s="360" t="s">
        <v>341</v>
      </c>
      <c r="I33" s="361"/>
      <c r="J33" s="362">
        <v>85.5</v>
      </c>
      <c r="K33" s="363" t="s">
        <v>175</v>
      </c>
      <c r="L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spans="1:26" s="205" customFormat="1" ht="18.399999999999999" customHeight="1">
      <c r="A34" s="342"/>
      <c r="B34" s="343"/>
      <c r="C34" s="343"/>
      <c r="D34" s="343"/>
      <c r="E34" s="344"/>
      <c r="F34" s="236" t="s">
        <v>342</v>
      </c>
      <c r="G34" s="364"/>
      <c r="H34" s="365" t="s">
        <v>14</v>
      </c>
      <c r="I34" s="366"/>
      <c r="J34" s="367">
        <v>7097</v>
      </c>
      <c r="K34" s="368" t="s">
        <v>175</v>
      </c>
      <c r="L34" s="369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 s="205" customFormat="1" ht="18.399999999999999" customHeight="1">
      <c r="A35" s="342"/>
      <c r="B35" s="343"/>
      <c r="C35" s="343"/>
      <c r="D35" s="343"/>
      <c r="E35" s="344"/>
      <c r="F35" s="269"/>
      <c r="G35" s="370"/>
      <c r="H35" s="371" t="s">
        <v>15</v>
      </c>
      <c r="I35" s="372"/>
      <c r="J35" s="240">
        <v>5623</v>
      </c>
      <c r="K35" s="233" t="s">
        <v>175</v>
      </c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 s="205" customFormat="1" ht="18.399999999999999" customHeight="1">
      <c r="A36" s="342"/>
      <c r="B36" s="343"/>
      <c r="C36" s="343"/>
      <c r="D36" s="343"/>
      <c r="E36" s="344"/>
      <c r="F36" s="269"/>
      <c r="G36" s="370"/>
      <c r="H36" s="371" t="s">
        <v>343</v>
      </c>
      <c r="I36" s="372"/>
      <c r="J36" s="240">
        <v>3739</v>
      </c>
      <c r="K36" s="233" t="s">
        <v>175</v>
      </c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 s="205" customFormat="1" ht="18.399999999999999" customHeight="1">
      <c r="A37" s="342"/>
      <c r="B37" s="343"/>
      <c r="C37" s="343"/>
      <c r="D37" s="343"/>
      <c r="E37" s="344"/>
      <c r="F37" s="348"/>
      <c r="G37" s="370"/>
      <c r="H37" s="371" t="s">
        <v>344</v>
      </c>
      <c r="I37" s="372"/>
      <c r="J37" s="240">
        <v>3440</v>
      </c>
      <c r="K37" s="233" t="s">
        <v>175</v>
      </c>
      <c r="R37" s="201"/>
      <c r="S37" s="201"/>
      <c r="T37" s="201"/>
      <c r="U37" s="201"/>
      <c r="V37" s="201"/>
      <c r="W37" s="201"/>
      <c r="X37" s="201"/>
      <c r="Y37" s="201"/>
      <c r="Z37" s="201"/>
    </row>
    <row r="38" spans="1:26" s="205" customFormat="1" ht="18.399999999999999" customHeight="1">
      <c r="A38" s="352"/>
      <c r="B38" s="353"/>
      <c r="C38" s="353"/>
      <c r="D38" s="353"/>
      <c r="E38" s="354"/>
      <c r="F38" s="285"/>
      <c r="G38" s="373"/>
      <c r="H38" s="374" t="s">
        <v>345</v>
      </c>
      <c r="I38" s="375"/>
      <c r="J38" s="376">
        <v>4527</v>
      </c>
      <c r="K38" s="377" t="s">
        <v>175</v>
      </c>
      <c r="R38" s="201"/>
      <c r="S38" s="201"/>
      <c r="T38" s="201"/>
      <c r="U38" s="201"/>
      <c r="V38" s="201"/>
      <c r="W38" s="201"/>
      <c r="X38" s="201"/>
      <c r="Y38" s="201"/>
      <c r="Z38" s="201"/>
    </row>
    <row r="39" spans="1:26" s="205" customFormat="1" ht="18.399999999999999" customHeight="1">
      <c r="A39" s="340" t="s">
        <v>346</v>
      </c>
      <c r="B39" s="341"/>
      <c r="C39" s="341"/>
      <c r="D39" s="341"/>
      <c r="E39" s="341"/>
      <c r="F39" s="378" t="s">
        <v>347</v>
      </c>
      <c r="G39" s="379"/>
      <c r="H39" s="379"/>
      <c r="I39" s="379"/>
      <c r="J39" s="379"/>
      <c r="K39" s="380"/>
      <c r="R39" s="201"/>
      <c r="S39" s="201"/>
      <c r="T39" s="201"/>
      <c r="U39" s="201"/>
      <c r="V39" s="201"/>
      <c r="W39" s="201"/>
      <c r="X39" s="201"/>
      <c r="Y39" s="201"/>
      <c r="Z39" s="201"/>
    </row>
    <row r="40" spans="1:26" s="205" customFormat="1" ht="18.399999999999999" customHeight="1">
      <c r="A40" s="342"/>
      <c r="B40" s="343"/>
      <c r="C40" s="343"/>
      <c r="D40" s="343"/>
      <c r="E40" s="344"/>
      <c r="F40" s="381" t="s">
        <v>368</v>
      </c>
      <c r="G40" s="382"/>
      <c r="H40" s="382"/>
      <c r="I40" s="382"/>
      <c r="J40" s="382"/>
      <c r="K40" s="383"/>
      <c r="R40" s="201"/>
      <c r="S40" s="201"/>
      <c r="T40" s="201"/>
      <c r="U40" s="201"/>
      <c r="V40" s="201"/>
      <c r="W40" s="201"/>
      <c r="X40" s="201"/>
      <c r="Y40" s="201"/>
      <c r="Z40" s="201"/>
    </row>
    <row r="41" spans="1:26" s="205" customFormat="1" ht="18.399999999999999" customHeight="1">
      <c r="A41" s="342"/>
      <c r="B41" s="343"/>
      <c r="C41" s="343"/>
      <c r="D41" s="343"/>
      <c r="E41" s="344"/>
      <c r="F41" s="381"/>
      <c r="G41" s="384" t="s">
        <v>369</v>
      </c>
      <c r="H41" s="384"/>
      <c r="I41" s="384"/>
      <c r="J41" s="384"/>
      <c r="K41" s="385"/>
      <c r="L41" s="386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 s="205" customFormat="1" ht="18.399999999999999" customHeight="1">
      <c r="A42" s="342"/>
      <c r="B42" s="343"/>
      <c r="C42" s="343"/>
      <c r="D42" s="343"/>
      <c r="E42" s="344"/>
      <c r="F42" s="381"/>
      <c r="G42" s="384"/>
      <c r="H42" s="384"/>
      <c r="I42" s="384"/>
      <c r="J42" s="384"/>
      <c r="K42" s="385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 s="205" customFormat="1" ht="18.399999999999999" customHeight="1">
      <c r="A43" s="342"/>
      <c r="B43" s="343"/>
      <c r="C43" s="343"/>
      <c r="D43" s="343"/>
      <c r="E43" s="344"/>
      <c r="F43" s="381"/>
      <c r="G43" s="384"/>
      <c r="H43" s="384"/>
      <c r="I43" s="384"/>
      <c r="J43" s="384"/>
      <c r="K43" s="385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spans="1:26" s="205" customFormat="1" ht="17.100000000000001" customHeight="1" thickBot="1">
      <c r="A44" s="387"/>
      <c r="B44" s="388"/>
      <c r="C44" s="388"/>
      <c r="D44" s="388"/>
      <c r="E44" s="389"/>
      <c r="F44" s="381"/>
      <c r="G44" s="384"/>
      <c r="H44" s="384"/>
      <c r="I44" s="384"/>
      <c r="J44" s="384"/>
      <c r="K44" s="385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 s="205" customFormat="1" ht="17.100000000000001" customHeight="1">
      <c r="A45" s="390" t="s">
        <v>348</v>
      </c>
      <c r="B45" s="391"/>
      <c r="C45" s="392"/>
      <c r="D45" s="393" t="s">
        <v>349</v>
      </c>
      <c r="E45" s="394" t="s">
        <v>350</v>
      </c>
      <c r="F45" s="395"/>
      <c r="G45" s="384"/>
      <c r="H45" s="384"/>
      <c r="I45" s="384"/>
      <c r="J45" s="384"/>
      <c r="K45" s="385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 s="205" customFormat="1" ht="17.100000000000001" customHeight="1" thickBot="1">
      <c r="A46" s="396" t="s">
        <v>351</v>
      </c>
      <c r="B46" s="397"/>
      <c r="C46" s="398"/>
      <c r="D46" s="399" t="s">
        <v>351</v>
      </c>
      <c r="E46" s="400">
        <v>45797</v>
      </c>
      <c r="F46" s="401"/>
      <c r="G46" s="402" t="s">
        <v>370</v>
      </c>
      <c r="H46" s="402"/>
      <c r="I46" s="402"/>
      <c r="J46" s="402"/>
      <c r="K46" s="403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 s="205" customFormat="1" ht="17.100000000000001" customHeight="1">
      <c r="F47" s="404"/>
      <c r="G47" s="201" t="s">
        <v>371</v>
      </c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</row>
    <row r="48" spans="1:26" s="205" customFormat="1" ht="17.100000000000001" customHeight="1">
      <c r="F48" s="201"/>
      <c r="G48" s="201"/>
      <c r="H48" s="201"/>
      <c r="I48" s="201"/>
      <c r="J48" s="201"/>
      <c r="K48" s="201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F50" s="189"/>
      <c r="G50" s="189"/>
      <c r="H50" s="189"/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F51" s="189"/>
      <c r="G51" s="189"/>
      <c r="H51" s="189"/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F53" s="189"/>
      <c r="G53" s="189"/>
      <c r="H53" s="189"/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B7BDAD4C-FE61-48D4-B73D-FBDB9BBE9E04}">
      <formula1>$T$5:$T$11</formula1>
    </dataValidation>
    <dataValidation type="list" allowBlank="1" showErrorMessage="1" error="Choose from list!" sqref="D21" xr:uid="{C21BAD6B-6D0C-472F-B2E9-EF405AA23334}">
      <formula1>$Q$22:$Q$24</formula1>
    </dataValidation>
    <dataValidation type="list" allowBlank="1" showInputMessage="1" errorTitle="Hold on!" error="Enter a valid motor type!" prompt="Motor Type  Select one from the list or input name" sqref="K4" xr:uid="{2754F14B-91E2-4919-B913-E8947E865AC5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A122-DDFF-44A5-BAFE-3CD499A2F82C}">
  <sheetPr syncVertical="1" syncRef="A1" transitionEvaluation="1"/>
  <dimension ref="A1:N120"/>
  <sheetViews>
    <sheetView showGridLines="0" zoomScaleNormal="100" workbookViewId="0">
      <selection activeCell="C15" sqref="C15"/>
    </sheetView>
  </sheetViews>
  <sheetFormatPr defaultColWidth="12.5703125" defaultRowHeight="15.75"/>
  <cols>
    <col min="1" max="13" width="7" style="506" customWidth="1"/>
    <col min="14" max="14" width="7.140625" style="506" customWidth="1"/>
    <col min="15" max="16384" width="12.5703125" style="506"/>
  </cols>
  <sheetData>
    <row r="1" spans="1:14" ht="17.100000000000001" customHeight="1">
      <c r="A1" s="499" t="s">
        <v>267</v>
      </c>
      <c r="B1" s="500"/>
      <c r="C1" s="500"/>
      <c r="D1" s="500"/>
      <c r="E1" s="500"/>
      <c r="F1" s="500"/>
      <c r="G1" s="500"/>
      <c r="H1" s="500"/>
      <c r="I1" s="500"/>
      <c r="J1" s="501" t="s">
        <v>571</v>
      </c>
      <c r="K1" s="502"/>
      <c r="L1" s="503" t="s">
        <v>572</v>
      </c>
      <c r="M1" s="504"/>
      <c r="N1" s="505"/>
    </row>
    <row r="2" spans="1:14" ht="17.100000000000001" customHeight="1">
      <c r="A2" s="507" t="s">
        <v>573</v>
      </c>
      <c r="B2" s="508"/>
      <c r="C2" s="508"/>
      <c r="D2" s="508"/>
      <c r="E2" s="508"/>
      <c r="F2" s="508"/>
      <c r="G2" s="508"/>
      <c r="H2" s="508"/>
      <c r="I2" s="508"/>
      <c r="J2" s="509" t="s">
        <v>574</v>
      </c>
      <c r="K2" s="510"/>
      <c r="L2" s="511" t="s">
        <v>575</v>
      </c>
      <c r="M2" s="512"/>
      <c r="N2" s="505"/>
    </row>
    <row r="3" spans="1:14" ht="15.95" customHeight="1">
      <c r="A3" s="513"/>
      <c r="B3" s="514"/>
      <c r="C3" s="514"/>
      <c r="D3" s="514"/>
      <c r="E3" s="514"/>
      <c r="F3" s="514"/>
      <c r="G3" s="514"/>
      <c r="H3" s="514"/>
      <c r="I3" s="514"/>
      <c r="J3" s="509" t="s">
        <v>576</v>
      </c>
      <c r="K3" s="510"/>
      <c r="L3" s="515" t="s">
        <v>577</v>
      </c>
      <c r="M3" s="512"/>
      <c r="N3" s="505"/>
    </row>
    <row r="4" spans="1:14" ht="15.95" customHeight="1">
      <c r="A4" s="516"/>
      <c r="B4" s="514"/>
      <c r="C4" s="514"/>
      <c r="D4" s="514"/>
      <c r="E4" s="514"/>
      <c r="F4" s="514"/>
      <c r="G4" s="514"/>
      <c r="H4" s="514"/>
      <c r="I4" s="514"/>
      <c r="J4" s="509" t="s">
        <v>578</v>
      </c>
      <c r="K4" s="510"/>
      <c r="L4" s="515" t="s">
        <v>579</v>
      </c>
      <c r="M4" s="512"/>
      <c r="N4" s="505"/>
    </row>
    <row r="5" spans="1:14" ht="15.95" customHeight="1">
      <c r="A5" s="513"/>
      <c r="B5" s="514"/>
      <c r="C5" s="514"/>
      <c r="D5" s="514"/>
      <c r="E5" s="514"/>
      <c r="F5" s="514"/>
      <c r="G5" s="514"/>
      <c r="H5" s="514"/>
      <c r="I5" s="514"/>
      <c r="J5" s="509" t="s">
        <v>580</v>
      </c>
      <c r="K5" s="510"/>
      <c r="L5" s="511">
        <v>2</v>
      </c>
      <c r="M5" s="512"/>
      <c r="N5" s="505"/>
    </row>
    <row r="6" spans="1:14" ht="15.95" customHeight="1">
      <c r="A6" s="517" t="s">
        <v>581</v>
      </c>
      <c r="B6" s="514"/>
      <c r="C6" s="514"/>
      <c r="D6" s="514"/>
      <c r="E6" s="514"/>
      <c r="F6" s="514"/>
      <c r="G6" s="514"/>
      <c r="H6" s="514"/>
      <c r="I6" s="514"/>
      <c r="J6" s="509" t="s">
        <v>582</v>
      </c>
      <c r="K6" s="510"/>
      <c r="L6" s="511" t="s">
        <v>583</v>
      </c>
      <c r="M6" s="512"/>
      <c r="N6" s="505"/>
    </row>
    <row r="7" spans="1:14" ht="15.95" customHeight="1" thickBot="1">
      <c r="A7" s="518" t="s">
        <v>584</v>
      </c>
      <c r="B7" s="519"/>
      <c r="C7" s="519"/>
      <c r="D7" s="519"/>
      <c r="E7" s="519"/>
      <c r="F7" s="519"/>
      <c r="G7" s="519"/>
      <c r="H7" s="519"/>
      <c r="I7" s="519"/>
      <c r="J7" s="520" t="s">
        <v>585</v>
      </c>
      <c r="K7" s="521"/>
      <c r="L7" s="522" t="s">
        <v>586</v>
      </c>
      <c r="M7" s="523"/>
      <c r="N7" s="505"/>
    </row>
    <row r="8" spans="1:14" ht="15.95" customHeight="1">
      <c r="A8" s="524"/>
      <c r="B8" s="514"/>
      <c r="C8" s="514"/>
      <c r="D8" s="514"/>
      <c r="E8" s="514"/>
      <c r="F8" s="514"/>
      <c r="G8" s="514"/>
      <c r="H8" s="514"/>
      <c r="I8" s="514"/>
      <c r="J8" s="514"/>
      <c r="K8" s="525"/>
      <c r="L8" s="526"/>
      <c r="M8" s="527"/>
      <c r="N8" s="514"/>
    </row>
    <row r="9" spans="1:14" ht="12" customHeight="1">
      <c r="A9" s="528"/>
      <c r="B9" s="529" t="s">
        <v>587</v>
      </c>
      <c r="C9" s="530"/>
      <c r="D9" s="531"/>
      <c r="E9" s="531"/>
      <c r="F9" s="531"/>
      <c r="G9" s="531"/>
      <c r="H9" s="531"/>
      <c r="I9" s="531"/>
      <c r="J9" s="531"/>
      <c r="K9" s="532"/>
      <c r="L9" s="528"/>
      <c r="M9" s="531"/>
      <c r="N9" s="514"/>
    </row>
    <row r="10" spans="1:14" ht="12" customHeight="1">
      <c r="A10" s="528"/>
      <c r="B10" s="529" t="s">
        <v>588</v>
      </c>
      <c r="C10" s="533"/>
      <c r="D10" s="528"/>
      <c r="E10" s="528"/>
      <c r="F10" s="528"/>
      <c r="G10" s="528"/>
      <c r="H10" s="528"/>
      <c r="I10" s="528"/>
      <c r="J10" s="528"/>
      <c r="K10" s="528"/>
      <c r="L10" s="528"/>
      <c r="M10" s="528"/>
      <c r="N10" s="526"/>
    </row>
    <row r="11" spans="1:14" ht="16.5" thickBot="1">
      <c r="A11" s="526"/>
      <c r="B11" s="526"/>
      <c r="C11" s="526"/>
      <c r="D11" s="526"/>
      <c r="E11" s="526"/>
      <c r="F11" s="526"/>
      <c r="G11" s="526"/>
      <c r="H11" s="526"/>
      <c r="I11" s="526"/>
      <c r="J11" s="526"/>
      <c r="K11" s="526"/>
      <c r="L11" s="526"/>
      <c r="M11" s="526"/>
      <c r="N11" s="526"/>
    </row>
    <row r="12" spans="1:14" ht="20.100000000000001" customHeight="1" thickBot="1">
      <c r="A12" s="534" t="s">
        <v>589</v>
      </c>
      <c r="B12" s="535"/>
      <c r="C12" s="535"/>
      <c r="D12" s="535"/>
      <c r="E12" s="535"/>
      <c r="F12" s="535"/>
      <c r="G12" s="535"/>
      <c r="H12" s="535"/>
      <c r="I12" s="535"/>
      <c r="J12" s="535"/>
      <c r="K12" s="535"/>
      <c r="L12" s="535"/>
      <c r="M12" s="536"/>
      <c r="N12" s="505"/>
    </row>
    <row r="13" spans="1:14" ht="12.95" customHeight="1" thickTop="1">
      <c r="A13" s="537"/>
      <c r="B13" s="529" t="s">
        <v>590</v>
      </c>
      <c r="C13" s="538">
        <v>450</v>
      </c>
      <c r="D13" s="528"/>
      <c r="E13" s="529" t="s">
        <v>591</v>
      </c>
      <c r="F13" s="538">
        <v>4000</v>
      </c>
      <c r="G13" s="528"/>
      <c r="H13" s="529" t="s">
        <v>592</v>
      </c>
      <c r="I13" s="538" t="s">
        <v>676</v>
      </c>
      <c r="J13" s="528"/>
      <c r="K13" s="528"/>
      <c r="L13" s="529" t="s">
        <v>593</v>
      </c>
      <c r="M13" s="539">
        <v>1800</v>
      </c>
      <c r="N13" s="505"/>
    </row>
    <row r="14" spans="1:14" ht="12.95" customHeight="1">
      <c r="A14" s="537"/>
      <c r="B14" s="529" t="s">
        <v>594</v>
      </c>
      <c r="C14" s="538" t="s">
        <v>679</v>
      </c>
      <c r="D14" s="528"/>
      <c r="E14" s="529" t="s">
        <v>595</v>
      </c>
      <c r="F14" s="540" t="s">
        <v>677</v>
      </c>
      <c r="G14" s="528"/>
      <c r="H14" s="529" t="s">
        <v>596</v>
      </c>
      <c r="I14" s="538">
        <v>61</v>
      </c>
      <c r="J14" s="528"/>
      <c r="K14" s="528"/>
      <c r="L14" s="529" t="s">
        <v>387</v>
      </c>
      <c r="M14" s="539">
        <v>1770</v>
      </c>
      <c r="N14" s="505"/>
    </row>
    <row r="15" spans="1:14" ht="12.95" customHeight="1">
      <c r="A15" s="537"/>
      <c r="B15" s="529" t="s">
        <v>597</v>
      </c>
      <c r="C15" s="538" t="s">
        <v>194</v>
      </c>
      <c r="D15" s="528"/>
      <c r="E15" s="529" t="s">
        <v>598</v>
      </c>
      <c r="F15" s="541" t="s">
        <v>678</v>
      </c>
      <c r="G15" s="528"/>
      <c r="H15" s="529" t="s">
        <v>599</v>
      </c>
      <c r="I15" s="540" t="s">
        <v>175</v>
      </c>
      <c r="J15" s="528"/>
      <c r="K15" s="528"/>
      <c r="L15" s="529" t="s">
        <v>600</v>
      </c>
      <c r="M15" s="539" t="s">
        <v>352</v>
      </c>
      <c r="N15" s="505"/>
    </row>
    <row r="16" spans="1:14" ht="12.95" customHeight="1">
      <c r="A16" s="537"/>
      <c r="B16" s="529" t="s">
        <v>601</v>
      </c>
      <c r="C16" s="538" t="s">
        <v>675</v>
      </c>
      <c r="D16" s="528"/>
      <c r="E16" s="529" t="s">
        <v>602</v>
      </c>
      <c r="F16" s="542">
        <v>40</v>
      </c>
      <c r="G16" s="528"/>
      <c r="H16" s="543" t="s">
        <v>603</v>
      </c>
      <c r="I16" s="544" t="s">
        <v>364</v>
      </c>
      <c r="J16" s="528"/>
      <c r="K16" s="528"/>
      <c r="L16" s="529" t="s">
        <v>604</v>
      </c>
      <c r="M16" s="539" t="s">
        <v>605</v>
      </c>
      <c r="N16" s="505"/>
    </row>
    <row r="17" spans="1:14" ht="12.95" customHeight="1">
      <c r="A17" s="537"/>
      <c r="B17" s="529" t="s">
        <v>606</v>
      </c>
      <c r="C17" s="530"/>
      <c r="D17" s="528"/>
      <c r="E17" s="529"/>
      <c r="F17" s="540"/>
      <c r="G17" s="528"/>
      <c r="H17" s="529" t="s">
        <v>607</v>
      </c>
      <c r="I17" s="544" t="s">
        <v>175</v>
      </c>
      <c r="J17" s="528"/>
      <c r="K17" s="528"/>
      <c r="L17" s="529"/>
      <c r="M17" s="545"/>
      <c r="N17" s="505"/>
    </row>
    <row r="18" spans="1:14" ht="12.95" customHeight="1" thickBot="1">
      <c r="A18" s="546"/>
      <c r="B18" s="547" t="s">
        <v>608</v>
      </c>
      <c r="C18" s="548" t="s">
        <v>175</v>
      </c>
      <c r="D18" s="549"/>
      <c r="E18" s="547" t="s">
        <v>609</v>
      </c>
      <c r="F18" s="548" t="s">
        <v>175</v>
      </c>
      <c r="G18" s="550"/>
      <c r="H18" s="547" t="s">
        <v>610</v>
      </c>
      <c r="I18" s="548" t="s">
        <v>175</v>
      </c>
      <c r="J18" s="549"/>
      <c r="K18" s="549"/>
      <c r="L18" s="549"/>
      <c r="M18" s="551"/>
      <c r="N18" s="505"/>
    </row>
    <row r="19" spans="1:14" ht="16.5" thickBot="1">
      <c r="A19" s="505"/>
      <c r="B19" s="505"/>
      <c r="C19" s="505"/>
      <c r="D19" s="505"/>
      <c r="E19" s="505"/>
      <c r="F19" s="505"/>
      <c r="G19" s="505"/>
      <c r="H19" s="505"/>
      <c r="I19" s="505"/>
      <c r="J19" s="505"/>
      <c r="K19" s="505"/>
      <c r="L19" s="505"/>
      <c r="M19" s="505"/>
      <c r="N19" s="505"/>
    </row>
    <row r="20" spans="1:14" ht="20.100000000000001" customHeight="1" thickBot="1">
      <c r="A20" s="534"/>
      <c r="B20" s="535"/>
      <c r="C20" s="535"/>
      <c r="D20" s="535"/>
      <c r="E20" s="535"/>
      <c r="F20" s="535"/>
      <c r="G20" s="535"/>
      <c r="H20" s="535"/>
      <c r="I20" s="535"/>
      <c r="J20" s="535"/>
      <c r="K20" s="535"/>
      <c r="L20" s="535"/>
      <c r="M20" s="536"/>
    </row>
    <row r="21" spans="1:14" ht="15.95" customHeight="1" thickTop="1">
      <c r="A21" s="552" t="s">
        <v>611</v>
      </c>
      <c r="B21" s="553"/>
      <c r="C21" s="526"/>
      <c r="D21" s="554"/>
      <c r="E21" s="555" t="s">
        <v>612</v>
      </c>
      <c r="F21" s="556"/>
      <c r="G21" s="556"/>
      <c r="H21" s="557"/>
      <c r="I21" s="558" t="s">
        <v>613</v>
      </c>
      <c r="J21" s="556"/>
      <c r="K21" s="556"/>
      <c r="L21" s="526"/>
      <c r="M21" s="559"/>
    </row>
    <row r="22" spans="1:14" ht="15.95" customHeight="1">
      <c r="A22" s="560"/>
      <c r="B22" s="528"/>
      <c r="C22" s="529" t="s">
        <v>614</v>
      </c>
      <c r="D22" s="561">
        <v>368</v>
      </c>
      <c r="E22" s="529"/>
      <c r="G22" s="543" t="s">
        <v>615</v>
      </c>
      <c r="H22" s="562">
        <v>1335</v>
      </c>
      <c r="I22" s="529"/>
      <c r="J22" s="528"/>
      <c r="K22" s="529" t="s">
        <v>616</v>
      </c>
      <c r="L22" s="528"/>
      <c r="M22" s="545"/>
    </row>
    <row r="23" spans="1:14" ht="15.95" customHeight="1">
      <c r="A23" s="560"/>
      <c r="B23" s="529"/>
      <c r="C23" s="532"/>
      <c r="D23" s="563"/>
      <c r="E23" s="529"/>
      <c r="G23" s="529" t="s">
        <v>617</v>
      </c>
      <c r="H23" s="561">
        <v>150</v>
      </c>
      <c r="I23" s="528"/>
      <c r="J23" s="528"/>
      <c r="K23" s="529" t="s">
        <v>618</v>
      </c>
      <c r="L23" s="528"/>
      <c r="M23" s="545"/>
    </row>
    <row r="24" spans="1:14" ht="15.95" customHeight="1">
      <c r="A24" s="537"/>
      <c r="B24" s="529"/>
      <c r="C24" s="528"/>
      <c r="D24" s="563"/>
      <c r="E24" s="529"/>
      <c r="G24" s="543" t="s">
        <v>619</v>
      </c>
      <c r="H24" s="561">
        <v>280</v>
      </c>
      <c r="I24" s="528"/>
      <c r="J24" s="529"/>
      <c r="K24" s="528"/>
      <c r="L24" s="528"/>
      <c r="M24" s="545"/>
    </row>
    <row r="25" spans="1:14" ht="15.95" customHeight="1" thickBot="1">
      <c r="A25" s="546"/>
      <c r="B25" s="547"/>
      <c r="C25" s="549"/>
      <c r="D25" s="564"/>
      <c r="E25" s="547"/>
      <c r="F25" s="547"/>
      <c r="G25" s="547"/>
      <c r="H25" s="565"/>
      <c r="I25" s="549"/>
      <c r="J25" s="547"/>
      <c r="K25" s="549"/>
      <c r="L25" s="549"/>
      <c r="M25" s="551"/>
    </row>
    <row r="26" spans="1:14" ht="18.95" customHeight="1" thickBot="1">
      <c r="A26" s="524"/>
      <c r="B26" s="524"/>
      <c r="C26" s="524"/>
      <c r="D26" s="505"/>
      <c r="E26" s="505"/>
      <c r="F26" s="505"/>
      <c r="G26" s="505"/>
      <c r="H26" s="505"/>
      <c r="I26" s="505"/>
      <c r="J26" s="505"/>
      <c r="K26" s="505"/>
      <c r="L26" s="505"/>
      <c r="M26" s="505"/>
      <c r="N26" s="505"/>
    </row>
    <row r="27" spans="1:14" ht="20.100000000000001" customHeight="1" thickBot="1">
      <c r="A27" s="566"/>
      <c r="B27" s="567"/>
      <c r="C27" s="567"/>
      <c r="D27" s="567"/>
      <c r="E27" s="567"/>
      <c r="F27" s="567"/>
      <c r="G27" s="568"/>
      <c r="H27" s="567"/>
      <c r="I27" s="567"/>
      <c r="J27" s="567"/>
      <c r="K27" s="567"/>
      <c r="L27" s="567"/>
      <c r="M27" s="569"/>
    </row>
    <row r="28" spans="1:14" ht="15.95" customHeight="1" thickTop="1">
      <c r="A28" s="570" t="s">
        <v>620</v>
      </c>
      <c r="B28" s="553"/>
      <c r="C28" s="526"/>
      <c r="D28" s="526"/>
      <c r="E28" s="556"/>
      <c r="F28" s="556"/>
      <c r="G28" s="571"/>
      <c r="H28" s="555" t="s">
        <v>621</v>
      </c>
      <c r="I28" s="556"/>
      <c r="J28" s="556"/>
      <c r="K28" s="555"/>
      <c r="L28" s="556"/>
      <c r="M28" s="559"/>
    </row>
    <row r="29" spans="1:14" ht="15.95" customHeight="1">
      <c r="A29" s="537"/>
      <c r="B29" s="529"/>
      <c r="C29" s="529" t="s">
        <v>622</v>
      </c>
      <c r="D29" s="572">
        <v>93.2</v>
      </c>
      <c r="E29" s="529"/>
      <c r="F29" s="529"/>
      <c r="G29" s="571"/>
      <c r="H29" s="543"/>
      <c r="I29" s="529"/>
      <c r="J29" s="529" t="s">
        <v>622</v>
      </c>
      <c r="K29" s="572">
        <v>85.5</v>
      </c>
      <c r="L29" s="528"/>
      <c r="M29" s="545"/>
    </row>
    <row r="30" spans="1:14" ht="15.95" customHeight="1">
      <c r="A30" s="573"/>
      <c r="B30" s="528"/>
      <c r="C30" s="529" t="s">
        <v>623</v>
      </c>
      <c r="D30" s="572">
        <v>93.2</v>
      </c>
      <c r="E30" s="529"/>
      <c r="F30" s="529"/>
      <c r="G30" s="571"/>
      <c r="H30" s="529"/>
      <c r="I30" s="528"/>
      <c r="J30" s="529" t="s">
        <v>623</v>
      </c>
      <c r="K30" s="572">
        <v>81.599999999999994</v>
      </c>
      <c r="L30" s="528"/>
      <c r="M30" s="545"/>
    </row>
    <row r="31" spans="1:14" ht="15.95" customHeight="1">
      <c r="A31" s="537"/>
      <c r="B31" s="529"/>
      <c r="C31" s="529" t="s">
        <v>624</v>
      </c>
      <c r="D31" s="572">
        <v>92.5</v>
      </c>
      <c r="E31" s="529"/>
      <c r="F31" s="529"/>
      <c r="G31" s="571"/>
      <c r="H31" s="529"/>
      <c r="I31" s="528"/>
      <c r="J31" s="529" t="s">
        <v>624</v>
      </c>
      <c r="K31" s="572">
        <v>72.400000000000006</v>
      </c>
      <c r="L31" s="529"/>
      <c r="M31" s="545"/>
    </row>
    <row r="32" spans="1:14" ht="15.95" customHeight="1" thickBot="1">
      <c r="A32" s="546"/>
      <c r="B32" s="547"/>
      <c r="C32" s="549"/>
      <c r="D32" s="549"/>
      <c r="E32" s="547"/>
      <c r="F32" s="547"/>
      <c r="G32" s="574"/>
      <c r="H32" s="547"/>
      <c r="I32" s="549"/>
      <c r="J32" s="547"/>
      <c r="K32" s="549"/>
      <c r="L32" s="547"/>
      <c r="M32" s="551"/>
    </row>
    <row r="33" spans="1:14" ht="20.100000000000001" customHeight="1" thickBot="1">
      <c r="A33" s="575"/>
      <c r="B33" s="575"/>
      <c r="C33" s="575"/>
      <c r="D33" s="575"/>
      <c r="E33" s="575"/>
      <c r="F33" s="575"/>
      <c r="G33" s="575"/>
      <c r="H33" s="575"/>
      <c r="I33" s="575"/>
      <c r="J33" s="575"/>
      <c r="K33" s="575"/>
      <c r="L33" s="575"/>
      <c r="M33" s="575"/>
      <c r="N33" s="575"/>
    </row>
    <row r="34" spans="1:14" ht="20.100000000000001" customHeight="1" thickBot="1">
      <c r="A34" s="576"/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8"/>
    </row>
    <row r="35" spans="1:14" ht="15.95" customHeight="1" thickTop="1">
      <c r="A35" s="579" t="s">
        <v>625</v>
      </c>
      <c r="B35" s="532"/>
      <c r="C35" s="532"/>
      <c r="D35" s="532"/>
      <c r="E35" s="532"/>
      <c r="F35" s="532"/>
      <c r="G35" s="532"/>
      <c r="H35" s="532"/>
      <c r="I35" s="532"/>
      <c r="J35" s="532"/>
      <c r="K35" s="532"/>
      <c r="L35" s="532"/>
      <c r="M35" s="580"/>
    </row>
    <row r="36" spans="1:14" ht="15.95" customHeight="1">
      <c r="A36" s="573" t="s">
        <v>626</v>
      </c>
      <c r="B36" s="532"/>
      <c r="C36" s="532"/>
      <c r="D36" s="532"/>
      <c r="E36" s="532"/>
      <c r="F36" s="532"/>
      <c r="G36" s="532"/>
      <c r="H36" s="532"/>
      <c r="I36" s="532"/>
      <c r="J36" s="532"/>
      <c r="K36" s="532"/>
      <c r="L36" s="532"/>
      <c r="M36" s="580"/>
    </row>
    <row r="37" spans="1:14" ht="15.95" customHeight="1">
      <c r="A37" s="581" t="s">
        <v>627</v>
      </c>
      <c r="B37" s="532"/>
      <c r="C37" s="532"/>
      <c r="D37" s="532"/>
      <c r="E37" s="582"/>
      <c r="F37" s="532"/>
      <c r="G37" s="532"/>
      <c r="H37" s="532"/>
      <c r="I37" s="532"/>
      <c r="J37" s="532"/>
      <c r="K37" s="532"/>
      <c r="L37" s="532"/>
      <c r="M37" s="580"/>
    </row>
    <row r="38" spans="1:14" ht="15.95" customHeight="1">
      <c r="A38" s="583" t="s">
        <v>628</v>
      </c>
      <c r="B38" s="532"/>
      <c r="C38" s="532"/>
      <c r="D38" s="532"/>
      <c r="E38" s="532"/>
      <c r="F38" s="532"/>
      <c r="G38" s="532"/>
      <c r="H38" s="532"/>
      <c r="I38" s="532"/>
      <c r="J38" s="532"/>
      <c r="K38" s="532"/>
      <c r="L38" s="532"/>
      <c r="M38" s="580"/>
    </row>
    <row r="39" spans="1:14" ht="15.95" customHeight="1">
      <c r="A39" s="584" t="s">
        <v>629</v>
      </c>
      <c r="B39" s="532"/>
      <c r="C39" s="532"/>
      <c r="D39" s="532"/>
      <c r="E39" s="532"/>
      <c r="F39" s="532"/>
      <c r="G39" s="532"/>
      <c r="H39" s="532"/>
      <c r="I39" s="532"/>
      <c r="J39" s="532"/>
      <c r="K39" s="532"/>
      <c r="L39" s="532"/>
      <c r="M39" s="580"/>
    </row>
    <row r="40" spans="1:14" ht="15.95" customHeight="1" thickBot="1">
      <c r="A40" s="585" t="s">
        <v>630</v>
      </c>
      <c r="B40" s="586"/>
      <c r="C40" s="586"/>
      <c r="D40" s="586"/>
      <c r="E40" s="586"/>
      <c r="F40" s="586"/>
      <c r="G40" s="586"/>
      <c r="H40" s="586"/>
      <c r="I40" s="586"/>
      <c r="J40" s="586"/>
      <c r="K40" s="586"/>
      <c r="L40" s="586"/>
      <c r="M40" s="587"/>
    </row>
    <row r="41" spans="1:14" ht="15.95" customHeight="1"/>
    <row r="42" spans="1:14" ht="18">
      <c r="A42" s="588"/>
      <c r="B42" s="588"/>
      <c r="C42" s="588"/>
      <c r="D42" s="588"/>
      <c r="E42" s="588"/>
      <c r="F42" s="588"/>
      <c r="G42" s="588"/>
      <c r="H42" s="505"/>
      <c r="I42" s="505"/>
      <c r="J42" s="589" t="s">
        <v>631</v>
      </c>
      <c r="K42" s="590" t="s">
        <v>350</v>
      </c>
      <c r="L42" s="590"/>
      <c r="M42" s="590"/>
      <c r="N42" s="588"/>
    </row>
    <row r="43" spans="1:14" ht="7.5" customHeight="1">
      <c r="H43" s="505"/>
      <c r="I43" s="505"/>
      <c r="J43" s="505"/>
      <c r="K43" s="505"/>
      <c r="L43" s="505"/>
      <c r="M43" s="505"/>
    </row>
    <row r="44" spans="1:14" ht="16.5">
      <c r="H44" s="505"/>
      <c r="I44" s="505"/>
      <c r="J44" s="589" t="s">
        <v>632</v>
      </c>
      <c r="K44" s="591">
        <v>45797</v>
      </c>
      <c r="L44" s="591"/>
      <c r="M44" s="591"/>
    </row>
    <row r="59" spans="1:5">
      <c r="A59" s="506" t="s">
        <v>175</v>
      </c>
      <c r="B59" s="506" t="s">
        <v>633</v>
      </c>
      <c r="D59" s="506">
        <v>1</v>
      </c>
      <c r="E59" s="592" t="s">
        <v>175</v>
      </c>
    </row>
    <row r="60" spans="1:5">
      <c r="A60" s="506" t="s">
        <v>634</v>
      </c>
      <c r="B60" s="506" t="s">
        <v>635</v>
      </c>
      <c r="D60" s="506">
        <v>1.1499999999999999</v>
      </c>
      <c r="E60" s="592" t="s">
        <v>184</v>
      </c>
    </row>
    <row r="61" spans="1:5">
      <c r="A61" s="506" t="s">
        <v>636</v>
      </c>
      <c r="B61" s="506" t="s">
        <v>637</v>
      </c>
      <c r="E61" s="592" t="s">
        <v>638</v>
      </c>
    </row>
    <row r="62" spans="1:5">
      <c r="B62" s="506" t="s">
        <v>639</v>
      </c>
    </row>
    <row r="63" spans="1:5">
      <c r="B63" s="506" t="s">
        <v>640</v>
      </c>
    </row>
    <row r="64" spans="1:5">
      <c r="B64" s="506" t="s">
        <v>641</v>
      </c>
    </row>
    <row r="65" spans="2:2">
      <c r="B65" s="506" t="s">
        <v>642</v>
      </c>
    </row>
    <row r="66" spans="2:2">
      <c r="B66" s="506" t="s">
        <v>643</v>
      </c>
    </row>
    <row r="67" spans="2:2">
      <c r="B67" s="506" t="s">
        <v>644</v>
      </c>
    </row>
    <row r="68" spans="2:2">
      <c r="B68" s="506" t="s">
        <v>645</v>
      </c>
    </row>
    <row r="69" spans="2:2">
      <c r="B69" s="506" t="s">
        <v>646</v>
      </c>
    </row>
    <row r="70" spans="2:2">
      <c r="B70" s="506" t="s">
        <v>647</v>
      </c>
    </row>
    <row r="71" spans="2:2">
      <c r="B71" s="506" t="s">
        <v>648</v>
      </c>
    </row>
    <row r="72" spans="2:2">
      <c r="B72" s="506" t="s">
        <v>649</v>
      </c>
    </row>
    <row r="73" spans="2:2">
      <c r="B73" s="506" t="s">
        <v>650</v>
      </c>
    </row>
    <row r="74" spans="2:2">
      <c r="B74" s="506" t="s">
        <v>651</v>
      </c>
    </row>
    <row r="75" spans="2:2">
      <c r="B75" s="506" t="s">
        <v>652</v>
      </c>
    </row>
    <row r="76" spans="2:2">
      <c r="B76" s="506" t="s">
        <v>653</v>
      </c>
    </row>
    <row r="77" spans="2:2">
      <c r="B77" s="506" t="s">
        <v>654</v>
      </c>
    </row>
    <row r="78" spans="2:2">
      <c r="B78" s="506" t="s">
        <v>655</v>
      </c>
    </row>
    <row r="79" spans="2:2">
      <c r="B79" s="506" t="s">
        <v>656</v>
      </c>
    </row>
    <row r="80" spans="2:2">
      <c r="B80" s="506">
        <v>6312</v>
      </c>
    </row>
    <row r="81" spans="2:2">
      <c r="B81" s="506" t="s">
        <v>657</v>
      </c>
    </row>
    <row r="82" spans="2:2">
      <c r="B82" s="506" t="s">
        <v>658</v>
      </c>
    </row>
    <row r="83" spans="2:2">
      <c r="B83" s="506" t="s">
        <v>659</v>
      </c>
    </row>
    <row r="84" spans="2:2">
      <c r="B84" s="506" t="s">
        <v>660</v>
      </c>
    </row>
    <row r="85" spans="2:2">
      <c r="B85" s="506">
        <v>6313</v>
      </c>
    </row>
    <row r="86" spans="2:2">
      <c r="B86" s="506" t="s">
        <v>661</v>
      </c>
    </row>
    <row r="87" spans="2:2">
      <c r="B87" s="506" t="s">
        <v>662</v>
      </c>
    </row>
    <row r="88" spans="2:2">
      <c r="B88" s="506" t="s">
        <v>663</v>
      </c>
    </row>
    <row r="89" spans="2:2">
      <c r="B89" s="506">
        <v>6314</v>
      </c>
    </row>
    <row r="90" spans="2:2">
      <c r="B90" s="506" t="s">
        <v>664</v>
      </c>
    </row>
    <row r="91" spans="2:2">
      <c r="B91" s="506">
        <v>6317</v>
      </c>
    </row>
    <row r="92" spans="2:2">
      <c r="B92" s="506" t="s">
        <v>665</v>
      </c>
    </row>
    <row r="93" spans="2:2">
      <c r="B93" s="506">
        <v>6318</v>
      </c>
    </row>
    <row r="94" spans="2:2">
      <c r="B94" s="506" t="s">
        <v>666</v>
      </c>
    </row>
    <row r="95" spans="2:2">
      <c r="B95" s="506" t="s">
        <v>667</v>
      </c>
    </row>
    <row r="96" spans="2:2">
      <c r="B96" s="506" t="s">
        <v>668</v>
      </c>
    </row>
    <row r="97" spans="2:2">
      <c r="B97" s="506">
        <v>6320</v>
      </c>
    </row>
    <row r="98" spans="2:2">
      <c r="B98" s="506" t="s">
        <v>669</v>
      </c>
    </row>
    <row r="99" spans="2:2">
      <c r="B99" s="506" t="s">
        <v>670</v>
      </c>
    </row>
    <row r="100" spans="2:2">
      <c r="B100" s="506" t="s">
        <v>671</v>
      </c>
    </row>
    <row r="101" spans="2:2">
      <c r="B101" s="506" t="s">
        <v>672</v>
      </c>
    </row>
    <row r="102" spans="2:2">
      <c r="B102" s="506" t="s">
        <v>672</v>
      </c>
    </row>
    <row r="118" spans="2:2">
      <c r="B118" s="506" t="s">
        <v>673</v>
      </c>
    </row>
    <row r="120" spans="2:2">
      <c r="B120" s="506" t="s">
        <v>674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C49D-6093-452D-BE80-549DDA3841E4}">
  <sheetPr>
    <pageSetUpPr fitToPage="1"/>
  </sheetPr>
  <dimension ref="A1:F67"/>
  <sheetViews>
    <sheetView workbookViewId="0">
      <selection activeCell="A6" sqref="A6:F15"/>
    </sheetView>
  </sheetViews>
  <sheetFormatPr defaultRowHeight="12.75"/>
  <cols>
    <col min="1" max="6" width="16.7109375" style="409" customWidth="1"/>
    <col min="7" max="16384" width="9.140625" style="409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10" t="s">
        <v>267</v>
      </c>
      <c r="B2" s="411"/>
      <c r="C2" s="411"/>
      <c r="D2" s="411"/>
      <c r="E2" s="411"/>
      <c r="F2" s="412"/>
    </row>
    <row r="3" spans="1:6" ht="18.95" customHeight="1">
      <c r="A3" s="413" t="s">
        <v>375</v>
      </c>
      <c r="B3" s="411"/>
      <c r="C3" s="411"/>
      <c r="D3" s="411"/>
      <c r="E3" s="411"/>
      <c r="F3" s="412"/>
    </row>
    <row r="4" spans="1:6" ht="18.95" customHeight="1">
      <c r="A4" s="414"/>
      <c r="B4" s="415"/>
      <c r="C4" s="415"/>
      <c r="D4" s="415"/>
      <c r="E4" s="415"/>
      <c r="F4" s="416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376</v>
      </c>
      <c r="B6" s="418">
        <f>'Performance Data Sheet'!C17</f>
        <v>0</v>
      </c>
      <c r="C6" s="419"/>
      <c r="D6" s="420"/>
      <c r="E6" s="417" t="s">
        <v>377</v>
      </c>
      <c r="F6" s="421" t="str">
        <f>'Performance Data Sheet'!I14 &amp; " A"</f>
        <v>61 A</v>
      </c>
    </row>
    <row r="7" spans="1:6" ht="18.95" customHeight="1">
      <c r="A7" s="417" t="s">
        <v>378</v>
      </c>
      <c r="B7" s="421" t="str">
        <f>'Performance Data Sheet'!F14</f>
        <v>WP-II</v>
      </c>
      <c r="C7" s="417" t="s">
        <v>379</v>
      </c>
      <c r="D7" s="421" t="str">
        <f>'Performance Data Sheet'!F13 &amp; " V"</f>
        <v>4000 V</v>
      </c>
      <c r="E7" s="417" t="s">
        <v>380</v>
      </c>
      <c r="F7" s="421" t="str">
        <f>'Performance Data Sheet'!C14</f>
        <v>5012US</v>
      </c>
    </row>
    <row r="8" spans="1:6" ht="18.95" customHeight="1">
      <c r="A8" s="417" t="s">
        <v>381</v>
      </c>
      <c r="B8" s="421">
        <v>4</v>
      </c>
      <c r="C8" s="417" t="s">
        <v>382</v>
      </c>
      <c r="D8" s="421" t="s">
        <v>383</v>
      </c>
      <c r="E8" s="417" t="s">
        <v>384</v>
      </c>
      <c r="F8" s="421" t="s">
        <v>352</v>
      </c>
    </row>
    <row r="9" spans="1:6" ht="18.95" customHeight="1">
      <c r="A9" s="417" t="s">
        <v>385</v>
      </c>
      <c r="B9" s="421">
        <v>450</v>
      </c>
      <c r="C9" s="417" t="s">
        <v>386</v>
      </c>
      <c r="D9" s="421" t="s">
        <v>401</v>
      </c>
      <c r="E9" s="417" t="s">
        <v>2</v>
      </c>
      <c r="F9" s="422">
        <f>'Performance Data Sheet'!K44</f>
        <v>45797</v>
      </c>
    </row>
    <row r="10" spans="1:6" ht="18.95" customHeight="1">
      <c r="A10" s="417" t="s">
        <v>387</v>
      </c>
      <c r="B10" s="421">
        <v>1770</v>
      </c>
      <c r="C10" s="417" t="s">
        <v>388</v>
      </c>
      <c r="D10" s="421" t="s">
        <v>389</v>
      </c>
      <c r="E10" s="417" t="s">
        <v>1</v>
      </c>
      <c r="F10" s="421" t="s">
        <v>354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3" t="s">
        <v>390</v>
      </c>
      <c r="C12" s="424" t="str">
        <f>'Performance Data Sheet'!D22 &amp; " A"</f>
        <v>368 A</v>
      </c>
      <c r="D12" s="423" t="s">
        <v>391</v>
      </c>
      <c r="E12" s="424" t="s">
        <v>389</v>
      </c>
      <c r="F12" s="416"/>
    </row>
    <row r="13" spans="1:6" ht="18.95" customHeight="1">
      <c r="A13" s="414"/>
      <c r="B13" s="423" t="s">
        <v>392</v>
      </c>
      <c r="C13" s="425">
        <v>1.5</v>
      </c>
      <c r="D13" s="423" t="s">
        <v>393</v>
      </c>
      <c r="E13" s="424" t="s">
        <v>389</v>
      </c>
      <c r="F13" s="416"/>
    </row>
    <row r="14" spans="1:6" ht="18.95" customHeight="1">
      <c r="A14" s="414"/>
      <c r="B14" s="423" t="s">
        <v>394</v>
      </c>
      <c r="C14" s="425">
        <v>2.8</v>
      </c>
      <c r="D14" s="423" t="s">
        <v>395</v>
      </c>
      <c r="E14" s="424" t="s">
        <v>389</v>
      </c>
      <c r="F14" s="416"/>
    </row>
    <row r="15" spans="1:6" ht="18.95" customHeight="1">
      <c r="A15" s="414"/>
      <c r="B15" s="423" t="s">
        <v>396</v>
      </c>
      <c r="C15" s="424" t="s">
        <v>402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6" ht="18.95" customHeight="1">
      <c r="A17" s="414"/>
      <c r="B17" s="415"/>
      <c r="C17" s="415"/>
      <c r="D17" s="415"/>
      <c r="E17" s="415"/>
      <c r="F17" s="416"/>
    </row>
    <row r="18" spans="1:6" ht="18.95" customHeight="1">
      <c r="A18" s="414"/>
      <c r="B18" s="415"/>
      <c r="C18" s="415"/>
      <c r="D18" s="415"/>
      <c r="E18" s="415"/>
      <c r="F18" s="416"/>
    </row>
    <row r="19" spans="1:6" ht="18.95" customHeight="1">
      <c r="A19" s="414"/>
      <c r="B19" s="415"/>
      <c r="C19" s="415"/>
      <c r="D19" s="415"/>
      <c r="E19" s="415"/>
      <c r="F19" s="416"/>
    </row>
    <row r="20" spans="1:6" ht="18.95" customHeight="1">
      <c r="A20" s="414"/>
      <c r="B20" s="415"/>
      <c r="C20" s="415"/>
      <c r="D20" s="415"/>
      <c r="E20" s="415"/>
      <c r="F20" s="416"/>
    </row>
    <row r="21" spans="1:6" ht="18.95" customHeight="1">
      <c r="A21" s="414"/>
      <c r="B21" s="415"/>
      <c r="C21" s="415"/>
      <c r="D21" s="415"/>
      <c r="E21" s="415"/>
      <c r="F21" s="416"/>
    </row>
    <row r="22" spans="1:6" ht="18.95" customHeight="1">
      <c r="A22" s="414"/>
      <c r="B22" s="415"/>
      <c r="C22" s="415"/>
      <c r="D22" s="415"/>
      <c r="E22" s="415"/>
      <c r="F22" s="416"/>
    </row>
    <row r="23" spans="1:6" ht="18.95" customHeight="1">
      <c r="A23" s="414"/>
      <c r="B23" s="415"/>
      <c r="C23" s="415"/>
      <c r="D23" s="415"/>
      <c r="E23" s="415"/>
      <c r="F23" s="416"/>
    </row>
    <row r="24" spans="1:6" ht="18.95" customHeight="1">
      <c r="A24" s="414"/>
      <c r="B24" s="415"/>
      <c r="C24" s="415"/>
      <c r="D24" s="415"/>
      <c r="E24" s="415"/>
      <c r="F24" s="416"/>
    </row>
    <row r="25" spans="1:6" ht="18.95" customHeight="1">
      <c r="A25" s="414"/>
      <c r="B25" s="415"/>
      <c r="C25" s="415"/>
      <c r="D25" s="415"/>
      <c r="E25" s="415"/>
      <c r="F25" s="416"/>
    </row>
    <row r="26" spans="1:6" ht="18.95" customHeight="1">
      <c r="A26" s="414"/>
      <c r="B26" s="415"/>
      <c r="C26" s="415"/>
      <c r="D26" s="415"/>
      <c r="E26" s="415"/>
      <c r="F26" s="416"/>
    </row>
    <row r="27" spans="1:6" ht="18.95" customHeight="1">
      <c r="A27" s="414"/>
      <c r="B27" s="415"/>
      <c r="C27" s="415"/>
      <c r="D27" s="415"/>
      <c r="E27" s="415"/>
      <c r="F27" s="416"/>
    </row>
    <row r="28" spans="1:6" ht="18.95" customHeight="1">
      <c r="A28" s="414"/>
      <c r="B28" s="415"/>
      <c r="C28" s="415"/>
      <c r="D28" s="415"/>
      <c r="E28" s="415"/>
      <c r="F28" s="416"/>
    </row>
    <row r="29" spans="1:6" ht="18.95" customHeight="1">
      <c r="A29" s="414"/>
      <c r="B29" s="415"/>
      <c r="C29" s="415"/>
      <c r="D29" s="415"/>
      <c r="E29" s="415"/>
      <c r="F29" s="416"/>
    </row>
    <row r="30" spans="1:6" ht="18.95" customHeight="1">
      <c r="A30" s="414"/>
      <c r="B30" s="415"/>
      <c r="C30" s="415"/>
      <c r="D30" s="415"/>
      <c r="E30" s="415"/>
      <c r="F30" s="416"/>
    </row>
    <row r="31" spans="1:6" ht="18.95" customHeight="1">
      <c r="A31" s="414"/>
      <c r="B31" s="415"/>
      <c r="C31" s="415"/>
      <c r="D31" s="415"/>
      <c r="E31" s="415"/>
      <c r="F31" s="416"/>
    </row>
    <row r="32" spans="1:6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6" t="s">
        <v>397</v>
      </c>
      <c r="B39" s="427" t="s">
        <v>353</v>
      </c>
      <c r="C39" s="593">
        <f>'Performance Data Sheet'!C10</f>
        <v>0</v>
      </c>
      <c r="D39" s="415"/>
      <c r="E39" s="423" t="s">
        <v>398</v>
      </c>
      <c r="F39" s="428" t="str">
        <f>F10</f>
        <v>1T4450K REV1</v>
      </c>
    </row>
    <row r="40" spans="1:6" ht="18.95" customHeight="1">
      <c r="A40" s="414"/>
      <c r="B40" s="427" t="s">
        <v>680</v>
      </c>
      <c r="C40" s="427"/>
      <c r="D40" s="415"/>
      <c r="E40" s="415"/>
      <c r="F40" s="416"/>
    </row>
    <row r="41" spans="1:6" ht="18.95" customHeight="1">
      <c r="A41" s="414"/>
      <c r="B41" s="427"/>
      <c r="C41" s="427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9"/>
      <c r="B43" s="427"/>
      <c r="C43" s="430" t="s">
        <v>399</v>
      </c>
      <c r="D43" s="431" t="str">
        <f>'Performance Data Sheet'!K42</f>
        <v>Jerry R</v>
      </c>
      <c r="E43" s="430" t="s">
        <v>400</v>
      </c>
      <c r="F43" s="43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435">
        <v>100</v>
      </c>
      <c r="B54" s="405">
        <v>0</v>
      </c>
      <c r="C54" s="405">
        <v>0.34741073846817017</v>
      </c>
    </row>
    <row r="55" spans="1:3" ht="15" customHeight="1">
      <c r="A55" s="435">
        <v>99.600000027567148</v>
      </c>
      <c r="B55" s="405">
        <v>60.590668108440973</v>
      </c>
      <c r="C55" s="405">
        <v>70.554397583007813</v>
      </c>
    </row>
    <row r="56" spans="1:3" ht="15" customHeight="1">
      <c r="A56" s="435">
        <v>98.000000044703484</v>
      </c>
      <c r="B56" s="405">
        <v>229.88257134724446</v>
      </c>
      <c r="C56" s="405">
        <v>266.98489379882813</v>
      </c>
    </row>
    <row r="57" spans="1:3">
      <c r="A57" s="435">
        <v>96.000000089406967</v>
      </c>
      <c r="B57" s="405">
        <v>280</v>
      </c>
      <c r="C57" s="405">
        <v>411.84152221679688</v>
      </c>
    </row>
    <row r="58" spans="1:3">
      <c r="A58" s="435">
        <v>89.999999850988388</v>
      </c>
      <c r="B58" s="405">
        <v>185.59793451009489</v>
      </c>
      <c r="C58" s="405">
        <v>482.46722412109375</v>
      </c>
    </row>
    <row r="59" spans="1:3">
      <c r="A59" s="435">
        <v>84.000000357627869</v>
      </c>
      <c r="B59" s="405">
        <v>148.13774538302908</v>
      </c>
      <c r="C59" s="405">
        <v>519.28948974609375</v>
      </c>
    </row>
    <row r="60" spans="1:3">
      <c r="A60" s="435">
        <v>71.99999988079071</v>
      </c>
      <c r="B60" s="405">
        <v>117.66236131484995</v>
      </c>
      <c r="C60" s="405">
        <v>553.9833984375</v>
      </c>
    </row>
    <row r="61" spans="1:3">
      <c r="A61" s="435">
        <v>59.999999403953552</v>
      </c>
      <c r="B61" s="405">
        <v>105</v>
      </c>
      <c r="C61" s="405">
        <v>569.90985107421875</v>
      </c>
    </row>
    <row r="62" spans="1:3">
      <c r="A62" s="435">
        <v>50</v>
      </c>
      <c r="B62" s="405">
        <v>105.27216949768788</v>
      </c>
      <c r="C62" s="405">
        <v>579.31756591796875</v>
      </c>
    </row>
    <row r="63" spans="1:3">
      <c r="A63" s="435">
        <v>39.999997615814209</v>
      </c>
      <c r="B63" s="405">
        <v>106.77490376090489</v>
      </c>
      <c r="C63" s="405">
        <v>585.9466552734375</v>
      </c>
    </row>
    <row r="64" spans="1:3">
      <c r="A64" s="435">
        <v>30.000001192092896</v>
      </c>
      <c r="B64" s="405">
        <v>110.32032385772303</v>
      </c>
      <c r="C64" s="405">
        <v>591.2000732421875</v>
      </c>
    </row>
    <row r="65" spans="1:3">
      <c r="A65" s="435">
        <v>19.999998807907104</v>
      </c>
      <c r="B65" s="405">
        <v>117.19705160507721</v>
      </c>
      <c r="C65" s="405">
        <v>595.67755126953125</v>
      </c>
    </row>
    <row r="66" spans="1:3">
      <c r="A66" s="435">
        <v>10.000002384185791</v>
      </c>
      <c r="B66" s="405">
        <v>129.40433530840414</v>
      </c>
      <c r="C66" s="405">
        <v>599.658203125</v>
      </c>
    </row>
    <row r="67" spans="1:3">
      <c r="A67" s="436">
        <v>0</v>
      </c>
      <c r="B67" s="405">
        <v>150</v>
      </c>
      <c r="C67" s="405">
        <v>603.2786865234375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AEB3-12D4-441A-BC9E-13AA7080515D}">
  <sheetPr>
    <pageSetUpPr fitToPage="1"/>
  </sheetPr>
  <dimension ref="A1:I81"/>
  <sheetViews>
    <sheetView workbookViewId="0">
      <selection activeCell="A6" sqref="A6:F10"/>
    </sheetView>
  </sheetViews>
  <sheetFormatPr defaultRowHeight="12.75"/>
  <cols>
    <col min="1" max="6" width="16.7109375" style="409" customWidth="1"/>
    <col min="7" max="16384" width="9.140625" style="409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10" t="s">
        <v>267</v>
      </c>
      <c r="B2" s="411"/>
      <c r="C2" s="411"/>
      <c r="D2" s="411"/>
      <c r="E2" s="411"/>
      <c r="F2" s="412"/>
    </row>
    <row r="3" spans="1:6" ht="18.95" customHeight="1">
      <c r="A3" s="472" t="s">
        <v>563</v>
      </c>
      <c r="B3" s="473"/>
      <c r="C3" s="473"/>
      <c r="D3" s="473"/>
      <c r="E3" s="473"/>
      <c r="F3" s="474"/>
    </row>
    <row r="4" spans="1:6" ht="18.95" customHeight="1">
      <c r="A4" s="475" t="s">
        <v>564</v>
      </c>
      <c r="B4" s="476"/>
      <c r="C4" s="476"/>
      <c r="D4" s="476"/>
      <c r="E4" s="476"/>
      <c r="F4" s="477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376</v>
      </c>
      <c r="B6" s="418">
        <f>'Performance Data Sheet'!C17</f>
        <v>0</v>
      </c>
      <c r="C6" s="419"/>
      <c r="D6" s="420"/>
      <c r="E6" s="417" t="s">
        <v>377</v>
      </c>
      <c r="F6" s="421" t="str">
        <f>'Performance Data Sheet'!I14 &amp; " A"</f>
        <v>61 A</v>
      </c>
    </row>
    <row r="7" spans="1:6" ht="18.95" customHeight="1">
      <c r="A7" s="417" t="s">
        <v>378</v>
      </c>
      <c r="B7" s="421" t="str">
        <f>'Performance Data Sheet'!F14</f>
        <v>WP-II</v>
      </c>
      <c r="C7" s="417" t="s">
        <v>379</v>
      </c>
      <c r="D7" s="421" t="str">
        <f>'Performance Data Sheet'!F13 &amp; " V"</f>
        <v>4000 V</v>
      </c>
      <c r="E7" s="417" t="s">
        <v>380</v>
      </c>
      <c r="F7" s="421" t="str">
        <f>'Performance Data Sheet'!C14</f>
        <v>5012US</v>
      </c>
    </row>
    <row r="8" spans="1:6" ht="18.95" customHeight="1">
      <c r="A8" s="417" t="s">
        <v>381</v>
      </c>
      <c r="B8" s="421">
        <v>4</v>
      </c>
      <c r="C8" s="417" t="s">
        <v>382</v>
      </c>
      <c r="D8" s="421" t="s">
        <v>383</v>
      </c>
      <c r="E8" s="417" t="s">
        <v>384</v>
      </c>
      <c r="F8" s="421" t="s">
        <v>352</v>
      </c>
    </row>
    <row r="9" spans="1:6" ht="18.95" customHeight="1">
      <c r="A9" s="417" t="s">
        <v>385</v>
      </c>
      <c r="B9" s="421">
        <v>450</v>
      </c>
      <c r="C9" s="417" t="s">
        <v>386</v>
      </c>
      <c r="D9" s="421" t="s">
        <v>401</v>
      </c>
      <c r="E9" s="417" t="s">
        <v>2</v>
      </c>
      <c r="F9" s="422">
        <f>'Performance Data Sheet'!K44</f>
        <v>45797</v>
      </c>
    </row>
    <row r="10" spans="1:6" ht="18.95" customHeight="1">
      <c r="A10" s="417" t="s">
        <v>387</v>
      </c>
      <c r="B10" s="421">
        <v>1770</v>
      </c>
      <c r="C10" s="417" t="s">
        <v>388</v>
      </c>
      <c r="D10" s="421" t="s">
        <v>389</v>
      </c>
      <c r="E10" s="417" t="s">
        <v>1</v>
      </c>
      <c r="F10" s="421" t="s">
        <v>354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3"/>
      <c r="C12" s="424"/>
      <c r="D12" s="423"/>
      <c r="E12" s="424"/>
      <c r="F12" s="416"/>
    </row>
    <row r="13" spans="1:6" ht="18.95" customHeight="1">
      <c r="A13" s="414"/>
      <c r="B13" s="423"/>
      <c r="C13" s="425"/>
      <c r="D13" s="423"/>
      <c r="E13" s="424"/>
      <c r="F13" s="416"/>
    </row>
    <row r="14" spans="1:6" ht="18.95" customHeight="1">
      <c r="A14" s="414"/>
      <c r="B14" s="423"/>
      <c r="C14" s="425"/>
      <c r="D14" s="423"/>
      <c r="E14" s="424"/>
      <c r="F14" s="416"/>
    </row>
    <row r="15" spans="1:6" ht="18.95" customHeight="1">
      <c r="A15" s="414"/>
      <c r="B15" s="423"/>
      <c r="C15" s="424"/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6" ht="18.95" customHeight="1">
      <c r="A17" s="414"/>
      <c r="B17" s="415"/>
      <c r="C17" s="415"/>
      <c r="D17" s="415"/>
      <c r="E17" s="415"/>
      <c r="F17" s="416"/>
    </row>
    <row r="18" spans="1:6" ht="18.95" customHeight="1">
      <c r="A18" s="414"/>
      <c r="B18" s="415"/>
      <c r="C18" s="415"/>
      <c r="D18" s="415"/>
      <c r="E18" s="415"/>
      <c r="F18" s="416"/>
    </row>
    <row r="19" spans="1:6" ht="18.95" customHeight="1">
      <c r="A19" s="414"/>
      <c r="B19" s="415"/>
      <c r="C19" s="415"/>
      <c r="D19" s="415"/>
      <c r="E19" s="415"/>
      <c r="F19" s="416"/>
    </row>
    <row r="20" spans="1:6" ht="18.95" customHeight="1">
      <c r="A20" s="414"/>
      <c r="B20" s="415"/>
      <c r="C20" s="415"/>
      <c r="D20" s="415"/>
      <c r="E20" s="415"/>
      <c r="F20" s="416"/>
    </row>
    <row r="21" spans="1:6" ht="18.95" customHeight="1">
      <c r="A21" s="414"/>
      <c r="B21" s="415"/>
      <c r="C21" s="415"/>
      <c r="D21" s="415"/>
      <c r="E21" s="415"/>
      <c r="F21" s="416"/>
    </row>
    <row r="22" spans="1:6" ht="18.95" customHeight="1">
      <c r="A22" s="414"/>
      <c r="B22" s="415"/>
      <c r="C22" s="415"/>
      <c r="D22" s="415"/>
      <c r="E22" s="415"/>
      <c r="F22" s="416"/>
    </row>
    <row r="23" spans="1:6" ht="18.95" customHeight="1">
      <c r="A23" s="414"/>
      <c r="B23" s="415"/>
      <c r="C23" s="415"/>
      <c r="D23" s="415"/>
      <c r="E23" s="415"/>
      <c r="F23" s="416"/>
    </row>
    <row r="24" spans="1:6" ht="18.95" customHeight="1">
      <c r="A24" s="414"/>
      <c r="B24" s="415"/>
      <c r="C24" s="415"/>
      <c r="D24" s="415"/>
      <c r="E24" s="415"/>
      <c r="F24" s="416"/>
    </row>
    <row r="25" spans="1:6" ht="18.95" customHeight="1">
      <c r="A25" s="414"/>
      <c r="B25" s="415"/>
      <c r="C25" s="415"/>
      <c r="D25" s="415"/>
      <c r="E25" s="415"/>
      <c r="F25" s="416"/>
    </row>
    <row r="26" spans="1:6" ht="18.95" customHeight="1">
      <c r="A26" s="414"/>
      <c r="B26" s="415"/>
      <c r="C26" s="415"/>
      <c r="D26" s="415"/>
      <c r="E26" s="415"/>
      <c r="F26" s="416"/>
    </row>
    <row r="27" spans="1:6" ht="18.95" customHeight="1">
      <c r="A27" s="414"/>
      <c r="B27" s="415"/>
      <c r="C27" s="415"/>
      <c r="D27" s="415"/>
      <c r="E27" s="415"/>
      <c r="F27" s="416"/>
    </row>
    <row r="28" spans="1:6" ht="18.95" customHeight="1">
      <c r="A28" s="414"/>
      <c r="B28" s="415"/>
      <c r="C28" s="415"/>
      <c r="D28" s="415"/>
      <c r="E28" s="415"/>
      <c r="F28" s="416"/>
    </row>
    <row r="29" spans="1:6" ht="18.95" customHeight="1">
      <c r="A29" s="414"/>
      <c r="B29" s="415"/>
      <c r="C29" s="415"/>
      <c r="D29" s="415"/>
      <c r="E29" s="415"/>
      <c r="F29" s="416"/>
    </row>
    <row r="30" spans="1:6" ht="18.95" customHeight="1">
      <c r="A30" s="414"/>
      <c r="B30" s="415"/>
      <c r="C30" s="415"/>
      <c r="D30" s="415"/>
      <c r="E30" s="415"/>
      <c r="F30" s="416"/>
    </row>
    <row r="31" spans="1:6" ht="18.95" customHeight="1">
      <c r="A31" s="414"/>
      <c r="B31" s="415"/>
      <c r="C31" s="415"/>
      <c r="D31" s="415"/>
      <c r="E31" s="415"/>
      <c r="F31" s="416"/>
    </row>
    <row r="32" spans="1:6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6" t="s">
        <v>397</v>
      </c>
      <c r="B39" s="427" t="s">
        <v>353</v>
      </c>
      <c r="C39" s="593">
        <f>'Performance Data Sheet'!C10</f>
        <v>0</v>
      </c>
      <c r="D39" s="415"/>
      <c r="E39" s="423" t="s">
        <v>398</v>
      </c>
      <c r="F39" s="428" t="str">
        <f>F10</f>
        <v>1T4450K REV1</v>
      </c>
    </row>
    <row r="40" spans="1:6" ht="18.95" customHeight="1">
      <c r="A40" s="414"/>
      <c r="B40" s="427" t="s">
        <v>680</v>
      </c>
      <c r="C40" s="427"/>
      <c r="D40" s="415"/>
      <c r="E40" s="415"/>
      <c r="F40" s="416"/>
    </row>
    <row r="41" spans="1:6" ht="18.95" customHeight="1">
      <c r="A41" s="414"/>
      <c r="B41" s="427"/>
      <c r="C41" s="427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9"/>
      <c r="B43" s="427"/>
      <c r="C43" s="430" t="s">
        <v>399</v>
      </c>
      <c r="D43" s="431" t="str">
        <f>'Performance Data Sheet'!K42</f>
        <v>Jerry R</v>
      </c>
      <c r="E43" s="430" t="s">
        <v>400</v>
      </c>
      <c r="F43" s="43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78" t="e">
        <f>5252.1*B50/D53</f>
        <v>#DIV/0!</v>
      </c>
      <c r="G50" s="47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79"/>
    </row>
    <row r="63" spans="6:9">
      <c r="I63" s="409" t="s">
        <v>39</v>
      </c>
    </row>
    <row r="66" spans="1:6">
      <c r="D66" s="478" t="e">
        <f>D65/D64</f>
        <v>#DIV/0!</v>
      </c>
    </row>
    <row r="67" spans="1:6">
      <c r="A67" s="480" t="s">
        <v>373</v>
      </c>
      <c r="B67" s="480" t="s">
        <v>565</v>
      </c>
      <c r="C67" s="480" t="s">
        <v>566</v>
      </c>
      <c r="E67" s="480" t="s">
        <v>567</v>
      </c>
      <c r="F67" s="480" t="s">
        <v>568</v>
      </c>
    </row>
    <row r="68" spans="1:6">
      <c r="A68" s="481">
        <v>603.27868852459017</v>
      </c>
      <c r="B68" s="482">
        <v>14.368299756731307</v>
      </c>
      <c r="C68" s="482">
        <v>7.7404219763619562</v>
      </c>
      <c r="E68" s="481">
        <f>A68</f>
        <v>603.27868852459017</v>
      </c>
      <c r="F68" s="482">
        <v>1E-4</v>
      </c>
    </row>
    <row r="69" spans="1:6">
      <c r="A69" s="481">
        <f>FLOOR(A68,100)</f>
        <v>600</v>
      </c>
      <c r="B69" s="482">
        <f>((A68/A69)^2)*B68</f>
        <v>14.52575940051644</v>
      </c>
      <c r="C69" s="482">
        <f>((A68/A69)^2)*C68</f>
        <v>7.825247885326835</v>
      </c>
      <c r="E69" s="481">
        <v>601.47540983606552</v>
      </c>
      <c r="F69" s="482">
        <v>0.38100001215934753</v>
      </c>
    </row>
    <row r="70" spans="1:6">
      <c r="A70" s="481">
        <f>A69-100</f>
        <v>500</v>
      </c>
      <c r="B70" s="482">
        <f>((A68/A70)^2)*B68</f>
        <v>20.917093536743678</v>
      </c>
      <c r="C70" s="482">
        <f>((A68/A70)^2)*C68</f>
        <v>11.268356954870644</v>
      </c>
      <c r="E70" s="481">
        <v>597.70491803278685</v>
      </c>
      <c r="F70" s="482">
        <v>0.78000003099441528</v>
      </c>
    </row>
    <row r="71" spans="1:6">
      <c r="A71" s="481">
        <f>A70-100</f>
        <v>400</v>
      </c>
      <c r="B71" s="482">
        <f>((A68/A71)^2)*B68</f>
        <v>32.682958651161989</v>
      </c>
      <c r="C71" s="482">
        <f>((A68/A71)^2)*C68</f>
        <v>17.606807741985378</v>
      </c>
      <c r="E71" s="481">
        <v>593.44262295081967</v>
      </c>
      <c r="F71" s="482">
        <v>1.1980000734329224</v>
      </c>
    </row>
    <row r="72" spans="1:6">
      <c r="A72" s="481">
        <f>A71-100</f>
        <v>300</v>
      </c>
      <c r="B72" s="482">
        <f>((A68/A72)^2)*B68</f>
        <v>58.103037602065761</v>
      </c>
      <c r="C72" s="482"/>
      <c r="E72" s="481">
        <v>588.52459016393448</v>
      </c>
      <c r="F72" s="482">
        <v>1.6380001306533813</v>
      </c>
    </row>
    <row r="73" spans="1:6">
      <c r="A73" s="481">
        <f>A72-100</f>
        <v>200</v>
      </c>
      <c r="B73" s="482">
        <f>((A68/A73)^2)*B68</f>
        <v>130.73183460464796</v>
      </c>
      <c r="C73" s="482"/>
      <c r="E73" s="481">
        <v>582.62295081967216</v>
      </c>
      <c r="F73" s="482">
        <v>2.1080000400543213</v>
      </c>
    </row>
    <row r="74" spans="1:6">
      <c r="A74" s="481">
        <v>280</v>
      </c>
      <c r="B74" s="482">
        <f>((A68/A74)^2)*B68</f>
        <v>66.69991561461633</v>
      </c>
      <c r="C74" s="482">
        <f>((A68/A74)^2)*C68</f>
        <v>35.932260697929351</v>
      </c>
      <c r="E74" s="481">
        <v>574.59016393442619</v>
      </c>
      <c r="F74" s="482">
        <v>2.6210000514984131</v>
      </c>
    </row>
    <row r="75" spans="1:6">
      <c r="A75" s="483">
        <v>180</v>
      </c>
      <c r="B75" s="482">
        <f>((A68/A75)^2)*B69</f>
        <v>163.16605129508017</v>
      </c>
      <c r="C75" s="482">
        <f>((A68/A75)^2)*C68</f>
        <v>86.94719872585371</v>
      </c>
      <c r="E75" s="481">
        <v>561.96721311475414</v>
      </c>
      <c r="F75" s="482">
        <v>3.2740001678466797</v>
      </c>
    </row>
    <row r="76" spans="1:6">
      <c r="A76" s="483">
        <v>145</v>
      </c>
      <c r="B76" s="482">
        <f>((A68/A76)^2)*B68</f>
        <v>248.71692671514481</v>
      </c>
      <c r="C76" s="482">
        <f>((A68/A76)^2)*C68</f>
        <v>133.98759756088756</v>
      </c>
      <c r="E76" s="481">
        <v>536.55737704918033</v>
      </c>
      <c r="F76" s="482">
        <v>3.9020001888275146</v>
      </c>
    </row>
    <row r="77" spans="1:6">
      <c r="A77" s="483">
        <v>125</v>
      </c>
      <c r="B77" s="482"/>
      <c r="C77" s="481">
        <f>CEILING(C76*2,100)</f>
        <v>300</v>
      </c>
      <c r="E77" s="481">
        <v>500.81967213114751</v>
      </c>
      <c r="F77" s="482">
        <v>4.1690001487731934</v>
      </c>
    </row>
    <row r="78" spans="1:6">
      <c r="A78" s="483">
        <v>125</v>
      </c>
      <c r="B78" s="482"/>
      <c r="C78" s="481">
        <f>2*C77</f>
        <v>600</v>
      </c>
      <c r="E78" s="481">
        <v>447.21311475409834</v>
      </c>
      <c r="F78" s="482">
        <v>4.3470001220703125</v>
      </c>
    </row>
    <row r="79" spans="1:6">
      <c r="A79" s="483">
        <v>125</v>
      </c>
      <c r="B79" s="483"/>
      <c r="C79" s="483">
        <v>10000</v>
      </c>
      <c r="E79" s="481">
        <v>339.34426229508199</v>
      </c>
      <c r="F79" s="482">
        <v>4.4019999504089355</v>
      </c>
    </row>
    <row r="80" spans="1:6">
      <c r="E80" s="481">
        <v>0</v>
      </c>
      <c r="F80" s="482">
        <v>4.4470000267028809</v>
      </c>
    </row>
    <row r="81" spans="5:6">
      <c r="E81" s="481"/>
      <c r="F81" s="48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A358-4B89-4DFC-A372-AD6F2F5EF55E}">
  <sheetPr>
    <pageSetUpPr fitToPage="1"/>
  </sheetPr>
  <dimension ref="A1:H67"/>
  <sheetViews>
    <sheetView workbookViewId="0">
      <selection activeCell="H12" sqref="H12"/>
    </sheetView>
  </sheetViews>
  <sheetFormatPr defaultRowHeight="12.75"/>
  <cols>
    <col min="1" max="6" width="16.7109375" style="409" customWidth="1"/>
    <col min="7" max="16384" width="9.140625" style="409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10" t="s">
        <v>267</v>
      </c>
      <c r="B2" s="411"/>
      <c r="C2" s="411"/>
      <c r="D2" s="411"/>
      <c r="E2" s="411"/>
      <c r="F2" s="412"/>
    </row>
    <row r="3" spans="1:6" ht="18.95" customHeight="1">
      <c r="A3" s="413" t="s">
        <v>569</v>
      </c>
      <c r="B3" s="411"/>
      <c r="C3" s="411"/>
      <c r="D3" s="411"/>
      <c r="E3" s="411"/>
      <c r="F3" s="412"/>
    </row>
    <row r="4" spans="1:6" ht="18.95" customHeight="1">
      <c r="A4" s="475" t="s">
        <v>564</v>
      </c>
      <c r="B4" s="476"/>
      <c r="C4" s="476"/>
      <c r="D4" s="476"/>
      <c r="E4" s="476"/>
      <c r="F4" s="477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376</v>
      </c>
      <c r="B6" s="418">
        <f>'Performance Data Sheet'!C17</f>
        <v>0</v>
      </c>
      <c r="C6" s="419"/>
      <c r="D6" s="420"/>
      <c r="E6" s="417" t="s">
        <v>377</v>
      </c>
      <c r="F6" s="421" t="str">
        <f>'Performance Data Sheet'!I14 &amp; " A"</f>
        <v>61 A</v>
      </c>
    </row>
    <row r="7" spans="1:6" ht="18.95" customHeight="1">
      <c r="A7" s="417" t="s">
        <v>378</v>
      </c>
      <c r="B7" s="421" t="str">
        <f>'Performance Data Sheet'!F14</f>
        <v>WP-II</v>
      </c>
      <c r="C7" s="417" t="s">
        <v>379</v>
      </c>
      <c r="D7" s="421" t="str">
        <f>'Performance Data Sheet'!F13 &amp; " V"</f>
        <v>4000 V</v>
      </c>
      <c r="E7" s="417" t="s">
        <v>380</v>
      </c>
      <c r="F7" s="421" t="str">
        <f>'Performance Data Sheet'!C14</f>
        <v>5012US</v>
      </c>
    </row>
    <row r="8" spans="1:6" ht="18.95" customHeight="1">
      <c r="A8" s="417" t="s">
        <v>381</v>
      </c>
      <c r="B8" s="421">
        <v>4</v>
      </c>
      <c r="C8" s="417" t="s">
        <v>382</v>
      </c>
      <c r="D8" s="421" t="s">
        <v>383</v>
      </c>
      <c r="E8" s="417" t="s">
        <v>384</v>
      </c>
      <c r="F8" s="421" t="s">
        <v>352</v>
      </c>
    </row>
    <row r="9" spans="1:6" ht="18.95" customHeight="1">
      <c r="A9" s="417" t="s">
        <v>385</v>
      </c>
      <c r="B9" s="421">
        <v>450</v>
      </c>
      <c r="C9" s="417" t="s">
        <v>386</v>
      </c>
      <c r="D9" s="421" t="s">
        <v>401</v>
      </c>
      <c r="E9" s="417" t="s">
        <v>2</v>
      </c>
      <c r="F9" s="422">
        <f>'Performance Data Sheet'!K44</f>
        <v>45797</v>
      </c>
    </row>
    <row r="10" spans="1:6" ht="18.95" customHeight="1">
      <c r="A10" s="417" t="s">
        <v>387</v>
      </c>
      <c r="B10" s="421">
        <v>1770</v>
      </c>
      <c r="C10" s="417" t="s">
        <v>388</v>
      </c>
      <c r="D10" s="421" t="s">
        <v>389</v>
      </c>
      <c r="E10" s="417" t="s">
        <v>1</v>
      </c>
      <c r="F10" s="421" t="s">
        <v>354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3" t="s">
        <v>390</v>
      </c>
      <c r="C12" s="424" t="str">
        <f>'Performance Data Sheet'!D22 &amp; " A"</f>
        <v>368 A</v>
      </c>
      <c r="D12" s="423" t="s">
        <v>391</v>
      </c>
      <c r="E12" s="424" t="s">
        <v>389</v>
      </c>
      <c r="F12" s="416"/>
    </row>
    <row r="13" spans="1:6" ht="18.95" customHeight="1">
      <c r="A13" s="414"/>
      <c r="B13" s="423" t="s">
        <v>392</v>
      </c>
      <c r="C13" s="425">
        <v>1.5</v>
      </c>
      <c r="D13" s="423" t="s">
        <v>393</v>
      </c>
      <c r="E13" s="424" t="s">
        <v>389</v>
      </c>
      <c r="F13" s="416"/>
    </row>
    <row r="14" spans="1:6" ht="18.95" customHeight="1">
      <c r="A14" s="414"/>
      <c r="B14" s="423" t="s">
        <v>394</v>
      </c>
      <c r="C14" s="425">
        <v>2.8</v>
      </c>
      <c r="D14" s="423" t="s">
        <v>395</v>
      </c>
      <c r="E14" s="424" t="s">
        <v>389</v>
      </c>
      <c r="F14" s="416"/>
    </row>
    <row r="15" spans="1:6" ht="18.95" customHeight="1">
      <c r="A15" s="414"/>
      <c r="B15" s="423" t="s">
        <v>396</v>
      </c>
      <c r="C15" s="424" t="s">
        <v>402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8" ht="18.95" customHeight="1">
      <c r="A17" s="414"/>
      <c r="B17" s="415"/>
      <c r="C17" s="415"/>
      <c r="D17" s="415"/>
      <c r="E17" s="415"/>
      <c r="F17" s="416"/>
    </row>
    <row r="18" spans="1:8" ht="18.95" customHeight="1">
      <c r="A18" s="414"/>
      <c r="B18" s="415"/>
      <c r="C18" s="415"/>
      <c r="D18" s="415"/>
      <c r="E18" s="415"/>
      <c r="F18" s="416"/>
    </row>
    <row r="19" spans="1:8" ht="18.95" customHeight="1">
      <c r="A19" s="414"/>
      <c r="B19" s="415"/>
      <c r="C19" s="415"/>
      <c r="D19" s="415"/>
      <c r="E19" s="415"/>
      <c r="F19" s="416"/>
    </row>
    <row r="20" spans="1:8" ht="18.95" customHeight="1">
      <c r="A20" s="414"/>
      <c r="B20" s="415"/>
      <c r="C20" s="415"/>
      <c r="D20" s="415"/>
      <c r="E20" s="415"/>
      <c r="F20" s="416"/>
    </row>
    <row r="21" spans="1:8" ht="18.95" customHeight="1">
      <c r="A21" s="414"/>
      <c r="B21" s="415"/>
      <c r="C21" s="415"/>
      <c r="D21" s="415"/>
      <c r="E21" s="415"/>
      <c r="F21" s="416"/>
    </row>
    <row r="22" spans="1:8" ht="18.95" customHeight="1">
      <c r="A22" s="414"/>
      <c r="B22" s="415"/>
      <c r="C22" s="415"/>
      <c r="D22" s="415"/>
      <c r="E22" s="415"/>
      <c r="F22" s="416"/>
    </row>
    <row r="23" spans="1:8" ht="18.95" customHeight="1">
      <c r="A23" s="414"/>
      <c r="B23" s="415"/>
      <c r="C23" s="415"/>
      <c r="D23" s="415"/>
      <c r="E23" s="415"/>
      <c r="F23" s="416"/>
    </row>
    <row r="24" spans="1:8" ht="18.95" customHeight="1">
      <c r="A24" s="414"/>
      <c r="B24" s="415"/>
      <c r="C24" s="415"/>
      <c r="D24" s="415"/>
      <c r="E24" s="415"/>
      <c r="F24" s="416"/>
      <c r="H24" s="484"/>
    </row>
    <row r="25" spans="1:8" ht="18.95" customHeight="1">
      <c r="A25" s="414"/>
      <c r="B25" s="415"/>
      <c r="C25" s="415"/>
      <c r="D25" s="415"/>
      <c r="E25" s="415"/>
      <c r="F25" s="416"/>
    </row>
    <row r="26" spans="1:8" ht="18.95" customHeight="1">
      <c r="A26" s="414"/>
      <c r="B26" s="415"/>
      <c r="C26" s="415"/>
      <c r="D26" s="415"/>
      <c r="E26" s="415"/>
      <c r="F26" s="416"/>
    </row>
    <row r="27" spans="1:8" ht="18.95" customHeight="1">
      <c r="A27" s="414"/>
      <c r="B27" s="415"/>
      <c r="C27" s="415"/>
      <c r="D27" s="415"/>
      <c r="E27" s="415"/>
      <c r="F27" s="416"/>
    </row>
    <row r="28" spans="1:8" ht="18.95" customHeight="1">
      <c r="A28" s="414"/>
      <c r="B28" s="415"/>
      <c r="C28" s="415"/>
      <c r="D28" s="415"/>
      <c r="E28" s="415"/>
      <c r="F28" s="416"/>
    </row>
    <row r="29" spans="1:8" ht="18.95" customHeight="1">
      <c r="A29" s="414"/>
      <c r="B29" s="415"/>
      <c r="C29" s="415"/>
      <c r="D29" s="415"/>
      <c r="E29" s="415"/>
      <c r="F29" s="416"/>
    </row>
    <row r="30" spans="1:8" ht="18.95" customHeight="1">
      <c r="A30" s="414"/>
      <c r="B30" s="415"/>
      <c r="C30" s="415"/>
      <c r="D30" s="415"/>
      <c r="E30" s="415"/>
      <c r="F30" s="416"/>
    </row>
    <row r="31" spans="1:8" ht="18.95" customHeight="1">
      <c r="A31" s="414"/>
      <c r="B31" s="415"/>
      <c r="C31" s="415"/>
      <c r="D31" s="415"/>
      <c r="E31" s="415"/>
      <c r="F31" s="416"/>
    </row>
    <row r="32" spans="1:8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6" t="s">
        <v>397</v>
      </c>
      <c r="B39" s="427" t="s">
        <v>353</v>
      </c>
      <c r="C39" s="593">
        <f>'Performance Data Sheet'!C10</f>
        <v>0</v>
      </c>
      <c r="D39" s="415"/>
      <c r="E39" s="423" t="s">
        <v>398</v>
      </c>
      <c r="F39" s="428" t="str">
        <f>F10</f>
        <v>1T4450K REV1</v>
      </c>
    </row>
    <row r="40" spans="1:6" ht="18.95" customHeight="1">
      <c r="A40" s="414"/>
      <c r="B40" s="427" t="s">
        <v>680</v>
      </c>
      <c r="C40" s="427"/>
      <c r="D40" s="415"/>
      <c r="E40" s="415"/>
      <c r="F40" s="416"/>
    </row>
    <row r="41" spans="1:6" ht="18.95" customHeight="1">
      <c r="A41" s="414"/>
      <c r="B41" s="427"/>
      <c r="C41" s="427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9"/>
      <c r="B43" s="427"/>
      <c r="C43" s="430" t="s">
        <v>399</v>
      </c>
      <c r="D43" s="431" t="str">
        <f>'Performance Data Sheet'!K42</f>
        <v>Jerry R</v>
      </c>
      <c r="E43" s="430" t="s">
        <v>400</v>
      </c>
      <c r="F43" s="43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85" t="s">
        <v>403</v>
      </c>
      <c r="B53" s="485" t="s">
        <v>142</v>
      </c>
      <c r="C53" s="485" t="s">
        <v>120</v>
      </c>
      <c r="D53" s="485" t="s">
        <v>135</v>
      </c>
      <c r="E53" s="485" t="s">
        <v>5</v>
      </c>
      <c r="F53" s="486" t="s">
        <v>570</v>
      </c>
    </row>
    <row r="54" spans="1:6" ht="15" customHeight="1">
      <c r="A54" s="487">
        <v>0</v>
      </c>
      <c r="B54" s="488"/>
      <c r="C54" s="489"/>
      <c r="D54" s="489">
        <v>21.751523764974632</v>
      </c>
      <c r="E54" s="489">
        <v>100</v>
      </c>
      <c r="F54" s="490">
        <v>0.74011000000000016</v>
      </c>
    </row>
    <row r="55" spans="1:6" ht="15" customHeight="1">
      <c r="A55" s="491">
        <v>25</v>
      </c>
      <c r="B55" s="492">
        <v>89.512550354003906</v>
      </c>
      <c r="C55" s="493">
        <v>56.9329833984375</v>
      </c>
      <c r="D55" s="493">
        <v>23.855230331420898</v>
      </c>
      <c r="E55" s="493">
        <v>66.295522971706959</v>
      </c>
      <c r="F55" s="494">
        <v>9.4092596164053788</v>
      </c>
    </row>
    <row r="56" spans="1:6" ht="15" customHeight="1">
      <c r="A56" s="491">
        <v>50</v>
      </c>
      <c r="B56" s="492">
        <v>92.5185546875</v>
      </c>
      <c r="C56" s="493">
        <v>72.416572570800781</v>
      </c>
      <c r="D56" s="493">
        <v>36.290645599365234</v>
      </c>
      <c r="E56" s="493">
        <v>55.205841127404028</v>
      </c>
      <c r="F56" s="494">
        <v>18.207089956968936</v>
      </c>
    </row>
    <row r="57" spans="1:6">
      <c r="A57" s="491">
        <v>75</v>
      </c>
      <c r="B57" s="492">
        <v>93.205276489257813</v>
      </c>
      <c r="C57" s="493">
        <v>81.621055603027344</v>
      </c>
      <c r="D57" s="493">
        <v>47.941333770751953</v>
      </c>
      <c r="E57" s="493">
        <v>40.448620357165588</v>
      </c>
      <c r="F57" s="494">
        <v>27.109417088015977</v>
      </c>
    </row>
    <row r="58" spans="1:6">
      <c r="A58" s="491">
        <v>100</v>
      </c>
      <c r="B58" s="492">
        <v>93.202438354492188</v>
      </c>
      <c r="C58" s="493">
        <v>85.5372314453125</v>
      </c>
      <c r="D58" s="493">
        <v>60.997077941894531</v>
      </c>
      <c r="E58" s="493">
        <v>25.325667839675958</v>
      </c>
      <c r="F58" s="494">
        <v>36.146987345241811</v>
      </c>
    </row>
    <row r="59" spans="1:6" ht="13.5" thickBot="1">
      <c r="A59" s="495">
        <v>125</v>
      </c>
      <c r="B59" s="496">
        <v>92.905250549316406</v>
      </c>
      <c r="C59" s="497">
        <v>87.1669921875</v>
      </c>
      <c r="D59" s="497">
        <v>75.060104370117188</v>
      </c>
      <c r="E59" s="497">
        <v>9.8962972387756309</v>
      </c>
      <c r="F59" s="498">
        <v>45.328264586494875</v>
      </c>
    </row>
    <row r="60" spans="1:6">
      <c r="A60" s="432"/>
      <c r="B60" s="433"/>
      <c r="C60" s="433"/>
    </row>
    <row r="61" spans="1:6">
      <c r="A61" s="432"/>
      <c r="B61" s="433"/>
      <c r="C61" s="433"/>
    </row>
    <row r="62" spans="1:6">
      <c r="A62" s="432"/>
      <c r="B62" s="433"/>
      <c r="C62" s="433"/>
    </row>
    <row r="63" spans="1:6">
      <c r="A63" s="432"/>
      <c r="B63" s="433"/>
      <c r="C63" s="433"/>
    </row>
    <row r="64" spans="1:6">
      <c r="A64" s="432"/>
      <c r="B64" s="433"/>
      <c r="C64" s="433"/>
    </row>
    <row r="65" spans="1:3">
      <c r="A65" s="432"/>
      <c r="B65" s="433"/>
      <c r="C65" s="433"/>
    </row>
    <row r="66" spans="1:3">
      <c r="A66" s="432"/>
      <c r="B66" s="433"/>
      <c r="C66" s="433"/>
    </row>
    <row r="67" spans="1:3">
      <c r="A67" s="434"/>
      <c r="B67" s="433"/>
      <c r="C67" s="43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9EDA-DE5E-4DD8-8CBD-0E68E6B9D5D4}">
  <sheetPr>
    <pageSetUpPr fitToPage="1"/>
  </sheetPr>
  <dimension ref="A1:H67"/>
  <sheetViews>
    <sheetView workbookViewId="0">
      <selection activeCell="K23" sqref="K23"/>
    </sheetView>
  </sheetViews>
  <sheetFormatPr defaultRowHeight="12.75"/>
  <cols>
    <col min="1" max="6" width="16.7109375" style="409" customWidth="1"/>
    <col min="7" max="16384" width="9.140625" style="409"/>
  </cols>
  <sheetData>
    <row r="1" spans="1:6" ht="18.95" customHeight="1">
      <c r="A1" s="406"/>
      <c r="B1" s="407"/>
      <c r="C1" s="407"/>
      <c r="D1" s="407"/>
      <c r="E1" s="407"/>
      <c r="F1" s="408"/>
    </row>
    <row r="2" spans="1:6" ht="26.1" customHeight="1">
      <c r="A2" s="410" t="s">
        <v>267</v>
      </c>
      <c r="B2" s="411"/>
      <c r="C2" s="411"/>
      <c r="D2" s="411"/>
      <c r="E2" s="411"/>
      <c r="F2" s="412"/>
    </row>
    <row r="3" spans="1:6" ht="18.95" customHeight="1">
      <c r="A3" s="413" t="s">
        <v>569</v>
      </c>
      <c r="B3" s="411"/>
      <c r="C3" s="411"/>
      <c r="D3" s="411"/>
      <c r="E3" s="411"/>
      <c r="F3" s="412"/>
    </row>
    <row r="4" spans="1:6" ht="18.95" customHeight="1">
      <c r="A4" s="475" t="s">
        <v>564</v>
      </c>
      <c r="B4" s="476"/>
      <c r="C4" s="476"/>
      <c r="D4" s="476"/>
      <c r="E4" s="476"/>
      <c r="F4" s="477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376</v>
      </c>
      <c r="B6" s="418">
        <f>'Performance Data Sheet'!C17</f>
        <v>0</v>
      </c>
      <c r="C6" s="419"/>
      <c r="D6" s="420"/>
      <c r="E6" s="417" t="s">
        <v>377</v>
      </c>
      <c r="F6" s="421" t="s">
        <v>681</v>
      </c>
    </row>
    <row r="7" spans="1:6" ht="18.95" customHeight="1">
      <c r="A7" s="417" t="s">
        <v>378</v>
      </c>
      <c r="B7" s="421" t="str">
        <f>'Performance Data Sheet'!F14</f>
        <v>WP-II</v>
      </c>
      <c r="C7" s="417" t="s">
        <v>379</v>
      </c>
      <c r="D7" s="421" t="s">
        <v>682</v>
      </c>
      <c r="E7" s="417" t="s">
        <v>380</v>
      </c>
      <c r="F7" s="421" t="str">
        <f>'Performance Data Sheet'!C14</f>
        <v>5012US</v>
      </c>
    </row>
    <row r="8" spans="1:6" ht="18.95" customHeight="1">
      <c r="A8" s="417" t="s">
        <v>381</v>
      </c>
      <c r="B8" s="421">
        <v>4</v>
      </c>
      <c r="C8" s="417" t="s">
        <v>382</v>
      </c>
      <c r="D8" s="421" t="s">
        <v>383</v>
      </c>
      <c r="E8" s="417" t="s">
        <v>384</v>
      </c>
      <c r="F8" s="421" t="s">
        <v>352</v>
      </c>
    </row>
    <row r="9" spans="1:6" ht="18.95" customHeight="1">
      <c r="A9" s="417" t="s">
        <v>385</v>
      </c>
      <c r="B9" s="421">
        <v>450</v>
      </c>
      <c r="C9" s="417" t="s">
        <v>386</v>
      </c>
      <c r="D9" s="421" t="s">
        <v>401</v>
      </c>
      <c r="E9" s="417" t="s">
        <v>2</v>
      </c>
      <c r="F9" s="422">
        <f>'Performance Data Sheet'!K44</f>
        <v>45797</v>
      </c>
    </row>
    <row r="10" spans="1:6" ht="18.95" customHeight="1">
      <c r="A10" s="417" t="s">
        <v>387</v>
      </c>
      <c r="B10" s="421">
        <v>1770</v>
      </c>
      <c r="C10" s="417" t="s">
        <v>388</v>
      </c>
      <c r="D10" s="421" t="s">
        <v>389</v>
      </c>
      <c r="E10" s="417" t="s">
        <v>1</v>
      </c>
      <c r="F10" s="421" t="s">
        <v>354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3" t="s">
        <v>390</v>
      </c>
      <c r="C12" s="424" t="s">
        <v>683</v>
      </c>
      <c r="D12" s="423" t="s">
        <v>391</v>
      </c>
      <c r="E12" s="424" t="s">
        <v>389</v>
      </c>
      <c r="F12" s="416"/>
    </row>
    <row r="13" spans="1:6" ht="18.95" customHeight="1">
      <c r="A13" s="414"/>
      <c r="B13" s="423" t="s">
        <v>392</v>
      </c>
      <c r="C13" s="425">
        <v>1.5</v>
      </c>
      <c r="D13" s="423" t="s">
        <v>393</v>
      </c>
      <c r="E13" s="424" t="s">
        <v>389</v>
      </c>
      <c r="F13" s="416"/>
    </row>
    <row r="14" spans="1:6" ht="18.95" customHeight="1">
      <c r="A14" s="414"/>
      <c r="B14" s="423" t="s">
        <v>394</v>
      </c>
      <c r="C14" s="425">
        <v>2.8</v>
      </c>
      <c r="D14" s="423" t="s">
        <v>395</v>
      </c>
      <c r="E14" s="424" t="s">
        <v>389</v>
      </c>
      <c r="F14" s="416"/>
    </row>
    <row r="15" spans="1:6" ht="18.95" customHeight="1">
      <c r="A15" s="414"/>
      <c r="B15" s="423" t="s">
        <v>396</v>
      </c>
      <c r="C15" s="424" t="s">
        <v>402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8" ht="18.95" customHeight="1">
      <c r="A17" s="414"/>
      <c r="B17" s="415"/>
      <c r="C17" s="415"/>
      <c r="D17" s="415"/>
      <c r="E17" s="415"/>
      <c r="F17" s="416"/>
    </row>
    <row r="18" spans="1:8" ht="18.95" customHeight="1">
      <c r="A18" s="414"/>
      <c r="B18" s="415"/>
      <c r="C18" s="415"/>
      <c r="D18" s="415"/>
      <c r="E18" s="415"/>
      <c r="F18" s="416"/>
    </row>
    <row r="19" spans="1:8" ht="18.95" customHeight="1">
      <c r="A19" s="414"/>
      <c r="B19" s="415"/>
      <c r="C19" s="415"/>
      <c r="D19" s="415"/>
      <c r="E19" s="415"/>
      <c r="F19" s="416"/>
    </row>
    <row r="20" spans="1:8" ht="18.95" customHeight="1">
      <c r="A20" s="414"/>
      <c r="B20" s="415"/>
      <c r="C20" s="415"/>
      <c r="D20" s="415"/>
      <c r="E20" s="415"/>
      <c r="F20" s="416"/>
    </row>
    <row r="21" spans="1:8" ht="18.95" customHeight="1">
      <c r="A21" s="414"/>
      <c r="B21" s="415"/>
      <c r="C21" s="415"/>
      <c r="D21" s="415"/>
      <c r="E21" s="415"/>
      <c r="F21" s="416"/>
    </row>
    <row r="22" spans="1:8" ht="18.95" customHeight="1">
      <c r="A22" s="414"/>
      <c r="B22" s="415"/>
      <c r="C22" s="415"/>
      <c r="D22" s="415"/>
      <c r="E22" s="415"/>
      <c r="F22" s="416"/>
    </row>
    <row r="23" spans="1:8" ht="18.95" customHeight="1">
      <c r="A23" s="414"/>
      <c r="B23" s="415"/>
      <c r="C23" s="415"/>
      <c r="D23" s="415"/>
      <c r="E23" s="415"/>
      <c r="F23" s="416"/>
    </row>
    <row r="24" spans="1:8" ht="18.95" customHeight="1">
      <c r="A24" s="414"/>
      <c r="B24" s="415"/>
      <c r="C24" s="415"/>
      <c r="D24" s="415"/>
      <c r="E24" s="415"/>
      <c r="F24" s="416"/>
      <c r="H24" s="484"/>
    </row>
    <row r="25" spans="1:8" ht="18.95" customHeight="1">
      <c r="A25" s="414"/>
      <c r="B25" s="415"/>
      <c r="C25" s="415"/>
      <c r="D25" s="415"/>
      <c r="E25" s="415"/>
      <c r="F25" s="416"/>
    </row>
    <row r="26" spans="1:8" ht="18.95" customHeight="1">
      <c r="A26" s="414"/>
      <c r="B26" s="415"/>
      <c r="C26" s="415"/>
      <c r="D26" s="415"/>
      <c r="E26" s="415"/>
      <c r="F26" s="416"/>
    </row>
    <row r="27" spans="1:8" ht="18.95" customHeight="1">
      <c r="A27" s="414"/>
      <c r="B27" s="415"/>
      <c r="C27" s="415"/>
      <c r="D27" s="415"/>
      <c r="E27" s="415"/>
      <c r="F27" s="416"/>
    </row>
    <row r="28" spans="1:8" ht="18.95" customHeight="1">
      <c r="A28" s="414"/>
      <c r="B28" s="415"/>
      <c r="C28" s="415"/>
      <c r="D28" s="415"/>
      <c r="E28" s="415"/>
      <c r="F28" s="416"/>
    </row>
    <row r="29" spans="1:8" ht="18.95" customHeight="1">
      <c r="A29" s="414"/>
      <c r="B29" s="415"/>
      <c r="C29" s="415"/>
      <c r="D29" s="415"/>
      <c r="E29" s="415"/>
      <c r="F29" s="416"/>
    </row>
    <row r="30" spans="1:8" ht="18.95" customHeight="1">
      <c r="A30" s="414"/>
      <c r="B30" s="415"/>
      <c r="C30" s="415"/>
      <c r="D30" s="415"/>
      <c r="E30" s="415"/>
      <c r="F30" s="416"/>
    </row>
    <row r="31" spans="1:8" ht="18.95" customHeight="1">
      <c r="A31" s="414"/>
      <c r="B31" s="415"/>
      <c r="C31" s="415"/>
      <c r="D31" s="415"/>
      <c r="E31" s="415"/>
      <c r="F31" s="416"/>
    </row>
    <row r="32" spans="1:8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6" t="s">
        <v>397</v>
      </c>
      <c r="B39" s="427" t="s">
        <v>353</v>
      </c>
      <c r="C39" s="593">
        <f>'Performance Data Sheet'!C10</f>
        <v>0</v>
      </c>
      <c r="D39" s="415"/>
      <c r="E39" s="423" t="s">
        <v>398</v>
      </c>
      <c r="F39" s="428" t="str">
        <f>F10</f>
        <v>1T4450K REV1</v>
      </c>
    </row>
    <row r="40" spans="1:6" ht="18.95" customHeight="1">
      <c r="A40" s="414"/>
      <c r="B40" s="427" t="s">
        <v>680</v>
      </c>
      <c r="C40" s="427"/>
      <c r="D40" s="415"/>
      <c r="E40" s="415"/>
      <c r="F40" s="416"/>
    </row>
    <row r="41" spans="1:6" ht="18.95" customHeight="1">
      <c r="A41" s="414"/>
      <c r="B41" s="427"/>
      <c r="C41" s="427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9"/>
      <c r="B43" s="427"/>
      <c r="C43" s="430" t="s">
        <v>399</v>
      </c>
      <c r="D43" s="431" t="str">
        <f>'Performance Data Sheet'!K42</f>
        <v>Jerry R</v>
      </c>
      <c r="E43" s="430" t="s">
        <v>400</v>
      </c>
      <c r="F43" s="43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85" t="s">
        <v>403</v>
      </c>
      <c r="B53" s="485" t="s">
        <v>142</v>
      </c>
      <c r="C53" s="485" t="s">
        <v>120</v>
      </c>
      <c r="D53" s="485" t="s">
        <v>135</v>
      </c>
      <c r="E53" s="485" t="s">
        <v>5</v>
      </c>
      <c r="F53" s="486" t="s">
        <v>570</v>
      </c>
    </row>
    <row r="54" spans="1:6" ht="15" customHeight="1">
      <c r="A54" s="487">
        <v>0</v>
      </c>
      <c r="B54" s="488"/>
      <c r="C54" s="489"/>
      <c r="D54" s="489">
        <v>37.674744302977935</v>
      </c>
      <c r="E54" s="489">
        <v>100</v>
      </c>
      <c r="F54" s="490">
        <v>0.74011000000000016</v>
      </c>
    </row>
    <row r="55" spans="1:6" ht="15" customHeight="1">
      <c r="A55" s="491">
        <v>25</v>
      </c>
      <c r="B55" s="492">
        <v>89.512550354003906</v>
      </c>
      <c r="C55" s="493">
        <v>56.9329833984375</v>
      </c>
      <c r="D55" s="493">
        <v>41.318470960279143</v>
      </c>
      <c r="E55" s="493">
        <v>66.295522971706959</v>
      </c>
      <c r="F55" s="494">
        <v>9.4092596164053788</v>
      </c>
    </row>
    <row r="56" spans="1:6" ht="15" customHeight="1">
      <c r="A56" s="491">
        <v>50</v>
      </c>
      <c r="B56" s="492">
        <v>92.5185546875</v>
      </c>
      <c r="C56" s="493">
        <v>72.416572570800781</v>
      </c>
      <c r="D56" s="493">
        <v>62.857242017576475</v>
      </c>
      <c r="E56" s="493">
        <v>55.205841127404028</v>
      </c>
      <c r="F56" s="494">
        <v>18.207089956968936</v>
      </c>
    </row>
    <row r="57" spans="1:6">
      <c r="A57" s="491">
        <v>75</v>
      </c>
      <c r="B57" s="492">
        <v>93.205276489257813</v>
      </c>
      <c r="C57" s="493">
        <v>81.621055603027344</v>
      </c>
      <c r="D57" s="493">
        <v>83.036825873560005</v>
      </c>
      <c r="E57" s="493">
        <v>40.448620357165588</v>
      </c>
      <c r="F57" s="494">
        <v>27.109417088015977</v>
      </c>
    </row>
    <row r="58" spans="1:6">
      <c r="A58" s="491">
        <v>100</v>
      </c>
      <c r="B58" s="492">
        <v>93.202438354492188</v>
      </c>
      <c r="C58" s="493">
        <v>85.5372314453125</v>
      </c>
      <c r="D58" s="493">
        <v>106</v>
      </c>
      <c r="E58" s="493">
        <v>25.325667839675958</v>
      </c>
      <c r="F58" s="494">
        <v>36.146987345241811</v>
      </c>
    </row>
    <row r="59" spans="1:6" ht="13.5" thickBot="1">
      <c r="A59" s="495">
        <v>125</v>
      </c>
      <c r="B59" s="496">
        <v>92.905250549316406</v>
      </c>
      <c r="C59" s="497">
        <v>87.1669921875</v>
      </c>
      <c r="D59" s="497">
        <v>130.00791439046569</v>
      </c>
      <c r="E59" s="497">
        <v>9.8962972387756309</v>
      </c>
      <c r="F59" s="498">
        <v>45.328264586494875</v>
      </c>
    </row>
    <row r="60" spans="1:6">
      <c r="A60" s="432"/>
      <c r="B60" s="433"/>
      <c r="C60" s="433"/>
    </row>
    <row r="61" spans="1:6">
      <c r="A61" s="432"/>
      <c r="B61" s="433"/>
      <c r="C61" s="433"/>
    </row>
    <row r="62" spans="1:6">
      <c r="A62" s="432"/>
      <c r="B62" s="433"/>
      <c r="C62" s="433"/>
    </row>
    <row r="63" spans="1:6">
      <c r="A63" s="432"/>
      <c r="B63" s="433"/>
      <c r="C63" s="433"/>
    </row>
    <row r="64" spans="1:6">
      <c r="A64" s="432"/>
      <c r="B64" s="433"/>
      <c r="C64" s="433"/>
    </row>
    <row r="65" spans="1:3">
      <c r="A65" s="432"/>
      <c r="B65" s="433"/>
      <c r="C65" s="433"/>
    </row>
    <row r="66" spans="1:3">
      <c r="A66" s="432"/>
      <c r="B66" s="433"/>
      <c r="C66" s="433"/>
    </row>
    <row r="67" spans="1:3">
      <c r="A67" s="434"/>
      <c r="B67" s="433"/>
      <c r="C67" s="43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47F6-08CF-4034-B191-1D7E42D53125}">
  <sheetPr>
    <pageSetUpPr fitToPage="1"/>
  </sheetPr>
  <dimension ref="A1:L61"/>
  <sheetViews>
    <sheetView workbookViewId="0"/>
  </sheetViews>
  <sheetFormatPr defaultRowHeight="12.75"/>
  <cols>
    <col min="1" max="1" width="19.7109375" style="409" customWidth="1"/>
    <col min="2" max="7" width="10.7109375" style="409" customWidth="1"/>
    <col min="8" max="16384" width="9.140625" style="409"/>
  </cols>
  <sheetData>
    <row r="1" spans="1:12" ht="21" customHeight="1">
      <c r="A1" s="448" t="s">
        <v>409</v>
      </c>
      <c r="B1" s="449" t="s">
        <v>448</v>
      </c>
      <c r="C1" s="449"/>
      <c r="D1" s="449"/>
      <c r="E1" s="449"/>
      <c r="F1" s="449"/>
      <c r="G1" s="449"/>
    </row>
    <row r="2" spans="1:12" ht="15" customHeight="1"/>
    <row r="3" spans="1:12" ht="20.25">
      <c r="A3" s="450" t="s">
        <v>410</v>
      </c>
    </row>
    <row r="4" spans="1:12" ht="12" customHeight="1">
      <c r="A4" s="451"/>
      <c r="B4" s="451"/>
      <c r="C4" s="451"/>
      <c r="D4" s="451" t="s">
        <v>462</v>
      </c>
      <c r="E4" s="451"/>
      <c r="F4" s="451"/>
      <c r="G4" s="451"/>
      <c r="H4" s="451"/>
      <c r="I4" s="451"/>
      <c r="J4" s="451"/>
      <c r="K4" s="451"/>
      <c r="L4" s="451"/>
    </row>
    <row r="5" spans="1:12" ht="15.6" customHeight="1">
      <c r="A5" s="452" t="s">
        <v>5</v>
      </c>
      <c r="B5" s="452" t="s">
        <v>411</v>
      </c>
      <c r="C5" s="452" t="s">
        <v>412</v>
      </c>
      <c r="D5" s="452" t="s">
        <v>413</v>
      </c>
      <c r="E5" s="452" t="s">
        <v>414</v>
      </c>
      <c r="F5" s="452" t="s">
        <v>415</v>
      </c>
      <c r="G5" s="452" t="s">
        <v>416</v>
      </c>
      <c r="H5" s="451"/>
      <c r="I5" s="451"/>
      <c r="J5" s="451"/>
      <c r="K5" s="451"/>
      <c r="L5" s="451"/>
    </row>
    <row r="6" spans="1:12" ht="15.6" customHeight="1">
      <c r="A6" s="453" t="s">
        <v>417</v>
      </c>
      <c r="B6" s="453" t="s">
        <v>166</v>
      </c>
      <c r="C6" s="453" t="s">
        <v>166</v>
      </c>
      <c r="D6" s="453" t="s">
        <v>418</v>
      </c>
      <c r="E6" s="453" t="s">
        <v>135</v>
      </c>
      <c r="F6" s="453" t="s">
        <v>419</v>
      </c>
      <c r="G6" s="453" t="s">
        <v>419</v>
      </c>
      <c r="H6" s="451"/>
      <c r="I6" s="451"/>
      <c r="J6" s="451"/>
      <c r="K6" s="451"/>
      <c r="L6" s="451"/>
    </row>
    <row r="7" spans="1:12" ht="15.95" customHeight="1">
      <c r="A7" s="454" t="s">
        <v>449</v>
      </c>
      <c r="B7" s="454" t="s">
        <v>463</v>
      </c>
      <c r="C7" s="454" t="s">
        <v>475</v>
      </c>
      <c r="D7" s="454" t="s">
        <v>486</v>
      </c>
      <c r="E7" s="454" t="s">
        <v>498</v>
      </c>
      <c r="F7" s="454" t="s">
        <v>510</v>
      </c>
      <c r="G7" s="454" t="s">
        <v>522</v>
      </c>
      <c r="H7" s="451"/>
      <c r="I7" s="451"/>
      <c r="J7" s="451"/>
      <c r="K7" s="451"/>
      <c r="L7" s="451"/>
    </row>
    <row r="8" spans="1:12" ht="15.95" customHeight="1">
      <c r="A8" s="454" t="s">
        <v>450</v>
      </c>
      <c r="B8" s="454" t="s">
        <v>464</v>
      </c>
      <c r="C8" s="454" t="s">
        <v>476</v>
      </c>
      <c r="D8" s="454" t="s">
        <v>487</v>
      </c>
      <c r="E8" s="454" t="s">
        <v>499</v>
      </c>
      <c r="F8" s="454" t="s">
        <v>511</v>
      </c>
      <c r="G8" s="454" t="s">
        <v>523</v>
      </c>
      <c r="H8" s="451"/>
      <c r="I8" s="451"/>
      <c r="J8" s="451"/>
      <c r="K8" s="451"/>
      <c r="L8" s="451"/>
    </row>
    <row r="9" spans="1:12" ht="15.95" customHeight="1">
      <c r="A9" s="454" t="s">
        <v>451</v>
      </c>
      <c r="B9" s="454" t="s">
        <v>465</v>
      </c>
      <c r="C9" s="454" t="s">
        <v>477</v>
      </c>
      <c r="D9" s="454" t="s">
        <v>488</v>
      </c>
      <c r="E9" s="454" t="s">
        <v>500</v>
      </c>
      <c r="F9" s="454" t="s">
        <v>512</v>
      </c>
      <c r="G9" s="454" t="s">
        <v>524</v>
      </c>
      <c r="H9" s="451"/>
      <c r="I9" s="451"/>
      <c r="J9" s="451"/>
      <c r="K9" s="451"/>
      <c r="L9" s="451"/>
    </row>
    <row r="10" spans="1:12" ht="15.95" customHeight="1">
      <c r="A10" s="454" t="s">
        <v>452</v>
      </c>
      <c r="B10" s="454" t="s">
        <v>466</v>
      </c>
      <c r="C10" s="454" t="s">
        <v>477</v>
      </c>
      <c r="D10" s="454" t="s">
        <v>489</v>
      </c>
      <c r="E10" s="454" t="s">
        <v>501</v>
      </c>
      <c r="F10" s="454" t="s">
        <v>513</v>
      </c>
      <c r="G10" s="454" t="s">
        <v>525</v>
      </c>
      <c r="H10" s="451"/>
      <c r="I10" s="451"/>
      <c r="J10" s="451"/>
      <c r="K10" s="451"/>
      <c r="L10" s="451"/>
    </row>
    <row r="11" spans="1:12" ht="15.95" customHeight="1">
      <c r="A11" s="454" t="s">
        <v>453</v>
      </c>
      <c r="B11" s="454" t="s">
        <v>467</v>
      </c>
      <c r="C11" s="454" t="s">
        <v>478</v>
      </c>
      <c r="D11" s="454" t="s">
        <v>490</v>
      </c>
      <c r="E11" s="454" t="s">
        <v>502</v>
      </c>
      <c r="F11" s="454" t="s">
        <v>514</v>
      </c>
      <c r="G11" s="454" t="s">
        <v>526</v>
      </c>
      <c r="H11" s="451"/>
      <c r="I11" s="451"/>
      <c r="J11" s="451"/>
      <c r="K11" s="451"/>
      <c r="L11" s="451"/>
    </row>
    <row r="12" spans="1:12" ht="15.95" customHeight="1">
      <c r="A12" s="454" t="s">
        <v>454</v>
      </c>
      <c r="B12" s="454" t="s">
        <v>468</v>
      </c>
      <c r="C12" s="454" t="s">
        <v>479</v>
      </c>
      <c r="D12" s="454" t="s">
        <v>491</v>
      </c>
      <c r="E12" s="454" t="s">
        <v>503</v>
      </c>
      <c r="F12" s="454" t="s">
        <v>515</v>
      </c>
      <c r="G12" s="454" t="s">
        <v>527</v>
      </c>
      <c r="H12" s="451"/>
      <c r="I12" s="451"/>
      <c r="J12" s="451"/>
      <c r="K12" s="451"/>
      <c r="L12" s="451"/>
    </row>
    <row r="13" spans="1:12" ht="15.95" customHeight="1">
      <c r="A13" s="454" t="s">
        <v>455</v>
      </c>
      <c r="B13" s="454" t="s">
        <v>469</v>
      </c>
      <c r="C13" s="454" t="s">
        <v>480</v>
      </c>
      <c r="D13" s="454" t="s">
        <v>492</v>
      </c>
      <c r="E13" s="454" t="s">
        <v>504</v>
      </c>
      <c r="F13" s="454" t="s">
        <v>516</v>
      </c>
      <c r="G13" s="454" t="s">
        <v>528</v>
      </c>
      <c r="H13" s="451"/>
      <c r="I13" s="451"/>
      <c r="J13" s="451"/>
      <c r="K13" s="451"/>
      <c r="L13" s="451"/>
    </row>
    <row r="14" spans="1:12" ht="15.95" customHeight="1">
      <c r="A14" s="454" t="s">
        <v>456</v>
      </c>
      <c r="B14" s="454" t="s">
        <v>470</v>
      </c>
      <c r="C14" s="454" t="s">
        <v>481</v>
      </c>
      <c r="D14" s="454" t="s">
        <v>493</v>
      </c>
      <c r="E14" s="454" t="s">
        <v>505</v>
      </c>
      <c r="F14" s="454" t="s">
        <v>517</v>
      </c>
      <c r="G14" s="454" t="s">
        <v>529</v>
      </c>
      <c r="H14" s="451"/>
      <c r="I14" s="451"/>
      <c r="J14" s="451"/>
      <c r="K14" s="451"/>
      <c r="L14" s="451"/>
    </row>
    <row r="15" spans="1:12" ht="15.95" customHeight="1">
      <c r="A15" s="454" t="s">
        <v>457</v>
      </c>
      <c r="B15" s="454" t="s">
        <v>471</v>
      </c>
      <c r="C15" s="454" t="s">
        <v>482</v>
      </c>
      <c r="D15" s="454" t="s">
        <v>494</v>
      </c>
      <c r="E15" s="454" t="s">
        <v>506</v>
      </c>
      <c r="F15" s="454" t="s">
        <v>518</v>
      </c>
      <c r="G15" s="454" t="s">
        <v>530</v>
      </c>
      <c r="H15" s="451"/>
      <c r="I15" s="451"/>
      <c r="J15" s="451"/>
      <c r="K15" s="451"/>
      <c r="L15" s="451"/>
    </row>
    <row r="16" spans="1:12" ht="15.95" customHeight="1">
      <c r="A16" s="454" t="s">
        <v>458</v>
      </c>
      <c r="B16" s="454" t="s">
        <v>472</v>
      </c>
      <c r="C16" s="454" t="s">
        <v>483</v>
      </c>
      <c r="D16" s="454" t="s">
        <v>495</v>
      </c>
      <c r="E16" s="454" t="s">
        <v>507</v>
      </c>
      <c r="F16" s="454" t="s">
        <v>519</v>
      </c>
      <c r="G16" s="454" t="s">
        <v>531</v>
      </c>
      <c r="H16" s="451"/>
      <c r="I16" s="451"/>
      <c r="J16" s="451"/>
      <c r="K16" s="451"/>
      <c r="L16" s="451"/>
    </row>
    <row r="17" spans="1:12" ht="15.95" customHeight="1">
      <c r="A17" s="454" t="s">
        <v>459</v>
      </c>
      <c r="B17" s="454" t="s">
        <v>473</v>
      </c>
      <c r="C17" s="454" t="s">
        <v>484</v>
      </c>
      <c r="D17" s="454" t="s">
        <v>496</v>
      </c>
      <c r="E17" s="454" t="s">
        <v>508</v>
      </c>
      <c r="F17" s="454" t="s">
        <v>520</v>
      </c>
      <c r="G17" s="454" t="s">
        <v>532</v>
      </c>
      <c r="H17" s="451"/>
      <c r="I17" s="451"/>
      <c r="J17" s="451"/>
      <c r="K17" s="451"/>
      <c r="L17" s="451"/>
    </row>
    <row r="18" spans="1:12" ht="15.95" customHeight="1">
      <c r="A18" s="454" t="s">
        <v>460</v>
      </c>
      <c r="B18" s="454" t="s">
        <v>474</v>
      </c>
      <c r="C18" s="454" t="s">
        <v>485</v>
      </c>
      <c r="D18" s="454" t="s">
        <v>497</v>
      </c>
      <c r="E18" s="454" t="s">
        <v>509</v>
      </c>
      <c r="F18" s="454" t="s">
        <v>521</v>
      </c>
      <c r="G18" s="454" t="s">
        <v>533</v>
      </c>
      <c r="H18" s="451"/>
      <c r="I18" s="451"/>
      <c r="J18" s="451"/>
      <c r="K18" s="451"/>
      <c r="L18" s="451"/>
    </row>
    <row r="19" spans="1:12" ht="15.95" customHeight="1">
      <c r="A19" s="471" t="s">
        <v>461</v>
      </c>
      <c r="B19" s="471" t="s">
        <v>461</v>
      </c>
      <c r="C19" s="471" t="s">
        <v>461</v>
      </c>
      <c r="D19" s="471" t="s">
        <v>461</v>
      </c>
      <c r="E19" s="471" t="s">
        <v>461</v>
      </c>
      <c r="F19" s="471" t="s">
        <v>461</v>
      </c>
      <c r="G19" s="471" t="s">
        <v>461</v>
      </c>
      <c r="H19" s="451"/>
      <c r="I19" s="451"/>
      <c r="J19" s="451"/>
      <c r="K19" s="451"/>
      <c r="L19" s="451"/>
    </row>
    <row r="20" spans="1:12" ht="15.75">
      <c r="A20" s="451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</row>
    <row r="21" spans="1:12" ht="15.75">
      <c r="A21" s="451"/>
      <c r="B21" s="451"/>
      <c r="C21" s="451"/>
      <c r="D21" s="455" t="s">
        <v>543</v>
      </c>
      <c r="E21" s="456"/>
      <c r="F21" s="456"/>
      <c r="G21" s="457"/>
      <c r="H21" s="451"/>
      <c r="I21" s="451"/>
      <c r="J21" s="451"/>
      <c r="K21" s="451"/>
      <c r="L21" s="451"/>
    </row>
    <row r="22" spans="1:12" ht="17.25" customHeight="1">
      <c r="A22" s="451"/>
      <c r="B22" s="458" t="s">
        <v>420</v>
      </c>
      <c r="C22" s="458"/>
      <c r="D22" s="458" t="s">
        <v>421</v>
      </c>
      <c r="E22" s="458"/>
      <c r="F22" s="458" t="s">
        <v>422</v>
      </c>
      <c r="G22" s="458"/>
      <c r="H22" s="451"/>
      <c r="I22" s="451"/>
      <c r="J22" s="451"/>
      <c r="K22" s="451"/>
      <c r="L22" s="451"/>
    </row>
    <row r="23" spans="1:12" ht="15.75">
      <c r="A23" s="459" t="s">
        <v>423</v>
      </c>
      <c r="B23" s="460" t="s">
        <v>534</v>
      </c>
      <c r="C23" s="460"/>
      <c r="D23" s="460" t="s">
        <v>537</v>
      </c>
      <c r="E23" s="460"/>
      <c r="F23" s="460" t="s">
        <v>540</v>
      </c>
      <c r="G23" s="460"/>
      <c r="H23" s="451"/>
      <c r="I23" s="451"/>
      <c r="J23" s="451"/>
      <c r="K23" s="451"/>
      <c r="L23" s="451"/>
    </row>
    <row r="24" spans="1:12" ht="18" customHeight="1">
      <c r="A24" s="459" t="s">
        <v>424</v>
      </c>
      <c r="B24" s="460" t="s">
        <v>535</v>
      </c>
      <c r="C24" s="460"/>
      <c r="D24" s="460" t="s">
        <v>538</v>
      </c>
      <c r="E24" s="460"/>
      <c r="F24" s="460" t="s">
        <v>541</v>
      </c>
      <c r="G24" s="460"/>
      <c r="H24" s="451"/>
      <c r="I24" s="451"/>
      <c r="J24" s="451"/>
      <c r="K24" s="451"/>
      <c r="L24" s="451"/>
    </row>
    <row r="25" spans="1:12" ht="15.75">
      <c r="A25" s="459" t="s">
        <v>425</v>
      </c>
      <c r="B25" s="460" t="s">
        <v>536</v>
      </c>
      <c r="C25" s="460"/>
      <c r="D25" s="460" t="s">
        <v>539</v>
      </c>
      <c r="E25" s="460"/>
      <c r="F25" s="460" t="s">
        <v>542</v>
      </c>
      <c r="G25" s="460"/>
      <c r="H25" s="451"/>
      <c r="I25" s="451"/>
      <c r="J25" s="451"/>
      <c r="K25" s="451"/>
      <c r="L25" s="451"/>
    </row>
    <row r="26" spans="1:12" ht="15.75">
      <c r="A26" s="451"/>
      <c r="B26" s="451"/>
      <c r="C26" s="451"/>
      <c r="D26" s="451"/>
      <c r="E26" s="451"/>
      <c r="F26" s="451"/>
      <c r="G26" s="451"/>
      <c r="H26" s="451"/>
      <c r="I26" s="451"/>
      <c r="J26" s="451"/>
      <c r="K26" s="451"/>
      <c r="L26" s="451"/>
    </row>
    <row r="27" spans="1:12" ht="20.25">
      <c r="A27" s="450" t="s">
        <v>426</v>
      </c>
      <c r="B27" s="451"/>
      <c r="C27" s="451"/>
      <c r="D27" s="451"/>
      <c r="E27" s="451"/>
      <c r="F27" s="451"/>
      <c r="G27" s="451"/>
      <c r="H27" s="451"/>
      <c r="I27" s="451"/>
      <c r="J27" s="451"/>
      <c r="K27" s="451"/>
      <c r="L27" s="451"/>
    </row>
    <row r="28" spans="1:12" ht="15.75">
      <c r="A28" s="451"/>
      <c r="B28" s="451"/>
      <c r="C28" s="451"/>
      <c r="D28" s="451"/>
      <c r="E28" s="461" t="s">
        <v>427</v>
      </c>
      <c r="F28" s="456"/>
      <c r="G28" s="457"/>
      <c r="H28" s="451"/>
      <c r="I28" s="451"/>
      <c r="J28" s="451"/>
      <c r="K28" s="451"/>
      <c r="L28" s="451"/>
    </row>
    <row r="29" spans="1:12" ht="15.75">
      <c r="A29" s="451"/>
      <c r="B29" s="458" t="s">
        <v>428</v>
      </c>
      <c r="C29" s="458"/>
      <c r="D29" s="462" t="s">
        <v>429</v>
      </c>
      <c r="E29" s="462" t="s">
        <v>430</v>
      </c>
      <c r="F29" s="458" t="s">
        <v>431</v>
      </c>
      <c r="G29" s="458"/>
      <c r="H29" s="451"/>
      <c r="I29" s="451"/>
      <c r="J29" s="451"/>
      <c r="K29" s="451"/>
      <c r="L29" s="451"/>
    </row>
    <row r="30" spans="1:12" ht="15.75">
      <c r="A30" s="459" t="s">
        <v>432</v>
      </c>
      <c r="B30" s="460" t="s">
        <v>544</v>
      </c>
      <c r="C30" s="460"/>
      <c r="D30" s="454" t="s">
        <v>547</v>
      </c>
      <c r="E30" s="454" t="s">
        <v>433</v>
      </c>
      <c r="F30" s="460" t="s">
        <v>550</v>
      </c>
      <c r="G30" s="460"/>
      <c r="H30" s="451"/>
      <c r="I30" s="451"/>
      <c r="J30" s="451"/>
      <c r="K30" s="451"/>
      <c r="L30" s="451"/>
    </row>
    <row r="31" spans="1:12" ht="15.75">
      <c r="A31" s="459" t="s">
        <v>434</v>
      </c>
      <c r="B31" s="460" t="s">
        <v>545</v>
      </c>
      <c r="C31" s="460"/>
      <c r="D31" s="454" t="s">
        <v>548</v>
      </c>
      <c r="E31" s="454" t="s">
        <v>435</v>
      </c>
      <c r="F31" s="460" t="s">
        <v>551</v>
      </c>
      <c r="G31" s="460"/>
      <c r="H31" s="451"/>
      <c r="I31" s="451"/>
      <c r="J31" s="451"/>
      <c r="K31" s="451"/>
      <c r="L31" s="451"/>
    </row>
    <row r="32" spans="1:12" ht="15.75">
      <c r="A32" s="459" t="s">
        <v>436</v>
      </c>
      <c r="B32" s="460" t="s">
        <v>546</v>
      </c>
      <c r="C32" s="460"/>
      <c r="D32" s="454" t="s">
        <v>549</v>
      </c>
      <c r="E32" s="454" t="s">
        <v>437</v>
      </c>
      <c r="F32" s="460" t="s">
        <v>552</v>
      </c>
      <c r="G32" s="460"/>
      <c r="H32" s="451"/>
      <c r="I32" s="451"/>
      <c r="J32" s="451"/>
      <c r="K32" s="451"/>
      <c r="L32" s="451"/>
    </row>
    <row r="33" spans="1:12" ht="15.75">
      <c r="A33" s="451"/>
      <c r="B33" s="451"/>
      <c r="C33" s="451"/>
      <c r="D33" s="451"/>
      <c r="E33" s="451"/>
      <c r="F33" s="451"/>
      <c r="G33" s="451"/>
      <c r="H33" s="451"/>
      <c r="I33" s="451"/>
      <c r="J33" s="451"/>
      <c r="K33" s="451"/>
      <c r="L33" s="451"/>
    </row>
    <row r="34" spans="1:12" ht="15.75">
      <c r="A34" s="451"/>
      <c r="B34" s="451"/>
      <c r="C34" s="451"/>
      <c r="D34" s="451"/>
      <c r="E34" s="461" t="s">
        <v>438</v>
      </c>
      <c r="F34" s="456"/>
      <c r="G34" s="457"/>
      <c r="H34" s="451"/>
      <c r="I34" s="451"/>
      <c r="J34" s="451"/>
      <c r="K34" s="451"/>
      <c r="L34" s="451"/>
    </row>
    <row r="35" spans="1:12" ht="15.75">
      <c r="A35" s="451"/>
      <c r="B35" s="458" t="s">
        <v>439</v>
      </c>
      <c r="C35" s="458"/>
      <c r="D35" s="462" t="s">
        <v>430</v>
      </c>
      <c r="E35" s="462" t="s">
        <v>440</v>
      </c>
      <c r="F35" s="462" t="s">
        <v>100</v>
      </c>
      <c r="G35" s="462" t="s">
        <v>441</v>
      </c>
      <c r="H35" s="451"/>
      <c r="I35" s="451"/>
      <c r="J35" s="451"/>
      <c r="K35" s="451"/>
      <c r="L35" s="451"/>
    </row>
    <row r="36" spans="1:12" ht="15.75">
      <c r="A36" s="459" t="s">
        <v>432</v>
      </c>
      <c r="B36" s="463" t="s">
        <v>553</v>
      </c>
      <c r="C36" s="464"/>
      <c r="D36" s="465" t="s">
        <v>555</v>
      </c>
      <c r="E36" s="465" t="s">
        <v>442</v>
      </c>
      <c r="F36" s="466" t="s">
        <v>443</v>
      </c>
      <c r="G36" s="454" t="s">
        <v>558</v>
      </c>
      <c r="H36" s="451"/>
      <c r="I36" s="451"/>
      <c r="J36" s="451"/>
      <c r="K36" s="451"/>
      <c r="L36" s="451"/>
    </row>
    <row r="37" spans="1:12" ht="15.75">
      <c r="A37" s="459" t="s">
        <v>434</v>
      </c>
      <c r="B37" s="463" t="s">
        <v>554</v>
      </c>
      <c r="C37" s="464"/>
      <c r="D37" s="465" t="s">
        <v>556</v>
      </c>
      <c r="E37" s="465" t="s">
        <v>442</v>
      </c>
      <c r="F37" s="466" t="s">
        <v>444</v>
      </c>
      <c r="G37" s="467" t="s">
        <v>559</v>
      </c>
      <c r="H37" s="451"/>
      <c r="I37" s="451"/>
      <c r="J37" s="451"/>
      <c r="K37" s="451"/>
      <c r="L37" s="451"/>
    </row>
    <row r="38" spans="1:12" ht="15.75">
      <c r="A38" s="459" t="s">
        <v>436</v>
      </c>
      <c r="B38" s="463" t="s">
        <v>554</v>
      </c>
      <c r="C38" s="464"/>
      <c r="D38" s="465" t="s">
        <v>557</v>
      </c>
      <c r="E38" s="465" t="s">
        <v>442</v>
      </c>
      <c r="F38" s="466" t="s">
        <v>445</v>
      </c>
      <c r="G38" s="454" t="s">
        <v>560</v>
      </c>
      <c r="H38" s="451"/>
      <c r="I38" s="451"/>
      <c r="J38" s="451"/>
      <c r="K38" s="451"/>
      <c r="L38" s="451"/>
    </row>
    <row r="39" spans="1:12" ht="15.75">
      <c r="A39" s="451"/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</row>
    <row r="40" spans="1:12" ht="15.75">
      <c r="A40" s="468" t="s">
        <v>446</v>
      </c>
      <c r="B40" s="469" t="s">
        <v>561</v>
      </c>
      <c r="C40" s="469"/>
      <c r="D40" s="470" t="s">
        <v>447</v>
      </c>
      <c r="E40" s="470"/>
      <c r="F40" s="469" t="s">
        <v>562</v>
      </c>
      <c r="G40" s="469"/>
      <c r="H40" s="451"/>
      <c r="I40" s="451"/>
      <c r="J40" s="451"/>
      <c r="K40" s="451"/>
      <c r="L40" s="451"/>
    </row>
    <row r="41" spans="1:12" ht="15.75">
      <c r="A41" s="451"/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</row>
    <row r="42" spans="1:12" ht="15.75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</row>
    <row r="43" spans="1:12" ht="15.75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</row>
    <row r="44" spans="1:12" ht="15.75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</row>
    <row r="45" spans="1:12" ht="15.75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</row>
    <row r="46" spans="1:12" ht="15.75">
      <c r="A46" s="451"/>
      <c r="B46" s="451"/>
      <c r="C46" s="451"/>
      <c r="D46" s="451"/>
      <c r="E46" s="451"/>
      <c r="F46" s="451"/>
      <c r="G46" s="451"/>
      <c r="H46" s="451"/>
      <c r="I46" s="451"/>
      <c r="J46" s="451"/>
      <c r="K46" s="451"/>
      <c r="L46" s="451"/>
    </row>
    <row r="47" spans="1:12" ht="15.75">
      <c r="A47" s="451"/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</row>
    <row r="48" spans="1:12" ht="15.75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</row>
    <row r="49" spans="1:12" ht="15.75">
      <c r="A49" s="451"/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</row>
    <row r="50" spans="1:12" ht="15.75">
      <c r="A50" s="451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</row>
    <row r="51" spans="1:12" ht="15.75">
      <c r="A51" s="451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</row>
    <row r="52" spans="1:12" ht="15.75">
      <c r="A52" s="451"/>
      <c r="B52" s="451"/>
      <c r="C52" s="451"/>
      <c r="D52" s="451"/>
      <c r="E52" s="451"/>
      <c r="F52" s="451"/>
      <c r="G52" s="451"/>
      <c r="H52" s="451"/>
      <c r="I52" s="451"/>
      <c r="J52" s="451"/>
      <c r="K52" s="451"/>
      <c r="L52" s="451"/>
    </row>
    <row r="53" spans="1:12" ht="15.75">
      <c r="A53" s="451"/>
      <c r="B53" s="451"/>
      <c r="C53" s="451"/>
      <c r="D53" s="451"/>
      <c r="E53" s="451"/>
      <c r="F53" s="451"/>
      <c r="G53" s="451"/>
      <c r="H53" s="451"/>
      <c r="I53" s="451"/>
      <c r="J53" s="451"/>
      <c r="K53" s="451"/>
      <c r="L53" s="451"/>
    </row>
    <row r="54" spans="1:12" ht="15.75">
      <c r="A54" s="451"/>
      <c r="B54" s="451"/>
      <c r="C54" s="451"/>
      <c r="D54" s="451"/>
      <c r="E54" s="451"/>
      <c r="F54" s="451"/>
      <c r="G54" s="451"/>
      <c r="H54" s="451"/>
      <c r="I54" s="451"/>
      <c r="J54" s="451"/>
      <c r="K54" s="451"/>
      <c r="L54" s="451"/>
    </row>
    <row r="55" spans="1:12" ht="15.75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</row>
    <row r="56" spans="1:12" ht="15.75">
      <c r="A56" s="451"/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</row>
    <row r="57" spans="1:12" ht="15.75">
      <c r="A57" s="451"/>
      <c r="B57" s="451"/>
      <c r="C57" s="451"/>
      <c r="D57" s="451"/>
      <c r="E57" s="451"/>
      <c r="F57" s="451"/>
      <c r="G57" s="451"/>
      <c r="H57" s="451"/>
      <c r="I57" s="451"/>
      <c r="J57" s="451"/>
      <c r="K57" s="451"/>
      <c r="L57" s="451"/>
    </row>
    <row r="58" spans="1:12" ht="15.75">
      <c r="A58" s="451"/>
      <c r="B58" s="451"/>
      <c r="C58" s="451"/>
      <c r="D58" s="451"/>
      <c r="E58" s="451"/>
      <c r="F58" s="451"/>
      <c r="G58" s="451"/>
      <c r="H58" s="451"/>
      <c r="I58" s="451"/>
      <c r="J58" s="451"/>
      <c r="K58" s="451"/>
      <c r="L58" s="451"/>
    </row>
    <row r="59" spans="1:12" ht="15.75">
      <c r="A59" s="451"/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</row>
    <row r="60" spans="1:12" ht="15.75">
      <c r="A60" s="451"/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</row>
    <row r="61" spans="1:12" ht="15.75">
      <c r="A61" s="451"/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Performance Data Sheet</vt:lpstr>
      <vt:lpstr>STCurve</vt:lpstr>
      <vt:lpstr>Thermdam</vt:lpstr>
      <vt:lpstr>Performance 4000V</vt:lpstr>
      <vt:lpstr>Performance 2300V</vt:lpstr>
      <vt:lpstr>StallTime</vt:lpstr>
      <vt:lpstr>'Data Sheet'!Print_Area</vt:lpstr>
      <vt:lpstr>DesignSheet!Print_Area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2025-05-20T12:48:47Z</dcterms:modified>
</cp:coreProperties>
</file>