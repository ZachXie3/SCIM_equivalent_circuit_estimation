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N:\DESPRO\BASE MV DESIGNS\TOP HAT - WPII\"/>
    </mc:Choice>
  </mc:AlternateContent>
  <xr:revisionPtr revIDLastSave="0" documentId="13_ncr:1_{0B14D557-AC6A-47DA-9DE5-8C4A2E43C353}" xr6:coauthVersionLast="47" xr6:coauthVersionMax="47" xr10:uidLastSave="{00000000-0000-0000-0000-000000000000}"/>
  <bookViews>
    <workbookView xWindow="-120" yWindow="-120" windowWidth="29040" windowHeight="17520" tabRatio="819" activeTab="1" xr2:uid="{00000000-000D-0000-FFFF-FFFF00000000}"/>
  </bookViews>
  <sheets>
    <sheet name="DesignSheet" sheetId="2" r:id="rId1"/>
    <sheet name="Data Sheet" sheetId="3" r:id="rId2"/>
    <sheet name="LoginSheet" sheetId="4" r:id="rId3"/>
    <sheet name="Performance Data Sheet" sheetId="9" r:id="rId4"/>
    <sheet name="STCurve" sheetId="8" r:id="rId5"/>
    <sheet name="Thermdam" sheetId="6" r:id="rId6"/>
    <sheet name="Performance" sheetId="7" r:id="rId7"/>
    <sheet name="StallTime" sheetId="5" r:id="rId8"/>
  </sheets>
  <definedNames>
    <definedName name="_Regression_Int" localSheetId="3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6">Performance!$A$1:$F$43</definedName>
    <definedName name="_xlnm.Print_Area" localSheetId="3">'Performance Data Sheet'!$A$1:$M$44</definedName>
    <definedName name="_xlnm.Print_Area" localSheetId="7">StallTime!$A$1:$G$40</definedName>
    <definedName name="_xlnm.Print_Area" localSheetId="4">STCurve!$A$1:$F$43</definedName>
    <definedName name="_xlnm.Print_Area" localSheetId="5">Thermdam!$A$1:$F$43</definedName>
    <definedName name="Print_Area_MI">'Performance Data Sheet'!$A$10:$N$42</definedName>
    <definedName name="Z_852987ED_B4F5_11D1_ABEC_0000832EB49E_.wvu.PrintArea" localSheetId="6" hidden="1">Performance!$A$1:$F$43</definedName>
    <definedName name="Z_852987ED_B4F5_11D1_ABEC_0000832EB49E_.wvu.PrintArea" localSheetId="4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6" l="1"/>
  <c r="F7" i="6"/>
  <c r="D7" i="6"/>
  <c r="B7" i="6"/>
  <c r="F6" i="6"/>
  <c r="B6" i="6"/>
  <c r="C12" i="7"/>
  <c r="F9" i="7"/>
  <c r="F7" i="7"/>
  <c r="D7" i="7"/>
  <c r="B7" i="7"/>
  <c r="F6" i="7"/>
  <c r="B6" i="7"/>
  <c r="D43" i="7"/>
  <c r="F39" i="7"/>
  <c r="C39" i="7"/>
  <c r="D43" i="6"/>
  <c r="F39" i="6"/>
  <c r="C39" i="6"/>
  <c r="F39" i="8"/>
  <c r="D43" i="8"/>
  <c r="C39" i="8"/>
  <c r="C12" i="8"/>
  <c r="F6" i="8"/>
  <c r="D7" i="8"/>
  <c r="F9" i="8"/>
  <c r="F7" i="8"/>
  <c r="B7" i="8"/>
  <c r="B6" i="8"/>
  <c r="C76" i="6"/>
  <c r="C77" i="6" s="1"/>
  <c r="C78" i="6" s="1"/>
  <c r="B76" i="6"/>
  <c r="C75" i="6"/>
  <c r="C74" i="6"/>
  <c r="B74" i="6"/>
  <c r="A69" i="6"/>
  <c r="C69" i="6" s="1"/>
  <c r="E68" i="6"/>
  <c r="D66" i="6"/>
  <c r="F50" i="6"/>
  <c r="P31" i="2"/>
  <c r="P32" i="2"/>
  <c r="P33" i="2"/>
  <c r="P34" i="2"/>
  <c r="P30" i="2"/>
  <c r="M52" i="2"/>
  <c r="N41" i="2"/>
  <c r="L41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A70" i="6" l="1"/>
  <c r="B69" i="6"/>
  <c r="B75" i="6" s="1"/>
  <c r="N40" i="2"/>
  <c r="N39" i="2"/>
  <c r="N38" i="2"/>
  <c r="M53" i="2"/>
  <c r="A71" i="6" l="1"/>
  <c r="C70" i="6"/>
  <c r="B70" i="6"/>
  <c r="C71" i="6" l="1"/>
  <c r="B71" i="6"/>
  <c r="A72" i="6"/>
  <c r="B72" i="6" l="1"/>
  <c r="A73" i="6"/>
  <c r="B7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<sst xmlns="http://schemas.openxmlformats.org/spreadsheetml/2006/main" count="927" uniqueCount="717">
  <si>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</si>
  <si>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</si>
  <si>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</si>
  <si>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</si>
  <si>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</si>
  <si>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</si>
  <si>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</si>
  <si>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</si>
  <si>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</si>
  <si>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</si>
  <si>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</si>
  <si>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</si>
  <si>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</si>
  <si>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</si>
  <si>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</si>
  <si>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</si>
  <si>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</si>
  <si>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</si>
  <si>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</si>
  <si>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</si>
  <si>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</si>
  <si>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</si>
  <si>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</si>
  <si>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</si>
  <si>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</si>
  <si>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</si>
  <si>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</si>
  <si>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</si>
  <si>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</si>
  <si>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</si>
  <si>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</si>
  <si>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</si>
  <si>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</si>
  <si>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</si>
  <si>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</si>
  <si>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</si>
  <si>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</si>
  <si>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</si>
  <si>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</si>
  <si>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</si>
  <si>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</si>
  <si>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</si>
  <si>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</si>
  <si>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</si>
  <si>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</si>
  <si>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</si>
  <si>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</si>
  <si>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</si>
  <si>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</si>
  <si>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</si>
  <si>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</si>
  <si>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</si>
  <si>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</si>
  <si>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</si>
  <si>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</si>
  <si>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</si>
  <si>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</si>
  <si>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</si>
  <si>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</si>
  <si>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</si>
  <si>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</si>
  <si>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</si>
  <si>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</si>
  <si>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</si>
  <si>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</si>
  <si>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</si>
  <si>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</si>
  <si>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</si>
  <si>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</si>
  <si>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</si>
  <si>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</si>
  <si>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</si>
  <si>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</si>
  <si>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</si>
  <si>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</si>
  <si>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</si>
  <si>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</si>
  <si>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</si>
  <si>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</si>
  <si>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</si>
  <si>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</si>
  <si>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</si>
  <si>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</si>
  <si>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</si>
  <si>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</si>
  <si>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</si>
  <si>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</si>
  <si>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</si>
  <si>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</si>
  <si>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</si>
  <si>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</si>
  <si>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</si>
  <si>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</si>
  <si>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</si>
  <si>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</si>
  <si>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</si>
  <si>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</si>
  <si>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</si>
  <si>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</si>
  <si>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</si>
  <si>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</si>
  <si>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</si>
  <si>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</si>
  <si>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</si>
  <si>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</si>
  <si>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</si>
  <si>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</si>
  <si>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</si>
  <si>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</si>
  <si>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</si>
  <si>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</si>
  <si>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</si>
  <si>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</si>
  <si>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</si>
  <si>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</si>
  <si>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</si>
  <si>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</si>
  <si>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</si>
  <si>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</si>
  <si>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</si>
  <si>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</si>
  <si>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</si>
  <si>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</si>
  <si>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</si>
  <si>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</si>
  <si>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</si>
  <si>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</si>
  <si>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</si>
  <si>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</si>
  <si>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</si>
  <si>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</si>
  <si>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</si>
  <si>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</si>
  <si>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</si>
  <si>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</si>
  <si>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</si>
  <si>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</si>
  <si>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</si>
  <si>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</si>
  <si>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</si>
  <si>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</si>
  <si>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</si>
  <si>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</si>
  <si>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</si>
  <si>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Double Cage Data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</si>
  <si>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</si>
  <si>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</si>
  <si>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</si>
  <si>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</si>
  <si>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</si>
  <si>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</si>
  <si>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</si>
  <si>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</si>
  <si>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</si>
  <si>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</si>
  <si>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</si>
  <si>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</si>
  <si>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</si>
  <si>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</si>
  <si>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</si>
  <si>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</si>
  <si>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</si>
  <si>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</si>
  <si>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</si>
  <si>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</si>
  <si>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</si>
  <si>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</si>
  <si>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</si>
  <si>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</si>
  <si>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</si>
  <si>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</si>
  <si>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</si>
  <si>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</si>
  <si>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</si>
  <si>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</si>
  <si>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</si>
  <si>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</si>
  <si>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</si>
  <si>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</si>
  <si>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</si>
  <si>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</si>
  <si>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</si>
  <si>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</si>
  <si>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</si>
  <si>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</si>
  <si>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</si>
  <si>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</si>
  <si>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</si>
  <si>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</si>
  <si>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</si>
  <si>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</si>
  <si>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</si>
  <si>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</si>
  <si>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</si>
  <si>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DCKW</t>
  </si>
  <si>
    <t>5811/12US</t>
  </si>
  <si>
    <t>Open</t>
  </si>
  <si>
    <t>Dbl - Closed</t>
  </si>
  <si>
    <t>8.79 - 8.79</t>
  </si>
  <si>
    <t>2.83 - 2.00</t>
  </si>
  <si>
    <t>Magnetic</t>
  </si>
  <si>
    <t>10 x 10</t>
  </si>
  <si>
    <t>1 ~ 14</t>
  </si>
  <si>
    <t>(.064"x.182")x1</t>
  </si>
  <si>
    <t>(.064"x.162")x1</t>
  </si>
  <si>
    <t>Wye</t>
  </si>
  <si>
    <t>(105°C)</t>
  </si>
  <si>
    <t>CU</t>
  </si>
  <si>
    <t>AL</t>
  </si>
  <si>
    <t>ERD1: 280.0</t>
  </si>
  <si>
    <t>ERD2: 420.0</t>
  </si>
  <si>
    <t>LB:  -</t>
  </si>
  <si>
    <t>LER:  -</t>
  </si>
  <si>
    <t>UB: 400.9</t>
  </si>
  <si>
    <t>UER: 2750.0</t>
  </si>
  <si>
    <t>ERT: 40.0</t>
  </si>
  <si>
    <t>(Coeff.: 0.0599)</t>
  </si>
  <si>
    <t>Skew R.: 0.00</t>
  </si>
  <si>
    <t>N:\DESPRO\RAT FILES\1T4M20U.rat</t>
  </si>
  <si>
    <t>2-2-2-0-1-2</t>
  </si>
  <si>
    <t>B.L.-1  P.F.-1</t>
  </si>
  <si>
    <t>9562.8 / 9762.1</t>
  </si>
  <si>
    <t>8845.7 / 9027.7</t>
  </si>
  <si>
    <t>10480.5 / 7521.4</t>
  </si>
  <si>
    <t>2000.0 / 1800.0</t>
  </si>
  <si>
    <t>7959.9 / 5200.0</t>
  </si>
  <si>
    <t>1437.5 / 939.1</t>
  </si>
  <si>
    <t>6522.4 / 4260.9</t>
  </si>
  <si>
    <t>1.50 / 0.98</t>
  </si>
  <si>
    <t>69 / 68</t>
  </si>
  <si>
    <t>Temp. Rise @ 100%:</t>
  </si>
  <si>
    <t>Stray Loss</t>
  </si>
  <si>
    <t>0.941 / 0.932</t>
  </si>
  <si>
    <t>0.962 / 0.953</t>
  </si>
  <si>
    <t>0.966 / 0.957</t>
  </si>
  <si>
    <t>0.965 / 0.955</t>
  </si>
  <si>
    <t>0.615 / 0.618</t>
  </si>
  <si>
    <t>0.813 / 0.817</t>
  </si>
  <si>
    <t>0.874 / 0.879</t>
  </si>
  <si>
    <t>0.896 / 0.900</t>
  </si>
  <si>
    <t>0.901 / 0.905</t>
  </si>
  <si>
    <t>46.47 / 46.69</t>
  </si>
  <si>
    <t>68.85 / 69.18</t>
  </si>
  <si>
    <t>95.63 / 96.07</t>
  </si>
  <si>
    <t>124.62 / 125.20</t>
  </si>
  <si>
    <t>155.38 / 156.11</t>
  </si>
  <si>
    <t>4.59 / 4.61</t>
  </si>
  <si>
    <t>UB: 4.29 / 4.32</t>
  </si>
  <si>
    <t>UER: 2.20 / 2.21</t>
  </si>
  <si>
    <t>1795.0 / 1790.4</t>
  </si>
  <si>
    <t>1790.0 / 1785.4</t>
  </si>
  <si>
    <t>1784.9 / 1780.3</t>
  </si>
  <si>
    <t>1779.6 / 1775.0</t>
  </si>
  <si>
    <t>1774.3 / 1769.7</t>
  </si>
  <si>
    <t>0.0028 / 0.0054</t>
  </si>
  <si>
    <t>0.0056 / 0.0081</t>
  </si>
  <si>
    <t>0.0084 / 0.0110</t>
  </si>
  <si>
    <t>0.0114 / 0.0139</t>
  </si>
  <si>
    <t>0.0143 / 0.0168</t>
  </si>
  <si>
    <t>33.582 / 32.981</t>
  </si>
  <si>
    <t>1.148 / 1.127</t>
  </si>
  <si>
    <t>33.60 / 33.00</t>
  </si>
  <si>
    <t>744.9 / 869.2</t>
  </si>
  <si>
    <t>597.7 / 697.5</t>
  </si>
  <si>
    <t>451.6 / 489.0</t>
  </si>
  <si>
    <t>110.6 / 119.8</t>
  </si>
  <si>
    <t>244.9 / 229.3</t>
  </si>
  <si>
    <t>Correlated to: 1T4M20U.dat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</si>
  <si>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</si>
  <si>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</si>
  <si>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</si>
  <si>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</si>
  <si>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</si>
  <si>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</si>
  <si>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</si>
  <si>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</si>
  <si>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</si>
  <si>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</si>
  <si>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</si>
  <si>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</si>
  <si>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</si>
  <si>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</si>
  <si>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</si>
  <si>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</si>
  <si>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</si>
  <si>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</si>
  <si>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</si>
  <si>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</si>
  <si>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</si>
  <si>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</si>
  <si>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</si>
  <si>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</si>
  <si>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</si>
  <si>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</si>
  <si>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</si>
  <si>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</si>
  <si>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</si>
  <si>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</si>
  <si>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</si>
  <si>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</si>
  <si>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</si>
  <si>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</si>
  <si>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</si>
  <si>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</si>
  <si>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</si>
  <si>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</si>
  <si>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</si>
  <si>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</si>
  <si>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</si>
  <si>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</si>
  <si>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</si>
  <si>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</si>
  <si>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</si>
  <si>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</si>
  <si>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</si>
  <si>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</si>
  <si>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</si>
  <si>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</si>
  <si>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</si>
  <si>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</si>
  <si>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</si>
  <si>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</si>
  <si>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</si>
  <si>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</si>
  <si>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</si>
  <si>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</si>
  <si>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</si>
  <si>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</si>
  <si>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</si>
  <si>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</si>
  <si>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</si>
  <si>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</si>
  <si>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</si>
  <si>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</si>
  <si>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</si>
  <si>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</si>
  <si>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</si>
  <si>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</si>
  <si>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</si>
  <si>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</si>
  <si>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</si>
  <si>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</si>
  <si>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</si>
  <si>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</si>
  <si>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</si>
  <si>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</si>
  <si>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</si>
  <si>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(Reference)</t>
  </si>
  <si>
    <t>Note</t>
  </si>
  <si>
    <t>Approved</t>
  </si>
  <si>
    <t>Design</t>
  </si>
  <si>
    <t>Jerry R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</si>
  <si>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</si>
  <si>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</si>
  <si>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</si>
  <si>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</si>
  <si>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</si>
  <si>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</si>
  <si>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</si>
  <si>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</si>
  <si>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</si>
  <si>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</si>
  <si>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</si>
  <si>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</si>
  <si>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</si>
  <si>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</si>
  <si>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</si>
  <si>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</si>
  <si>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</si>
  <si>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</si>
  <si>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</si>
  <si>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</si>
  <si>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</si>
  <si>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</si>
  <si>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</si>
  <si>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</si>
  <si>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</si>
  <si>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</si>
  <si>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</si>
  <si>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</si>
  <si>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1T4M20U</t>
  </si>
  <si>
    <t>Type: TIKK - Form: DCKW - 4 Pole - 1000 HP - 4000 V - 60 Hz - 5811/12US - Class F</t>
  </si>
  <si>
    <t>24 x 2</t>
  </si>
  <si>
    <t>2 x Wye</t>
  </si>
  <si>
    <t xml:space="preserve"> - </t>
  </si>
  <si>
    <t>69 / 91</t>
  </si>
  <si>
    <t>461 / 3205</t>
  </si>
  <si>
    <t>G</t>
  </si>
  <si>
    <t>432 / 221</t>
  </si>
  <si>
    <t>M205WTAL11E-A</t>
  </si>
  <si>
    <t>Top-Hat WPII A/F Bearing</t>
  </si>
  <si>
    <t>B rise at SF1.0, F rise at SF1.15</t>
  </si>
  <si>
    <t>REV1. CHG WIRE FROM 0.064X.182x2</t>
  </si>
  <si>
    <t xml:space="preserve">DUE TO INSULATION SYSTEM CHANGE FROM </t>
  </si>
  <si>
    <t>EDS-C-1059-3 TO EDS-08-1061. JROD 07/26/2023</t>
  </si>
  <si>
    <t>LINK: 1T4M20U.RAT AND DAT</t>
  </si>
  <si>
    <t>CHG WIRE TO .064x.182x1;0.64x.162x1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</si>
  <si>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</si>
  <si>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</si>
  <si>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</si>
  <si>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</si>
  <si>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</si>
  <si>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</si>
  <si>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</si>
  <si>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</si>
  <si>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Custom</t>
  </si>
  <si>
    <t>3.8 kg.m²</t>
  </si>
  <si>
    <t>Acceleration Data (FV V)</t>
  </si>
  <si>
    <t>0.7 (s)</t>
  </si>
  <si>
    <t>408.3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</si>
  <si>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</si>
  <si>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</si>
  <si>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</si>
  <si>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</si>
  <si>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</si>
  <si>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</si>
  <si>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</si>
  <si>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</si>
  <si>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</si>
  <si>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</si>
  <si>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</si>
  <si>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</si>
  <si>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</si>
  <si>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</si>
  <si>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</si>
  <si>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</si>
  <si>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</si>
  <si>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</si>
  <si>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</si>
  <si>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</si>
  <si>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</si>
  <si>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</si>
  <si>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</si>
  <si>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</si>
  <si>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</si>
  <si>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</si>
  <si>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</si>
  <si>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</si>
  <si>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</si>
  <si>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</si>
  <si>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</si>
  <si>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</si>
  <si>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</si>
  <si>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</si>
  <si>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</si>
  <si>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</si>
  <si>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</si>
  <si>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</si>
  <si>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</si>
  <si>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- 1000.0 HP - 1800 RPM - 4000 V - 60 Hz</t>
  </si>
  <si>
    <t>0~180</t>
  </si>
  <si>
    <t>180~360</t>
  </si>
  <si>
    <t>360~540</t>
  </si>
  <si>
    <t>540~720</t>
  </si>
  <si>
    <t>720~900</t>
  </si>
  <si>
    <t>900~1080</t>
  </si>
  <si>
    <t>1080~1296</t>
  </si>
  <si>
    <t>1296~1512</t>
  </si>
  <si>
    <t>1512~1620</t>
  </si>
  <si>
    <t>1620~1728</t>
  </si>
  <si>
    <t>1728~1764</t>
  </si>
  <si>
    <t>1764~1793</t>
  </si>
  <si>
    <t>1793~1800</t>
  </si>
  <si>
    <t>Load Type: Custom - 22.7 lb-ft²</t>
  </si>
  <si>
    <t>108.0</t>
  </si>
  <si>
    <t>96.5</t>
  </si>
  <si>
    <t>89.2</t>
  </si>
  <si>
    <t>84.7</t>
  </si>
  <si>
    <t>82.1</t>
  </si>
  <si>
    <t>80.9</t>
  </si>
  <si>
    <t>85.1</t>
  </si>
  <si>
    <t>101.1</t>
  </si>
  <si>
    <t>127.8</t>
  </si>
  <si>
    <t>184.0</t>
  </si>
  <si>
    <t>217.0</t>
  </si>
  <si>
    <t>134.7</t>
  </si>
  <si>
    <t>80.2</t>
  </si>
  <si>
    <t>4.3</t>
  </si>
  <si>
    <t>2.0</t>
  </si>
  <si>
    <t>3.3</t>
  </si>
  <si>
    <t>5.2</t>
  </si>
  <si>
    <t>7.5</t>
  </si>
  <si>
    <t>10.5</t>
  </si>
  <si>
    <t>14.4</t>
  </si>
  <si>
    <t>19.0</t>
  </si>
  <si>
    <t>22.8</t>
  </si>
  <si>
    <t>25.0</t>
  </si>
  <si>
    <t>26.4</t>
  </si>
  <si>
    <t>27.7</t>
  </si>
  <si>
    <t>28.6</t>
  </si>
  <si>
    <t>0.056</t>
  </si>
  <si>
    <t>0.062</t>
  </si>
  <si>
    <t>0.068</t>
  </si>
  <si>
    <t>0.073</t>
  </si>
  <si>
    <t>0.078</t>
  </si>
  <si>
    <t>0.083</t>
  </si>
  <si>
    <t>0.099</t>
  </si>
  <si>
    <t>0.085</t>
  </si>
  <si>
    <t>0.033</t>
  </si>
  <si>
    <t>0.022</t>
  </si>
  <si>
    <t>0.006</t>
  </si>
  <si>
    <t>0.009</t>
  </si>
  <si>
    <t>0.005</t>
  </si>
  <si>
    <t>865.7</t>
  </si>
  <si>
    <t>858.9</t>
  </si>
  <si>
    <t>851.2</t>
  </si>
  <si>
    <t>842.6</t>
  </si>
  <si>
    <t>832.5</t>
  </si>
  <si>
    <t>820.2</t>
  </si>
  <si>
    <t>803.8</t>
  </si>
  <si>
    <t>775.3</t>
  </si>
  <si>
    <t>736.6</t>
  </si>
  <si>
    <t>675.5</t>
  </si>
  <si>
    <t>535.7</t>
  </si>
  <si>
    <t>274.5</t>
  </si>
  <si>
    <t>77.0</t>
  </si>
  <si>
    <t>26.2</t>
  </si>
  <si>
    <t>28.3</t>
  </si>
  <si>
    <t>30.6</t>
  </si>
  <si>
    <t>32.5</t>
  </si>
  <si>
    <t>33.9</t>
  </si>
  <si>
    <t>34.9</t>
  </si>
  <si>
    <t>40.4</t>
  </si>
  <si>
    <t>33.2</t>
  </si>
  <si>
    <t>11.8</t>
  </si>
  <si>
    <t>7.0</t>
  </si>
  <si>
    <t>1.5</t>
  </si>
  <si>
    <t>1.0</t>
  </si>
  <si>
    <t>0.0</t>
  </si>
  <si>
    <t>79.7</t>
  </si>
  <si>
    <t>69.1</t>
  </si>
  <si>
    <t>61.5</t>
  </si>
  <si>
    <t>54.6</t>
  </si>
  <si>
    <t>48.0</t>
  </si>
  <si>
    <t>41.4</t>
  </si>
  <si>
    <t>32.7</t>
  </si>
  <si>
    <t>22.0</t>
  </si>
  <si>
    <t>12.3</t>
  </si>
  <si>
    <t>6.5</t>
  </si>
  <si>
    <t>3.4</t>
  </si>
  <si>
    <t>2.8</t>
  </si>
  <si>
    <t>281 kW / s</t>
  </si>
  <si>
    <t>366 kW / s</t>
  </si>
  <si>
    <t>69 kW / s</t>
  </si>
  <si>
    <t>4°C</t>
  </si>
  <si>
    <t>18°C</t>
  </si>
  <si>
    <t>8°C</t>
  </si>
  <si>
    <t>36°C</t>
  </si>
  <si>
    <t>9°C</t>
  </si>
  <si>
    <t>Acceleration Time:  0.7 s</t>
  </si>
  <si>
    <t>8.1°C / s</t>
  </si>
  <si>
    <t>35.3°C / s</t>
  </si>
  <si>
    <t>8.5°C / s</t>
  </si>
  <si>
    <t>543.8 kW</t>
  </si>
  <si>
    <t>722.0 kW</t>
  </si>
  <si>
    <t>135.9 kW</t>
  </si>
  <si>
    <t>19.7 s</t>
  </si>
  <si>
    <t>7.4 s</t>
  </si>
  <si>
    <t>21.2 s</t>
  </si>
  <si>
    <t>69°C    +</t>
  </si>
  <si>
    <t>92°C    +</t>
  </si>
  <si>
    <t>91°C    +</t>
  </si>
  <si>
    <t>168°C   +</t>
  </si>
  <si>
    <t>88°C   +</t>
  </si>
  <si>
    <t>11.2 s</t>
  </si>
  <si>
    <t>4.8 s</t>
  </si>
  <si>
    <t>10.3 s</t>
  </si>
  <si>
    <t>8.3 s</t>
  </si>
  <si>
    <t>4.1 s</t>
  </si>
  <si>
    <t>Thermal Limit &amp; Acceleration Curves</t>
  </si>
  <si>
    <t>Design Values (For Reference Only)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</si>
  <si>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</si>
  <si>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</si>
  <si>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</si>
  <si>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</si>
  <si>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</si>
  <si>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</si>
  <si>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</si>
  <si>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</si>
  <si>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</si>
  <si>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</si>
  <si>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</si>
  <si>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</si>
  <si>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Comments:</t>
  </si>
  <si>
    <t>D.E.Curve #:</t>
  </si>
  <si>
    <t>Prepared by:</t>
  </si>
  <si>
    <t>Checked by:</t>
  </si>
  <si>
    <t>Cold</t>
  </si>
  <si>
    <t>Hot</t>
  </si>
  <si>
    <t>CURRENT (%)</t>
  </si>
  <si>
    <t>Accel. Time</t>
  </si>
  <si>
    <t>272.1 lb-ft²</t>
  </si>
  <si>
    <t>22.7 lb-ft²</t>
  </si>
  <si>
    <t>Performance Curve</t>
  </si>
  <si>
    <t>Locked Rotor Amps:</t>
  </si>
  <si>
    <t>Locked Rotor Torque:</t>
  </si>
  <si>
    <t>Starting at:</t>
  </si>
  <si>
    <t>Breakdown Torque:</t>
  </si>
  <si>
    <t>Input Watts</t>
  </si>
  <si>
    <t>FV (V)</t>
  </si>
  <si>
    <t>2959 lb-ft</t>
  </si>
  <si>
    <t>Speed Torque/Current Curve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</si>
  <si>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</si>
  <si>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</si>
  <si>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</si>
  <si>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</si>
  <si>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</si>
  <si>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</si>
  <si>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</si>
  <si>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</si>
  <si>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</si>
  <si>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</si>
  <si>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</si>
  <si>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</si>
  <si>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</si>
  <si>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</si>
  <si>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</si>
  <si>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</si>
  <si>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</si>
  <si>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</si>
  <si>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</si>
  <si>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</si>
  <si>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</si>
  <si>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</si>
  <si>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</si>
  <si>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</si>
  <si>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</si>
  <si>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</si>
  <si>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</si>
  <si>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</si>
  <si>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</si>
  <si>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</si>
  <si>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</si>
  <si>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</si>
  <si>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</si>
  <si>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</si>
  <si>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</si>
  <si>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</si>
  <si>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</si>
  <si>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</si>
  <si>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</si>
  <si>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</si>
  <si>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</si>
  <si>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</si>
  <si>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</si>
  <si>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</si>
  <si>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</si>
  <si>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</si>
  <si>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</si>
  <si>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</si>
  <si>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</si>
  <si>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</si>
  <si>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</si>
  <si>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</si>
  <si>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</si>
  <si>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</si>
  <si>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</si>
  <si>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</si>
  <si>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</si>
  <si>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</si>
  <si>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</si>
  <si>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</si>
  <si>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</si>
  <si>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</si>
  <si>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</si>
  <si>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</si>
  <si>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</si>
  <si>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</si>
  <si>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</si>
  <si>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</si>
  <si>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</si>
  <si>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</si>
  <si>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</si>
  <si>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</si>
  <si>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</si>
  <si>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</si>
  <si>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</si>
  <si>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</si>
  <si>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</si>
  <si>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</si>
  <si>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</si>
  <si>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</si>
  <si>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</si>
  <si>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</si>
  <si>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</si>
  <si>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</si>
  <si>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</si>
  <si>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</si>
  <si>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</si>
  <si>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</si>
  <si>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</si>
  <si>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</si>
  <si>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</si>
  <si>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</si>
  <si>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</si>
  <si>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</si>
  <si>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</si>
  <si>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</si>
  <si>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</si>
  <si>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</si>
  <si>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</si>
  <si>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</si>
  <si>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</si>
  <si>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</si>
  <si>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</si>
  <si>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</si>
  <si>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TIKK</t>
  </si>
  <si>
    <t>60 Hz</t>
  </si>
  <si>
    <t>TUNDRA PROCESS SOLUTION</t>
  </si>
  <si>
    <t>2300258.1</t>
  </si>
  <si>
    <t>5812UZ</t>
  </si>
  <si>
    <t>WP-II</t>
  </si>
  <si>
    <t>1.15</t>
  </si>
  <si>
    <t>WT-10133466</t>
  </si>
  <si>
    <t>1 (s)</t>
  </si>
  <si>
    <t>135-N127-100 TOP HAT</t>
  </si>
  <si>
    <t>SINGLE PHASE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</si>
</sst>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0"/>
    <numFmt numFmtId="165" formatCode="0.0000"/>
    <numFmt numFmtId="166" formatCode="0.000"/>
    <numFmt numFmtId="167" formatCode="0.0"/>
    <numFmt numFmtId="168" formatCode="0.0%"/>
    <numFmt numFmtId="169" formatCode=".0000"/>
    <numFmt numFmtId="170" formatCode="mm/dd/yy"/>
    <numFmt numFmtId="171" formatCode="0.00_);\(0.00\)"/>
    <numFmt numFmtId="172" formatCode="General_)"/>
    <numFmt numFmtId="173" formatCode="General&quot;°C&quot;"/>
  </numFmts>
  <fonts count="78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i/>
      <sz val="12"/>
      <color indexed="8"/>
      <name val="Bradley Hand ITC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u/>
      <sz val="14"/>
      <name val="Times New Roman"/>
      <family val="1"/>
    </font>
    <font>
      <b/>
      <i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6">
    <xf numFmtId="0" fontId="0" fillId="0" borderId="0"/>
    <xf numFmtId="0" fontId="24" fillId="0" borderId="0"/>
    <xf numFmtId="0" fontId="1" fillId="0" borderId="0"/>
    <xf numFmtId="0" fontId="24" fillId="0" borderId="0"/>
    <xf numFmtId="0" fontId="1" fillId="0" borderId="0"/>
    <xf numFmtId="172" fontId="65" fillId="0" borderId="0"/>
  </cellStyleXfs>
  <cellXfs count="659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65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7" fontId="2" fillId="0" borderId="1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6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7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66" fontId="2" fillId="0" borderId="25" xfId="0" applyNumberFormat="1" applyFont="1" applyBorder="1" applyAlignment="1">
      <alignment horizontal="center"/>
    </xf>
    <xf numFmtId="167" fontId="2" fillId="0" borderId="25" xfId="0" applyNumberFormat="1" applyFont="1" applyBorder="1" applyAlignment="1">
      <alignment horizontal="center"/>
    </xf>
    <xf numFmtId="166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66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67" fontId="2" fillId="0" borderId="33" xfId="0" applyNumberFormat="1" applyFont="1" applyBorder="1" applyAlignment="1">
      <alignment horizontal="center"/>
    </xf>
    <xf numFmtId="167" fontId="2" fillId="0" borderId="34" xfId="0" applyNumberFormat="1" applyFon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30" xfId="0" applyNumberFormat="1" applyFont="1" applyBorder="1" applyAlignment="1">
      <alignment horizontal="center"/>
    </xf>
    <xf numFmtId="167" fontId="2" fillId="0" borderId="35" xfId="0" applyNumberFormat="1" applyFont="1" applyBorder="1" applyAlignment="1">
      <alignment horizontal="center"/>
    </xf>
    <xf numFmtId="167" fontId="2" fillId="0" borderId="36" xfId="0" applyNumberFormat="1" applyFont="1" applyBorder="1" applyAlignment="1">
      <alignment horizontal="center"/>
    </xf>
    <xf numFmtId="167" fontId="2" fillId="0" borderId="37" xfId="0" applyNumberFormat="1" applyFont="1" applyBorder="1" applyAlignment="1">
      <alignment horizontal="center"/>
    </xf>
    <xf numFmtId="166" fontId="2" fillId="0" borderId="26" xfId="0" applyNumberFormat="1" applyFont="1" applyBorder="1" applyAlignment="1">
      <alignment horizontal="center"/>
    </xf>
    <xf numFmtId="167" fontId="2" fillId="0" borderId="38" xfId="0" applyNumberFormat="1" applyFont="1" applyBorder="1" applyAlignment="1">
      <alignment horizontal="center"/>
    </xf>
    <xf numFmtId="167" fontId="2" fillId="0" borderId="39" xfId="0" applyNumberFormat="1" applyFont="1" applyBorder="1" applyAlignment="1">
      <alignment horizontal="center"/>
    </xf>
    <xf numFmtId="167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67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66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67" fontId="14" fillId="0" borderId="1" xfId="0" applyNumberFormat="1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65" fontId="0" fillId="0" borderId="0" xfId="0" applyNumberFormat="1"/>
    <xf numFmtId="167" fontId="0" fillId="0" borderId="0" xfId="0" applyNumberFormat="1"/>
    <xf numFmtId="168" fontId="2" fillId="2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/>
    <xf numFmtId="0" fontId="3" fillId="0" borderId="11" xfId="0" applyFont="1" applyBorder="1"/>
    <xf numFmtId="1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7" fontId="1" fillId="0" borderId="9" xfId="0" applyNumberFormat="1" applyFont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67" fontId="1" fillId="0" borderId="33" xfId="0" applyNumberFormat="1" applyFont="1" applyBorder="1" applyAlignment="1">
      <alignment horizontal="center"/>
    </xf>
    <xf numFmtId="0" fontId="1" fillId="0" borderId="0" xfId="0" applyFont="1"/>
    <xf numFmtId="167" fontId="1" fillId="0" borderId="0" xfId="0" applyNumberFormat="1" applyFont="1"/>
    <xf numFmtId="167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66" fontId="22" fillId="0" borderId="1" xfId="0" applyNumberFormat="1" applyFont="1" applyBorder="1" applyAlignment="1">
      <alignment horizontal="center"/>
    </xf>
    <xf numFmtId="166" fontId="22" fillId="0" borderId="9" xfId="0" applyNumberFormat="1" applyFont="1" applyBorder="1" applyAlignment="1">
      <alignment horizontal="center"/>
    </xf>
    <xf numFmtId="165" fontId="22" fillId="0" borderId="1" xfId="0" applyNumberFormat="1" applyFont="1" applyBorder="1" applyAlignment="1">
      <alignment horizontal="center"/>
    </xf>
    <xf numFmtId="165" fontId="22" fillId="0" borderId="9" xfId="0" applyNumberFormat="1" applyFont="1" applyBorder="1" applyAlignment="1">
      <alignment horizontal="center"/>
    </xf>
    <xf numFmtId="167" fontId="22" fillId="0" borderId="1" xfId="0" applyNumberFormat="1" applyFont="1" applyBorder="1" applyAlignment="1">
      <alignment horizontal="center"/>
    </xf>
    <xf numFmtId="167" fontId="22" fillId="0" borderId="9" xfId="0" applyNumberFormat="1" applyFont="1" applyBorder="1" applyAlignment="1">
      <alignment horizontal="center"/>
    </xf>
    <xf numFmtId="166" fontId="22" fillId="0" borderId="11" xfId="0" applyNumberFormat="1" applyFont="1" applyBorder="1" applyAlignment="1">
      <alignment horizontal="center"/>
    </xf>
    <xf numFmtId="166" fontId="23" fillId="0" borderId="31" xfId="0" applyNumberFormat="1" applyFont="1" applyBorder="1" applyAlignment="1">
      <alignment horizontal="center"/>
    </xf>
    <xf numFmtId="166" fontId="23" fillId="0" borderId="51" xfId="0" applyNumberFormat="1" applyFont="1" applyBorder="1" applyAlignment="1">
      <alignment horizontal="center"/>
    </xf>
    <xf numFmtId="166" fontId="23" fillId="0" borderId="32" xfId="0" applyNumberFormat="1" applyFont="1" applyBorder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67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0" fontId="19" fillId="0" borderId="24" xfId="1" applyFont="1" applyBorder="1"/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69" xfId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67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4" fillId="0" borderId="78" xfId="1" applyFont="1" applyBorder="1"/>
    <xf numFmtId="0" fontId="34" fillId="0" borderId="79" xfId="1" applyFont="1" applyBorder="1"/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67" fontId="38" fillId="5" borderId="112" xfId="1" applyNumberFormat="1" applyFont="1" applyFill="1" applyBorder="1" applyAlignment="1">
      <alignment horizontal="center"/>
    </xf>
    <xf numFmtId="0" fontId="38" fillId="5" borderId="113" xfId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5" fillId="0" borderId="0" xfId="1" quotePrefix="1" applyFont="1" applyAlignment="1">
      <alignment horizontal="left"/>
    </xf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46" fillId="0" borderId="0" xfId="1" applyFont="1"/>
    <xf numFmtId="0" fontId="36" fillId="0" borderId="116" xfId="1" applyFont="1" applyBorder="1"/>
    <xf numFmtId="0" fontId="36" fillId="5" borderId="119" xfId="1" applyFont="1" applyFill="1" applyBorder="1"/>
    <xf numFmtId="0" fontId="48" fillId="5" borderId="120" xfId="1" applyFont="1" applyFill="1" applyBorder="1" applyAlignment="1">
      <alignment horizontal="center" shrinkToFit="1"/>
    </xf>
    <xf numFmtId="0" fontId="36" fillId="5" borderId="121" xfId="1" applyFont="1" applyFill="1" applyBorder="1"/>
    <xf numFmtId="0" fontId="36" fillId="5" borderId="23" xfId="1" applyFont="1" applyFill="1" applyBorder="1"/>
    <xf numFmtId="14" fontId="19" fillId="5" borderId="124" xfId="1" applyNumberFormat="1" applyFont="1" applyFill="1" applyBorder="1" applyAlignment="1">
      <alignment horizontal="center"/>
    </xf>
    <xf numFmtId="0" fontId="31" fillId="0" borderId="0" xfId="1" applyFont="1"/>
    <xf numFmtId="0" fontId="1" fillId="0" borderId="6" xfId="2" applyBorder="1"/>
    <xf numFmtId="0" fontId="1" fillId="0" borderId="7" xfId="2" applyBorder="1"/>
    <xf numFmtId="0" fontId="1" fillId="0" borderId="41" xfId="2" applyBorder="1"/>
    <xf numFmtId="0" fontId="1" fillId="0" borderId="41" xfId="2" applyBorder="1" applyAlignment="1">
      <alignment horizontal="center"/>
    </xf>
    <xf numFmtId="0" fontId="51" fillId="0" borderId="41" xfId="2" applyFont="1" applyBorder="1" applyAlignment="1">
      <alignment horizontal="center"/>
    </xf>
    <xf numFmtId="0" fontId="1" fillId="0" borderId="0" xfId="2"/>
    <xf numFmtId="0" fontId="52" fillId="0" borderId="45" xfId="2" applyFont="1" applyBorder="1" applyAlignment="1">
      <alignment horizontal="center"/>
    </xf>
    <xf numFmtId="0" fontId="52" fillId="0" borderId="0" xfId="2" applyFont="1" applyAlignment="1">
      <alignment horizontal="center"/>
    </xf>
    <xf numFmtId="0" fontId="52" fillId="0" borderId="127" xfId="2" applyFont="1" applyBorder="1" applyAlignment="1">
      <alignment horizontal="center"/>
    </xf>
    <xf numFmtId="0" fontId="1" fillId="0" borderId="127" xfId="2" applyBorder="1" applyAlignment="1">
      <alignment horizontal="center"/>
    </xf>
    <xf numFmtId="0" fontId="51" fillId="0" borderId="127" xfId="2" applyFont="1" applyBorder="1" applyAlignment="1">
      <alignment horizontal="center"/>
    </xf>
    <xf numFmtId="0" fontId="1" fillId="0" borderId="45" xfId="2" applyBorder="1"/>
    <xf numFmtId="0" fontId="53" fillId="0" borderId="0" xfId="2" applyFont="1"/>
    <xf numFmtId="0" fontId="1" fillId="0" borderId="127" xfId="2" applyBorder="1"/>
    <xf numFmtId="0" fontId="51" fillId="0" borderId="0" xfId="2" applyFont="1"/>
    <xf numFmtId="0" fontId="51" fillId="0" borderId="127" xfId="2" applyFont="1" applyBorder="1"/>
    <xf numFmtId="170" fontId="1" fillId="0" borderId="3" xfId="2" applyNumberFormat="1" applyBorder="1"/>
    <xf numFmtId="49" fontId="1" fillId="0" borderId="1" xfId="2" applyNumberFormat="1" applyBorder="1" applyAlignment="1">
      <alignment horizontal="center"/>
    </xf>
    <xf numFmtId="49" fontId="1" fillId="0" borderId="1" xfId="2" applyNumberFormat="1" applyBorder="1"/>
    <xf numFmtId="49" fontId="51" fillId="0" borderId="1" xfId="2" applyNumberFormat="1" applyFont="1" applyBorder="1"/>
    <xf numFmtId="171" fontId="51" fillId="0" borderId="1" xfId="2" applyNumberFormat="1" applyFont="1" applyBorder="1"/>
    <xf numFmtId="0" fontId="1" fillId="0" borderId="1" xfId="2" applyBorder="1"/>
    <xf numFmtId="0" fontId="1" fillId="0" borderId="9" xfId="2" applyBorder="1"/>
    <xf numFmtId="171" fontId="1" fillId="0" borderId="1" xfId="2" applyNumberFormat="1" applyBorder="1"/>
    <xf numFmtId="0" fontId="1" fillId="0" borderId="1" xfId="2" applyBorder="1" applyAlignment="1">
      <alignment horizontal="center"/>
    </xf>
    <xf numFmtId="170" fontId="1" fillId="0" borderId="18" xfId="2" applyNumberFormat="1" applyBorder="1"/>
    <xf numFmtId="49" fontId="1" fillId="0" borderId="26" xfId="2" applyNumberFormat="1" applyBorder="1"/>
    <xf numFmtId="171" fontId="1" fillId="0" borderId="26" xfId="2" applyNumberFormat="1" applyBorder="1"/>
    <xf numFmtId="0" fontId="1" fillId="0" borderId="26" xfId="2" applyBorder="1"/>
    <xf numFmtId="0" fontId="1" fillId="0" borderId="128" xfId="2" applyBorder="1"/>
    <xf numFmtId="0" fontId="51" fillId="0" borderId="129" xfId="2" applyFont="1" applyBorder="1" applyAlignment="1">
      <alignment horizontal="center"/>
    </xf>
    <xf numFmtId="0" fontId="51" fillId="0" borderId="130" xfId="2" applyFont="1" applyBorder="1" applyAlignment="1">
      <alignment horizontal="center"/>
    </xf>
    <xf numFmtId="49" fontId="51" fillId="0" borderId="2" xfId="2" applyNumberFormat="1" applyFont="1" applyBorder="1" applyAlignment="1">
      <alignment horizontal="center"/>
    </xf>
    <xf numFmtId="0" fontId="1" fillId="0" borderId="55" xfId="2" applyBorder="1" applyAlignment="1">
      <alignment horizontal="left"/>
    </xf>
    <xf numFmtId="49" fontId="1" fillId="0" borderId="3" xfId="2" applyNumberFormat="1" applyBorder="1"/>
    <xf numFmtId="0" fontId="1" fillId="0" borderId="132" xfId="2" applyBorder="1" applyAlignment="1">
      <alignment horizontal="left"/>
    </xf>
    <xf numFmtId="49" fontId="1" fillId="0" borderId="4" xfId="2" applyNumberFormat="1" applyBorder="1"/>
    <xf numFmtId="0" fontId="1" fillId="0" borderId="133" xfId="2" applyBorder="1" applyAlignment="1">
      <alignment horizontal="left"/>
    </xf>
    <xf numFmtId="0" fontId="29" fillId="5" borderId="80" xfId="3" applyFont="1" applyFill="1" applyBorder="1" applyAlignment="1">
      <alignment horizontal="left"/>
    </xf>
    <xf numFmtId="0" fontId="29" fillId="5" borderId="81" xfId="3" applyFont="1" applyFill="1" applyBorder="1" applyAlignment="1">
      <alignment horizontal="left"/>
    </xf>
    <xf numFmtId="0" fontId="29" fillId="5" borderId="82" xfId="3" applyFont="1" applyFill="1" applyBorder="1" applyAlignment="1">
      <alignment horizontal="left"/>
    </xf>
    <xf numFmtId="0" fontId="31" fillId="5" borderId="83" xfId="3" applyFont="1" applyFill="1" applyBorder="1"/>
    <xf numFmtId="0" fontId="34" fillId="5" borderId="72" xfId="3" applyFont="1" applyFill="1" applyBorder="1" applyAlignment="1">
      <alignment horizontal="left"/>
    </xf>
    <xf numFmtId="0" fontId="34" fillId="5" borderId="84" xfId="3" applyFont="1" applyFill="1" applyBorder="1" applyAlignment="1">
      <alignment horizontal="left"/>
    </xf>
    <xf numFmtId="0" fontId="31" fillId="5" borderId="68" xfId="3" applyFont="1" applyFill="1" applyBorder="1" applyAlignment="1">
      <alignment horizontal="left"/>
    </xf>
    <xf numFmtId="0" fontId="31" fillId="5" borderId="74" xfId="3" applyFont="1" applyFill="1" applyBorder="1" applyAlignment="1">
      <alignment horizontal="left"/>
    </xf>
    <xf numFmtId="0" fontId="31" fillId="5" borderId="45" xfId="3" applyFont="1" applyFill="1" applyBorder="1"/>
    <xf numFmtId="0" fontId="31" fillId="0" borderId="23" xfId="3" applyFont="1" applyBorder="1"/>
    <xf numFmtId="0" fontId="31" fillId="5" borderId="125" xfId="3" applyFont="1" applyFill="1" applyBorder="1" applyAlignment="1">
      <alignment horizontal="left"/>
    </xf>
    <xf numFmtId="0" fontId="31" fillId="5" borderId="126" xfId="3" applyFont="1" applyFill="1" applyBorder="1" applyAlignment="1">
      <alignment horizontal="left"/>
    </xf>
    <xf numFmtId="0" fontId="31" fillId="0" borderId="0" xfId="3" applyFont="1"/>
    <xf numFmtId="0" fontId="19" fillId="0" borderId="0" xfId="3" applyFont="1"/>
    <xf numFmtId="167" fontId="2" fillId="0" borderId="0" xfId="0" applyNumberFormat="1" applyFont="1" applyAlignment="1">
      <alignment horizontal="center"/>
    </xf>
    <xf numFmtId="2" fontId="7" fillId="0" borderId="36" xfId="0" applyNumberFormat="1" applyFont="1" applyBorder="1" applyAlignment="1">
      <alignment horizontal="center"/>
    </xf>
    <xf numFmtId="167" fontId="2" fillId="0" borderId="134" xfId="0" applyNumberFormat="1" applyFont="1" applyBorder="1" applyAlignment="1">
      <alignment horizontal="center"/>
    </xf>
    <xf numFmtId="2" fontId="4" fillId="0" borderId="40" xfId="0" applyNumberFormat="1" applyFont="1" applyBorder="1" applyAlignment="1">
      <alignment horizontal="left"/>
    </xf>
    <xf numFmtId="167" fontId="14" fillId="0" borderId="40" xfId="0" applyNumberFormat="1" applyFont="1" applyBorder="1" applyAlignment="1">
      <alignment horizontal="left"/>
    </xf>
    <xf numFmtId="2" fontId="7" fillId="0" borderId="0" xfId="0" applyNumberFormat="1" applyFont="1" applyAlignment="1">
      <alignment horizontal="right"/>
    </xf>
    <xf numFmtId="2" fontId="7" fillId="0" borderId="23" xfId="0" applyNumberFormat="1" applyFont="1" applyBorder="1" applyAlignment="1">
      <alignment horizontal="right"/>
    </xf>
    <xf numFmtId="167" fontId="2" fillId="0" borderId="0" xfId="0" applyNumberFormat="1" applyFont="1" applyAlignment="1">
      <alignment horizontal="centerContinuous"/>
    </xf>
    <xf numFmtId="167" fontId="2" fillId="0" borderId="23" xfId="0" applyNumberFormat="1" applyFont="1" applyBorder="1" applyAlignment="1">
      <alignment horizontal="centerContinuous"/>
    </xf>
    <xf numFmtId="0" fontId="6" fillId="0" borderId="0" xfId="4" applyFont="1" applyAlignment="1">
      <alignment horizontal="right"/>
    </xf>
    <xf numFmtId="0" fontId="1" fillId="0" borderId="0" xfId="4"/>
    <xf numFmtId="0" fontId="25" fillId="0" borderId="0" xfId="4" applyFont="1"/>
    <xf numFmtId="0" fontId="54" fillId="0" borderId="0" xfId="4" applyFont="1"/>
    <xf numFmtId="0" fontId="55" fillId="0" borderId="26" xfId="4" applyFont="1" applyBorder="1" applyAlignment="1">
      <alignment horizontal="center"/>
    </xf>
    <xf numFmtId="0" fontId="55" fillId="0" borderId="28" xfId="4" applyFont="1" applyBorder="1" applyAlignment="1">
      <alignment horizontal="center"/>
    </xf>
    <xf numFmtId="0" fontId="54" fillId="0" borderId="1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55" fillId="0" borderId="1" xfId="4" applyFont="1" applyBorder="1" applyAlignment="1">
      <alignment horizontal="right"/>
    </xf>
    <xf numFmtId="0" fontId="54" fillId="0" borderId="131" xfId="4" applyFont="1" applyBorder="1" applyAlignment="1">
      <alignment horizontal="center"/>
    </xf>
    <xf numFmtId="0" fontId="54" fillId="0" borderId="132" xfId="4" quotePrefix="1" applyFont="1" applyBorder="1" applyAlignment="1">
      <alignment horizontal="center"/>
    </xf>
    <xf numFmtId="0" fontId="54" fillId="0" borderId="132" xfId="4" applyFont="1" applyBorder="1" applyAlignment="1">
      <alignment horizontal="center"/>
    </xf>
    <xf numFmtId="0" fontId="55" fillId="0" borderId="0" xfId="4" applyFont="1" applyAlignment="1">
      <alignment horizontal="right"/>
    </xf>
    <xf numFmtId="0" fontId="57" fillId="0" borderId="61" xfId="4" applyFont="1" applyBorder="1"/>
    <xf numFmtId="0" fontId="57" fillId="0" borderId="62" xfId="4" applyFont="1" applyBorder="1"/>
    <xf numFmtId="0" fontId="57" fillId="0" borderId="38" xfId="4" applyFont="1" applyBorder="1"/>
    <xf numFmtId="0" fontId="58" fillId="0" borderId="83" xfId="4" applyFont="1" applyBorder="1" applyAlignment="1">
      <alignment horizontal="centerContinuous"/>
    </xf>
    <xf numFmtId="0" fontId="57" fillId="0" borderId="0" xfId="4" applyFont="1" applyAlignment="1">
      <alignment horizontal="centerContinuous"/>
    </xf>
    <xf numFmtId="0" fontId="57" fillId="0" borderId="108" xfId="4" applyFont="1" applyBorder="1" applyAlignment="1">
      <alignment horizontal="centerContinuous"/>
    </xf>
    <xf numFmtId="0" fontId="57" fillId="0" borderId="83" xfId="4" applyFont="1" applyBorder="1"/>
    <xf numFmtId="0" fontId="57" fillId="0" borderId="0" xfId="4" applyFont="1"/>
    <xf numFmtId="0" fontId="57" fillId="0" borderId="108" xfId="4" applyFont="1" applyBorder="1"/>
    <xf numFmtId="0" fontId="61" fillId="0" borderId="1" xfId="4" applyFont="1" applyBorder="1" applyAlignment="1">
      <alignment horizontal="right"/>
    </xf>
    <xf numFmtId="0" fontId="57" fillId="0" borderId="1" xfId="4" applyFont="1" applyBorder="1" applyAlignment="1">
      <alignment horizontal="center"/>
    </xf>
    <xf numFmtId="14" fontId="57" fillId="0" borderId="1" xfId="4" applyNumberFormat="1" applyFont="1" applyBorder="1" applyAlignment="1">
      <alignment horizontal="center"/>
    </xf>
    <xf numFmtId="0" fontId="61" fillId="0" borderId="0" xfId="4" applyFont="1" applyAlignment="1">
      <alignment horizontal="right"/>
    </xf>
    <xf numFmtId="0" fontId="57" fillId="0" borderId="0" xfId="4" applyFont="1" applyAlignment="1">
      <alignment horizontal="center"/>
    </xf>
    <xf numFmtId="9" fontId="57" fillId="0" borderId="0" xfId="4" applyNumberFormat="1" applyFont="1" applyAlignment="1">
      <alignment horizontal="center"/>
    </xf>
    <xf numFmtId="0" fontId="61" fillId="0" borderId="83" xfId="4" applyFont="1" applyBorder="1" applyAlignment="1">
      <alignment horizontal="right"/>
    </xf>
    <xf numFmtId="0" fontId="57" fillId="0" borderId="40" xfId="4" applyFont="1" applyBorder="1"/>
    <xf numFmtId="0" fontId="57" fillId="0" borderId="39" xfId="4" applyFont="1" applyBorder="1" applyAlignment="1">
      <alignment horizontal="center"/>
    </xf>
    <xf numFmtId="0" fontId="57" fillId="0" borderId="85" xfId="4" applyFont="1" applyBorder="1"/>
    <xf numFmtId="0" fontId="61" fillId="0" borderId="17" xfId="4" applyFont="1" applyBorder="1" applyAlignment="1">
      <alignment horizontal="right"/>
    </xf>
    <xf numFmtId="0" fontId="57" fillId="0" borderId="132" xfId="4" applyFont="1" applyBorder="1"/>
    <xf numFmtId="0" fontId="62" fillId="0" borderId="0" xfId="4" applyFont="1"/>
    <xf numFmtId="0" fontId="63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59" fillId="0" borderId="83" xfId="4" applyFont="1" applyBorder="1" applyAlignment="1">
      <alignment horizontal="centerContinuous"/>
    </xf>
    <xf numFmtId="0" fontId="64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67" fontId="3" fillId="0" borderId="135" xfId="4" quotePrefix="1" applyNumberFormat="1" applyFont="1" applyBorder="1" applyAlignment="1">
      <alignment horizontal="center"/>
    </xf>
    <xf numFmtId="167" fontId="2" fillId="0" borderId="39" xfId="4" applyNumberFormat="1" applyFont="1" applyBorder="1" applyAlignment="1">
      <alignment horizontal="center"/>
    </xf>
    <xf numFmtId="167" fontId="2" fillId="0" borderId="28" xfId="4" applyNumberFormat="1" applyFont="1" applyBorder="1" applyAlignment="1">
      <alignment horizontal="center"/>
    </xf>
    <xf numFmtId="167" fontId="2" fillId="0" borderId="136" xfId="4" applyNumberFormat="1" applyFont="1" applyBorder="1" applyAlignment="1">
      <alignment horizontal="center"/>
    </xf>
    <xf numFmtId="167" fontId="3" fillId="0" borderId="137" xfId="4" quotePrefix="1" applyNumberFormat="1" applyFont="1" applyBorder="1" applyAlignment="1">
      <alignment horizontal="center"/>
    </xf>
    <xf numFmtId="167" fontId="2" fillId="0" borderId="132" xfId="4" applyNumberFormat="1" applyFont="1" applyBorder="1" applyAlignment="1">
      <alignment horizontal="center"/>
    </xf>
    <xf numFmtId="167" fontId="2" fillId="0" borderId="1" xfId="4" applyNumberFormat="1" applyFont="1" applyBorder="1" applyAlignment="1">
      <alignment horizontal="center"/>
    </xf>
    <xf numFmtId="167" fontId="2" fillId="0" borderId="9" xfId="4" applyNumberFormat="1" applyFont="1" applyBorder="1" applyAlignment="1">
      <alignment horizontal="center"/>
    </xf>
    <xf numFmtId="167" fontId="3" fillId="0" borderId="25" xfId="4" quotePrefix="1" applyNumberFormat="1" applyFont="1" applyBorder="1" applyAlignment="1">
      <alignment horizontal="center"/>
    </xf>
    <xf numFmtId="167" fontId="2" fillId="0" borderId="133" xfId="4" applyNumberFormat="1" applyFont="1" applyBorder="1" applyAlignment="1">
      <alignment horizontal="center"/>
    </xf>
    <xf numFmtId="167" fontId="2" fillId="0" borderId="11" xfId="4" applyNumberFormat="1" applyFont="1" applyBorder="1" applyAlignment="1">
      <alignment horizontal="center"/>
    </xf>
    <xf numFmtId="167" fontId="2" fillId="0" borderId="33" xfId="4" applyNumberFormat="1" applyFont="1" applyBorder="1" applyAlignment="1">
      <alignment horizontal="center"/>
    </xf>
    <xf numFmtId="167" fontId="3" fillId="0" borderId="0" xfId="4" quotePrefix="1" applyNumberFormat="1" applyFont="1" applyAlignment="1">
      <alignment horizontal="center"/>
    </xf>
    <xf numFmtId="167" fontId="2" fillId="0" borderId="0" xfId="4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167" fontId="3" fillId="0" borderId="0" xfId="0" quotePrefix="1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72" fontId="66" fillId="0" borderId="6" xfId="5" applyFont="1" applyBorder="1" applyAlignment="1">
      <alignment horizontal="centerContinuous"/>
    </xf>
    <xf numFmtId="172" fontId="66" fillId="0" borderId="7" xfId="5" applyFont="1" applyBorder="1" applyAlignment="1">
      <alignment horizontal="centerContinuous"/>
    </xf>
    <xf numFmtId="172" fontId="67" fillId="0" borderId="12" xfId="5" applyFont="1" applyBorder="1" applyAlignment="1">
      <alignment horizontal="left"/>
    </xf>
    <xf numFmtId="172" fontId="68" fillId="0" borderId="55" xfId="5" applyFont="1" applyBorder="1"/>
    <xf numFmtId="172" fontId="67" fillId="0" borderId="13" xfId="5" applyFont="1" applyBorder="1" applyAlignment="1">
      <alignment horizontal="centerContinuous"/>
    </xf>
    <xf numFmtId="172" fontId="68" fillId="0" borderId="14" xfId="5" applyFont="1" applyBorder="1" applyAlignment="1">
      <alignment horizontal="centerContinuous"/>
    </xf>
    <xf numFmtId="172" fontId="69" fillId="0" borderId="0" xfId="5" applyFont="1"/>
    <xf numFmtId="172" fontId="65" fillId="0" borderId="0" xfId="5"/>
    <xf numFmtId="172" fontId="66" fillId="0" borderId="45" xfId="5" applyFont="1" applyBorder="1" applyAlignment="1">
      <alignment horizontal="centerContinuous"/>
    </xf>
    <xf numFmtId="172" fontId="66" fillId="0" borderId="0" xfId="5" applyFont="1" applyAlignment="1">
      <alignment horizontal="centerContinuous"/>
    </xf>
    <xf numFmtId="172" fontId="67" fillId="0" borderId="109" xfId="5" applyFont="1" applyBorder="1" applyAlignment="1">
      <alignment horizontal="left"/>
    </xf>
    <xf numFmtId="172" fontId="68" fillId="0" borderId="39" xfId="5" applyFont="1" applyBorder="1"/>
    <xf numFmtId="172" fontId="67" fillId="0" borderId="40" xfId="5" applyFont="1" applyBorder="1" applyAlignment="1">
      <alignment horizontal="centerContinuous"/>
    </xf>
    <xf numFmtId="172" fontId="68" fillId="0" borderId="29" xfId="5" applyFont="1" applyBorder="1" applyAlignment="1">
      <alignment horizontal="centerContinuous"/>
    </xf>
    <xf numFmtId="172" fontId="68" fillId="0" borderId="45" xfId="5" applyFont="1" applyBorder="1" applyAlignment="1">
      <alignment horizontal="centerContinuous"/>
    </xf>
    <xf numFmtId="172" fontId="68" fillId="0" borderId="0" xfId="5" applyFont="1" applyAlignment="1">
      <alignment horizontal="centerContinuous"/>
    </xf>
    <xf numFmtId="172" fontId="67" fillId="0" borderId="40" xfId="5" quotePrefix="1" applyFont="1" applyBorder="1" applyAlignment="1">
      <alignment horizontal="centerContinuous"/>
    </xf>
    <xf numFmtId="172" fontId="70" fillId="0" borderId="45" xfId="5" applyFont="1" applyBorder="1" applyAlignment="1">
      <alignment horizontal="centerContinuous"/>
    </xf>
    <xf numFmtId="172" fontId="69" fillId="0" borderId="45" xfId="5" applyFont="1" applyBorder="1" applyAlignment="1">
      <alignment horizontal="centerContinuous"/>
    </xf>
    <xf numFmtId="172" fontId="69" fillId="0" borderId="46" xfId="5" applyFont="1" applyBorder="1" applyAlignment="1">
      <alignment horizontal="centerContinuous"/>
    </xf>
    <xf numFmtId="172" fontId="68" fillId="0" borderId="23" xfId="5" applyFont="1" applyBorder="1" applyAlignment="1">
      <alignment horizontal="centerContinuous"/>
    </xf>
    <xf numFmtId="172" fontId="67" fillId="0" borderId="46" xfId="5" applyFont="1" applyBorder="1" applyAlignment="1">
      <alignment horizontal="left"/>
    </xf>
    <xf numFmtId="172" fontId="68" fillId="0" borderId="48" xfId="5" applyFont="1" applyBorder="1"/>
    <xf numFmtId="172" fontId="71" fillId="0" borderId="23" xfId="5" applyFont="1" applyBorder="1" applyAlignment="1">
      <alignment horizontal="centerContinuous"/>
    </xf>
    <xf numFmtId="172" fontId="68" fillId="0" borderId="24" xfId="5" applyFont="1" applyBorder="1" applyAlignment="1">
      <alignment horizontal="centerContinuous"/>
    </xf>
    <xf numFmtId="172" fontId="69" fillId="0" borderId="0" xfId="5" applyFont="1" applyAlignment="1">
      <alignment horizontal="centerContinuous"/>
    </xf>
    <xf numFmtId="172" fontId="67" fillId="0" borderId="0" xfId="5" applyFont="1" applyAlignment="1">
      <alignment horizontal="left"/>
    </xf>
    <xf numFmtId="172" fontId="68" fillId="0" borderId="0" xfId="5" applyFont="1"/>
    <xf numFmtId="172" fontId="67" fillId="0" borderId="0" xfId="5" applyFont="1" applyAlignment="1">
      <alignment horizontal="centerContinuous"/>
    </xf>
    <xf numFmtId="172" fontId="72" fillId="0" borderId="0" xfId="5" applyFont="1"/>
    <xf numFmtId="172" fontId="72" fillId="0" borderId="0" xfId="5" applyFont="1" applyAlignment="1">
      <alignment horizontal="right"/>
    </xf>
    <xf numFmtId="172" fontId="72" fillId="0" borderId="0" xfId="5" applyFont="1" applyAlignment="1" applyProtection="1">
      <alignment horizontal="left"/>
      <protection locked="0"/>
    </xf>
    <xf numFmtId="172" fontId="72" fillId="0" borderId="0" xfId="5" applyFont="1" applyAlignment="1">
      <alignment horizontal="centerContinuous"/>
    </xf>
    <xf numFmtId="172" fontId="72" fillId="0" borderId="0" xfId="5" applyFont="1" applyAlignment="1">
      <alignment horizontal="left"/>
    </xf>
    <xf numFmtId="49" fontId="72" fillId="0" borderId="0" xfId="5" quotePrefix="1" applyNumberFormat="1" applyFont="1" applyAlignment="1" applyProtection="1">
      <alignment horizontal="left"/>
      <protection locked="0"/>
    </xf>
    <xf numFmtId="172" fontId="73" fillId="0" borderId="138" xfId="5" applyFont="1" applyBorder="1" applyAlignment="1">
      <alignment horizontal="centerContinuous"/>
    </xf>
    <xf numFmtId="172" fontId="69" fillId="0" borderId="139" xfId="5" applyFont="1" applyBorder="1" applyAlignment="1">
      <alignment horizontal="centerContinuous"/>
    </xf>
    <xf numFmtId="172" fontId="69" fillId="0" borderId="140" xfId="5" applyFont="1" applyBorder="1" applyAlignment="1">
      <alignment horizontal="centerContinuous"/>
    </xf>
    <xf numFmtId="172" fontId="72" fillId="0" borderId="45" xfId="5" applyFont="1" applyBorder="1"/>
    <xf numFmtId="172" fontId="72" fillId="0" borderId="0" xfId="5" applyFont="1" applyAlignment="1" applyProtection="1">
      <alignment horizontal="center"/>
      <protection locked="0"/>
    </xf>
    <xf numFmtId="172" fontId="72" fillId="0" borderId="21" xfId="5" applyFont="1" applyBorder="1" applyAlignment="1" applyProtection="1">
      <alignment horizontal="center"/>
      <protection locked="0"/>
    </xf>
    <xf numFmtId="172" fontId="72" fillId="0" borderId="0" xfId="5" applyFont="1" applyAlignment="1">
      <alignment horizontal="center"/>
    </xf>
    <xf numFmtId="49" fontId="72" fillId="0" borderId="0" xfId="5" applyNumberFormat="1" applyFont="1" applyAlignment="1">
      <alignment horizontal="center"/>
    </xf>
    <xf numFmtId="173" fontId="72" fillId="0" borderId="0" xfId="5" applyNumberFormat="1" applyFont="1" applyAlignment="1" applyProtection="1">
      <alignment horizontal="center"/>
      <protection locked="0"/>
    </xf>
    <xf numFmtId="172" fontId="72" fillId="0" borderId="0" xfId="5" quotePrefix="1" applyFont="1" applyAlignment="1">
      <alignment horizontal="right"/>
    </xf>
    <xf numFmtId="172" fontId="72" fillId="0" borderId="0" xfId="5" quotePrefix="1" applyFont="1" applyAlignment="1" applyProtection="1">
      <alignment horizontal="center"/>
      <protection locked="0"/>
    </xf>
    <xf numFmtId="172" fontId="72" fillId="0" borderId="21" xfId="5" applyFont="1" applyBorder="1"/>
    <xf numFmtId="172" fontId="72" fillId="0" borderId="46" xfId="5" applyFont="1" applyBorder="1"/>
    <xf numFmtId="172" fontId="72" fillId="0" borderId="23" xfId="5" applyFont="1" applyBorder="1" applyAlignment="1">
      <alignment horizontal="right"/>
    </xf>
    <xf numFmtId="167" fontId="72" fillId="0" borderId="23" xfId="5" quotePrefix="1" applyNumberFormat="1" applyFont="1" applyBorder="1" applyAlignment="1" applyProtection="1">
      <alignment horizontal="center"/>
      <protection locked="0"/>
    </xf>
    <xf numFmtId="172" fontId="72" fillId="0" borderId="23" xfId="5" applyFont="1" applyBorder="1"/>
    <xf numFmtId="167" fontId="72" fillId="0" borderId="23" xfId="5" applyNumberFormat="1" applyFont="1" applyBorder="1"/>
    <xf numFmtId="172" fontId="72" fillId="0" borderId="24" xfId="5" applyFont="1" applyBorder="1"/>
    <xf numFmtId="172" fontId="74" fillId="0" borderId="45" xfId="5" quotePrefix="1" applyFont="1" applyBorder="1" applyAlignment="1">
      <alignment horizontal="left"/>
    </xf>
    <xf numFmtId="172" fontId="68" fillId="0" borderId="0" xfId="5" quotePrefix="1" applyFont="1" applyAlignment="1">
      <alignment horizontal="right"/>
    </xf>
    <xf numFmtId="172" fontId="68" fillId="0" borderId="108" xfId="5" applyFont="1" applyBorder="1"/>
    <xf numFmtId="172" fontId="74" fillId="0" borderId="0" xfId="5" applyFont="1" applyAlignment="1">
      <alignment horizontal="left"/>
    </xf>
    <xf numFmtId="172" fontId="68" fillId="0" borderId="0" xfId="5" applyFont="1" applyAlignment="1">
      <alignment horizontal="right"/>
    </xf>
    <xf numFmtId="172" fontId="68" fillId="0" borderId="108" xfId="5" applyFont="1" applyBorder="1" applyAlignment="1">
      <alignment horizontal="right"/>
    </xf>
    <xf numFmtId="172" fontId="74" fillId="0" borderId="0" xfId="5" quotePrefix="1" applyFont="1" applyAlignment="1">
      <alignment horizontal="left"/>
    </xf>
    <xf numFmtId="172" fontId="68" fillId="0" borderId="21" xfId="5" applyFont="1" applyBorder="1"/>
    <xf numFmtId="172" fontId="65" fillId="0" borderId="45" xfId="5" applyBorder="1"/>
    <xf numFmtId="172" fontId="72" fillId="0" borderId="108" xfId="5" applyFont="1" applyBorder="1" applyAlignment="1" applyProtection="1">
      <alignment horizontal="center"/>
      <protection locked="0"/>
    </xf>
    <xf numFmtId="1" fontId="72" fillId="0" borderId="108" xfId="5" applyNumberFormat="1" applyFont="1" applyBorder="1" applyAlignment="1">
      <alignment horizontal="center"/>
    </xf>
    <xf numFmtId="172" fontId="72" fillId="0" borderId="108" xfId="5" applyFont="1" applyBorder="1"/>
    <xf numFmtId="172" fontId="72" fillId="0" borderId="48" xfId="5" applyFont="1" applyBorder="1"/>
    <xf numFmtId="172" fontId="72" fillId="0" borderId="48" xfId="5" applyFont="1" applyBorder="1" applyAlignment="1">
      <alignment horizontal="left"/>
    </xf>
    <xf numFmtId="172" fontId="73" fillId="0" borderId="141" xfId="5" applyFont="1" applyBorder="1" applyAlignment="1">
      <alignment horizontal="centerContinuous"/>
    </xf>
    <xf numFmtId="172" fontId="69" fillId="0" borderId="142" xfId="5" applyFont="1" applyBorder="1" applyAlignment="1">
      <alignment horizontal="centerContinuous"/>
    </xf>
    <xf numFmtId="172" fontId="65" fillId="0" borderId="143" xfId="5" applyBorder="1"/>
    <xf numFmtId="172" fontId="69" fillId="0" borderId="144" xfId="5" applyFont="1" applyBorder="1" applyAlignment="1">
      <alignment horizontal="centerContinuous"/>
    </xf>
    <xf numFmtId="172" fontId="74" fillId="0" borderId="45" xfId="5" applyFont="1" applyBorder="1" applyAlignment="1">
      <alignment horizontal="left"/>
    </xf>
    <xf numFmtId="172" fontId="65" fillId="0" borderId="108" xfId="5" applyBorder="1"/>
    <xf numFmtId="167" fontId="72" fillId="0" borderId="0" xfId="5" applyNumberFormat="1" applyFont="1" applyAlignment="1" applyProtection="1">
      <alignment horizontal="center"/>
      <protection locked="0"/>
    </xf>
    <xf numFmtId="172" fontId="72" fillId="0" borderId="45" xfId="5" applyFont="1" applyBorder="1" applyAlignment="1">
      <alignment horizontal="left"/>
    </xf>
    <xf numFmtId="172" fontId="65" fillId="0" borderId="48" xfId="5" applyBorder="1"/>
    <xf numFmtId="172" fontId="69" fillId="0" borderId="0" xfId="5" applyFont="1" applyAlignment="1">
      <alignment horizontal="left"/>
    </xf>
    <xf numFmtId="172" fontId="69" fillId="0" borderId="141" xfId="5" applyFont="1" applyBorder="1"/>
    <xf numFmtId="172" fontId="68" fillId="0" borderId="142" xfId="5" applyFont="1" applyBorder="1" applyAlignment="1">
      <alignment horizontal="left"/>
    </xf>
    <xf numFmtId="172" fontId="68" fillId="0" borderId="144" xfId="5" applyFont="1" applyBorder="1" applyAlignment="1">
      <alignment horizontal="left"/>
    </xf>
    <xf numFmtId="172" fontId="72" fillId="0" borderId="45" xfId="5" quotePrefix="1" applyFont="1" applyBorder="1" applyAlignment="1">
      <alignment horizontal="left"/>
    </xf>
    <xf numFmtId="172" fontId="72" fillId="0" borderId="21" xfId="5" applyFont="1" applyBorder="1" applyAlignment="1">
      <alignment horizontal="left"/>
    </xf>
    <xf numFmtId="172" fontId="75" fillId="0" borderId="145" xfId="5" applyFont="1" applyBorder="1"/>
    <xf numFmtId="172" fontId="72" fillId="0" borderId="0" xfId="5" quotePrefix="1" applyFont="1" applyAlignment="1">
      <alignment horizontal="left"/>
    </xf>
    <xf numFmtId="172" fontId="72" fillId="0" borderId="146" xfId="5" quotePrefix="1" applyFont="1" applyBorder="1" applyAlignment="1">
      <alignment horizontal="left"/>
    </xf>
    <xf numFmtId="172" fontId="72" fillId="0" borderId="147" xfId="5" quotePrefix="1" applyFont="1" applyBorder="1" applyAlignment="1">
      <alignment horizontal="left"/>
    </xf>
    <xf numFmtId="172" fontId="72" fillId="0" borderId="46" xfId="5" applyFont="1" applyBorder="1" applyAlignment="1">
      <alignment horizontal="left"/>
    </xf>
    <xf numFmtId="172" fontId="72" fillId="0" borderId="23" xfId="5" applyFont="1" applyBorder="1" applyAlignment="1">
      <alignment horizontal="left"/>
    </xf>
    <xf numFmtId="172" fontId="72" fillId="0" borderId="24" xfId="5" applyFont="1" applyBorder="1" applyAlignment="1">
      <alignment horizontal="left"/>
    </xf>
    <xf numFmtId="172" fontId="68" fillId="0" borderId="0" xfId="5" applyFont="1" applyAlignment="1">
      <alignment horizontal="left"/>
    </xf>
    <xf numFmtId="172" fontId="76" fillId="0" borderId="0" xfId="5" applyFont="1" applyAlignment="1">
      <alignment horizontal="right"/>
    </xf>
    <xf numFmtId="172" fontId="65" fillId="0" borderId="0" xfId="5" applyAlignment="1">
      <alignment horizontal="right"/>
    </xf>
    <xf numFmtId="49" fontId="57" fillId="0" borderId="40" xfId="4" applyNumberFormat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14" fontId="19" fillId="5" borderId="122" xfId="1" applyNumberFormat="1" applyFont="1" applyFill="1" applyBorder="1" applyAlignment="1">
      <alignment horizontal="center"/>
    </xf>
    <xf numFmtId="14" fontId="19" fillId="5" borderId="123" xfId="1" applyNumberFormat="1" applyFont="1" applyFill="1" applyBorder="1" applyAlignment="1">
      <alignment horizontal="center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9" fillId="0" borderId="38" xfId="1" applyFont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47" fillId="5" borderId="117" xfId="1" applyFont="1" applyFill="1" applyBorder="1" applyAlignment="1">
      <alignment horizontal="center"/>
    </xf>
    <xf numFmtId="0" fontId="47" fillId="5" borderId="118" xfId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167" fontId="38" fillId="5" borderId="65" xfId="1" applyNumberFormat="1" applyFont="1" applyFill="1" applyBorder="1" applyAlignment="1">
      <alignment horizontal="center"/>
    </xf>
    <xf numFmtId="167" fontId="38" fillId="5" borderId="66" xfId="1" applyNumberFormat="1" applyFont="1" applyFill="1" applyBorder="1" applyAlignment="1">
      <alignment horizontal="center"/>
    </xf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8" fillId="0" borderId="92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8" fillId="0" borderId="65" xfId="1" applyFont="1" applyBorder="1" applyAlignment="1">
      <alignment horizontal="center"/>
    </xf>
    <xf numFmtId="169" fontId="38" fillId="5" borderId="65" xfId="1" applyNumberFormat="1" applyFont="1" applyFill="1" applyBorder="1" applyAlignment="1">
      <alignment horizontal="center"/>
    </xf>
    <xf numFmtId="169" fontId="38" fillId="5" borderId="66" xfId="1" applyNumberFormat="1" applyFont="1" applyFill="1" applyBorder="1" applyAlignment="1">
      <alignment horizontal="center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167" fontId="38" fillId="0" borderId="65" xfId="1" applyNumberFormat="1" applyFont="1" applyBorder="1" applyAlignment="1">
      <alignment horizontal="center"/>
    </xf>
    <xf numFmtId="167" fontId="38" fillId="0" borderId="66" xfId="1" applyNumberFormat="1" applyFont="1" applyBorder="1" applyAlignment="1">
      <alignment horizontal="center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1" fillId="0" borderId="17" xfId="2" applyBorder="1" applyAlignment="1">
      <alignment horizontal="left"/>
    </xf>
    <xf numFmtId="0" fontId="1" fillId="0" borderId="131" xfId="2" applyBorder="1" applyAlignment="1">
      <alignment horizontal="left"/>
    </xf>
    <xf numFmtId="170" fontId="1" fillId="0" borderId="17" xfId="2" applyNumberFormat="1" applyBorder="1" applyAlignment="1">
      <alignment horizontal="center"/>
    </xf>
    <xf numFmtId="170" fontId="1" fillId="0" borderId="131" xfId="2" applyNumberFormat="1" applyBorder="1" applyAlignment="1">
      <alignment horizontal="center"/>
    </xf>
    <xf numFmtId="170" fontId="1" fillId="0" borderId="132" xfId="2" applyNumberFormat="1" applyBorder="1" applyAlignment="1">
      <alignment horizontal="center"/>
    </xf>
    <xf numFmtId="49" fontId="1" fillId="0" borderId="17" xfId="2" applyNumberFormat="1" applyBorder="1" applyAlignment="1">
      <alignment horizontal="center"/>
    </xf>
    <xf numFmtId="49" fontId="1" fillId="0" borderId="131" xfId="2" applyNumberFormat="1" applyBorder="1" applyAlignment="1">
      <alignment horizontal="center"/>
    </xf>
    <xf numFmtId="49" fontId="1" fillId="0" borderId="16" xfId="2" applyNumberFormat="1" applyBorder="1" applyAlignment="1">
      <alignment horizontal="center"/>
    </xf>
    <xf numFmtId="0" fontId="1" fillId="0" borderId="31" xfId="2" applyBorder="1" applyAlignment="1">
      <alignment horizontal="left"/>
    </xf>
    <xf numFmtId="0" fontId="1" fillId="0" borderId="51" xfId="2" applyBorder="1" applyAlignment="1">
      <alignment horizontal="left"/>
    </xf>
    <xf numFmtId="170" fontId="1" fillId="0" borderId="31" xfId="2" applyNumberFormat="1" applyBorder="1" applyAlignment="1">
      <alignment horizontal="center"/>
    </xf>
    <xf numFmtId="170" fontId="1" fillId="0" borderId="51" xfId="2" applyNumberFormat="1" applyBorder="1" applyAlignment="1">
      <alignment horizontal="center"/>
    </xf>
    <xf numFmtId="170" fontId="1" fillId="0" borderId="133" xfId="2" applyNumberFormat="1" applyBorder="1" applyAlignment="1">
      <alignment horizontal="center"/>
    </xf>
    <xf numFmtId="49" fontId="1" fillId="0" borderId="31" xfId="2" applyNumberFormat="1" applyBorder="1" applyAlignment="1">
      <alignment horizontal="center"/>
    </xf>
    <xf numFmtId="49" fontId="1" fillId="0" borderId="51" xfId="2" applyNumberFormat="1" applyBorder="1" applyAlignment="1">
      <alignment horizontal="center"/>
    </xf>
    <xf numFmtId="49" fontId="1" fillId="0" borderId="32" xfId="2" applyNumberFormat="1" applyBorder="1" applyAlignment="1">
      <alignment horizontal="center"/>
    </xf>
    <xf numFmtId="0" fontId="1" fillId="0" borderId="50" xfId="2" applyBorder="1" applyAlignment="1">
      <alignment horizontal="left"/>
    </xf>
    <xf numFmtId="0" fontId="1" fillId="0" borderId="13" xfId="2" applyBorder="1" applyAlignment="1">
      <alignment horizontal="left"/>
    </xf>
    <xf numFmtId="170" fontId="1" fillId="0" borderId="50" xfId="2" applyNumberFormat="1" applyBorder="1" applyAlignment="1">
      <alignment horizontal="center"/>
    </xf>
    <xf numFmtId="170" fontId="1" fillId="0" borderId="13" xfId="2" applyNumberFormat="1" applyBorder="1" applyAlignment="1">
      <alignment horizontal="center"/>
    </xf>
    <xf numFmtId="170" fontId="1" fillId="0" borderId="55" xfId="2" applyNumberFormat="1" applyBorder="1" applyAlignment="1">
      <alignment horizontal="center"/>
    </xf>
    <xf numFmtId="49" fontId="1" fillId="0" borderId="50" xfId="2" applyNumberFormat="1" applyBorder="1" applyAlignment="1">
      <alignment horizontal="center"/>
    </xf>
    <xf numFmtId="49" fontId="1" fillId="0" borderId="13" xfId="2" applyNumberFormat="1" applyBorder="1" applyAlignment="1">
      <alignment horizontal="center"/>
    </xf>
    <xf numFmtId="49" fontId="1" fillId="0" borderId="14" xfId="2" applyNumberFormat="1" applyBorder="1" applyAlignment="1">
      <alignment horizontal="center"/>
    </xf>
    <xf numFmtId="0" fontId="52" fillId="0" borderId="45" xfId="2" applyFont="1" applyBorder="1" applyAlignment="1">
      <alignment horizontal="center"/>
    </xf>
    <xf numFmtId="0" fontId="52" fillId="0" borderId="0" xfId="2" applyFont="1" applyAlignment="1">
      <alignment horizontal="center"/>
    </xf>
    <xf numFmtId="0" fontId="52" fillId="0" borderId="53" xfId="2" applyFont="1" applyBorder="1" applyAlignment="1">
      <alignment horizontal="center"/>
    </xf>
    <xf numFmtId="0" fontId="51" fillId="0" borderId="15" xfId="2" applyFont="1" applyBorder="1" applyAlignment="1">
      <alignment horizontal="center"/>
    </xf>
    <xf numFmtId="0" fontId="51" fillId="0" borderId="7" xfId="2" applyFont="1" applyBorder="1" applyAlignment="1">
      <alignment horizontal="center"/>
    </xf>
    <xf numFmtId="0" fontId="51" fillId="0" borderId="130" xfId="2" applyFont="1" applyBorder="1" applyAlignment="1">
      <alignment horizontal="center"/>
    </xf>
    <xf numFmtId="0" fontId="51" fillId="0" borderId="8" xfId="2" applyFont="1" applyBorder="1" applyAlignment="1">
      <alignment horizontal="center"/>
    </xf>
    <xf numFmtId="172" fontId="77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0" fontId="57" fillId="0" borderId="17" xfId="4" applyFont="1" applyBorder="1" applyAlignment="1">
      <alignment horizontal="center"/>
    </xf>
    <xf numFmtId="0" fontId="57" fillId="0" borderId="131" xfId="4" applyFont="1" applyBorder="1" applyAlignment="1">
      <alignment horizontal="center"/>
    </xf>
    <xf numFmtId="0" fontId="57" fillId="0" borderId="132" xfId="4" applyFont="1" applyBorder="1" applyAlignment="1">
      <alignment horizontal="center"/>
    </xf>
    <xf numFmtId="0" fontId="59" fillId="0" borderId="83" xfId="4" applyFont="1" applyBorder="1" applyAlignment="1">
      <alignment horizontal="center"/>
    </xf>
    <xf numFmtId="0" fontId="59" fillId="0" borderId="0" xfId="4" applyFont="1" applyAlignment="1">
      <alignment horizontal="center"/>
    </xf>
    <xf numFmtId="0" fontId="59" fillId="0" borderId="108" xfId="4" applyFont="1" applyBorder="1" applyAlignment="1">
      <alignment horizontal="center"/>
    </xf>
    <xf numFmtId="0" fontId="60" fillId="0" borderId="83" xfId="4" applyFont="1" applyBorder="1" applyAlignment="1">
      <alignment horizontal="center"/>
    </xf>
    <xf numFmtId="0" fontId="60" fillId="0" borderId="0" xfId="4" applyFont="1" applyAlignment="1">
      <alignment horizontal="center"/>
    </xf>
    <xf numFmtId="0" fontId="60" fillId="0" borderId="108" xfId="4" applyFont="1" applyBorder="1" applyAlignment="1">
      <alignment horizontal="center"/>
    </xf>
    <xf numFmtId="0" fontId="54" fillId="0" borderId="17" xfId="4" applyFont="1" applyBorder="1" applyAlignment="1">
      <alignment horizontal="right"/>
    </xf>
    <xf numFmtId="0" fontId="54" fillId="0" borderId="131" xfId="4" applyFont="1" applyBorder="1" applyAlignment="1">
      <alignment horizontal="right"/>
    </xf>
    <xf numFmtId="0" fontId="32" fillId="0" borderId="0" xfId="4" applyFont="1" applyAlignment="1">
      <alignment horizontal="center"/>
    </xf>
    <xf numFmtId="0" fontId="55" fillId="0" borderId="0" xfId="4" applyFont="1" applyAlignment="1">
      <alignment horizontal="right"/>
    </xf>
    <xf numFmtId="0" fontId="54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5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56" fillId="0" borderId="17" xfId="4" applyFont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" xfId="4" xr:uid="{00000000-0005-0000-0000-000002000000}"/>
    <cellStyle name="Normal 4" xfId="5" xr:uid="{00000000-0005-0000-0000-000003000000}"/>
    <cellStyle name="Normal_OPTEST" xfId="3" xr:uid="{00000000-0005-0000-0000-000004000000}"/>
    <cellStyle name="Normal_PROJ_REV_HIST" xfId="2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60.371318353912159</c:v>
                </c:pt>
                <c:pt idx="2">
                  <c:v>209.03159376007639</c:v>
                </c:pt>
                <c:pt idx="3">
                  <c:v>225</c:v>
                </c:pt>
                <c:pt idx="4">
                  <c:v>143.09333841952954</c:v>
                </c:pt>
                <c:pt idx="5">
                  <c:v>112.52866919609549</c:v>
                </c:pt>
                <c:pt idx="6">
                  <c:v>89.650812206665449</c:v>
                </c:pt>
                <c:pt idx="7">
                  <c:v>80.5</c:v>
                </c:pt>
                <c:pt idx="8">
                  <c:v>81.211249951172249</c:v>
                </c:pt>
                <c:pt idx="9">
                  <c:v>83.002054111113438</c:v>
                </c:pt>
                <c:pt idx="10">
                  <c:v>86.333861966225157</c:v>
                </c:pt>
                <c:pt idx="11">
                  <c:v>91.973785397925298</c:v>
                </c:pt>
                <c:pt idx="12">
                  <c:v>101.00610977964959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02-4448-8E05-015AA7666A57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28.899999618530273</c:v>
                </c:pt>
                <c:pt idx="1">
                  <c:v>28.379999160766602</c:v>
                </c:pt>
                <c:pt idx="2">
                  <c:v>27</c:v>
                </c:pt>
                <c:pt idx="3">
                  <c:v>25.80000114440918</c:v>
                </c:pt>
                <c:pt idx="4">
                  <c:v>24.200000762939453</c:v>
                </c:pt>
                <c:pt idx="5">
                  <c:v>21.319999694824219</c:v>
                </c:pt>
                <c:pt idx="6">
                  <c:v>16.600000381469727</c:v>
                </c:pt>
                <c:pt idx="7">
                  <c:v>12.100000381469727</c:v>
                </c:pt>
                <c:pt idx="8">
                  <c:v>8.8999996185302734</c:v>
                </c:pt>
                <c:pt idx="9">
                  <c:v>6.1999993324279785</c:v>
                </c:pt>
                <c:pt idx="10">
                  <c:v>4.0999999046325684</c:v>
                </c:pt>
                <c:pt idx="11">
                  <c:v>2.4999997615814209</c:v>
                </c:pt>
                <c:pt idx="12">
                  <c:v>1.4999986886978149</c:v>
                </c:pt>
                <c:pt idx="13">
                  <c:v>7.0999999046325684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02-4448-8E05-015AA766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344192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3.9999997243285179E-3</c:v>
                </c:pt>
                <c:pt idx="2">
                  <c:v>1.9999999552965164E-2</c:v>
                </c:pt>
                <c:pt idx="3" formatCode="0.00">
                  <c:v>3.9999999105930328E-2</c:v>
                </c:pt>
                <c:pt idx="4" formatCode="0.00">
                  <c:v>0.10000000149011612</c:v>
                </c:pt>
                <c:pt idx="5" formatCode="0.00">
                  <c:v>0.15999999642372131</c:v>
                </c:pt>
                <c:pt idx="6" formatCode="0.00">
                  <c:v>0.2800000011920929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0.26881510019302368</c:v>
                </c:pt>
                <c:pt idx="1">
                  <c:v>89.609397888183594</c:v>
                </c:pt>
                <c:pt idx="2">
                  <c:v>349.62515258789063</c:v>
                </c:pt>
                <c:pt idx="3">
                  <c:v>507.49041748046875</c:v>
                </c:pt>
                <c:pt idx="4">
                  <c:v>573.37628173828125</c:v>
                </c:pt>
                <c:pt idx="5">
                  <c:v>605.194580078125</c:v>
                </c:pt>
                <c:pt idx="6">
                  <c:v>635.27423095703125</c:v>
                </c:pt>
                <c:pt idx="7">
                  <c:v>650.76763916015625</c:v>
                </c:pt>
                <c:pt idx="8">
                  <c:v>661.60260009765625</c:v>
                </c:pt>
                <c:pt idx="9">
                  <c:v>670.44061279296875</c:v>
                </c:pt>
                <c:pt idx="10">
                  <c:v>677.73114013671875</c:v>
                </c:pt>
                <c:pt idx="11">
                  <c:v>684.197265625</c:v>
                </c:pt>
                <c:pt idx="12">
                  <c:v>689.9906005859375</c:v>
                </c:pt>
                <c:pt idx="13">
                  <c:v>695.20001220703125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02-4448-8E05-015AA7666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714344192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714344192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19552008"/>
          <c:y val="2.851714087886253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60.371318353912159</c:v>
                </c:pt>
                <c:pt idx="2">
                  <c:v>209.03159376007639</c:v>
                </c:pt>
                <c:pt idx="3">
                  <c:v>225</c:v>
                </c:pt>
                <c:pt idx="4">
                  <c:v>143.09333841952954</c:v>
                </c:pt>
                <c:pt idx="5">
                  <c:v>112.52866919609549</c:v>
                </c:pt>
                <c:pt idx="6">
                  <c:v>89.650812206665449</c:v>
                </c:pt>
                <c:pt idx="7">
                  <c:v>80.5</c:v>
                </c:pt>
                <c:pt idx="8">
                  <c:v>81.211249951172249</c:v>
                </c:pt>
                <c:pt idx="9">
                  <c:v>83.002054111113438</c:v>
                </c:pt>
                <c:pt idx="10">
                  <c:v>86.333861966225157</c:v>
                </c:pt>
                <c:pt idx="11">
                  <c:v>91.973785397925298</c:v>
                </c:pt>
                <c:pt idx="12">
                  <c:v>101.00610977964959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71-495E-AB5A-3C0308E5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885464"/>
        <c:axId val="1"/>
      </c:scatterChart>
      <c:scatterChart>
        <c:scatterStyle val="lineMarker"/>
        <c:varyColors val="0"/>
        <c:ser>
          <c:idx val="2"/>
          <c:order val="2"/>
          <c:tx>
            <c:v>Load (Custom)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28.899999618530273</c:v>
                </c:pt>
                <c:pt idx="1">
                  <c:v>28.379999160766602</c:v>
                </c:pt>
                <c:pt idx="2">
                  <c:v>27</c:v>
                </c:pt>
                <c:pt idx="3">
                  <c:v>25.80000114440918</c:v>
                </c:pt>
                <c:pt idx="4">
                  <c:v>24.200000762939453</c:v>
                </c:pt>
                <c:pt idx="5">
                  <c:v>21.319999694824219</c:v>
                </c:pt>
                <c:pt idx="6">
                  <c:v>16.600000381469727</c:v>
                </c:pt>
                <c:pt idx="7">
                  <c:v>12.100000381469727</c:v>
                </c:pt>
                <c:pt idx="8">
                  <c:v>8.8999996185302734</c:v>
                </c:pt>
                <c:pt idx="9">
                  <c:v>6.1999993324279785</c:v>
                </c:pt>
                <c:pt idx="10">
                  <c:v>4.0999999046325684</c:v>
                </c:pt>
                <c:pt idx="11">
                  <c:v>2.4999997615814209</c:v>
                </c:pt>
                <c:pt idx="12">
                  <c:v>1.4999986886978149</c:v>
                </c:pt>
                <c:pt idx="13">
                  <c:v>7.0999999046325684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71-495E-AB5A-3C0308E5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6885464"/>
        <c:axId val="1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99.600000027567148</c:v>
                </c:pt>
                <c:pt idx="2">
                  <c:v>98.000000044703484</c:v>
                </c:pt>
                <c:pt idx="3">
                  <c:v>96.000000089406967</c:v>
                </c:pt>
                <c:pt idx="4">
                  <c:v>89.999999850988388</c:v>
                </c:pt>
                <c:pt idx="5">
                  <c:v>84.000000357627869</c:v>
                </c:pt>
                <c:pt idx="6">
                  <c:v>71.99999988079071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0.26881510019302368</c:v>
                </c:pt>
                <c:pt idx="1">
                  <c:v>89.609397888183594</c:v>
                </c:pt>
                <c:pt idx="2">
                  <c:v>349.62515258789063</c:v>
                </c:pt>
                <c:pt idx="3">
                  <c:v>507.49041748046875</c:v>
                </c:pt>
                <c:pt idx="4">
                  <c:v>573.37628173828125</c:v>
                </c:pt>
                <c:pt idx="5">
                  <c:v>605.194580078125</c:v>
                </c:pt>
                <c:pt idx="6">
                  <c:v>635.27423095703125</c:v>
                </c:pt>
                <c:pt idx="7">
                  <c:v>650.76763916015625</c:v>
                </c:pt>
                <c:pt idx="8">
                  <c:v>661.60260009765625</c:v>
                </c:pt>
                <c:pt idx="9">
                  <c:v>670.44061279296875</c:v>
                </c:pt>
                <c:pt idx="10">
                  <c:v>677.73114013671875</c:v>
                </c:pt>
                <c:pt idx="11">
                  <c:v>684.197265625</c:v>
                </c:pt>
                <c:pt idx="12">
                  <c:v>689.9906005859375</c:v>
                </c:pt>
                <c:pt idx="13">
                  <c:v>695.20001220703125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571-495E-AB5A-3C0308E5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5688546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6807607955"/>
              <c:y val="0.8460084456467482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47053536117E-2"/>
              <c:y val="0.296578063861649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56885464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75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741487793"/>
              <c:y val="0.2927759125968149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657570200985149"/>
          <c:y val="0.9401842503582758"/>
          <c:w val="0.2029802610290152"/>
          <c:h val="5.981574964172423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695.2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11.860940115792411</c:v>
                </c:pt>
                <c:pt idx="1">
                  <c:v>15.923412264501181</c:v>
                </c:pt>
                <c:pt idx="2">
                  <c:v>22.929713660881703</c:v>
                </c:pt>
                <c:pt idx="3">
                  <c:v>35.82767759512766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4-4692-AA9C-6E02DF3655E3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695.2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5.7862649645124167</c:v>
                </c:pt>
                <c:pt idx="1">
                  <c:v>7.7681095766509545</c:v>
                </c:pt>
                <c:pt idx="2">
                  <c:v>11.186077790377373</c:v>
                </c:pt>
                <c:pt idx="3">
                  <c:v>17.47824654746465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E4-4692-AA9C-6E02DF3655E3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225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55.239890322851224</c:v>
                </c:pt>
                <c:pt idx="3">
                  <c:v>86.312328629455038</c:v>
                </c:pt>
                <c:pt idx="4">
                  <c:v>133.00924839925534</c:v>
                </c:pt>
                <c:pt idx="5" formatCode="0">
                  <c:v>300</c:v>
                </c:pt>
                <c:pt idx="6" formatCode="0">
                  <c:v>600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9E4-4692-AA9C-6E02DF3655E3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695.2</c:v>
                </c:pt>
                <c:pt idx="1">
                  <c:v>692.56</c:v>
                </c:pt>
                <c:pt idx="2">
                  <c:v>687.12</c:v>
                </c:pt>
                <c:pt idx="3">
                  <c:v>680.96</c:v>
                </c:pt>
                <c:pt idx="4">
                  <c:v>674.08</c:v>
                </c:pt>
                <c:pt idx="5">
                  <c:v>666</c:v>
                </c:pt>
                <c:pt idx="6">
                  <c:v>656.16</c:v>
                </c:pt>
                <c:pt idx="7">
                  <c:v>643.04</c:v>
                </c:pt>
                <c:pt idx="8">
                  <c:v>620.24</c:v>
                </c:pt>
                <c:pt idx="9">
                  <c:v>589.28</c:v>
                </c:pt>
                <c:pt idx="10">
                  <c:v>540.4</c:v>
                </c:pt>
                <c:pt idx="11">
                  <c:v>428.56000000000006</c:v>
                </c:pt>
                <c:pt idx="12">
                  <c:v>219.6</c:v>
                </c:pt>
                <c:pt idx="13">
                  <c:v>120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8.2352930541962382E-2</c:v>
                </c:pt>
                <c:pt idx="2">
                  <c:v>0.17352938505184651</c:v>
                </c:pt>
                <c:pt idx="3">
                  <c:v>0.27352937448638676</c:v>
                </c:pt>
                <c:pt idx="4">
                  <c:v>0.38088229690861702</c:v>
                </c:pt>
                <c:pt idx="5">
                  <c:v>0.49558817423200607</c:v>
                </c:pt>
                <c:pt idx="6">
                  <c:v>0.61764698454308509</c:v>
                </c:pt>
                <c:pt idx="7">
                  <c:v>0.76323516288399695</c:v>
                </c:pt>
                <c:pt idx="8">
                  <c:v>0.88823511132860189</c:v>
                </c:pt>
                <c:pt idx="9">
                  <c:v>0.93676450410890577</c:v>
                </c:pt>
                <c:pt idx="10">
                  <c:v>0.96911746184706693</c:v>
                </c:pt>
                <c:pt idx="11">
                  <c:v>0.97794096390151974</c:v>
                </c:pt>
                <c:pt idx="12">
                  <c:v>0.99117626081013677</c:v>
                </c:pt>
                <c:pt idx="13">
                  <c:v>0.99852919379782679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9E4-4692-AA9C-6E02DF365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987352"/>
        <c:axId val="1"/>
      </c:scatterChart>
      <c:valAx>
        <c:axId val="154398735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36488268916"/>
              <c:y val="0.94970480271111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02075755759E-2"/>
              <c:y val="0.3757399507639110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398735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93.137565612792969</c:v>
                </c:pt>
                <c:pt idx="2">
                  <c:v>95.215904235839844</c:v>
                </c:pt>
                <c:pt idx="3">
                  <c:v>95.568161010742188</c:v>
                </c:pt>
                <c:pt idx="4">
                  <c:v>95.457435607910156</c:v>
                </c:pt>
                <c:pt idx="5">
                  <c:v>95.160247802734375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CB-4249-8AB0-EBDC1BA8DCE2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61.824100494384766</c:v>
                </c:pt>
                <c:pt idx="1">
                  <c:v>81.629592895507813</c:v>
                </c:pt>
                <c:pt idx="2">
                  <c:v>87.838264465332031</c:v>
                </c:pt>
                <c:pt idx="3">
                  <c:v>89.974212646484375</c:v>
                </c:pt>
                <c:pt idx="4">
                  <c:v>90.485549926757813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CB-4249-8AB0-EBDC1BA8DCE2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75.780910483266425</c:v>
                </c:pt>
                <c:pt idx="2">
                  <c:v>63.331610318692213</c:v>
                </c:pt>
                <c:pt idx="3">
                  <c:v>50.549001969387881</c:v>
                </c:pt>
                <c:pt idx="4">
                  <c:v>37.351690358365268</c:v>
                </c:pt>
                <c:pt idx="5">
                  <c:v>24.215131667469798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CB-4249-8AB0-EBDC1BA8DCE2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0.37607000000000002</c:v>
                </c:pt>
                <c:pt idx="1">
                  <c:v>9.9817046589247465</c:v>
                </c:pt>
                <c:pt idx="2">
                  <c:v>19.527654817903418</c:v>
                </c:pt>
                <c:pt idx="3">
                  <c:v>29.183520662248284</c:v>
                </c:pt>
                <c:pt idx="4">
                  <c:v>38.956491494239316</c:v>
                </c:pt>
                <c:pt idx="5">
                  <c:v>48.847695084478737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CB-4249-8AB0-EBDC1BA8D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4103168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33.702694842343043</c:v>
                </c:pt>
                <c:pt idx="1">
                  <c:v>46.608917236328125</c:v>
                </c:pt>
                <c:pt idx="2">
                  <c:v>69.059677124023438</c:v>
                </c:pt>
                <c:pt idx="3">
                  <c:v>95.912689208984375</c:v>
                </c:pt>
                <c:pt idx="4">
                  <c:v>124.99247741699219</c:v>
                </c:pt>
                <c:pt idx="5">
                  <c:v>155.84288024902344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CB-4249-8AB0-EBDC1BA8DC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554103168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1626058835"/>
              <c:y val="0.920456412414097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4424174911"/>
              <c:y val="0.255682314519845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54103168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184806102"/>
              <c:y val="0.3200763358778626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56</xdr:row>
      <xdr:rowOff>7620</xdr:rowOff>
    </xdr:from>
    <xdr:to>
      <xdr:col>9</xdr:col>
      <xdr:colOff>838200</xdr:colOff>
      <xdr:row>67</xdr:row>
      <xdr:rowOff>182880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001503AD-A37B-4A59-C8F1-7FB00CF6C5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358140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B47F91E-1943-410B-89ED-7F42D72CC263}"/>
            </a:ext>
          </a:extLst>
        </xdr:cNvPr>
        <xdr:cNvSpPr>
          <a:spLocks noChangeArrowheads="1"/>
        </xdr:cNvSpPr>
      </xdr:nvSpPr>
      <xdr:spPr bwMode="auto">
        <a:xfrm>
          <a:off x="5402580" y="988314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43</xdr:row>
      <xdr:rowOff>0</xdr:rowOff>
    </xdr:from>
    <xdr:to>
      <xdr:col>9</xdr:col>
      <xdr:colOff>320040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E62EB89-5870-4FC6-B756-21B06E5035DC}"/>
            </a:ext>
          </a:extLst>
        </xdr:cNvPr>
        <xdr:cNvSpPr>
          <a:spLocks noChangeArrowheads="1"/>
        </xdr:cNvSpPr>
      </xdr:nvSpPr>
      <xdr:spPr bwMode="auto">
        <a:xfrm>
          <a:off x="526542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43</xdr:row>
      <xdr:rowOff>0</xdr:rowOff>
    </xdr:from>
    <xdr:to>
      <xdr:col>9</xdr:col>
      <xdr:colOff>335280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1DAABC1-5B5C-4297-9F2E-7EC6151F374F}"/>
            </a:ext>
          </a:extLst>
        </xdr:cNvPr>
        <xdr:cNvSpPr>
          <a:spLocks noChangeArrowheads="1"/>
        </xdr:cNvSpPr>
      </xdr:nvSpPr>
      <xdr:spPr bwMode="auto">
        <a:xfrm>
          <a:off x="5280660" y="988314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403860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F3D4B37-38F2-48F3-AC3F-9463940B090F}"/>
            </a:ext>
          </a:extLst>
        </xdr:cNvPr>
        <xdr:cNvSpPr>
          <a:spLocks noChangeArrowheads="1"/>
        </xdr:cNvSpPr>
      </xdr:nvSpPr>
      <xdr:spPr bwMode="auto">
        <a:xfrm>
          <a:off x="5250180" y="988314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43</xdr:row>
      <xdr:rowOff>0</xdr:rowOff>
    </xdr:from>
    <xdr:to>
      <xdr:col>9</xdr:col>
      <xdr:colOff>350520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7E43594-6EA0-48D3-BFE5-D309DFDD644E}"/>
            </a:ext>
          </a:extLst>
        </xdr:cNvPr>
        <xdr:cNvSpPr>
          <a:spLocks noChangeArrowheads="1"/>
        </xdr:cNvSpPr>
      </xdr:nvSpPr>
      <xdr:spPr bwMode="auto">
        <a:xfrm>
          <a:off x="5387340" y="988314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29</xdr:row>
      <xdr:rowOff>85725</xdr:rowOff>
    </xdr:from>
    <xdr:to>
      <xdr:col>3</xdr:col>
      <xdr:colOff>449636</xdr:colOff>
      <xdr:row>29</xdr:row>
      <xdr:rowOff>202266</xdr:rowOff>
    </xdr:to>
    <xdr:sp macro="" textlink="">
      <xdr:nvSpPr>
        <xdr:cNvPr id="7" name="Depth">
          <a:extLst>
            <a:ext uri="{FF2B5EF4-FFF2-40B4-BE49-F238E27FC236}">
              <a16:creationId xmlns:a16="http://schemas.microsoft.com/office/drawing/2014/main" id="{ABD5DC44-BAB0-4A93-83A4-C8A3CE71A583}"/>
            </a:ext>
          </a:extLst>
        </xdr:cNvPr>
        <xdr:cNvSpPr txBox="1">
          <a:spLocks noChangeArrowheads="1"/>
        </xdr:cNvSpPr>
      </xdr:nvSpPr>
      <xdr:spPr bwMode="auto">
        <a:xfrm>
          <a:off x="1861185" y="6768465"/>
          <a:ext cx="249611" cy="11654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87630</xdr:colOff>
      <xdr:row>31</xdr:row>
      <xdr:rowOff>0</xdr:rowOff>
    </xdr:from>
    <xdr:to>
      <xdr:col>2</xdr:col>
      <xdr:colOff>76276</xdr:colOff>
      <xdr:row>31</xdr:row>
      <xdr:rowOff>104775</xdr:rowOff>
    </xdr:to>
    <xdr:sp macro="" textlink="">
      <xdr:nvSpPr>
        <xdr:cNvPr id="8" name="Tip">
          <a:extLst>
            <a:ext uri="{FF2B5EF4-FFF2-40B4-BE49-F238E27FC236}">
              <a16:creationId xmlns:a16="http://schemas.microsoft.com/office/drawing/2014/main" id="{C1117DBA-950A-4EA8-8D05-0EBC54BB4F4B}"/>
            </a:ext>
          </a:extLst>
        </xdr:cNvPr>
        <xdr:cNvSpPr txBox="1">
          <a:spLocks noChangeArrowheads="1"/>
        </xdr:cNvSpPr>
      </xdr:nvSpPr>
      <xdr:spPr bwMode="auto">
        <a:xfrm>
          <a:off x="880110" y="7139940"/>
          <a:ext cx="392506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211455</xdr:colOff>
      <xdr:row>26</xdr:row>
      <xdr:rowOff>200025</xdr:rowOff>
    </xdr:from>
    <xdr:to>
      <xdr:col>3</xdr:col>
      <xdr:colOff>47725</xdr:colOff>
      <xdr:row>27</xdr:row>
      <xdr:rowOff>66675</xdr:rowOff>
    </xdr:to>
    <xdr:sp macro="" textlink="">
      <xdr:nvSpPr>
        <xdr:cNvPr id="9" name="Width">
          <a:extLst>
            <a:ext uri="{FF2B5EF4-FFF2-40B4-BE49-F238E27FC236}">
              <a16:creationId xmlns:a16="http://schemas.microsoft.com/office/drawing/2014/main" id="{7D2DBA88-4445-46D1-9DB1-82891060D29D}"/>
            </a:ext>
          </a:extLst>
        </xdr:cNvPr>
        <xdr:cNvSpPr txBox="1">
          <a:spLocks noChangeArrowheads="1"/>
        </xdr:cNvSpPr>
      </xdr:nvSpPr>
      <xdr:spPr bwMode="auto">
        <a:xfrm>
          <a:off x="1407795" y="6196965"/>
          <a:ext cx="30109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12.7</a:t>
          </a:r>
        </a:p>
      </xdr:txBody>
    </xdr:sp>
    <xdr:clientData/>
  </xdr:twoCellAnchor>
  <xdr:twoCellAnchor>
    <xdr:from>
      <xdr:col>1</xdr:col>
      <xdr:colOff>388620</xdr:colOff>
      <xdr:row>27</xdr:row>
      <xdr:rowOff>60960</xdr:rowOff>
    </xdr:from>
    <xdr:to>
      <xdr:col>3</xdr:col>
      <xdr:colOff>434340</xdr:colOff>
      <xdr:row>31</xdr:row>
      <xdr:rowOff>220980</xdr:rowOff>
    </xdr:to>
    <xdr:grpSp>
      <xdr:nvGrpSpPr>
        <xdr:cNvPr id="10" name="Group 534">
          <a:extLst>
            <a:ext uri="{FF2B5EF4-FFF2-40B4-BE49-F238E27FC236}">
              <a16:creationId xmlns:a16="http://schemas.microsoft.com/office/drawing/2014/main" id="{2BE35812-B56D-4043-A1FA-C48662AAD62E}"/>
            </a:ext>
          </a:extLst>
        </xdr:cNvPr>
        <xdr:cNvGrpSpPr>
          <a:grpSpLocks/>
        </xdr:cNvGrpSpPr>
      </xdr:nvGrpSpPr>
      <xdr:grpSpPr bwMode="auto">
        <a:xfrm>
          <a:off x="1160145" y="6299835"/>
          <a:ext cx="883920" cy="1074420"/>
          <a:chOff x="126" y="661"/>
          <a:chExt cx="99" cy="113"/>
        </a:xfrm>
      </xdr:grpSpPr>
      <xdr:sp macro="" textlink="">
        <xdr:nvSpPr>
          <xdr:cNvPr id="11" name="Line 298">
            <a:extLst>
              <a:ext uri="{FF2B5EF4-FFF2-40B4-BE49-F238E27FC236}">
                <a16:creationId xmlns:a16="http://schemas.microsoft.com/office/drawing/2014/main" id="{9758E7D2-2DF5-96FB-ECAC-0206CB94784B}"/>
              </a:ext>
            </a:extLst>
          </xdr:cNvPr>
          <xdr:cNvSpPr>
            <a:spLocks noChangeShapeType="1"/>
          </xdr:cNvSpPr>
        </xdr:nvSpPr>
        <xdr:spPr bwMode="auto">
          <a:xfrm flipH="1">
            <a:off x="190" y="675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9">
            <a:extLst>
              <a:ext uri="{FF2B5EF4-FFF2-40B4-BE49-F238E27FC236}">
                <a16:creationId xmlns:a16="http://schemas.microsoft.com/office/drawing/2014/main" id="{C8FA46AE-9B11-4849-3269-E3ED6A61615F}"/>
              </a:ext>
            </a:extLst>
          </xdr:cNvPr>
          <xdr:cNvSpPr>
            <a:spLocks noChangeShapeType="1"/>
          </xdr:cNvSpPr>
        </xdr:nvSpPr>
        <xdr:spPr bwMode="auto">
          <a:xfrm flipH="1">
            <a:off x="142" y="676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00">
            <a:extLst>
              <a:ext uri="{FF2B5EF4-FFF2-40B4-BE49-F238E27FC236}">
                <a16:creationId xmlns:a16="http://schemas.microsoft.com/office/drawing/2014/main" id="{60C4700F-FAAD-92DB-DCF5-11EFCCCCFFDD}"/>
              </a:ext>
            </a:extLst>
          </xdr:cNvPr>
          <xdr:cNvSpPr>
            <a:spLocks noChangeShapeType="1"/>
          </xdr:cNvSpPr>
        </xdr:nvSpPr>
        <xdr:spPr bwMode="auto">
          <a:xfrm>
            <a:off x="191" y="675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01">
            <a:extLst>
              <a:ext uri="{FF2B5EF4-FFF2-40B4-BE49-F238E27FC236}">
                <a16:creationId xmlns:a16="http://schemas.microsoft.com/office/drawing/2014/main" id="{CD825B8A-E477-4F0C-5391-BDD57B3630E8}"/>
              </a:ext>
            </a:extLst>
          </xdr:cNvPr>
          <xdr:cNvSpPr>
            <a:spLocks noChangeShapeType="1"/>
          </xdr:cNvSpPr>
        </xdr:nvSpPr>
        <xdr:spPr bwMode="auto">
          <a:xfrm>
            <a:off x="144" y="676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02">
            <a:extLst>
              <a:ext uri="{FF2B5EF4-FFF2-40B4-BE49-F238E27FC236}">
                <a16:creationId xmlns:a16="http://schemas.microsoft.com/office/drawing/2014/main" id="{5EE5BD4F-441A-2AE3-9DE0-9503574F5471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03">
            <a:extLst>
              <a:ext uri="{FF2B5EF4-FFF2-40B4-BE49-F238E27FC236}">
                <a16:creationId xmlns:a16="http://schemas.microsoft.com/office/drawing/2014/main" id="{78082CC5-C556-72B1-57B3-577045FB633A}"/>
              </a:ext>
            </a:extLst>
          </xdr:cNvPr>
          <xdr:cNvSpPr>
            <a:spLocks noChangeShapeType="1"/>
          </xdr:cNvSpPr>
        </xdr:nvSpPr>
        <xdr:spPr bwMode="auto">
          <a:xfrm flipH="1">
            <a:off x="198" y="753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04">
            <a:extLst>
              <a:ext uri="{FF2B5EF4-FFF2-40B4-BE49-F238E27FC236}">
                <a16:creationId xmlns:a16="http://schemas.microsoft.com/office/drawing/2014/main" id="{9C704099-0024-8733-D6A4-36392046A2BE}"/>
              </a:ext>
            </a:extLst>
          </xdr:cNvPr>
          <xdr:cNvSpPr>
            <a:spLocks noChangeShapeType="1"/>
          </xdr:cNvSpPr>
        </xdr:nvSpPr>
        <xdr:spPr bwMode="auto">
          <a:xfrm>
            <a:off x="138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05">
            <a:extLst>
              <a:ext uri="{FF2B5EF4-FFF2-40B4-BE49-F238E27FC236}">
                <a16:creationId xmlns:a16="http://schemas.microsoft.com/office/drawing/2014/main" id="{E7BEBF82-63D7-C447-E69E-834452DA84DB}"/>
              </a:ext>
            </a:extLst>
          </xdr:cNvPr>
          <xdr:cNvSpPr>
            <a:spLocks noChangeShapeType="1"/>
          </xdr:cNvSpPr>
        </xdr:nvSpPr>
        <xdr:spPr bwMode="auto">
          <a:xfrm>
            <a:off x="190" y="753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06">
            <a:extLst>
              <a:ext uri="{FF2B5EF4-FFF2-40B4-BE49-F238E27FC236}">
                <a16:creationId xmlns:a16="http://schemas.microsoft.com/office/drawing/2014/main" id="{90159862-310E-2E28-9EC5-29C7C4A645D5}"/>
              </a:ext>
            </a:extLst>
          </xdr:cNvPr>
          <xdr:cNvSpPr>
            <a:spLocks noChangeShapeType="1"/>
          </xdr:cNvSpPr>
        </xdr:nvSpPr>
        <xdr:spPr bwMode="auto">
          <a:xfrm>
            <a:off x="145" y="755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307">
            <a:extLst>
              <a:ext uri="{FF2B5EF4-FFF2-40B4-BE49-F238E27FC236}">
                <a16:creationId xmlns:a16="http://schemas.microsoft.com/office/drawing/2014/main" id="{4EF039AE-E3BB-EC1F-6AB6-99D660852A0B}"/>
              </a:ext>
            </a:extLst>
          </xdr:cNvPr>
          <xdr:cNvSpPr>
            <a:spLocks noChangeShapeType="1"/>
          </xdr:cNvSpPr>
        </xdr:nvSpPr>
        <xdr:spPr bwMode="auto">
          <a:xfrm>
            <a:off x="190" y="763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308">
            <a:extLst>
              <a:ext uri="{FF2B5EF4-FFF2-40B4-BE49-F238E27FC236}">
                <a16:creationId xmlns:a16="http://schemas.microsoft.com/office/drawing/2014/main" id="{4006458D-BDD2-5750-25A5-B3CADFA23789}"/>
              </a:ext>
            </a:extLst>
          </xdr:cNvPr>
          <xdr:cNvSpPr>
            <a:spLocks noChangeShapeType="1"/>
          </xdr:cNvSpPr>
        </xdr:nvSpPr>
        <xdr:spPr bwMode="auto">
          <a:xfrm flipH="1">
            <a:off x="129" y="763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09">
            <a:extLst>
              <a:ext uri="{FF2B5EF4-FFF2-40B4-BE49-F238E27FC236}">
                <a16:creationId xmlns:a16="http://schemas.microsoft.com/office/drawing/2014/main" id="{4D90C374-472D-E6F7-9028-3CD12428F640}"/>
              </a:ext>
            </a:extLst>
          </xdr:cNvPr>
          <xdr:cNvSpPr>
            <a:spLocks noChangeShapeType="1"/>
          </xdr:cNvSpPr>
        </xdr:nvSpPr>
        <xdr:spPr bwMode="auto">
          <a:xfrm>
            <a:off x="198" y="677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10">
            <a:extLst>
              <a:ext uri="{FF2B5EF4-FFF2-40B4-BE49-F238E27FC236}">
                <a16:creationId xmlns:a16="http://schemas.microsoft.com/office/drawing/2014/main" id="{BD93C11C-03B4-8C97-D66E-634C0F5C94FA}"/>
              </a:ext>
            </a:extLst>
          </xdr:cNvPr>
          <xdr:cNvSpPr>
            <a:spLocks noChangeShapeType="1"/>
          </xdr:cNvSpPr>
        </xdr:nvSpPr>
        <xdr:spPr bwMode="auto">
          <a:xfrm flipV="1">
            <a:off x="208" y="678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11">
            <a:extLst>
              <a:ext uri="{FF2B5EF4-FFF2-40B4-BE49-F238E27FC236}">
                <a16:creationId xmlns:a16="http://schemas.microsoft.com/office/drawing/2014/main" id="{91F47EFE-F660-3A01-B13C-89D70A2BA81F}"/>
              </a:ext>
            </a:extLst>
          </xdr:cNvPr>
          <xdr:cNvSpPr>
            <a:spLocks noChangeShapeType="1"/>
          </xdr:cNvSpPr>
        </xdr:nvSpPr>
        <xdr:spPr bwMode="auto">
          <a:xfrm>
            <a:off x="208" y="732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12">
            <a:extLst>
              <a:ext uri="{FF2B5EF4-FFF2-40B4-BE49-F238E27FC236}">
                <a16:creationId xmlns:a16="http://schemas.microsoft.com/office/drawing/2014/main" id="{3B1EA520-9DD8-0169-9CAF-195CB0233F2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64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13">
            <a:extLst>
              <a:ext uri="{FF2B5EF4-FFF2-40B4-BE49-F238E27FC236}">
                <a16:creationId xmlns:a16="http://schemas.microsoft.com/office/drawing/2014/main" id="{9CA4A5AC-3BFF-32EF-9E67-3B3D094E8129}"/>
              </a:ext>
            </a:extLst>
          </xdr:cNvPr>
          <xdr:cNvSpPr>
            <a:spLocks noChangeShapeType="1"/>
          </xdr:cNvSpPr>
        </xdr:nvSpPr>
        <xdr:spPr bwMode="auto">
          <a:xfrm>
            <a:off x="130" y="738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14">
            <a:extLst>
              <a:ext uri="{FF2B5EF4-FFF2-40B4-BE49-F238E27FC236}">
                <a16:creationId xmlns:a16="http://schemas.microsoft.com/office/drawing/2014/main" id="{7DC3FF24-6965-7540-B407-FB48F605E0D7}"/>
              </a:ext>
            </a:extLst>
          </xdr:cNvPr>
          <xdr:cNvSpPr>
            <a:spLocks noChangeShapeType="1"/>
          </xdr:cNvSpPr>
        </xdr:nvSpPr>
        <xdr:spPr bwMode="auto">
          <a:xfrm>
            <a:off x="126" y="748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15">
            <a:extLst>
              <a:ext uri="{FF2B5EF4-FFF2-40B4-BE49-F238E27FC236}">
                <a16:creationId xmlns:a16="http://schemas.microsoft.com/office/drawing/2014/main" id="{814E8A1F-4498-7504-ACA3-2029ED4C6814}"/>
              </a:ext>
            </a:extLst>
          </xdr:cNvPr>
          <xdr:cNvSpPr>
            <a:spLocks noChangeShapeType="1"/>
          </xdr:cNvSpPr>
        </xdr:nvSpPr>
        <xdr:spPr bwMode="auto">
          <a:xfrm flipV="1">
            <a:off x="191" y="661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16">
            <a:extLst>
              <a:ext uri="{FF2B5EF4-FFF2-40B4-BE49-F238E27FC236}">
                <a16:creationId xmlns:a16="http://schemas.microsoft.com/office/drawing/2014/main" id="{04757D7A-10A3-5712-8633-82D68896152B}"/>
              </a:ext>
            </a:extLst>
          </xdr:cNvPr>
          <xdr:cNvSpPr>
            <a:spLocks noChangeShapeType="1"/>
          </xdr:cNvSpPr>
        </xdr:nvSpPr>
        <xdr:spPr bwMode="auto">
          <a:xfrm flipV="1">
            <a:off x="143" y="662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17">
            <a:extLst>
              <a:ext uri="{FF2B5EF4-FFF2-40B4-BE49-F238E27FC236}">
                <a16:creationId xmlns:a16="http://schemas.microsoft.com/office/drawing/2014/main" id="{D802ADFE-2F90-34D0-DECF-1F8DAAB68C85}"/>
              </a:ext>
            </a:extLst>
          </xdr:cNvPr>
          <xdr:cNvSpPr>
            <a:spLocks noChangeShapeType="1"/>
          </xdr:cNvSpPr>
        </xdr:nvSpPr>
        <xdr:spPr bwMode="auto">
          <a:xfrm>
            <a:off x="152" y="66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18">
            <a:extLst>
              <a:ext uri="{FF2B5EF4-FFF2-40B4-BE49-F238E27FC236}">
                <a16:creationId xmlns:a16="http://schemas.microsoft.com/office/drawing/2014/main" id="{F9B0A38F-986F-C15A-854F-DAAF3248D4AA}"/>
              </a:ext>
            </a:extLst>
          </xdr:cNvPr>
          <xdr:cNvSpPr>
            <a:spLocks noChangeShapeType="1"/>
          </xdr:cNvSpPr>
        </xdr:nvSpPr>
        <xdr:spPr bwMode="auto">
          <a:xfrm flipH="1">
            <a:off x="147" y="667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319">
            <a:extLst>
              <a:ext uri="{FF2B5EF4-FFF2-40B4-BE49-F238E27FC236}">
                <a16:creationId xmlns:a16="http://schemas.microsoft.com/office/drawing/2014/main" id="{7B4C9073-6F65-E416-9737-6ADAE1C28626}"/>
              </a:ext>
            </a:extLst>
          </xdr:cNvPr>
          <xdr:cNvSpPr>
            <a:spLocks noChangeShapeType="1"/>
          </xdr:cNvSpPr>
        </xdr:nvSpPr>
        <xdr:spPr bwMode="auto">
          <a:xfrm>
            <a:off x="138" y="748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320">
            <a:extLst>
              <a:ext uri="{FF2B5EF4-FFF2-40B4-BE49-F238E27FC236}">
                <a16:creationId xmlns:a16="http://schemas.microsoft.com/office/drawing/2014/main" id="{9CDCE4C7-E04B-B987-B181-A8FE5AD679DB}"/>
              </a:ext>
            </a:extLst>
          </xdr:cNvPr>
          <xdr:cNvSpPr>
            <a:spLocks noChangeShapeType="1"/>
          </xdr:cNvSpPr>
        </xdr:nvSpPr>
        <xdr:spPr bwMode="auto">
          <a:xfrm>
            <a:off x="190" y="754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21">
            <a:extLst>
              <a:ext uri="{FF2B5EF4-FFF2-40B4-BE49-F238E27FC236}">
                <a16:creationId xmlns:a16="http://schemas.microsoft.com/office/drawing/2014/main" id="{E05DD297-65E1-BD95-3E89-DCEF91556AA7}"/>
              </a:ext>
            </a:extLst>
          </xdr:cNvPr>
          <xdr:cNvSpPr>
            <a:spLocks noChangeShapeType="1"/>
          </xdr:cNvSpPr>
        </xdr:nvSpPr>
        <xdr:spPr bwMode="auto">
          <a:xfrm flipV="1">
            <a:off x="198" y="746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322">
            <a:extLst>
              <a:ext uri="{FF2B5EF4-FFF2-40B4-BE49-F238E27FC236}">
                <a16:creationId xmlns:a16="http://schemas.microsoft.com/office/drawing/2014/main" id="{C12B2E8B-DCEF-E509-E208-347F20DB3C20}"/>
              </a:ext>
            </a:extLst>
          </xdr:cNvPr>
          <xdr:cNvSpPr>
            <a:spLocks noChangeShapeType="1"/>
          </xdr:cNvSpPr>
        </xdr:nvSpPr>
        <xdr:spPr bwMode="auto">
          <a:xfrm>
            <a:off x="191" y="747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422910</xdr:colOff>
      <xdr:row>42</xdr:row>
      <xdr:rowOff>180975</xdr:rowOff>
    </xdr:from>
    <xdr:to>
      <xdr:col>3</xdr:col>
      <xdr:colOff>297269</xdr:colOff>
      <xdr:row>43</xdr:row>
      <xdr:rowOff>66675</xdr:rowOff>
    </xdr:to>
    <xdr:sp macro="" textlink="">
      <xdr:nvSpPr>
        <xdr:cNvPr id="36" name="Area">
          <a:extLst>
            <a:ext uri="{FF2B5EF4-FFF2-40B4-BE49-F238E27FC236}">
              <a16:creationId xmlns:a16="http://schemas.microsoft.com/office/drawing/2014/main" id="{59877FD0-4CBE-403E-A6CB-EF0ACFA7D73B}"/>
            </a:ext>
          </a:extLst>
        </xdr:cNvPr>
        <xdr:cNvSpPr txBox="1">
          <a:spLocks noChangeArrowheads="1"/>
        </xdr:cNvSpPr>
      </xdr:nvSpPr>
      <xdr:spPr bwMode="auto">
        <a:xfrm>
          <a:off x="1619250" y="9835515"/>
          <a:ext cx="339179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2750.0</a:t>
          </a:r>
        </a:p>
      </xdr:txBody>
    </xdr:sp>
    <xdr:clientData/>
  </xdr:twoCellAnchor>
  <xdr:twoCellAnchor>
    <xdr:from>
      <xdr:col>1</xdr:col>
      <xdr:colOff>249555</xdr:colOff>
      <xdr:row>40</xdr:row>
      <xdr:rowOff>200025</xdr:rowOff>
    </xdr:from>
    <xdr:to>
      <xdr:col>2</xdr:col>
      <xdr:colOff>240030</xdr:colOff>
      <xdr:row>41</xdr:row>
      <xdr:rowOff>104775</xdr:rowOff>
    </xdr:to>
    <xdr:sp macro="" textlink="">
      <xdr:nvSpPr>
        <xdr:cNvPr id="37" name="OD">
          <a:extLst>
            <a:ext uri="{FF2B5EF4-FFF2-40B4-BE49-F238E27FC236}">
              <a16:creationId xmlns:a16="http://schemas.microsoft.com/office/drawing/2014/main" id="{C172050C-A8AE-4A6E-A603-B91D23183F1A}"/>
            </a:ext>
          </a:extLst>
        </xdr:cNvPr>
        <xdr:cNvSpPr txBox="1">
          <a:spLocks noChangeArrowheads="1"/>
        </xdr:cNvSpPr>
      </xdr:nvSpPr>
      <xdr:spPr bwMode="auto">
        <a:xfrm>
          <a:off x="1042035" y="9397365"/>
          <a:ext cx="394335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420.0</a:t>
          </a:r>
        </a:p>
      </xdr:txBody>
    </xdr:sp>
    <xdr:clientData/>
  </xdr:twoCellAnchor>
  <xdr:twoCellAnchor>
    <xdr:from>
      <xdr:col>2</xdr:col>
      <xdr:colOff>66675</xdr:colOff>
      <xdr:row>40</xdr:row>
      <xdr:rowOff>57150</xdr:rowOff>
    </xdr:from>
    <xdr:to>
      <xdr:col>2</xdr:col>
      <xdr:colOff>335227</xdr:colOff>
      <xdr:row>40</xdr:row>
      <xdr:rowOff>152400</xdr:rowOff>
    </xdr:to>
    <xdr:sp macro="" textlink="">
      <xdr:nvSpPr>
        <xdr:cNvPr id="38" name="Height">
          <a:extLst>
            <a:ext uri="{FF2B5EF4-FFF2-40B4-BE49-F238E27FC236}">
              <a16:creationId xmlns:a16="http://schemas.microsoft.com/office/drawing/2014/main" id="{8B83D57E-111E-4FAF-AE5B-2E65A81280D4}"/>
            </a:ext>
          </a:extLst>
        </xdr:cNvPr>
        <xdr:cNvSpPr txBox="1">
          <a:spLocks noChangeArrowheads="1"/>
        </xdr:cNvSpPr>
      </xdr:nvSpPr>
      <xdr:spPr bwMode="auto">
        <a:xfrm>
          <a:off x="1263015" y="9254490"/>
          <a:ext cx="2685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2</xdr:col>
      <xdr:colOff>344805</xdr:colOff>
      <xdr:row>40</xdr:row>
      <xdr:rowOff>57150</xdr:rowOff>
    </xdr:from>
    <xdr:to>
      <xdr:col>3</xdr:col>
      <xdr:colOff>173355</xdr:colOff>
      <xdr:row>40</xdr:row>
      <xdr:rowOff>180975</xdr:rowOff>
    </xdr:to>
    <xdr:sp macro="" textlink="">
      <xdr:nvSpPr>
        <xdr:cNvPr id="39" name="Thickness">
          <a:extLst>
            <a:ext uri="{FF2B5EF4-FFF2-40B4-BE49-F238E27FC236}">
              <a16:creationId xmlns:a16="http://schemas.microsoft.com/office/drawing/2014/main" id="{211E1FFA-331B-4A9F-9FF6-D5C0A7B2AA54}"/>
            </a:ext>
          </a:extLst>
        </xdr:cNvPr>
        <xdr:cNvSpPr txBox="1">
          <a:spLocks noChangeArrowheads="1"/>
        </xdr:cNvSpPr>
      </xdr:nvSpPr>
      <xdr:spPr bwMode="auto">
        <a:xfrm>
          <a:off x="1541145" y="9254490"/>
          <a:ext cx="2933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1</xdr:col>
      <xdr:colOff>287655</xdr:colOff>
      <xdr:row>42</xdr:row>
      <xdr:rowOff>0</xdr:rowOff>
    </xdr:from>
    <xdr:to>
      <xdr:col>2</xdr:col>
      <xdr:colOff>182880</xdr:colOff>
      <xdr:row>42</xdr:row>
      <xdr:rowOff>123825</xdr:rowOff>
    </xdr:to>
    <xdr:sp macro="" textlink="">
      <xdr:nvSpPr>
        <xdr:cNvPr id="40" name="ID">
          <a:extLst>
            <a:ext uri="{FF2B5EF4-FFF2-40B4-BE49-F238E27FC236}">
              <a16:creationId xmlns:a16="http://schemas.microsoft.com/office/drawing/2014/main" id="{89CC82B0-878F-44BA-BDD9-1E6069309E03}"/>
            </a:ext>
          </a:extLst>
        </xdr:cNvPr>
        <xdr:cNvSpPr txBox="1">
          <a:spLocks noChangeArrowheads="1"/>
        </xdr:cNvSpPr>
      </xdr:nvSpPr>
      <xdr:spPr bwMode="auto">
        <a:xfrm>
          <a:off x="1080135" y="9654540"/>
          <a:ext cx="29908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280.0</a:t>
          </a:r>
        </a:p>
      </xdr:txBody>
    </xdr:sp>
    <xdr:clientData/>
  </xdr:twoCellAnchor>
  <xdr:twoCellAnchor>
    <xdr:from>
      <xdr:col>3</xdr:col>
      <xdr:colOff>125730</xdr:colOff>
      <xdr:row>32</xdr:row>
      <xdr:rowOff>85725</xdr:rowOff>
    </xdr:from>
    <xdr:to>
      <xdr:col>3</xdr:col>
      <xdr:colOff>373380</xdr:colOff>
      <xdr:row>32</xdr:row>
      <xdr:rowOff>200025</xdr:rowOff>
    </xdr:to>
    <xdr:sp macro="" textlink="">
      <xdr:nvSpPr>
        <xdr:cNvPr id="41" name="Tip2">
          <a:extLst>
            <a:ext uri="{FF2B5EF4-FFF2-40B4-BE49-F238E27FC236}">
              <a16:creationId xmlns:a16="http://schemas.microsoft.com/office/drawing/2014/main" id="{064A2755-371D-4284-9282-E1784248D7A8}"/>
            </a:ext>
          </a:extLst>
        </xdr:cNvPr>
        <xdr:cNvSpPr txBox="1">
          <a:spLocks noChangeArrowheads="1"/>
        </xdr:cNvSpPr>
      </xdr:nvSpPr>
      <xdr:spPr bwMode="auto">
        <a:xfrm>
          <a:off x="1786890" y="7454265"/>
          <a:ext cx="24765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0.80</a:t>
          </a:r>
        </a:p>
      </xdr:txBody>
    </xdr:sp>
    <xdr:clientData/>
  </xdr:twoCellAnchor>
  <xdr:twoCellAnchor>
    <xdr:from>
      <xdr:col>3</xdr:col>
      <xdr:colOff>201930</xdr:colOff>
      <xdr:row>35</xdr:row>
      <xdr:rowOff>47625</xdr:rowOff>
    </xdr:from>
    <xdr:to>
      <xdr:col>3</xdr:col>
      <xdr:colOff>470482</xdr:colOff>
      <xdr:row>35</xdr:row>
      <xdr:rowOff>161925</xdr:rowOff>
    </xdr:to>
    <xdr:sp macro="" textlink="">
      <xdr:nvSpPr>
        <xdr:cNvPr id="42" name="Depth2">
          <a:extLst>
            <a:ext uri="{FF2B5EF4-FFF2-40B4-BE49-F238E27FC236}">
              <a16:creationId xmlns:a16="http://schemas.microsoft.com/office/drawing/2014/main" id="{67186C03-9A47-478A-AA00-DBAF9DE05993}"/>
            </a:ext>
          </a:extLst>
        </xdr:cNvPr>
        <xdr:cNvSpPr txBox="1">
          <a:spLocks noChangeArrowheads="1"/>
        </xdr:cNvSpPr>
      </xdr:nvSpPr>
      <xdr:spPr bwMode="auto">
        <a:xfrm>
          <a:off x="1863090" y="8101965"/>
          <a:ext cx="268552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32.80</a:t>
          </a:r>
        </a:p>
      </xdr:txBody>
    </xdr:sp>
    <xdr:clientData/>
  </xdr:twoCellAnchor>
  <xdr:twoCellAnchor>
    <xdr:from>
      <xdr:col>2</xdr:col>
      <xdr:colOff>394335</xdr:colOff>
      <xdr:row>33</xdr:row>
      <xdr:rowOff>142875</xdr:rowOff>
    </xdr:from>
    <xdr:to>
      <xdr:col>3</xdr:col>
      <xdr:colOff>163767</xdr:colOff>
      <xdr:row>34</xdr:row>
      <xdr:rowOff>9525</xdr:rowOff>
    </xdr:to>
    <xdr:sp macro="" textlink="">
      <xdr:nvSpPr>
        <xdr:cNvPr id="43" name="Hat Depth">
          <a:extLst>
            <a:ext uri="{FF2B5EF4-FFF2-40B4-BE49-F238E27FC236}">
              <a16:creationId xmlns:a16="http://schemas.microsoft.com/office/drawing/2014/main" id="{D985E688-E2D3-4C36-BDEB-1BF8EE0C62EB}"/>
            </a:ext>
          </a:extLst>
        </xdr:cNvPr>
        <xdr:cNvSpPr txBox="1">
          <a:spLocks noChangeArrowheads="1"/>
        </xdr:cNvSpPr>
      </xdr:nvSpPr>
      <xdr:spPr bwMode="auto">
        <a:xfrm>
          <a:off x="1590675" y="7740015"/>
          <a:ext cx="234252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2.0</a:t>
          </a:r>
        </a:p>
      </xdr:txBody>
    </xdr:sp>
    <xdr:clientData/>
  </xdr:twoCellAnchor>
  <xdr:twoCellAnchor>
    <xdr:from>
      <xdr:col>2</xdr:col>
      <xdr:colOff>382905</xdr:colOff>
      <xdr:row>34</xdr:row>
      <xdr:rowOff>38100</xdr:rowOff>
    </xdr:from>
    <xdr:to>
      <xdr:col>3</xdr:col>
      <xdr:colOff>173355</xdr:colOff>
      <xdr:row>34</xdr:row>
      <xdr:rowOff>161925</xdr:rowOff>
    </xdr:to>
    <xdr:sp macro="" textlink="">
      <xdr:nvSpPr>
        <xdr:cNvPr id="44" name="Up Bar Depth">
          <a:extLst>
            <a:ext uri="{FF2B5EF4-FFF2-40B4-BE49-F238E27FC236}">
              <a16:creationId xmlns:a16="http://schemas.microsoft.com/office/drawing/2014/main" id="{6C055E08-6894-4E12-B966-CB9C3FDC89C1}"/>
            </a:ext>
          </a:extLst>
        </xdr:cNvPr>
        <xdr:cNvSpPr txBox="1">
          <a:spLocks noChangeArrowheads="1"/>
        </xdr:cNvSpPr>
      </xdr:nvSpPr>
      <xdr:spPr bwMode="auto">
        <a:xfrm>
          <a:off x="1579245" y="7863840"/>
          <a:ext cx="25527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5.0</a:t>
          </a:r>
        </a:p>
      </xdr:txBody>
    </xdr:sp>
    <xdr:clientData/>
  </xdr:twoCellAnchor>
  <xdr:twoCellAnchor>
    <xdr:from>
      <xdr:col>1</xdr:col>
      <xdr:colOff>352425</xdr:colOff>
      <xdr:row>34</xdr:row>
      <xdr:rowOff>19050</xdr:rowOff>
    </xdr:from>
    <xdr:to>
      <xdr:col>2</xdr:col>
      <xdr:colOff>135402</xdr:colOff>
      <xdr:row>34</xdr:row>
      <xdr:rowOff>171450</xdr:rowOff>
    </xdr:to>
    <xdr:sp macro="" textlink="">
      <xdr:nvSpPr>
        <xdr:cNvPr id="45" name="Up Bar Width">
          <a:extLst>
            <a:ext uri="{FF2B5EF4-FFF2-40B4-BE49-F238E27FC236}">
              <a16:creationId xmlns:a16="http://schemas.microsoft.com/office/drawing/2014/main" id="{892F4842-4EB0-49DC-B596-DDDFA4E70A41}"/>
            </a:ext>
          </a:extLst>
        </xdr:cNvPr>
        <xdr:cNvSpPr txBox="1">
          <a:spLocks noChangeArrowheads="1"/>
        </xdr:cNvSpPr>
      </xdr:nvSpPr>
      <xdr:spPr bwMode="auto">
        <a:xfrm>
          <a:off x="1144905" y="7844790"/>
          <a:ext cx="186837" cy="1524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12.0</a:t>
          </a:r>
        </a:p>
      </xdr:txBody>
    </xdr:sp>
    <xdr:clientData/>
  </xdr:twoCellAnchor>
  <xdr:twoCellAnchor>
    <xdr:from>
      <xdr:col>2</xdr:col>
      <xdr:colOff>163830</xdr:colOff>
      <xdr:row>35</xdr:row>
      <xdr:rowOff>85725</xdr:rowOff>
    </xdr:from>
    <xdr:to>
      <xdr:col>2</xdr:col>
      <xdr:colOff>459105</xdr:colOff>
      <xdr:row>35</xdr:row>
      <xdr:rowOff>190500</xdr:rowOff>
    </xdr:to>
    <xdr:sp macro="" textlink="">
      <xdr:nvSpPr>
        <xdr:cNvPr id="46" name="Width2">
          <a:extLst>
            <a:ext uri="{FF2B5EF4-FFF2-40B4-BE49-F238E27FC236}">
              <a16:creationId xmlns:a16="http://schemas.microsoft.com/office/drawing/2014/main" id="{AE5D043F-B136-45E4-A302-5DFD2FB4E6DF}"/>
            </a:ext>
          </a:extLst>
        </xdr:cNvPr>
        <xdr:cNvSpPr txBox="1">
          <a:spLocks noChangeArrowheads="1"/>
        </xdr:cNvSpPr>
      </xdr:nvSpPr>
      <xdr:spPr bwMode="auto">
        <a:xfrm>
          <a:off x="1360170" y="8140065"/>
          <a:ext cx="2952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14.94</a:t>
          </a:r>
        </a:p>
      </xdr:txBody>
    </xdr:sp>
    <xdr:clientData/>
  </xdr:twoCellAnchor>
  <xdr:twoCellAnchor>
    <xdr:from>
      <xdr:col>3</xdr:col>
      <xdr:colOff>49530</xdr:colOff>
      <xdr:row>36</xdr:row>
      <xdr:rowOff>19050</xdr:rowOff>
    </xdr:from>
    <xdr:to>
      <xdr:col>3</xdr:col>
      <xdr:colOff>344805</xdr:colOff>
      <xdr:row>36</xdr:row>
      <xdr:rowOff>142875</xdr:rowOff>
    </xdr:to>
    <xdr:sp macro="" textlink="">
      <xdr:nvSpPr>
        <xdr:cNvPr id="47" name="Low Bar Depth">
          <a:extLst>
            <a:ext uri="{FF2B5EF4-FFF2-40B4-BE49-F238E27FC236}">
              <a16:creationId xmlns:a16="http://schemas.microsoft.com/office/drawing/2014/main" id="{7FE276B3-3F6F-489B-B7B3-10B5AF3361AC}"/>
            </a:ext>
          </a:extLst>
        </xdr:cNvPr>
        <xdr:cNvSpPr txBox="1">
          <a:spLocks noChangeArrowheads="1"/>
        </xdr:cNvSpPr>
      </xdr:nvSpPr>
      <xdr:spPr bwMode="auto">
        <a:xfrm>
          <a:off x="1710690" y="8301990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25.00</a:t>
          </a:r>
        </a:p>
      </xdr:txBody>
    </xdr:sp>
    <xdr:clientData/>
  </xdr:twoCellAnchor>
  <xdr:twoCellAnchor>
    <xdr:from>
      <xdr:col>2</xdr:col>
      <xdr:colOff>182880</xdr:colOff>
      <xdr:row>36</xdr:row>
      <xdr:rowOff>152400</xdr:rowOff>
    </xdr:from>
    <xdr:to>
      <xdr:col>2</xdr:col>
      <xdr:colOff>411480</xdr:colOff>
      <xdr:row>37</xdr:row>
      <xdr:rowOff>28575</xdr:rowOff>
    </xdr:to>
    <xdr:sp macro="" textlink="">
      <xdr:nvSpPr>
        <xdr:cNvPr id="48" name="Width3">
          <a:extLst>
            <a:ext uri="{FF2B5EF4-FFF2-40B4-BE49-F238E27FC236}">
              <a16:creationId xmlns:a16="http://schemas.microsoft.com/office/drawing/2014/main" id="{38AF80AE-A52F-467C-B83D-B2E768F3C550}"/>
            </a:ext>
          </a:extLst>
        </xdr:cNvPr>
        <xdr:cNvSpPr txBox="1">
          <a:spLocks noChangeArrowheads="1"/>
        </xdr:cNvSpPr>
      </xdr:nvSpPr>
      <xdr:spPr bwMode="auto">
        <a:xfrm>
          <a:off x="1379220" y="8435340"/>
          <a:ext cx="2286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80"/>
              </a:solidFill>
              <a:latin typeface="Univers (W1)"/>
            </a:rPr>
            <a:t>11.37</a:t>
          </a:r>
        </a:p>
      </xdr:txBody>
    </xdr:sp>
    <xdr:clientData/>
  </xdr:twoCellAnchor>
  <xdr:twoCellAnchor>
    <xdr:from>
      <xdr:col>1</xdr:col>
      <xdr:colOff>160020</xdr:colOff>
      <xdr:row>39</xdr:row>
      <xdr:rowOff>91440</xdr:rowOff>
    </xdr:from>
    <xdr:to>
      <xdr:col>3</xdr:col>
      <xdr:colOff>533400</xdr:colOff>
      <xdr:row>43</xdr:row>
      <xdr:rowOff>68580</xdr:rowOff>
    </xdr:to>
    <xdr:grpSp>
      <xdr:nvGrpSpPr>
        <xdr:cNvPr id="49" name="Group 512">
          <a:extLst>
            <a:ext uri="{FF2B5EF4-FFF2-40B4-BE49-F238E27FC236}">
              <a16:creationId xmlns:a16="http://schemas.microsoft.com/office/drawing/2014/main" id="{9EA21FCE-E98C-4EFB-8D3C-5ABA73CF18C1}"/>
            </a:ext>
          </a:extLst>
        </xdr:cNvPr>
        <xdr:cNvGrpSpPr>
          <a:grpSpLocks/>
        </xdr:cNvGrpSpPr>
      </xdr:nvGrpSpPr>
      <xdr:grpSpPr bwMode="auto">
        <a:xfrm>
          <a:off x="931545" y="9073515"/>
          <a:ext cx="1211580" cy="891540"/>
          <a:chOff x="102" y="929"/>
          <a:chExt cx="133" cy="93"/>
        </a:xfrm>
      </xdr:grpSpPr>
      <xdr:sp macro="" textlink="">
        <xdr:nvSpPr>
          <xdr:cNvPr id="50" name="Line 479">
            <a:extLst>
              <a:ext uri="{FF2B5EF4-FFF2-40B4-BE49-F238E27FC236}">
                <a16:creationId xmlns:a16="http://schemas.microsoft.com/office/drawing/2014/main" id="{0DA4C4D7-AB07-9D9E-D342-6E7983E41B6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1" y="989"/>
            <a:ext cx="0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480">
            <a:extLst>
              <a:ext uri="{FF2B5EF4-FFF2-40B4-BE49-F238E27FC236}">
                <a16:creationId xmlns:a16="http://schemas.microsoft.com/office/drawing/2014/main" id="{92A4202B-B562-A2D6-9E8B-FDA6C2554D3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481">
            <a:extLst>
              <a:ext uri="{FF2B5EF4-FFF2-40B4-BE49-F238E27FC236}">
                <a16:creationId xmlns:a16="http://schemas.microsoft.com/office/drawing/2014/main" id="{182BB7F3-2E1D-7B1C-0590-95EBEAF2FE25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482">
            <a:extLst>
              <a:ext uri="{FF2B5EF4-FFF2-40B4-BE49-F238E27FC236}">
                <a16:creationId xmlns:a16="http://schemas.microsoft.com/office/drawing/2014/main" id="{A91D6602-4646-1FDB-02AF-601AC08D2E41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483">
            <a:extLst>
              <a:ext uri="{FF2B5EF4-FFF2-40B4-BE49-F238E27FC236}">
                <a16:creationId xmlns:a16="http://schemas.microsoft.com/office/drawing/2014/main" id="{37F09B71-05A2-38E2-2B52-3A7FB7777CAA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484">
            <a:extLst>
              <a:ext uri="{FF2B5EF4-FFF2-40B4-BE49-F238E27FC236}">
                <a16:creationId xmlns:a16="http://schemas.microsoft.com/office/drawing/2014/main" id="{87B85F66-F2FA-0F14-5AC2-31EDBE6BFF8B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485">
            <a:extLst>
              <a:ext uri="{FF2B5EF4-FFF2-40B4-BE49-F238E27FC236}">
                <a16:creationId xmlns:a16="http://schemas.microsoft.com/office/drawing/2014/main" id="{F844332D-97EC-71E2-B0E1-D54A583833CB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486">
            <a:extLst>
              <a:ext uri="{FF2B5EF4-FFF2-40B4-BE49-F238E27FC236}">
                <a16:creationId xmlns:a16="http://schemas.microsoft.com/office/drawing/2014/main" id="{89521F04-1EB4-BC05-4939-E629473DD32A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487">
            <a:extLst>
              <a:ext uri="{FF2B5EF4-FFF2-40B4-BE49-F238E27FC236}">
                <a16:creationId xmlns:a16="http://schemas.microsoft.com/office/drawing/2014/main" id="{050633F7-3985-6860-276B-D60D87737D7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488">
            <a:extLst>
              <a:ext uri="{FF2B5EF4-FFF2-40B4-BE49-F238E27FC236}">
                <a16:creationId xmlns:a16="http://schemas.microsoft.com/office/drawing/2014/main" id="{103531A0-0983-9864-1C94-101755B25FF1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489">
            <a:extLst>
              <a:ext uri="{FF2B5EF4-FFF2-40B4-BE49-F238E27FC236}">
                <a16:creationId xmlns:a16="http://schemas.microsoft.com/office/drawing/2014/main" id="{BE0312D5-7F8E-D0B5-49E4-045EC729B54E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490">
            <a:extLst>
              <a:ext uri="{FF2B5EF4-FFF2-40B4-BE49-F238E27FC236}">
                <a16:creationId xmlns:a16="http://schemas.microsoft.com/office/drawing/2014/main" id="{55F397D4-CA49-083A-6758-36044676BC7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491">
            <a:extLst>
              <a:ext uri="{FF2B5EF4-FFF2-40B4-BE49-F238E27FC236}">
                <a16:creationId xmlns:a16="http://schemas.microsoft.com/office/drawing/2014/main" id="{4A459D9F-1BEF-CDAF-44AD-0C1F27F5B154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Text 1067">
            <a:extLst>
              <a:ext uri="{FF2B5EF4-FFF2-40B4-BE49-F238E27FC236}">
                <a16:creationId xmlns:a16="http://schemas.microsoft.com/office/drawing/2014/main" id="{8B381660-ACBB-D7BA-90A2-4C2C1C80DAD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4" name="Text 1068">
            <a:extLst>
              <a:ext uri="{FF2B5EF4-FFF2-40B4-BE49-F238E27FC236}">
                <a16:creationId xmlns:a16="http://schemas.microsoft.com/office/drawing/2014/main" id="{44ED687C-7A6F-AE82-8DC1-BD87AD475B1C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65" name="Text 1069">
            <a:extLst>
              <a:ext uri="{FF2B5EF4-FFF2-40B4-BE49-F238E27FC236}">
                <a16:creationId xmlns:a16="http://schemas.microsoft.com/office/drawing/2014/main" id="{830AC4F7-C489-1FA2-C6E4-E8359B76757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66" name="Line 495">
            <a:extLst>
              <a:ext uri="{FF2B5EF4-FFF2-40B4-BE49-F238E27FC236}">
                <a16:creationId xmlns:a16="http://schemas.microsoft.com/office/drawing/2014/main" id="{02CC91D0-D719-73A6-EB32-63864A6E3BA8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" y="929"/>
            <a:ext cx="2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496">
            <a:extLst>
              <a:ext uri="{FF2B5EF4-FFF2-40B4-BE49-F238E27FC236}">
                <a16:creationId xmlns:a16="http://schemas.microsoft.com/office/drawing/2014/main" id="{11690443-0289-ECE3-3DD1-BC1555A6AD8D}"/>
              </a:ext>
            </a:extLst>
          </xdr:cNvPr>
          <xdr:cNvSpPr>
            <a:spLocks noChangeShapeType="1"/>
          </xdr:cNvSpPr>
        </xdr:nvSpPr>
        <xdr:spPr bwMode="auto">
          <a:xfrm>
            <a:off x="163" y="929"/>
            <a:ext cx="0" cy="7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497">
            <a:extLst>
              <a:ext uri="{FF2B5EF4-FFF2-40B4-BE49-F238E27FC236}">
                <a16:creationId xmlns:a16="http://schemas.microsoft.com/office/drawing/2014/main" id="{5E3F01EC-1EEC-6C7B-0E1D-2668B1A94B19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34"/>
            <a:ext cx="7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498">
            <a:extLst>
              <a:ext uri="{FF2B5EF4-FFF2-40B4-BE49-F238E27FC236}">
                <a16:creationId xmlns:a16="http://schemas.microsoft.com/office/drawing/2014/main" id="{B94292B1-4B0F-5481-7766-5FC1F2D468CC}"/>
              </a:ext>
            </a:extLst>
          </xdr:cNvPr>
          <xdr:cNvSpPr>
            <a:spLocks noChangeShapeType="1"/>
          </xdr:cNvSpPr>
        </xdr:nvSpPr>
        <xdr:spPr bwMode="auto">
          <a:xfrm flipH="1">
            <a:off x="235" y="934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499">
            <a:extLst>
              <a:ext uri="{FF2B5EF4-FFF2-40B4-BE49-F238E27FC236}">
                <a16:creationId xmlns:a16="http://schemas.microsoft.com/office/drawing/2014/main" id="{323CD778-7142-9862-CC92-783A6E882674}"/>
              </a:ext>
            </a:extLst>
          </xdr:cNvPr>
          <xdr:cNvSpPr>
            <a:spLocks noChangeShapeType="1"/>
          </xdr:cNvSpPr>
        </xdr:nvSpPr>
        <xdr:spPr bwMode="auto">
          <a:xfrm flipV="1">
            <a:off x="163" y="975"/>
            <a:ext cx="72" cy="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500">
            <a:extLst>
              <a:ext uri="{FF2B5EF4-FFF2-40B4-BE49-F238E27FC236}">
                <a16:creationId xmlns:a16="http://schemas.microsoft.com/office/drawing/2014/main" id="{E55258FB-3A62-575F-E768-4BBB10320A4D}"/>
              </a:ext>
            </a:extLst>
          </xdr:cNvPr>
          <xdr:cNvSpPr>
            <a:spLocks noChangeShapeType="1"/>
          </xdr:cNvSpPr>
        </xdr:nvSpPr>
        <xdr:spPr bwMode="auto">
          <a:xfrm>
            <a:off x="191" y="934"/>
            <a:ext cx="0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501">
            <a:extLst>
              <a:ext uri="{FF2B5EF4-FFF2-40B4-BE49-F238E27FC236}">
                <a16:creationId xmlns:a16="http://schemas.microsoft.com/office/drawing/2014/main" id="{E67AB1E9-77F9-F5DA-8F64-5D122EAF8EC0}"/>
              </a:ext>
            </a:extLst>
          </xdr:cNvPr>
          <xdr:cNvSpPr>
            <a:spLocks noChangeShapeType="1"/>
          </xdr:cNvSpPr>
        </xdr:nvSpPr>
        <xdr:spPr bwMode="auto">
          <a:xfrm flipH="1">
            <a:off x="130" y="934"/>
            <a:ext cx="3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502">
            <a:extLst>
              <a:ext uri="{FF2B5EF4-FFF2-40B4-BE49-F238E27FC236}">
                <a16:creationId xmlns:a16="http://schemas.microsoft.com/office/drawing/2014/main" id="{DE6E1A1C-245A-D6B6-8249-314A1EFE93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2" y="988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503">
            <a:extLst>
              <a:ext uri="{FF2B5EF4-FFF2-40B4-BE49-F238E27FC236}">
                <a16:creationId xmlns:a16="http://schemas.microsoft.com/office/drawing/2014/main" id="{EF497A73-FBE3-A46E-60E8-07EC133C40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934"/>
            <a:ext cx="0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504">
            <a:extLst>
              <a:ext uri="{FF2B5EF4-FFF2-40B4-BE49-F238E27FC236}">
                <a16:creationId xmlns:a16="http://schemas.microsoft.com/office/drawing/2014/main" id="{BF373259-3F72-563F-750C-8474D4ED2F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45" y="962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505">
            <a:extLst>
              <a:ext uri="{FF2B5EF4-FFF2-40B4-BE49-F238E27FC236}">
                <a16:creationId xmlns:a16="http://schemas.microsoft.com/office/drawing/2014/main" id="{3F32796A-93DB-9F6D-B7BE-10D542B5283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2" y="935"/>
            <a:ext cx="0" cy="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506">
            <a:extLst>
              <a:ext uri="{FF2B5EF4-FFF2-40B4-BE49-F238E27FC236}">
                <a16:creationId xmlns:a16="http://schemas.microsoft.com/office/drawing/2014/main" id="{BF460B5B-01D2-E219-E69D-CAB7AC1A5739}"/>
              </a:ext>
            </a:extLst>
          </xdr:cNvPr>
          <xdr:cNvSpPr>
            <a:spLocks noChangeShapeType="1"/>
          </xdr:cNvSpPr>
        </xdr:nvSpPr>
        <xdr:spPr bwMode="auto">
          <a:xfrm>
            <a:off x="163" y="966"/>
            <a:ext cx="2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Text 1067">
            <a:extLst>
              <a:ext uri="{FF2B5EF4-FFF2-40B4-BE49-F238E27FC236}">
                <a16:creationId xmlns:a16="http://schemas.microsoft.com/office/drawing/2014/main" id="{36CF0565-201F-D94E-BF90-DF20CF3C4D0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90" y="996"/>
            <a:ext cx="22" cy="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9" name="Text 1068">
            <a:extLst>
              <a:ext uri="{FF2B5EF4-FFF2-40B4-BE49-F238E27FC236}">
                <a16:creationId xmlns:a16="http://schemas.microsoft.com/office/drawing/2014/main" id="{2C4720F5-4ED3-6E4C-0DF2-D05B687B94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21" y="1009"/>
            <a:ext cx="52" cy="12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Section</a:t>
            </a:r>
          </a:p>
        </xdr:txBody>
      </xdr:sp>
      <xdr:sp macro="" textlink="">
        <xdr:nvSpPr>
          <xdr:cNvPr id="80" name="Text 1069">
            <a:extLst>
              <a:ext uri="{FF2B5EF4-FFF2-40B4-BE49-F238E27FC236}">
                <a16:creationId xmlns:a16="http://schemas.microsoft.com/office/drawing/2014/main" id="{09587F71-1F6D-30CF-87CA-7289AC154F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04" y="1008"/>
            <a:ext cx="31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Univers (W1)"/>
              </a:rPr>
              <a:t>mm</a:t>
            </a:r>
            <a:r>
              <a:rPr lang="en-US" sz="600" b="1" i="0" u="none" strike="noStrike" baseline="30000">
                <a:solidFill>
                  <a:srgbClr val="000000"/>
                </a:solidFill>
                <a:latin typeface="Univers (W1)"/>
              </a:rPr>
              <a:t>2</a:t>
            </a:r>
          </a:p>
        </xdr:txBody>
      </xdr:sp>
      <xdr:sp macro="" textlink="">
        <xdr:nvSpPr>
          <xdr:cNvPr id="81" name="Text 1071">
            <a:extLst>
              <a:ext uri="{FF2B5EF4-FFF2-40B4-BE49-F238E27FC236}">
                <a16:creationId xmlns:a16="http://schemas.microsoft.com/office/drawing/2014/main" id="{D8D5EE09-B025-A560-2C01-F77DD504FC7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63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sp macro="" textlink="">
        <xdr:nvSpPr>
          <xdr:cNvPr id="82" name="Text 1071">
            <a:extLst>
              <a:ext uri="{FF2B5EF4-FFF2-40B4-BE49-F238E27FC236}">
                <a16:creationId xmlns:a16="http://schemas.microsoft.com/office/drawing/2014/main" id="{0E69CA5F-56AE-21A3-BE42-2189D6C7A2BE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" y="991"/>
            <a:ext cx="16" cy="14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358140</xdr:colOff>
      <xdr:row>44</xdr:row>
      <xdr:rowOff>0</xdr:rowOff>
    </xdr:to>
    <xdr:sp macro="" textlink="">
      <xdr:nvSpPr>
        <xdr:cNvPr id="83" name="Rectangle 513">
          <a:extLst>
            <a:ext uri="{FF2B5EF4-FFF2-40B4-BE49-F238E27FC236}">
              <a16:creationId xmlns:a16="http://schemas.microsoft.com/office/drawing/2014/main" id="{AB426CA3-74E6-49EC-B9C2-8D550D07094C}"/>
            </a:ext>
          </a:extLst>
        </xdr:cNvPr>
        <xdr:cNvSpPr>
          <a:spLocks noChangeArrowheads="1"/>
        </xdr:cNvSpPr>
      </xdr:nvSpPr>
      <xdr:spPr bwMode="auto">
        <a:xfrm>
          <a:off x="5402580" y="10096500"/>
          <a:ext cx="2057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</xdr:colOff>
      <xdr:row>44</xdr:row>
      <xdr:rowOff>0</xdr:rowOff>
    </xdr:from>
    <xdr:to>
      <xdr:col>9</xdr:col>
      <xdr:colOff>320040</xdr:colOff>
      <xdr:row>44</xdr:row>
      <xdr:rowOff>0</xdr:rowOff>
    </xdr:to>
    <xdr:sp macro="" textlink="">
      <xdr:nvSpPr>
        <xdr:cNvPr id="84" name="Rectangle 514">
          <a:extLst>
            <a:ext uri="{FF2B5EF4-FFF2-40B4-BE49-F238E27FC236}">
              <a16:creationId xmlns:a16="http://schemas.microsoft.com/office/drawing/2014/main" id="{60FD145F-EC5A-40F7-8491-ABF340CA58EF}"/>
            </a:ext>
          </a:extLst>
        </xdr:cNvPr>
        <xdr:cNvSpPr>
          <a:spLocks noChangeArrowheads="1"/>
        </xdr:cNvSpPr>
      </xdr:nvSpPr>
      <xdr:spPr bwMode="auto">
        <a:xfrm>
          <a:off x="526542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44</xdr:row>
      <xdr:rowOff>0</xdr:rowOff>
    </xdr:from>
    <xdr:to>
      <xdr:col>9</xdr:col>
      <xdr:colOff>335280</xdr:colOff>
      <xdr:row>44</xdr:row>
      <xdr:rowOff>0</xdr:rowOff>
    </xdr:to>
    <xdr:sp macro="" textlink="">
      <xdr:nvSpPr>
        <xdr:cNvPr id="85" name="Rectangle 515">
          <a:extLst>
            <a:ext uri="{FF2B5EF4-FFF2-40B4-BE49-F238E27FC236}">
              <a16:creationId xmlns:a16="http://schemas.microsoft.com/office/drawing/2014/main" id="{0CC87946-D4D2-4CA2-8093-9E1E84ED4CA7}"/>
            </a:ext>
          </a:extLst>
        </xdr:cNvPr>
        <xdr:cNvSpPr>
          <a:spLocks noChangeArrowheads="1"/>
        </xdr:cNvSpPr>
      </xdr:nvSpPr>
      <xdr:spPr bwMode="auto">
        <a:xfrm>
          <a:off x="5280660" y="10096500"/>
          <a:ext cx="304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403860</xdr:colOff>
      <xdr:row>44</xdr:row>
      <xdr:rowOff>0</xdr:rowOff>
    </xdr:to>
    <xdr:sp macro="" textlink="">
      <xdr:nvSpPr>
        <xdr:cNvPr id="86" name="Rectangle 516">
          <a:extLst>
            <a:ext uri="{FF2B5EF4-FFF2-40B4-BE49-F238E27FC236}">
              <a16:creationId xmlns:a16="http://schemas.microsoft.com/office/drawing/2014/main" id="{3D86E3C7-F2FF-4354-A65C-A435C7BA959E}"/>
            </a:ext>
          </a:extLst>
        </xdr:cNvPr>
        <xdr:cNvSpPr>
          <a:spLocks noChangeArrowheads="1"/>
        </xdr:cNvSpPr>
      </xdr:nvSpPr>
      <xdr:spPr bwMode="auto">
        <a:xfrm>
          <a:off x="5250180" y="10096500"/>
          <a:ext cx="4038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137160</xdr:colOff>
      <xdr:row>44</xdr:row>
      <xdr:rowOff>0</xdr:rowOff>
    </xdr:from>
    <xdr:to>
      <xdr:col>9</xdr:col>
      <xdr:colOff>350520</xdr:colOff>
      <xdr:row>44</xdr:row>
      <xdr:rowOff>0</xdr:rowOff>
    </xdr:to>
    <xdr:sp macro="" textlink="">
      <xdr:nvSpPr>
        <xdr:cNvPr id="87" name="Rectangle 517">
          <a:extLst>
            <a:ext uri="{FF2B5EF4-FFF2-40B4-BE49-F238E27FC236}">
              <a16:creationId xmlns:a16="http://schemas.microsoft.com/office/drawing/2014/main" id="{38A45151-F1D9-4F67-83F9-EC2FEBB7DA79}"/>
            </a:ext>
          </a:extLst>
        </xdr:cNvPr>
        <xdr:cNvSpPr>
          <a:spLocks noChangeArrowheads="1"/>
        </xdr:cNvSpPr>
      </xdr:nvSpPr>
      <xdr:spPr bwMode="auto">
        <a:xfrm>
          <a:off x="5387340" y="1009650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373380</xdr:colOff>
      <xdr:row>32</xdr:row>
      <xdr:rowOff>182880</xdr:rowOff>
    </xdr:from>
    <xdr:to>
      <xdr:col>3</xdr:col>
      <xdr:colOff>320040</xdr:colOff>
      <xdr:row>37</xdr:row>
      <xdr:rowOff>152400</xdr:rowOff>
    </xdr:to>
    <xdr:grpSp>
      <xdr:nvGrpSpPr>
        <xdr:cNvPr id="88" name="Group 523">
          <a:extLst>
            <a:ext uri="{FF2B5EF4-FFF2-40B4-BE49-F238E27FC236}">
              <a16:creationId xmlns:a16="http://schemas.microsoft.com/office/drawing/2014/main" id="{EBE5FA33-EB45-4A3D-8EC7-2B799E3786EF}"/>
            </a:ext>
          </a:extLst>
        </xdr:cNvPr>
        <xdr:cNvGrpSpPr>
          <a:grpSpLocks/>
        </xdr:cNvGrpSpPr>
      </xdr:nvGrpSpPr>
      <xdr:grpSpPr bwMode="auto">
        <a:xfrm>
          <a:off x="1144905" y="7564755"/>
          <a:ext cx="784860" cy="1112520"/>
          <a:chOff x="774" y="670"/>
          <a:chExt cx="87" cy="117"/>
        </a:xfrm>
      </xdr:grpSpPr>
      <xdr:grpSp>
        <xdr:nvGrpSpPr>
          <xdr:cNvPr id="89" name="Group 522">
            <a:extLst>
              <a:ext uri="{FF2B5EF4-FFF2-40B4-BE49-F238E27FC236}">
                <a16:creationId xmlns:a16="http://schemas.microsoft.com/office/drawing/2014/main" id="{1A180749-8A1E-47DB-B360-A8D0F34CB2BE}"/>
              </a:ext>
            </a:extLst>
          </xdr:cNvPr>
          <xdr:cNvGrpSpPr>
            <a:grpSpLocks/>
          </xdr:cNvGrpSpPr>
        </xdr:nvGrpSpPr>
        <xdr:grpSpPr bwMode="auto">
          <a:xfrm>
            <a:off x="774" y="670"/>
            <a:ext cx="87" cy="117"/>
            <a:chOff x="774" y="670"/>
            <a:chExt cx="87" cy="117"/>
          </a:xfrm>
        </xdr:grpSpPr>
        <xdr:sp macro="" textlink="">
          <xdr:nvSpPr>
            <xdr:cNvPr id="91" name="Line 404">
              <a:extLst>
                <a:ext uri="{FF2B5EF4-FFF2-40B4-BE49-F238E27FC236}">
                  <a16:creationId xmlns:a16="http://schemas.microsoft.com/office/drawing/2014/main" id="{F64E4883-F7F4-9138-0CC8-E724BE8F4FD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88"/>
              <a:ext cx="10" cy="1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2" name="Line 405">
              <a:extLst>
                <a:ext uri="{FF2B5EF4-FFF2-40B4-BE49-F238E27FC236}">
                  <a16:creationId xmlns:a16="http://schemas.microsoft.com/office/drawing/2014/main" id="{A54F2D5E-05D5-04D2-C741-E8AC6E6020F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12" cy="1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3" name="Line 406">
              <a:extLst>
                <a:ext uri="{FF2B5EF4-FFF2-40B4-BE49-F238E27FC236}">
                  <a16:creationId xmlns:a16="http://schemas.microsoft.com/office/drawing/2014/main" id="{518F1991-6D91-9852-5819-8C72EA0392F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8" y="699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4" name="Line 407">
              <a:extLst>
                <a:ext uri="{FF2B5EF4-FFF2-40B4-BE49-F238E27FC236}">
                  <a16:creationId xmlns:a16="http://schemas.microsoft.com/office/drawing/2014/main" id="{92F2ACD2-DEAE-CA73-8B52-177D139790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5" name="Line 408">
              <a:extLst>
                <a:ext uri="{FF2B5EF4-FFF2-40B4-BE49-F238E27FC236}">
                  <a16:creationId xmlns:a16="http://schemas.microsoft.com/office/drawing/2014/main" id="{3674FDA2-D8AF-AB96-E738-91436C563AD3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785" y="721"/>
              <a:ext cx="1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6" name="Line 409">
              <a:extLst>
                <a:ext uri="{FF2B5EF4-FFF2-40B4-BE49-F238E27FC236}">
                  <a16:creationId xmlns:a16="http://schemas.microsoft.com/office/drawing/2014/main" id="{DE99C03D-063E-B699-2361-D6F422C93BD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21"/>
              <a:ext cx="1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Line 410">
              <a:extLst>
                <a:ext uri="{FF2B5EF4-FFF2-40B4-BE49-F238E27FC236}">
                  <a16:creationId xmlns:a16="http://schemas.microsoft.com/office/drawing/2014/main" id="{EF09F4C6-FF5A-CFEC-C352-D2D518370F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87"/>
              <a:ext cx="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8" name="Line 411">
              <a:extLst>
                <a:ext uri="{FF2B5EF4-FFF2-40B4-BE49-F238E27FC236}">
                  <a16:creationId xmlns:a16="http://schemas.microsoft.com/office/drawing/2014/main" id="{58BA3252-AB06-18E1-62DD-1CAEBE4259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85" y="721"/>
              <a:ext cx="7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9" name="Line 412">
              <a:extLst>
                <a:ext uri="{FF2B5EF4-FFF2-40B4-BE49-F238E27FC236}">
                  <a16:creationId xmlns:a16="http://schemas.microsoft.com/office/drawing/2014/main" id="{0CDD30B7-17D7-C14E-02B1-85891E3D605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24" y="721"/>
              <a:ext cx="8" cy="6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0" name="Line 413">
              <a:extLst>
                <a:ext uri="{FF2B5EF4-FFF2-40B4-BE49-F238E27FC236}">
                  <a16:creationId xmlns:a16="http://schemas.microsoft.com/office/drawing/2014/main" id="{9A0E35DC-3083-F7D9-4457-7F920C7317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74" y="684"/>
              <a:ext cx="8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1" name="Line 414">
              <a:extLst>
                <a:ext uri="{FF2B5EF4-FFF2-40B4-BE49-F238E27FC236}">
                  <a16:creationId xmlns:a16="http://schemas.microsoft.com/office/drawing/2014/main" id="{5AE0362A-0D84-0E3C-DCA0-E619DD80BA0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8" y="711"/>
              <a:ext cx="2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2" name="Line 415">
              <a:extLst>
                <a:ext uri="{FF2B5EF4-FFF2-40B4-BE49-F238E27FC236}">
                  <a16:creationId xmlns:a16="http://schemas.microsoft.com/office/drawing/2014/main" id="{403443F0-839C-F011-DCFF-871676004A8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3" name="Line 416">
              <a:extLst>
                <a:ext uri="{FF2B5EF4-FFF2-40B4-BE49-F238E27FC236}">
                  <a16:creationId xmlns:a16="http://schemas.microsoft.com/office/drawing/2014/main" id="{FD2FB59E-26AF-BFB2-7C1E-6DE15DCF55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2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4" name="Line 417">
              <a:extLst>
                <a:ext uri="{FF2B5EF4-FFF2-40B4-BE49-F238E27FC236}">
                  <a16:creationId xmlns:a16="http://schemas.microsoft.com/office/drawing/2014/main" id="{E9FFD01A-7F03-7B92-90B5-713D8A02D29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85" y="739"/>
              <a:ext cx="11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5" name="Line 418">
              <a:extLst>
                <a:ext uri="{FF2B5EF4-FFF2-40B4-BE49-F238E27FC236}">
                  <a16:creationId xmlns:a16="http://schemas.microsoft.com/office/drawing/2014/main" id="{CD35A6D0-EA01-38F1-CCE8-9E6E426C9CE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3" y="739"/>
              <a:ext cx="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6" name="Line 419">
              <a:extLst>
                <a:ext uri="{FF2B5EF4-FFF2-40B4-BE49-F238E27FC236}">
                  <a16:creationId xmlns:a16="http://schemas.microsoft.com/office/drawing/2014/main" id="{799BCDFF-91AD-80A5-429F-347929FEADC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792" y="711"/>
              <a:ext cx="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7" name="Line 420">
              <a:extLst>
                <a:ext uri="{FF2B5EF4-FFF2-40B4-BE49-F238E27FC236}">
                  <a16:creationId xmlns:a16="http://schemas.microsoft.com/office/drawing/2014/main" id="{C7CCF807-CAC6-A8D6-0B16-10B23F5109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32" y="72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8" name="Line 421">
              <a:extLst>
                <a:ext uri="{FF2B5EF4-FFF2-40B4-BE49-F238E27FC236}">
                  <a16:creationId xmlns:a16="http://schemas.microsoft.com/office/drawing/2014/main" id="{ADD9F754-70A3-5C9A-CD9D-176FA9A4132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20" y="701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09" name="Line 422">
              <a:extLst>
                <a:ext uri="{FF2B5EF4-FFF2-40B4-BE49-F238E27FC236}">
                  <a16:creationId xmlns:a16="http://schemas.microsoft.com/office/drawing/2014/main" id="{4B577034-33D6-CAAB-122F-C3C70F9822CD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87"/>
              <a:ext cx="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0" name="Line 423">
              <a:extLst>
                <a:ext uri="{FF2B5EF4-FFF2-40B4-BE49-F238E27FC236}">
                  <a16:creationId xmlns:a16="http://schemas.microsoft.com/office/drawing/2014/main" id="{8C47116C-73E6-6F35-26CA-CF21A86DFF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08" y="688"/>
              <a:ext cx="3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1" name="Line 424">
              <a:extLst>
                <a:ext uri="{FF2B5EF4-FFF2-40B4-BE49-F238E27FC236}">
                  <a16:creationId xmlns:a16="http://schemas.microsoft.com/office/drawing/2014/main" id="{95C25F93-5750-9A39-2284-66E048A2204A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43" y="721"/>
              <a:ext cx="0" cy="2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2" name="Line 425">
              <a:extLst>
                <a:ext uri="{FF2B5EF4-FFF2-40B4-BE49-F238E27FC236}">
                  <a16:creationId xmlns:a16="http://schemas.microsoft.com/office/drawing/2014/main" id="{7ECC5C48-5E6C-4F99-429E-1983454C45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3" name="Line 426">
              <a:extLst>
                <a:ext uri="{FF2B5EF4-FFF2-40B4-BE49-F238E27FC236}">
                  <a16:creationId xmlns:a16="http://schemas.microsoft.com/office/drawing/2014/main" id="{735E1353-5C59-B809-4D72-1F71B2A2841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843" y="67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4" name="Line 427">
              <a:extLst>
                <a:ext uri="{FF2B5EF4-FFF2-40B4-BE49-F238E27FC236}">
                  <a16:creationId xmlns:a16="http://schemas.microsoft.com/office/drawing/2014/main" id="{8B72EB98-06A9-85A3-E6BD-537BCDF13C4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683"/>
              <a:ext cx="0" cy="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5" name="Line 429">
              <a:extLst>
                <a:ext uri="{FF2B5EF4-FFF2-40B4-BE49-F238E27FC236}">
                  <a16:creationId xmlns:a16="http://schemas.microsoft.com/office/drawing/2014/main" id="{9611B6F1-562C-7518-F80A-5FCDBA249B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43" y="701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6" name="Line 430">
              <a:extLst>
                <a:ext uri="{FF2B5EF4-FFF2-40B4-BE49-F238E27FC236}">
                  <a16:creationId xmlns:a16="http://schemas.microsoft.com/office/drawing/2014/main" id="{01A20DBD-43FA-E81A-A96F-9878BC65FD2C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792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7" name="Line 431">
              <a:extLst>
                <a:ext uri="{FF2B5EF4-FFF2-40B4-BE49-F238E27FC236}">
                  <a16:creationId xmlns:a16="http://schemas.microsoft.com/office/drawing/2014/main" id="{DA93590D-2544-FF1C-975B-1E599EF40AA1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24" y="763"/>
              <a:ext cx="0" cy="2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8" name="Line 432">
              <a:extLst>
                <a:ext uri="{FF2B5EF4-FFF2-40B4-BE49-F238E27FC236}">
                  <a16:creationId xmlns:a16="http://schemas.microsoft.com/office/drawing/2014/main" id="{C69E1C99-2E8F-CC59-3848-48EA39617ED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792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19" name="Line 433">
              <a:extLst>
                <a:ext uri="{FF2B5EF4-FFF2-40B4-BE49-F238E27FC236}">
                  <a16:creationId xmlns:a16="http://schemas.microsoft.com/office/drawing/2014/main" id="{A4386BC3-4331-9F91-353E-0B202BFB876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17" y="774"/>
              <a:ext cx="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0" name="Line 434">
              <a:extLst>
                <a:ext uri="{FF2B5EF4-FFF2-40B4-BE49-F238E27FC236}">
                  <a16:creationId xmlns:a16="http://schemas.microsoft.com/office/drawing/2014/main" id="{7E44DA19-904A-2499-582E-B1328C2BD693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857" y="684"/>
              <a:ext cx="0" cy="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21" name="Line 435">
              <a:extLst>
                <a:ext uri="{FF2B5EF4-FFF2-40B4-BE49-F238E27FC236}">
                  <a16:creationId xmlns:a16="http://schemas.microsoft.com/office/drawing/2014/main" id="{0AF75D17-1BDE-0FBC-FB92-E9A4734D2DE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857" y="743"/>
              <a:ext cx="0" cy="4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0" name="Line 521">
            <a:extLst>
              <a:ext uri="{FF2B5EF4-FFF2-40B4-BE49-F238E27FC236}">
                <a16:creationId xmlns:a16="http://schemas.microsoft.com/office/drawing/2014/main" id="{75ABCE58-184E-A8DF-307B-EDB3ADF8523B}"/>
              </a:ext>
            </a:extLst>
          </xdr:cNvPr>
          <xdr:cNvSpPr>
            <a:spLocks noChangeShapeType="1"/>
          </xdr:cNvSpPr>
        </xdr:nvSpPr>
        <xdr:spPr bwMode="auto">
          <a:xfrm flipV="1">
            <a:off x="843" y="68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670560</xdr:colOff>
      <xdr:row>28</xdr:row>
      <xdr:rowOff>200025</xdr:rowOff>
    </xdr:from>
    <xdr:to>
      <xdr:col>4</xdr:col>
      <xdr:colOff>724004</xdr:colOff>
      <xdr:row>29</xdr:row>
      <xdr:rowOff>133350</xdr:rowOff>
    </xdr:to>
    <xdr:sp macro="" textlink="">
      <xdr:nvSpPr>
        <xdr:cNvPr id="122" name="Text 219">
          <a:extLst>
            <a:ext uri="{FF2B5EF4-FFF2-40B4-BE49-F238E27FC236}">
              <a16:creationId xmlns:a16="http://schemas.microsoft.com/office/drawing/2014/main" id="{736D0B0D-9661-4E99-A82F-020CFD6E5C9A}"/>
            </a:ext>
          </a:extLst>
        </xdr:cNvPr>
        <xdr:cNvSpPr txBox="1">
          <a:spLocks noChangeArrowheads="1"/>
        </xdr:cNvSpPr>
      </xdr:nvSpPr>
      <xdr:spPr bwMode="auto">
        <a:xfrm>
          <a:off x="2331720" y="6654165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670560</xdr:colOff>
      <xdr:row>34</xdr:row>
      <xdr:rowOff>209550</xdr:rowOff>
    </xdr:from>
    <xdr:to>
      <xdr:col>4</xdr:col>
      <xdr:colOff>724004</xdr:colOff>
      <xdr:row>35</xdr:row>
      <xdr:rowOff>142875</xdr:rowOff>
    </xdr:to>
    <xdr:sp macro="" textlink="">
      <xdr:nvSpPr>
        <xdr:cNvPr id="123" name="Text 219">
          <a:extLst>
            <a:ext uri="{FF2B5EF4-FFF2-40B4-BE49-F238E27FC236}">
              <a16:creationId xmlns:a16="http://schemas.microsoft.com/office/drawing/2014/main" id="{7F067958-1B41-41A7-BF14-B745433215EE}"/>
            </a:ext>
          </a:extLst>
        </xdr:cNvPr>
        <xdr:cNvSpPr txBox="1">
          <a:spLocks noChangeArrowheads="1"/>
        </xdr:cNvSpPr>
      </xdr:nvSpPr>
      <xdr:spPr bwMode="auto">
        <a:xfrm>
          <a:off x="2331720" y="803529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670560</xdr:colOff>
      <xdr:row>40</xdr:row>
      <xdr:rowOff>152400</xdr:rowOff>
    </xdr:from>
    <xdr:to>
      <xdr:col>4</xdr:col>
      <xdr:colOff>724004</xdr:colOff>
      <xdr:row>41</xdr:row>
      <xdr:rowOff>85725</xdr:rowOff>
    </xdr:to>
    <xdr:sp macro="" textlink="">
      <xdr:nvSpPr>
        <xdr:cNvPr id="124" name="Text 219">
          <a:extLst>
            <a:ext uri="{FF2B5EF4-FFF2-40B4-BE49-F238E27FC236}">
              <a16:creationId xmlns:a16="http://schemas.microsoft.com/office/drawing/2014/main" id="{7667CC65-F57B-42CA-AD85-AB7583C85C7B}"/>
            </a:ext>
          </a:extLst>
        </xdr:cNvPr>
        <xdr:cNvSpPr txBox="1">
          <a:spLocks noChangeArrowheads="1"/>
        </xdr:cNvSpPr>
      </xdr:nvSpPr>
      <xdr:spPr bwMode="auto">
        <a:xfrm>
          <a:off x="2331720" y="9349740"/>
          <a:ext cx="891644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350-</a:t>
          </a:r>
        </a:p>
      </xdr:txBody>
    </xdr:sp>
    <xdr:clientData/>
  </xdr:twoCellAnchor>
  <xdr:twoCellAnchor>
    <xdr:from>
      <xdr:col>9</xdr:col>
      <xdr:colOff>160020</xdr:colOff>
      <xdr:row>43</xdr:row>
      <xdr:rowOff>0</xdr:rowOff>
    </xdr:from>
    <xdr:to>
      <xdr:col>9</xdr:col>
      <xdr:colOff>373380</xdr:colOff>
      <xdr:row>43</xdr:row>
      <xdr:rowOff>0</xdr:rowOff>
    </xdr:to>
    <xdr:sp macro="" textlink="">
      <xdr:nvSpPr>
        <xdr:cNvPr id="125" name="Rectangle 1">
          <a:extLst>
            <a:ext uri="{FF2B5EF4-FFF2-40B4-BE49-F238E27FC236}">
              <a16:creationId xmlns:a16="http://schemas.microsoft.com/office/drawing/2014/main" id="{DD506389-8DA5-490D-883B-EF7E71DB04E3}"/>
            </a:ext>
          </a:extLst>
        </xdr:cNvPr>
        <xdr:cNvSpPr>
          <a:spLocks noChangeArrowheads="1"/>
        </xdr:cNvSpPr>
      </xdr:nvSpPr>
      <xdr:spPr bwMode="auto">
        <a:xfrm>
          <a:off x="5669280" y="988314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22860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26" name="Rectangle 2">
          <a:extLst>
            <a:ext uri="{FF2B5EF4-FFF2-40B4-BE49-F238E27FC236}">
              <a16:creationId xmlns:a16="http://schemas.microsoft.com/office/drawing/2014/main" id="{4D0A2B62-7542-485D-9809-507EE023847C}"/>
            </a:ext>
          </a:extLst>
        </xdr:cNvPr>
        <xdr:cNvSpPr>
          <a:spLocks noChangeArrowheads="1"/>
        </xdr:cNvSpPr>
      </xdr:nvSpPr>
      <xdr:spPr bwMode="auto">
        <a:xfrm>
          <a:off x="5532120" y="9883140"/>
          <a:ext cx="3200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43</xdr:row>
      <xdr:rowOff>0</xdr:rowOff>
    </xdr:from>
    <xdr:to>
      <xdr:col>9</xdr:col>
      <xdr:colOff>350520</xdr:colOff>
      <xdr:row>43</xdr:row>
      <xdr:rowOff>0</xdr:rowOff>
    </xdr:to>
    <xdr:sp macro="" textlink="">
      <xdr:nvSpPr>
        <xdr:cNvPr id="127" name="Rectangle 3">
          <a:extLst>
            <a:ext uri="{FF2B5EF4-FFF2-40B4-BE49-F238E27FC236}">
              <a16:creationId xmlns:a16="http://schemas.microsoft.com/office/drawing/2014/main" id="{E318F9AC-5811-4C1C-BE96-C386DBCB1DAB}"/>
            </a:ext>
          </a:extLst>
        </xdr:cNvPr>
        <xdr:cNvSpPr>
          <a:spLocks noChangeArrowheads="1"/>
        </xdr:cNvSpPr>
      </xdr:nvSpPr>
      <xdr:spPr bwMode="auto">
        <a:xfrm>
          <a:off x="5539740" y="9883140"/>
          <a:ext cx="3200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419100</xdr:colOff>
      <xdr:row>43</xdr:row>
      <xdr:rowOff>0</xdr:rowOff>
    </xdr:to>
    <xdr:sp macro="" textlink="">
      <xdr:nvSpPr>
        <xdr:cNvPr id="128" name="Rectangle 4">
          <a:extLst>
            <a:ext uri="{FF2B5EF4-FFF2-40B4-BE49-F238E27FC236}">
              <a16:creationId xmlns:a16="http://schemas.microsoft.com/office/drawing/2014/main" id="{22FBA576-22FE-4C34-AABA-7A41927111C4}"/>
            </a:ext>
          </a:extLst>
        </xdr:cNvPr>
        <xdr:cNvSpPr>
          <a:spLocks noChangeArrowheads="1"/>
        </xdr:cNvSpPr>
      </xdr:nvSpPr>
      <xdr:spPr bwMode="auto">
        <a:xfrm>
          <a:off x="5509260" y="9883140"/>
          <a:ext cx="419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144780</xdr:colOff>
      <xdr:row>43</xdr:row>
      <xdr:rowOff>0</xdr:rowOff>
    </xdr:from>
    <xdr:to>
      <xdr:col>9</xdr:col>
      <xdr:colOff>373380</xdr:colOff>
      <xdr:row>43</xdr:row>
      <xdr:rowOff>0</xdr:rowOff>
    </xdr:to>
    <xdr:sp macro="" textlink="">
      <xdr:nvSpPr>
        <xdr:cNvPr id="129" name="Rectangle 5">
          <a:extLst>
            <a:ext uri="{FF2B5EF4-FFF2-40B4-BE49-F238E27FC236}">
              <a16:creationId xmlns:a16="http://schemas.microsoft.com/office/drawing/2014/main" id="{0B3ED5FC-2047-475F-ADFA-7506881B47FC}"/>
            </a:ext>
          </a:extLst>
        </xdr:cNvPr>
        <xdr:cNvSpPr>
          <a:spLocks noChangeArrowheads="1"/>
        </xdr:cNvSpPr>
      </xdr:nvSpPr>
      <xdr:spPr bwMode="auto">
        <a:xfrm>
          <a:off x="5654040" y="9883140"/>
          <a:ext cx="228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160020</xdr:colOff>
      <xdr:row>44</xdr:row>
      <xdr:rowOff>0</xdr:rowOff>
    </xdr:from>
    <xdr:to>
      <xdr:col>9</xdr:col>
      <xdr:colOff>373380</xdr:colOff>
      <xdr:row>44</xdr:row>
      <xdr:rowOff>0</xdr:rowOff>
    </xdr:to>
    <xdr:sp macro="" textlink="">
      <xdr:nvSpPr>
        <xdr:cNvPr id="130" name="Rectangle 85">
          <a:extLst>
            <a:ext uri="{FF2B5EF4-FFF2-40B4-BE49-F238E27FC236}">
              <a16:creationId xmlns:a16="http://schemas.microsoft.com/office/drawing/2014/main" id="{12103917-1AE4-4F61-9A2A-AAFC0CE2BF29}"/>
            </a:ext>
          </a:extLst>
        </xdr:cNvPr>
        <xdr:cNvSpPr>
          <a:spLocks noChangeArrowheads="1"/>
        </xdr:cNvSpPr>
      </xdr:nvSpPr>
      <xdr:spPr bwMode="auto">
        <a:xfrm>
          <a:off x="5669280" y="10096500"/>
          <a:ext cx="21336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22860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31" name="Rectangle 86">
          <a:extLst>
            <a:ext uri="{FF2B5EF4-FFF2-40B4-BE49-F238E27FC236}">
              <a16:creationId xmlns:a16="http://schemas.microsoft.com/office/drawing/2014/main" id="{8FC2DBEA-562D-4D8C-BD99-FA662551B48C}"/>
            </a:ext>
          </a:extLst>
        </xdr:cNvPr>
        <xdr:cNvSpPr>
          <a:spLocks noChangeArrowheads="1"/>
        </xdr:cNvSpPr>
      </xdr:nvSpPr>
      <xdr:spPr bwMode="auto">
        <a:xfrm>
          <a:off x="5532120" y="10096500"/>
          <a:ext cx="3200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30480</xdr:colOff>
      <xdr:row>44</xdr:row>
      <xdr:rowOff>0</xdr:rowOff>
    </xdr:from>
    <xdr:to>
      <xdr:col>9</xdr:col>
      <xdr:colOff>350520</xdr:colOff>
      <xdr:row>44</xdr:row>
      <xdr:rowOff>0</xdr:rowOff>
    </xdr:to>
    <xdr:sp macro="" textlink="">
      <xdr:nvSpPr>
        <xdr:cNvPr id="132" name="Rectangle 87">
          <a:extLst>
            <a:ext uri="{FF2B5EF4-FFF2-40B4-BE49-F238E27FC236}">
              <a16:creationId xmlns:a16="http://schemas.microsoft.com/office/drawing/2014/main" id="{F9B6B6A0-49B2-49DE-9C9D-082FDEFECDF1}"/>
            </a:ext>
          </a:extLst>
        </xdr:cNvPr>
        <xdr:cNvSpPr>
          <a:spLocks noChangeArrowheads="1"/>
        </xdr:cNvSpPr>
      </xdr:nvSpPr>
      <xdr:spPr bwMode="auto">
        <a:xfrm>
          <a:off x="5539740" y="10096500"/>
          <a:ext cx="3200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419100</xdr:colOff>
      <xdr:row>44</xdr:row>
      <xdr:rowOff>0</xdr:rowOff>
    </xdr:to>
    <xdr:sp macro="" textlink="">
      <xdr:nvSpPr>
        <xdr:cNvPr id="133" name="Rectangle 88">
          <a:extLst>
            <a:ext uri="{FF2B5EF4-FFF2-40B4-BE49-F238E27FC236}">
              <a16:creationId xmlns:a16="http://schemas.microsoft.com/office/drawing/2014/main" id="{C8147E9C-19F3-4B7B-BFD7-94E1827E7692}"/>
            </a:ext>
          </a:extLst>
        </xdr:cNvPr>
        <xdr:cNvSpPr>
          <a:spLocks noChangeArrowheads="1"/>
        </xdr:cNvSpPr>
      </xdr:nvSpPr>
      <xdr:spPr bwMode="auto">
        <a:xfrm>
          <a:off x="5509260" y="10096500"/>
          <a:ext cx="419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144780</xdr:colOff>
      <xdr:row>44</xdr:row>
      <xdr:rowOff>0</xdr:rowOff>
    </xdr:from>
    <xdr:to>
      <xdr:col>9</xdr:col>
      <xdr:colOff>373380</xdr:colOff>
      <xdr:row>44</xdr:row>
      <xdr:rowOff>0</xdr:rowOff>
    </xdr:to>
    <xdr:sp macro="" textlink="">
      <xdr:nvSpPr>
        <xdr:cNvPr id="134" name="Rectangle 89">
          <a:extLst>
            <a:ext uri="{FF2B5EF4-FFF2-40B4-BE49-F238E27FC236}">
              <a16:creationId xmlns:a16="http://schemas.microsoft.com/office/drawing/2014/main" id="{C0972464-598A-43C0-9203-6F8CA09C6913}"/>
            </a:ext>
          </a:extLst>
        </xdr:cNvPr>
        <xdr:cNvSpPr>
          <a:spLocks noChangeArrowheads="1"/>
        </xdr:cNvSpPr>
      </xdr:nvSpPr>
      <xdr:spPr bwMode="auto">
        <a:xfrm>
          <a:off x="5654040" y="10096500"/>
          <a:ext cx="228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93838CEF-002F-40EF-BCCB-E504652D680C}"/>
            </a:ext>
          </a:extLst>
        </xdr:cNvPr>
        <xdr:cNvSpPr>
          <a:spLocks noChangeShapeType="1"/>
        </xdr:cNvSpPr>
      </xdr:nvSpPr>
      <xdr:spPr bwMode="auto">
        <a:xfrm>
          <a:off x="594360" y="1272540"/>
          <a:ext cx="922020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7620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DB9B37A7-9E79-4E41-AA9B-FC63652BA054}"/>
            </a:ext>
          </a:extLst>
        </xdr:cNvPr>
        <xdr:cNvSpPr>
          <a:spLocks noChangeShapeType="1"/>
        </xdr:cNvSpPr>
      </xdr:nvSpPr>
      <xdr:spPr bwMode="auto">
        <a:xfrm flipV="1">
          <a:off x="594360" y="1440180"/>
          <a:ext cx="11628120" cy="76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7404A0A8-EB2D-4957-9045-A96AA4FDCC81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A42CCEAD-3CDC-40CB-99A3-AD31C05188FB}"/>
            </a:ext>
          </a:extLst>
        </xdr:cNvPr>
        <xdr:cNvSpPr>
          <a:spLocks noChangeShapeType="1"/>
        </xdr:cNvSpPr>
      </xdr:nvSpPr>
      <xdr:spPr bwMode="auto">
        <a:xfrm flipV="1">
          <a:off x="11597640" y="480060"/>
          <a:ext cx="0" cy="16002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7620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AAA14E9-13DE-46F0-A385-5DAE586D1967}"/>
            </a:ext>
          </a:extLst>
        </xdr:cNvPr>
        <xdr:cNvSpPr>
          <a:spLocks noChangeShapeType="1"/>
        </xdr:cNvSpPr>
      </xdr:nvSpPr>
      <xdr:spPr bwMode="auto">
        <a:xfrm flipH="1">
          <a:off x="594360" y="487680"/>
          <a:ext cx="0" cy="77724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822960</xdr:colOff>
      <xdr:row>15</xdr:row>
      <xdr:rowOff>160020</xdr:rowOff>
    </xdr:from>
    <xdr:to>
      <xdr:col>5</xdr:col>
      <xdr:colOff>670560</xdr:colOff>
      <xdr:row>36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EEC447-1D5B-4C49-A00B-10763E4CED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11</xdr:row>
      <xdr:rowOff>0</xdr:rowOff>
    </xdr:from>
    <xdr:to>
      <xdr:col>5</xdr:col>
      <xdr:colOff>609600</xdr:colOff>
      <xdr:row>38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77EDD4-74AA-46AB-AB34-A61B091F1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0.72247</cdr:x>
      <cdr:y>0.5512</cdr:y>
    </cdr:from>
    <cdr:to>
      <cdr:x>0.96176</cdr:x>
      <cdr:y>0.57189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338093" y="3519750"/>
          <a:ext cx="1436831" cy="132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0.6679</cdr:x>
      <cdr:y>0.47607</cdr:y>
    </cdr:from>
    <cdr:to>
      <cdr:x>0.95465</cdr:x>
      <cdr:y>0.50144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010433" y="3039979"/>
          <a:ext cx="1721807" cy="1620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0.25431</cdr:x>
      <cdr:y>0.75347</cdr:y>
    </cdr:from>
    <cdr:to>
      <cdr:x>0.50343</cdr:x>
      <cdr:y>0.7786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7040" y="4811307"/>
          <a:ext cx="1495856" cy="16046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0.29342</cdr:x>
      <cdr:y>0.36133</cdr:y>
    </cdr:from>
    <cdr:to>
      <cdr:x>0.62247</cdr:x>
      <cdr:y>0.38867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0.62223</cdr:x>
      <cdr:y>0.19335</cdr:y>
    </cdr:from>
    <cdr:to>
      <cdr:x>0.95202</cdr:x>
      <cdr:y>0.22217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CUSTOM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16</xdr:row>
      <xdr:rowOff>15240</xdr:rowOff>
    </xdr:from>
    <xdr:to>
      <xdr:col>5</xdr:col>
      <xdr:colOff>929640</xdr:colOff>
      <xdr:row>37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8213E-2AD5-4EE6-B287-6C87ABEA4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598072</xdr:colOff>
      <xdr:row>16</xdr:row>
      <xdr:rowOff>83820</xdr:rowOff>
    </xdr:from>
    <xdr:to>
      <xdr:col>0</xdr:col>
      <xdr:colOff>1135380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8856589B-E3AE-479E-ABE0-693BED4F1F29}"/>
            </a:ext>
          </a:extLst>
        </xdr:cNvPr>
        <xdr:cNvSpPr txBox="1">
          <a:spLocks noChangeArrowheads="1"/>
        </xdr:cNvSpPr>
      </xdr:nvSpPr>
      <xdr:spPr bwMode="auto">
        <a:xfrm>
          <a:off x="598072" y="39547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582832</xdr:colOff>
      <xdr:row>18</xdr:row>
      <xdr:rowOff>30480</xdr:rowOff>
    </xdr:from>
    <xdr:to>
      <xdr:col>0</xdr:col>
      <xdr:colOff>1120140</xdr:colOff>
      <xdr:row>19</xdr:row>
      <xdr:rowOff>3810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4B0D53C7-6E59-4F16-A2AE-AA5973341FC9}"/>
            </a:ext>
          </a:extLst>
        </xdr:cNvPr>
        <xdr:cNvSpPr txBox="1">
          <a:spLocks noChangeArrowheads="1"/>
        </xdr:cNvSpPr>
      </xdr:nvSpPr>
      <xdr:spPr bwMode="auto">
        <a:xfrm>
          <a:off x="582832" y="43738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1796</a:t>
          </a:r>
        </a:p>
      </xdr:txBody>
    </xdr:sp>
    <xdr:clientData/>
  </xdr:twoCellAnchor>
  <xdr:twoCellAnchor>
    <xdr:from>
      <xdr:col>0</xdr:col>
      <xdr:colOff>575212</xdr:colOff>
      <xdr:row>19</xdr:row>
      <xdr:rowOff>198120</xdr:rowOff>
    </xdr:from>
    <xdr:to>
      <xdr:col>0</xdr:col>
      <xdr:colOff>1112520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816B9D8F-C365-4710-9714-82450CDB7E9F}"/>
            </a:ext>
          </a:extLst>
        </xdr:cNvPr>
        <xdr:cNvSpPr txBox="1">
          <a:spLocks noChangeArrowheads="1"/>
        </xdr:cNvSpPr>
      </xdr:nvSpPr>
      <xdr:spPr bwMode="auto">
        <a:xfrm>
          <a:off x="575212" y="47777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1792</a:t>
          </a:r>
        </a:p>
      </xdr:txBody>
    </xdr:sp>
    <xdr:clientData/>
  </xdr:twoCellAnchor>
  <xdr:twoCellAnchor>
    <xdr:from>
      <xdr:col>0</xdr:col>
      <xdr:colOff>575212</xdr:colOff>
      <xdr:row>21</xdr:row>
      <xdr:rowOff>129540</xdr:rowOff>
    </xdr:from>
    <xdr:to>
      <xdr:col>0</xdr:col>
      <xdr:colOff>1112520</xdr:colOff>
      <xdr:row>22</xdr:row>
      <xdr:rowOff>102870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9DA1D238-F973-4AEC-A151-6CED7EA3A339}"/>
            </a:ext>
          </a:extLst>
        </xdr:cNvPr>
        <xdr:cNvSpPr txBox="1">
          <a:spLocks noChangeArrowheads="1"/>
        </xdr:cNvSpPr>
      </xdr:nvSpPr>
      <xdr:spPr bwMode="auto">
        <a:xfrm>
          <a:off x="575212" y="51816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582832</xdr:colOff>
      <xdr:row>23</xdr:row>
      <xdr:rowOff>68580</xdr:rowOff>
    </xdr:from>
    <xdr:to>
      <xdr:col>0</xdr:col>
      <xdr:colOff>1120140</xdr:colOff>
      <xdr:row>24</xdr:row>
      <xdr:rowOff>33528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C0FD0A66-346D-402B-A2DA-A32D91DC695F}"/>
            </a:ext>
          </a:extLst>
        </xdr:cNvPr>
        <xdr:cNvSpPr txBox="1">
          <a:spLocks noChangeArrowheads="1"/>
        </xdr:cNvSpPr>
      </xdr:nvSpPr>
      <xdr:spPr bwMode="auto">
        <a:xfrm>
          <a:off x="582832" y="559308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1784</a:t>
          </a:r>
        </a:p>
      </xdr:txBody>
    </xdr:sp>
    <xdr:clientData/>
  </xdr:twoCellAnchor>
  <xdr:twoCellAnchor>
    <xdr:from>
      <xdr:col>0</xdr:col>
      <xdr:colOff>582832</xdr:colOff>
      <xdr:row>25</xdr:row>
      <xdr:rowOff>0</xdr:rowOff>
    </xdr:from>
    <xdr:to>
      <xdr:col>0</xdr:col>
      <xdr:colOff>1120140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38393D0E-3DCA-407D-8D3F-512EFA300FD8}"/>
            </a:ext>
          </a:extLst>
        </xdr:cNvPr>
        <xdr:cNvSpPr txBox="1">
          <a:spLocks noChangeArrowheads="1"/>
        </xdr:cNvSpPr>
      </xdr:nvSpPr>
      <xdr:spPr bwMode="auto">
        <a:xfrm>
          <a:off x="582832" y="599694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1780</a:t>
          </a:r>
        </a:p>
      </xdr:txBody>
    </xdr:sp>
    <xdr:clientData/>
  </xdr:twoCellAnchor>
  <xdr:twoCellAnchor>
    <xdr:from>
      <xdr:col>0</xdr:col>
      <xdr:colOff>575212</xdr:colOff>
      <xdr:row>26</xdr:row>
      <xdr:rowOff>167640</xdr:rowOff>
    </xdr:from>
    <xdr:to>
      <xdr:col>0</xdr:col>
      <xdr:colOff>1112520</xdr:colOff>
      <xdr:row>27</xdr:row>
      <xdr:rowOff>140970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39733206-CD2E-4F47-8D7D-E70455B508F2}"/>
            </a:ext>
          </a:extLst>
        </xdr:cNvPr>
        <xdr:cNvSpPr txBox="1">
          <a:spLocks noChangeArrowheads="1"/>
        </xdr:cNvSpPr>
      </xdr:nvSpPr>
      <xdr:spPr bwMode="auto">
        <a:xfrm>
          <a:off x="575212" y="64008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1776</a:t>
          </a:r>
        </a:p>
      </xdr:txBody>
    </xdr:sp>
    <xdr:clientData/>
  </xdr:twoCellAnchor>
  <xdr:twoCellAnchor>
    <xdr:from>
      <xdr:col>0</xdr:col>
      <xdr:colOff>567592</xdr:colOff>
      <xdr:row>28</xdr:row>
      <xdr:rowOff>106680</xdr:rowOff>
    </xdr:from>
    <xdr:to>
      <xdr:col>0</xdr:col>
      <xdr:colOff>1104900</xdr:colOff>
      <xdr:row>29</xdr:row>
      <xdr:rowOff>80010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BD340805-6465-4454-9C39-74D19D029F8C}"/>
            </a:ext>
          </a:extLst>
        </xdr:cNvPr>
        <xdr:cNvSpPr txBox="1">
          <a:spLocks noChangeArrowheads="1"/>
        </xdr:cNvSpPr>
      </xdr:nvSpPr>
      <xdr:spPr bwMode="auto">
        <a:xfrm>
          <a:off x="567592" y="681228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1772</a:t>
          </a:r>
        </a:p>
      </xdr:txBody>
    </xdr:sp>
    <xdr:clientData/>
  </xdr:twoCellAnchor>
  <xdr:twoCellAnchor>
    <xdr:from>
      <xdr:col>0</xdr:col>
      <xdr:colOff>567592</xdr:colOff>
      <xdr:row>30</xdr:row>
      <xdr:rowOff>45720</xdr:rowOff>
    </xdr:from>
    <xdr:to>
      <xdr:col>0</xdr:col>
      <xdr:colOff>1104900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5E9D3A1A-D689-417E-91FB-A3D3108AE861}"/>
            </a:ext>
          </a:extLst>
        </xdr:cNvPr>
        <xdr:cNvSpPr txBox="1">
          <a:spLocks noChangeArrowheads="1"/>
        </xdr:cNvSpPr>
      </xdr:nvSpPr>
      <xdr:spPr bwMode="auto">
        <a:xfrm>
          <a:off x="567592" y="722376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1768</a:t>
          </a:r>
        </a:p>
      </xdr:txBody>
    </xdr:sp>
    <xdr:clientData/>
  </xdr:twoCellAnchor>
  <xdr:twoCellAnchor>
    <xdr:from>
      <xdr:col>0</xdr:col>
      <xdr:colOff>567592</xdr:colOff>
      <xdr:row>31</xdr:row>
      <xdr:rowOff>220980</xdr:rowOff>
    </xdr:from>
    <xdr:to>
      <xdr:col>0</xdr:col>
      <xdr:colOff>1104900</xdr:colOff>
      <xdr:row>32</xdr:row>
      <xdr:rowOff>185928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6BF1B671-E614-4875-9297-13669D14C628}"/>
            </a:ext>
          </a:extLst>
        </xdr:cNvPr>
        <xdr:cNvSpPr txBox="1">
          <a:spLocks noChangeArrowheads="1"/>
        </xdr:cNvSpPr>
      </xdr:nvSpPr>
      <xdr:spPr bwMode="auto">
        <a:xfrm>
          <a:off x="567592" y="7635240"/>
          <a:ext cx="537308" cy="20116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1764</a:t>
          </a:r>
        </a:p>
      </xdr:txBody>
    </xdr:sp>
    <xdr:clientData/>
  </xdr:twoCellAnchor>
  <xdr:twoCellAnchor>
    <xdr:from>
      <xdr:col>0</xdr:col>
      <xdr:colOff>575212</xdr:colOff>
      <xdr:row>33</xdr:row>
      <xdr:rowOff>152400</xdr:rowOff>
    </xdr:from>
    <xdr:to>
      <xdr:col>0</xdr:col>
      <xdr:colOff>1112520</xdr:colOff>
      <xdr:row>34</xdr:row>
      <xdr:rowOff>125730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F61DA434-8415-4586-ACA8-D71B4ED39154}"/>
            </a:ext>
          </a:extLst>
        </xdr:cNvPr>
        <xdr:cNvSpPr txBox="1">
          <a:spLocks noChangeArrowheads="1"/>
        </xdr:cNvSpPr>
      </xdr:nvSpPr>
      <xdr:spPr bwMode="auto">
        <a:xfrm>
          <a:off x="575212" y="8039100"/>
          <a:ext cx="537308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1760</a:t>
          </a:r>
        </a:p>
      </xdr:txBody>
    </xdr:sp>
    <xdr:clientData/>
  </xdr:twoCellAnchor>
  <xdr:twoCellAnchor>
    <xdr:from>
      <xdr:col>0</xdr:col>
      <xdr:colOff>201930</xdr:colOff>
      <xdr:row>24</xdr:row>
      <xdr:rowOff>135255</xdr:rowOff>
    </xdr:from>
    <xdr:to>
      <xdr:col>0</xdr:col>
      <xdr:colOff>415290</xdr:colOff>
      <xdr:row>26</xdr:row>
      <xdr:rowOff>234315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24D5BC99-39AD-42E4-82B4-F35327F2B580}"/>
            </a:ext>
          </a:extLst>
        </xdr:cNvPr>
        <xdr:cNvSpPr txBox="1">
          <a:spLocks noChangeArrowheads="1"/>
        </xdr:cNvSpPr>
      </xdr:nvSpPr>
      <xdr:spPr bwMode="auto">
        <a:xfrm>
          <a:off x="201930" y="5895975"/>
          <a:ext cx="213360" cy="571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358140</xdr:colOff>
      <xdr:row>16</xdr:row>
      <xdr:rowOff>83821</xdr:rowOff>
    </xdr:from>
    <xdr:to>
      <xdr:col>5</xdr:col>
      <xdr:colOff>846602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EC5F271B-8C4A-4D92-B782-6F60B7E20247}"/>
            </a:ext>
          </a:extLst>
        </xdr:cNvPr>
        <xdr:cNvSpPr txBox="1">
          <a:spLocks noChangeArrowheads="1"/>
        </xdr:cNvSpPr>
      </xdr:nvSpPr>
      <xdr:spPr bwMode="auto">
        <a:xfrm>
          <a:off x="6073140" y="39547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2000</a:t>
          </a:r>
        </a:p>
      </xdr:txBody>
    </xdr:sp>
    <xdr:clientData/>
  </xdr:twoCellAnchor>
  <xdr:twoCellAnchor>
    <xdr:from>
      <xdr:col>5</xdr:col>
      <xdr:colOff>388620</xdr:colOff>
      <xdr:row>25</xdr:row>
      <xdr:rowOff>0</xdr:rowOff>
    </xdr:from>
    <xdr:to>
      <xdr:col>5</xdr:col>
      <xdr:colOff>935697</xdr:colOff>
      <xdr:row>25</xdr:row>
      <xdr:rowOff>168402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B8E4E99F-065B-4E76-911F-23996D20AE48}"/>
            </a:ext>
          </a:extLst>
        </xdr:cNvPr>
        <xdr:cNvSpPr txBox="1">
          <a:spLocks noChangeArrowheads="1"/>
        </xdr:cNvSpPr>
      </xdr:nvSpPr>
      <xdr:spPr bwMode="auto">
        <a:xfrm>
          <a:off x="6103620" y="5996940"/>
          <a:ext cx="547077" cy="1684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26</xdr:row>
      <xdr:rowOff>182880</xdr:rowOff>
    </xdr:from>
    <xdr:to>
      <xdr:col>5</xdr:col>
      <xdr:colOff>869462</xdr:colOff>
      <xdr:row>27</xdr:row>
      <xdr:rowOff>102108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07D9A550-CBFA-48A2-9524-D982AC8C5D99}"/>
            </a:ext>
          </a:extLst>
        </xdr:cNvPr>
        <xdr:cNvSpPr txBox="1">
          <a:spLocks noChangeArrowheads="1"/>
        </xdr:cNvSpPr>
      </xdr:nvSpPr>
      <xdr:spPr bwMode="auto">
        <a:xfrm>
          <a:off x="6096000" y="64160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388620</xdr:colOff>
      <xdr:row>28</xdr:row>
      <xdr:rowOff>114301</xdr:rowOff>
    </xdr:from>
    <xdr:to>
      <xdr:col>5</xdr:col>
      <xdr:colOff>877082</xdr:colOff>
      <xdr:row>29</xdr:row>
      <xdr:rowOff>40006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50A480F4-DE71-4986-8164-5062F675D9BE}"/>
            </a:ext>
          </a:extLst>
        </xdr:cNvPr>
        <xdr:cNvSpPr txBox="1">
          <a:spLocks noChangeArrowheads="1"/>
        </xdr:cNvSpPr>
      </xdr:nvSpPr>
      <xdr:spPr bwMode="auto">
        <a:xfrm>
          <a:off x="6103620" y="68199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381000</xdr:colOff>
      <xdr:row>30</xdr:row>
      <xdr:rowOff>38101</xdr:rowOff>
    </xdr:from>
    <xdr:to>
      <xdr:col>5</xdr:col>
      <xdr:colOff>869462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E1D33691-8535-4965-AE8E-800BAC67C694}"/>
            </a:ext>
          </a:extLst>
        </xdr:cNvPr>
        <xdr:cNvSpPr txBox="1">
          <a:spLocks noChangeArrowheads="1"/>
        </xdr:cNvSpPr>
      </xdr:nvSpPr>
      <xdr:spPr bwMode="auto">
        <a:xfrm>
          <a:off x="6096000" y="72161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381000</xdr:colOff>
      <xdr:row>31</xdr:row>
      <xdr:rowOff>220980</xdr:rowOff>
    </xdr:from>
    <xdr:to>
      <xdr:col>5</xdr:col>
      <xdr:colOff>869462</xdr:colOff>
      <xdr:row>32</xdr:row>
      <xdr:rowOff>140208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15ED3051-A3FA-4969-BE00-8732BA5F0320}"/>
            </a:ext>
          </a:extLst>
        </xdr:cNvPr>
        <xdr:cNvSpPr txBox="1">
          <a:spLocks noChangeArrowheads="1"/>
        </xdr:cNvSpPr>
      </xdr:nvSpPr>
      <xdr:spPr bwMode="auto">
        <a:xfrm>
          <a:off x="6096000" y="763524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842010</xdr:colOff>
      <xdr:row>22</xdr:row>
      <xdr:rowOff>186690</xdr:rowOff>
    </xdr:from>
    <xdr:to>
      <xdr:col>5</xdr:col>
      <xdr:colOff>1070610</xdr:colOff>
      <xdr:row>28</xdr:row>
      <xdr:rowOff>87630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03432EAE-F00C-4C7A-8244-9DF7B34A021B}"/>
            </a:ext>
          </a:extLst>
        </xdr:cNvPr>
        <xdr:cNvSpPr txBox="1">
          <a:spLocks noChangeArrowheads="1"/>
        </xdr:cNvSpPr>
      </xdr:nvSpPr>
      <xdr:spPr bwMode="auto">
        <a:xfrm>
          <a:off x="6557010" y="5474970"/>
          <a:ext cx="228600" cy="13182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381000</xdr:colOff>
      <xdr:row>23</xdr:row>
      <xdr:rowOff>68580</xdr:rowOff>
    </xdr:from>
    <xdr:to>
      <xdr:col>5</xdr:col>
      <xdr:colOff>869462</xdr:colOff>
      <xdr:row>23</xdr:row>
      <xdr:rowOff>224028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D9A36F45-FEA5-45C8-895C-2CEFDE015D95}"/>
            </a:ext>
          </a:extLst>
        </xdr:cNvPr>
        <xdr:cNvSpPr txBox="1">
          <a:spLocks noChangeArrowheads="1"/>
        </xdr:cNvSpPr>
      </xdr:nvSpPr>
      <xdr:spPr bwMode="auto">
        <a:xfrm>
          <a:off x="6096000" y="5593080"/>
          <a:ext cx="488462" cy="155448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1200</a:t>
          </a:r>
        </a:p>
      </xdr:txBody>
    </xdr:sp>
    <xdr:clientData/>
  </xdr:twoCellAnchor>
  <xdr:twoCellAnchor>
    <xdr:from>
      <xdr:col>5</xdr:col>
      <xdr:colOff>381000</xdr:colOff>
      <xdr:row>21</xdr:row>
      <xdr:rowOff>129541</xdr:rowOff>
    </xdr:from>
    <xdr:to>
      <xdr:col>5</xdr:col>
      <xdr:colOff>869462</xdr:colOff>
      <xdr:row>22</xdr:row>
      <xdr:rowOff>55246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75E2A5E7-FF17-4C52-A262-C1C8563522C2}"/>
            </a:ext>
          </a:extLst>
        </xdr:cNvPr>
        <xdr:cNvSpPr txBox="1">
          <a:spLocks noChangeArrowheads="1"/>
        </xdr:cNvSpPr>
      </xdr:nvSpPr>
      <xdr:spPr bwMode="auto">
        <a:xfrm>
          <a:off x="6096000" y="518160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373380</xdr:colOff>
      <xdr:row>19</xdr:row>
      <xdr:rowOff>198121</xdr:rowOff>
    </xdr:from>
    <xdr:to>
      <xdr:col>5</xdr:col>
      <xdr:colOff>861842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A153C09C-36CD-4F5C-8E48-2887279C70E0}"/>
            </a:ext>
          </a:extLst>
        </xdr:cNvPr>
        <xdr:cNvSpPr txBox="1">
          <a:spLocks noChangeArrowheads="1"/>
        </xdr:cNvSpPr>
      </xdr:nvSpPr>
      <xdr:spPr bwMode="auto">
        <a:xfrm>
          <a:off x="6088380" y="477774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1600</a:t>
          </a:r>
        </a:p>
      </xdr:txBody>
    </xdr:sp>
    <xdr:clientData/>
  </xdr:twoCellAnchor>
  <xdr:twoCellAnchor>
    <xdr:from>
      <xdr:col>5</xdr:col>
      <xdr:colOff>373380</xdr:colOff>
      <xdr:row>18</xdr:row>
      <xdr:rowOff>30481</xdr:rowOff>
    </xdr:from>
    <xdr:to>
      <xdr:col>5</xdr:col>
      <xdr:colOff>861842</xdr:colOff>
      <xdr:row>18</xdr:row>
      <xdr:rowOff>192406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550172B6-B63A-440C-A2CD-D76568D39A14}"/>
            </a:ext>
          </a:extLst>
        </xdr:cNvPr>
        <xdr:cNvSpPr txBox="1">
          <a:spLocks noChangeArrowheads="1"/>
        </xdr:cNvSpPr>
      </xdr:nvSpPr>
      <xdr:spPr bwMode="auto">
        <a:xfrm>
          <a:off x="6088380" y="4373881"/>
          <a:ext cx="488462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2</xdr:col>
      <xdr:colOff>1072515</xdr:colOff>
      <xdr:row>16</xdr:row>
      <xdr:rowOff>180975</xdr:rowOff>
    </xdr:from>
    <xdr:to>
      <xdr:col>3</xdr:col>
      <xdr:colOff>293251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BD58CB39-11C9-4C1F-BEB6-13DF13DC6133}"/>
            </a:ext>
          </a:extLst>
        </xdr:cNvPr>
        <xdr:cNvSpPr txBox="1">
          <a:spLocks noChangeArrowheads="1"/>
        </xdr:cNvSpPr>
      </xdr:nvSpPr>
      <xdr:spPr bwMode="auto">
        <a:xfrm>
          <a:off x="3358515" y="4051935"/>
          <a:ext cx="363736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975360</xdr:colOff>
      <xdr:row>18</xdr:row>
      <xdr:rowOff>190500</xdr:rowOff>
    </xdr:from>
    <xdr:to>
      <xdr:col>4</xdr:col>
      <xdr:colOff>178908</xdr:colOff>
      <xdr:row>19</xdr:row>
      <xdr:rowOff>131532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E86F1F04-53A0-4A4E-8D51-29CF0E218D49}"/>
            </a:ext>
          </a:extLst>
        </xdr:cNvPr>
        <xdr:cNvSpPr txBox="1">
          <a:spLocks noChangeArrowheads="1"/>
        </xdr:cNvSpPr>
      </xdr:nvSpPr>
      <xdr:spPr bwMode="auto">
        <a:xfrm>
          <a:off x="4404360" y="4533900"/>
          <a:ext cx="346548" cy="177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771525</xdr:colOff>
      <xdr:row>21</xdr:row>
      <xdr:rowOff>198120</xdr:rowOff>
    </xdr:from>
    <xdr:to>
      <xdr:col>1</xdr:col>
      <xdr:colOff>1122045</xdr:colOff>
      <xdr:row>22</xdr:row>
      <xdr:rowOff>112713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5B6130DF-13D2-4C63-B70E-383FB8F416A4}"/>
            </a:ext>
          </a:extLst>
        </xdr:cNvPr>
        <xdr:cNvSpPr txBox="1">
          <a:spLocks noChangeArrowheads="1"/>
        </xdr:cNvSpPr>
      </xdr:nvSpPr>
      <xdr:spPr bwMode="auto">
        <a:xfrm>
          <a:off x="1914525" y="5250180"/>
          <a:ext cx="350520" cy="15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811530</xdr:colOff>
      <xdr:row>28</xdr:row>
      <xdr:rowOff>198120</xdr:rowOff>
    </xdr:from>
    <xdr:to>
      <xdr:col>2</xdr:col>
      <xdr:colOff>112672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54A23CF1-082F-4E77-90FE-282EDEAAC633}"/>
            </a:ext>
          </a:extLst>
        </xdr:cNvPr>
        <xdr:cNvSpPr txBox="1">
          <a:spLocks noChangeArrowheads="1"/>
        </xdr:cNvSpPr>
      </xdr:nvSpPr>
      <xdr:spPr bwMode="auto">
        <a:xfrm>
          <a:off x="1954530" y="6903720"/>
          <a:ext cx="444142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102870</xdr:colOff>
      <xdr:row>32</xdr:row>
      <xdr:rowOff>148590</xdr:rowOff>
    </xdr:from>
    <xdr:to>
      <xdr:col>2</xdr:col>
      <xdr:colOff>622993</xdr:colOff>
      <xdr:row>33</xdr:row>
      <xdr:rowOff>70786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09EC51EC-4D6F-47D4-88AB-1DF7EF474B12}"/>
            </a:ext>
          </a:extLst>
        </xdr:cNvPr>
        <xdr:cNvSpPr txBox="1">
          <a:spLocks noChangeArrowheads="1"/>
        </xdr:cNvSpPr>
      </xdr:nvSpPr>
      <xdr:spPr bwMode="auto">
        <a:xfrm>
          <a:off x="2388870" y="7799070"/>
          <a:ext cx="520123" cy="1584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373380</xdr:colOff>
      <xdr:row>33</xdr:row>
      <xdr:rowOff>144780</xdr:rowOff>
    </xdr:from>
    <xdr:to>
      <xdr:col>5</xdr:col>
      <xdr:colOff>769620</xdr:colOff>
      <xdr:row>34</xdr:row>
      <xdr:rowOff>106680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F78CF4B2-73EF-43E7-B58C-A5EB44FAA663}"/>
            </a:ext>
          </a:extLst>
        </xdr:cNvPr>
        <xdr:cNvSpPr txBox="1">
          <a:spLocks noChangeArrowheads="1"/>
        </xdr:cNvSpPr>
      </xdr:nvSpPr>
      <xdr:spPr bwMode="auto">
        <a:xfrm>
          <a:off x="6088380" y="8031480"/>
          <a:ext cx="396240" cy="19812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Q113"/>
  <sheetViews>
    <sheetView topLeftCell="A26"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2" t="s">
        <v>168</v>
      </c>
      <c r="B1" s="2"/>
      <c r="C1" s="2"/>
      <c r="D1" s="2"/>
      <c r="E1" s="2"/>
      <c r="F1" s="2"/>
      <c r="G1" s="2"/>
      <c r="H1" s="2"/>
      <c r="I1" s="122" t="s">
        <v>0</v>
      </c>
      <c r="J1" s="122" t="s">
        <v>219</v>
      </c>
    </row>
    <row r="2" spans="1:10" ht="18.75">
      <c r="A2" s="32" t="s">
        <v>174</v>
      </c>
      <c r="B2" s="2"/>
      <c r="C2" s="2"/>
      <c r="D2" s="2"/>
      <c r="E2" s="2"/>
      <c r="F2" s="2"/>
      <c r="G2" s="2"/>
      <c r="H2" s="2"/>
      <c r="I2" s="2"/>
      <c r="J2" s="128" t="s">
        <v>220</v>
      </c>
    </row>
    <row r="3" spans="1:10" ht="15" customHeight="1" thickBot="1">
      <c r="A3" s="47" t="s">
        <v>1</v>
      </c>
      <c r="B3" s="94" t="s">
        <v>218</v>
      </c>
      <c r="C3" s="1"/>
      <c r="D3" s="47"/>
      <c r="E3" s="1"/>
      <c r="F3" s="1"/>
      <c r="G3" s="47" t="s">
        <v>2</v>
      </c>
      <c r="H3" s="172">
        <v>45133</v>
      </c>
      <c r="I3" s="47" t="s">
        <v>3</v>
      </c>
      <c r="J3" s="173">
        <v>0.43695601851851856</v>
      </c>
    </row>
    <row r="4" spans="1:10" ht="15" customHeight="1" thickBot="1">
      <c r="A4" s="11" t="s">
        <v>4</v>
      </c>
      <c r="B4" s="11" t="s">
        <v>172</v>
      </c>
      <c r="C4" s="11" t="s">
        <v>5</v>
      </c>
      <c r="D4" s="11" t="s">
        <v>173</v>
      </c>
      <c r="E4" s="155" t="s">
        <v>6</v>
      </c>
      <c r="F4" s="11" t="s">
        <v>7</v>
      </c>
      <c r="G4" s="11" t="s">
        <v>176</v>
      </c>
      <c r="H4" s="11" t="s">
        <v>8</v>
      </c>
      <c r="I4" s="11" t="s">
        <v>9</v>
      </c>
      <c r="J4" s="11" t="s">
        <v>10</v>
      </c>
    </row>
    <row r="5" spans="1:10" ht="15" customHeight="1" thickBot="1">
      <c r="A5" s="48">
        <v>4</v>
      </c>
      <c r="B5" s="110">
        <v>1000</v>
      </c>
      <c r="C5" s="138">
        <v>1800</v>
      </c>
      <c r="D5" s="48" t="s">
        <v>194</v>
      </c>
      <c r="E5" s="156">
        <v>4000</v>
      </c>
      <c r="F5" s="138">
        <v>60</v>
      </c>
      <c r="G5" s="48">
        <v>105</v>
      </c>
      <c r="H5" s="76" t="s">
        <v>252</v>
      </c>
      <c r="I5" s="75" t="s">
        <v>257</v>
      </c>
      <c r="J5" s="48" t="s">
        <v>195</v>
      </c>
    </row>
    <row r="6" spans="1:10" ht="15" customHeight="1" thickBot="1">
      <c r="A6" s="22" t="s">
        <v>11</v>
      </c>
      <c r="B6" s="23"/>
      <c r="C6" s="24"/>
      <c r="D6" s="106" t="s">
        <v>12</v>
      </c>
      <c r="E6" s="152"/>
      <c r="F6" s="13"/>
      <c r="G6" s="14"/>
      <c r="H6" s="41" t="s">
        <v>13</v>
      </c>
      <c r="I6" s="17"/>
      <c r="J6" s="28"/>
    </row>
    <row r="7" spans="1:10" ht="15" customHeight="1" thickBot="1">
      <c r="A7" s="140"/>
      <c r="B7" s="3" t="s">
        <v>14</v>
      </c>
      <c r="C7" s="15" t="s">
        <v>15</v>
      </c>
      <c r="D7" s="140"/>
      <c r="E7" s="157"/>
      <c r="F7" s="3" t="s">
        <v>16</v>
      </c>
      <c r="G7" s="15" t="s">
        <v>17</v>
      </c>
      <c r="H7" s="9" t="s">
        <v>18</v>
      </c>
      <c r="I7" s="66">
        <v>22.252929166666664</v>
      </c>
      <c r="J7" s="104" t="s">
        <v>19</v>
      </c>
    </row>
    <row r="8" spans="1:10" ht="15" customHeight="1">
      <c r="A8" s="9" t="s">
        <v>20</v>
      </c>
      <c r="B8" s="67">
        <v>2.0999999046325684</v>
      </c>
      <c r="C8" s="50"/>
      <c r="D8" s="5"/>
      <c r="E8" s="49"/>
      <c r="F8" s="3"/>
      <c r="G8" s="15"/>
      <c r="H8" s="9" t="s">
        <v>21</v>
      </c>
      <c r="I8" s="66">
        <v>30.045024377254787</v>
      </c>
      <c r="J8" s="101" t="s">
        <v>22</v>
      </c>
    </row>
    <row r="9" spans="1:10" ht="15" customHeight="1" thickBot="1">
      <c r="A9" s="9" t="s">
        <v>23</v>
      </c>
      <c r="B9" s="67">
        <v>0.93000000715255737</v>
      </c>
      <c r="C9" s="50"/>
      <c r="D9" s="9" t="s">
        <v>24</v>
      </c>
      <c r="E9" s="51" t="s">
        <v>202</v>
      </c>
      <c r="F9" s="105" t="s">
        <v>25</v>
      </c>
      <c r="G9" s="29"/>
      <c r="H9" s="9" t="s">
        <v>26</v>
      </c>
      <c r="I9" s="67">
        <v>26.148976771960726</v>
      </c>
      <c r="J9" s="102">
        <v>512.93193940737069</v>
      </c>
    </row>
    <row r="10" spans="1:10" ht="15" customHeight="1">
      <c r="A10" s="9" t="s">
        <v>27</v>
      </c>
      <c r="B10" s="67">
        <v>485</v>
      </c>
      <c r="C10" s="71">
        <v>485</v>
      </c>
      <c r="D10" s="5"/>
      <c r="E10" s="49"/>
      <c r="F10" s="114" t="s">
        <v>213</v>
      </c>
      <c r="G10" s="112" t="s">
        <v>214</v>
      </c>
      <c r="H10" s="9" t="s">
        <v>28</v>
      </c>
      <c r="I10" s="66">
        <v>13.46034202175197</v>
      </c>
      <c r="J10" s="101" t="s">
        <v>29</v>
      </c>
    </row>
    <row r="11" spans="1:10" ht="15" customHeight="1" thickBot="1">
      <c r="A11" s="9" t="s">
        <v>30</v>
      </c>
      <c r="B11" s="67">
        <v>670</v>
      </c>
      <c r="C11" s="71">
        <v>420.80000019073486</v>
      </c>
      <c r="D11" s="9" t="s">
        <v>31</v>
      </c>
      <c r="E11" s="66">
        <v>0.86657999999999991</v>
      </c>
      <c r="F11" s="115"/>
      <c r="G11" s="111" t="s">
        <v>215</v>
      </c>
      <c r="H11" s="9" t="s">
        <v>32</v>
      </c>
      <c r="I11" s="66">
        <v>30.045024377254787</v>
      </c>
      <c r="J11" s="102">
        <v>32876.53828091114</v>
      </c>
    </row>
    <row r="12" spans="1:10" ht="15" customHeight="1">
      <c r="A12" s="9" t="s">
        <v>33</v>
      </c>
      <c r="B12" s="67">
        <v>425</v>
      </c>
      <c r="C12" s="71">
        <v>220</v>
      </c>
      <c r="D12" s="9" t="s">
        <v>34</v>
      </c>
      <c r="E12" s="151" t="s">
        <v>175</v>
      </c>
      <c r="F12" s="121"/>
      <c r="G12" s="113" t="s">
        <v>209</v>
      </c>
      <c r="H12" s="9" t="s">
        <v>35</v>
      </c>
      <c r="I12" s="66">
        <v>1.2098288333249432</v>
      </c>
      <c r="J12" s="101" t="s">
        <v>36</v>
      </c>
    </row>
    <row r="13" spans="1:10" ht="15" customHeight="1" thickBot="1">
      <c r="A13" s="9" t="s">
        <v>37</v>
      </c>
      <c r="B13" s="67">
        <v>65.5</v>
      </c>
      <c r="C13" s="71">
        <v>67.600000858306885</v>
      </c>
      <c r="D13" s="9" t="s">
        <v>38</v>
      </c>
      <c r="E13" s="68">
        <v>24</v>
      </c>
      <c r="F13" s="121"/>
      <c r="G13" s="113" t="s">
        <v>210</v>
      </c>
      <c r="H13" s="9" t="s">
        <v>40</v>
      </c>
      <c r="I13" s="66">
        <v>1</v>
      </c>
      <c r="J13" s="102">
        <v>124.61862182617188</v>
      </c>
    </row>
    <row r="14" spans="1:10" ht="15" customHeight="1" thickBot="1">
      <c r="A14" s="158" t="s">
        <v>41</v>
      </c>
      <c r="B14" s="131">
        <v>358.04998779296875</v>
      </c>
      <c r="C14" s="132">
        <v>358.04998779296875</v>
      </c>
      <c r="D14" s="9" t="s">
        <v>42</v>
      </c>
      <c r="E14" s="49" t="s">
        <v>203</v>
      </c>
      <c r="F14" s="49"/>
      <c r="G14" s="113"/>
      <c r="H14" s="47" t="s">
        <v>43</v>
      </c>
      <c r="I14" s="66">
        <v>1.2098288333249432</v>
      </c>
      <c r="J14" s="101" t="s">
        <v>44</v>
      </c>
    </row>
    <row r="15" spans="1:10" ht="15" customHeight="1" thickBot="1">
      <c r="A15" s="12" t="s">
        <v>45</v>
      </c>
      <c r="B15" s="136"/>
      <c r="C15" s="137"/>
      <c r="D15" s="9" t="s">
        <v>46</v>
      </c>
      <c r="E15" s="49" t="s">
        <v>204</v>
      </c>
      <c r="F15" s="49"/>
      <c r="G15" s="113"/>
      <c r="H15" s="9" t="s">
        <v>47</v>
      </c>
      <c r="I15" s="66">
        <v>0.97811904826498275</v>
      </c>
      <c r="J15" s="102">
        <v>19.245572916666667</v>
      </c>
    </row>
    <row r="16" spans="1:10" ht="15" customHeight="1">
      <c r="A16" s="9" t="s">
        <v>48</v>
      </c>
      <c r="B16" s="49">
        <v>60</v>
      </c>
      <c r="C16" s="50">
        <v>44</v>
      </c>
      <c r="D16" s="9" t="s">
        <v>49</v>
      </c>
      <c r="E16" s="49">
        <v>2</v>
      </c>
      <c r="F16" s="49"/>
      <c r="G16" s="113"/>
      <c r="H16" s="9" t="s">
        <v>50</v>
      </c>
      <c r="I16" s="66">
        <v>0.95650599867242181</v>
      </c>
      <c r="J16" s="103" t="s">
        <v>51</v>
      </c>
    </row>
    <row r="17" spans="1:17" ht="15" customHeight="1" thickBot="1">
      <c r="A17" s="9" t="s">
        <v>52</v>
      </c>
      <c r="B17" s="49" t="s">
        <v>196</v>
      </c>
      <c r="C17" s="50" t="s">
        <v>197</v>
      </c>
      <c r="D17" s="47" t="s">
        <v>53</v>
      </c>
      <c r="E17" s="49" t="s">
        <v>205</v>
      </c>
      <c r="F17" s="49"/>
      <c r="G17" s="113"/>
      <c r="H17" s="9" t="s">
        <v>54</v>
      </c>
      <c r="I17" s="66">
        <v>0.93557673708121603</v>
      </c>
      <c r="J17" s="102">
        <v>672.01196333024882</v>
      </c>
    </row>
    <row r="18" spans="1:17" ht="15" customHeight="1">
      <c r="A18" s="9" t="s">
        <v>55</v>
      </c>
      <c r="B18" s="49" t="s">
        <v>175</v>
      </c>
      <c r="C18" s="71">
        <v>0</v>
      </c>
      <c r="D18" s="9" t="s">
        <v>56</v>
      </c>
      <c r="E18" s="135">
        <v>1000</v>
      </c>
      <c r="F18" s="68">
        <v>525</v>
      </c>
      <c r="G18" s="72"/>
      <c r="H18" s="12" t="s">
        <v>57</v>
      </c>
      <c r="I18" s="129" t="s">
        <v>216</v>
      </c>
      <c r="J18" s="130"/>
    </row>
    <row r="19" spans="1:17" ht="15" customHeight="1">
      <c r="A19" s="9" t="s">
        <v>58</v>
      </c>
      <c r="B19" s="67">
        <v>57</v>
      </c>
      <c r="C19" s="71">
        <v>32.799999237060547</v>
      </c>
      <c r="D19" s="9" t="s">
        <v>59</v>
      </c>
      <c r="E19" s="68">
        <v>240</v>
      </c>
      <c r="F19" s="49"/>
      <c r="G19" s="50"/>
      <c r="H19" s="141"/>
      <c r="I19" s="3" t="s">
        <v>60</v>
      </c>
      <c r="J19" s="30" t="s">
        <v>61</v>
      </c>
    </row>
    <row r="20" spans="1:17" ht="15" customHeight="1">
      <c r="A20" s="9" t="s">
        <v>62</v>
      </c>
      <c r="B20" s="67" t="s">
        <v>198</v>
      </c>
      <c r="C20" s="71"/>
      <c r="D20" s="9" t="s">
        <v>167</v>
      </c>
      <c r="E20" s="163">
        <v>0.15386667231339507</v>
      </c>
      <c r="F20" s="49"/>
      <c r="G20" s="50"/>
      <c r="H20" s="9" t="s">
        <v>63</v>
      </c>
      <c r="I20" s="66">
        <v>19.86248779296875</v>
      </c>
      <c r="J20" s="70">
        <v>19.86248779296875</v>
      </c>
    </row>
    <row r="21" spans="1:17" ht="15" customHeight="1">
      <c r="A21" s="9" t="s">
        <v>64</v>
      </c>
      <c r="B21" s="67">
        <v>12.699999809265137</v>
      </c>
      <c r="C21" s="71">
        <v>0</v>
      </c>
      <c r="D21" s="9" t="s">
        <v>206</v>
      </c>
      <c r="E21" s="65">
        <v>0.20525632711354666</v>
      </c>
      <c r="F21" s="65">
        <v>0.19615237414836884</v>
      </c>
      <c r="G21" s="69">
        <v>3.6929250633779623E-2</v>
      </c>
      <c r="H21" s="9" t="s">
        <v>65</v>
      </c>
      <c r="I21" s="66">
        <v>18.272804260253906</v>
      </c>
      <c r="J21" s="70">
        <v>8.3702306747436523</v>
      </c>
    </row>
    <row r="22" spans="1:17" ht="15" customHeight="1">
      <c r="A22" s="9" t="s">
        <v>66</v>
      </c>
      <c r="B22" s="67">
        <v>2.8299999237060547</v>
      </c>
      <c r="C22" s="71">
        <v>0.80000001192092896</v>
      </c>
      <c r="D22" s="9" t="s">
        <v>67</v>
      </c>
      <c r="E22" s="49" t="s">
        <v>207</v>
      </c>
      <c r="F22" s="49" t="s">
        <v>208</v>
      </c>
      <c r="G22" s="50" t="s">
        <v>208</v>
      </c>
      <c r="H22" s="9" t="s">
        <v>68</v>
      </c>
      <c r="I22" s="66">
        <v>7.2139072418212891</v>
      </c>
      <c r="J22" s="70">
        <v>4.5570254325866699</v>
      </c>
    </row>
    <row r="23" spans="1:17" ht="15" customHeight="1">
      <c r="A23" s="9" t="s">
        <v>69</v>
      </c>
      <c r="B23" s="67">
        <v>9.5529289245605469</v>
      </c>
      <c r="C23" s="71">
        <v>14</v>
      </c>
      <c r="D23" s="9" t="s">
        <v>70</v>
      </c>
      <c r="E23" s="66">
        <v>1.7419999837875366</v>
      </c>
      <c r="F23" s="66">
        <v>3.25</v>
      </c>
      <c r="G23" s="70">
        <v>3.25</v>
      </c>
      <c r="H23" s="9" t="s">
        <v>71</v>
      </c>
      <c r="I23" s="66">
        <v>14.556255149576298</v>
      </c>
      <c r="J23" s="15" t="s">
        <v>217</v>
      </c>
    </row>
    <row r="24" spans="1:17" ht="15" customHeight="1">
      <c r="A24" s="9" t="s">
        <v>72</v>
      </c>
      <c r="B24" s="67">
        <v>0</v>
      </c>
      <c r="C24" s="71">
        <v>2</v>
      </c>
      <c r="D24" s="9" t="s">
        <v>73</v>
      </c>
      <c r="E24" s="66">
        <v>8.8900003433227539</v>
      </c>
      <c r="F24" s="66">
        <v>2.6700000762939453</v>
      </c>
      <c r="G24" s="70">
        <v>2.6700000762939453</v>
      </c>
      <c r="H24" s="9" t="s">
        <v>74</v>
      </c>
      <c r="I24" s="66">
        <v>4.8766038924213726</v>
      </c>
      <c r="J24" s="70">
        <v>3.1471993236823295</v>
      </c>
    </row>
    <row r="25" spans="1:17" ht="15" customHeight="1">
      <c r="A25" s="9" t="s">
        <v>75</v>
      </c>
      <c r="B25" s="49" t="s">
        <v>175</v>
      </c>
      <c r="C25" s="71">
        <v>2</v>
      </c>
      <c r="D25" s="107" t="s">
        <v>76</v>
      </c>
      <c r="E25" s="51"/>
      <c r="F25" s="51"/>
      <c r="G25" s="58"/>
      <c r="H25" s="9" t="s">
        <v>77</v>
      </c>
      <c r="I25" s="66">
        <v>0.43833795189857483</v>
      </c>
      <c r="J25" s="70">
        <v>0.70566558837890625</v>
      </c>
    </row>
    <row r="26" spans="1:17" ht="15" customHeight="1">
      <c r="A26" s="9" t="s">
        <v>78</v>
      </c>
      <c r="B26" s="51" t="s">
        <v>199</v>
      </c>
      <c r="C26" s="58" t="s">
        <v>200</v>
      </c>
      <c r="D26" s="9" t="s">
        <v>79</v>
      </c>
      <c r="E26" s="67">
        <v>92.24572560228367</v>
      </c>
      <c r="F26" s="67">
        <v>22.843334073708768</v>
      </c>
      <c r="G26" s="71">
        <v>17.863181824758762</v>
      </c>
      <c r="H26" s="9" t="s">
        <v>80</v>
      </c>
      <c r="I26" s="66">
        <v>3.8785586357116699</v>
      </c>
      <c r="J26" s="70">
        <v>3.0190818309783936</v>
      </c>
    </row>
    <row r="27" spans="1:17" ht="15" customHeight="1" thickBot="1">
      <c r="A27" s="9" t="s">
        <v>81</v>
      </c>
      <c r="B27" s="49" t="s">
        <v>201</v>
      </c>
      <c r="C27" s="50" t="s">
        <v>201</v>
      </c>
      <c r="D27" s="10" t="s">
        <v>82</v>
      </c>
      <c r="E27" s="78">
        <v>81.674103962248168</v>
      </c>
      <c r="F27" s="78" t="s">
        <v>175</v>
      </c>
      <c r="G27" s="80" t="s">
        <v>175</v>
      </c>
      <c r="H27" s="10" t="s">
        <v>83</v>
      </c>
      <c r="I27" s="77">
        <v>3.9032495021820068</v>
      </c>
      <c r="J27" s="79">
        <v>3.100454568862915</v>
      </c>
      <c r="M27" s="169"/>
      <c r="N27" s="169"/>
      <c r="O27" s="169"/>
      <c r="P27" s="169"/>
      <c r="Q27" s="169"/>
    </row>
    <row r="28" spans="1:17" ht="15" customHeight="1">
      <c r="A28" s="5" t="s">
        <v>84</v>
      </c>
      <c r="B28" s="1"/>
      <c r="C28" s="37"/>
      <c r="D28" s="12" t="s">
        <v>85</v>
      </c>
      <c r="E28" s="21"/>
      <c r="F28" s="18"/>
      <c r="G28" s="40"/>
      <c r="H28" s="14"/>
      <c r="I28" s="27" t="s">
        <v>86</v>
      </c>
      <c r="J28" s="14"/>
      <c r="M28" s="169"/>
      <c r="N28" s="169"/>
      <c r="O28" s="169"/>
      <c r="P28" s="169"/>
      <c r="Q28" s="169"/>
    </row>
    <row r="29" spans="1:17" ht="15" customHeight="1">
      <c r="A29" s="6"/>
      <c r="B29" s="33" t="s">
        <v>87</v>
      </c>
      <c r="C29" s="73">
        <v>31.991071522201679</v>
      </c>
      <c r="D29" s="6"/>
      <c r="E29" s="3" t="s">
        <v>88</v>
      </c>
      <c r="F29" s="3" t="s">
        <v>89</v>
      </c>
      <c r="G29" s="3" t="s">
        <v>90</v>
      </c>
      <c r="H29" s="15" t="s">
        <v>91</v>
      </c>
      <c r="I29" s="3" t="s">
        <v>92</v>
      </c>
      <c r="J29" s="15" t="s">
        <v>93</v>
      </c>
      <c r="M29" s="170" t="str">
        <f>RIGHT(F$41,SEARCH("/",F$41,1)-1)</f>
        <v xml:space="preserve"> 1769.7</v>
      </c>
      <c r="N29" s="169" t="s">
        <v>187</v>
      </c>
      <c r="O29" s="169"/>
      <c r="P29" s="3" t="s">
        <v>193</v>
      </c>
      <c r="Q29" s="169"/>
    </row>
    <row r="30" spans="1:17" ht="15" customHeight="1" thickBot="1">
      <c r="A30" s="7"/>
      <c r="B30" s="61" t="s">
        <v>94</v>
      </c>
      <c r="C30" s="74">
        <v>31.997447759527692</v>
      </c>
      <c r="D30" s="9" t="s">
        <v>95</v>
      </c>
      <c r="E30" s="164">
        <v>26.310816250000002</v>
      </c>
      <c r="F30" s="164">
        <v>469.04548400878906</v>
      </c>
      <c r="G30" s="164">
        <v>16.462744953024128</v>
      </c>
      <c r="H30" s="165">
        <v>479.08492286201374</v>
      </c>
      <c r="I30" s="68">
        <v>44538.006498689261</v>
      </c>
      <c r="J30" s="72">
        <v>3543.4667108855456</v>
      </c>
      <c r="M30" s="170" t="str">
        <f>RIGHT(E$41,SEARCH("/",E$41,1)-1)</f>
        <v xml:space="preserve"> 1775.0</v>
      </c>
      <c r="N30" s="169" t="s">
        <v>188</v>
      </c>
      <c r="O30" s="169"/>
      <c r="P30" s="171">
        <f>G30*6.4516</f>
        <v>106.21104533893046</v>
      </c>
      <c r="Q30" s="169"/>
    </row>
    <row r="31" spans="1:17" ht="15" customHeight="1">
      <c r="A31" s="22" t="s">
        <v>96</v>
      </c>
      <c r="B31" s="142"/>
      <c r="C31" s="26"/>
      <c r="D31" s="9" t="s">
        <v>97</v>
      </c>
      <c r="E31" s="164">
        <v>5.7</v>
      </c>
      <c r="F31" s="164">
        <v>513.06391272390033</v>
      </c>
      <c r="G31" s="164">
        <v>15.050320209832885</v>
      </c>
      <c r="H31" s="165">
        <v>66.6041519971957</v>
      </c>
      <c r="I31" s="68">
        <v>11697.857210104929</v>
      </c>
      <c r="J31" s="72">
        <v>804.81183202427997</v>
      </c>
      <c r="M31" s="170" t="str">
        <f>RIGHT(D$41,SEARCH("/",D$41,1)-1)</f>
        <v xml:space="preserve"> 1780.3</v>
      </c>
      <c r="N31" s="169" t="s">
        <v>189</v>
      </c>
      <c r="O31" s="169"/>
      <c r="P31" s="171">
        <f>G31*6.4516</f>
        <v>97.098645865757831</v>
      </c>
      <c r="Q31" s="169"/>
    </row>
    <row r="32" spans="1:17" ht="15" customHeight="1">
      <c r="A32" s="5" t="s">
        <v>98</v>
      </c>
      <c r="B32" s="66" t="s">
        <v>259</v>
      </c>
      <c r="C32" s="108"/>
      <c r="D32" s="9" t="s">
        <v>99</v>
      </c>
      <c r="E32" s="164">
        <v>13.948659667411206</v>
      </c>
      <c r="F32" s="164">
        <v>484.08358964242916</v>
      </c>
      <c r="G32" s="164">
        <v>15.951328117336475</v>
      </c>
      <c r="H32" s="165">
        <v>216.45508442517351</v>
      </c>
      <c r="I32" s="8" t="s">
        <v>100</v>
      </c>
      <c r="J32" s="72">
        <v>4348.2785429098258</v>
      </c>
      <c r="M32" s="170" t="str">
        <f>RIGHT(C$41,SEARCH("/",C$41,1)-1)</f>
        <v xml:space="preserve"> 1785.4</v>
      </c>
      <c r="N32" s="169" t="s">
        <v>190</v>
      </c>
      <c r="O32" s="169"/>
      <c r="P32" s="171">
        <f>G32*6.4516</f>
        <v>102.911588481808</v>
      </c>
      <c r="Q32" s="169"/>
    </row>
    <row r="33" spans="1:17" ht="15" customHeight="1">
      <c r="A33" s="5" t="s">
        <v>101</v>
      </c>
      <c r="B33" s="66" t="s">
        <v>260</v>
      </c>
      <c r="C33" s="109" t="s">
        <v>102</v>
      </c>
      <c r="D33" s="9" t="s">
        <v>97</v>
      </c>
      <c r="E33" s="164">
        <v>3.2799999237060549</v>
      </c>
      <c r="F33" s="164">
        <v>551.39698120117191</v>
      </c>
      <c r="G33" s="164">
        <v>14.004023304195849</v>
      </c>
      <c r="H33" s="165">
        <v>28.491774462212014</v>
      </c>
      <c r="I33" s="8" t="s">
        <v>103</v>
      </c>
      <c r="J33" s="71" t="s">
        <v>228</v>
      </c>
      <c r="M33" s="170" t="str">
        <f>RIGHT(B$41,SEARCH("/",B$41,1)-1)</f>
        <v xml:space="preserve"> 1790.4</v>
      </c>
      <c r="N33" s="169" t="s">
        <v>191</v>
      </c>
      <c r="O33" s="169"/>
      <c r="P33" s="171">
        <f>G33*6.4516</f>
        <v>90.348356749349946</v>
      </c>
      <c r="Q33" s="169"/>
    </row>
    <row r="34" spans="1:17" ht="15" customHeight="1" thickBot="1">
      <c r="A34" s="16" t="s">
        <v>104</v>
      </c>
      <c r="B34" s="77" t="s">
        <v>261</v>
      </c>
      <c r="C34" s="162">
        <v>7.721776174604452</v>
      </c>
      <c r="D34" s="10" t="s">
        <v>20</v>
      </c>
      <c r="E34" s="166">
        <v>0.20999999046325685</v>
      </c>
      <c r="F34" s="167">
        <v>1062.2218812913993</v>
      </c>
      <c r="G34" s="167">
        <v>7.2694568908867518</v>
      </c>
      <c r="H34" s="168">
        <v>1214.81946861245</v>
      </c>
      <c r="I34" s="8" t="s">
        <v>105</v>
      </c>
      <c r="J34" s="71">
        <v>6.0500001907348633</v>
      </c>
      <c r="M34" s="169"/>
      <c r="N34" s="169"/>
      <c r="O34" s="169"/>
      <c r="P34" s="171">
        <f>G34*6.4516</f>
        <v>46.899628077244969</v>
      </c>
      <c r="Q34" s="169"/>
    </row>
    <row r="35" spans="1:17" ht="15" customHeight="1">
      <c r="A35" s="12" t="s">
        <v>106</v>
      </c>
      <c r="B35" s="13"/>
      <c r="C35" s="13"/>
      <c r="D35" s="133" t="s">
        <v>230</v>
      </c>
      <c r="E35" s="143" t="s">
        <v>229</v>
      </c>
      <c r="F35" s="14"/>
      <c r="G35" s="25" t="s">
        <v>107</v>
      </c>
      <c r="H35" s="83" t="s">
        <v>223</v>
      </c>
      <c r="I35" s="9" t="s">
        <v>108</v>
      </c>
      <c r="J35" s="72" t="s">
        <v>227</v>
      </c>
      <c r="M35" s="169"/>
      <c r="N35" s="169"/>
      <c r="O35" s="169"/>
      <c r="P35" s="169"/>
      <c r="Q35" s="169"/>
    </row>
    <row r="36" spans="1:17" ht="15" customHeight="1">
      <c r="A36" s="5" t="s">
        <v>109</v>
      </c>
      <c r="B36" s="3">
        <v>25</v>
      </c>
      <c r="C36" s="3">
        <v>50</v>
      </c>
      <c r="D36" s="3">
        <v>75</v>
      </c>
      <c r="E36" s="3">
        <v>100</v>
      </c>
      <c r="F36" s="15">
        <v>125</v>
      </c>
      <c r="G36" s="9" t="s">
        <v>110</v>
      </c>
      <c r="H36" s="72" t="s">
        <v>221</v>
      </c>
      <c r="I36" s="9" t="s">
        <v>111</v>
      </c>
      <c r="J36" s="72" t="s">
        <v>226</v>
      </c>
      <c r="M36" s="169"/>
      <c r="N36" s="169"/>
      <c r="O36" s="169"/>
      <c r="P36" s="169"/>
      <c r="Q36" s="169"/>
    </row>
    <row r="37" spans="1:17" ht="15" customHeight="1" thickBot="1">
      <c r="A37" s="9" t="s">
        <v>112</v>
      </c>
      <c r="B37" s="174" t="s">
        <v>241</v>
      </c>
      <c r="C37" s="174" t="s">
        <v>242</v>
      </c>
      <c r="D37" s="174" t="s">
        <v>243</v>
      </c>
      <c r="E37" s="174" t="s">
        <v>244</v>
      </c>
      <c r="F37" s="175" t="s">
        <v>245</v>
      </c>
      <c r="G37" s="9" t="s">
        <v>113</v>
      </c>
      <c r="H37" s="72" t="s">
        <v>222</v>
      </c>
      <c r="I37" s="10" t="s">
        <v>114</v>
      </c>
      <c r="J37" s="81" t="s">
        <v>225</v>
      </c>
      <c r="O37" s="148"/>
    </row>
    <row r="38" spans="1:17" ht="15" customHeight="1" thickBot="1">
      <c r="A38" s="9" t="s">
        <v>115</v>
      </c>
      <c r="B38" s="176" t="s">
        <v>232</v>
      </c>
      <c r="C38" s="176" t="s">
        <v>233</v>
      </c>
      <c r="D38" s="176" t="s">
        <v>234</v>
      </c>
      <c r="E38" s="176" t="s">
        <v>235</v>
      </c>
      <c r="F38" s="177" t="s">
        <v>233</v>
      </c>
      <c r="G38" s="16" t="s">
        <v>116</v>
      </c>
      <c r="H38" s="81" t="s">
        <v>224</v>
      </c>
      <c r="I38" s="134" t="s">
        <v>231</v>
      </c>
      <c r="J38" s="82">
        <v>8967.5869140625</v>
      </c>
      <c r="L38" t="str">
        <f>LEFT(E38,SEARCH("/",E38,1)-1)</f>
        <v xml:space="preserve">0.965 </v>
      </c>
      <c r="M38" t="str">
        <f>RIGHT(E38,SEARCH("/",E38,1)-1)</f>
        <v xml:space="preserve"> 0.955</v>
      </c>
      <c r="N38" s="149">
        <f>M38/L38</f>
        <v>0.98963730569948183</v>
      </c>
      <c r="O38" s="148" t="s">
        <v>178</v>
      </c>
    </row>
    <row r="39" spans="1:17" ht="15" customHeight="1">
      <c r="A39" s="9" t="s">
        <v>117</v>
      </c>
      <c r="B39" s="176" t="s">
        <v>236</v>
      </c>
      <c r="C39" s="176" t="s">
        <v>237</v>
      </c>
      <c r="D39" s="176" t="s">
        <v>238</v>
      </c>
      <c r="E39" s="176" t="s">
        <v>239</v>
      </c>
      <c r="F39" s="177" t="s">
        <v>240</v>
      </c>
      <c r="G39" s="12" t="s">
        <v>118</v>
      </c>
      <c r="H39" s="13"/>
      <c r="I39" s="38" t="s">
        <v>119</v>
      </c>
      <c r="J39" s="39" t="s">
        <v>120</v>
      </c>
      <c r="L39" t="str">
        <f>LEFT(E39,SEARCH("/",E39,1)-1)</f>
        <v xml:space="preserve">0.896 </v>
      </c>
      <c r="M39" t="str">
        <f>RIGHT(E39,SEARCH("/",E39,1)-1)</f>
        <v xml:space="preserve"> 0.900</v>
      </c>
      <c r="N39" s="149">
        <f>M39/L39</f>
        <v>1.0044642857142858</v>
      </c>
      <c r="O39" s="148" t="s">
        <v>179</v>
      </c>
    </row>
    <row r="40" spans="1:17" ht="15" customHeight="1">
      <c r="A40" s="9" t="s">
        <v>119</v>
      </c>
      <c r="B40" s="178" t="s">
        <v>254</v>
      </c>
      <c r="C40" s="178" t="s">
        <v>255</v>
      </c>
      <c r="D40" s="178" t="s">
        <v>256</v>
      </c>
      <c r="E40" s="178" t="s">
        <v>257</v>
      </c>
      <c r="F40" s="179" t="s">
        <v>258</v>
      </c>
      <c r="G40" s="34" t="s">
        <v>121</v>
      </c>
      <c r="H40" s="89" t="s">
        <v>262</v>
      </c>
      <c r="I40" s="53"/>
      <c r="J40" s="54"/>
      <c r="L40" t="str">
        <f>LEFT(E37,SEARCH("/",E37,1)-1)</f>
        <v xml:space="preserve">124.62 </v>
      </c>
      <c r="M40">
        <v>125</v>
      </c>
      <c r="N40" s="149">
        <f>M40/L40</f>
        <v>1.0030492697801316</v>
      </c>
      <c r="O40" s="148" t="s">
        <v>177</v>
      </c>
    </row>
    <row r="41" spans="1:17" ht="15" customHeight="1">
      <c r="A41" s="9" t="s">
        <v>5</v>
      </c>
      <c r="B41" s="180" t="s">
        <v>249</v>
      </c>
      <c r="C41" s="180" t="s">
        <v>250</v>
      </c>
      <c r="D41" s="180" t="s">
        <v>251</v>
      </c>
      <c r="E41" s="180" t="s">
        <v>252</v>
      </c>
      <c r="F41" s="181" t="s">
        <v>253</v>
      </c>
      <c r="G41" s="35" t="s">
        <v>122</v>
      </c>
      <c r="H41" s="90" t="s">
        <v>263</v>
      </c>
      <c r="I41" s="55"/>
      <c r="J41" s="56"/>
      <c r="L41" t="str">
        <f>LEFT(E41,SEARCH("/",E41,1)-1)</f>
        <v xml:space="preserve">1779.6 </v>
      </c>
      <c r="M41">
        <v>1775</v>
      </c>
      <c r="N41" s="149">
        <f>M41/L41</f>
        <v>0.99741514947179144</v>
      </c>
      <c r="O41" s="148" t="s">
        <v>5</v>
      </c>
    </row>
    <row r="42" spans="1:17" ht="15" customHeight="1">
      <c r="A42" s="9" t="s">
        <v>123</v>
      </c>
      <c r="B42" s="176">
        <v>8.5554630400278313</v>
      </c>
      <c r="C42" s="176">
        <v>7.8718228068607292</v>
      </c>
      <c r="D42" s="176">
        <v>7.5044196370512921</v>
      </c>
      <c r="E42" s="176">
        <v>7.2850165381650855</v>
      </c>
      <c r="F42" s="177">
        <v>7.0898993439597042</v>
      </c>
      <c r="G42" s="34" t="s">
        <v>124</v>
      </c>
      <c r="H42" s="89" t="s">
        <v>264</v>
      </c>
      <c r="I42" s="53"/>
      <c r="J42" s="95">
        <v>0.22760746921665972</v>
      </c>
    </row>
    <row r="43" spans="1:17" ht="15" customHeight="1" thickBot="1">
      <c r="A43" s="10" t="s">
        <v>125</v>
      </c>
      <c r="B43" s="182">
        <v>11.4621881688619</v>
      </c>
      <c r="C43" s="183"/>
      <c r="D43" s="184" t="s">
        <v>267</v>
      </c>
      <c r="E43" s="184"/>
      <c r="F43" s="185"/>
      <c r="G43" s="35" t="s">
        <v>122</v>
      </c>
      <c r="H43" s="90" t="s">
        <v>265</v>
      </c>
      <c r="I43" s="55"/>
      <c r="J43" s="56"/>
    </row>
    <row r="44" spans="1:17" ht="15" customHeight="1">
      <c r="A44" s="4" t="s">
        <v>126</v>
      </c>
      <c r="B44" s="139"/>
      <c r="C44" s="1"/>
      <c r="D44" s="1"/>
      <c r="E44" s="4" t="s">
        <v>127</v>
      </c>
      <c r="F44" s="19"/>
      <c r="G44" s="34" t="s">
        <v>128</v>
      </c>
      <c r="H44" s="91">
        <v>1847.681003706952</v>
      </c>
      <c r="I44" s="88">
        <v>6.0010930904173226E-2</v>
      </c>
      <c r="J44" s="95">
        <v>0.61175794792422233</v>
      </c>
    </row>
    <row r="45" spans="1:17" ht="15" customHeight="1">
      <c r="A45" s="9" t="s">
        <v>129</v>
      </c>
      <c r="B45" s="66">
        <v>0.29857867956161499</v>
      </c>
      <c r="C45" s="159" t="s">
        <v>130</v>
      </c>
      <c r="D45" s="70">
        <v>1.1036472395062447E-2</v>
      </c>
      <c r="E45" s="9" t="s">
        <v>131</v>
      </c>
      <c r="F45" s="72">
        <v>603.65937216214138</v>
      </c>
      <c r="G45" s="36" t="s">
        <v>122</v>
      </c>
      <c r="H45" s="84" t="s">
        <v>266</v>
      </c>
      <c r="I45" s="57"/>
      <c r="J45" s="58"/>
    </row>
    <row r="46" spans="1:17" ht="15" customHeight="1">
      <c r="A46" s="9" t="s">
        <v>132</v>
      </c>
      <c r="B46" s="66">
        <v>0.18889030814170837</v>
      </c>
      <c r="C46" s="159" t="s">
        <v>133</v>
      </c>
      <c r="D46" s="70">
        <v>1.1351346038281918E-2</v>
      </c>
      <c r="E46" s="9" t="s">
        <v>134</v>
      </c>
      <c r="F46" s="72">
        <v>1106.8708702272966</v>
      </c>
      <c r="G46" s="35" t="s">
        <v>135</v>
      </c>
      <c r="H46" s="92">
        <v>409.76686011019217</v>
      </c>
      <c r="I46" s="55"/>
      <c r="J46" s="56"/>
      <c r="L46" s="144" t="s">
        <v>180</v>
      </c>
      <c r="M46" s="146">
        <f>B5^0.95</f>
        <v>707.94578438413748</v>
      </c>
    </row>
    <row r="47" spans="1:17" ht="15" customHeight="1">
      <c r="A47" s="9" t="s">
        <v>136</v>
      </c>
      <c r="B47" s="66">
        <v>0.48746898770332336</v>
      </c>
      <c r="C47" s="159" t="s">
        <v>137</v>
      </c>
      <c r="D47" s="70">
        <v>2.6809652335941792E-3</v>
      </c>
      <c r="E47" s="9" t="s">
        <v>138</v>
      </c>
      <c r="F47" s="72">
        <v>927.95141719501248</v>
      </c>
      <c r="G47" s="62" t="s">
        <v>139</v>
      </c>
      <c r="H47" s="91">
        <v>1740.2886243176936</v>
      </c>
      <c r="I47" s="88">
        <v>5.634984356541238E-2</v>
      </c>
      <c r="J47" s="93">
        <v>0.63318161169638099</v>
      </c>
      <c r="L47" s="144" t="s">
        <v>181</v>
      </c>
      <c r="M47" s="146">
        <f>B5^1.5</f>
        <v>31622.776601683781</v>
      </c>
    </row>
    <row r="48" spans="1:17" ht="15" customHeight="1">
      <c r="A48" s="9" t="s">
        <v>140</v>
      </c>
      <c r="B48" s="66">
        <v>9.2425858601927757E-3</v>
      </c>
      <c r="C48" s="159" t="s">
        <v>100</v>
      </c>
      <c r="D48" s="70">
        <v>3.4311369061470032E-2</v>
      </c>
      <c r="E48" s="9" t="s">
        <v>141</v>
      </c>
      <c r="F48" s="72">
        <v>187.99219932798366</v>
      </c>
      <c r="G48" s="63" t="s">
        <v>122</v>
      </c>
      <c r="H48" s="84">
        <v>233.28265741524044</v>
      </c>
      <c r="I48" s="57"/>
      <c r="J48" s="58"/>
      <c r="L48" s="144" t="s">
        <v>182</v>
      </c>
      <c r="M48" s="145">
        <f>IF(A5="",0,(7200/(1000*A5))^2.4)</f>
        <v>4.0987743736515299</v>
      </c>
    </row>
    <row r="49" spans="1:13" ht="15" customHeight="1" thickBot="1">
      <c r="A49" s="7"/>
      <c r="B49" s="52"/>
      <c r="C49" s="160" t="s">
        <v>142</v>
      </c>
      <c r="D49" s="79">
        <v>0.96568864583969116</v>
      </c>
      <c r="E49" s="10" t="s">
        <v>143</v>
      </c>
      <c r="F49" s="81">
        <v>408.11538530450531</v>
      </c>
      <c r="G49" s="64" t="s">
        <v>135</v>
      </c>
      <c r="H49" s="92">
        <v>396.69766354447734</v>
      </c>
      <c r="I49" s="55"/>
      <c r="J49" s="59"/>
      <c r="L49" s="144" t="s">
        <v>183</v>
      </c>
      <c r="M49" s="145">
        <f>IF(A5="",0,(7200/(1000*A5))^1.8)</f>
        <v>2.8806500970683282</v>
      </c>
    </row>
    <row r="50" spans="1:13" ht="15" customHeight="1">
      <c r="A50" s="12" t="s">
        <v>144</v>
      </c>
      <c r="B50" s="13"/>
      <c r="C50" s="13"/>
      <c r="D50" s="13"/>
      <c r="E50" s="13"/>
      <c r="F50" s="14"/>
      <c r="G50" s="12" t="s">
        <v>145</v>
      </c>
      <c r="H50" s="13"/>
      <c r="I50" s="40"/>
      <c r="J50" s="26"/>
      <c r="L50" s="144" t="s">
        <v>184</v>
      </c>
      <c r="M50" s="147">
        <f>IF(A5=2,27,24)</f>
        <v>24</v>
      </c>
    </row>
    <row r="51" spans="1:13" ht="15" customHeight="1">
      <c r="A51" s="9" t="s">
        <v>146</v>
      </c>
      <c r="B51" s="49">
        <v>44</v>
      </c>
      <c r="C51" s="8" t="s">
        <v>147</v>
      </c>
      <c r="D51" s="67">
        <v>12</v>
      </c>
      <c r="E51" s="8" t="s">
        <v>148</v>
      </c>
      <c r="F51" s="71">
        <v>14</v>
      </c>
      <c r="G51" s="8" t="s">
        <v>149</v>
      </c>
      <c r="H51" s="65">
        <v>0.11168513969130521</v>
      </c>
      <c r="I51" s="43" t="s">
        <v>150</v>
      </c>
      <c r="J51" s="37"/>
      <c r="L51" s="144" t="s">
        <v>185</v>
      </c>
      <c r="M51" s="147">
        <v>6.8500000000000005E-2</v>
      </c>
    </row>
    <row r="52" spans="1:13" ht="15" customHeight="1">
      <c r="A52" s="9" t="s">
        <v>58</v>
      </c>
      <c r="B52" s="67">
        <v>32.799999237060547</v>
      </c>
      <c r="C52" s="8" t="s">
        <v>151</v>
      </c>
      <c r="D52" s="67">
        <v>2.9999992251396179</v>
      </c>
      <c r="E52" s="8" t="s">
        <v>152</v>
      </c>
      <c r="F52" s="71">
        <v>0</v>
      </c>
      <c r="G52" s="8" t="s">
        <v>169</v>
      </c>
      <c r="H52" s="67">
        <v>68172.966461801145</v>
      </c>
      <c r="I52" s="96" t="s">
        <v>246</v>
      </c>
      <c r="J52" s="60"/>
      <c r="L52" s="144" t="s">
        <v>192</v>
      </c>
      <c r="M52" s="161">
        <f>F5</f>
        <v>60</v>
      </c>
    </row>
    <row r="53" spans="1:13" ht="15" customHeight="1">
      <c r="A53" s="9" t="s">
        <v>64</v>
      </c>
      <c r="B53" s="67">
        <v>0</v>
      </c>
      <c r="C53" s="8" t="s">
        <v>153</v>
      </c>
      <c r="D53" s="67">
        <v>14.944689750671387</v>
      </c>
      <c r="E53" s="8" t="s">
        <v>154</v>
      </c>
      <c r="F53" s="71">
        <v>0</v>
      </c>
      <c r="G53" s="8" t="s">
        <v>170</v>
      </c>
      <c r="H53" s="66">
        <v>45.871954628453167</v>
      </c>
      <c r="I53" s="42" t="s">
        <v>155</v>
      </c>
      <c r="J53" s="37"/>
      <c r="L53" s="144" t="s">
        <v>186</v>
      </c>
      <c r="M53" s="150">
        <f>IF(F5=60,M50*M46/M48-M51*M47/M49,IF(F5&lt;&gt;60,(60/M52)^2*(M50*M46/M48-M51*M47/M49),0))</f>
        <v>3393.3428390814292</v>
      </c>
    </row>
    <row r="54" spans="1:13" ht="15" customHeight="1">
      <c r="A54" s="9" t="s">
        <v>66</v>
      </c>
      <c r="B54" s="67">
        <v>0.80000001192092896</v>
      </c>
      <c r="C54" s="8" t="s">
        <v>156</v>
      </c>
      <c r="D54" s="67">
        <v>11.368622526025799</v>
      </c>
      <c r="E54" s="8" t="s">
        <v>154</v>
      </c>
      <c r="F54" s="71">
        <v>14</v>
      </c>
      <c r="G54" s="8" t="s">
        <v>171</v>
      </c>
      <c r="H54" s="68">
        <v>172826.5</v>
      </c>
      <c r="I54" s="97" t="s">
        <v>247</v>
      </c>
      <c r="J54" s="98" t="s">
        <v>211</v>
      </c>
    </row>
    <row r="55" spans="1:13" ht="15" customHeight="1">
      <c r="A55" s="9" t="s">
        <v>157</v>
      </c>
      <c r="B55" s="67">
        <v>12</v>
      </c>
      <c r="C55" s="8" t="s">
        <v>158</v>
      </c>
      <c r="D55" s="67">
        <v>25</v>
      </c>
      <c r="E55" s="8" t="s">
        <v>159</v>
      </c>
      <c r="F55" s="71">
        <v>0</v>
      </c>
      <c r="G55" s="8" t="s">
        <v>160</v>
      </c>
      <c r="H55" s="67">
        <v>1</v>
      </c>
      <c r="I55" s="42" t="s">
        <v>161</v>
      </c>
      <c r="J55" s="37"/>
    </row>
    <row r="56" spans="1:13" ht="15" customHeight="1" thickBot="1">
      <c r="A56" s="10" t="s">
        <v>162</v>
      </c>
      <c r="B56" s="78">
        <v>2</v>
      </c>
      <c r="C56" s="20" t="s">
        <v>163</v>
      </c>
      <c r="D56" s="78">
        <v>17.359586557370665</v>
      </c>
      <c r="E56" s="20" t="s">
        <v>164</v>
      </c>
      <c r="F56" s="80">
        <v>0</v>
      </c>
      <c r="G56" s="20" t="s">
        <v>165</v>
      </c>
      <c r="H56" s="77">
        <v>0.89993499999999993</v>
      </c>
      <c r="I56" s="99" t="s">
        <v>248</v>
      </c>
      <c r="J56" s="59" t="s">
        <v>212</v>
      </c>
    </row>
    <row r="57" spans="1:13" ht="15" customHeight="1">
      <c r="A57" s="22" t="s">
        <v>397</v>
      </c>
      <c r="B57" s="40"/>
      <c r="C57" s="40"/>
      <c r="D57" s="40"/>
      <c r="E57" s="40"/>
      <c r="F57" s="26"/>
      <c r="G57" s="116"/>
      <c r="H57" s="117"/>
      <c r="I57" s="117"/>
      <c r="J57" s="118"/>
    </row>
    <row r="58" spans="1:13" ht="15" customHeight="1">
      <c r="A58" s="100" t="s">
        <v>119</v>
      </c>
      <c r="B58" s="3" t="s">
        <v>166</v>
      </c>
      <c r="C58" s="15" t="s">
        <v>398</v>
      </c>
      <c r="D58" s="3" t="s">
        <v>119</v>
      </c>
      <c r="E58" s="3" t="s">
        <v>166</v>
      </c>
      <c r="F58" s="15" t="s">
        <v>399</v>
      </c>
      <c r="G58" s="119"/>
      <c r="H58" s="31"/>
      <c r="I58" s="31"/>
      <c r="J58" s="44"/>
    </row>
    <row r="59" spans="1:13" ht="15" customHeight="1">
      <c r="A59" s="123">
        <v>0</v>
      </c>
      <c r="B59" s="84">
        <v>0</v>
      </c>
      <c r="C59" s="85">
        <v>0.26881510019302368</v>
      </c>
      <c r="D59" s="125">
        <v>0.69999998807907104</v>
      </c>
      <c r="E59" s="84">
        <v>86.333861966225157</v>
      </c>
      <c r="F59" s="85">
        <v>677.73114013671875</v>
      </c>
      <c r="G59" s="119"/>
      <c r="H59" s="31"/>
      <c r="I59" s="31"/>
      <c r="J59" s="44"/>
    </row>
    <row r="60" spans="1:13" ht="15" customHeight="1">
      <c r="A60" s="127">
        <v>3.9999997243285179E-3</v>
      </c>
      <c r="B60" s="84">
        <v>60.371318353912159</v>
      </c>
      <c r="C60" s="85">
        <v>89.609397888183594</v>
      </c>
      <c r="D60" s="125">
        <v>0.80000001192092896</v>
      </c>
      <c r="E60" s="84">
        <v>91.973785397925298</v>
      </c>
      <c r="F60" s="85">
        <v>684.197265625</v>
      </c>
      <c r="G60" s="119"/>
      <c r="H60" s="31"/>
      <c r="I60" s="31"/>
      <c r="J60" s="44"/>
    </row>
    <row r="61" spans="1:13" ht="15" customHeight="1">
      <c r="A61" s="127">
        <v>1.9999999552965164E-2</v>
      </c>
      <c r="B61" s="84">
        <v>209.03159376007639</v>
      </c>
      <c r="C61" s="85">
        <v>349.62515258789063</v>
      </c>
      <c r="D61" s="125">
        <v>0.89999997615814209</v>
      </c>
      <c r="E61" s="84">
        <v>101.00610977964959</v>
      </c>
      <c r="F61" s="85">
        <v>689.9906005859375</v>
      </c>
      <c r="G61" s="119"/>
      <c r="H61" s="31"/>
      <c r="I61" s="31"/>
      <c r="J61" s="44"/>
    </row>
    <row r="62" spans="1:13" ht="15" customHeight="1">
      <c r="A62" s="123">
        <v>3.9999999105930328E-2</v>
      </c>
      <c r="B62" s="84">
        <v>225</v>
      </c>
      <c r="C62" s="85">
        <v>507.49041748046875</v>
      </c>
      <c r="D62" s="126">
        <v>1</v>
      </c>
      <c r="E62" s="84">
        <v>115</v>
      </c>
      <c r="F62" s="85">
        <v>695.20001220703125</v>
      </c>
      <c r="G62" s="119"/>
      <c r="H62" s="31"/>
      <c r="I62" s="31"/>
      <c r="J62" s="44"/>
    </row>
    <row r="63" spans="1:13" ht="15" customHeight="1" thickBot="1">
      <c r="A63" s="123">
        <v>0.10000000149011612</v>
      </c>
      <c r="B63" s="84">
        <v>143.09333841952954</v>
      </c>
      <c r="C63" s="85">
        <v>573.37628173828125</v>
      </c>
      <c r="D63" s="371"/>
      <c r="E63" s="86"/>
      <c r="F63" s="372"/>
      <c r="G63" s="119"/>
      <c r="H63" s="31"/>
      <c r="I63" s="31"/>
      <c r="J63" s="44"/>
    </row>
    <row r="64" spans="1:13" ht="15" customHeight="1">
      <c r="A64" s="123">
        <v>0.15999999642372131</v>
      </c>
      <c r="B64" s="84">
        <v>112.52866919609549</v>
      </c>
      <c r="C64" s="85">
        <v>605.194580078125</v>
      </c>
      <c r="D64" s="373" t="s">
        <v>407</v>
      </c>
      <c r="E64" s="374"/>
      <c r="F64" s="374"/>
      <c r="G64" s="119"/>
      <c r="H64" s="31"/>
      <c r="I64" s="31"/>
      <c r="J64" s="44"/>
    </row>
    <row r="65" spans="1:10" ht="15" customHeight="1">
      <c r="A65" s="123">
        <v>0.2800000011920929</v>
      </c>
      <c r="B65" s="84">
        <v>89.650812206665449</v>
      </c>
      <c r="C65" s="85">
        <v>635.27423095703125</v>
      </c>
      <c r="D65" s="375" t="s">
        <v>401</v>
      </c>
      <c r="E65" s="377" t="s">
        <v>405</v>
      </c>
      <c r="F65" s="377"/>
      <c r="G65" s="119"/>
      <c r="H65" s="31"/>
      <c r="I65" s="31"/>
      <c r="J65" s="44"/>
    </row>
    <row r="66" spans="1:10" ht="15" customHeight="1">
      <c r="A66" s="123">
        <v>0.40000000596046448</v>
      </c>
      <c r="B66" s="84">
        <v>80.5</v>
      </c>
      <c r="C66" s="85">
        <v>650.76763916015625</v>
      </c>
      <c r="D66" s="375" t="s">
        <v>402</v>
      </c>
      <c r="E66" s="377" t="s">
        <v>406</v>
      </c>
      <c r="F66" s="377"/>
      <c r="G66" s="119"/>
      <c r="H66" s="31"/>
      <c r="I66" s="31"/>
      <c r="J66" s="44"/>
    </row>
    <row r="67" spans="1:10" ht="15" customHeight="1">
      <c r="A67" s="123">
        <v>0.5</v>
      </c>
      <c r="B67" s="84">
        <v>81.211249951172249</v>
      </c>
      <c r="C67" s="85">
        <v>661.60260009765625</v>
      </c>
      <c r="D67" s="375" t="s">
        <v>403</v>
      </c>
      <c r="E67" s="377" t="s">
        <v>408</v>
      </c>
      <c r="F67" s="377"/>
      <c r="G67" s="119"/>
      <c r="H67" s="31"/>
      <c r="I67" s="31"/>
      <c r="J67" s="44"/>
    </row>
    <row r="68" spans="1:10" ht="15" customHeight="1" thickBot="1">
      <c r="A68" s="124">
        <v>0.60000002384185791</v>
      </c>
      <c r="B68" s="86">
        <v>83.002054111113438</v>
      </c>
      <c r="C68" s="87">
        <v>670.44061279296875</v>
      </c>
      <c r="D68" s="376" t="s">
        <v>404</v>
      </c>
      <c r="E68" s="378" t="s">
        <v>409</v>
      </c>
      <c r="F68" s="378"/>
      <c r="G68" s="120"/>
      <c r="H68" s="45"/>
      <c r="I68" s="45"/>
      <c r="J68" s="46"/>
    </row>
    <row r="69" spans="1:10" ht="15" customHeight="1">
      <c r="A69" s="153"/>
      <c r="B69" s="154"/>
      <c r="C69" s="31"/>
      <c r="D69" s="31"/>
      <c r="E69" s="31"/>
      <c r="F69" s="31"/>
      <c r="G69" s="31"/>
      <c r="H69" s="31"/>
      <c r="I69" s="31"/>
      <c r="J69" s="31"/>
    </row>
    <row r="70" spans="1:10" ht="1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370" t="s">
        <v>400</v>
      </c>
      <c r="B99" s="370"/>
      <c r="C99" s="370"/>
      <c r="D99" s="370"/>
      <c r="E99" s="370"/>
      <c r="F99" s="370"/>
      <c r="G99" s="370"/>
      <c r="H99" s="370"/>
      <c r="I99" s="370"/>
    </row>
    <row r="100" spans="1:9">
      <c r="A100" s="370">
        <v>28.899999618530273</v>
      </c>
      <c r="B100" s="370"/>
      <c r="C100" s="370"/>
      <c r="D100" s="370"/>
      <c r="E100" s="370"/>
      <c r="F100" s="370"/>
      <c r="G100" s="370"/>
      <c r="H100" s="370"/>
      <c r="I100" s="370"/>
    </row>
    <row r="101" spans="1:9">
      <c r="A101" s="370">
        <v>28.379999160766602</v>
      </c>
      <c r="B101" s="370"/>
      <c r="C101" s="370"/>
      <c r="D101" s="370"/>
      <c r="E101" s="370"/>
      <c r="F101" s="370"/>
      <c r="G101" s="370"/>
      <c r="H101" s="370"/>
      <c r="I101" s="370"/>
    </row>
    <row r="102" spans="1:9">
      <c r="A102" s="370">
        <v>27</v>
      </c>
      <c r="B102" s="370"/>
      <c r="C102" s="370"/>
      <c r="D102" s="370"/>
      <c r="E102" s="370"/>
      <c r="F102" s="370"/>
      <c r="G102" s="370"/>
      <c r="H102" s="370"/>
      <c r="I102" s="370"/>
    </row>
    <row r="103" spans="1:9">
      <c r="A103" s="370">
        <v>25.80000114440918</v>
      </c>
      <c r="B103" s="370"/>
      <c r="C103" s="370"/>
      <c r="D103" s="370"/>
      <c r="E103" s="370"/>
      <c r="F103" s="370"/>
      <c r="G103" s="370"/>
      <c r="H103" s="370"/>
      <c r="I103" s="370"/>
    </row>
    <row r="104" spans="1:9">
      <c r="A104" s="370">
        <v>24.200000762939453</v>
      </c>
      <c r="B104" s="370"/>
      <c r="C104" s="370"/>
      <c r="D104" s="370"/>
      <c r="E104" s="370"/>
      <c r="F104" s="370"/>
      <c r="G104" s="370"/>
      <c r="H104" s="370"/>
      <c r="I104" s="370"/>
    </row>
    <row r="105" spans="1:9">
      <c r="A105" s="370">
        <v>21.319999694824219</v>
      </c>
      <c r="B105" s="370"/>
      <c r="C105" s="370"/>
      <c r="D105" s="370"/>
      <c r="E105" s="370"/>
      <c r="F105" s="370"/>
      <c r="G105" s="370"/>
      <c r="H105" s="370"/>
      <c r="I105" s="370"/>
    </row>
    <row r="106" spans="1:9">
      <c r="A106" s="370">
        <v>16.600000381469727</v>
      </c>
      <c r="B106" s="370"/>
      <c r="C106" s="370"/>
      <c r="D106" s="370"/>
      <c r="E106" s="370"/>
      <c r="F106" s="370"/>
      <c r="G106" s="370"/>
      <c r="H106" s="370"/>
      <c r="I106" s="370"/>
    </row>
    <row r="107" spans="1:9">
      <c r="A107" s="370">
        <v>12.100000381469727</v>
      </c>
      <c r="B107" s="370"/>
      <c r="C107" s="370"/>
      <c r="D107" s="370"/>
      <c r="E107" s="370"/>
      <c r="F107" s="370"/>
      <c r="G107" s="370"/>
      <c r="H107" s="370"/>
      <c r="I107" s="370"/>
    </row>
    <row r="108" spans="1:9">
      <c r="A108" s="370">
        <v>8.8999996185302734</v>
      </c>
      <c r="B108" s="370"/>
      <c r="C108" s="370"/>
      <c r="D108" s="370"/>
      <c r="E108" s="370"/>
      <c r="F108" s="370"/>
      <c r="G108" s="370"/>
      <c r="H108" s="370"/>
      <c r="I108" s="370"/>
    </row>
    <row r="109" spans="1:9">
      <c r="A109" s="370">
        <v>6.1999993324279785</v>
      </c>
      <c r="B109" s="370"/>
      <c r="C109" s="370"/>
      <c r="D109" s="370"/>
      <c r="E109" s="370"/>
      <c r="F109" s="370"/>
      <c r="G109" s="370"/>
      <c r="H109" s="370"/>
      <c r="I109" s="370"/>
    </row>
    <row r="110" spans="1:9">
      <c r="A110" s="370">
        <v>4.0999999046325684</v>
      </c>
      <c r="B110" s="370"/>
      <c r="C110" s="370"/>
      <c r="D110" s="370"/>
      <c r="E110" s="370"/>
      <c r="F110" s="370"/>
      <c r="G110" s="370"/>
      <c r="H110" s="370"/>
      <c r="I110" s="370"/>
    </row>
    <row r="111" spans="1:9">
      <c r="A111" s="370">
        <v>2.4999997615814209</v>
      </c>
      <c r="B111" s="370"/>
      <c r="C111" s="370"/>
      <c r="D111" s="370"/>
      <c r="E111" s="370"/>
      <c r="F111" s="370"/>
      <c r="G111" s="370"/>
      <c r="H111" s="370"/>
      <c r="I111" s="370"/>
    </row>
    <row r="112" spans="1:9">
      <c r="A112" s="370">
        <v>1.4999986886978149</v>
      </c>
      <c r="B112" s="370"/>
      <c r="C112" s="370"/>
      <c r="D112" s="370"/>
      <c r="E112" s="370"/>
      <c r="F112" s="370"/>
      <c r="G112" s="370"/>
      <c r="H112" s="370"/>
      <c r="I112" s="370"/>
    </row>
    <row r="113" spans="1:9">
      <c r="A113" s="370">
        <v>7.0999999046325684</v>
      </c>
      <c r="B113" s="370"/>
      <c r="C113" s="370"/>
      <c r="D113" s="370"/>
      <c r="E113" s="370"/>
      <c r="F113" s="370"/>
      <c r="G113" s="370"/>
      <c r="H113" s="370"/>
      <c r="I113" s="370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53"/>
  <sheetViews>
    <sheetView tabSelected="1" workbookViewId="0">
      <selection activeCell="P12" sqref="P12"/>
    </sheetView>
  </sheetViews>
  <sheetFormatPr defaultColWidth="10.85546875" defaultRowHeight="15.75"/>
  <cols>
    <col min="1" max="1" width="11.5703125" style="317" customWidth="1"/>
    <col min="2" max="2" width="5.85546875" style="317" customWidth="1"/>
    <col min="3" max="3" width="6.7109375" style="317" customWidth="1"/>
    <col min="4" max="4" width="12.28515625" style="317" customWidth="1"/>
    <col min="5" max="5" width="12" style="317" customWidth="1"/>
    <col min="6" max="6" width="9" style="317" customWidth="1"/>
    <col min="7" max="7" width="5.42578125" style="317" customWidth="1"/>
    <col min="8" max="8" width="7.42578125" style="317" customWidth="1"/>
    <col min="9" max="9" width="6.28515625" style="317" customWidth="1"/>
    <col min="10" max="11" width="11.42578125" style="317" customWidth="1"/>
    <col min="12" max="26" width="10.85546875" style="186"/>
    <col min="27" max="16384" width="10.85546875" style="187"/>
  </cols>
  <sheetData>
    <row r="1" spans="1:26" ht="20.25" customHeight="1">
      <c r="A1" s="597" t="s">
        <v>268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</row>
    <row r="2" spans="1:26" ht="20.25" customHeight="1">
      <c r="A2" s="598" t="s">
        <v>269</v>
      </c>
      <c r="B2" s="598"/>
      <c r="C2" s="598"/>
      <c r="D2" s="598"/>
      <c r="E2" s="598"/>
      <c r="F2" s="598"/>
      <c r="G2" s="598"/>
      <c r="H2" s="598"/>
      <c r="I2" s="598"/>
      <c r="J2" s="598"/>
      <c r="K2" s="598"/>
    </row>
    <row r="3" spans="1:26" ht="18.75" customHeight="1" thickBot="1">
      <c r="A3" s="189" t="s">
        <v>1</v>
      </c>
      <c r="B3" s="190" t="s">
        <v>380</v>
      </c>
      <c r="C3" s="191"/>
      <c r="D3" s="191"/>
      <c r="E3" s="191"/>
      <c r="F3" s="188"/>
      <c r="G3" s="191"/>
      <c r="H3" s="191"/>
      <c r="I3" s="189" t="s">
        <v>270</v>
      </c>
      <c r="J3" s="599" t="s">
        <v>389</v>
      </c>
      <c r="K3" s="599"/>
    </row>
    <row r="4" spans="1:26" s="200" customFormat="1" ht="18.399999999999999" customHeight="1" thickBot="1">
      <c r="A4" s="192" t="s">
        <v>381</v>
      </c>
      <c r="B4" s="193"/>
      <c r="C4" s="194"/>
      <c r="D4" s="194"/>
      <c r="E4" s="194"/>
      <c r="F4" s="194"/>
      <c r="G4" s="194"/>
      <c r="H4" s="194"/>
      <c r="I4" s="194"/>
      <c r="J4" s="194"/>
      <c r="K4" s="195"/>
      <c r="L4" s="196"/>
      <c r="M4" s="196"/>
      <c r="N4" s="196"/>
      <c r="O4" s="196"/>
      <c r="P4" s="196"/>
      <c r="Q4" s="197" t="s">
        <v>271</v>
      </c>
      <c r="R4" s="198"/>
      <c r="S4" s="196"/>
      <c r="T4" s="197" t="s">
        <v>272</v>
      </c>
      <c r="U4" s="199"/>
      <c r="V4" s="196"/>
      <c r="W4" s="196"/>
      <c r="X4" s="196"/>
      <c r="Y4" s="196"/>
      <c r="Z4" s="196"/>
    </row>
    <row r="5" spans="1:26" s="200" customFormat="1" ht="18.399999999999999" customHeight="1">
      <c r="A5" s="600" t="s">
        <v>273</v>
      </c>
      <c r="B5" s="601"/>
      <c r="C5" s="601"/>
      <c r="D5" s="201"/>
      <c r="E5" s="202"/>
      <c r="F5" s="203" t="s">
        <v>274</v>
      </c>
      <c r="G5" s="191"/>
      <c r="H5" s="191"/>
      <c r="I5" s="204"/>
      <c r="J5" s="205" t="s">
        <v>275</v>
      </c>
      <c r="K5" s="206" t="s">
        <v>276</v>
      </c>
      <c r="L5" s="196"/>
      <c r="M5" s="196" t="s">
        <v>716</v>
      </c>
      <c r="N5" s="196"/>
      <c r="O5" s="196"/>
      <c r="P5" s="196"/>
      <c r="Q5" s="207" t="s">
        <v>277</v>
      </c>
      <c r="R5" s="208"/>
      <c r="S5" s="196"/>
      <c r="T5" s="207" t="s">
        <v>278</v>
      </c>
      <c r="U5" s="209"/>
      <c r="V5" s="196"/>
      <c r="W5" s="196"/>
      <c r="X5" s="196"/>
      <c r="Y5" s="196"/>
      <c r="Z5" s="196"/>
    </row>
    <row r="6" spans="1:26" s="200" customFormat="1" ht="18.399999999999999" customHeight="1">
      <c r="A6" s="602" t="s">
        <v>67</v>
      </c>
      <c r="B6" s="603"/>
      <c r="C6" s="603"/>
      <c r="D6" s="604" t="s">
        <v>279</v>
      </c>
      <c r="E6" s="605"/>
      <c r="F6" s="535" t="s">
        <v>280</v>
      </c>
      <c r="G6" s="536"/>
      <c r="H6" s="536"/>
      <c r="I6" s="536"/>
      <c r="J6" s="536"/>
      <c r="K6" s="537"/>
      <c r="L6" s="196"/>
      <c r="M6" s="196">
        <v>230801309</v>
      </c>
      <c r="N6" s="196">
        <v>241200549</v>
      </c>
      <c r="O6" s="196">
        <v>250500194</v>
      </c>
      <c r="P6" s="196">
        <v>251100224</v>
      </c>
      <c r="Q6" s="207" t="s">
        <v>281</v>
      </c>
      <c r="R6" s="208"/>
      <c r="S6" s="196"/>
      <c r="T6" s="207" t="s">
        <v>282</v>
      </c>
      <c r="U6" s="209"/>
      <c r="V6" s="196"/>
      <c r="W6" s="196"/>
      <c r="X6" s="196"/>
      <c r="Y6" s="196"/>
      <c r="Z6" s="196"/>
    </row>
    <row r="7" spans="1:26" s="200" customFormat="1" ht="18.399999999999999" customHeight="1">
      <c r="A7" s="593" t="s">
        <v>20</v>
      </c>
      <c r="B7" s="594"/>
      <c r="C7" s="594"/>
      <c r="D7" s="595">
        <v>2.0999999046325701</v>
      </c>
      <c r="E7" s="596"/>
      <c r="F7" s="210" t="s">
        <v>283</v>
      </c>
      <c r="G7" s="211"/>
      <c r="H7" s="212"/>
      <c r="I7" s="213"/>
      <c r="J7" s="214">
        <v>33</v>
      </c>
      <c r="K7" s="215" t="s">
        <v>175</v>
      </c>
      <c r="L7" s="196"/>
      <c r="M7" s="196">
        <v>33</v>
      </c>
      <c r="N7" s="196">
        <v>33.1</v>
      </c>
      <c r="O7" s="196">
        <v>32.700000000000003</v>
      </c>
      <c r="P7" s="196">
        <v>32.5</v>
      </c>
      <c r="Q7" s="207" t="s">
        <v>284</v>
      </c>
      <c r="R7" s="208"/>
      <c r="S7" s="196"/>
      <c r="T7" s="207" t="s">
        <v>279</v>
      </c>
      <c r="U7" s="209"/>
      <c r="V7" s="196"/>
      <c r="W7" s="196"/>
      <c r="X7" s="196"/>
      <c r="Y7" s="196"/>
      <c r="Z7" s="196"/>
    </row>
    <row r="8" spans="1:26" s="200" customFormat="1" ht="18.399999999999999" customHeight="1">
      <c r="A8" s="593" t="s">
        <v>285</v>
      </c>
      <c r="B8" s="594"/>
      <c r="C8" s="594"/>
      <c r="D8" s="579">
        <v>485</v>
      </c>
      <c r="E8" s="575"/>
      <c r="F8" s="216" t="s">
        <v>286</v>
      </c>
      <c r="G8" s="217"/>
      <c r="H8" s="218"/>
      <c r="I8" s="219"/>
      <c r="J8" s="220">
        <v>7521</v>
      </c>
      <c r="K8" s="221" t="s">
        <v>175</v>
      </c>
      <c r="L8" s="196"/>
      <c r="M8" s="196">
        <v>11661.7</v>
      </c>
      <c r="N8" s="196">
        <v>10807.4</v>
      </c>
      <c r="O8" s="196">
        <v>10637</v>
      </c>
      <c r="P8" s="196">
        <v>9950</v>
      </c>
      <c r="Q8" s="207" t="s">
        <v>287</v>
      </c>
      <c r="R8" s="208"/>
      <c r="S8" s="196"/>
      <c r="T8" s="207" t="s">
        <v>288</v>
      </c>
      <c r="U8" s="209"/>
      <c r="V8" s="196"/>
      <c r="W8" s="196"/>
      <c r="X8" s="196"/>
      <c r="Y8" s="196"/>
      <c r="Z8" s="196"/>
    </row>
    <row r="9" spans="1:26" s="200" customFormat="1" ht="18.399999999999999" customHeight="1">
      <c r="A9" s="588" t="s">
        <v>289</v>
      </c>
      <c r="B9" s="589"/>
      <c r="C9" s="590"/>
      <c r="D9" s="579">
        <v>12</v>
      </c>
      <c r="E9" s="575"/>
      <c r="F9" s="210" t="s">
        <v>290</v>
      </c>
      <c r="G9" s="211"/>
      <c r="H9" s="222">
        <v>3</v>
      </c>
      <c r="I9" s="223" t="s">
        <v>291</v>
      </c>
      <c r="J9" s="224">
        <v>279</v>
      </c>
      <c r="K9" s="221" t="s">
        <v>175</v>
      </c>
      <c r="L9" s="196"/>
      <c r="M9" s="196">
        <v>154</v>
      </c>
      <c r="N9" s="196">
        <v>152</v>
      </c>
      <c r="O9" s="196">
        <v>152</v>
      </c>
      <c r="P9" s="196">
        <v>153</v>
      </c>
      <c r="Q9" s="207" t="s">
        <v>292</v>
      </c>
      <c r="R9" s="208"/>
      <c r="S9" s="196"/>
      <c r="T9" s="207" t="s">
        <v>293</v>
      </c>
      <c r="U9" s="209"/>
      <c r="V9" s="196"/>
      <c r="W9" s="196"/>
      <c r="X9" s="196"/>
      <c r="Y9" s="196"/>
      <c r="Z9" s="196"/>
    </row>
    <row r="10" spans="1:26" s="200" customFormat="1" ht="18.399999999999999" customHeight="1" thickBot="1">
      <c r="A10" s="588" t="s">
        <v>294</v>
      </c>
      <c r="B10" s="589"/>
      <c r="C10" s="590"/>
      <c r="D10" s="562" t="s">
        <v>203</v>
      </c>
      <c r="E10" s="563"/>
      <c r="F10" s="210" t="s">
        <v>295</v>
      </c>
      <c r="G10" s="211"/>
      <c r="H10" s="222">
        <v>3</v>
      </c>
      <c r="I10" s="223" t="s">
        <v>291</v>
      </c>
      <c r="J10" s="224">
        <v>1150</v>
      </c>
      <c r="K10" s="221" t="s">
        <v>175</v>
      </c>
      <c r="L10" s="196"/>
      <c r="M10" s="196"/>
      <c r="N10" s="196"/>
      <c r="O10" s="196"/>
      <c r="P10" s="196"/>
      <c r="Q10" s="207" t="s">
        <v>296</v>
      </c>
      <c r="R10" s="208"/>
      <c r="S10" s="196"/>
      <c r="T10" s="225" t="s">
        <v>297</v>
      </c>
      <c r="U10" s="226"/>
      <c r="V10" s="196"/>
      <c r="W10" s="196"/>
      <c r="X10" s="196"/>
      <c r="Y10" s="196"/>
      <c r="Z10" s="196"/>
    </row>
    <row r="11" spans="1:26" s="200" customFormat="1" ht="18.399999999999999" customHeight="1" thickBot="1">
      <c r="A11" s="588" t="s">
        <v>298</v>
      </c>
      <c r="B11" s="589"/>
      <c r="C11" s="590"/>
      <c r="D11" s="557" t="s">
        <v>204</v>
      </c>
      <c r="E11" s="558"/>
      <c r="F11" s="227" t="s">
        <v>299</v>
      </c>
      <c r="G11" s="228"/>
      <c r="H11" s="229">
        <v>3</v>
      </c>
      <c r="I11" s="223" t="s">
        <v>291</v>
      </c>
      <c r="J11" s="230">
        <v>32877</v>
      </c>
      <c r="K11" s="231" t="s">
        <v>175</v>
      </c>
      <c r="L11" s="196"/>
      <c r="M11" s="196">
        <v>32000</v>
      </c>
      <c r="N11" s="196">
        <v>31000</v>
      </c>
      <c r="O11" s="196">
        <v>32000</v>
      </c>
      <c r="P11" s="196">
        <v>32000</v>
      </c>
      <c r="Q11" s="207" t="s">
        <v>300</v>
      </c>
      <c r="R11" s="208"/>
      <c r="S11" s="196"/>
      <c r="T11" s="197" t="s">
        <v>301</v>
      </c>
      <c r="U11" s="199"/>
      <c r="V11" s="196"/>
      <c r="W11" s="196"/>
      <c r="X11" s="196"/>
      <c r="Y11" s="196"/>
      <c r="Z11" s="196"/>
    </row>
    <row r="12" spans="1:26" s="200" customFormat="1" ht="18.399999999999999" customHeight="1" thickBot="1">
      <c r="A12" s="232" t="s">
        <v>302</v>
      </c>
      <c r="C12" s="233"/>
      <c r="D12" s="591" t="s">
        <v>175</v>
      </c>
      <c r="E12" s="592"/>
      <c r="F12" s="559" t="s">
        <v>303</v>
      </c>
      <c r="G12" s="560"/>
      <c r="H12" s="560"/>
      <c r="I12" s="560"/>
      <c r="J12" s="560"/>
      <c r="K12" s="561"/>
      <c r="L12" s="196"/>
      <c r="M12" s="196"/>
      <c r="N12" s="196"/>
      <c r="O12" s="196"/>
      <c r="P12" s="196"/>
      <c r="Q12" s="225" t="s">
        <v>304</v>
      </c>
      <c r="R12" s="234"/>
      <c r="S12" s="196"/>
      <c r="T12" s="196"/>
      <c r="U12" s="196"/>
      <c r="V12" s="196"/>
      <c r="W12" s="196"/>
      <c r="X12" s="196"/>
      <c r="Y12" s="196"/>
      <c r="Z12" s="196"/>
    </row>
    <row r="13" spans="1:26" s="200" customFormat="1" ht="18.399999999999999" customHeight="1">
      <c r="A13" s="588" t="s">
        <v>53</v>
      </c>
      <c r="B13" s="589"/>
      <c r="C13" s="590"/>
      <c r="D13" s="582" t="s">
        <v>383</v>
      </c>
      <c r="E13" s="583"/>
      <c r="F13" s="235"/>
      <c r="G13" s="236" t="s">
        <v>305</v>
      </c>
      <c r="H13" s="237"/>
      <c r="I13" s="238" t="s">
        <v>306</v>
      </c>
      <c r="J13" s="239" t="s">
        <v>385</v>
      </c>
      <c r="K13" s="240" t="s">
        <v>175</v>
      </c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 spans="1:26" s="200" customFormat="1" ht="18.399999999999999" customHeight="1">
      <c r="A14" s="588" t="s">
        <v>56</v>
      </c>
      <c r="B14" s="589"/>
      <c r="C14" s="590"/>
      <c r="D14" s="591">
        <v>1000</v>
      </c>
      <c r="E14" s="592"/>
      <c r="F14" s="235"/>
      <c r="G14" s="241" t="s">
        <v>10</v>
      </c>
      <c r="H14" s="242"/>
      <c r="I14" s="242"/>
      <c r="J14" s="224" t="s">
        <v>175</v>
      </c>
      <c r="K14" s="221" t="s">
        <v>175</v>
      </c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 spans="1:26" s="200" customFormat="1" ht="18.399999999999999" customHeight="1">
      <c r="A15" s="576" t="s">
        <v>307</v>
      </c>
      <c r="B15" s="577"/>
      <c r="C15" s="578"/>
      <c r="D15" s="555">
        <v>10.355598449707031</v>
      </c>
      <c r="E15" s="556"/>
      <c r="F15" s="235"/>
      <c r="G15" s="241" t="s">
        <v>308</v>
      </c>
      <c r="H15" s="242"/>
      <c r="I15" s="242"/>
      <c r="J15" s="224" t="s">
        <v>175</v>
      </c>
      <c r="K15" s="221" t="s">
        <v>175</v>
      </c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 spans="1:26" s="200" customFormat="1" ht="18.399999999999999" customHeight="1">
      <c r="A16" s="552" t="s">
        <v>309</v>
      </c>
      <c r="B16" s="553"/>
      <c r="C16" s="554"/>
      <c r="D16" s="555">
        <v>3.5623998641967773</v>
      </c>
      <c r="E16" s="556"/>
      <c r="F16" s="244"/>
      <c r="G16" s="245" t="s">
        <v>17</v>
      </c>
      <c r="H16" s="246"/>
      <c r="I16" s="246"/>
      <c r="J16" s="230" t="s">
        <v>175</v>
      </c>
      <c r="K16" s="231" t="s">
        <v>175</v>
      </c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 spans="1:26" s="200" customFormat="1" ht="18.399999999999999" customHeight="1">
      <c r="A17" s="247" t="s">
        <v>310</v>
      </c>
      <c r="B17" s="248"/>
      <c r="C17" s="249"/>
      <c r="D17" s="557" t="s">
        <v>382</v>
      </c>
      <c r="E17" s="558"/>
      <c r="F17" s="559" t="s">
        <v>311</v>
      </c>
      <c r="G17" s="560"/>
      <c r="H17" s="560"/>
      <c r="I17" s="560"/>
      <c r="J17" s="560"/>
      <c r="K17" s="561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 spans="1:26" s="200" customFormat="1" ht="18.399999999999999" customHeight="1">
      <c r="A18" s="250" t="s">
        <v>312</v>
      </c>
      <c r="B18" s="251"/>
      <c r="C18" s="249"/>
      <c r="D18" s="562" t="s">
        <v>175</v>
      </c>
      <c r="E18" s="563"/>
      <c r="F18" s="564"/>
      <c r="G18" s="565"/>
      <c r="H18" s="252" t="s">
        <v>313</v>
      </c>
      <c r="I18" s="253"/>
      <c r="J18" s="220">
        <v>125</v>
      </c>
      <c r="K18" s="221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 spans="1:26" s="200" customFormat="1" ht="18.399999999999999" customHeight="1">
      <c r="A19" s="570" t="s">
        <v>314</v>
      </c>
      <c r="B19" s="571"/>
      <c r="C19" s="572"/>
      <c r="D19" s="573" t="s">
        <v>175</v>
      </c>
      <c r="E19" s="558"/>
      <c r="F19" s="566"/>
      <c r="G19" s="567"/>
      <c r="H19" s="252" t="s">
        <v>5</v>
      </c>
      <c r="I19" s="213"/>
      <c r="J19" s="220">
        <v>1775</v>
      </c>
      <c r="K19" s="221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 spans="1:26" s="200" customFormat="1" ht="18.399999999999999" customHeight="1" thickBot="1">
      <c r="A20" s="254" t="s">
        <v>315</v>
      </c>
      <c r="C20" s="255"/>
      <c r="D20" s="574" t="s">
        <v>202</v>
      </c>
      <c r="E20" s="575"/>
      <c r="F20" s="566"/>
      <c r="G20" s="567"/>
      <c r="H20" s="252" t="s">
        <v>316</v>
      </c>
      <c r="I20" s="213"/>
      <c r="J20" s="224" t="s">
        <v>387</v>
      </c>
      <c r="K20" s="221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 spans="1:26" s="200" customFormat="1" ht="18.399999999999999" customHeight="1" thickBot="1">
      <c r="A21" s="576" t="s">
        <v>317</v>
      </c>
      <c r="B21" s="577"/>
      <c r="C21" s="578"/>
      <c r="D21" s="579" t="s">
        <v>175</v>
      </c>
      <c r="E21" s="575"/>
      <c r="F21" s="566"/>
      <c r="G21" s="567"/>
      <c r="H21" s="256" t="s">
        <v>318</v>
      </c>
      <c r="I21" s="213"/>
      <c r="J21" s="224">
        <v>1.1499999999999999</v>
      </c>
      <c r="K21" s="221"/>
      <c r="L21" s="196"/>
      <c r="M21" s="196"/>
      <c r="N21" s="196"/>
      <c r="O21" s="196"/>
      <c r="P21" s="196"/>
      <c r="Q21" s="197" t="s">
        <v>319</v>
      </c>
      <c r="R21" s="199"/>
      <c r="S21" s="196"/>
      <c r="T21" s="196"/>
      <c r="U21" s="196"/>
      <c r="V21" s="196"/>
      <c r="W21" s="196"/>
      <c r="X21" s="196"/>
      <c r="Y21" s="196"/>
      <c r="Z21" s="196"/>
    </row>
    <row r="22" spans="1:26" s="200" customFormat="1" ht="18.399999999999999" customHeight="1">
      <c r="A22" s="250" t="s">
        <v>320</v>
      </c>
      <c r="B22" s="257"/>
      <c r="C22" s="257"/>
      <c r="D22" s="580">
        <v>0.15389999747276306</v>
      </c>
      <c r="E22" s="581"/>
      <c r="F22" s="566"/>
      <c r="G22" s="567"/>
      <c r="H22" s="252" t="s">
        <v>275</v>
      </c>
      <c r="I22" s="213"/>
      <c r="J22" s="224"/>
      <c r="K22" s="221"/>
      <c r="L22" s="196"/>
      <c r="M22" s="196"/>
      <c r="N22" s="196"/>
      <c r="O22" s="196"/>
      <c r="P22" s="196"/>
      <c r="Q22" s="207" t="s">
        <v>321</v>
      </c>
      <c r="R22" s="209"/>
      <c r="S22" s="196"/>
      <c r="T22" s="196"/>
      <c r="U22" s="196"/>
      <c r="V22" s="196"/>
      <c r="W22" s="196"/>
      <c r="X22" s="196"/>
      <c r="Y22" s="196"/>
      <c r="Z22" s="196"/>
    </row>
    <row r="23" spans="1:26" s="200" customFormat="1" ht="18.399999999999999" customHeight="1">
      <c r="A23" s="258" t="s">
        <v>322</v>
      </c>
      <c r="B23" s="259" t="s">
        <v>323</v>
      </c>
      <c r="C23" s="260"/>
      <c r="D23" s="582">
        <v>202.9</v>
      </c>
      <c r="E23" s="583"/>
      <c r="F23" s="566"/>
      <c r="G23" s="567"/>
      <c r="H23" s="261" t="s">
        <v>324</v>
      </c>
      <c r="I23" s="262"/>
      <c r="J23" s="263"/>
      <c r="K23" s="264"/>
      <c r="L23" s="196"/>
      <c r="Q23" s="207" t="s">
        <v>325</v>
      </c>
      <c r="R23" s="209"/>
      <c r="S23" s="196"/>
      <c r="T23" s="196"/>
      <c r="U23" s="196"/>
      <c r="V23" s="196"/>
      <c r="W23" s="196"/>
      <c r="X23" s="196"/>
      <c r="Y23" s="196"/>
      <c r="Z23" s="196"/>
    </row>
    <row r="24" spans="1:26" s="200" customFormat="1" ht="18.399999999999999" customHeight="1" thickBot="1">
      <c r="A24" s="265" t="s">
        <v>326</v>
      </c>
      <c r="B24" s="266" t="s">
        <v>327</v>
      </c>
      <c r="C24" s="267"/>
      <c r="D24" s="584">
        <v>179.7</v>
      </c>
      <c r="E24" s="585"/>
      <c r="F24" s="566"/>
      <c r="G24" s="567"/>
      <c r="H24" s="252" t="s">
        <v>328</v>
      </c>
      <c r="I24" s="233"/>
      <c r="J24" s="268"/>
      <c r="K24" s="269"/>
      <c r="Q24" s="270" t="s">
        <v>175</v>
      </c>
      <c r="R24" s="271"/>
      <c r="S24" s="196"/>
      <c r="T24" s="196"/>
      <c r="U24" s="196"/>
      <c r="V24" s="196"/>
      <c r="W24" s="196"/>
      <c r="X24" s="196"/>
      <c r="Y24" s="196"/>
      <c r="Z24" s="196"/>
    </row>
    <row r="25" spans="1:26" s="200" customFormat="1" ht="18.399999999999999" customHeight="1">
      <c r="A25" s="272" t="s">
        <v>329</v>
      </c>
      <c r="B25" s="273"/>
      <c r="C25" s="273"/>
      <c r="D25" s="274"/>
      <c r="E25" s="274" t="s">
        <v>330</v>
      </c>
      <c r="F25" s="566"/>
      <c r="G25" s="567"/>
      <c r="H25" s="252" t="s">
        <v>331</v>
      </c>
      <c r="I25" s="233"/>
      <c r="J25" s="275">
        <v>90</v>
      </c>
      <c r="K25" s="269"/>
      <c r="R25" s="196"/>
      <c r="S25" s="196"/>
      <c r="T25" s="196"/>
      <c r="U25" s="196"/>
      <c r="V25" s="196"/>
      <c r="W25" s="196"/>
      <c r="X25" s="196"/>
      <c r="Y25" s="196"/>
      <c r="Z25" s="196"/>
    </row>
    <row r="26" spans="1:26" s="200" customFormat="1" ht="18.399999999999999" customHeight="1">
      <c r="A26" s="276" t="s">
        <v>332</v>
      </c>
      <c r="B26" s="277"/>
      <c r="C26" s="278"/>
      <c r="D26" s="279" t="s">
        <v>386</v>
      </c>
      <c r="E26" s="279" t="s">
        <v>388</v>
      </c>
      <c r="F26" s="568"/>
      <c r="G26" s="569"/>
      <c r="H26" s="586"/>
      <c r="I26" s="587"/>
      <c r="J26" s="280"/>
      <c r="K26" s="281"/>
      <c r="R26" s="196"/>
      <c r="S26" s="196"/>
      <c r="T26" s="196"/>
      <c r="U26" s="196"/>
      <c r="V26" s="196"/>
      <c r="W26" s="196"/>
      <c r="X26" s="196"/>
      <c r="Y26" s="196"/>
      <c r="Z26" s="196"/>
    </row>
    <row r="27" spans="1:26" s="200" customFormat="1" ht="18.399999999999999" customHeight="1">
      <c r="A27" s="533" t="s">
        <v>333</v>
      </c>
      <c r="B27" s="534"/>
      <c r="C27" s="534"/>
      <c r="D27" s="534"/>
      <c r="E27" s="534"/>
      <c r="F27" s="535" t="s">
        <v>334</v>
      </c>
      <c r="G27" s="536"/>
      <c r="H27" s="536"/>
      <c r="I27" s="536"/>
      <c r="J27" s="536"/>
      <c r="K27" s="537"/>
      <c r="R27" s="196"/>
      <c r="S27" s="196"/>
      <c r="T27" s="196"/>
      <c r="U27" s="196"/>
      <c r="V27" s="196"/>
      <c r="W27" s="196"/>
      <c r="X27" s="196"/>
      <c r="Y27" s="196"/>
      <c r="Z27" s="196"/>
    </row>
    <row r="28" spans="1:26" s="200" customFormat="1" ht="18.399999999999999" customHeight="1">
      <c r="A28" s="540"/>
      <c r="B28" s="541"/>
      <c r="C28" s="541"/>
      <c r="D28" s="541"/>
      <c r="E28" s="542"/>
      <c r="F28" s="282"/>
      <c r="G28" s="283"/>
      <c r="H28" s="241" t="s">
        <v>335</v>
      </c>
      <c r="I28" s="284" t="s">
        <v>384</v>
      </c>
      <c r="J28" s="220">
        <v>869</v>
      </c>
      <c r="K28" s="215" t="s">
        <v>175</v>
      </c>
      <c r="R28" s="196"/>
      <c r="S28" s="196"/>
      <c r="T28" s="196"/>
      <c r="U28" s="196"/>
      <c r="V28" s="196"/>
      <c r="W28" s="196"/>
      <c r="X28" s="196"/>
      <c r="Y28" s="196"/>
      <c r="Z28" s="196"/>
    </row>
    <row r="29" spans="1:26" s="200" customFormat="1" ht="18.399999999999999" customHeight="1">
      <c r="A29" s="540"/>
      <c r="B29" s="541"/>
      <c r="C29" s="541"/>
      <c r="D29" s="541"/>
      <c r="E29" s="542"/>
      <c r="F29" s="285"/>
      <c r="G29" s="286"/>
      <c r="H29" s="241" t="s">
        <v>336</v>
      </c>
      <c r="I29" s="287">
        <v>60</v>
      </c>
      <c r="J29" s="220">
        <v>119</v>
      </c>
      <c r="K29" s="215" t="s">
        <v>175</v>
      </c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 spans="1:26" s="200" customFormat="1" ht="18.399999999999999" customHeight="1">
      <c r="A30" s="540"/>
      <c r="B30" s="541"/>
      <c r="C30" s="541"/>
      <c r="D30" s="541"/>
      <c r="E30" s="542"/>
      <c r="F30" s="285"/>
      <c r="G30" s="286"/>
      <c r="H30" s="241" t="s">
        <v>337</v>
      </c>
      <c r="I30" s="287">
        <v>175</v>
      </c>
      <c r="J30" s="220">
        <v>229</v>
      </c>
      <c r="K30" s="215" t="s">
        <v>175</v>
      </c>
      <c r="L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 spans="1:26" s="200" customFormat="1" ht="18.399999999999999" customHeight="1">
      <c r="A31" s="540"/>
      <c r="B31" s="541"/>
      <c r="C31" s="541"/>
      <c r="D31" s="541"/>
      <c r="E31" s="542"/>
      <c r="F31" s="285"/>
      <c r="G31" s="286"/>
      <c r="H31" s="241" t="s">
        <v>338</v>
      </c>
      <c r="I31" s="242"/>
      <c r="J31" s="288">
        <v>1.39</v>
      </c>
      <c r="K31" s="215" t="s">
        <v>175</v>
      </c>
      <c r="L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 spans="1:26" s="200" customFormat="1" ht="18.399999999999999" customHeight="1">
      <c r="A32" s="543"/>
      <c r="B32" s="544"/>
      <c r="C32" s="544"/>
      <c r="D32" s="544"/>
      <c r="E32" s="545"/>
      <c r="F32" s="285"/>
      <c r="G32" s="289" t="s">
        <v>339</v>
      </c>
      <c r="H32" s="241" t="s">
        <v>340</v>
      </c>
      <c r="I32" s="290"/>
      <c r="J32" s="214">
        <v>95.5</v>
      </c>
      <c r="K32" s="215" t="s">
        <v>175</v>
      </c>
      <c r="L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 spans="1:26" s="200" customFormat="1" ht="18.399999999999999" customHeight="1">
      <c r="A33" s="533" t="s">
        <v>341</v>
      </c>
      <c r="B33" s="534"/>
      <c r="C33" s="534"/>
      <c r="D33" s="534"/>
      <c r="E33" s="546"/>
      <c r="F33" s="291"/>
      <c r="G33" s="292"/>
      <c r="H33" s="293" t="s">
        <v>342</v>
      </c>
      <c r="I33" s="294"/>
      <c r="J33" s="295">
        <v>90</v>
      </c>
      <c r="K33" s="296" t="s">
        <v>175</v>
      </c>
      <c r="L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 spans="1:26" s="200" customFormat="1" ht="18.399999999999999" customHeight="1">
      <c r="A34" s="540"/>
      <c r="B34" s="541"/>
      <c r="C34" s="541"/>
      <c r="D34" s="541"/>
      <c r="E34" s="542"/>
      <c r="F34" s="216" t="s">
        <v>343</v>
      </c>
      <c r="G34" s="297"/>
      <c r="H34" s="298" t="s">
        <v>14</v>
      </c>
      <c r="I34" s="299"/>
      <c r="J34" s="300">
        <v>9762</v>
      </c>
      <c r="K34" s="301" t="s">
        <v>175</v>
      </c>
      <c r="L34" s="302"/>
      <c r="R34" s="196"/>
      <c r="S34" s="196"/>
      <c r="T34" s="196"/>
      <c r="U34" s="196"/>
      <c r="V34" s="196"/>
      <c r="W34" s="196"/>
      <c r="X34" s="196"/>
      <c r="Y34" s="196"/>
      <c r="Z34" s="196"/>
    </row>
    <row r="35" spans="1:26" s="200" customFormat="1" ht="18.399999999999999" customHeight="1">
      <c r="A35" s="540"/>
      <c r="B35" s="541"/>
      <c r="C35" s="541"/>
      <c r="D35" s="541"/>
      <c r="E35" s="542"/>
      <c r="F35" s="235"/>
      <c r="G35" s="303"/>
      <c r="H35" s="304" t="s">
        <v>15</v>
      </c>
      <c r="I35" s="243"/>
      <c r="J35" s="220">
        <v>9028</v>
      </c>
      <c r="K35" s="215" t="s">
        <v>175</v>
      </c>
      <c r="R35" s="196"/>
      <c r="S35" s="196"/>
      <c r="T35" s="196"/>
      <c r="U35" s="196"/>
      <c r="V35" s="196"/>
      <c r="W35" s="196"/>
      <c r="X35" s="196"/>
      <c r="Y35" s="196"/>
      <c r="Z35" s="196"/>
    </row>
    <row r="36" spans="1:26" s="200" customFormat="1" ht="18.399999999999999" customHeight="1">
      <c r="A36" s="540"/>
      <c r="B36" s="541"/>
      <c r="C36" s="541"/>
      <c r="D36" s="541"/>
      <c r="E36" s="542"/>
      <c r="F36" s="235"/>
      <c r="G36" s="303"/>
      <c r="H36" s="304" t="s">
        <v>344</v>
      </c>
      <c r="I36" s="243"/>
      <c r="J36" s="220">
        <v>5200</v>
      </c>
      <c r="K36" s="215" t="s">
        <v>175</v>
      </c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 spans="1:26" s="200" customFormat="1" ht="18.399999999999999" customHeight="1">
      <c r="A37" s="540"/>
      <c r="B37" s="541"/>
      <c r="C37" s="541"/>
      <c r="D37" s="541"/>
      <c r="E37" s="542"/>
      <c r="F37" s="285"/>
      <c r="G37" s="303"/>
      <c r="H37" s="304" t="s">
        <v>345</v>
      </c>
      <c r="I37" s="243"/>
      <c r="J37" s="220">
        <v>1800</v>
      </c>
      <c r="K37" s="215" t="s">
        <v>175</v>
      </c>
      <c r="R37" s="196"/>
      <c r="S37" s="196"/>
      <c r="T37" s="196"/>
      <c r="U37" s="196"/>
      <c r="V37" s="196"/>
      <c r="W37" s="196"/>
      <c r="X37" s="196"/>
      <c r="Y37" s="196"/>
      <c r="Z37" s="196"/>
    </row>
    <row r="38" spans="1:26" s="200" customFormat="1" ht="18.399999999999999" customHeight="1">
      <c r="A38" s="543"/>
      <c r="B38" s="544"/>
      <c r="C38" s="544"/>
      <c r="D38" s="544"/>
      <c r="E38" s="545"/>
      <c r="F38" s="244"/>
      <c r="G38" s="305"/>
      <c r="H38" s="306" t="s">
        <v>346</v>
      </c>
      <c r="I38" s="307"/>
      <c r="J38" s="308">
        <v>8968</v>
      </c>
      <c r="K38" s="309" t="s">
        <v>175</v>
      </c>
      <c r="R38" s="196"/>
      <c r="S38" s="196"/>
      <c r="T38" s="196"/>
      <c r="U38" s="196"/>
      <c r="V38" s="196"/>
      <c r="W38" s="196"/>
      <c r="X38" s="196"/>
      <c r="Y38" s="196"/>
      <c r="Z38" s="196"/>
    </row>
    <row r="39" spans="1:26" s="200" customFormat="1" ht="18.399999999999999" customHeight="1">
      <c r="A39" s="533" t="s">
        <v>347</v>
      </c>
      <c r="B39" s="534"/>
      <c r="C39" s="534"/>
      <c r="D39" s="534"/>
      <c r="E39" s="534"/>
      <c r="F39" s="356" t="s">
        <v>348</v>
      </c>
      <c r="G39" s="357" t="s">
        <v>390</v>
      </c>
      <c r="H39" s="357"/>
      <c r="I39" s="357"/>
      <c r="J39" s="357"/>
      <c r="K39" s="358"/>
      <c r="R39" s="196"/>
      <c r="S39" s="196"/>
      <c r="T39" s="196"/>
      <c r="U39" s="196"/>
      <c r="V39" s="196"/>
      <c r="W39" s="196"/>
      <c r="X39" s="196"/>
      <c r="Y39" s="196"/>
      <c r="Z39" s="196"/>
    </row>
    <row r="40" spans="1:26" s="200" customFormat="1" ht="18.399999999999999" customHeight="1">
      <c r="A40" s="540"/>
      <c r="B40" s="541"/>
      <c r="C40" s="541"/>
      <c r="D40" s="541"/>
      <c r="E40" s="542"/>
      <c r="F40" s="359"/>
      <c r="G40" s="360" t="s">
        <v>391</v>
      </c>
      <c r="H40" s="360"/>
      <c r="I40" s="360"/>
      <c r="J40" s="360"/>
      <c r="K40" s="361"/>
      <c r="R40" s="196"/>
      <c r="S40" s="196"/>
      <c r="T40" s="196"/>
      <c r="U40" s="196"/>
      <c r="V40" s="196"/>
      <c r="W40" s="196"/>
      <c r="X40" s="196"/>
      <c r="Y40" s="196"/>
      <c r="Z40" s="196"/>
    </row>
    <row r="41" spans="1:26" s="200" customFormat="1" ht="18.399999999999999" customHeight="1">
      <c r="A41" s="540"/>
      <c r="B41" s="541"/>
      <c r="C41" s="541"/>
      <c r="D41" s="541"/>
      <c r="E41" s="542"/>
      <c r="F41" s="359" t="s">
        <v>395</v>
      </c>
      <c r="G41" s="362"/>
      <c r="H41" s="362"/>
      <c r="I41" s="362"/>
      <c r="J41" s="362"/>
      <c r="K41" s="363"/>
      <c r="L41" s="310"/>
      <c r="R41" s="196"/>
      <c r="S41" s="196"/>
      <c r="T41" s="196"/>
      <c r="U41" s="196"/>
      <c r="V41" s="196"/>
      <c r="W41" s="196"/>
      <c r="X41" s="196"/>
      <c r="Y41" s="196"/>
      <c r="Z41" s="196"/>
    </row>
    <row r="42" spans="1:26" s="200" customFormat="1" ht="18.399999999999999" customHeight="1">
      <c r="A42" s="540"/>
      <c r="B42" s="541"/>
      <c r="C42" s="541"/>
      <c r="D42" s="541"/>
      <c r="E42" s="542"/>
      <c r="F42" s="359"/>
      <c r="G42" s="362" t="s">
        <v>396</v>
      </c>
      <c r="H42" s="362"/>
      <c r="I42" s="362"/>
      <c r="J42" s="362"/>
      <c r="K42" s="363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 spans="1:26" s="200" customFormat="1" ht="18.399999999999999" customHeight="1">
      <c r="A43" s="540"/>
      <c r="B43" s="541"/>
      <c r="C43" s="541"/>
      <c r="D43" s="541"/>
      <c r="E43" s="542"/>
      <c r="F43" s="359"/>
      <c r="G43" s="362" t="s">
        <v>715</v>
      </c>
      <c r="H43" s="362"/>
      <c r="I43" s="362"/>
      <c r="J43" s="362"/>
      <c r="K43" s="363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 spans="1:26" s="200" customFormat="1" ht="17.100000000000001" customHeight="1" thickBot="1">
      <c r="A44" s="547"/>
      <c r="B44" s="548"/>
      <c r="C44" s="548"/>
      <c r="D44" s="548"/>
      <c r="E44" s="549"/>
      <c r="F44" s="359"/>
      <c r="G44" s="362"/>
      <c r="H44" s="362"/>
      <c r="I44" s="362"/>
      <c r="J44" s="362"/>
      <c r="K44" s="363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 spans="1:26" s="200" customFormat="1" ht="17.100000000000001" customHeight="1">
      <c r="A45" s="311" t="s">
        <v>349</v>
      </c>
      <c r="B45" s="550"/>
      <c r="C45" s="551"/>
      <c r="D45" s="312" t="s">
        <v>350</v>
      </c>
      <c r="E45" s="313" t="s">
        <v>351</v>
      </c>
      <c r="F45" s="364"/>
      <c r="G45" s="362"/>
      <c r="H45" s="362"/>
      <c r="I45" s="362"/>
      <c r="J45" s="362"/>
      <c r="K45" s="363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 spans="1:26" s="200" customFormat="1" ht="17.100000000000001" customHeight="1" thickBot="1">
      <c r="A46" s="314" t="s">
        <v>352</v>
      </c>
      <c r="B46" s="538"/>
      <c r="C46" s="539"/>
      <c r="D46" s="315" t="s">
        <v>352</v>
      </c>
      <c r="E46" s="316">
        <v>45133</v>
      </c>
      <c r="F46" s="365"/>
      <c r="G46" s="366" t="s">
        <v>392</v>
      </c>
      <c r="H46" s="366"/>
      <c r="I46" s="366"/>
      <c r="J46" s="366"/>
      <c r="K46" s="367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 spans="1:26" s="200" customFormat="1" ht="17.100000000000001" customHeight="1">
      <c r="F47" s="368"/>
      <c r="G47" s="369" t="s">
        <v>393</v>
      </c>
      <c r="H47" s="369"/>
      <c r="I47" s="369"/>
      <c r="J47" s="369"/>
      <c r="K47" s="369"/>
      <c r="L47" s="196"/>
      <c r="M47" s="196"/>
      <c r="N47" s="196"/>
      <c r="O47" s="196"/>
      <c r="P47" s="196"/>
      <c r="Q47" s="196"/>
      <c r="R47" s="196"/>
      <c r="S47" s="196"/>
      <c r="T47" s="196"/>
      <c r="U47" s="196"/>
    </row>
    <row r="48" spans="1:26" s="200" customFormat="1" ht="17.100000000000001" customHeight="1">
      <c r="F48" s="369"/>
      <c r="G48" s="369" t="s">
        <v>394</v>
      </c>
      <c r="H48" s="369"/>
      <c r="I48" s="369"/>
      <c r="J48" s="369"/>
      <c r="K48" s="369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 xr:uid="{00000000-0002-0000-0100-000000000000}">
      <formula1>$T$5:$T$11</formula1>
    </dataValidation>
    <dataValidation type="list" allowBlank="1" showErrorMessage="1" error="Choose from list!" sqref="D21" xr:uid="{00000000-0002-0000-0100-000001000000}">
      <formula1>$Q$22:$Q$24</formula1>
    </dataValidation>
    <dataValidation type="list" allowBlank="1" showInputMessage="1" errorTitle="Hold on!" error="Enter a valid motor type!" prompt="Motor Type  Select one from the list or input name" sqref="K4" xr:uid="{00000000-0002-0000-0100-000002000000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79"/>
  <sheetViews>
    <sheetView zoomScale="75" zoomScaleNormal="75" workbookViewId="0">
      <selection activeCell="E45" sqref="E45"/>
    </sheetView>
  </sheetViews>
  <sheetFormatPr defaultColWidth="8.7109375" defaultRowHeight="12.75"/>
  <cols>
    <col min="1" max="1" width="8.7109375" style="323" customWidth="1"/>
    <col min="2" max="2" width="17.28515625" style="323" customWidth="1"/>
    <col min="3" max="3" width="20.5703125" style="323" customWidth="1"/>
    <col min="4" max="4" width="20.28515625" style="323" bestFit="1" customWidth="1"/>
    <col min="5" max="5" width="6.5703125" style="323" bestFit="1" customWidth="1"/>
    <col min="6" max="6" width="28.28515625" style="323" customWidth="1"/>
    <col min="7" max="7" width="41.5703125" style="323" customWidth="1"/>
    <col min="8" max="8" width="16.28515625" style="323" customWidth="1"/>
    <col min="9" max="9" width="7.42578125" style="323" customWidth="1"/>
    <col min="10" max="10" width="2.28515625" style="323" bestFit="1" customWidth="1"/>
    <col min="11" max="12" width="2.28515625" style="323" customWidth="1"/>
    <col min="13" max="13" width="2.42578125" style="323" bestFit="1" customWidth="1"/>
    <col min="14" max="14" width="2.28515625" style="323" bestFit="1" customWidth="1"/>
    <col min="15" max="16384" width="8.7109375" style="323"/>
  </cols>
  <sheetData>
    <row r="1" spans="2:14" ht="12.75" customHeight="1">
      <c r="B1" s="318"/>
      <c r="C1" s="319"/>
      <c r="D1" s="319"/>
      <c r="E1" s="319"/>
      <c r="F1" s="319"/>
      <c r="G1" s="319"/>
      <c r="H1" s="320"/>
      <c r="I1" s="321"/>
      <c r="J1" s="322" t="s">
        <v>353</v>
      </c>
      <c r="K1" s="322" t="s">
        <v>354</v>
      </c>
      <c r="L1" s="322" t="s">
        <v>355</v>
      </c>
      <c r="M1" s="322" t="s">
        <v>354</v>
      </c>
      <c r="N1" s="322"/>
    </row>
    <row r="2" spans="2:14" ht="12.75" customHeight="1">
      <c r="B2" s="630" t="s">
        <v>356</v>
      </c>
      <c r="C2" s="631"/>
      <c r="D2" s="631"/>
      <c r="E2" s="631"/>
      <c r="F2" s="631"/>
      <c r="G2" s="631"/>
      <c r="H2" s="326"/>
      <c r="I2" s="327"/>
      <c r="J2" s="328" t="s">
        <v>357</v>
      </c>
      <c r="K2" s="328" t="s">
        <v>358</v>
      </c>
      <c r="L2" s="328" t="s">
        <v>359</v>
      </c>
      <c r="M2" s="328" t="s">
        <v>360</v>
      </c>
      <c r="N2" s="328" t="s">
        <v>361</v>
      </c>
    </row>
    <row r="3" spans="2:14" ht="12.75" customHeight="1">
      <c r="B3" s="630"/>
      <c r="C3" s="631"/>
      <c r="D3" s="631"/>
      <c r="E3" s="631"/>
      <c r="F3" s="631"/>
      <c r="G3" s="631"/>
      <c r="H3" s="326"/>
      <c r="I3" s="327"/>
      <c r="J3" s="328" t="s">
        <v>362</v>
      </c>
      <c r="K3" s="328"/>
      <c r="L3" s="328" t="s">
        <v>363</v>
      </c>
      <c r="M3" s="328" t="s">
        <v>353</v>
      </c>
      <c r="N3" s="328"/>
    </row>
    <row r="4" spans="2:14" ht="12.75" customHeight="1">
      <c r="B4" s="630"/>
      <c r="C4" s="631"/>
      <c r="D4" s="631"/>
      <c r="E4" s="631"/>
      <c r="F4" s="631"/>
      <c r="G4" s="631"/>
      <c r="H4" s="326"/>
      <c r="I4" s="327"/>
      <c r="J4" s="328" t="s">
        <v>364</v>
      </c>
      <c r="K4" s="328"/>
      <c r="L4" s="328" t="s">
        <v>359</v>
      </c>
      <c r="M4" s="328" t="s">
        <v>357</v>
      </c>
      <c r="N4" s="328"/>
    </row>
    <row r="5" spans="2:14" ht="12.75" customHeight="1">
      <c r="B5" s="324"/>
      <c r="C5" s="325"/>
      <c r="D5" s="325"/>
      <c r="E5" s="325"/>
      <c r="F5" s="325"/>
      <c r="G5" s="325"/>
      <c r="H5" s="326"/>
      <c r="I5" s="327"/>
      <c r="J5" s="328"/>
      <c r="K5" s="328" t="s">
        <v>365</v>
      </c>
      <c r="L5" s="328" t="s">
        <v>354</v>
      </c>
      <c r="M5" s="328"/>
      <c r="N5" s="328" t="s">
        <v>359</v>
      </c>
    </row>
    <row r="6" spans="2:14" ht="12" customHeight="1">
      <c r="B6" s="329"/>
      <c r="C6" s="330"/>
      <c r="D6" s="330"/>
      <c r="F6" s="330"/>
      <c r="H6" s="331"/>
      <c r="I6" s="327"/>
      <c r="J6" s="328" t="s">
        <v>358</v>
      </c>
      <c r="K6" s="328" t="s">
        <v>366</v>
      </c>
      <c r="L6" s="328"/>
      <c r="M6" s="328" t="s">
        <v>354</v>
      </c>
      <c r="N6" s="328" t="s">
        <v>367</v>
      </c>
    </row>
    <row r="7" spans="2:14" ht="12.75" customHeight="1">
      <c r="B7" s="329"/>
      <c r="D7" s="332"/>
      <c r="H7" s="331"/>
      <c r="I7" s="327"/>
      <c r="J7" s="328" t="s">
        <v>184</v>
      </c>
      <c r="K7" s="328" t="s">
        <v>362</v>
      </c>
      <c r="L7" s="328" t="s">
        <v>362</v>
      </c>
      <c r="M7" s="328" t="s">
        <v>357</v>
      </c>
      <c r="N7" s="328" t="s">
        <v>368</v>
      </c>
    </row>
    <row r="8" spans="2:14" ht="12.75" customHeight="1">
      <c r="B8" s="329"/>
      <c r="G8" s="332"/>
      <c r="H8" s="333"/>
      <c r="I8" s="328" t="s">
        <v>368</v>
      </c>
      <c r="J8" s="328" t="s">
        <v>354</v>
      </c>
      <c r="K8" s="328" t="s">
        <v>369</v>
      </c>
      <c r="L8" s="328" t="s">
        <v>357</v>
      </c>
      <c r="M8" s="328" t="s">
        <v>368</v>
      </c>
      <c r="N8" s="328" t="s">
        <v>366</v>
      </c>
    </row>
    <row r="9" spans="2:14">
      <c r="B9" s="328" t="s">
        <v>370</v>
      </c>
      <c r="C9" s="333" t="s">
        <v>371</v>
      </c>
      <c r="D9" s="333" t="s">
        <v>372</v>
      </c>
      <c r="E9" s="333" t="s">
        <v>373</v>
      </c>
      <c r="F9" s="328" t="s">
        <v>374</v>
      </c>
      <c r="G9" s="328" t="s">
        <v>375</v>
      </c>
      <c r="H9" s="328" t="s">
        <v>376</v>
      </c>
      <c r="I9" s="328" t="s">
        <v>364</v>
      </c>
      <c r="J9" s="328" t="s">
        <v>184</v>
      </c>
      <c r="K9" s="328" t="s">
        <v>357</v>
      </c>
      <c r="L9" s="328" t="s">
        <v>369</v>
      </c>
      <c r="M9" s="328" t="s">
        <v>354</v>
      </c>
      <c r="N9" s="328" t="s">
        <v>355</v>
      </c>
    </row>
    <row r="10" spans="2:14" ht="15" customHeight="1">
      <c r="B10" s="334"/>
      <c r="C10" s="335"/>
      <c r="D10" s="335"/>
      <c r="E10" s="335"/>
      <c r="F10" s="336"/>
      <c r="G10" s="337"/>
      <c r="H10" s="337"/>
      <c r="I10" s="338"/>
      <c r="J10" s="339"/>
      <c r="K10" s="339"/>
      <c r="L10" s="339"/>
      <c r="M10" s="339"/>
      <c r="N10" s="340"/>
    </row>
    <row r="11" spans="2:14" ht="15" customHeight="1">
      <c r="B11" s="334"/>
      <c r="C11" s="336"/>
      <c r="D11" s="336"/>
      <c r="E11" s="336"/>
      <c r="F11" s="336"/>
      <c r="G11" s="336"/>
      <c r="H11" s="336"/>
      <c r="I11" s="341"/>
      <c r="J11" s="339"/>
      <c r="K11" s="339"/>
      <c r="L11" s="339"/>
      <c r="M11" s="339"/>
      <c r="N11" s="340"/>
    </row>
    <row r="12" spans="2:14" ht="15" customHeight="1">
      <c r="B12" s="334"/>
      <c r="C12" s="336"/>
      <c r="D12" s="336"/>
      <c r="E12" s="336"/>
      <c r="F12" s="336"/>
      <c r="G12" s="336"/>
      <c r="H12" s="336"/>
      <c r="I12" s="341"/>
      <c r="J12" s="342"/>
      <c r="K12" s="339"/>
      <c r="L12" s="339"/>
      <c r="M12" s="339"/>
      <c r="N12" s="340"/>
    </row>
    <row r="13" spans="2:14" ht="15" customHeight="1">
      <c r="B13" s="334"/>
      <c r="C13" s="336"/>
      <c r="D13" s="336"/>
      <c r="E13" s="336"/>
      <c r="F13" s="336"/>
      <c r="G13" s="336"/>
      <c r="H13" s="336"/>
      <c r="I13" s="341"/>
      <c r="J13" s="339"/>
      <c r="K13" s="339"/>
      <c r="L13" s="339"/>
      <c r="M13" s="339"/>
      <c r="N13" s="340"/>
    </row>
    <row r="14" spans="2:14" ht="15" customHeight="1">
      <c r="B14" s="334"/>
      <c r="C14" s="336"/>
      <c r="D14" s="336"/>
      <c r="E14" s="336"/>
      <c r="F14" s="336"/>
      <c r="G14" s="336"/>
      <c r="H14" s="336"/>
      <c r="I14" s="341"/>
      <c r="J14" s="339"/>
      <c r="K14" s="339"/>
      <c r="L14" s="339"/>
      <c r="M14" s="339"/>
      <c r="N14" s="340"/>
    </row>
    <row r="15" spans="2:14" ht="15" customHeight="1">
      <c r="B15" s="334"/>
      <c r="C15" s="336"/>
      <c r="D15" s="336"/>
      <c r="E15" s="336"/>
      <c r="F15" s="336"/>
      <c r="G15" s="336"/>
      <c r="H15" s="336"/>
      <c r="I15" s="341"/>
      <c r="J15" s="339"/>
      <c r="K15" s="339"/>
      <c r="L15" s="339"/>
      <c r="M15" s="339"/>
      <c r="N15" s="340"/>
    </row>
    <row r="16" spans="2:14" ht="15" customHeight="1">
      <c r="B16" s="334"/>
      <c r="C16" s="336"/>
      <c r="D16" s="336"/>
      <c r="E16" s="336"/>
      <c r="F16" s="336"/>
      <c r="G16" s="336"/>
      <c r="H16" s="336"/>
      <c r="I16" s="341"/>
      <c r="J16" s="339"/>
      <c r="K16" s="339"/>
      <c r="L16" s="339"/>
      <c r="M16" s="339"/>
      <c r="N16" s="340"/>
    </row>
    <row r="17" spans="2:14" ht="15" customHeight="1">
      <c r="B17" s="334"/>
      <c r="C17" s="336"/>
      <c r="D17" s="336"/>
      <c r="E17" s="336"/>
      <c r="F17" s="336"/>
      <c r="G17" s="336"/>
      <c r="H17" s="336"/>
      <c r="I17" s="341"/>
      <c r="J17" s="339"/>
      <c r="K17" s="339"/>
      <c r="L17" s="339"/>
      <c r="M17" s="339"/>
      <c r="N17" s="340"/>
    </row>
    <row r="18" spans="2:14" ht="15" customHeight="1">
      <c r="B18" s="334"/>
      <c r="C18" s="336"/>
      <c r="D18" s="336"/>
      <c r="E18" s="336"/>
      <c r="F18" s="336"/>
      <c r="G18" s="336"/>
      <c r="H18" s="336"/>
      <c r="I18" s="341"/>
      <c r="J18" s="339"/>
      <c r="K18" s="339"/>
      <c r="L18" s="339"/>
      <c r="M18" s="339"/>
      <c r="N18" s="340"/>
    </row>
    <row r="19" spans="2:14" ht="15" customHeight="1">
      <c r="B19" s="334"/>
      <c r="C19" s="336"/>
      <c r="D19" s="336"/>
      <c r="E19" s="336"/>
      <c r="F19" s="336"/>
      <c r="G19" s="336"/>
      <c r="H19" s="336"/>
      <c r="I19" s="341"/>
      <c r="J19" s="339"/>
      <c r="K19" s="339"/>
      <c r="L19" s="339"/>
      <c r="M19" s="339"/>
      <c r="N19" s="340"/>
    </row>
    <row r="20" spans="2:14" ht="15" customHeight="1">
      <c r="B20" s="334"/>
      <c r="C20" s="336"/>
      <c r="D20" s="336"/>
      <c r="E20" s="336"/>
      <c r="F20" s="336"/>
      <c r="G20" s="336"/>
      <c r="H20" s="336"/>
      <c r="I20" s="341"/>
      <c r="J20" s="339"/>
      <c r="K20" s="339"/>
      <c r="L20" s="339"/>
      <c r="M20" s="339"/>
      <c r="N20" s="340"/>
    </row>
    <row r="21" spans="2:14" ht="15" customHeight="1">
      <c r="B21" s="334"/>
      <c r="C21" s="336"/>
      <c r="D21" s="336"/>
      <c r="E21" s="336"/>
      <c r="F21" s="336"/>
      <c r="G21" s="336"/>
      <c r="H21" s="336"/>
      <c r="I21" s="341"/>
      <c r="J21" s="339"/>
      <c r="K21" s="339"/>
      <c r="L21" s="339"/>
      <c r="M21" s="339"/>
      <c r="N21" s="340"/>
    </row>
    <row r="22" spans="2:14" ht="15" customHeight="1">
      <c r="B22" s="334"/>
      <c r="C22" s="336"/>
      <c r="D22" s="336"/>
      <c r="E22" s="336"/>
      <c r="F22" s="336"/>
      <c r="G22" s="336"/>
      <c r="H22" s="336"/>
      <c r="I22" s="341"/>
      <c r="J22" s="339"/>
      <c r="K22" s="339"/>
      <c r="L22" s="339"/>
      <c r="M22" s="339"/>
      <c r="N22" s="340"/>
    </row>
    <row r="23" spans="2:14" ht="15" customHeight="1">
      <c r="B23" s="334"/>
      <c r="C23" s="336"/>
      <c r="D23" s="336"/>
      <c r="E23" s="336"/>
      <c r="F23" s="336"/>
      <c r="G23" s="336"/>
      <c r="H23" s="336"/>
      <c r="I23" s="341"/>
      <c r="J23" s="339"/>
      <c r="K23" s="339"/>
      <c r="L23" s="339"/>
      <c r="M23" s="339"/>
      <c r="N23" s="340"/>
    </row>
    <row r="24" spans="2:14" ht="15" customHeight="1">
      <c r="B24" s="334"/>
      <c r="C24" s="336"/>
      <c r="D24" s="336"/>
      <c r="E24" s="336"/>
      <c r="F24" s="336"/>
      <c r="G24" s="336"/>
      <c r="H24" s="336"/>
      <c r="I24" s="341"/>
      <c r="J24" s="339"/>
      <c r="K24" s="339"/>
      <c r="L24" s="339"/>
      <c r="M24" s="339"/>
      <c r="N24" s="340"/>
    </row>
    <row r="25" spans="2:14" ht="15" customHeight="1">
      <c r="B25" s="334"/>
      <c r="C25" s="336"/>
      <c r="D25" s="336"/>
      <c r="E25" s="336"/>
      <c r="F25" s="336"/>
      <c r="G25" s="336"/>
      <c r="H25" s="336"/>
      <c r="I25" s="341"/>
      <c r="J25" s="339"/>
      <c r="K25" s="339"/>
      <c r="L25" s="339"/>
      <c r="M25" s="339"/>
      <c r="N25" s="340"/>
    </row>
    <row r="26" spans="2:14" ht="15" customHeight="1">
      <c r="B26" s="334"/>
      <c r="C26" s="336"/>
      <c r="D26" s="336"/>
      <c r="E26" s="336"/>
      <c r="F26" s="336"/>
      <c r="G26" s="336"/>
      <c r="H26" s="336"/>
      <c r="I26" s="341"/>
      <c r="J26" s="339"/>
      <c r="K26" s="339"/>
      <c r="L26" s="339"/>
      <c r="M26" s="339"/>
      <c r="N26" s="340"/>
    </row>
    <row r="27" spans="2:14" ht="15" customHeight="1">
      <c r="B27" s="334"/>
      <c r="C27" s="336"/>
      <c r="D27" s="336"/>
      <c r="E27" s="336"/>
      <c r="F27" s="336"/>
      <c r="G27" s="336"/>
      <c r="H27" s="336"/>
      <c r="I27" s="341"/>
      <c r="J27" s="339"/>
      <c r="K27" s="339"/>
      <c r="L27" s="339"/>
      <c r="M27" s="339"/>
      <c r="N27" s="340"/>
    </row>
    <row r="28" spans="2:14" ht="15" customHeight="1">
      <c r="B28" s="334"/>
      <c r="C28" s="336"/>
      <c r="D28" s="336"/>
      <c r="E28" s="336"/>
      <c r="F28" s="336"/>
      <c r="G28" s="336"/>
      <c r="H28" s="336"/>
      <c r="I28" s="341"/>
      <c r="J28" s="339"/>
      <c r="K28" s="339"/>
      <c r="L28" s="339"/>
      <c r="M28" s="339"/>
      <c r="N28" s="340"/>
    </row>
    <row r="29" spans="2:14" ht="15" customHeight="1">
      <c r="B29" s="334"/>
      <c r="C29" s="336"/>
      <c r="D29" s="336"/>
      <c r="E29" s="336"/>
      <c r="F29" s="336"/>
      <c r="G29" s="336"/>
      <c r="H29" s="336"/>
      <c r="I29" s="341"/>
      <c r="J29" s="339"/>
      <c r="K29" s="339"/>
      <c r="L29" s="339"/>
      <c r="M29" s="339"/>
      <c r="N29" s="340"/>
    </row>
    <row r="30" spans="2:14" ht="15" customHeight="1">
      <c r="B30" s="334"/>
      <c r="C30" s="336"/>
      <c r="D30" s="336"/>
      <c r="E30" s="336"/>
      <c r="F30" s="336"/>
      <c r="G30" s="336"/>
      <c r="H30" s="336"/>
      <c r="I30" s="341"/>
      <c r="J30" s="339"/>
      <c r="K30" s="339"/>
      <c r="L30" s="339"/>
      <c r="M30" s="339"/>
      <c r="N30" s="340"/>
    </row>
    <row r="31" spans="2:14" ht="15" customHeight="1">
      <c r="B31" s="334"/>
      <c r="C31" s="336"/>
      <c r="D31" s="336"/>
      <c r="E31" s="336"/>
      <c r="F31" s="336"/>
      <c r="G31" s="336"/>
      <c r="H31" s="336"/>
      <c r="I31" s="341"/>
      <c r="J31" s="339"/>
      <c r="K31" s="339"/>
      <c r="L31" s="339"/>
      <c r="M31" s="339"/>
      <c r="N31" s="340"/>
    </row>
    <row r="32" spans="2:14" ht="15" customHeight="1">
      <c r="B32" s="334"/>
      <c r="C32" s="336"/>
      <c r="D32" s="336"/>
      <c r="E32" s="336"/>
      <c r="F32" s="336"/>
      <c r="G32" s="336"/>
      <c r="H32" s="336"/>
      <c r="I32" s="341"/>
      <c r="J32" s="339"/>
      <c r="K32" s="339"/>
      <c r="L32" s="339"/>
      <c r="M32" s="339"/>
      <c r="N32" s="340"/>
    </row>
    <row r="33" spans="2:14" ht="15" customHeight="1">
      <c r="B33" s="334"/>
      <c r="C33" s="336"/>
      <c r="D33" s="336"/>
      <c r="E33" s="336"/>
      <c r="F33" s="336"/>
      <c r="G33" s="336"/>
      <c r="H33" s="336"/>
      <c r="I33" s="341"/>
      <c r="J33" s="339"/>
      <c r="K33" s="339"/>
      <c r="L33" s="339"/>
      <c r="M33" s="339"/>
      <c r="N33" s="340"/>
    </row>
    <row r="34" spans="2:14" ht="15" customHeight="1">
      <c r="B34" s="334"/>
      <c r="C34" s="336"/>
      <c r="D34" s="336"/>
      <c r="E34" s="336"/>
      <c r="F34" s="336"/>
      <c r="G34" s="336"/>
      <c r="H34" s="336"/>
      <c r="I34" s="341"/>
      <c r="J34" s="339"/>
      <c r="K34" s="339"/>
      <c r="L34" s="339"/>
      <c r="M34" s="339"/>
      <c r="N34" s="340"/>
    </row>
    <row r="35" spans="2:14" ht="15" customHeight="1">
      <c r="B35" s="334"/>
      <c r="C35" s="336"/>
      <c r="D35" s="336"/>
      <c r="E35" s="336"/>
      <c r="F35" s="336"/>
      <c r="G35" s="336"/>
      <c r="H35" s="336"/>
      <c r="I35" s="341"/>
      <c r="J35" s="339"/>
      <c r="K35" s="339"/>
      <c r="L35" s="339"/>
      <c r="M35" s="339"/>
      <c r="N35" s="340"/>
    </row>
    <row r="36" spans="2:14" ht="15" customHeight="1">
      <c r="B36" s="334"/>
      <c r="C36" s="336"/>
      <c r="D36" s="336"/>
      <c r="E36" s="336"/>
      <c r="F36" s="336"/>
      <c r="G36" s="336"/>
      <c r="H36" s="336"/>
      <c r="I36" s="341"/>
      <c r="J36" s="339"/>
      <c r="K36" s="339"/>
      <c r="L36" s="339"/>
      <c r="M36" s="339"/>
      <c r="N36" s="340"/>
    </row>
    <row r="37" spans="2:14" ht="15" customHeight="1">
      <c r="B37" s="334"/>
      <c r="C37" s="336"/>
      <c r="D37" s="336"/>
      <c r="E37" s="336"/>
      <c r="F37" s="336"/>
      <c r="G37" s="336"/>
      <c r="H37" s="336"/>
      <c r="I37" s="341"/>
      <c r="J37" s="339"/>
      <c r="K37" s="339"/>
      <c r="L37" s="339"/>
      <c r="M37" s="339"/>
      <c r="N37" s="340"/>
    </row>
    <row r="38" spans="2:14" ht="15" customHeight="1">
      <c r="B38" s="334"/>
      <c r="C38" s="336"/>
      <c r="D38" s="336"/>
      <c r="E38" s="336"/>
      <c r="F38" s="336"/>
      <c r="G38" s="336"/>
      <c r="H38" s="336"/>
      <c r="I38" s="341"/>
      <c r="J38" s="339"/>
      <c r="K38" s="339"/>
      <c r="L38" s="339"/>
      <c r="M38" s="339"/>
      <c r="N38" s="340"/>
    </row>
    <row r="39" spans="2:14" ht="15" customHeight="1">
      <c r="B39" s="334"/>
      <c r="C39" s="336"/>
      <c r="D39" s="336"/>
      <c r="E39" s="336"/>
      <c r="F39" s="336"/>
      <c r="G39" s="336"/>
      <c r="H39" s="336"/>
      <c r="I39" s="341"/>
      <c r="J39" s="339"/>
      <c r="K39" s="339"/>
      <c r="L39" s="339"/>
      <c r="M39" s="339"/>
      <c r="N39" s="340"/>
    </row>
    <row r="40" spans="2:14" ht="15" customHeight="1">
      <c r="B40" s="334"/>
      <c r="C40" s="336"/>
      <c r="D40" s="336"/>
      <c r="E40" s="336"/>
      <c r="F40" s="336"/>
      <c r="G40" s="336"/>
      <c r="H40" s="336"/>
      <c r="I40" s="341"/>
      <c r="J40" s="339"/>
      <c r="K40" s="339"/>
      <c r="L40" s="339"/>
      <c r="M40" s="339"/>
      <c r="N40" s="340"/>
    </row>
    <row r="41" spans="2:14" ht="15" customHeight="1">
      <c r="B41" s="334"/>
      <c r="C41" s="336"/>
      <c r="D41" s="336"/>
      <c r="E41" s="336"/>
      <c r="F41" s="336"/>
      <c r="G41" s="336"/>
      <c r="H41" s="336"/>
      <c r="I41" s="341"/>
      <c r="J41" s="339"/>
      <c r="K41" s="339"/>
      <c r="L41" s="339"/>
      <c r="M41" s="339"/>
      <c r="N41" s="340"/>
    </row>
    <row r="42" spans="2:14" ht="15" customHeight="1">
      <c r="B42" s="334"/>
      <c r="C42" s="336"/>
      <c r="D42" s="336"/>
      <c r="E42" s="336"/>
      <c r="F42" s="336"/>
      <c r="G42" s="336"/>
      <c r="H42" s="336"/>
      <c r="I42" s="341"/>
      <c r="J42" s="339"/>
      <c r="K42" s="339"/>
      <c r="L42" s="339"/>
      <c r="M42" s="339"/>
      <c r="N42" s="340"/>
    </row>
    <row r="43" spans="2:14" ht="15" customHeight="1">
      <c r="B43" s="334"/>
      <c r="C43" s="336"/>
      <c r="D43" s="336"/>
      <c r="E43" s="336"/>
      <c r="F43" s="336"/>
      <c r="G43" s="336"/>
      <c r="H43" s="336"/>
      <c r="I43" s="341"/>
      <c r="J43" s="339"/>
      <c r="K43" s="339"/>
      <c r="L43" s="339"/>
      <c r="M43" s="339"/>
      <c r="N43" s="340"/>
    </row>
    <row r="44" spans="2:14" ht="15" customHeight="1">
      <c r="B44" s="334"/>
      <c r="C44" s="336"/>
      <c r="D44" s="336"/>
      <c r="E44" s="336"/>
      <c r="F44" s="336"/>
      <c r="G44" s="336"/>
      <c r="H44" s="336"/>
      <c r="I44" s="341"/>
      <c r="J44" s="339"/>
      <c r="K44" s="339"/>
      <c r="L44" s="339"/>
      <c r="M44" s="339"/>
      <c r="N44" s="340"/>
    </row>
    <row r="45" spans="2:14" ht="15" customHeight="1">
      <c r="B45" s="334"/>
      <c r="C45" s="336"/>
      <c r="D45" s="336"/>
      <c r="E45" s="336"/>
      <c r="F45" s="336"/>
      <c r="G45" s="336"/>
      <c r="H45" s="336"/>
      <c r="I45" s="341"/>
      <c r="J45" s="339"/>
      <c r="K45" s="339"/>
      <c r="L45" s="339"/>
      <c r="M45" s="339"/>
      <c r="N45" s="340"/>
    </row>
    <row r="46" spans="2:14" ht="15" customHeight="1">
      <c r="B46" s="334"/>
      <c r="C46" s="336"/>
      <c r="D46" s="336"/>
      <c r="E46" s="336"/>
      <c r="F46" s="336"/>
      <c r="G46" s="336"/>
      <c r="H46" s="336"/>
      <c r="I46" s="341"/>
      <c r="J46" s="339"/>
      <c r="K46" s="339"/>
      <c r="L46" s="339"/>
      <c r="M46" s="339"/>
      <c r="N46" s="340"/>
    </row>
    <row r="47" spans="2:14" ht="15" customHeight="1">
      <c r="B47" s="334"/>
      <c r="C47" s="336"/>
      <c r="D47" s="336"/>
      <c r="E47" s="336"/>
      <c r="F47" s="336"/>
      <c r="G47" s="336"/>
      <c r="H47" s="336"/>
      <c r="I47" s="341"/>
      <c r="J47" s="339"/>
      <c r="K47" s="339"/>
      <c r="L47" s="339"/>
      <c r="M47" s="339"/>
      <c r="N47" s="340"/>
    </row>
    <row r="48" spans="2:14" ht="15" customHeight="1">
      <c r="B48" s="334"/>
      <c r="C48" s="336"/>
      <c r="D48" s="336"/>
      <c r="E48" s="336"/>
      <c r="F48" s="336"/>
      <c r="G48" s="336"/>
      <c r="H48" s="336"/>
      <c r="I48" s="341"/>
      <c r="J48" s="339"/>
      <c r="K48" s="339"/>
      <c r="L48" s="339"/>
      <c r="M48" s="339"/>
      <c r="N48" s="340"/>
    </row>
    <row r="49" spans="2:14" ht="15" customHeight="1">
      <c r="B49" s="334"/>
      <c r="C49" s="336"/>
      <c r="D49" s="336"/>
      <c r="E49" s="336"/>
      <c r="F49" s="336"/>
      <c r="G49" s="336"/>
      <c r="H49" s="336"/>
      <c r="I49" s="341"/>
      <c r="J49" s="339"/>
      <c r="K49" s="339"/>
      <c r="L49" s="339"/>
      <c r="M49" s="339"/>
      <c r="N49" s="340"/>
    </row>
    <row r="50" spans="2:14" ht="15" customHeight="1">
      <c r="B50" s="334"/>
      <c r="C50" s="336"/>
      <c r="D50" s="336"/>
      <c r="E50" s="336"/>
      <c r="F50" s="336"/>
      <c r="G50" s="336"/>
      <c r="H50" s="336"/>
      <c r="I50" s="341"/>
      <c r="J50" s="339"/>
      <c r="K50" s="339"/>
      <c r="L50" s="339"/>
      <c r="M50" s="339"/>
      <c r="N50" s="340"/>
    </row>
    <row r="51" spans="2:14" ht="15" customHeight="1">
      <c r="B51" s="334"/>
      <c r="C51" s="336"/>
      <c r="D51" s="336"/>
      <c r="E51" s="336"/>
      <c r="F51" s="336"/>
      <c r="G51" s="336"/>
      <c r="H51" s="336"/>
      <c r="I51" s="341"/>
      <c r="J51" s="339"/>
      <c r="K51" s="339"/>
      <c r="L51" s="339"/>
      <c r="M51" s="339"/>
      <c r="N51" s="340"/>
    </row>
    <row r="52" spans="2:14" ht="15" customHeight="1" thickBot="1">
      <c r="B52" s="343"/>
      <c r="C52" s="344"/>
      <c r="D52" s="344"/>
      <c r="E52" s="344"/>
      <c r="F52" s="344"/>
      <c r="G52" s="344"/>
      <c r="H52" s="344"/>
      <c r="I52" s="345"/>
      <c r="J52" s="346"/>
      <c r="K52" s="346"/>
      <c r="L52" s="346"/>
      <c r="M52" s="346"/>
      <c r="N52" s="347"/>
    </row>
    <row r="53" spans="2:14" ht="20.25" customHeight="1" thickBot="1">
      <c r="B53" s="632" t="s">
        <v>377</v>
      </c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</row>
    <row r="54" spans="2:14" ht="15" customHeight="1" thickBot="1">
      <c r="B54" s="348" t="s">
        <v>378</v>
      </c>
      <c r="C54" s="633" t="s">
        <v>375</v>
      </c>
      <c r="D54" s="634"/>
      <c r="E54" s="634"/>
      <c r="F54" s="634"/>
      <c r="G54" s="634"/>
      <c r="H54" s="349"/>
      <c r="I54" s="633" t="s">
        <v>370</v>
      </c>
      <c r="J54" s="634"/>
      <c r="K54" s="635"/>
      <c r="L54" s="633" t="s">
        <v>379</v>
      </c>
      <c r="M54" s="634"/>
      <c r="N54" s="636"/>
    </row>
    <row r="55" spans="2:14" ht="15" customHeight="1">
      <c r="B55" s="350"/>
      <c r="C55" s="622"/>
      <c r="D55" s="623"/>
      <c r="E55" s="623"/>
      <c r="F55" s="623"/>
      <c r="G55" s="623"/>
      <c r="H55" s="351"/>
      <c r="I55" s="624"/>
      <c r="J55" s="625"/>
      <c r="K55" s="626"/>
      <c r="L55" s="627"/>
      <c r="M55" s="628"/>
      <c r="N55" s="629"/>
    </row>
    <row r="56" spans="2:14" ht="15" customHeight="1">
      <c r="B56" s="352"/>
      <c r="C56" s="606"/>
      <c r="D56" s="607"/>
      <c r="E56" s="607"/>
      <c r="F56" s="607"/>
      <c r="G56" s="607"/>
      <c r="H56" s="353"/>
      <c r="I56" s="608"/>
      <c r="J56" s="609"/>
      <c r="K56" s="610"/>
      <c r="L56" s="611"/>
      <c r="M56" s="612"/>
      <c r="N56" s="613"/>
    </row>
    <row r="57" spans="2:14" ht="15" customHeight="1">
      <c r="B57" s="352"/>
      <c r="C57" s="606"/>
      <c r="D57" s="607"/>
      <c r="E57" s="607"/>
      <c r="F57" s="607"/>
      <c r="G57" s="607"/>
      <c r="H57" s="353"/>
      <c r="I57" s="608"/>
      <c r="J57" s="609"/>
      <c r="K57" s="610"/>
      <c r="L57" s="611"/>
      <c r="M57" s="612"/>
      <c r="N57" s="613"/>
    </row>
    <row r="58" spans="2:14" ht="15" customHeight="1">
      <c r="B58" s="352"/>
      <c r="C58" s="606"/>
      <c r="D58" s="607"/>
      <c r="E58" s="607"/>
      <c r="F58" s="607"/>
      <c r="G58" s="607"/>
      <c r="H58" s="353"/>
      <c r="I58" s="608"/>
      <c r="J58" s="609"/>
      <c r="K58" s="610"/>
      <c r="L58" s="611"/>
      <c r="M58" s="612"/>
      <c r="N58" s="613"/>
    </row>
    <row r="59" spans="2:14" ht="15" customHeight="1">
      <c r="B59" s="352"/>
      <c r="C59" s="606"/>
      <c r="D59" s="607"/>
      <c r="E59" s="607"/>
      <c r="F59" s="607"/>
      <c r="G59" s="607"/>
      <c r="H59" s="353"/>
      <c r="I59" s="608"/>
      <c r="J59" s="609"/>
      <c r="K59" s="610"/>
      <c r="L59" s="611"/>
      <c r="M59" s="612"/>
      <c r="N59" s="613"/>
    </row>
    <row r="60" spans="2:14" ht="15" customHeight="1">
      <c r="B60" s="352"/>
      <c r="C60" s="606"/>
      <c r="D60" s="607"/>
      <c r="E60" s="607"/>
      <c r="F60" s="607"/>
      <c r="G60" s="607"/>
      <c r="H60" s="353"/>
      <c r="I60" s="608"/>
      <c r="J60" s="609"/>
      <c r="K60" s="610"/>
      <c r="L60" s="611"/>
      <c r="M60" s="612"/>
      <c r="N60" s="613"/>
    </row>
    <row r="61" spans="2:14" ht="15" customHeight="1">
      <c r="B61" s="352"/>
      <c r="C61" s="606"/>
      <c r="D61" s="607"/>
      <c r="E61" s="607"/>
      <c r="F61" s="607"/>
      <c r="G61" s="607"/>
      <c r="H61" s="353"/>
      <c r="I61" s="608"/>
      <c r="J61" s="609"/>
      <c r="K61" s="610"/>
      <c r="L61" s="611"/>
      <c r="M61" s="612"/>
      <c r="N61" s="613"/>
    </row>
    <row r="62" spans="2:14" ht="15" customHeight="1">
      <c r="B62" s="352"/>
      <c r="C62" s="606"/>
      <c r="D62" s="607"/>
      <c r="E62" s="607"/>
      <c r="F62" s="607"/>
      <c r="G62" s="607"/>
      <c r="H62" s="353"/>
      <c r="I62" s="608"/>
      <c r="J62" s="609"/>
      <c r="K62" s="610"/>
      <c r="L62" s="611"/>
      <c r="M62" s="612"/>
      <c r="N62" s="613"/>
    </row>
    <row r="63" spans="2:14" ht="15" customHeight="1">
      <c r="B63" s="352"/>
      <c r="C63" s="606"/>
      <c r="D63" s="607"/>
      <c r="E63" s="607"/>
      <c r="F63" s="607"/>
      <c r="G63" s="607"/>
      <c r="H63" s="353"/>
      <c r="I63" s="608"/>
      <c r="J63" s="609"/>
      <c r="K63" s="610"/>
      <c r="L63" s="611"/>
      <c r="M63" s="612"/>
      <c r="N63" s="613"/>
    </row>
    <row r="64" spans="2:14" ht="15" customHeight="1">
      <c r="B64" s="352"/>
      <c r="C64" s="606"/>
      <c r="D64" s="607"/>
      <c r="E64" s="607"/>
      <c r="F64" s="607"/>
      <c r="G64" s="607"/>
      <c r="H64" s="353"/>
      <c r="I64" s="608"/>
      <c r="J64" s="609"/>
      <c r="K64" s="610"/>
      <c r="L64" s="611"/>
      <c r="M64" s="612"/>
      <c r="N64" s="613"/>
    </row>
    <row r="65" spans="2:14" ht="15" customHeight="1">
      <c r="B65" s="352"/>
      <c r="C65" s="606"/>
      <c r="D65" s="607"/>
      <c r="E65" s="607"/>
      <c r="F65" s="607"/>
      <c r="G65" s="607"/>
      <c r="H65" s="353"/>
      <c r="I65" s="608"/>
      <c r="J65" s="609"/>
      <c r="K65" s="610"/>
      <c r="L65" s="611"/>
      <c r="M65" s="612"/>
      <c r="N65" s="613"/>
    </row>
    <row r="66" spans="2:14" ht="15" customHeight="1">
      <c r="B66" s="352"/>
      <c r="C66" s="606"/>
      <c r="D66" s="607"/>
      <c r="E66" s="607"/>
      <c r="F66" s="607"/>
      <c r="G66" s="607"/>
      <c r="H66" s="353"/>
      <c r="I66" s="608"/>
      <c r="J66" s="609"/>
      <c r="K66" s="610"/>
      <c r="L66" s="611"/>
      <c r="M66" s="612"/>
      <c r="N66" s="613"/>
    </row>
    <row r="67" spans="2:14" ht="15" customHeight="1">
      <c r="B67" s="352"/>
      <c r="C67" s="606"/>
      <c r="D67" s="607"/>
      <c r="E67" s="607"/>
      <c r="F67" s="607"/>
      <c r="G67" s="607"/>
      <c r="H67" s="353"/>
      <c r="I67" s="608"/>
      <c r="J67" s="609"/>
      <c r="K67" s="610"/>
      <c r="L67" s="611"/>
      <c r="M67" s="612"/>
      <c r="N67" s="613"/>
    </row>
    <row r="68" spans="2:14" ht="15" customHeight="1">
      <c r="B68" s="352"/>
      <c r="C68" s="606"/>
      <c r="D68" s="607"/>
      <c r="E68" s="607"/>
      <c r="F68" s="607"/>
      <c r="G68" s="607"/>
      <c r="H68" s="353"/>
      <c r="I68" s="608"/>
      <c r="J68" s="609"/>
      <c r="K68" s="610"/>
      <c r="L68" s="611"/>
      <c r="M68" s="612"/>
      <c r="N68" s="613"/>
    </row>
    <row r="69" spans="2:14" ht="15" customHeight="1">
      <c r="B69" s="352"/>
      <c r="C69" s="606"/>
      <c r="D69" s="607"/>
      <c r="E69" s="607"/>
      <c r="F69" s="607"/>
      <c r="G69" s="607"/>
      <c r="H69" s="353"/>
      <c r="I69" s="608"/>
      <c r="J69" s="609"/>
      <c r="K69" s="610"/>
      <c r="L69" s="611"/>
      <c r="M69" s="612"/>
      <c r="N69" s="613"/>
    </row>
    <row r="70" spans="2:14" ht="15" customHeight="1">
      <c r="B70" s="352"/>
      <c r="C70" s="606"/>
      <c r="D70" s="607"/>
      <c r="E70" s="607"/>
      <c r="F70" s="607"/>
      <c r="G70" s="607"/>
      <c r="H70" s="353"/>
      <c r="I70" s="608"/>
      <c r="J70" s="609"/>
      <c r="K70" s="610"/>
      <c r="L70" s="611"/>
      <c r="M70" s="612"/>
      <c r="N70" s="613"/>
    </row>
    <row r="71" spans="2:14" ht="15" customHeight="1">
      <c r="B71" s="352"/>
      <c r="C71" s="606"/>
      <c r="D71" s="607"/>
      <c r="E71" s="607"/>
      <c r="F71" s="607"/>
      <c r="G71" s="607"/>
      <c r="H71" s="353"/>
      <c r="I71" s="608"/>
      <c r="J71" s="609"/>
      <c r="K71" s="610"/>
      <c r="L71" s="611"/>
      <c r="M71" s="612"/>
      <c r="N71" s="613"/>
    </row>
    <row r="72" spans="2:14">
      <c r="B72" s="352"/>
      <c r="C72" s="606"/>
      <c r="D72" s="607"/>
      <c r="E72" s="607"/>
      <c r="F72" s="607"/>
      <c r="G72" s="607"/>
      <c r="H72" s="353"/>
      <c r="I72" s="608"/>
      <c r="J72" s="609"/>
      <c r="K72" s="610"/>
      <c r="L72" s="611"/>
      <c r="M72" s="612"/>
      <c r="N72" s="613"/>
    </row>
    <row r="73" spans="2:14">
      <c r="B73" s="352"/>
      <c r="C73" s="606"/>
      <c r="D73" s="607"/>
      <c r="E73" s="607"/>
      <c r="F73" s="607"/>
      <c r="G73" s="607"/>
      <c r="H73" s="353"/>
      <c r="I73" s="608"/>
      <c r="J73" s="609"/>
      <c r="K73" s="610"/>
      <c r="L73" s="611"/>
      <c r="M73" s="612"/>
      <c r="N73" s="613"/>
    </row>
    <row r="74" spans="2:14">
      <c r="B74" s="352"/>
      <c r="C74" s="606"/>
      <c r="D74" s="607"/>
      <c r="E74" s="607"/>
      <c r="F74" s="607"/>
      <c r="G74" s="607"/>
      <c r="H74" s="353"/>
      <c r="I74" s="608"/>
      <c r="J74" s="609"/>
      <c r="K74" s="610"/>
      <c r="L74" s="611"/>
      <c r="M74" s="612"/>
      <c r="N74" s="613"/>
    </row>
    <row r="75" spans="2:14">
      <c r="B75" s="352"/>
      <c r="C75" s="606"/>
      <c r="D75" s="607"/>
      <c r="E75" s="607"/>
      <c r="F75" s="607"/>
      <c r="G75" s="607"/>
      <c r="H75" s="353"/>
      <c r="I75" s="608"/>
      <c r="J75" s="609"/>
      <c r="K75" s="610"/>
      <c r="L75" s="611"/>
      <c r="M75" s="612"/>
      <c r="N75" s="613"/>
    </row>
    <row r="76" spans="2:14">
      <c r="B76" s="352"/>
      <c r="C76" s="606"/>
      <c r="D76" s="607"/>
      <c r="E76" s="607"/>
      <c r="F76" s="607"/>
      <c r="G76" s="607"/>
      <c r="H76" s="353"/>
      <c r="I76" s="608"/>
      <c r="J76" s="609"/>
      <c r="K76" s="610"/>
      <c r="L76" s="611"/>
      <c r="M76" s="612"/>
      <c r="N76" s="613"/>
    </row>
    <row r="77" spans="2:14">
      <c r="B77" s="352"/>
      <c r="C77" s="606"/>
      <c r="D77" s="607"/>
      <c r="E77" s="607"/>
      <c r="F77" s="607"/>
      <c r="G77" s="607"/>
      <c r="H77" s="353"/>
      <c r="I77" s="608"/>
      <c r="J77" s="609"/>
      <c r="K77" s="610"/>
      <c r="L77" s="611"/>
      <c r="M77" s="612"/>
      <c r="N77" s="613"/>
    </row>
    <row r="78" spans="2:14">
      <c r="B78" s="352"/>
      <c r="C78" s="606"/>
      <c r="D78" s="607"/>
      <c r="E78" s="607"/>
      <c r="F78" s="607"/>
      <c r="G78" s="607"/>
      <c r="H78" s="353"/>
      <c r="I78" s="608"/>
      <c r="J78" s="609"/>
      <c r="K78" s="610"/>
      <c r="L78" s="611"/>
      <c r="M78" s="612"/>
      <c r="N78" s="613"/>
    </row>
    <row r="79" spans="2:14" ht="13.5" thickBot="1">
      <c r="B79" s="354"/>
      <c r="C79" s="614"/>
      <c r="D79" s="615"/>
      <c r="E79" s="615"/>
      <c r="F79" s="615"/>
      <c r="G79" s="615"/>
      <c r="H79" s="355"/>
      <c r="I79" s="616"/>
      <c r="J79" s="617"/>
      <c r="K79" s="618"/>
      <c r="L79" s="619"/>
      <c r="M79" s="620"/>
      <c r="N79" s="621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syncVertical="1" syncRef="A1" transitionEvaluation="1"/>
  <dimension ref="A1:N120"/>
  <sheetViews>
    <sheetView showGridLines="0" zoomScaleNormal="100" workbookViewId="0">
      <selection activeCell="K44" sqref="K44:M44"/>
    </sheetView>
  </sheetViews>
  <sheetFormatPr defaultColWidth="12" defaultRowHeight="15.75"/>
  <cols>
    <col min="1" max="14" width="6.7109375" style="447" customWidth="1"/>
    <col min="15" max="16384" width="12" style="447"/>
  </cols>
  <sheetData>
    <row r="1" spans="1:14" ht="17.100000000000001" customHeight="1">
      <c r="A1" s="440" t="s">
        <v>268</v>
      </c>
      <c r="B1" s="441"/>
      <c r="C1" s="441"/>
      <c r="D1" s="441"/>
      <c r="E1" s="441"/>
      <c r="F1" s="441"/>
      <c r="G1" s="441"/>
      <c r="H1" s="441"/>
      <c r="I1" s="441"/>
      <c r="J1" s="442" t="s">
        <v>602</v>
      </c>
      <c r="K1" s="443"/>
      <c r="L1" s="444" t="s">
        <v>603</v>
      </c>
      <c r="M1" s="445"/>
      <c r="N1" s="446"/>
    </row>
    <row r="2" spans="1:14" ht="17.100000000000001" customHeight="1">
      <c r="A2" s="448" t="s">
        <v>604</v>
      </c>
      <c r="B2" s="449"/>
      <c r="C2" s="449"/>
      <c r="D2" s="449"/>
      <c r="E2" s="449"/>
      <c r="F2" s="449"/>
      <c r="G2" s="449"/>
      <c r="H2" s="449"/>
      <c r="I2" s="449"/>
      <c r="J2" s="450" t="s">
        <v>605</v>
      </c>
      <c r="K2" s="451"/>
      <c r="L2" s="452" t="s">
        <v>606</v>
      </c>
      <c r="M2" s="453"/>
      <c r="N2" s="446"/>
    </row>
    <row r="3" spans="1:14" ht="15.95" customHeight="1">
      <c r="A3" s="454"/>
      <c r="B3" s="455"/>
      <c r="C3" s="455"/>
      <c r="D3" s="455"/>
      <c r="E3" s="455"/>
      <c r="F3" s="455"/>
      <c r="G3" s="455"/>
      <c r="H3" s="455"/>
      <c r="I3" s="455"/>
      <c r="J3" s="450" t="s">
        <v>607</v>
      </c>
      <c r="K3" s="451"/>
      <c r="L3" s="456" t="s">
        <v>608</v>
      </c>
      <c r="M3" s="453"/>
      <c r="N3" s="446"/>
    </row>
    <row r="4" spans="1:14" ht="15.95" customHeight="1">
      <c r="A4" s="457"/>
      <c r="B4" s="455"/>
      <c r="C4" s="455"/>
      <c r="D4" s="455"/>
      <c r="E4" s="455"/>
      <c r="F4" s="455"/>
      <c r="G4" s="455"/>
      <c r="H4" s="455"/>
      <c r="I4" s="455"/>
      <c r="J4" s="450" t="s">
        <v>609</v>
      </c>
      <c r="K4" s="451"/>
      <c r="L4" s="456" t="s">
        <v>610</v>
      </c>
      <c r="M4" s="453"/>
      <c r="N4" s="446"/>
    </row>
    <row r="5" spans="1:14" ht="15.95" customHeight="1">
      <c r="A5" s="454"/>
      <c r="B5" s="455"/>
      <c r="C5" s="455"/>
      <c r="D5" s="455"/>
      <c r="E5" s="455"/>
      <c r="F5" s="455"/>
      <c r="G5" s="455"/>
      <c r="H5" s="455"/>
      <c r="I5" s="455"/>
      <c r="J5" s="450" t="s">
        <v>611</v>
      </c>
      <c r="K5" s="451"/>
      <c r="L5" s="452">
        <v>2</v>
      </c>
      <c r="M5" s="453"/>
      <c r="N5" s="446"/>
    </row>
    <row r="6" spans="1:14" ht="15.95" customHeight="1">
      <c r="A6" s="458" t="s">
        <v>612</v>
      </c>
      <c r="B6" s="455"/>
      <c r="C6" s="455"/>
      <c r="D6" s="455"/>
      <c r="E6" s="455"/>
      <c r="F6" s="455"/>
      <c r="G6" s="455"/>
      <c r="H6" s="455"/>
      <c r="I6" s="455"/>
      <c r="J6" s="450" t="s">
        <v>613</v>
      </c>
      <c r="K6" s="451"/>
      <c r="L6" s="452" t="s">
        <v>614</v>
      </c>
      <c r="M6" s="453"/>
      <c r="N6" s="446"/>
    </row>
    <row r="7" spans="1:14" ht="15.95" customHeight="1" thickBot="1">
      <c r="A7" s="459" t="s">
        <v>615</v>
      </c>
      <c r="B7" s="460"/>
      <c r="C7" s="460"/>
      <c r="D7" s="460"/>
      <c r="E7" s="460"/>
      <c r="F7" s="460"/>
      <c r="G7" s="460"/>
      <c r="H7" s="460"/>
      <c r="I7" s="460"/>
      <c r="J7" s="461" t="s">
        <v>616</v>
      </c>
      <c r="K7" s="462"/>
      <c r="L7" s="463" t="s">
        <v>617</v>
      </c>
      <c r="M7" s="464"/>
      <c r="N7" s="446"/>
    </row>
    <row r="8" spans="1:14" ht="15.95" customHeight="1">
      <c r="A8" s="465"/>
      <c r="B8" s="455"/>
      <c r="C8" s="455"/>
      <c r="D8" s="455"/>
      <c r="E8" s="455"/>
      <c r="F8" s="455"/>
      <c r="G8" s="455"/>
      <c r="H8" s="455"/>
      <c r="I8" s="455"/>
      <c r="J8" s="455"/>
      <c r="K8" s="466"/>
      <c r="L8" s="467"/>
      <c r="M8" s="468"/>
      <c r="N8" s="455"/>
    </row>
    <row r="9" spans="1:14" ht="12" customHeight="1">
      <c r="A9" s="469"/>
      <c r="B9" s="470" t="s">
        <v>618</v>
      </c>
      <c r="C9" s="471" t="s">
        <v>708</v>
      </c>
      <c r="D9" s="472"/>
      <c r="E9" s="472"/>
      <c r="F9" s="472"/>
      <c r="G9" s="472"/>
      <c r="H9" s="472"/>
      <c r="I9" s="472"/>
      <c r="J9" s="472"/>
      <c r="K9" s="473"/>
      <c r="L9" s="469"/>
      <c r="M9" s="472"/>
      <c r="N9" s="455"/>
    </row>
    <row r="10" spans="1:14" ht="12" customHeight="1">
      <c r="A10" s="469"/>
      <c r="B10" s="470" t="s">
        <v>619</v>
      </c>
      <c r="C10" s="474" t="s">
        <v>709</v>
      </c>
      <c r="D10" s="469"/>
      <c r="E10" s="469"/>
      <c r="F10" s="469"/>
      <c r="G10" s="469"/>
      <c r="H10" s="469"/>
      <c r="I10" s="469"/>
      <c r="J10" s="469"/>
      <c r="K10" s="469"/>
      <c r="L10" s="469"/>
      <c r="M10" s="469"/>
      <c r="N10" s="467"/>
    </row>
    <row r="11" spans="1:14" ht="16.5" thickBot="1">
      <c r="A11" s="467"/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</row>
    <row r="12" spans="1:14" ht="20.100000000000001" customHeight="1" thickBot="1">
      <c r="A12" s="475" t="s">
        <v>620</v>
      </c>
      <c r="B12" s="476"/>
      <c r="C12" s="476"/>
      <c r="D12" s="476"/>
      <c r="E12" s="476"/>
      <c r="F12" s="476"/>
      <c r="G12" s="476"/>
      <c r="H12" s="476"/>
      <c r="I12" s="476"/>
      <c r="J12" s="476"/>
      <c r="K12" s="476"/>
      <c r="L12" s="476"/>
      <c r="M12" s="477"/>
      <c r="N12" s="446"/>
    </row>
    <row r="13" spans="1:14" ht="12.95" customHeight="1" thickTop="1">
      <c r="A13" s="478"/>
      <c r="B13" s="470" t="s">
        <v>621</v>
      </c>
      <c r="C13" s="479">
        <v>1000</v>
      </c>
      <c r="D13" s="469"/>
      <c r="E13" s="470" t="s">
        <v>622</v>
      </c>
      <c r="F13" s="479">
        <v>4000</v>
      </c>
      <c r="G13" s="469"/>
      <c r="H13" s="470" t="s">
        <v>623</v>
      </c>
      <c r="I13" s="479" t="s">
        <v>707</v>
      </c>
      <c r="J13" s="469"/>
      <c r="K13" s="469"/>
      <c r="L13" s="470" t="s">
        <v>624</v>
      </c>
      <c r="M13" s="480">
        <v>1800</v>
      </c>
      <c r="N13" s="446"/>
    </row>
    <row r="14" spans="1:14" ht="12.95" customHeight="1">
      <c r="A14" s="478"/>
      <c r="B14" s="470" t="s">
        <v>625</v>
      </c>
      <c r="C14" s="479" t="s">
        <v>710</v>
      </c>
      <c r="D14" s="469"/>
      <c r="E14" s="470" t="s">
        <v>626</v>
      </c>
      <c r="F14" s="481" t="s">
        <v>711</v>
      </c>
      <c r="G14" s="469"/>
      <c r="H14" s="470" t="s">
        <v>627</v>
      </c>
      <c r="I14" s="479">
        <v>125</v>
      </c>
      <c r="J14" s="469"/>
      <c r="K14" s="469"/>
      <c r="L14" s="470" t="s">
        <v>582</v>
      </c>
      <c r="M14" s="480">
        <v>1775</v>
      </c>
      <c r="N14" s="446"/>
    </row>
    <row r="15" spans="1:14" ht="12.95" customHeight="1">
      <c r="A15" s="478"/>
      <c r="B15" s="470" t="s">
        <v>628</v>
      </c>
      <c r="C15" s="479" t="s">
        <v>194</v>
      </c>
      <c r="D15" s="469"/>
      <c r="E15" s="470" t="s">
        <v>629</v>
      </c>
      <c r="F15" s="482" t="s">
        <v>712</v>
      </c>
      <c r="G15" s="469"/>
      <c r="H15" s="470" t="s">
        <v>630</v>
      </c>
      <c r="I15" s="481" t="s">
        <v>175</v>
      </c>
      <c r="J15" s="469"/>
      <c r="K15" s="469"/>
      <c r="L15" s="470" t="s">
        <v>631</v>
      </c>
      <c r="M15" s="480" t="s">
        <v>364</v>
      </c>
      <c r="N15" s="446"/>
    </row>
    <row r="16" spans="1:14" ht="12.95" customHeight="1">
      <c r="A16" s="478"/>
      <c r="B16" s="470" t="s">
        <v>632</v>
      </c>
      <c r="C16" s="479" t="s">
        <v>706</v>
      </c>
      <c r="D16" s="469"/>
      <c r="E16" s="470" t="s">
        <v>633</v>
      </c>
      <c r="F16" s="483">
        <v>40</v>
      </c>
      <c r="G16" s="469"/>
      <c r="H16" s="484" t="s">
        <v>634</v>
      </c>
      <c r="I16" s="485" t="s">
        <v>387</v>
      </c>
      <c r="J16" s="469"/>
      <c r="K16" s="469"/>
      <c r="L16" s="470" t="s">
        <v>635</v>
      </c>
      <c r="M16" s="480" t="s">
        <v>636</v>
      </c>
      <c r="N16" s="446"/>
    </row>
    <row r="17" spans="1:14" ht="12.95" customHeight="1">
      <c r="A17" s="478"/>
      <c r="B17" s="470" t="s">
        <v>637</v>
      </c>
      <c r="C17" s="471" t="s">
        <v>713</v>
      </c>
      <c r="D17" s="469"/>
      <c r="E17" s="470"/>
      <c r="F17" s="481"/>
      <c r="G17" s="469"/>
      <c r="H17" s="470" t="s">
        <v>638</v>
      </c>
      <c r="I17" s="485" t="s">
        <v>175</v>
      </c>
      <c r="J17" s="469"/>
      <c r="K17" s="469"/>
      <c r="L17" s="470"/>
      <c r="M17" s="486"/>
      <c r="N17" s="446"/>
    </row>
    <row r="18" spans="1:14" ht="12.95" customHeight="1" thickBot="1">
      <c r="A18" s="487"/>
      <c r="B18" s="488" t="s">
        <v>639</v>
      </c>
      <c r="C18" s="489" t="s">
        <v>175</v>
      </c>
      <c r="D18" s="490"/>
      <c r="E18" s="488" t="s">
        <v>640</v>
      </c>
      <c r="F18" s="489" t="s">
        <v>175</v>
      </c>
      <c r="G18" s="491"/>
      <c r="H18" s="488" t="s">
        <v>641</v>
      </c>
      <c r="I18" s="489" t="s">
        <v>175</v>
      </c>
      <c r="J18" s="490"/>
      <c r="K18" s="490"/>
      <c r="L18" s="490"/>
      <c r="M18" s="492"/>
      <c r="N18" s="446"/>
    </row>
    <row r="19" spans="1:14" ht="16.5" thickBot="1">
      <c r="A19" s="446"/>
      <c r="B19" s="446"/>
      <c r="C19" s="446"/>
      <c r="D19" s="446"/>
      <c r="E19" s="446"/>
      <c r="F19" s="446"/>
      <c r="G19" s="446"/>
      <c r="H19" s="446"/>
      <c r="I19" s="446"/>
      <c r="J19" s="446"/>
      <c r="K19" s="446"/>
      <c r="L19" s="446"/>
      <c r="M19" s="446"/>
      <c r="N19" s="446"/>
    </row>
    <row r="20" spans="1:14" ht="20.100000000000001" customHeight="1" thickBot="1">
      <c r="A20" s="475"/>
      <c r="B20" s="476"/>
      <c r="C20" s="476"/>
      <c r="D20" s="476"/>
      <c r="E20" s="476"/>
      <c r="F20" s="476"/>
      <c r="G20" s="476"/>
      <c r="H20" s="476"/>
      <c r="I20" s="476"/>
      <c r="J20" s="476"/>
      <c r="K20" s="476"/>
      <c r="L20" s="476"/>
      <c r="M20" s="477"/>
    </row>
    <row r="21" spans="1:14" ht="15.95" customHeight="1" thickTop="1">
      <c r="A21" s="493" t="s">
        <v>642</v>
      </c>
      <c r="B21" s="494"/>
      <c r="C21" s="467"/>
      <c r="D21" s="495"/>
      <c r="E21" s="496" t="s">
        <v>643</v>
      </c>
      <c r="F21" s="497"/>
      <c r="G21" s="497"/>
      <c r="H21" s="498"/>
      <c r="I21" s="499" t="s">
        <v>644</v>
      </c>
      <c r="J21" s="497"/>
      <c r="K21" s="497"/>
      <c r="L21" s="467"/>
      <c r="M21" s="500"/>
    </row>
    <row r="22" spans="1:14" ht="15.95" customHeight="1">
      <c r="A22" s="501"/>
      <c r="B22" s="469"/>
      <c r="C22" s="470" t="s">
        <v>645</v>
      </c>
      <c r="D22" s="502">
        <v>869</v>
      </c>
      <c r="E22" s="470"/>
      <c r="G22" s="484" t="s">
        <v>646</v>
      </c>
      <c r="H22" s="503">
        <v>2959</v>
      </c>
      <c r="I22" s="470"/>
      <c r="J22" s="469"/>
      <c r="K22" s="470" t="s">
        <v>647</v>
      </c>
      <c r="L22" s="469"/>
      <c r="M22" s="486"/>
    </row>
    <row r="23" spans="1:14" ht="15.95" customHeight="1">
      <c r="A23" s="501"/>
      <c r="B23" s="470"/>
      <c r="C23" s="473"/>
      <c r="D23" s="504"/>
      <c r="E23" s="470"/>
      <c r="G23" s="470" t="s">
        <v>648</v>
      </c>
      <c r="H23" s="502">
        <v>115</v>
      </c>
      <c r="I23" s="469"/>
      <c r="J23" s="469"/>
      <c r="K23" s="470" t="s">
        <v>649</v>
      </c>
      <c r="L23" s="469"/>
      <c r="M23" s="486"/>
    </row>
    <row r="24" spans="1:14" ht="15.95" customHeight="1">
      <c r="A24" s="478"/>
      <c r="B24" s="470"/>
      <c r="C24" s="469"/>
      <c r="D24" s="504"/>
      <c r="E24" s="470"/>
      <c r="G24" s="484" t="s">
        <v>650</v>
      </c>
      <c r="H24" s="502">
        <v>225</v>
      </c>
      <c r="I24" s="469"/>
      <c r="J24" s="470"/>
      <c r="K24" s="469"/>
      <c r="L24" s="469"/>
      <c r="M24" s="486"/>
    </row>
    <row r="25" spans="1:14" ht="15.95" customHeight="1" thickBot="1">
      <c r="A25" s="487"/>
      <c r="B25" s="488"/>
      <c r="C25" s="490"/>
      <c r="D25" s="505"/>
      <c r="E25" s="488"/>
      <c r="F25" s="488"/>
      <c r="G25" s="488"/>
      <c r="H25" s="506"/>
      <c r="I25" s="490"/>
      <c r="J25" s="488"/>
      <c r="K25" s="490"/>
      <c r="L25" s="490"/>
      <c r="M25" s="492"/>
    </row>
    <row r="26" spans="1:14" ht="18.95" customHeight="1" thickBot="1">
      <c r="A26" s="465"/>
      <c r="B26" s="465"/>
      <c r="C26" s="465"/>
      <c r="D26" s="446"/>
      <c r="E26" s="446"/>
      <c r="F26" s="446"/>
      <c r="G26" s="446"/>
      <c r="H26" s="446"/>
      <c r="I26" s="446"/>
      <c r="J26" s="446"/>
      <c r="K26" s="446"/>
      <c r="L26" s="446"/>
      <c r="M26" s="446"/>
      <c r="N26" s="446"/>
    </row>
    <row r="27" spans="1:14" ht="20.100000000000001" customHeight="1" thickBot="1">
      <c r="A27" s="507"/>
      <c r="B27" s="508"/>
      <c r="C27" s="508"/>
      <c r="D27" s="508"/>
      <c r="E27" s="508"/>
      <c r="F27" s="508"/>
      <c r="G27" s="509"/>
      <c r="H27" s="508"/>
      <c r="I27" s="508"/>
      <c r="J27" s="508"/>
      <c r="K27" s="508"/>
      <c r="L27" s="508"/>
      <c r="M27" s="510"/>
    </row>
    <row r="28" spans="1:14" ht="15.95" customHeight="1" thickTop="1">
      <c r="A28" s="511" t="s">
        <v>651</v>
      </c>
      <c r="B28" s="494"/>
      <c r="C28" s="467"/>
      <c r="D28" s="467"/>
      <c r="E28" s="497"/>
      <c r="F28" s="497"/>
      <c r="G28" s="512"/>
      <c r="H28" s="496" t="s">
        <v>652</v>
      </c>
      <c r="I28" s="497"/>
      <c r="J28" s="497"/>
      <c r="K28" s="496"/>
      <c r="L28" s="497"/>
      <c r="M28" s="500"/>
    </row>
    <row r="29" spans="1:14" ht="15.95" customHeight="1">
      <c r="A29" s="478"/>
      <c r="B29" s="470"/>
      <c r="C29" s="470" t="s">
        <v>653</v>
      </c>
      <c r="D29" s="513">
        <v>95.5</v>
      </c>
      <c r="E29" s="470"/>
      <c r="F29" s="470"/>
      <c r="G29" s="512"/>
      <c r="H29" s="484"/>
      <c r="I29" s="470"/>
      <c r="J29" s="470" t="s">
        <v>653</v>
      </c>
      <c r="K29" s="513">
        <v>90</v>
      </c>
      <c r="L29" s="469"/>
      <c r="M29" s="486"/>
    </row>
    <row r="30" spans="1:14" ht="15.95" customHeight="1">
      <c r="A30" s="514"/>
      <c r="B30" s="469"/>
      <c r="C30" s="470" t="s">
        <v>654</v>
      </c>
      <c r="D30" s="513">
        <v>95.6</v>
      </c>
      <c r="E30" s="470"/>
      <c r="F30" s="470"/>
      <c r="G30" s="512"/>
      <c r="H30" s="470"/>
      <c r="I30" s="469"/>
      <c r="J30" s="470" t="s">
        <v>654</v>
      </c>
      <c r="K30" s="513">
        <v>87.8</v>
      </c>
      <c r="L30" s="469"/>
      <c r="M30" s="486"/>
    </row>
    <row r="31" spans="1:14" ht="15.95" customHeight="1">
      <c r="A31" s="478"/>
      <c r="B31" s="470"/>
      <c r="C31" s="470" t="s">
        <v>655</v>
      </c>
      <c r="D31" s="513">
        <v>95.2</v>
      </c>
      <c r="E31" s="470"/>
      <c r="F31" s="470"/>
      <c r="G31" s="512"/>
      <c r="H31" s="470"/>
      <c r="I31" s="469"/>
      <c r="J31" s="470" t="s">
        <v>655</v>
      </c>
      <c r="K31" s="513">
        <v>81.599999999999994</v>
      </c>
      <c r="L31" s="470"/>
      <c r="M31" s="486"/>
    </row>
    <row r="32" spans="1:14" ht="15.95" customHeight="1" thickBot="1">
      <c r="A32" s="487"/>
      <c r="B32" s="488"/>
      <c r="C32" s="490"/>
      <c r="D32" s="490"/>
      <c r="E32" s="488"/>
      <c r="F32" s="488"/>
      <c r="G32" s="515"/>
      <c r="H32" s="488"/>
      <c r="I32" s="490"/>
      <c r="J32" s="488"/>
      <c r="K32" s="490"/>
      <c r="L32" s="488"/>
      <c r="M32" s="492"/>
    </row>
    <row r="33" spans="1:14" ht="20.100000000000001" customHeight="1" thickBot="1">
      <c r="A33" s="516"/>
      <c r="B33" s="516"/>
      <c r="C33" s="516"/>
      <c r="D33" s="516"/>
      <c r="E33" s="516"/>
      <c r="F33" s="516"/>
      <c r="G33" s="516"/>
      <c r="H33" s="516"/>
      <c r="I33" s="516"/>
      <c r="J33" s="516"/>
      <c r="K33" s="516"/>
      <c r="L33" s="516"/>
      <c r="M33" s="516"/>
      <c r="N33" s="516"/>
    </row>
    <row r="34" spans="1:14" ht="20.100000000000001" customHeight="1" thickBot="1">
      <c r="A34" s="517"/>
      <c r="B34" s="518"/>
      <c r="C34" s="518"/>
      <c r="D34" s="518"/>
      <c r="E34" s="518"/>
      <c r="F34" s="518"/>
      <c r="G34" s="518"/>
      <c r="H34" s="518"/>
      <c r="I34" s="518"/>
      <c r="J34" s="518"/>
      <c r="K34" s="518"/>
      <c r="L34" s="518"/>
      <c r="M34" s="519"/>
    </row>
    <row r="35" spans="1:14" ht="15.95" customHeight="1" thickTop="1">
      <c r="A35" s="520" t="s">
        <v>656</v>
      </c>
      <c r="B35" s="473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521"/>
    </row>
    <row r="36" spans="1:14" ht="15.95" customHeight="1">
      <c r="A36" s="514" t="s">
        <v>657</v>
      </c>
      <c r="B36" s="473"/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521"/>
    </row>
    <row r="37" spans="1:14" ht="15.95" customHeight="1">
      <c r="A37" s="522" t="s">
        <v>658</v>
      </c>
      <c r="B37" s="473"/>
      <c r="C37" s="473"/>
      <c r="D37" s="473"/>
      <c r="E37" s="523"/>
      <c r="F37" s="473"/>
      <c r="G37" s="473"/>
      <c r="H37" s="473"/>
      <c r="I37" s="473"/>
      <c r="J37" s="473"/>
      <c r="K37" s="473"/>
      <c r="L37" s="473"/>
      <c r="M37" s="521"/>
    </row>
    <row r="38" spans="1:14" ht="15.95" customHeight="1">
      <c r="A38" s="524" t="s">
        <v>659</v>
      </c>
      <c r="B38" s="473"/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521"/>
    </row>
    <row r="39" spans="1:14" ht="15.95" customHeight="1">
      <c r="A39" s="525" t="s">
        <v>660</v>
      </c>
      <c r="B39" s="473"/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521"/>
    </row>
    <row r="40" spans="1:14" ht="15.95" customHeight="1" thickBot="1">
      <c r="A40" s="526" t="s">
        <v>661</v>
      </c>
      <c r="B40" s="527"/>
      <c r="C40" s="527"/>
      <c r="D40" s="527"/>
      <c r="E40" s="527"/>
      <c r="F40" s="527"/>
      <c r="G40" s="527"/>
      <c r="H40" s="527"/>
      <c r="I40" s="527"/>
      <c r="J40" s="527"/>
      <c r="K40" s="527"/>
      <c r="L40" s="527"/>
      <c r="M40" s="528"/>
    </row>
    <row r="41" spans="1:14" ht="15.95" customHeight="1"/>
    <row r="42" spans="1:14" ht="18">
      <c r="A42" s="529"/>
      <c r="B42" s="529"/>
      <c r="C42" s="529"/>
      <c r="D42" s="529"/>
      <c r="E42" s="529"/>
      <c r="F42" s="529"/>
      <c r="G42" s="529"/>
      <c r="H42" s="446"/>
      <c r="I42" s="446"/>
      <c r="J42" s="530" t="s">
        <v>662</v>
      </c>
      <c r="K42" s="637" t="s">
        <v>351</v>
      </c>
      <c r="L42" s="637"/>
      <c r="M42" s="637"/>
      <c r="N42" s="529"/>
    </row>
    <row r="43" spans="1:14" ht="7.5" customHeight="1">
      <c r="H43" s="446"/>
      <c r="I43" s="446"/>
      <c r="J43" s="446"/>
      <c r="K43" s="446"/>
      <c r="L43" s="446"/>
      <c r="M43" s="446"/>
    </row>
    <row r="44" spans="1:14" ht="16.5">
      <c r="H44" s="446"/>
      <c r="I44" s="446"/>
      <c r="J44" s="530" t="s">
        <v>663</v>
      </c>
      <c r="K44" s="638">
        <v>45133</v>
      </c>
      <c r="L44" s="638"/>
      <c r="M44" s="638"/>
    </row>
    <row r="59" spans="1:5">
      <c r="A59" s="447" t="s">
        <v>175</v>
      </c>
      <c r="B59" s="447" t="s">
        <v>664</v>
      </c>
      <c r="D59" s="447">
        <v>1</v>
      </c>
      <c r="E59" s="531" t="s">
        <v>175</v>
      </c>
    </row>
    <row r="60" spans="1:5">
      <c r="A60" s="447" t="s">
        <v>665</v>
      </c>
      <c r="B60" s="447" t="s">
        <v>666</v>
      </c>
      <c r="D60" s="447">
        <v>1.1499999999999999</v>
      </c>
      <c r="E60" s="531" t="s">
        <v>184</v>
      </c>
    </row>
    <row r="61" spans="1:5">
      <c r="A61" s="447" t="s">
        <v>667</v>
      </c>
      <c r="B61" s="447" t="s">
        <v>668</v>
      </c>
      <c r="E61" s="531" t="s">
        <v>669</v>
      </c>
    </row>
    <row r="62" spans="1:5">
      <c r="B62" s="447" t="s">
        <v>670</v>
      </c>
    </row>
    <row r="63" spans="1:5">
      <c r="B63" s="447" t="s">
        <v>671</v>
      </c>
    </row>
    <row r="64" spans="1:5">
      <c r="B64" s="447" t="s">
        <v>672</v>
      </c>
    </row>
    <row r="65" spans="2:2">
      <c r="B65" s="447" t="s">
        <v>673</v>
      </c>
    </row>
    <row r="66" spans="2:2">
      <c r="B66" s="447" t="s">
        <v>674</v>
      </c>
    </row>
    <row r="67" spans="2:2">
      <c r="B67" s="447" t="s">
        <v>675</v>
      </c>
    </row>
    <row r="68" spans="2:2">
      <c r="B68" s="447" t="s">
        <v>676</v>
      </c>
    </row>
    <row r="69" spans="2:2">
      <c r="B69" s="447" t="s">
        <v>677</v>
      </c>
    </row>
    <row r="70" spans="2:2">
      <c r="B70" s="447" t="s">
        <v>678</v>
      </c>
    </row>
    <row r="71" spans="2:2">
      <c r="B71" s="447" t="s">
        <v>679</v>
      </c>
    </row>
    <row r="72" spans="2:2">
      <c r="B72" s="447" t="s">
        <v>680</v>
      </c>
    </row>
    <row r="73" spans="2:2">
      <c r="B73" s="447" t="s">
        <v>681</v>
      </c>
    </row>
    <row r="74" spans="2:2">
      <c r="B74" s="447" t="s">
        <v>682</v>
      </c>
    </row>
    <row r="75" spans="2:2">
      <c r="B75" s="447" t="s">
        <v>683</v>
      </c>
    </row>
    <row r="76" spans="2:2">
      <c r="B76" s="447" t="s">
        <v>684</v>
      </c>
    </row>
    <row r="77" spans="2:2">
      <c r="B77" s="447" t="s">
        <v>685</v>
      </c>
    </row>
    <row r="78" spans="2:2">
      <c r="B78" s="447" t="s">
        <v>686</v>
      </c>
    </row>
    <row r="79" spans="2:2">
      <c r="B79" s="447" t="s">
        <v>687</v>
      </c>
    </row>
    <row r="80" spans="2:2">
      <c r="B80" s="447">
        <v>6312</v>
      </c>
    </row>
    <row r="81" spans="2:2">
      <c r="B81" s="447" t="s">
        <v>688</v>
      </c>
    </row>
    <row r="82" spans="2:2">
      <c r="B82" s="447" t="s">
        <v>689</v>
      </c>
    </row>
    <row r="83" spans="2:2">
      <c r="B83" s="447" t="s">
        <v>690</v>
      </c>
    </row>
    <row r="84" spans="2:2">
      <c r="B84" s="447" t="s">
        <v>691</v>
      </c>
    </row>
    <row r="85" spans="2:2">
      <c r="B85" s="447">
        <v>6313</v>
      </c>
    </row>
    <row r="86" spans="2:2">
      <c r="B86" s="447" t="s">
        <v>692</v>
      </c>
    </row>
    <row r="87" spans="2:2">
      <c r="B87" s="447" t="s">
        <v>693</v>
      </c>
    </row>
    <row r="88" spans="2:2">
      <c r="B88" s="447" t="s">
        <v>694</v>
      </c>
    </row>
    <row r="89" spans="2:2">
      <c r="B89" s="447">
        <v>6314</v>
      </c>
    </row>
    <row r="90" spans="2:2">
      <c r="B90" s="447" t="s">
        <v>695</v>
      </c>
    </row>
    <row r="91" spans="2:2">
      <c r="B91" s="447">
        <v>6317</v>
      </c>
    </row>
    <row r="92" spans="2:2">
      <c r="B92" s="447" t="s">
        <v>696</v>
      </c>
    </row>
    <row r="93" spans="2:2">
      <c r="B93" s="447">
        <v>6318</v>
      </c>
    </row>
    <row r="94" spans="2:2">
      <c r="B94" s="447" t="s">
        <v>697</v>
      </c>
    </row>
    <row r="95" spans="2:2">
      <c r="B95" s="447" t="s">
        <v>698</v>
      </c>
    </row>
    <row r="96" spans="2:2">
      <c r="B96" s="447" t="s">
        <v>699</v>
      </c>
    </row>
    <row r="97" spans="2:2">
      <c r="B97" s="447">
        <v>6320</v>
      </c>
    </row>
    <row r="98" spans="2:2">
      <c r="B98" s="447" t="s">
        <v>700</v>
      </c>
    </row>
    <row r="99" spans="2:2">
      <c r="B99" s="447" t="s">
        <v>701</v>
      </c>
    </row>
    <row r="100" spans="2:2">
      <c r="B100" s="447" t="s">
        <v>702</v>
      </c>
    </row>
    <row r="101" spans="2:2">
      <c r="B101" s="447" t="s">
        <v>703</v>
      </c>
    </row>
    <row r="102" spans="2:2">
      <c r="B102" s="447" t="s">
        <v>703</v>
      </c>
    </row>
    <row r="118" spans="2:2">
      <c r="B118" s="447" t="s">
        <v>704</v>
      </c>
    </row>
    <row r="120" spans="2:2">
      <c r="B120" s="447" t="s">
        <v>705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67"/>
  <sheetViews>
    <sheetView workbookViewId="0">
      <selection activeCell="A6" sqref="A6:F15"/>
    </sheetView>
  </sheetViews>
  <sheetFormatPr defaultColWidth="8.85546875" defaultRowHeight="12.75"/>
  <cols>
    <col min="1" max="6" width="16.7109375" style="380" customWidth="1"/>
    <col min="7" max="16384" width="8.85546875" style="380"/>
  </cols>
  <sheetData>
    <row r="1" spans="1:6" ht="18.95" customHeight="1">
      <c r="A1" s="392"/>
      <c r="B1" s="393"/>
      <c r="C1" s="393"/>
      <c r="D1" s="393"/>
      <c r="E1" s="393"/>
      <c r="F1" s="394"/>
    </row>
    <row r="2" spans="1:6" ht="26.1" customHeight="1">
      <c r="A2" s="395" t="s">
        <v>268</v>
      </c>
      <c r="B2" s="396"/>
      <c r="C2" s="396"/>
      <c r="D2" s="396"/>
      <c r="E2" s="396"/>
      <c r="F2" s="397"/>
    </row>
    <row r="3" spans="1:6" ht="18.95" customHeight="1">
      <c r="A3" s="419" t="s">
        <v>601</v>
      </c>
      <c r="B3" s="396"/>
      <c r="C3" s="396"/>
      <c r="D3" s="396"/>
      <c r="E3" s="396"/>
      <c r="F3" s="397"/>
    </row>
    <row r="4" spans="1:6" ht="18.95" customHeight="1">
      <c r="A4" s="398"/>
      <c r="B4" s="399"/>
      <c r="C4" s="399"/>
      <c r="D4" s="399"/>
      <c r="E4" s="399"/>
      <c r="F4" s="400"/>
    </row>
    <row r="5" spans="1:6" ht="18.95" customHeight="1">
      <c r="A5" s="398"/>
      <c r="B5" s="399"/>
      <c r="C5" s="399"/>
      <c r="D5" s="399"/>
      <c r="E5" s="399"/>
      <c r="F5" s="400"/>
    </row>
    <row r="6" spans="1:6" ht="18.95" customHeight="1">
      <c r="A6" s="401" t="s">
        <v>571</v>
      </c>
      <c r="B6" s="639" t="str">
        <f>'Performance Data Sheet'!C17</f>
        <v>WT-10133466</v>
      </c>
      <c r="C6" s="640"/>
      <c r="D6" s="641"/>
      <c r="E6" s="401" t="s">
        <v>572</v>
      </c>
      <c r="F6" s="402" t="str">
        <f>'Performance Data Sheet'!I14 &amp; " A"</f>
        <v>125 A</v>
      </c>
    </row>
    <row r="7" spans="1:6" ht="18.95" customHeight="1">
      <c r="A7" s="401" t="s">
        <v>573</v>
      </c>
      <c r="B7" s="402" t="str">
        <f>'Performance Data Sheet'!F14</f>
        <v>WP-II</v>
      </c>
      <c r="C7" s="401" t="s">
        <v>574</v>
      </c>
      <c r="D7" s="402" t="str">
        <f>'Performance Data Sheet'!F13 &amp; " V"</f>
        <v>4000 V</v>
      </c>
      <c r="E7" s="401" t="s">
        <v>575</v>
      </c>
      <c r="F7" s="402" t="str">
        <f>'Performance Data Sheet'!C14</f>
        <v>5812UZ</v>
      </c>
    </row>
    <row r="8" spans="1:6" ht="18.95" customHeight="1">
      <c r="A8" s="401" t="s">
        <v>576</v>
      </c>
      <c r="B8" s="402">
        <v>4</v>
      </c>
      <c r="C8" s="401" t="s">
        <v>577</v>
      </c>
      <c r="D8" s="402" t="s">
        <v>578</v>
      </c>
      <c r="E8" s="401" t="s">
        <v>579</v>
      </c>
      <c r="F8" s="402" t="s">
        <v>364</v>
      </c>
    </row>
    <row r="9" spans="1:6" ht="18.95" customHeight="1">
      <c r="A9" s="401" t="s">
        <v>580</v>
      </c>
      <c r="B9" s="402">
        <v>1000</v>
      </c>
      <c r="C9" s="401" t="s">
        <v>581</v>
      </c>
      <c r="D9" s="402" t="s">
        <v>591</v>
      </c>
      <c r="E9" s="401" t="s">
        <v>2</v>
      </c>
      <c r="F9" s="403">
        <f>'Performance Data Sheet'!K44</f>
        <v>45133</v>
      </c>
    </row>
    <row r="10" spans="1:6" ht="18.95" customHeight="1">
      <c r="A10" s="401" t="s">
        <v>582</v>
      </c>
      <c r="B10" s="402">
        <v>1775</v>
      </c>
      <c r="C10" s="401" t="s">
        <v>402</v>
      </c>
      <c r="D10" s="402" t="s">
        <v>592</v>
      </c>
      <c r="E10" s="401" t="s">
        <v>1</v>
      </c>
      <c r="F10" s="402" t="s">
        <v>380</v>
      </c>
    </row>
    <row r="11" spans="1:6" ht="18.95" customHeight="1">
      <c r="A11" s="398"/>
      <c r="B11" s="399"/>
      <c r="C11" s="399"/>
      <c r="D11" s="399"/>
      <c r="E11" s="399"/>
      <c r="F11" s="400"/>
    </row>
    <row r="12" spans="1:6" ht="18.95" customHeight="1">
      <c r="A12" s="398"/>
      <c r="B12" s="404" t="s">
        <v>594</v>
      </c>
      <c r="C12" s="405" t="str">
        <f>'Performance Data Sheet'!D22 &amp; " A"</f>
        <v>869 A</v>
      </c>
      <c r="D12" s="404" t="s">
        <v>401</v>
      </c>
      <c r="E12" s="405" t="s">
        <v>405</v>
      </c>
      <c r="F12" s="400"/>
    </row>
    <row r="13" spans="1:6" ht="18.95" customHeight="1">
      <c r="A13" s="398"/>
      <c r="B13" s="404" t="s">
        <v>595</v>
      </c>
      <c r="C13" s="406">
        <v>1.1499999999999999</v>
      </c>
      <c r="D13" s="404" t="s">
        <v>596</v>
      </c>
      <c r="E13" s="405" t="s">
        <v>599</v>
      </c>
      <c r="F13" s="400"/>
    </row>
    <row r="14" spans="1:6" ht="18.95" customHeight="1">
      <c r="A14" s="398"/>
      <c r="B14" s="404" t="s">
        <v>597</v>
      </c>
      <c r="C14" s="406">
        <v>2.25</v>
      </c>
      <c r="D14" s="404" t="s">
        <v>403</v>
      </c>
      <c r="E14" s="405" t="s">
        <v>714</v>
      </c>
      <c r="F14" s="400"/>
    </row>
    <row r="15" spans="1:6" ht="18.95" customHeight="1">
      <c r="A15" s="398"/>
      <c r="B15" s="404" t="s">
        <v>404</v>
      </c>
      <c r="C15" s="405" t="s">
        <v>600</v>
      </c>
      <c r="D15" s="399"/>
      <c r="E15" s="399"/>
      <c r="F15" s="400"/>
    </row>
    <row r="16" spans="1:6" ht="18.95" customHeight="1">
      <c r="A16" s="398"/>
      <c r="B16" s="399"/>
      <c r="C16" s="399"/>
      <c r="D16" s="399"/>
      <c r="E16" s="399"/>
      <c r="F16" s="400"/>
    </row>
    <row r="17" spans="1:6" ht="18.95" customHeight="1">
      <c r="A17" s="398"/>
      <c r="B17" s="399"/>
      <c r="C17" s="399"/>
      <c r="D17" s="399"/>
      <c r="E17" s="399"/>
      <c r="F17" s="400"/>
    </row>
    <row r="18" spans="1:6" ht="18.95" customHeight="1">
      <c r="A18" s="398"/>
      <c r="B18" s="399"/>
      <c r="C18" s="399"/>
      <c r="D18" s="399"/>
      <c r="E18" s="399"/>
      <c r="F18" s="400"/>
    </row>
    <row r="19" spans="1:6" ht="18.95" customHeight="1">
      <c r="A19" s="398"/>
      <c r="B19" s="399"/>
      <c r="C19" s="399"/>
      <c r="D19" s="399"/>
      <c r="E19" s="399"/>
      <c r="F19" s="400"/>
    </row>
    <row r="20" spans="1:6" ht="18.95" customHeight="1">
      <c r="A20" s="398"/>
      <c r="B20" s="399"/>
      <c r="C20" s="399"/>
      <c r="D20" s="399"/>
      <c r="E20" s="399"/>
      <c r="F20" s="400"/>
    </row>
    <row r="21" spans="1:6" ht="18.95" customHeight="1">
      <c r="A21" s="398"/>
      <c r="B21" s="399"/>
      <c r="C21" s="399"/>
      <c r="D21" s="399"/>
      <c r="E21" s="399"/>
      <c r="F21" s="400"/>
    </row>
    <row r="22" spans="1:6" ht="18.95" customHeight="1">
      <c r="A22" s="398"/>
      <c r="B22" s="399"/>
      <c r="C22" s="399"/>
      <c r="D22" s="399"/>
      <c r="E22" s="399"/>
      <c r="F22" s="400"/>
    </row>
    <row r="23" spans="1:6" ht="18.95" customHeight="1">
      <c r="A23" s="398"/>
      <c r="B23" s="399"/>
      <c r="C23" s="399"/>
      <c r="D23" s="399"/>
      <c r="E23" s="399"/>
      <c r="F23" s="400"/>
    </row>
    <row r="24" spans="1:6" ht="18.95" customHeight="1">
      <c r="A24" s="398"/>
      <c r="B24" s="399"/>
      <c r="C24" s="399"/>
      <c r="D24" s="399"/>
      <c r="E24" s="399"/>
      <c r="F24" s="400"/>
    </row>
    <row r="25" spans="1:6" ht="18.95" customHeight="1">
      <c r="A25" s="398"/>
      <c r="B25" s="399"/>
      <c r="C25" s="399"/>
      <c r="D25" s="399"/>
      <c r="E25" s="399"/>
      <c r="F25" s="400"/>
    </row>
    <row r="26" spans="1:6" ht="18.95" customHeight="1">
      <c r="A26" s="398"/>
      <c r="B26" s="399"/>
      <c r="C26" s="399"/>
      <c r="D26" s="399"/>
      <c r="E26" s="399"/>
      <c r="F26" s="400"/>
    </row>
    <row r="27" spans="1:6" ht="18.95" customHeight="1">
      <c r="A27" s="398"/>
      <c r="B27" s="399"/>
      <c r="C27" s="399"/>
      <c r="D27" s="399"/>
      <c r="E27" s="399"/>
      <c r="F27" s="400"/>
    </row>
    <row r="28" spans="1:6" ht="18.95" customHeight="1">
      <c r="A28" s="398"/>
      <c r="B28" s="399"/>
      <c r="C28" s="399"/>
      <c r="D28" s="399"/>
      <c r="E28" s="399"/>
      <c r="F28" s="400"/>
    </row>
    <row r="29" spans="1:6" ht="18.95" customHeight="1">
      <c r="A29" s="398"/>
      <c r="B29" s="399"/>
      <c r="C29" s="399"/>
      <c r="D29" s="399"/>
      <c r="E29" s="399"/>
      <c r="F29" s="400"/>
    </row>
    <row r="30" spans="1:6" ht="18.95" customHeight="1">
      <c r="A30" s="398"/>
      <c r="B30" s="399"/>
      <c r="C30" s="399"/>
      <c r="D30" s="399"/>
      <c r="E30" s="399"/>
      <c r="F30" s="400"/>
    </row>
    <row r="31" spans="1:6" ht="18.95" customHeight="1">
      <c r="A31" s="398"/>
      <c r="B31" s="399"/>
      <c r="C31" s="399"/>
      <c r="D31" s="399"/>
      <c r="E31" s="399"/>
      <c r="F31" s="400"/>
    </row>
    <row r="32" spans="1:6" ht="18.95" customHeight="1">
      <c r="A32" s="398"/>
      <c r="B32" s="399"/>
      <c r="C32" s="399"/>
      <c r="D32" s="399"/>
      <c r="E32" s="399"/>
      <c r="F32" s="400"/>
    </row>
    <row r="33" spans="1:6" ht="18.95" customHeight="1">
      <c r="A33" s="398"/>
      <c r="B33" s="399"/>
      <c r="C33" s="399"/>
      <c r="D33" s="399"/>
      <c r="E33" s="399"/>
      <c r="F33" s="400"/>
    </row>
    <row r="34" spans="1:6" ht="18.95" customHeight="1">
      <c r="A34" s="398"/>
      <c r="B34" s="399"/>
      <c r="C34" s="399"/>
      <c r="D34" s="399"/>
      <c r="E34" s="399"/>
      <c r="F34" s="400"/>
    </row>
    <row r="35" spans="1:6" ht="18.95" customHeight="1">
      <c r="A35" s="398"/>
      <c r="B35" s="399"/>
      <c r="C35" s="399"/>
      <c r="D35" s="399"/>
      <c r="E35" s="399"/>
      <c r="F35" s="400"/>
    </row>
    <row r="36" spans="1:6" ht="18.95" customHeight="1">
      <c r="A36" s="398"/>
      <c r="B36" s="399"/>
      <c r="C36" s="399"/>
      <c r="D36" s="399"/>
      <c r="E36" s="399"/>
      <c r="F36" s="400"/>
    </row>
    <row r="37" spans="1:6" ht="18.95" customHeight="1">
      <c r="A37" s="398"/>
      <c r="B37" s="399"/>
      <c r="C37" s="399"/>
      <c r="D37" s="399"/>
      <c r="E37" s="399"/>
      <c r="F37" s="400"/>
    </row>
    <row r="38" spans="1:6" ht="18.95" customHeight="1">
      <c r="A38" s="398"/>
      <c r="B38" s="399"/>
      <c r="C38" s="399"/>
      <c r="D38" s="399"/>
      <c r="E38" s="399"/>
      <c r="F38" s="400"/>
    </row>
    <row r="39" spans="1:6" ht="18.95" customHeight="1">
      <c r="A39" s="407" t="s">
        <v>583</v>
      </c>
      <c r="B39" s="408" t="s">
        <v>371</v>
      </c>
      <c r="C39" s="532" t="str">
        <f>'Performance Data Sheet'!C10</f>
        <v>2300258.1</v>
      </c>
      <c r="D39" s="399"/>
      <c r="E39" s="404" t="s">
        <v>584</v>
      </c>
      <c r="F39" s="409" t="str">
        <f>F10</f>
        <v>1T4M20U</v>
      </c>
    </row>
    <row r="40" spans="1:6" ht="18.95" customHeight="1">
      <c r="A40" s="398"/>
      <c r="B40" s="408"/>
      <c r="C40" s="408"/>
      <c r="D40" s="399"/>
      <c r="E40" s="399"/>
      <c r="F40" s="400"/>
    </row>
    <row r="41" spans="1:6" ht="18.95" customHeight="1">
      <c r="A41" s="398"/>
      <c r="B41" s="408"/>
      <c r="C41" s="408"/>
      <c r="D41" s="399"/>
      <c r="E41" s="399"/>
      <c r="F41" s="400"/>
    </row>
    <row r="42" spans="1:6" ht="18.95" customHeight="1">
      <c r="A42" s="398"/>
      <c r="B42" s="399"/>
      <c r="C42" s="399"/>
      <c r="D42" s="399"/>
      <c r="E42" s="399"/>
      <c r="F42" s="400"/>
    </row>
    <row r="43" spans="1:6" ht="18.95" customHeight="1">
      <c r="A43" s="410"/>
      <c r="B43" s="408"/>
      <c r="C43" s="411" t="s">
        <v>585</v>
      </c>
      <c r="D43" s="412" t="str">
        <f>'Performance Data Sheet'!K42</f>
        <v>Jerry R</v>
      </c>
      <c r="E43" s="411" t="s">
        <v>586</v>
      </c>
      <c r="F43" s="41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370" t="s">
        <v>400</v>
      </c>
      <c r="E53" s="370"/>
      <c r="F53" s="370"/>
      <c r="G53" s="370"/>
      <c r="H53" s="370"/>
      <c r="I53" s="370"/>
      <c r="J53" s="370"/>
      <c r="K53" s="370"/>
      <c r="L53" s="370"/>
    </row>
    <row r="54" spans="1:12" ht="15" customHeight="1">
      <c r="A54" s="438">
        <v>100</v>
      </c>
      <c r="B54" s="370">
        <v>0</v>
      </c>
      <c r="C54" s="370">
        <v>0.26881510019302368</v>
      </c>
      <c r="D54" s="370">
        <v>28.899999618530273</v>
      </c>
      <c r="E54" s="370"/>
      <c r="F54" s="370"/>
      <c r="G54" s="370"/>
      <c r="H54" s="370"/>
      <c r="I54" s="370"/>
      <c r="J54" s="370"/>
      <c r="K54" s="370"/>
      <c r="L54" s="370"/>
    </row>
    <row r="55" spans="1:12" ht="15" customHeight="1">
      <c r="A55" s="438">
        <v>99.600000027567148</v>
      </c>
      <c r="B55" s="370">
        <v>60.371318353912159</v>
      </c>
      <c r="C55" s="370">
        <v>89.609397888183594</v>
      </c>
      <c r="D55" s="370">
        <v>28.379999160766602</v>
      </c>
      <c r="E55" s="370"/>
      <c r="F55" s="370"/>
      <c r="G55" s="370"/>
      <c r="H55" s="370"/>
      <c r="I55" s="370"/>
      <c r="J55" s="370"/>
      <c r="K55" s="370"/>
      <c r="L55" s="370"/>
    </row>
    <row r="56" spans="1:12" ht="15" customHeight="1">
      <c r="A56" s="438">
        <v>98.000000044703484</v>
      </c>
      <c r="B56" s="370">
        <v>209.03159376007639</v>
      </c>
      <c r="C56" s="370">
        <v>349.62515258789063</v>
      </c>
      <c r="D56" s="370">
        <v>27</v>
      </c>
      <c r="E56" s="370"/>
      <c r="F56" s="370"/>
      <c r="G56" s="370"/>
      <c r="H56" s="370"/>
      <c r="I56" s="370"/>
      <c r="J56" s="370"/>
      <c r="K56" s="370"/>
      <c r="L56" s="370"/>
    </row>
    <row r="57" spans="1:12">
      <c r="A57" s="438">
        <v>96.000000089406967</v>
      </c>
      <c r="B57" s="370">
        <v>225</v>
      </c>
      <c r="C57" s="370">
        <v>507.49041748046875</v>
      </c>
      <c r="D57" s="370">
        <v>25.80000114440918</v>
      </c>
      <c r="E57" s="370"/>
      <c r="F57" s="370"/>
      <c r="G57" s="370"/>
      <c r="H57" s="370"/>
      <c r="I57" s="370"/>
      <c r="J57" s="370"/>
      <c r="K57" s="370"/>
      <c r="L57" s="370"/>
    </row>
    <row r="58" spans="1:12">
      <c r="A58" s="438">
        <v>89.999999850988388</v>
      </c>
      <c r="B58" s="370">
        <v>143.09333841952954</v>
      </c>
      <c r="C58" s="370">
        <v>573.37628173828125</v>
      </c>
      <c r="D58" s="370">
        <v>24.200000762939453</v>
      </c>
      <c r="E58" s="370"/>
      <c r="F58" s="370"/>
      <c r="G58" s="370"/>
      <c r="H58" s="370"/>
      <c r="I58" s="370"/>
      <c r="J58" s="370"/>
      <c r="K58" s="370"/>
      <c r="L58" s="370"/>
    </row>
    <row r="59" spans="1:12">
      <c r="A59" s="438">
        <v>84.000000357627869</v>
      </c>
      <c r="B59" s="370">
        <v>112.52866919609549</v>
      </c>
      <c r="C59" s="370">
        <v>605.194580078125</v>
      </c>
      <c r="D59" s="370">
        <v>21.319999694824219</v>
      </c>
      <c r="E59" s="370"/>
      <c r="F59" s="370"/>
      <c r="G59" s="370"/>
      <c r="H59" s="370"/>
      <c r="I59" s="370"/>
      <c r="J59" s="370"/>
      <c r="K59" s="370"/>
      <c r="L59" s="370"/>
    </row>
    <row r="60" spans="1:12">
      <c r="A60" s="438">
        <v>71.99999988079071</v>
      </c>
      <c r="B60" s="370">
        <v>89.650812206665449</v>
      </c>
      <c r="C60" s="370">
        <v>635.27423095703125</v>
      </c>
      <c r="D60" s="370">
        <v>16.600000381469727</v>
      </c>
      <c r="E60" s="370"/>
      <c r="F60" s="370"/>
      <c r="G60" s="370"/>
      <c r="H60" s="370"/>
      <c r="I60" s="370"/>
      <c r="J60" s="370"/>
      <c r="K60" s="370"/>
      <c r="L60" s="370"/>
    </row>
    <row r="61" spans="1:12">
      <c r="A61" s="438">
        <v>59.999999403953552</v>
      </c>
      <c r="B61" s="370">
        <v>80.5</v>
      </c>
      <c r="C61" s="370">
        <v>650.76763916015625</v>
      </c>
      <c r="D61" s="370">
        <v>12.100000381469727</v>
      </c>
      <c r="E61" s="370"/>
      <c r="F61" s="370"/>
      <c r="G61" s="370"/>
      <c r="H61" s="370"/>
      <c r="I61" s="370"/>
      <c r="J61" s="370"/>
      <c r="K61" s="370"/>
      <c r="L61" s="370"/>
    </row>
    <row r="62" spans="1:12">
      <c r="A62" s="438">
        <v>50</v>
      </c>
      <c r="B62" s="370">
        <v>81.211249951172249</v>
      </c>
      <c r="C62" s="370">
        <v>661.60260009765625</v>
      </c>
      <c r="D62" s="370">
        <v>8.8999996185302734</v>
      </c>
      <c r="E62" s="370"/>
      <c r="F62" s="370"/>
      <c r="G62" s="370"/>
      <c r="H62" s="370"/>
      <c r="I62" s="370"/>
      <c r="J62" s="370"/>
      <c r="K62" s="370"/>
      <c r="L62" s="370"/>
    </row>
    <row r="63" spans="1:12">
      <c r="A63" s="438">
        <v>39.999997615814209</v>
      </c>
      <c r="B63" s="370">
        <v>83.002054111113438</v>
      </c>
      <c r="C63" s="370">
        <v>670.44061279296875</v>
      </c>
      <c r="D63" s="370">
        <v>6.1999993324279785</v>
      </c>
      <c r="E63" s="370"/>
      <c r="F63" s="370"/>
      <c r="G63" s="370"/>
      <c r="H63" s="370"/>
      <c r="I63" s="370"/>
      <c r="J63" s="370"/>
      <c r="K63" s="370"/>
      <c r="L63" s="370"/>
    </row>
    <row r="64" spans="1:12">
      <c r="A64" s="438">
        <v>30.000001192092896</v>
      </c>
      <c r="B64" s="370">
        <v>86.333861966225157</v>
      </c>
      <c r="C64" s="370">
        <v>677.73114013671875</v>
      </c>
      <c r="D64" s="370">
        <v>4.0999999046325684</v>
      </c>
      <c r="E64" s="370"/>
      <c r="F64" s="370"/>
      <c r="G64" s="370"/>
      <c r="H64" s="370"/>
      <c r="I64" s="370"/>
      <c r="J64" s="370"/>
      <c r="K64" s="370"/>
      <c r="L64" s="370"/>
    </row>
    <row r="65" spans="1:12">
      <c r="A65" s="438">
        <v>19.999998807907104</v>
      </c>
      <c r="B65" s="370">
        <v>91.973785397925298</v>
      </c>
      <c r="C65" s="370">
        <v>684.197265625</v>
      </c>
      <c r="D65" s="370">
        <v>2.4999997615814209</v>
      </c>
      <c r="E65" s="370"/>
      <c r="F65" s="370"/>
      <c r="G65" s="370"/>
      <c r="H65" s="370"/>
      <c r="I65" s="370"/>
      <c r="J65" s="370"/>
      <c r="K65" s="370"/>
      <c r="L65" s="370"/>
    </row>
    <row r="66" spans="1:12">
      <c r="A66" s="438">
        <v>10.000002384185791</v>
      </c>
      <c r="B66" s="370">
        <v>101.00610977964959</v>
      </c>
      <c r="C66" s="370">
        <v>689.9906005859375</v>
      </c>
      <c r="D66" s="370">
        <v>1.4999986886978149</v>
      </c>
      <c r="E66" s="370"/>
      <c r="F66" s="370"/>
      <c r="G66" s="370"/>
      <c r="H66" s="370"/>
      <c r="I66" s="370"/>
      <c r="J66" s="370"/>
      <c r="K66" s="370"/>
      <c r="L66" s="370"/>
    </row>
    <row r="67" spans="1:12">
      <c r="A67" s="439">
        <v>0</v>
      </c>
      <c r="B67" s="370">
        <v>115</v>
      </c>
      <c r="C67" s="370">
        <v>695.20001220703125</v>
      </c>
      <c r="D67" s="370">
        <v>7.0999999046325684</v>
      </c>
      <c r="E67" s="370"/>
      <c r="F67" s="370"/>
      <c r="G67" s="370"/>
      <c r="H67" s="370"/>
      <c r="I67" s="370"/>
      <c r="J67" s="370"/>
      <c r="K67" s="370"/>
      <c r="L67" s="370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81"/>
  <sheetViews>
    <sheetView workbookViewId="0">
      <selection activeCell="H27" sqref="H27"/>
    </sheetView>
  </sheetViews>
  <sheetFormatPr defaultColWidth="8.85546875" defaultRowHeight="12.75"/>
  <cols>
    <col min="1" max="6" width="16.7109375" style="380" customWidth="1"/>
    <col min="7" max="16384" width="8.85546875" style="380"/>
  </cols>
  <sheetData>
    <row r="1" spans="1:6" ht="18.95" customHeight="1">
      <c r="A1" s="392"/>
      <c r="B1" s="393"/>
      <c r="C1" s="393"/>
      <c r="D1" s="393"/>
      <c r="E1" s="393"/>
      <c r="F1" s="394"/>
    </row>
    <row r="2" spans="1:6" ht="26.1" customHeight="1">
      <c r="A2" s="395" t="s">
        <v>268</v>
      </c>
      <c r="B2" s="396"/>
      <c r="C2" s="396"/>
      <c r="D2" s="396"/>
      <c r="E2" s="396"/>
      <c r="F2" s="397"/>
    </row>
    <row r="3" spans="1:6" ht="18.95" customHeight="1">
      <c r="A3" s="642" t="s">
        <v>569</v>
      </c>
      <c r="B3" s="643"/>
      <c r="C3" s="643"/>
      <c r="D3" s="643"/>
      <c r="E3" s="643"/>
      <c r="F3" s="644"/>
    </row>
    <row r="4" spans="1:6" ht="18.95" customHeight="1">
      <c r="A4" s="645" t="s">
        <v>570</v>
      </c>
      <c r="B4" s="646"/>
      <c r="C4" s="646"/>
      <c r="D4" s="646"/>
      <c r="E4" s="646"/>
      <c r="F4" s="647"/>
    </row>
    <row r="5" spans="1:6" ht="18.95" customHeight="1">
      <c r="A5" s="398"/>
      <c r="B5" s="399"/>
      <c r="C5" s="399"/>
      <c r="D5" s="399"/>
      <c r="E5" s="399"/>
      <c r="F5" s="400"/>
    </row>
    <row r="6" spans="1:6" ht="18.95" customHeight="1">
      <c r="A6" s="401" t="s">
        <v>571</v>
      </c>
      <c r="B6" s="639" t="str">
        <f>'Performance Data Sheet'!C17</f>
        <v>WT-10133466</v>
      </c>
      <c r="C6" s="640"/>
      <c r="D6" s="641"/>
      <c r="E6" s="401" t="s">
        <v>572</v>
      </c>
      <c r="F6" s="402" t="str">
        <f>'Performance Data Sheet'!I14 &amp; " A"</f>
        <v>125 A</v>
      </c>
    </row>
    <row r="7" spans="1:6" ht="18.95" customHeight="1">
      <c r="A7" s="401" t="s">
        <v>573</v>
      </c>
      <c r="B7" s="402" t="str">
        <f>'Performance Data Sheet'!F14</f>
        <v>WP-II</v>
      </c>
      <c r="C7" s="401" t="s">
        <v>574</v>
      </c>
      <c r="D7" s="402" t="str">
        <f>'Performance Data Sheet'!F13 &amp; " V"</f>
        <v>4000 V</v>
      </c>
      <c r="E7" s="401" t="s">
        <v>575</v>
      </c>
      <c r="F7" s="402" t="str">
        <f>'Performance Data Sheet'!C14</f>
        <v>5812UZ</v>
      </c>
    </row>
    <row r="8" spans="1:6" ht="18.95" customHeight="1">
      <c r="A8" s="401" t="s">
        <v>576</v>
      </c>
      <c r="B8" s="402">
        <v>4</v>
      </c>
      <c r="C8" s="401" t="s">
        <v>577</v>
      </c>
      <c r="D8" s="402" t="s">
        <v>578</v>
      </c>
      <c r="E8" s="401" t="s">
        <v>579</v>
      </c>
      <c r="F8" s="402" t="s">
        <v>364</v>
      </c>
    </row>
    <row r="9" spans="1:6" ht="18.95" customHeight="1">
      <c r="A9" s="401" t="s">
        <v>580</v>
      </c>
      <c r="B9" s="402">
        <v>1000</v>
      </c>
      <c r="C9" s="401" t="s">
        <v>581</v>
      </c>
      <c r="D9" s="402" t="s">
        <v>591</v>
      </c>
      <c r="E9" s="401" t="s">
        <v>2</v>
      </c>
      <c r="F9" s="403">
        <f>'Performance Data Sheet'!K44</f>
        <v>45133</v>
      </c>
    </row>
    <row r="10" spans="1:6" ht="18.95" customHeight="1">
      <c r="A10" s="401" t="s">
        <v>582</v>
      </c>
      <c r="B10" s="402">
        <v>1775</v>
      </c>
      <c r="C10" s="401" t="s">
        <v>402</v>
      </c>
      <c r="D10" s="402" t="s">
        <v>592</v>
      </c>
      <c r="E10" s="401" t="s">
        <v>1</v>
      </c>
      <c r="F10" s="402" t="s">
        <v>380</v>
      </c>
    </row>
    <row r="11" spans="1:6" ht="18.95" customHeight="1">
      <c r="A11" s="398"/>
      <c r="B11" s="399"/>
      <c r="C11" s="399"/>
      <c r="D11" s="399"/>
      <c r="E11" s="399"/>
      <c r="F11" s="400"/>
    </row>
    <row r="12" spans="1:6" ht="18.95" customHeight="1">
      <c r="A12" s="398"/>
      <c r="B12" s="404"/>
      <c r="C12" s="405"/>
      <c r="D12" s="404"/>
      <c r="E12" s="405"/>
      <c r="F12" s="400"/>
    </row>
    <row r="13" spans="1:6" ht="18.95" customHeight="1">
      <c r="A13" s="398"/>
      <c r="B13" s="404"/>
      <c r="C13" s="406"/>
      <c r="D13" s="404"/>
      <c r="E13" s="405"/>
      <c r="F13" s="400"/>
    </row>
    <row r="14" spans="1:6" ht="18.95" customHeight="1">
      <c r="A14" s="398"/>
      <c r="B14" s="404"/>
      <c r="C14" s="406"/>
      <c r="D14" s="404"/>
      <c r="E14" s="405"/>
      <c r="F14" s="400"/>
    </row>
    <row r="15" spans="1:6" ht="18.95" customHeight="1">
      <c r="A15" s="398"/>
      <c r="B15" s="404"/>
      <c r="C15" s="405"/>
      <c r="D15" s="399"/>
      <c r="E15" s="399"/>
      <c r="F15" s="400"/>
    </row>
    <row r="16" spans="1:6" ht="18.95" customHeight="1">
      <c r="A16" s="398"/>
      <c r="B16" s="399"/>
      <c r="C16" s="399"/>
      <c r="D16" s="399"/>
      <c r="E16" s="399"/>
      <c r="F16" s="400"/>
    </row>
    <row r="17" spans="1:6" ht="18.95" customHeight="1">
      <c r="A17" s="398"/>
      <c r="B17" s="399"/>
      <c r="C17" s="399"/>
      <c r="D17" s="399"/>
      <c r="E17" s="399"/>
      <c r="F17" s="400"/>
    </row>
    <row r="18" spans="1:6" ht="18.95" customHeight="1">
      <c r="A18" s="398"/>
      <c r="B18" s="399"/>
      <c r="C18" s="399"/>
      <c r="D18" s="399"/>
      <c r="E18" s="399"/>
      <c r="F18" s="400"/>
    </row>
    <row r="19" spans="1:6" ht="18.95" customHeight="1">
      <c r="A19" s="398"/>
      <c r="B19" s="399"/>
      <c r="C19" s="399"/>
      <c r="D19" s="399"/>
      <c r="E19" s="399"/>
      <c r="F19" s="400"/>
    </row>
    <row r="20" spans="1:6" ht="18.95" customHeight="1">
      <c r="A20" s="398"/>
      <c r="B20" s="399"/>
      <c r="C20" s="399"/>
      <c r="D20" s="399"/>
      <c r="E20" s="399"/>
      <c r="F20" s="400"/>
    </row>
    <row r="21" spans="1:6" ht="18.95" customHeight="1">
      <c r="A21" s="398"/>
      <c r="B21" s="399"/>
      <c r="C21" s="399"/>
      <c r="D21" s="399"/>
      <c r="E21" s="399"/>
      <c r="F21" s="400"/>
    </row>
    <row r="22" spans="1:6" ht="18.95" customHeight="1">
      <c r="A22" s="398"/>
      <c r="B22" s="399"/>
      <c r="C22" s="399"/>
      <c r="D22" s="399"/>
      <c r="E22" s="399"/>
      <c r="F22" s="400"/>
    </row>
    <row r="23" spans="1:6" ht="18.95" customHeight="1">
      <c r="A23" s="398"/>
      <c r="B23" s="399"/>
      <c r="C23" s="399"/>
      <c r="D23" s="399"/>
      <c r="E23" s="399"/>
      <c r="F23" s="400"/>
    </row>
    <row r="24" spans="1:6" ht="18.95" customHeight="1">
      <c r="A24" s="398"/>
      <c r="B24" s="399"/>
      <c r="C24" s="399"/>
      <c r="D24" s="399"/>
      <c r="E24" s="399"/>
      <c r="F24" s="400"/>
    </row>
    <row r="25" spans="1:6" ht="18.95" customHeight="1">
      <c r="A25" s="398"/>
      <c r="B25" s="399"/>
      <c r="C25" s="399"/>
      <c r="D25" s="399"/>
      <c r="E25" s="399"/>
      <c r="F25" s="400"/>
    </row>
    <row r="26" spans="1:6" ht="18.95" customHeight="1">
      <c r="A26" s="398"/>
      <c r="B26" s="399"/>
      <c r="C26" s="399"/>
      <c r="D26" s="399"/>
      <c r="E26" s="399"/>
      <c r="F26" s="400"/>
    </row>
    <row r="27" spans="1:6" ht="18.95" customHeight="1">
      <c r="A27" s="398"/>
      <c r="B27" s="399"/>
      <c r="C27" s="399"/>
      <c r="D27" s="399"/>
      <c r="E27" s="399"/>
      <c r="F27" s="400"/>
    </row>
    <row r="28" spans="1:6" ht="18.95" customHeight="1">
      <c r="A28" s="398"/>
      <c r="B28" s="399"/>
      <c r="C28" s="399"/>
      <c r="D28" s="399"/>
      <c r="E28" s="399"/>
      <c r="F28" s="400"/>
    </row>
    <row r="29" spans="1:6" ht="18.95" customHeight="1">
      <c r="A29" s="398"/>
      <c r="B29" s="399"/>
      <c r="C29" s="399"/>
      <c r="D29" s="399"/>
      <c r="E29" s="399"/>
      <c r="F29" s="400"/>
    </row>
    <row r="30" spans="1:6" ht="18.95" customHeight="1">
      <c r="A30" s="398"/>
      <c r="B30" s="399"/>
      <c r="C30" s="399"/>
      <c r="D30" s="399"/>
      <c r="E30" s="399"/>
      <c r="F30" s="400"/>
    </row>
    <row r="31" spans="1:6" ht="18.95" customHeight="1">
      <c r="A31" s="398"/>
      <c r="B31" s="399"/>
      <c r="C31" s="399"/>
      <c r="D31" s="399"/>
      <c r="E31" s="399"/>
      <c r="F31" s="400"/>
    </row>
    <row r="32" spans="1:6" ht="18.95" customHeight="1">
      <c r="A32" s="398"/>
      <c r="B32" s="399"/>
      <c r="C32" s="399"/>
      <c r="D32" s="399"/>
      <c r="E32" s="399"/>
      <c r="F32" s="400"/>
    </row>
    <row r="33" spans="1:6" ht="18.95" customHeight="1">
      <c r="A33" s="398"/>
      <c r="B33" s="399"/>
      <c r="C33" s="399"/>
      <c r="D33" s="399"/>
      <c r="E33" s="399"/>
      <c r="F33" s="400"/>
    </row>
    <row r="34" spans="1:6" ht="18.95" customHeight="1">
      <c r="A34" s="398"/>
      <c r="B34" s="399"/>
      <c r="C34" s="399"/>
      <c r="D34" s="399"/>
      <c r="E34" s="399"/>
      <c r="F34" s="400"/>
    </row>
    <row r="35" spans="1:6" ht="18.95" customHeight="1">
      <c r="A35" s="398"/>
      <c r="B35" s="399"/>
      <c r="C35" s="399"/>
      <c r="D35" s="399"/>
      <c r="E35" s="399"/>
      <c r="F35" s="400"/>
    </row>
    <row r="36" spans="1:6" ht="18.95" customHeight="1">
      <c r="A36" s="398"/>
      <c r="B36" s="399"/>
      <c r="C36" s="399"/>
      <c r="D36" s="399"/>
      <c r="E36" s="399"/>
      <c r="F36" s="400"/>
    </row>
    <row r="37" spans="1:6" ht="18.95" customHeight="1">
      <c r="A37" s="398"/>
      <c r="B37" s="399"/>
      <c r="C37" s="399"/>
      <c r="D37" s="399"/>
      <c r="E37" s="399"/>
      <c r="F37" s="400"/>
    </row>
    <row r="38" spans="1:6" ht="18.95" customHeight="1">
      <c r="A38" s="398"/>
      <c r="B38" s="399"/>
      <c r="C38" s="399"/>
      <c r="D38" s="399"/>
      <c r="E38" s="399"/>
      <c r="F38" s="400"/>
    </row>
    <row r="39" spans="1:6" ht="18.95" customHeight="1">
      <c r="A39" s="407" t="s">
        <v>583</v>
      </c>
      <c r="B39" s="408" t="s">
        <v>371</v>
      </c>
      <c r="C39" s="532" t="str">
        <f>'Performance Data Sheet'!C10</f>
        <v>2300258.1</v>
      </c>
      <c r="D39" s="399"/>
      <c r="E39" s="404" t="s">
        <v>584</v>
      </c>
      <c r="F39" s="409" t="str">
        <f>F10</f>
        <v>1T4M20U</v>
      </c>
    </row>
    <row r="40" spans="1:6" ht="18.95" customHeight="1">
      <c r="A40" s="398"/>
      <c r="B40" s="408"/>
      <c r="C40" s="408"/>
      <c r="D40" s="399"/>
      <c r="E40" s="399"/>
      <c r="F40" s="400"/>
    </row>
    <row r="41" spans="1:6" ht="18.95" customHeight="1">
      <c r="A41" s="398"/>
      <c r="B41" s="408"/>
      <c r="C41" s="408"/>
      <c r="D41" s="399"/>
      <c r="E41" s="399"/>
      <c r="F41" s="400"/>
    </row>
    <row r="42" spans="1:6" ht="18.95" customHeight="1">
      <c r="A42" s="398"/>
      <c r="B42" s="399"/>
      <c r="C42" s="399"/>
      <c r="D42" s="399"/>
      <c r="E42" s="399"/>
      <c r="F42" s="400"/>
    </row>
    <row r="43" spans="1:6" ht="18.95" customHeight="1">
      <c r="A43" s="410"/>
      <c r="B43" s="408"/>
      <c r="C43" s="411" t="s">
        <v>585</v>
      </c>
      <c r="D43" s="412" t="str">
        <f>'Performance Data Sheet'!K42</f>
        <v>Jerry R</v>
      </c>
      <c r="E43" s="411" t="s">
        <v>586</v>
      </c>
      <c r="F43" s="41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413" t="e">
        <f>5252.1*B50/D53</f>
        <v>#DIV/0!</v>
      </c>
      <c r="G50" s="413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414"/>
    </row>
    <row r="63" spans="6:9">
      <c r="I63" s="380" t="s">
        <v>39</v>
      </c>
    </row>
    <row r="66" spans="1:6">
      <c r="D66" s="413" t="e">
        <f>D65/D64</f>
        <v>#DIV/0!</v>
      </c>
    </row>
    <row r="67" spans="1:6">
      <c r="A67" s="415" t="s">
        <v>398</v>
      </c>
      <c r="B67" s="415" t="s">
        <v>587</v>
      </c>
      <c r="C67" s="415" t="s">
        <v>588</v>
      </c>
      <c r="E67" s="415" t="s">
        <v>589</v>
      </c>
      <c r="F67" s="415" t="s">
        <v>590</v>
      </c>
    </row>
    <row r="68" spans="1:6">
      <c r="A68" s="416">
        <v>695.2</v>
      </c>
      <c r="B68" s="417">
        <v>11.860940115792411</v>
      </c>
      <c r="C68" s="417">
        <v>5.7862649645124167</v>
      </c>
      <c r="E68" s="416">
        <f>A68</f>
        <v>695.2</v>
      </c>
      <c r="F68" s="417">
        <v>1E-4</v>
      </c>
    </row>
    <row r="69" spans="1:6">
      <c r="A69" s="416">
        <f>FLOOR(A68,100)</f>
        <v>600</v>
      </c>
      <c r="B69" s="417">
        <f>((A68/A69)^2)*B68</f>
        <v>15.923412264501181</v>
      </c>
      <c r="C69" s="417">
        <f>((A68/A69)^2)*C68</f>
        <v>7.7681095766509545</v>
      </c>
      <c r="E69" s="416">
        <v>692.56</v>
      </c>
      <c r="F69" s="417">
        <v>8.2352930541962382E-2</v>
      </c>
    </row>
    <row r="70" spans="1:6">
      <c r="A70" s="416">
        <f>A69-100</f>
        <v>500</v>
      </c>
      <c r="B70" s="417">
        <f>((A68/A70)^2)*B68</f>
        <v>22.929713660881703</v>
      </c>
      <c r="C70" s="417">
        <f>((A68/A70)^2)*C68</f>
        <v>11.186077790377373</v>
      </c>
      <c r="E70" s="416">
        <v>687.12</v>
      </c>
      <c r="F70" s="417">
        <v>0.17352938505184651</v>
      </c>
    </row>
    <row r="71" spans="1:6">
      <c r="A71" s="416">
        <f>A70-100</f>
        <v>400</v>
      </c>
      <c r="B71" s="417">
        <f>((A68/A71)^2)*B68</f>
        <v>35.82767759512766</v>
      </c>
      <c r="C71" s="417">
        <f>((A68/A71)^2)*C68</f>
        <v>17.47824654746465</v>
      </c>
      <c r="E71" s="416">
        <v>680.96</v>
      </c>
      <c r="F71" s="417">
        <v>0.27352937448638676</v>
      </c>
    </row>
    <row r="72" spans="1:6">
      <c r="A72" s="416">
        <f>A71-100</f>
        <v>300</v>
      </c>
      <c r="B72" s="417">
        <f>((A68/A72)^2)*B68</f>
        <v>63.693649058004723</v>
      </c>
      <c r="C72" s="417"/>
      <c r="E72" s="416">
        <v>674.08</v>
      </c>
      <c r="F72" s="417">
        <v>0.38088229690861702</v>
      </c>
    </row>
    <row r="73" spans="1:6">
      <c r="A73" s="416">
        <f>A72-100</f>
        <v>200</v>
      </c>
      <c r="B73" s="417">
        <f>((A68/A73)^2)*B68</f>
        <v>143.31071038051064</v>
      </c>
      <c r="C73" s="417"/>
      <c r="E73" s="416">
        <v>666</v>
      </c>
      <c r="F73" s="417">
        <v>0.49558817423200607</v>
      </c>
    </row>
    <row r="74" spans="1:6">
      <c r="A74" s="416">
        <v>225</v>
      </c>
      <c r="B74" s="417">
        <f>((A68/A74)^2)*B68</f>
        <v>113.23315388089728</v>
      </c>
      <c r="C74" s="417">
        <f>((A68/A74)^2)*C68</f>
        <v>55.239890322851224</v>
      </c>
      <c r="E74" s="416">
        <v>656.16</v>
      </c>
      <c r="F74" s="417">
        <v>0.61764698454308509</v>
      </c>
    </row>
    <row r="75" spans="1:6">
      <c r="A75" s="418">
        <v>180</v>
      </c>
      <c r="B75" s="417">
        <f>((A68/A75)^2)*B69</f>
        <v>237.52572699403413</v>
      </c>
      <c r="C75" s="417">
        <f>((A68/A75)^2)*C68</f>
        <v>86.312328629455038</v>
      </c>
      <c r="E75" s="416">
        <v>643.04</v>
      </c>
      <c r="F75" s="417">
        <v>0.76323516288399695</v>
      </c>
    </row>
    <row r="76" spans="1:6">
      <c r="A76" s="418">
        <v>145</v>
      </c>
      <c r="B76" s="417">
        <f>((A68/A76)^2)*B68</f>
        <v>272.64820048610824</v>
      </c>
      <c r="C76" s="417">
        <f>((A68/A76)^2)*C68</f>
        <v>133.00924839925534</v>
      </c>
      <c r="E76" s="416">
        <v>620.24</v>
      </c>
      <c r="F76" s="417">
        <v>0.88823511132860189</v>
      </c>
    </row>
    <row r="77" spans="1:6">
      <c r="A77" s="418">
        <v>125</v>
      </c>
      <c r="B77" s="417"/>
      <c r="C77" s="416">
        <f>CEILING(C76*2,100)</f>
        <v>300</v>
      </c>
      <c r="E77" s="416">
        <v>589.28</v>
      </c>
      <c r="F77" s="417">
        <v>0.93676450410890577</v>
      </c>
    </row>
    <row r="78" spans="1:6">
      <c r="A78" s="418">
        <v>125</v>
      </c>
      <c r="B78" s="417"/>
      <c r="C78" s="416">
        <f>2*C77</f>
        <v>600</v>
      </c>
      <c r="E78" s="416">
        <v>540.4</v>
      </c>
      <c r="F78" s="417">
        <v>0.96911746184706693</v>
      </c>
    </row>
    <row r="79" spans="1:6">
      <c r="A79" s="418">
        <v>125</v>
      </c>
      <c r="B79" s="418"/>
      <c r="C79" s="418">
        <v>10000</v>
      </c>
      <c r="E79" s="416">
        <v>428.56000000000006</v>
      </c>
      <c r="F79" s="417">
        <v>0.97794096390151974</v>
      </c>
    </row>
    <row r="80" spans="1:6">
      <c r="E80" s="416">
        <v>219.6</v>
      </c>
      <c r="F80" s="417">
        <v>0.99117626081013677</v>
      </c>
    </row>
    <row r="81" spans="5:6">
      <c r="E81" s="416">
        <v>120</v>
      </c>
      <c r="F81" s="417">
        <v>0.99852919379782679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67"/>
  <sheetViews>
    <sheetView topLeftCell="A2" workbookViewId="0">
      <selection activeCell="K28" sqref="K28"/>
    </sheetView>
  </sheetViews>
  <sheetFormatPr defaultColWidth="8.85546875" defaultRowHeight="12.75"/>
  <cols>
    <col min="1" max="6" width="16.7109375" style="380" customWidth="1"/>
    <col min="7" max="16384" width="8.85546875" style="380"/>
  </cols>
  <sheetData>
    <row r="1" spans="1:6" ht="18.95" customHeight="1">
      <c r="A1" s="392"/>
      <c r="B1" s="393"/>
      <c r="C1" s="393"/>
      <c r="D1" s="393"/>
      <c r="E1" s="393"/>
      <c r="F1" s="394"/>
    </row>
    <row r="2" spans="1:6" ht="26.1" customHeight="1">
      <c r="A2" s="395" t="s">
        <v>268</v>
      </c>
      <c r="B2" s="396"/>
      <c r="C2" s="396"/>
      <c r="D2" s="396"/>
      <c r="E2" s="396"/>
      <c r="F2" s="397"/>
    </row>
    <row r="3" spans="1:6" ht="18.95" customHeight="1">
      <c r="A3" s="419" t="s">
        <v>593</v>
      </c>
      <c r="B3" s="396"/>
      <c r="C3" s="396"/>
      <c r="D3" s="396"/>
      <c r="E3" s="396"/>
      <c r="F3" s="397"/>
    </row>
    <row r="4" spans="1:6" ht="18.95" customHeight="1">
      <c r="A4" s="645" t="s">
        <v>570</v>
      </c>
      <c r="B4" s="646"/>
      <c r="C4" s="646"/>
      <c r="D4" s="646"/>
      <c r="E4" s="646"/>
      <c r="F4" s="647"/>
    </row>
    <row r="5" spans="1:6" ht="18.95" customHeight="1">
      <c r="A5" s="398"/>
      <c r="B5" s="399"/>
      <c r="C5" s="399"/>
      <c r="D5" s="399"/>
      <c r="E5" s="399"/>
      <c r="F5" s="400"/>
    </row>
    <row r="6" spans="1:6" ht="18.95" customHeight="1">
      <c r="A6" s="401" t="s">
        <v>571</v>
      </c>
      <c r="B6" s="639" t="str">
        <f>'Performance Data Sheet'!C17</f>
        <v>WT-10133466</v>
      </c>
      <c r="C6" s="640"/>
      <c r="D6" s="641"/>
      <c r="E6" s="401" t="s">
        <v>572</v>
      </c>
      <c r="F6" s="402" t="str">
        <f>'Performance Data Sheet'!I14 &amp; " A"</f>
        <v>125 A</v>
      </c>
    </row>
    <row r="7" spans="1:6" ht="18.95" customHeight="1">
      <c r="A7" s="401" t="s">
        <v>573</v>
      </c>
      <c r="B7" s="402" t="str">
        <f>'Performance Data Sheet'!F14</f>
        <v>WP-II</v>
      </c>
      <c r="C7" s="401" t="s">
        <v>574</v>
      </c>
      <c r="D7" s="402" t="str">
        <f>'Performance Data Sheet'!F13 &amp; " V"</f>
        <v>4000 V</v>
      </c>
      <c r="E7" s="401" t="s">
        <v>575</v>
      </c>
      <c r="F7" s="402" t="str">
        <f>'Performance Data Sheet'!C14</f>
        <v>5812UZ</v>
      </c>
    </row>
    <row r="8" spans="1:6" ht="18.95" customHeight="1">
      <c r="A8" s="401" t="s">
        <v>576</v>
      </c>
      <c r="B8" s="402">
        <v>4</v>
      </c>
      <c r="C8" s="401" t="s">
        <v>577</v>
      </c>
      <c r="D8" s="402" t="s">
        <v>578</v>
      </c>
      <c r="E8" s="401" t="s">
        <v>579</v>
      </c>
      <c r="F8" s="402" t="s">
        <v>364</v>
      </c>
    </row>
    <row r="9" spans="1:6" ht="18.95" customHeight="1">
      <c r="A9" s="401" t="s">
        <v>580</v>
      </c>
      <c r="B9" s="402">
        <v>1000</v>
      </c>
      <c r="C9" s="401" t="s">
        <v>581</v>
      </c>
      <c r="D9" s="402" t="s">
        <v>591</v>
      </c>
      <c r="E9" s="401" t="s">
        <v>2</v>
      </c>
      <c r="F9" s="403">
        <f>'Performance Data Sheet'!K44</f>
        <v>45133</v>
      </c>
    </row>
    <row r="10" spans="1:6" ht="18.95" customHeight="1">
      <c r="A10" s="401" t="s">
        <v>582</v>
      </c>
      <c r="B10" s="402">
        <v>1775</v>
      </c>
      <c r="C10" s="401" t="s">
        <v>402</v>
      </c>
      <c r="D10" s="402" t="s">
        <v>592</v>
      </c>
      <c r="E10" s="401" t="s">
        <v>1</v>
      </c>
      <c r="F10" s="402" t="s">
        <v>380</v>
      </c>
    </row>
    <row r="11" spans="1:6" ht="18.95" customHeight="1">
      <c r="A11" s="398"/>
      <c r="B11" s="399"/>
      <c r="C11" s="399"/>
      <c r="D11" s="399"/>
      <c r="E11" s="399"/>
      <c r="F11" s="400"/>
    </row>
    <row r="12" spans="1:6" ht="18.95" customHeight="1">
      <c r="A12" s="398"/>
      <c r="B12" s="404" t="s">
        <v>594</v>
      </c>
      <c r="C12" s="405" t="str">
        <f>'Performance Data Sheet'!D22 &amp; " A"</f>
        <v>869 A</v>
      </c>
      <c r="D12" s="404" t="s">
        <v>401</v>
      </c>
      <c r="E12" s="405" t="s">
        <v>405</v>
      </c>
      <c r="F12" s="400"/>
    </row>
    <row r="13" spans="1:6" ht="18.95" customHeight="1">
      <c r="A13" s="398"/>
      <c r="B13" s="404" t="s">
        <v>595</v>
      </c>
      <c r="C13" s="406">
        <v>1.1499999999999999</v>
      </c>
      <c r="D13" s="404" t="s">
        <v>596</v>
      </c>
      <c r="E13" s="405" t="s">
        <v>599</v>
      </c>
      <c r="F13" s="400"/>
    </row>
    <row r="14" spans="1:6" ht="18.95" customHeight="1">
      <c r="A14" s="398"/>
      <c r="B14" s="404" t="s">
        <v>597</v>
      </c>
      <c r="C14" s="406">
        <v>2.25</v>
      </c>
      <c r="D14" s="404" t="s">
        <v>403</v>
      </c>
      <c r="E14" s="405" t="s">
        <v>714</v>
      </c>
      <c r="F14" s="400"/>
    </row>
    <row r="15" spans="1:6" ht="18.95" customHeight="1">
      <c r="A15" s="398"/>
      <c r="B15" s="404" t="s">
        <v>404</v>
      </c>
      <c r="C15" s="405" t="s">
        <v>600</v>
      </c>
      <c r="D15" s="399"/>
      <c r="E15" s="399"/>
      <c r="F15" s="400"/>
    </row>
    <row r="16" spans="1:6" ht="18.95" customHeight="1">
      <c r="A16" s="398"/>
      <c r="B16" s="399"/>
      <c r="C16" s="399"/>
      <c r="D16" s="399"/>
      <c r="E16" s="399"/>
      <c r="F16" s="400"/>
    </row>
    <row r="17" spans="1:8" ht="18.95" customHeight="1">
      <c r="A17" s="398"/>
      <c r="B17" s="399"/>
      <c r="C17" s="399"/>
      <c r="D17" s="399"/>
      <c r="E17" s="399"/>
      <c r="F17" s="400"/>
    </row>
    <row r="18" spans="1:8" ht="18.95" customHeight="1">
      <c r="A18" s="398"/>
      <c r="B18" s="399"/>
      <c r="C18" s="399"/>
      <c r="D18" s="399"/>
      <c r="E18" s="399"/>
      <c r="F18" s="400"/>
    </row>
    <row r="19" spans="1:8" ht="18.95" customHeight="1">
      <c r="A19" s="398"/>
      <c r="B19" s="399"/>
      <c r="C19" s="399"/>
      <c r="D19" s="399"/>
      <c r="E19" s="399"/>
      <c r="F19" s="400"/>
    </row>
    <row r="20" spans="1:8" ht="18.95" customHeight="1">
      <c r="A20" s="398"/>
      <c r="B20" s="399"/>
      <c r="C20" s="399"/>
      <c r="D20" s="399"/>
      <c r="E20" s="399"/>
      <c r="F20" s="400"/>
    </row>
    <row r="21" spans="1:8" ht="18.95" customHeight="1">
      <c r="A21" s="398"/>
      <c r="B21" s="399"/>
      <c r="C21" s="399"/>
      <c r="D21" s="399"/>
      <c r="E21" s="399"/>
      <c r="F21" s="400"/>
    </row>
    <row r="22" spans="1:8" ht="18.95" customHeight="1">
      <c r="A22" s="398"/>
      <c r="B22" s="399"/>
      <c r="C22" s="399"/>
      <c r="D22" s="399"/>
      <c r="E22" s="399"/>
      <c r="F22" s="400"/>
    </row>
    <row r="23" spans="1:8" ht="18.95" customHeight="1">
      <c r="A23" s="398"/>
      <c r="B23" s="399"/>
      <c r="C23" s="399"/>
      <c r="D23" s="399"/>
      <c r="E23" s="399"/>
      <c r="F23" s="400"/>
    </row>
    <row r="24" spans="1:8" ht="18.95" customHeight="1">
      <c r="A24" s="398"/>
      <c r="B24" s="399"/>
      <c r="C24" s="399"/>
      <c r="D24" s="399"/>
      <c r="E24" s="399"/>
      <c r="F24" s="400"/>
      <c r="H24" s="420"/>
    </row>
    <row r="25" spans="1:8" ht="18.95" customHeight="1">
      <c r="A25" s="398"/>
      <c r="B25" s="399"/>
      <c r="C25" s="399"/>
      <c r="D25" s="399"/>
      <c r="E25" s="399"/>
      <c r="F25" s="400"/>
    </row>
    <row r="26" spans="1:8" ht="18.95" customHeight="1">
      <c r="A26" s="398"/>
      <c r="B26" s="399"/>
      <c r="C26" s="399"/>
      <c r="D26" s="399"/>
      <c r="E26" s="399"/>
      <c r="F26" s="400"/>
    </row>
    <row r="27" spans="1:8" ht="18.95" customHeight="1">
      <c r="A27" s="398"/>
      <c r="B27" s="399"/>
      <c r="C27" s="399"/>
      <c r="D27" s="399"/>
      <c r="E27" s="399"/>
      <c r="F27" s="400"/>
    </row>
    <row r="28" spans="1:8" ht="18.95" customHeight="1">
      <c r="A28" s="398"/>
      <c r="B28" s="399"/>
      <c r="C28" s="399"/>
      <c r="D28" s="399"/>
      <c r="E28" s="399"/>
      <c r="F28" s="400"/>
    </row>
    <row r="29" spans="1:8" ht="18.95" customHeight="1">
      <c r="A29" s="398"/>
      <c r="B29" s="399"/>
      <c r="C29" s="399"/>
      <c r="D29" s="399"/>
      <c r="E29" s="399"/>
      <c r="F29" s="400"/>
    </row>
    <row r="30" spans="1:8" ht="18.95" customHeight="1">
      <c r="A30" s="398"/>
      <c r="B30" s="399"/>
      <c r="C30" s="399"/>
      <c r="D30" s="399"/>
      <c r="E30" s="399"/>
      <c r="F30" s="400"/>
    </row>
    <row r="31" spans="1:8" ht="18.95" customHeight="1">
      <c r="A31" s="398"/>
      <c r="B31" s="399"/>
      <c r="C31" s="399"/>
      <c r="D31" s="399"/>
      <c r="E31" s="399"/>
      <c r="F31" s="400"/>
    </row>
    <row r="32" spans="1:8" ht="18.95" customHeight="1">
      <c r="A32" s="398"/>
      <c r="B32" s="399"/>
      <c r="C32" s="399"/>
      <c r="D32" s="399"/>
      <c r="E32" s="399"/>
      <c r="F32" s="400"/>
    </row>
    <row r="33" spans="1:6" ht="18.95" customHeight="1">
      <c r="A33" s="398"/>
      <c r="B33" s="399"/>
      <c r="C33" s="399"/>
      <c r="D33" s="399"/>
      <c r="E33" s="399"/>
      <c r="F33" s="400"/>
    </row>
    <row r="34" spans="1:6" ht="18.95" customHeight="1">
      <c r="A34" s="398"/>
      <c r="B34" s="399"/>
      <c r="C34" s="399"/>
      <c r="D34" s="399"/>
      <c r="E34" s="399"/>
      <c r="F34" s="400"/>
    </row>
    <row r="35" spans="1:6" ht="18.95" customHeight="1">
      <c r="A35" s="398"/>
      <c r="B35" s="399"/>
      <c r="C35" s="399"/>
      <c r="D35" s="399"/>
      <c r="E35" s="399"/>
      <c r="F35" s="400"/>
    </row>
    <row r="36" spans="1:6" ht="18.95" customHeight="1">
      <c r="A36" s="398"/>
      <c r="B36" s="399"/>
      <c r="C36" s="399"/>
      <c r="D36" s="399"/>
      <c r="E36" s="399"/>
      <c r="F36" s="400"/>
    </row>
    <row r="37" spans="1:6" ht="18.95" customHeight="1">
      <c r="A37" s="398"/>
      <c r="B37" s="399"/>
      <c r="C37" s="399"/>
      <c r="D37" s="399"/>
      <c r="E37" s="399"/>
      <c r="F37" s="400"/>
    </row>
    <row r="38" spans="1:6" ht="18.95" customHeight="1">
      <c r="A38" s="398"/>
      <c r="B38" s="399"/>
      <c r="C38" s="399"/>
      <c r="D38" s="399"/>
      <c r="E38" s="399"/>
      <c r="F38" s="400"/>
    </row>
    <row r="39" spans="1:6" ht="18.95" customHeight="1">
      <c r="A39" s="407" t="s">
        <v>583</v>
      </c>
      <c r="B39" s="408" t="s">
        <v>371</v>
      </c>
      <c r="C39" s="532" t="str">
        <f>'Performance Data Sheet'!C10</f>
        <v>2300258.1</v>
      </c>
      <c r="D39" s="399"/>
      <c r="E39" s="404" t="s">
        <v>584</v>
      </c>
      <c r="F39" s="409" t="str">
        <f>F10</f>
        <v>1T4M20U</v>
      </c>
    </row>
    <row r="40" spans="1:6" ht="18.95" customHeight="1">
      <c r="A40" s="398"/>
      <c r="B40" s="408"/>
      <c r="C40" s="408"/>
      <c r="D40" s="399"/>
      <c r="E40" s="399"/>
      <c r="F40" s="400"/>
    </row>
    <row r="41" spans="1:6" ht="18.95" customHeight="1">
      <c r="A41" s="398"/>
      <c r="B41" s="408"/>
      <c r="C41" s="408"/>
      <c r="D41" s="399"/>
      <c r="E41" s="399"/>
      <c r="F41" s="400"/>
    </row>
    <row r="42" spans="1:6" ht="18.95" customHeight="1">
      <c r="A42" s="398"/>
      <c r="B42" s="399"/>
      <c r="C42" s="399"/>
      <c r="D42" s="399"/>
      <c r="E42" s="399"/>
      <c r="F42" s="400"/>
    </row>
    <row r="43" spans="1:6" ht="18.95" customHeight="1">
      <c r="A43" s="410"/>
      <c r="B43" s="408"/>
      <c r="C43" s="411" t="s">
        <v>585</v>
      </c>
      <c r="D43" s="412" t="str">
        <f>'Performance Data Sheet'!K42</f>
        <v>Jerry R</v>
      </c>
      <c r="E43" s="411" t="s">
        <v>586</v>
      </c>
      <c r="F43" s="41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21" t="s">
        <v>400</v>
      </c>
      <c r="B53" s="421" t="s">
        <v>142</v>
      </c>
      <c r="C53" s="421" t="s">
        <v>120</v>
      </c>
      <c r="D53" s="421" t="s">
        <v>135</v>
      </c>
      <c r="E53" s="421" t="s">
        <v>5</v>
      </c>
      <c r="F53" s="422" t="s">
        <v>598</v>
      </c>
    </row>
    <row r="54" spans="1:6" ht="15" customHeight="1">
      <c r="A54" s="423">
        <v>0</v>
      </c>
      <c r="B54" s="424"/>
      <c r="C54" s="425"/>
      <c r="D54" s="425">
        <v>33.702694842343043</v>
      </c>
      <c r="E54" s="425">
        <v>100</v>
      </c>
      <c r="F54" s="426">
        <v>0.37607000000000002</v>
      </c>
    </row>
    <row r="55" spans="1:6" ht="15" customHeight="1">
      <c r="A55" s="427">
        <v>25</v>
      </c>
      <c r="B55" s="428">
        <v>93.137565612792969</v>
      </c>
      <c r="C55" s="429">
        <v>61.824100494384766</v>
      </c>
      <c r="D55" s="429">
        <v>46.608917236328125</v>
      </c>
      <c r="E55" s="429">
        <v>75.780910483266425</v>
      </c>
      <c r="F55" s="430">
        <v>9.9817046589247465</v>
      </c>
    </row>
    <row r="56" spans="1:6" ht="15" customHeight="1">
      <c r="A56" s="427">
        <v>50</v>
      </c>
      <c r="B56" s="428">
        <v>95.215904235839844</v>
      </c>
      <c r="C56" s="429">
        <v>81.629592895507813</v>
      </c>
      <c r="D56" s="429">
        <v>69.059677124023438</v>
      </c>
      <c r="E56" s="429">
        <v>63.331610318692213</v>
      </c>
      <c r="F56" s="430">
        <v>19.527654817903418</v>
      </c>
    </row>
    <row r="57" spans="1:6">
      <c r="A57" s="427">
        <v>75</v>
      </c>
      <c r="B57" s="428">
        <v>95.568161010742188</v>
      </c>
      <c r="C57" s="429">
        <v>87.838264465332031</v>
      </c>
      <c r="D57" s="429">
        <v>95.912689208984375</v>
      </c>
      <c r="E57" s="429">
        <v>50.549001969387881</v>
      </c>
      <c r="F57" s="430">
        <v>29.183520662248284</v>
      </c>
    </row>
    <row r="58" spans="1:6">
      <c r="A58" s="427">
        <v>100</v>
      </c>
      <c r="B58" s="428">
        <v>95.457435607910156</v>
      </c>
      <c r="C58" s="429">
        <v>89.974212646484375</v>
      </c>
      <c r="D58" s="429">
        <v>124.99247741699219</v>
      </c>
      <c r="E58" s="429">
        <v>37.351690358365268</v>
      </c>
      <c r="F58" s="430">
        <v>38.956491494239316</v>
      </c>
    </row>
    <row r="59" spans="1:6" ht="13.5" thickBot="1">
      <c r="A59" s="431">
        <v>125</v>
      </c>
      <c r="B59" s="432">
        <v>95.160247802734375</v>
      </c>
      <c r="C59" s="433">
        <v>90.485549926757813</v>
      </c>
      <c r="D59" s="433">
        <v>155.84288024902344</v>
      </c>
      <c r="E59" s="433">
        <v>24.215131667469798</v>
      </c>
      <c r="F59" s="434">
        <v>48.847695084478737</v>
      </c>
    </row>
    <row r="60" spans="1:6">
      <c r="A60" s="435"/>
      <c r="B60" s="436"/>
      <c r="C60" s="436"/>
    </row>
    <row r="61" spans="1:6">
      <c r="A61" s="435"/>
      <c r="B61" s="436"/>
      <c r="C61" s="436"/>
    </row>
    <row r="62" spans="1:6">
      <c r="A62" s="435"/>
      <c r="B62" s="436"/>
      <c r="C62" s="436"/>
    </row>
    <row r="63" spans="1:6">
      <c r="A63" s="435"/>
      <c r="B63" s="436"/>
      <c r="C63" s="436"/>
    </row>
    <row r="64" spans="1:6">
      <c r="A64" s="435"/>
      <c r="B64" s="436"/>
      <c r="C64" s="436"/>
    </row>
    <row r="65" spans="1:3">
      <c r="A65" s="435"/>
      <c r="B65" s="436"/>
      <c r="C65" s="436"/>
    </row>
    <row r="66" spans="1:3">
      <c r="A66" s="435"/>
      <c r="B66" s="436"/>
      <c r="C66" s="436"/>
    </row>
    <row r="67" spans="1:3">
      <c r="A67" s="437"/>
      <c r="B67" s="436"/>
      <c r="C67" s="436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61"/>
  <sheetViews>
    <sheetView workbookViewId="0"/>
  </sheetViews>
  <sheetFormatPr defaultColWidth="8.85546875" defaultRowHeight="12.75"/>
  <cols>
    <col min="1" max="1" width="19.7109375" style="380" customWidth="1"/>
    <col min="2" max="7" width="10.7109375" style="380" customWidth="1"/>
    <col min="8" max="16384" width="8.85546875" style="380"/>
  </cols>
  <sheetData>
    <row r="1" spans="1:12" ht="21" customHeight="1">
      <c r="A1" s="379" t="s">
        <v>410</v>
      </c>
      <c r="B1" s="657" t="s">
        <v>449</v>
      </c>
      <c r="C1" s="657"/>
      <c r="D1" s="657"/>
      <c r="E1" s="657"/>
      <c r="F1" s="657"/>
      <c r="G1" s="657"/>
    </row>
    <row r="2" spans="1:12" ht="15" customHeight="1"/>
    <row r="3" spans="1:12" ht="20.25">
      <c r="A3" s="381" t="s">
        <v>411</v>
      </c>
    </row>
    <row r="4" spans="1:12" ht="12" customHeight="1">
      <c r="A4" s="382"/>
      <c r="B4" s="382"/>
      <c r="C4" s="382"/>
      <c r="D4" s="382" t="s">
        <v>463</v>
      </c>
      <c r="E4" s="382"/>
      <c r="F4" s="382"/>
      <c r="G4" s="382"/>
      <c r="H4" s="382"/>
      <c r="I4" s="382"/>
      <c r="J4" s="382"/>
      <c r="K4" s="382"/>
      <c r="L4" s="382"/>
    </row>
    <row r="5" spans="1:12" ht="15.6" customHeight="1">
      <c r="A5" s="383" t="s">
        <v>5</v>
      </c>
      <c r="B5" s="383" t="s">
        <v>412</v>
      </c>
      <c r="C5" s="383" t="s">
        <v>413</v>
      </c>
      <c r="D5" s="383" t="s">
        <v>414</v>
      </c>
      <c r="E5" s="383" t="s">
        <v>415</v>
      </c>
      <c r="F5" s="383" t="s">
        <v>416</v>
      </c>
      <c r="G5" s="383" t="s">
        <v>417</v>
      </c>
      <c r="H5" s="382"/>
      <c r="I5" s="382"/>
      <c r="J5" s="382"/>
      <c r="K5" s="382"/>
      <c r="L5" s="382"/>
    </row>
    <row r="6" spans="1:12" ht="15.6" customHeight="1">
      <c r="A6" s="384" t="s">
        <v>418</v>
      </c>
      <c r="B6" s="384" t="s">
        <v>166</v>
      </c>
      <c r="C6" s="384" t="s">
        <v>166</v>
      </c>
      <c r="D6" s="384" t="s">
        <v>419</v>
      </c>
      <c r="E6" s="384" t="s">
        <v>135</v>
      </c>
      <c r="F6" s="384" t="s">
        <v>420</v>
      </c>
      <c r="G6" s="384" t="s">
        <v>420</v>
      </c>
      <c r="H6" s="382"/>
      <c r="I6" s="382"/>
      <c r="J6" s="382"/>
      <c r="K6" s="382"/>
      <c r="L6" s="382"/>
    </row>
    <row r="7" spans="1:12" ht="15.95" customHeight="1">
      <c r="A7" s="385" t="s">
        <v>450</v>
      </c>
      <c r="B7" s="385" t="s">
        <v>464</v>
      </c>
      <c r="C7" s="385" t="s">
        <v>477</v>
      </c>
      <c r="D7" s="385" t="s">
        <v>490</v>
      </c>
      <c r="E7" s="385" t="s">
        <v>503</v>
      </c>
      <c r="F7" s="385" t="s">
        <v>516</v>
      </c>
      <c r="G7" s="385" t="s">
        <v>529</v>
      </c>
      <c r="H7" s="382"/>
      <c r="I7" s="382"/>
      <c r="J7" s="382"/>
      <c r="K7" s="382"/>
      <c r="L7" s="382"/>
    </row>
    <row r="8" spans="1:12" ht="15.95" customHeight="1">
      <c r="A8" s="385" t="s">
        <v>451</v>
      </c>
      <c r="B8" s="385" t="s">
        <v>465</v>
      </c>
      <c r="C8" s="385" t="s">
        <v>478</v>
      </c>
      <c r="D8" s="385" t="s">
        <v>491</v>
      </c>
      <c r="E8" s="385" t="s">
        <v>504</v>
      </c>
      <c r="F8" s="385" t="s">
        <v>517</v>
      </c>
      <c r="G8" s="385" t="s">
        <v>530</v>
      </c>
      <c r="H8" s="382"/>
      <c r="I8" s="382"/>
      <c r="J8" s="382"/>
      <c r="K8" s="382"/>
      <c r="L8" s="382"/>
    </row>
    <row r="9" spans="1:12" ht="15.95" customHeight="1">
      <c r="A9" s="385" t="s">
        <v>452</v>
      </c>
      <c r="B9" s="385" t="s">
        <v>466</v>
      </c>
      <c r="C9" s="385" t="s">
        <v>479</v>
      </c>
      <c r="D9" s="385" t="s">
        <v>492</v>
      </c>
      <c r="E9" s="385" t="s">
        <v>505</v>
      </c>
      <c r="F9" s="385" t="s">
        <v>518</v>
      </c>
      <c r="G9" s="385" t="s">
        <v>531</v>
      </c>
      <c r="H9" s="382"/>
      <c r="I9" s="382"/>
      <c r="J9" s="382"/>
      <c r="K9" s="382"/>
      <c r="L9" s="382"/>
    </row>
    <row r="10" spans="1:12" ht="15.95" customHeight="1">
      <c r="A10" s="385" t="s">
        <v>453</v>
      </c>
      <c r="B10" s="385" t="s">
        <v>467</v>
      </c>
      <c r="C10" s="385" t="s">
        <v>480</v>
      </c>
      <c r="D10" s="385" t="s">
        <v>493</v>
      </c>
      <c r="E10" s="385" t="s">
        <v>506</v>
      </c>
      <c r="F10" s="385" t="s">
        <v>519</v>
      </c>
      <c r="G10" s="385" t="s">
        <v>532</v>
      </c>
      <c r="H10" s="382"/>
      <c r="I10" s="382"/>
      <c r="J10" s="382"/>
      <c r="K10" s="382"/>
      <c r="L10" s="382"/>
    </row>
    <row r="11" spans="1:12" ht="15.95" customHeight="1">
      <c r="A11" s="385" t="s">
        <v>454</v>
      </c>
      <c r="B11" s="385" t="s">
        <v>468</v>
      </c>
      <c r="C11" s="385" t="s">
        <v>481</v>
      </c>
      <c r="D11" s="385" t="s">
        <v>494</v>
      </c>
      <c r="E11" s="385" t="s">
        <v>507</v>
      </c>
      <c r="F11" s="385" t="s">
        <v>520</v>
      </c>
      <c r="G11" s="385" t="s">
        <v>533</v>
      </c>
      <c r="H11" s="382"/>
      <c r="I11" s="382"/>
      <c r="J11" s="382"/>
      <c r="K11" s="382"/>
      <c r="L11" s="382"/>
    </row>
    <row r="12" spans="1:12" ht="15.95" customHeight="1">
      <c r="A12" s="385" t="s">
        <v>455</v>
      </c>
      <c r="B12" s="385" t="s">
        <v>469</v>
      </c>
      <c r="C12" s="385" t="s">
        <v>482</v>
      </c>
      <c r="D12" s="385" t="s">
        <v>495</v>
      </c>
      <c r="E12" s="385" t="s">
        <v>508</v>
      </c>
      <c r="F12" s="385" t="s">
        <v>521</v>
      </c>
      <c r="G12" s="385" t="s">
        <v>534</v>
      </c>
      <c r="H12" s="382"/>
      <c r="I12" s="382"/>
      <c r="J12" s="382"/>
      <c r="K12" s="382"/>
      <c r="L12" s="382"/>
    </row>
    <row r="13" spans="1:12" ht="15.95" customHeight="1">
      <c r="A13" s="385" t="s">
        <v>456</v>
      </c>
      <c r="B13" s="385" t="s">
        <v>470</v>
      </c>
      <c r="C13" s="385" t="s">
        <v>483</v>
      </c>
      <c r="D13" s="385" t="s">
        <v>496</v>
      </c>
      <c r="E13" s="385" t="s">
        <v>509</v>
      </c>
      <c r="F13" s="385" t="s">
        <v>522</v>
      </c>
      <c r="G13" s="385" t="s">
        <v>535</v>
      </c>
      <c r="H13" s="382"/>
      <c r="I13" s="382"/>
      <c r="J13" s="382"/>
      <c r="K13" s="382"/>
      <c r="L13" s="382"/>
    </row>
    <row r="14" spans="1:12" ht="15.95" customHeight="1">
      <c r="A14" s="385" t="s">
        <v>457</v>
      </c>
      <c r="B14" s="385" t="s">
        <v>471</v>
      </c>
      <c r="C14" s="385" t="s">
        <v>484</v>
      </c>
      <c r="D14" s="385" t="s">
        <v>497</v>
      </c>
      <c r="E14" s="385" t="s">
        <v>510</v>
      </c>
      <c r="F14" s="385" t="s">
        <v>523</v>
      </c>
      <c r="G14" s="385" t="s">
        <v>536</v>
      </c>
      <c r="H14" s="382"/>
      <c r="I14" s="382"/>
      <c r="J14" s="382"/>
      <c r="K14" s="382"/>
      <c r="L14" s="382"/>
    </row>
    <row r="15" spans="1:12" ht="15.95" customHeight="1">
      <c r="A15" s="385" t="s">
        <v>458</v>
      </c>
      <c r="B15" s="385" t="s">
        <v>472</v>
      </c>
      <c r="C15" s="385" t="s">
        <v>485</v>
      </c>
      <c r="D15" s="385" t="s">
        <v>498</v>
      </c>
      <c r="E15" s="385" t="s">
        <v>511</v>
      </c>
      <c r="F15" s="385" t="s">
        <v>524</v>
      </c>
      <c r="G15" s="385" t="s">
        <v>537</v>
      </c>
      <c r="H15" s="382"/>
      <c r="I15" s="382"/>
      <c r="J15" s="382"/>
      <c r="K15" s="382"/>
      <c r="L15" s="382"/>
    </row>
    <row r="16" spans="1:12" ht="15.95" customHeight="1">
      <c r="A16" s="385" t="s">
        <v>459</v>
      </c>
      <c r="B16" s="385" t="s">
        <v>473</v>
      </c>
      <c r="C16" s="385" t="s">
        <v>486</v>
      </c>
      <c r="D16" s="385" t="s">
        <v>499</v>
      </c>
      <c r="E16" s="385" t="s">
        <v>512</v>
      </c>
      <c r="F16" s="385" t="s">
        <v>525</v>
      </c>
      <c r="G16" s="385" t="s">
        <v>538</v>
      </c>
      <c r="H16" s="382"/>
      <c r="I16" s="382"/>
      <c r="J16" s="382"/>
      <c r="K16" s="382"/>
      <c r="L16" s="382"/>
    </row>
    <row r="17" spans="1:12" ht="15.95" customHeight="1">
      <c r="A17" s="385" t="s">
        <v>460</v>
      </c>
      <c r="B17" s="385" t="s">
        <v>474</v>
      </c>
      <c r="C17" s="385" t="s">
        <v>487</v>
      </c>
      <c r="D17" s="385" t="s">
        <v>500</v>
      </c>
      <c r="E17" s="385" t="s">
        <v>513</v>
      </c>
      <c r="F17" s="385" t="s">
        <v>526</v>
      </c>
      <c r="G17" s="385" t="s">
        <v>539</v>
      </c>
      <c r="H17" s="382"/>
      <c r="I17" s="382"/>
      <c r="J17" s="382"/>
      <c r="K17" s="382"/>
      <c r="L17" s="382"/>
    </row>
    <row r="18" spans="1:12" ht="15.95" customHeight="1">
      <c r="A18" s="385" t="s">
        <v>461</v>
      </c>
      <c r="B18" s="385" t="s">
        <v>475</v>
      </c>
      <c r="C18" s="385" t="s">
        <v>488</v>
      </c>
      <c r="D18" s="385" t="s">
        <v>501</v>
      </c>
      <c r="E18" s="385" t="s">
        <v>514</v>
      </c>
      <c r="F18" s="385" t="s">
        <v>527</v>
      </c>
      <c r="G18" s="385" t="s">
        <v>540</v>
      </c>
      <c r="H18" s="382"/>
      <c r="I18" s="382"/>
      <c r="J18" s="382"/>
      <c r="K18" s="382"/>
      <c r="L18" s="382"/>
    </row>
    <row r="19" spans="1:12" ht="15.95" customHeight="1">
      <c r="A19" s="385" t="s">
        <v>462</v>
      </c>
      <c r="B19" s="385" t="s">
        <v>476</v>
      </c>
      <c r="C19" s="385" t="s">
        <v>489</v>
      </c>
      <c r="D19" s="385" t="s">
        <v>502</v>
      </c>
      <c r="E19" s="385" t="s">
        <v>515</v>
      </c>
      <c r="F19" s="385" t="s">
        <v>528</v>
      </c>
      <c r="G19" s="385" t="s">
        <v>527</v>
      </c>
      <c r="H19" s="382"/>
      <c r="I19" s="382"/>
      <c r="J19" s="382"/>
      <c r="K19" s="382"/>
      <c r="L19" s="382"/>
    </row>
    <row r="20" spans="1:12" ht="15.75">
      <c r="A20" s="382"/>
      <c r="B20" s="382"/>
      <c r="C20" s="382"/>
      <c r="D20" s="382"/>
      <c r="E20" s="382"/>
      <c r="F20" s="382"/>
      <c r="G20" s="382"/>
      <c r="H20" s="382"/>
      <c r="I20" s="382"/>
      <c r="J20" s="382"/>
      <c r="K20" s="382"/>
      <c r="L20" s="382"/>
    </row>
    <row r="21" spans="1:12" ht="15.75">
      <c r="A21" s="382"/>
      <c r="B21" s="382"/>
      <c r="C21" s="382"/>
      <c r="D21" s="658" t="s">
        <v>549</v>
      </c>
      <c r="E21" s="654"/>
      <c r="F21" s="654"/>
      <c r="G21" s="655"/>
      <c r="H21" s="382"/>
      <c r="I21" s="382"/>
      <c r="J21" s="382"/>
      <c r="K21" s="382"/>
      <c r="L21" s="382"/>
    </row>
    <row r="22" spans="1:12" ht="17.25" customHeight="1">
      <c r="A22" s="382"/>
      <c r="B22" s="656" t="s">
        <v>421</v>
      </c>
      <c r="C22" s="656"/>
      <c r="D22" s="656" t="s">
        <v>422</v>
      </c>
      <c r="E22" s="656"/>
      <c r="F22" s="656" t="s">
        <v>423</v>
      </c>
      <c r="G22" s="656"/>
      <c r="H22" s="382"/>
      <c r="I22" s="382"/>
      <c r="J22" s="382"/>
      <c r="K22" s="382"/>
      <c r="L22" s="382"/>
    </row>
    <row r="23" spans="1:12" ht="15.75">
      <c r="A23" s="387" t="s">
        <v>424</v>
      </c>
      <c r="B23" s="652" t="s">
        <v>541</v>
      </c>
      <c r="C23" s="652"/>
      <c r="D23" s="652" t="s">
        <v>544</v>
      </c>
      <c r="E23" s="652"/>
      <c r="F23" s="652" t="s">
        <v>546</v>
      </c>
      <c r="G23" s="652"/>
      <c r="H23" s="382"/>
      <c r="I23" s="382"/>
      <c r="J23" s="382"/>
      <c r="K23" s="382"/>
      <c r="L23" s="382"/>
    </row>
    <row r="24" spans="1:12" ht="18" customHeight="1">
      <c r="A24" s="387" t="s">
        <v>425</v>
      </c>
      <c r="B24" s="652" t="s">
        <v>542</v>
      </c>
      <c r="C24" s="652"/>
      <c r="D24" s="652" t="s">
        <v>545</v>
      </c>
      <c r="E24" s="652"/>
      <c r="F24" s="652" t="s">
        <v>547</v>
      </c>
      <c r="G24" s="652"/>
      <c r="H24" s="382"/>
      <c r="I24" s="382"/>
      <c r="J24" s="382"/>
      <c r="K24" s="382"/>
      <c r="L24" s="382"/>
    </row>
    <row r="25" spans="1:12" ht="15.75">
      <c r="A25" s="387" t="s">
        <v>426</v>
      </c>
      <c r="B25" s="652" t="s">
        <v>543</v>
      </c>
      <c r="C25" s="652"/>
      <c r="D25" s="652" t="s">
        <v>544</v>
      </c>
      <c r="E25" s="652"/>
      <c r="F25" s="652" t="s">
        <v>548</v>
      </c>
      <c r="G25" s="652"/>
      <c r="H25" s="382"/>
      <c r="I25" s="382"/>
      <c r="J25" s="382"/>
      <c r="K25" s="382"/>
      <c r="L25" s="382"/>
    </row>
    <row r="26" spans="1:12" ht="15.75">
      <c r="A26" s="382"/>
      <c r="B26" s="382"/>
      <c r="C26" s="382"/>
      <c r="D26" s="382"/>
      <c r="E26" s="382"/>
      <c r="F26" s="382"/>
      <c r="G26" s="382"/>
      <c r="H26" s="382"/>
      <c r="I26" s="382"/>
      <c r="J26" s="382"/>
      <c r="K26" s="382"/>
      <c r="L26" s="382"/>
    </row>
    <row r="27" spans="1:12" ht="20.25">
      <c r="A27" s="381" t="s">
        <v>427</v>
      </c>
      <c r="B27" s="382"/>
      <c r="C27" s="382"/>
      <c r="D27" s="382"/>
      <c r="E27" s="382"/>
      <c r="F27" s="382"/>
      <c r="G27" s="382"/>
      <c r="H27" s="382"/>
      <c r="I27" s="382"/>
      <c r="J27" s="382"/>
      <c r="K27" s="382"/>
      <c r="L27" s="382"/>
    </row>
    <row r="28" spans="1:12" ht="15.75">
      <c r="A28" s="382"/>
      <c r="B28" s="382"/>
      <c r="C28" s="382"/>
      <c r="D28" s="382"/>
      <c r="E28" s="653" t="s">
        <v>428</v>
      </c>
      <c r="F28" s="654"/>
      <c r="G28" s="655"/>
      <c r="H28" s="382"/>
      <c r="I28" s="382"/>
      <c r="J28" s="382"/>
      <c r="K28" s="382"/>
      <c r="L28" s="382"/>
    </row>
    <row r="29" spans="1:12" ht="15.75">
      <c r="A29" s="382"/>
      <c r="B29" s="656" t="s">
        <v>429</v>
      </c>
      <c r="C29" s="656"/>
      <c r="D29" s="386" t="s">
        <v>430</v>
      </c>
      <c r="E29" s="386" t="s">
        <v>431</v>
      </c>
      <c r="F29" s="656" t="s">
        <v>432</v>
      </c>
      <c r="G29" s="656"/>
      <c r="H29" s="382"/>
      <c r="I29" s="382"/>
      <c r="J29" s="382"/>
      <c r="K29" s="382"/>
      <c r="L29" s="382"/>
    </row>
    <row r="30" spans="1:12" ht="15.75">
      <c r="A30" s="387" t="s">
        <v>433</v>
      </c>
      <c r="B30" s="652" t="s">
        <v>550</v>
      </c>
      <c r="C30" s="652"/>
      <c r="D30" s="385" t="s">
        <v>553</v>
      </c>
      <c r="E30" s="385" t="s">
        <v>434</v>
      </c>
      <c r="F30" s="652" t="s">
        <v>556</v>
      </c>
      <c r="G30" s="652"/>
      <c r="H30" s="382"/>
      <c r="I30" s="382"/>
      <c r="J30" s="382"/>
      <c r="K30" s="382"/>
      <c r="L30" s="382"/>
    </row>
    <row r="31" spans="1:12" ht="15.75">
      <c r="A31" s="387" t="s">
        <v>435</v>
      </c>
      <c r="B31" s="652" t="s">
        <v>551</v>
      </c>
      <c r="C31" s="652"/>
      <c r="D31" s="385" t="s">
        <v>554</v>
      </c>
      <c r="E31" s="385" t="s">
        <v>436</v>
      </c>
      <c r="F31" s="652" t="s">
        <v>557</v>
      </c>
      <c r="G31" s="652"/>
      <c r="H31" s="382"/>
      <c r="I31" s="382"/>
      <c r="J31" s="382"/>
      <c r="K31" s="382"/>
      <c r="L31" s="382"/>
    </row>
    <row r="32" spans="1:12" ht="15.75">
      <c r="A32" s="387" t="s">
        <v>437</v>
      </c>
      <c r="B32" s="652" t="s">
        <v>552</v>
      </c>
      <c r="C32" s="652"/>
      <c r="D32" s="385" t="s">
        <v>555</v>
      </c>
      <c r="E32" s="385" t="s">
        <v>438</v>
      </c>
      <c r="F32" s="652" t="s">
        <v>558</v>
      </c>
      <c r="G32" s="652"/>
      <c r="H32" s="382"/>
      <c r="I32" s="382"/>
      <c r="J32" s="382"/>
      <c r="K32" s="382"/>
      <c r="L32" s="382"/>
    </row>
    <row r="33" spans="1:12" ht="15.75">
      <c r="A33" s="382"/>
      <c r="B33" s="382"/>
      <c r="C33" s="382"/>
      <c r="D33" s="382"/>
      <c r="E33" s="382"/>
      <c r="F33" s="382"/>
      <c r="G33" s="382"/>
      <c r="H33" s="382"/>
      <c r="I33" s="382"/>
      <c r="J33" s="382"/>
      <c r="K33" s="382"/>
      <c r="L33" s="382"/>
    </row>
    <row r="34" spans="1:12" ht="15.75">
      <c r="A34" s="382"/>
      <c r="B34" s="382"/>
      <c r="C34" s="382"/>
      <c r="D34" s="382"/>
      <c r="E34" s="653" t="s">
        <v>439</v>
      </c>
      <c r="F34" s="654"/>
      <c r="G34" s="655"/>
      <c r="H34" s="382"/>
      <c r="I34" s="382"/>
      <c r="J34" s="382"/>
      <c r="K34" s="382"/>
      <c r="L34" s="382"/>
    </row>
    <row r="35" spans="1:12" ht="15.75">
      <c r="A35" s="382"/>
      <c r="B35" s="656" t="s">
        <v>440</v>
      </c>
      <c r="C35" s="656"/>
      <c r="D35" s="386" t="s">
        <v>431</v>
      </c>
      <c r="E35" s="386" t="s">
        <v>441</v>
      </c>
      <c r="F35" s="386" t="s">
        <v>100</v>
      </c>
      <c r="G35" s="386" t="s">
        <v>442</v>
      </c>
      <c r="H35" s="382"/>
      <c r="I35" s="382"/>
      <c r="J35" s="382"/>
      <c r="K35" s="382"/>
      <c r="L35" s="382"/>
    </row>
    <row r="36" spans="1:12" ht="15.75">
      <c r="A36" s="387" t="s">
        <v>433</v>
      </c>
      <c r="B36" s="648" t="s">
        <v>559</v>
      </c>
      <c r="C36" s="649"/>
      <c r="D36" s="388" t="s">
        <v>561</v>
      </c>
      <c r="E36" s="388" t="s">
        <v>443</v>
      </c>
      <c r="F36" s="389" t="s">
        <v>444</v>
      </c>
      <c r="G36" s="385" t="s">
        <v>564</v>
      </c>
      <c r="H36" s="382"/>
      <c r="I36" s="382"/>
      <c r="J36" s="382"/>
      <c r="K36" s="382"/>
      <c r="L36" s="382"/>
    </row>
    <row r="37" spans="1:12" ht="15.75">
      <c r="A37" s="387" t="s">
        <v>435</v>
      </c>
      <c r="B37" s="648" t="s">
        <v>560</v>
      </c>
      <c r="C37" s="649"/>
      <c r="D37" s="388" t="s">
        <v>562</v>
      </c>
      <c r="E37" s="388" t="s">
        <v>443</v>
      </c>
      <c r="F37" s="389" t="s">
        <v>445</v>
      </c>
      <c r="G37" s="390" t="s">
        <v>565</v>
      </c>
      <c r="H37" s="382"/>
      <c r="I37" s="382"/>
      <c r="J37" s="382"/>
      <c r="K37" s="382"/>
      <c r="L37" s="382"/>
    </row>
    <row r="38" spans="1:12" ht="15.75">
      <c r="A38" s="387" t="s">
        <v>437</v>
      </c>
      <c r="B38" s="648" t="s">
        <v>560</v>
      </c>
      <c r="C38" s="649"/>
      <c r="D38" s="388" t="s">
        <v>563</v>
      </c>
      <c r="E38" s="388" t="s">
        <v>443</v>
      </c>
      <c r="F38" s="389" t="s">
        <v>446</v>
      </c>
      <c r="G38" s="385" t="s">
        <v>566</v>
      </c>
      <c r="H38" s="382"/>
      <c r="I38" s="382"/>
      <c r="J38" s="382"/>
      <c r="K38" s="382"/>
      <c r="L38" s="382"/>
    </row>
    <row r="39" spans="1:12" ht="15.75">
      <c r="A39" s="382"/>
      <c r="B39" s="382"/>
      <c r="C39" s="382"/>
      <c r="D39" s="382"/>
      <c r="E39" s="382"/>
      <c r="F39" s="382"/>
      <c r="G39" s="382"/>
      <c r="H39" s="382"/>
      <c r="I39" s="382"/>
      <c r="J39" s="382"/>
      <c r="K39" s="382"/>
      <c r="L39" s="382"/>
    </row>
    <row r="40" spans="1:12" ht="15.75">
      <c r="A40" s="391" t="s">
        <v>447</v>
      </c>
      <c r="B40" s="650" t="s">
        <v>567</v>
      </c>
      <c r="C40" s="650"/>
      <c r="D40" s="651" t="s">
        <v>448</v>
      </c>
      <c r="E40" s="651"/>
      <c r="F40" s="650" t="s">
        <v>568</v>
      </c>
      <c r="G40" s="650"/>
      <c r="H40" s="382"/>
      <c r="I40" s="382"/>
      <c r="J40" s="382"/>
      <c r="K40" s="382"/>
      <c r="L40" s="382"/>
    </row>
    <row r="41" spans="1:12" ht="15.75">
      <c r="A41" s="382"/>
      <c r="B41" s="382"/>
      <c r="C41" s="382"/>
      <c r="D41" s="382"/>
      <c r="E41" s="382"/>
      <c r="F41" s="382"/>
      <c r="G41" s="382"/>
      <c r="H41" s="382"/>
      <c r="I41" s="382"/>
      <c r="J41" s="382"/>
      <c r="K41" s="382"/>
      <c r="L41" s="382"/>
    </row>
    <row r="42" spans="1:12" ht="15.75">
      <c r="A42" s="382"/>
      <c r="B42" s="382"/>
      <c r="C42" s="382"/>
      <c r="D42" s="382"/>
      <c r="E42" s="382"/>
      <c r="F42" s="382"/>
      <c r="G42" s="382"/>
      <c r="H42" s="382"/>
      <c r="I42" s="382"/>
      <c r="J42" s="382"/>
      <c r="K42" s="382"/>
      <c r="L42" s="382"/>
    </row>
    <row r="43" spans="1:12" ht="15.75">
      <c r="A43" s="382"/>
      <c r="B43" s="382"/>
      <c r="C43" s="382"/>
      <c r="D43" s="382"/>
      <c r="E43" s="382"/>
      <c r="F43" s="382"/>
      <c r="G43" s="382"/>
      <c r="H43" s="382"/>
      <c r="I43" s="382"/>
      <c r="J43" s="382"/>
      <c r="K43" s="382"/>
      <c r="L43" s="382"/>
    </row>
    <row r="44" spans="1:12" ht="15.75">
      <c r="A44" s="382"/>
      <c r="B44" s="382"/>
      <c r="C44" s="382"/>
      <c r="D44" s="382"/>
      <c r="E44" s="382"/>
      <c r="F44" s="382"/>
      <c r="G44" s="382"/>
      <c r="H44" s="382"/>
      <c r="I44" s="382"/>
      <c r="J44" s="382"/>
      <c r="K44" s="382"/>
      <c r="L44" s="382"/>
    </row>
    <row r="45" spans="1:12" ht="15.75">
      <c r="A45" s="382"/>
      <c r="B45" s="382"/>
      <c r="C45" s="382"/>
      <c r="D45" s="382"/>
      <c r="E45" s="382"/>
      <c r="F45" s="382"/>
      <c r="G45" s="382"/>
      <c r="H45" s="382"/>
      <c r="I45" s="382"/>
      <c r="J45" s="382"/>
      <c r="K45" s="382"/>
      <c r="L45" s="382"/>
    </row>
    <row r="46" spans="1:12" ht="15.75">
      <c r="A46" s="382"/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</row>
    <row r="47" spans="1:12" ht="15.75">
      <c r="A47" s="382"/>
      <c r="B47" s="382"/>
      <c r="C47" s="382"/>
      <c r="D47" s="382"/>
      <c r="E47" s="382"/>
      <c r="F47" s="382"/>
      <c r="G47" s="382"/>
      <c r="H47" s="382"/>
      <c r="I47" s="382"/>
      <c r="J47" s="382"/>
      <c r="K47" s="382"/>
      <c r="L47" s="382"/>
    </row>
    <row r="48" spans="1:12" ht="15.75">
      <c r="A48" s="382"/>
      <c r="B48" s="382"/>
      <c r="C48" s="382"/>
      <c r="D48" s="382"/>
      <c r="E48" s="382"/>
      <c r="F48" s="382"/>
      <c r="G48" s="382"/>
      <c r="H48" s="382"/>
      <c r="I48" s="382"/>
      <c r="J48" s="382"/>
      <c r="K48" s="382"/>
      <c r="L48" s="382"/>
    </row>
    <row r="49" spans="1:12" ht="15.75">
      <c r="A49" s="382"/>
      <c r="B49" s="382"/>
      <c r="C49" s="382"/>
      <c r="D49" s="382"/>
      <c r="E49" s="382"/>
      <c r="F49" s="382"/>
      <c r="G49" s="382"/>
      <c r="H49" s="382"/>
      <c r="I49" s="382"/>
      <c r="J49" s="382"/>
      <c r="K49" s="382"/>
      <c r="L49" s="382"/>
    </row>
    <row r="50" spans="1:12" ht="15.75">
      <c r="A50" s="382"/>
      <c r="B50" s="382"/>
      <c r="C50" s="382"/>
      <c r="D50" s="382"/>
      <c r="E50" s="382"/>
      <c r="F50" s="382"/>
      <c r="G50" s="382"/>
      <c r="H50" s="382"/>
      <c r="I50" s="382"/>
      <c r="J50" s="382"/>
      <c r="K50" s="382"/>
      <c r="L50" s="382"/>
    </row>
    <row r="51" spans="1:12" ht="15.75">
      <c r="A51" s="382"/>
      <c r="B51" s="382"/>
      <c r="C51" s="382"/>
      <c r="D51" s="382"/>
      <c r="E51" s="382"/>
      <c r="F51" s="382"/>
      <c r="G51" s="382"/>
      <c r="H51" s="382"/>
      <c r="I51" s="382"/>
      <c r="J51" s="382"/>
      <c r="K51" s="382"/>
      <c r="L51" s="382"/>
    </row>
    <row r="52" spans="1:12" ht="15.75">
      <c r="A52" s="382"/>
      <c r="B52" s="382"/>
      <c r="C52" s="382"/>
      <c r="D52" s="382"/>
      <c r="E52" s="382"/>
      <c r="F52" s="382"/>
      <c r="G52" s="382"/>
      <c r="H52" s="382"/>
      <c r="I52" s="382"/>
      <c r="J52" s="382"/>
      <c r="K52" s="382"/>
      <c r="L52" s="382"/>
    </row>
    <row r="53" spans="1:12" ht="15.75">
      <c r="A53" s="382"/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2"/>
    </row>
    <row r="54" spans="1:12" ht="15.75">
      <c r="A54" s="382"/>
      <c r="B54" s="382"/>
      <c r="C54" s="382"/>
      <c r="D54" s="382"/>
      <c r="E54" s="382"/>
      <c r="F54" s="382"/>
      <c r="G54" s="382"/>
      <c r="H54" s="382"/>
      <c r="I54" s="382"/>
      <c r="J54" s="382"/>
      <c r="K54" s="382"/>
      <c r="L54" s="382"/>
    </row>
    <row r="55" spans="1:12" ht="15.75">
      <c r="A55" s="382"/>
      <c r="B55" s="382"/>
      <c r="C55" s="382"/>
      <c r="D55" s="382"/>
      <c r="E55" s="382"/>
      <c r="F55" s="382"/>
      <c r="G55" s="382"/>
      <c r="H55" s="382"/>
      <c r="I55" s="382"/>
      <c r="J55" s="382"/>
      <c r="K55" s="382"/>
      <c r="L55" s="382"/>
    </row>
    <row r="56" spans="1:12" ht="15.75">
      <c r="A56" s="382"/>
      <c r="B56" s="382"/>
      <c r="C56" s="382"/>
      <c r="D56" s="382"/>
      <c r="E56" s="382"/>
      <c r="F56" s="382"/>
      <c r="G56" s="382"/>
      <c r="H56" s="382"/>
      <c r="I56" s="382"/>
      <c r="J56" s="382"/>
      <c r="K56" s="382"/>
      <c r="L56" s="382"/>
    </row>
    <row r="57" spans="1:12" ht="15.75">
      <c r="A57" s="382"/>
      <c r="B57" s="382"/>
      <c r="C57" s="382"/>
      <c r="D57" s="382"/>
      <c r="E57" s="382"/>
      <c r="F57" s="382"/>
      <c r="G57" s="382"/>
      <c r="H57" s="382"/>
      <c r="I57" s="382"/>
      <c r="J57" s="382"/>
      <c r="K57" s="382"/>
      <c r="L57" s="382"/>
    </row>
    <row r="58" spans="1:12" ht="15.75">
      <c r="A58" s="382"/>
      <c r="B58" s="382"/>
      <c r="C58" s="382"/>
      <c r="D58" s="382"/>
      <c r="E58" s="382"/>
      <c r="F58" s="382"/>
      <c r="G58" s="382"/>
      <c r="H58" s="382"/>
      <c r="I58" s="382"/>
      <c r="J58" s="382"/>
      <c r="K58" s="382"/>
      <c r="L58" s="382"/>
    </row>
    <row r="59" spans="1:12" ht="15.75">
      <c r="A59" s="382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</row>
    <row r="60" spans="1:12" ht="15.75">
      <c r="A60" s="382"/>
      <c r="B60" s="382"/>
      <c r="C60" s="382"/>
      <c r="D60" s="382"/>
      <c r="E60" s="382"/>
      <c r="F60" s="382"/>
      <c r="G60" s="382"/>
      <c r="H60" s="382"/>
      <c r="I60" s="382"/>
      <c r="J60" s="382"/>
      <c r="K60" s="382"/>
      <c r="L60" s="382"/>
    </row>
    <row r="61" spans="1:12" ht="15.75">
      <c r="A61" s="382"/>
      <c r="B61" s="382"/>
      <c r="C61" s="382"/>
      <c r="D61" s="382"/>
      <c r="E61" s="382"/>
      <c r="F61" s="382"/>
      <c r="G61" s="382"/>
      <c r="H61" s="382"/>
      <c r="I61" s="382"/>
      <c r="J61" s="382"/>
      <c r="K61" s="382"/>
      <c r="L61" s="382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Performance Data Sheet</vt:lpstr>
      <vt:lpstr>STCurve</vt:lpstr>
      <vt:lpstr>Thermdam</vt:lpstr>
      <vt:lpstr>Performance</vt:lpstr>
      <vt:lpstr>StallTime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2026-02-10T17:55:12Z</dcterms:modified>
</cp:coreProperties>
</file>