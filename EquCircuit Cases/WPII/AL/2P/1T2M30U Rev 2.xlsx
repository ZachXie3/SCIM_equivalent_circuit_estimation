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xr:revisionPtr revIDLastSave="0" documentId="13_ncr:1_{D4DEA6E2-EC37-4BE5-BAB6-F46A37ED5C3F}" xr6:coauthVersionLast="47" xr6:coauthVersionMax="47" xr10:uidLastSave="{00000000-0000-0000-0000-000000000000}"/>
  <bookViews>
    <workbookView xWindow="-120" yWindow="-120" windowWidth="29040" windowHeight="17520" tabRatio="813" activeTab="1" xr2:uid="{00000000-000D-0000-FFFF-FFFF00000000}"/>
  </bookViews>
  <sheets>
    <sheet name="DesignSheet" sheetId="2" r:id="rId1"/>
    <sheet name="Data Sheet" sheetId="3" r:id="rId2"/>
    <sheet name="LoginSheet" sheetId="4" r:id="rId3"/>
    <sheet name="StallTime" sheetId="6" r:id="rId4"/>
    <sheet name="Performance Data Sheet" sheetId="10" r:id="rId5"/>
    <sheet name="STCurve" sheetId="8" r:id="rId6"/>
    <sheet name="Thermdam" sheetId="7" r:id="rId7"/>
    <sheet name="Performance 4000V" sheetId="9" r:id="rId8"/>
    <sheet name="Performance 2300V" sheetId="11" r:id="rId9"/>
  </sheet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8">'Performance 2300V'!$A$1:$F$43</definedName>
    <definedName name="_xlnm.Print_Area" localSheetId="7">'Performance 4000V'!$A$1:$F$43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8" hidden="1">'Performance 2300V'!$A$1:$F$43</definedName>
    <definedName name="Z_852987ED_B4F5_11D1_ABEC_0000832EB49E_.wvu.PrintArea" localSheetId="7" hidden="1">'Performance 4000V'!$A$1:$F$43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1" l="1"/>
  <c r="F39" i="11"/>
  <c r="C39" i="11"/>
  <c r="F9" i="11"/>
  <c r="F7" i="11"/>
  <c r="B7" i="11"/>
  <c r="B6" i="11"/>
  <c r="F9" i="7"/>
  <c r="F7" i="7"/>
  <c r="D7" i="7"/>
  <c r="B7" i="7"/>
  <c r="F6" i="7"/>
  <c r="B6" i="7"/>
  <c r="F9" i="9"/>
  <c r="F7" i="9"/>
  <c r="B7" i="9"/>
  <c r="B6" i="9"/>
  <c r="D43" i="9"/>
  <c r="F39" i="9"/>
  <c r="C39" i="9"/>
  <c r="D43" i="7"/>
  <c r="F39" i="7"/>
  <c r="C39" i="7"/>
  <c r="F39" i="8"/>
  <c r="D43" i="8"/>
  <c r="C39" i="8"/>
  <c r="C12" i="8"/>
  <c r="F6" i="8"/>
  <c r="D7" i="8"/>
  <c r="F9" i="8"/>
  <c r="F7" i="8"/>
  <c r="B7" i="8"/>
  <c r="B6" i="8"/>
  <c r="C76" i="7"/>
  <c r="C77" i="7" s="1"/>
  <c r="C78" i="7" s="1"/>
  <c r="B76" i="7"/>
  <c r="C75" i="7"/>
  <c r="C74" i="7"/>
  <c r="B74" i="7"/>
  <c r="E68" i="7"/>
  <c r="D66" i="7"/>
  <c r="F50" i="7"/>
  <c r="M55" i="2"/>
  <c r="P31" i="2"/>
  <c r="P32" i="2"/>
  <c r="P33" i="2"/>
  <c r="P34" i="2"/>
  <c r="P30" i="2"/>
  <c r="M52" i="2"/>
  <c r="L41" i="2"/>
  <c r="L40" i="2"/>
  <c r="M39" i="2"/>
  <c r="N39" i="2" s="1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C70" i="7" l="1"/>
  <c r="B70" i="7"/>
  <c r="B69" i="7"/>
  <c r="B75" i="7" s="1"/>
  <c r="C69" i="7"/>
  <c r="N41" i="2"/>
  <c r="N40" i="2"/>
  <c r="M53" i="2"/>
  <c r="A72" i="7" l="1"/>
  <c r="C71" i="7"/>
  <c r="B71" i="7"/>
  <c r="A73" i="7" l="1"/>
  <c r="B73" i="7" s="1"/>
  <c r="B7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<sst xmlns="http://schemas.openxmlformats.org/spreadsheetml/2006/main" count="987" uniqueCount="717">
  <si>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</si>
  <si>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</si>
  <si>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</si>
  <si>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</si>
  <si>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</si>
  <si>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</si>
  <si>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</si>
  <si>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</si>
  <si>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</si>
  <si>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</si>
  <si>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</si>
  <si>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</si>
  <si>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</si>
  <si>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</si>
  <si>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</si>
  <si>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</si>
  <si>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</si>
  <si>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</si>
  <si>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</si>
  <si>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</si>
  <si>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</si>
  <si>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</si>
  <si>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</si>
  <si>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</si>
  <si>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</si>
  <si>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</si>
  <si>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</si>
  <si>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</si>
  <si>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</si>
  <si>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</si>
  <si>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</si>
  <si>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</si>
  <si>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</si>
  <si>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</si>
  <si>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</si>
  <si>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</si>
  <si>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</si>
  <si>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</si>
  <si>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</si>
  <si>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</si>
  <si>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</si>
  <si>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</si>
  <si>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</si>
  <si>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</si>
  <si>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</si>
  <si>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</si>
  <si>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</si>
  <si>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</si>
  <si>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</si>
  <si>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</si>
  <si>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</si>
  <si>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</si>
  <si>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</si>
  <si>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</si>
  <si>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</si>
  <si>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</si>
  <si>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</si>
  <si>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</si>
  <si>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</si>
  <si>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</si>
  <si>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</si>
  <si>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</si>
  <si>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</si>
  <si>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</si>
  <si>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</si>
  <si>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</si>
  <si>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</si>
  <si>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</si>
  <si>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</si>
  <si>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</si>
  <si>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</si>
  <si>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</si>
  <si>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</si>
  <si>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</si>
  <si>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</si>
  <si>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</si>
  <si>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</si>
  <si>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</si>
  <si>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</si>
  <si>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</si>
  <si>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</si>
  <si>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</si>
  <si>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</si>
  <si>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</si>
  <si>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</si>
  <si>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</si>
  <si>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</si>
  <si>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</si>
  <si>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</si>
  <si>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</si>
  <si>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</si>
  <si>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</si>
  <si>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</si>
  <si>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</si>
  <si>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</si>
  <si>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</si>
  <si>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</si>
  <si>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</si>
  <si>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</si>
  <si>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</si>
  <si>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</si>
  <si>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</si>
  <si>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</si>
  <si>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</si>
  <si>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</si>
  <si>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</si>
  <si>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</si>
  <si>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</si>
  <si>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</si>
  <si>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</si>
  <si>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</si>
  <si>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</si>
  <si>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</si>
  <si>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</si>
  <si>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</si>
  <si>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</si>
  <si>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</si>
  <si>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</si>
  <si>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</si>
  <si>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</si>
  <si>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</si>
  <si>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</si>
  <si>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</si>
  <si>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</si>
  <si>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</si>
  <si>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</si>
  <si>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</si>
  <si>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</si>
  <si>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</si>
  <si>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</si>
  <si>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</si>
  <si>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</si>
  <si>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</si>
  <si>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</si>
  <si>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</si>
  <si>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</si>
  <si>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</si>
  <si>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</si>
  <si>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</si>
  <si>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</si>
  <si>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</si>
  <si>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</si>
  <si>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</si>
  <si>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</si>
  <si>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</si>
  <si>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</si>
  <si>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</si>
  <si>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</si>
  <si>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</si>
  <si>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</si>
  <si>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</si>
  <si>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</si>
  <si>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</si>
  <si>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</si>
  <si>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</si>
  <si>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</si>
  <si>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</si>
  <si>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</si>
  <si>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</si>
  <si>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</si>
  <si>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</si>
  <si>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</si>
  <si>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</si>
  <si>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</si>
  <si>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</si>
  <si>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</si>
  <si>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</si>
  <si>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</si>
  <si>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</si>
  <si>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</si>
  <si>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</si>
  <si>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</si>
  <si>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</si>
  <si>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</si>
  <si>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</si>
  <si>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</si>
  <si>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</si>
  <si>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</si>
  <si>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</si>
  <si>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</si>
  <si>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</si>
  <si>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</si>
  <si>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</si>
  <si>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</si>
  <si>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</si>
  <si>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</si>
  <si>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</si>
  <si>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</si>
  <si>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</si>
  <si>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</si>
  <si>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</si>
  <si>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</si>
  <si>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</si>
  <si>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</si>
  <si>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DCW4</t>
  </si>
  <si>
    <t>5811/12UDZ</t>
  </si>
  <si>
    <t>Open</t>
  </si>
  <si>
    <t>Dbl - Closed</t>
  </si>
  <si>
    <t>10.20 - 10.20</t>
  </si>
  <si>
    <t>2.83 - 2.00</t>
  </si>
  <si>
    <t>Magnetic</t>
  </si>
  <si>
    <t>8 x 10</t>
  </si>
  <si>
    <t>1 ~ 16</t>
  </si>
  <si>
    <t>(.081"x.204")x2</t>
  </si>
  <si>
    <t>Wye</t>
  </si>
  <si>
    <t>(105°C)</t>
  </si>
  <si>
    <t>CU</t>
  </si>
  <si>
    <t>AL</t>
  </si>
  <si>
    <t>ERD1: 281.0</t>
  </si>
  <si>
    <t>ERD2: 367.0</t>
  </si>
  <si>
    <t>LB:  -</t>
  </si>
  <si>
    <t>LER:  -</t>
  </si>
  <si>
    <t>UB: 406.6</t>
  </si>
  <si>
    <t>UER: 3370.3</t>
  </si>
  <si>
    <t>ERT: 85.0</t>
  </si>
  <si>
    <t>(Coeff.: 0.0313)</t>
  </si>
  <si>
    <t>Skew R.: 0.00</t>
  </si>
  <si>
    <t>N:\DESPRO\RAT FILES\1T2M30U.rat</t>
  </si>
  <si>
    <t>2-2-2-0-1-2</t>
  </si>
  <si>
    <t>B.L.-1  P.F.-1</t>
  </si>
  <si>
    <t>11762.9 / 10701.7</t>
  </si>
  <si>
    <t>10069.1 / 10006.6</t>
  </si>
  <si>
    <t>20477.6 / 12007.1</t>
  </si>
  <si>
    <t>6000.0 / 5497.9</t>
  </si>
  <si>
    <t>13950.0 / 5237.6</t>
  </si>
  <si>
    <t>1446.7 / 543.2</t>
  </si>
  <si>
    <t>12503.2 / 4694.4</t>
  </si>
  <si>
    <t>1.75 / 0.66</t>
  </si>
  <si>
    <t>65 / 63</t>
  </si>
  <si>
    <t>Temp. Rise @ 100%:</t>
  </si>
  <si>
    <t>Stray Loss</t>
  </si>
  <si>
    <t>0.927 / 0.914</t>
  </si>
  <si>
    <t>0.956 / 0.943</t>
  </si>
  <si>
    <t>0.964 / 0.950</t>
  </si>
  <si>
    <t>0.965 / 0.951</t>
  </si>
  <si>
    <t>0.647 / 0.638</t>
  </si>
  <si>
    <t>0.826 / 0.815</t>
  </si>
  <si>
    <t>0.879 / 0.867</t>
  </si>
  <si>
    <t>0.895 / 0.883</t>
  </si>
  <si>
    <t>0.898 / 0.885</t>
  </si>
  <si>
    <t>67.29 / 69.22</t>
  </si>
  <si>
    <t>102.23 / 105.16</t>
  </si>
  <si>
    <t>143.04 / 147.14</t>
  </si>
  <si>
    <t>186.90 / 192.26</t>
  </si>
  <si>
    <t>233.34 / 240.03</t>
  </si>
  <si>
    <t>4.51 / 4.64</t>
  </si>
  <si>
    <t>UB: 4.18 / 4.30</t>
  </si>
  <si>
    <t>UER: 3.05 / 3.14</t>
  </si>
  <si>
    <t>3592.3 / 3592.4</t>
  </si>
  <si>
    <t>3584.8 / 3584.9</t>
  </si>
  <si>
    <t>3577.1 / 3577.1</t>
  </si>
  <si>
    <t>3569.1 / 3569.1</t>
  </si>
  <si>
    <t>3561.1 / 3561.1</t>
  </si>
  <si>
    <t>0.0021 / 0.0021</t>
  </si>
  <si>
    <t>0.0042 / 0.0042</t>
  </si>
  <si>
    <t>0.0064 / 0.0063</t>
  </si>
  <si>
    <t>0.0086 / 0.0086</t>
  </si>
  <si>
    <t>0.0108 / 0.0108</t>
  </si>
  <si>
    <t>45.718 / 40.822</t>
  </si>
  <si>
    <t>2.011 / 1.796</t>
  </si>
  <si>
    <t>45.76 / 40.86</t>
  </si>
  <si>
    <t>1002.8 / 1144.2</t>
  </si>
  <si>
    <t>536.5 / 612.2</t>
  </si>
  <si>
    <t>384.3 / 422.7</t>
  </si>
  <si>
    <t>125.8 / 138.4</t>
  </si>
  <si>
    <t>219.0 / 266.4</t>
  </si>
  <si>
    <t>Correlated to: lab 9510.dat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</si>
  <si>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</si>
  <si>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</si>
  <si>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</si>
  <si>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</si>
  <si>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</si>
  <si>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</si>
  <si>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</si>
  <si>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</si>
  <si>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</si>
  <si>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</si>
  <si>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</si>
  <si>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NL &amp; Impedance Test</t>
  </si>
  <si>
    <t>EQP-III</t>
  </si>
  <si>
    <t>M36 - 26Ga.</t>
  </si>
  <si>
    <t>No load amps</t>
  </si>
  <si>
    <t>Exp.Prf.</t>
  </si>
  <si>
    <t>NCB1 - 26Ga.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</si>
  <si>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</si>
  <si>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</si>
  <si>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</si>
  <si>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</si>
  <si>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</si>
  <si>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</si>
  <si>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</si>
  <si>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</si>
  <si>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</si>
  <si>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</si>
  <si>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</si>
  <si>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</si>
  <si>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</si>
  <si>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</si>
  <si>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</si>
  <si>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</si>
  <si>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</si>
  <si>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</si>
  <si>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</si>
  <si>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</si>
  <si>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</si>
  <si>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</si>
  <si>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</si>
  <si>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</si>
  <si>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</si>
  <si>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</si>
  <si>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</si>
  <si>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</si>
  <si>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</si>
  <si>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</si>
  <si>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</si>
  <si>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</si>
  <si>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</si>
  <si>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</si>
  <si>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</si>
  <si>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</si>
  <si>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</si>
  <si>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</si>
  <si>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</si>
  <si>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</si>
  <si>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</si>
  <si>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</si>
  <si>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</si>
  <si>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</si>
  <si>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</si>
  <si>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</si>
  <si>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</si>
  <si>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</si>
  <si>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</si>
  <si>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</si>
  <si>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</si>
  <si>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</si>
  <si>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</si>
  <si>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</si>
  <si>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</si>
  <si>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</si>
  <si>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</si>
  <si>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</si>
  <si>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</si>
  <si>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</si>
  <si>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</si>
  <si>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</si>
  <si>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</si>
  <si>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</si>
  <si>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</si>
  <si>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</si>
  <si>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</si>
  <si>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</si>
  <si>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</si>
  <si>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</si>
  <si>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</si>
  <si>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</si>
  <si>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</si>
  <si>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</si>
  <si>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</si>
  <si>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</si>
  <si>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</si>
  <si>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</si>
  <si>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</si>
  <si>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</si>
  <si>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</si>
  <si>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</si>
  <si>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</si>
  <si>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</si>
  <si>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</si>
  <si>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</si>
  <si>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</si>
  <si>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</si>
  <si>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</si>
  <si>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</si>
  <si>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</si>
  <si>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</si>
  <si>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</si>
  <si>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</si>
  <si>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1T2M30U</t>
  </si>
  <si>
    <t>20 x 2</t>
  </si>
  <si>
    <t xml:space="preserve"> - </t>
  </si>
  <si>
    <t>65 / 86</t>
  </si>
  <si>
    <t>464 / 2765</t>
  </si>
  <si>
    <t>430 / 314</t>
  </si>
  <si>
    <t>LINK:</t>
  </si>
  <si>
    <t>H010234.rat &amp; lab 9510.dat -&gt; Run 1T2M30U.rat</t>
  </si>
  <si>
    <t>REV2 UPDATE DATA WITH CORRECT WIRE SIZE</t>
  </si>
  <si>
    <t>JROD 05/23/2022</t>
  </si>
  <si>
    <t>JERRY R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</si>
  <si>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</si>
  <si>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</si>
  <si>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</si>
  <si>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</si>
  <si>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</si>
  <si>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</si>
  <si>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</si>
  <si>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</si>
  <si>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</si>
  <si>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</si>
  <si>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</si>
  <si>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</si>
  <si>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</si>
  <si>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</si>
  <si>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</si>
  <si>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</si>
  <si>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</si>
  <si>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</si>
  <si>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</si>
  <si>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</si>
  <si>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</si>
  <si>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</si>
  <si>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</si>
  <si>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</si>
  <si>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</si>
  <si>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</si>
  <si>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</si>
  <si>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</si>
  <si>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</si>
  <si>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207.6 lb-ft²</t>
  </si>
  <si>
    <t>2210 lb-ft</t>
  </si>
  <si>
    <t>Load</t>
  </si>
  <si>
    <t>Fan / Pump</t>
  </si>
  <si>
    <t>50.7 kg.m²</t>
  </si>
  <si>
    <t>Acceleration Data (FV V)</t>
  </si>
  <si>
    <t>3.1 (s)</t>
  </si>
  <si>
    <t>305.4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</si>
  <si>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</si>
  <si>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</si>
  <si>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</si>
  <si>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</si>
  <si>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</si>
  <si>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</si>
  <si>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</si>
  <si>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</si>
  <si>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</si>
  <si>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</si>
  <si>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</si>
  <si>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</si>
  <si>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</si>
  <si>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</si>
  <si>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</si>
  <si>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</si>
  <si>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</si>
  <si>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</si>
  <si>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</si>
  <si>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</si>
  <si>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</si>
  <si>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</si>
  <si>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</si>
  <si>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</si>
  <si>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</si>
  <si>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</si>
  <si>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</si>
  <si>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</si>
  <si>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</si>
  <si>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</si>
  <si>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</si>
  <si>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</si>
  <si>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</si>
  <si>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</si>
  <si>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</si>
  <si>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</si>
  <si>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</si>
  <si>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</si>
  <si>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</si>
  <si>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- 1500.0 HP - 3600 RPM - 4000 V - 60 Hz</t>
  </si>
  <si>
    <t>0~360</t>
  </si>
  <si>
    <t>360~720</t>
  </si>
  <si>
    <t>720~1080</t>
  </si>
  <si>
    <t>1080~1440</t>
  </si>
  <si>
    <t>1440~1800</t>
  </si>
  <si>
    <t>1800~2160</t>
  </si>
  <si>
    <t>2160~2530</t>
  </si>
  <si>
    <t>2530~2901</t>
  </si>
  <si>
    <t>2901~3086</t>
  </si>
  <si>
    <t>3086~3271</t>
  </si>
  <si>
    <t>3271~3456</t>
  </si>
  <si>
    <t>3456~3569</t>
  </si>
  <si>
    <t/>
  </si>
  <si>
    <t>Load Type: Fan / Pump - 300.6 lb-ft²</t>
  </si>
  <si>
    <t>125.8</t>
  </si>
  <si>
    <t>111.2</t>
  </si>
  <si>
    <t>102.8</t>
  </si>
  <si>
    <t>98.1</t>
  </si>
  <si>
    <t>95.8</t>
  </si>
  <si>
    <t>95.1</t>
  </si>
  <si>
    <t>97.4</t>
  </si>
  <si>
    <t>107.6</t>
  </si>
  <si>
    <t>127.6</t>
  </si>
  <si>
    <t>165.4</t>
  </si>
  <si>
    <t>228.1</t>
  </si>
  <si>
    <t>182.5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</si>
  <si>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</si>
  <si>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</si>
  <si>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</si>
  <si>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</si>
  <si>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</si>
  <si>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</si>
  <si>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</si>
  <si>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</si>
  <si>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</si>
  <si>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</si>
  <si>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</si>
  <si>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0.261</t>
  </si>
  <si>
    <t>0.270</t>
  </si>
  <si>
    <t>0.281</t>
  </si>
  <si>
    <t>0.296</t>
  </si>
  <si>
    <t>0.318</t>
  </si>
  <si>
    <t>0.349</t>
  </si>
  <si>
    <t>0.397</t>
  </si>
  <si>
    <t>0.425</t>
  </si>
  <si>
    <t>0.196</t>
  </si>
  <si>
    <t>0.144</t>
  </si>
  <si>
    <t>0.095</t>
  </si>
  <si>
    <t>0.096</t>
  </si>
  <si>
    <t>1140.3</t>
  </si>
  <si>
    <t>1132.4</t>
  </si>
  <si>
    <t>1123.5</t>
  </si>
  <si>
    <t>1113.7</t>
  </si>
  <si>
    <t>1102.6</t>
  </si>
  <si>
    <t>1089.8</t>
  </si>
  <si>
    <t>1074.3</t>
  </si>
  <si>
    <t>1050.8</t>
  </si>
  <si>
    <t>1020.3</t>
  </si>
  <si>
    <t>970.2</t>
  </si>
  <si>
    <t>829.3</t>
  </si>
  <si>
    <t>463.7</t>
  </si>
  <si>
    <t>114.9</t>
  </si>
  <si>
    <t>117.5</t>
  </si>
  <si>
    <t>120.5</t>
  </si>
  <si>
    <t>124.6</t>
  </si>
  <si>
    <t>131.4</t>
  </si>
  <si>
    <t>141.4</t>
  </si>
  <si>
    <t>157.0</t>
  </si>
  <si>
    <t>162.5</t>
  </si>
  <si>
    <t>71.0</t>
  </si>
  <si>
    <t>49.1</t>
  </si>
  <si>
    <t>28.1</t>
  </si>
  <si>
    <t>1.2</t>
  </si>
  <si>
    <t>474.1</t>
  </si>
  <si>
    <t>381.9</t>
  </si>
  <si>
    <t>320.6</t>
  </si>
  <si>
    <t>277.9</t>
  </si>
  <si>
    <t>247.8</t>
  </si>
  <si>
    <t>223.9</t>
  </si>
  <si>
    <t>197.8</t>
  </si>
  <si>
    <t>165.1</t>
  </si>
  <si>
    <t>115.4</t>
  </si>
  <si>
    <t>75.5</t>
  </si>
  <si>
    <t>43.7</t>
  </si>
  <si>
    <t>9.3</t>
  </si>
  <si>
    <t>1219 kW / s</t>
  </si>
  <si>
    <t>1891 kW / s</t>
  </si>
  <si>
    <t>642 kW / s</t>
  </si>
  <si>
    <t>14°C</t>
  </si>
  <si>
    <t>92°C</t>
  </si>
  <si>
    <t>38°C</t>
  </si>
  <si>
    <t>29°C</t>
  </si>
  <si>
    <t>185°C</t>
  </si>
  <si>
    <t>77°C</t>
  </si>
  <si>
    <t>Acceleration Time:  3.1 s</t>
  </si>
  <si>
    <t>6.0°C / s</t>
  </si>
  <si>
    <t>55.0°C / s</t>
  </si>
  <si>
    <t>22.9°C / s</t>
  </si>
  <si>
    <t>513.7 kW</t>
  </si>
  <si>
    <t>1128.0 kW</t>
  </si>
  <si>
    <t>382.7 kW</t>
  </si>
  <si>
    <t>26.5 s</t>
  </si>
  <si>
    <t>4.7 s</t>
  </si>
  <si>
    <t>7.8 s</t>
  </si>
  <si>
    <t>68°C    +</t>
  </si>
  <si>
    <t>91°C    +</t>
  </si>
  <si>
    <t>92°C    +</t>
  </si>
  <si>
    <t>169°C   +</t>
  </si>
  <si>
    <t>89°C   +</t>
  </si>
  <si>
    <t>15.2 s</t>
  </si>
  <si>
    <t>3.1 s</t>
  </si>
  <si>
    <t>3.9 s</t>
  </si>
  <si>
    <t>5.0 s</t>
  </si>
  <si>
    <t>2.5 s</t>
  </si>
  <si>
    <t>Design Values (For Reference Only)</t>
  </si>
  <si>
    <t>Cold</t>
  </si>
  <si>
    <t>Hot</t>
  </si>
  <si>
    <t>CURRENT (%)</t>
  </si>
  <si>
    <t>Accel. Time</t>
  </si>
  <si>
    <t>300.6 lb-ft²</t>
  </si>
  <si>
    <t>Thermal Limit Curve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</si>
  <si>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</si>
  <si>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</si>
  <si>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</si>
  <si>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</si>
  <si>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</si>
  <si>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</si>
  <si>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</si>
  <si>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</si>
  <si>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</si>
  <si>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</si>
  <si>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</si>
  <si>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</si>
  <si>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</si>
  <si>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</si>
  <si>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</si>
  <si>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</si>
  <si>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</si>
  <si>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</si>
  <si>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</si>
  <si>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</si>
  <si>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</si>
  <si>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</si>
  <si>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</si>
  <si>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</si>
  <si>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</si>
  <si>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</si>
  <si>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</si>
  <si>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</si>
  <si>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</si>
  <si>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</si>
  <si>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</si>
  <si>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</si>
  <si>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</si>
  <si>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</si>
  <si>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</si>
  <si>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</si>
  <si>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</si>
  <si>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</si>
  <si>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</si>
  <si>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</si>
  <si>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</si>
  <si>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</si>
  <si>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</si>
  <si>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</si>
  <si>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</si>
  <si>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</si>
  <si>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</si>
  <si>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</si>
  <si>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</si>
  <si>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</si>
  <si>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</si>
  <si>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</si>
  <si>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</si>
  <si>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</si>
  <si>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</si>
  <si>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</si>
  <si>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</si>
  <si>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</si>
  <si>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</si>
  <si>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</si>
  <si>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</si>
  <si>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</si>
  <si>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</si>
  <si>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</si>
  <si>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</si>
  <si>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</si>
  <si>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</si>
  <si>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</si>
  <si>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</si>
  <si>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</si>
  <si>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</si>
  <si>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</si>
  <si>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</si>
  <si>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</si>
  <si>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</si>
  <si>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</si>
  <si>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</si>
  <si>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</si>
  <si>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</si>
  <si>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</si>
  <si>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</si>
  <si>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</si>
  <si>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</si>
  <si>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</si>
  <si>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</si>
  <si>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</si>
  <si>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</si>
  <si>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</si>
  <si>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</si>
  <si>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</si>
  <si>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</si>
  <si>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</si>
  <si>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</si>
  <si>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</si>
  <si>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</si>
  <si>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</si>
  <si>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</si>
  <si>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</si>
  <si>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</si>
  <si>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</si>
  <si>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</si>
  <si>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</si>
  <si>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</si>
  <si>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</si>
  <si>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</si>
  <si>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</si>
  <si>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</si>
  <si>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</si>
  <si>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</si>
  <si>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BARR THORP ELECTRICAL</t>
  </si>
  <si>
    <t>2257472.1</t>
  </si>
  <si>
    <t>5812UZ</t>
  </si>
  <si>
    <t>1.15</t>
  </si>
  <si>
    <t>WT-10126293</t>
  </si>
  <si>
    <t>WP-II</t>
  </si>
  <si>
    <t>1981 / 1144</t>
  </si>
  <si>
    <t>Type: TIKK - Form: DCW4 - 2 Pole - 1500 HP -2300 / 4000 V - 60 Hz - 5811/12UDZ - Class F</t>
  </si>
  <si>
    <t>2 x Delta / 2 x Wye</t>
  </si>
  <si>
    <t>FOR 2300v ONLY PLEASE USE 361-N126-6LDY</t>
  </si>
  <si>
    <t>DUE TO LEAD CABLE AMP LIMITATIONS</t>
  </si>
  <si>
    <t>1981/1144</t>
  </si>
  <si>
    <t>2300/4000</t>
  </si>
  <si>
    <t>2300 V</t>
  </si>
  <si>
    <t>1981 A</t>
  </si>
  <si>
    <t>333 / 192</t>
  </si>
  <si>
    <t>333/192</t>
  </si>
  <si>
    <t>333 A</t>
  </si>
  <si>
    <t>4000V</t>
  </si>
  <si>
    <t>192 A</t>
  </si>
  <si>
    <t>1144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</si>
</sst>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79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b/>
      <i/>
      <sz val="12"/>
      <color indexed="8"/>
      <name val="Bradley Hand ITC"/>
      <family val="4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72" fontId="66" fillId="0" borderId="0"/>
  </cellStyleXfs>
  <cellXfs count="661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23" xfId="1" applyFont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7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0" fillId="0" borderId="129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53" fillId="5" borderId="83" xfId="3" applyFont="1" applyFill="1" applyBorder="1"/>
    <xf numFmtId="0" fontId="53" fillId="5" borderId="68" xfId="3" applyFont="1" applyFill="1" applyBorder="1" applyAlignment="1">
      <alignment horizontal="left"/>
    </xf>
    <xf numFmtId="0" fontId="31" fillId="5" borderId="68" xfId="3" applyFont="1" applyFill="1" applyBorder="1" applyAlignment="1">
      <alignment horizontal="left"/>
    </xf>
    <xf numFmtId="0" fontId="31" fillId="5" borderId="74" xfId="3" applyFont="1" applyFill="1" applyBorder="1" applyAlignment="1">
      <alignment horizontal="left"/>
    </xf>
    <xf numFmtId="0" fontId="54" fillId="5" borderId="120" xfId="1" applyFont="1" applyFill="1" applyBorder="1" applyAlignment="1">
      <alignment horizontal="center" shrinkToFit="1"/>
    </xf>
    <xf numFmtId="167" fontId="2" fillId="0" borderId="0" xfId="0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9" fillId="0" borderId="0" xfId="4" applyFont="1"/>
    <xf numFmtId="0" fontId="60" fillId="0" borderId="26" xfId="4" applyFont="1" applyBorder="1" applyAlignment="1">
      <alignment horizontal="center"/>
    </xf>
    <xf numFmtId="0" fontId="60" fillId="0" borderId="28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60" fillId="0" borderId="1" xfId="4" applyFont="1" applyBorder="1" applyAlignment="1">
      <alignment horizontal="right"/>
    </xf>
    <xf numFmtId="0" fontId="59" fillId="0" borderId="131" xfId="4" applyFont="1" applyBorder="1" applyAlignment="1">
      <alignment horizontal="center"/>
    </xf>
    <xf numFmtId="0" fontId="59" fillId="0" borderId="132" xfId="4" quotePrefix="1" applyFont="1" applyBorder="1" applyAlignment="1">
      <alignment horizontal="center"/>
    </xf>
    <xf numFmtId="0" fontId="59" fillId="0" borderId="132" xfId="4" applyFont="1" applyBorder="1" applyAlignment="1">
      <alignment horizontal="center"/>
    </xf>
    <xf numFmtId="0" fontId="60" fillId="0" borderId="0" xfId="4" applyFont="1" applyAlignment="1">
      <alignment horizontal="right"/>
    </xf>
    <xf numFmtId="0" fontId="59" fillId="0" borderId="62" xfId="4" applyFont="1" applyBorder="1" applyAlignment="1">
      <alignment horizontal="center"/>
    </xf>
    <xf numFmtId="0" fontId="55" fillId="0" borderId="61" xfId="4" applyFont="1" applyBorder="1"/>
    <xf numFmtId="0" fontId="55" fillId="0" borderId="62" xfId="4" applyFont="1" applyBorder="1"/>
    <xf numFmtId="0" fontId="55" fillId="0" borderId="38" xfId="4" applyFont="1" applyBorder="1"/>
    <xf numFmtId="0" fontId="56" fillId="0" borderId="83" xfId="4" applyFont="1" applyBorder="1" applyAlignment="1">
      <alignment horizontal="centerContinuous"/>
    </xf>
    <xf numFmtId="0" fontId="55" fillId="0" borderId="0" xfId="4" applyFont="1" applyAlignment="1">
      <alignment horizontal="centerContinuous"/>
    </xf>
    <xf numFmtId="0" fontId="55" fillId="0" borderId="108" xfId="4" applyFont="1" applyBorder="1" applyAlignment="1">
      <alignment horizontal="centerContinuous"/>
    </xf>
    <xf numFmtId="0" fontId="55" fillId="0" borderId="83" xfId="4" applyFont="1" applyBorder="1"/>
    <xf numFmtId="0" fontId="55" fillId="0" borderId="0" xfId="4" applyFont="1"/>
    <xf numFmtId="0" fontId="55" fillId="0" borderId="108" xfId="4" applyFont="1" applyBorder="1"/>
    <xf numFmtId="0" fontId="58" fillId="0" borderId="1" xfId="4" applyFont="1" applyBorder="1" applyAlignment="1">
      <alignment horizontal="right"/>
    </xf>
    <xf numFmtId="0" fontId="55" fillId="0" borderId="1" xfId="4" applyFont="1" applyBorder="1" applyAlignment="1">
      <alignment horizontal="center"/>
    </xf>
    <xf numFmtId="14" fontId="55" fillId="0" borderId="1" xfId="4" applyNumberFormat="1" applyFont="1" applyBorder="1" applyAlignment="1">
      <alignment horizontal="center"/>
    </xf>
    <xf numFmtId="0" fontId="58" fillId="0" borderId="0" xfId="4" applyFont="1" applyAlignment="1">
      <alignment horizontal="right"/>
    </xf>
    <xf numFmtId="0" fontId="55" fillId="0" borderId="0" xfId="4" applyFont="1" applyAlignment="1">
      <alignment horizontal="center"/>
    </xf>
    <xf numFmtId="9" fontId="55" fillId="0" borderId="0" xfId="4" applyNumberFormat="1" applyFont="1" applyAlignment="1">
      <alignment horizontal="center"/>
    </xf>
    <xf numFmtId="0" fontId="58" fillId="0" borderId="83" xfId="4" applyFont="1" applyBorder="1" applyAlignment="1">
      <alignment horizontal="right"/>
    </xf>
    <xf numFmtId="0" fontId="55" fillId="0" borderId="40" xfId="4" applyFont="1" applyBorder="1"/>
    <xf numFmtId="0" fontId="55" fillId="0" borderId="39" xfId="4" applyFont="1" applyBorder="1" applyAlignment="1">
      <alignment horizontal="center"/>
    </xf>
    <xf numFmtId="0" fontId="55" fillId="0" borderId="85" xfId="4" applyFont="1" applyBorder="1"/>
    <xf numFmtId="0" fontId="58" fillId="0" borderId="17" xfId="4" applyFont="1" applyBorder="1" applyAlignment="1">
      <alignment horizontal="right"/>
    </xf>
    <xf numFmtId="0" fontId="55" fillId="0" borderId="132" xfId="4" applyFont="1" applyBorder="1"/>
    <xf numFmtId="0" fontId="63" fillId="0" borderId="0" xfId="4" applyFont="1"/>
    <xf numFmtId="0" fontId="64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57" fillId="0" borderId="83" xfId="4" applyFont="1" applyBorder="1" applyAlignment="1">
      <alignment horizontal="centerContinuous"/>
    </xf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65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72" fontId="67" fillId="0" borderId="6" xfId="5" applyFont="1" applyBorder="1" applyAlignment="1">
      <alignment horizontal="centerContinuous"/>
    </xf>
    <xf numFmtId="172" fontId="67" fillId="0" borderId="7" xfId="5" applyFont="1" applyBorder="1" applyAlignment="1">
      <alignment horizontal="centerContinuous"/>
    </xf>
    <xf numFmtId="172" fontId="68" fillId="0" borderId="12" xfId="5" applyFont="1" applyBorder="1" applyAlignment="1">
      <alignment horizontal="left"/>
    </xf>
    <xf numFmtId="172" fontId="69" fillId="0" borderId="55" xfId="5" applyFont="1" applyBorder="1"/>
    <xf numFmtId="172" fontId="68" fillId="0" borderId="13" xfId="5" applyFont="1" applyBorder="1" applyAlignment="1">
      <alignment horizontal="centerContinuous"/>
    </xf>
    <xf numFmtId="172" fontId="69" fillId="0" borderId="14" xfId="5" applyFont="1" applyBorder="1" applyAlignment="1">
      <alignment horizontal="centerContinuous"/>
    </xf>
    <xf numFmtId="172" fontId="70" fillId="0" borderId="0" xfId="5" applyFont="1"/>
    <xf numFmtId="172" fontId="66" fillId="0" borderId="0" xfId="5"/>
    <xf numFmtId="172" fontId="67" fillId="0" borderId="45" xfId="5" applyFont="1" applyBorder="1" applyAlignment="1">
      <alignment horizontal="centerContinuous"/>
    </xf>
    <xf numFmtId="172" fontId="67" fillId="0" borderId="0" xfId="5" applyFont="1" applyAlignment="1">
      <alignment horizontal="centerContinuous"/>
    </xf>
    <xf numFmtId="172" fontId="68" fillId="0" borderId="109" xfId="5" applyFont="1" applyBorder="1" applyAlignment="1">
      <alignment horizontal="left"/>
    </xf>
    <xf numFmtId="172" fontId="69" fillId="0" borderId="39" xfId="5" applyFont="1" applyBorder="1"/>
    <xf numFmtId="172" fontId="68" fillId="0" borderId="40" xfId="5" applyFont="1" applyBorder="1" applyAlignment="1">
      <alignment horizontal="centerContinuous"/>
    </xf>
    <xf numFmtId="172" fontId="69" fillId="0" borderId="29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8" fillId="0" borderId="40" xfId="5" quotePrefix="1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70" fillId="0" borderId="46" xfId="5" applyFont="1" applyBorder="1" applyAlignment="1">
      <alignment horizontal="centerContinuous"/>
    </xf>
    <xf numFmtId="172" fontId="69" fillId="0" borderId="23" xfId="5" applyFont="1" applyBorder="1" applyAlignment="1">
      <alignment horizontal="centerContinuous"/>
    </xf>
    <xf numFmtId="172" fontId="68" fillId="0" borderId="46" xfId="5" applyFont="1" applyBorder="1" applyAlignment="1">
      <alignment horizontal="left"/>
    </xf>
    <xf numFmtId="172" fontId="69" fillId="0" borderId="48" xfId="5" applyFont="1" applyBorder="1"/>
    <xf numFmtId="172" fontId="72" fillId="0" borderId="23" xfId="5" applyFont="1" applyBorder="1" applyAlignment="1">
      <alignment horizontal="centerContinuous"/>
    </xf>
    <xf numFmtId="172" fontId="69" fillId="0" borderId="24" xfId="5" applyFont="1" applyBorder="1" applyAlignment="1">
      <alignment horizontal="centerContinuous"/>
    </xf>
    <xf numFmtId="172" fontId="70" fillId="0" borderId="0" xfId="5" applyFont="1" applyAlignment="1">
      <alignment horizontal="centerContinuous"/>
    </xf>
    <xf numFmtId="172" fontId="68" fillId="0" borderId="0" xfId="5" applyFont="1" applyAlignment="1">
      <alignment horizontal="left"/>
    </xf>
    <xf numFmtId="172" fontId="69" fillId="0" borderId="0" xfId="5" applyFont="1"/>
    <xf numFmtId="172" fontId="68" fillId="0" borderId="0" xfId="5" applyFont="1" applyAlignment="1">
      <alignment horizontal="centerContinuous"/>
    </xf>
    <xf numFmtId="172" fontId="73" fillId="0" borderId="0" xfId="5" applyFont="1"/>
    <xf numFmtId="172" fontId="73" fillId="0" borderId="0" xfId="5" applyFont="1" applyAlignment="1">
      <alignment horizontal="right"/>
    </xf>
    <xf numFmtId="172" fontId="73" fillId="0" borderId="0" xfId="5" applyFont="1" applyAlignment="1" applyProtection="1">
      <alignment horizontal="left"/>
      <protection locked="0"/>
    </xf>
    <xf numFmtId="172" fontId="73" fillId="0" borderId="0" xfId="5" applyFont="1" applyAlignment="1">
      <alignment horizontal="centerContinuous"/>
    </xf>
    <xf numFmtId="172" fontId="73" fillId="0" borderId="0" xfId="5" applyFont="1" applyAlignment="1">
      <alignment horizontal="left"/>
    </xf>
    <xf numFmtId="49" fontId="73" fillId="0" borderId="0" xfId="5" quotePrefix="1" applyNumberFormat="1" applyFont="1" applyAlignment="1" applyProtection="1">
      <alignment horizontal="left"/>
      <protection locked="0"/>
    </xf>
    <xf numFmtId="172" fontId="74" fillId="0" borderId="138" xfId="5" applyFont="1" applyBorder="1" applyAlignment="1">
      <alignment horizontal="centerContinuous"/>
    </xf>
    <xf numFmtId="172" fontId="70" fillId="0" borderId="139" xfId="5" applyFont="1" applyBorder="1" applyAlignment="1">
      <alignment horizontal="centerContinuous"/>
    </xf>
    <xf numFmtId="172" fontId="70" fillId="0" borderId="140" xfId="5" applyFont="1" applyBorder="1" applyAlignment="1">
      <alignment horizontal="centerContinuous"/>
    </xf>
    <xf numFmtId="172" fontId="73" fillId="0" borderId="45" xfId="5" applyFont="1" applyBorder="1"/>
    <xf numFmtId="172" fontId="73" fillId="0" borderId="0" xfId="5" applyFont="1" applyAlignment="1" applyProtection="1">
      <alignment horizontal="center"/>
      <protection locked="0"/>
    </xf>
    <xf numFmtId="172" fontId="73" fillId="0" borderId="21" xfId="5" applyFont="1" applyBorder="1" applyAlignment="1" applyProtection="1">
      <alignment horizontal="center"/>
      <protection locked="0"/>
    </xf>
    <xf numFmtId="172" fontId="73" fillId="0" borderId="0" xfId="5" applyFont="1" applyAlignment="1">
      <alignment horizontal="center"/>
    </xf>
    <xf numFmtId="49" fontId="73" fillId="0" borderId="0" xfId="5" applyNumberFormat="1" applyFont="1" applyAlignment="1">
      <alignment horizontal="center"/>
    </xf>
    <xf numFmtId="172" fontId="73" fillId="0" borderId="0" xfId="5" quotePrefix="1" applyFont="1" applyAlignment="1">
      <alignment horizontal="right"/>
    </xf>
    <xf numFmtId="172" fontId="73" fillId="0" borderId="0" xfId="5" quotePrefix="1" applyFont="1" applyAlignment="1" applyProtection="1">
      <alignment horizontal="center"/>
      <protection locked="0"/>
    </xf>
    <xf numFmtId="172" fontId="73" fillId="0" borderId="21" xfId="5" applyFont="1" applyBorder="1"/>
    <xf numFmtId="172" fontId="73" fillId="0" borderId="46" xfId="5" applyFont="1" applyBorder="1"/>
    <xf numFmtId="172" fontId="73" fillId="0" borderId="23" xfId="5" applyFont="1" applyBorder="1" applyAlignment="1">
      <alignment horizontal="right"/>
    </xf>
    <xf numFmtId="167" fontId="73" fillId="0" borderId="23" xfId="5" quotePrefix="1" applyNumberFormat="1" applyFont="1" applyBorder="1" applyAlignment="1" applyProtection="1">
      <alignment horizontal="center"/>
      <protection locked="0"/>
    </xf>
    <xf numFmtId="172" fontId="73" fillId="0" borderId="23" xfId="5" applyFont="1" applyBorder="1"/>
    <xf numFmtId="167" fontId="73" fillId="0" borderId="23" xfId="5" applyNumberFormat="1" applyFont="1" applyBorder="1"/>
    <xf numFmtId="172" fontId="73" fillId="0" borderId="24" xfId="5" applyFont="1" applyBorder="1"/>
    <xf numFmtId="172" fontId="75" fillId="0" borderId="45" xfId="5" quotePrefix="1" applyFont="1" applyBorder="1" applyAlignment="1">
      <alignment horizontal="left"/>
    </xf>
    <xf numFmtId="172" fontId="69" fillId="0" borderId="0" xfId="5" quotePrefix="1" applyFont="1" applyAlignment="1">
      <alignment horizontal="right"/>
    </xf>
    <xf numFmtId="172" fontId="69" fillId="0" borderId="108" xfId="5" applyFont="1" applyBorder="1"/>
    <xf numFmtId="172" fontId="75" fillId="0" borderId="0" xfId="5" applyFont="1" applyAlignment="1">
      <alignment horizontal="left"/>
    </xf>
    <xf numFmtId="172" fontId="69" fillId="0" borderId="0" xfId="5" applyFont="1" applyAlignment="1">
      <alignment horizontal="right"/>
    </xf>
    <xf numFmtId="172" fontId="69" fillId="0" borderId="108" xfId="5" applyFont="1" applyBorder="1" applyAlignment="1">
      <alignment horizontal="right"/>
    </xf>
    <xf numFmtId="172" fontId="75" fillId="0" borderId="0" xfId="5" quotePrefix="1" applyFont="1" applyAlignment="1">
      <alignment horizontal="left"/>
    </xf>
    <xf numFmtId="172" fontId="69" fillId="0" borderId="21" xfId="5" applyFont="1" applyBorder="1"/>
    <xf numFmtId="172" fontId="66" fillId="0" borderId="45" xfId="5" applyBorder="1"/>
    <xf numFmtId="172" fontId="73" fillId="0" borderId="108" xfId="5" applyFont="1" applyBorder="1" applyAlignment="1" applyProtection="1">
      <alignment horizontal="center"/>
      <protection locked="0"/>
    </xf>
    <xf numFmtId="1" fontId="73" fillId="0" borderId="108" xfId="5" applyNumberFormat="1" applyFont="1" applyBorder="1" applyAlignment="1">
      <alignment horizontal="center"/>
    </xf>
    <xf numFmtId="172" fontId="73" fillId="0" borderId="108" xfId="5" applyFont="1" applyBorder="1"/>
    <xf numFmtId="172" fontId="73" fillId="0" borderId="48" xfId="5" applyFont="1" applyBorder="1"/>
    <xf numFmtId="172" fontId="73" fillId="0" borderId="48" xfId="5" applyFont="1" applyBorder="1" applyAlignment="1">
      <alignment horizontal="left"/>
    </xf>
    <xf numFmtId="172" fontId="74" fillId="0" borderId="141" xfId="5" applyFont="1" applyBorder="1" applyAlignment="1">
      <alignment horizontal="centerContinuous"/>
    </xf>
    <xf numFmtId="172" fontId="70" fillId="0" borderId="142" xfId="5" applyFont="1" applyBorder="1" applyAlignment="1">
      <alignment horizontal="centerContinuous"/>
    </xf>
    <xf numFmtId="172" fontId="66" fillId="0" borderId="143" xfId="5" applyBorder="1"/>
    <xf numFmtId="172" fontId="70" fillId="0" borderId="144" xfId="5" applyFont="1" applyBorder="1" applyAlignment="1">
      <alignment horizontal="centerContinuous"/>
    </xf>
    <xf numFmtId="172" fontId="75" fillId="0" borderId="45" xfId="5" applyFont="1" applyBorder="1" applyAlignment="1">
      <alignment horizontal="left"/>
    </xf>
    <xf numFmtId="172" fontId="66" fillId="0" borderId="108" xfId="5" applyBorder="1"/>
    <xf numFmtId="167" fontId="73" fillId="0" borderId="0" xfId="5" applyNumberFormat="1" applyFont="1" applyAlignment="1" applyProtection="1">
      <alignment horizontal="center"/>
      <protection locked="0"/>
    </xf>
    <xf numFmtId="172" fontId="73" fillId="0" borderId="45" xfId="5" applyFont="1" applyBorder="1" applyAlignment="1">
      <alignment horizontal="left"/>
    </xf>
    <xf numFmtId="172" fontId="66" fillId="0" borderId="48" xfId="5" applyBorder="1"/>
    <xf numFmtId="172" fontId="70" fillId="0" borderId="0" xfId="5" applyFont="1" applyAlignment="1">
      <alignment horizontal="left"/>
    </xf>
    <xf numFmtId="172" fontId="70" fillId="0" borderId="141" xfId="5" applyFont="1" applyBorder="1"/>
    <xf numFmtId="172" fontId="69" fillId="0" borderId="142" xfId="5" applyFont="1" applyBorder="1" applyAlignment="1">
      <alignment horizontal="left"/>
    </xf>
    <xf numFmtId="172" fontId="69" fillId="0" borderId="144" xfId="5" applyFont="1" applyBorder="1" applyAlignment="1">
      <alignment horizontal="left"/>
    </xf>
    <xf numFmtId="172" fontId="73" fillId="0" borderId="45" xfId="5" quotePrefix="1" applyFont="1" applyBorder="1" applyAlignment="1">
      <alignment horizontal="left"/>
    </xf>
    <xf numFmtId="172" fontId="73" fillId="0" borderId="21" xfId="5" applyFont="1" applyBorder="1" applyAlignment="1">
      <alignment horizontal="left"/>
    </xf>
    <xf numFmtId="172" fontId="76" fillId="0" borderId="145" xfId="5" applyFont="1" applyBorder="1"/>
    <xf numFmtId="172" fontId="73" fillId="0" borderId="0" xfId="5" quotePrefix="1" applyFont="1" applyAlignment="1">
      <alignment horizontal="left"/>
    </xf>
    <xf numFmtId="172" fontId="73" fillId="0" borderId="146" xfId="5" quotePrefix="1" applyFont="1" applyBorder="1" applyAlignment="1">
      <alignment horizontal="left"/>
    </xf>
    <xf numFmtId="172" fontId="73" fillId="0" borderId="147" xfId="5" quotePrefix="1" applyFont="1" applyBorder="1" applyAlignment="1">
      <alignment horizontal="left"/>
    </xf>
    <xf numFmtId="172" fontId="73" fillId="0" borderId="46" xfId="5" applyFont="1" applyBorder="1" applyAlignment="1">
      <alignment horizontal="left"/>
    </xf>
    <xf numFmtId="172" fontId="73" fillId="0" borderId="23" xfId="5" applyFont="1" applyBorder="1" applyAlignment="1">
      <alignment horizontal="left"/>
    </xf>
    <xf numFmtId="172" fontId="73" fillId="0" borderId="24" xfId="5" applyFont="1" applyBorder="1" applyAlignment="1">
      <alignment horizontal="left"/>
    </xf>
    <xf numFmtId="172" fontId="69" fillId="0" borderId="0" xfId="5" applyFont="1" applyAlignment="1">
      <alignment horizontal="left"/>
    </xf>
    <xf numFmtId="172" fontId="77" fillId="0" borderId="0" xfId="5" applyFont="1" applyAlignment="1">
      <alignment horizontal="right"/>
    </xf>
    <xf numFmtId="172" fontId="66" fillId="0" borderId="0" xfId="5" applyAlignment="1">
      <alignment horizontal="right"/>
    </xf>
    <xf numFmtId="49" fontId="55" fillId="0" borderId="40" xfId="4" applyNumberFormat="1" applyFont="1" applyBorder="1"/>
    <xf numFmtId="0" fontId="1" fillId="6" borderId="0" xfId="4" applyFill="1"/>
    <xf numFmtId="167" fontId="2" fillId="0" borderId="0" xfId="0" applyNumberFormat="1" applyFont="1" applyAlignment="1">
      <alignment horizontal="left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Alignment="1">
      <alignment horizontal="center"/>
    </xf>
    <xf numFmtId="0" fontId="51" fillId="0" borderId="53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0" fontId="59" fillId="0" borderId="17" xfId="4" applyFont="1" applyBorder="1" applyAlignment="1">
      <alignment horizontal="right"/>
    </xf>
    <xf numFmtId="0" fontId="59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60" fillId="0" borderId="0" xfId="4" applyFont="1" applyAlignment="1">
      <alignment horizontal="right"/>
    </xf>
    <xf numFmtId="0" fontId="59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1" fillId="0" borderId="17" xfId="4" applyFont="1" applyBorder="1" applyAlignment="1">
      <alignment horizontal="center"/>
    </xf>
    <xf numFmtId="172" fontId="78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5" fillId="0" borderId="17" xfId="4" applyFont="1" applyBorder="1" applyAlignment="1">
      <alignment horizontal="center"/>
    </xf>
    <xf numFmtId="0" fontId="55" fillId="0" borderId="131" xfId="4" applyFont="1" applyBorder="1" applyAlignment="1">
      <alignment horizontal="center"/>
    </xf>
    <xf numFmtId="0" fontId="55" fillId="0" borderId="132" xfId="4" applyFont="1" applyBorder="1" applyAlignment="1">
      <alignment horizontal="center"/>
    </xf>
    <xf numFmtId="0" fontId="57" fillId="0" borderId="83" xfId="4" applyFont="1" applyBorder="1" applyAlignment="1">
      <alignment horizontal="center"/>
    </xf>
    <xf numFmtId="0" fontId="57" fillId="0" borderId="0" xfId="4" applyFont="1" applyAlignment="1">
      <alignment horizontal="center"/>
    </xf>
    <xf numFmtId="0" fontId="57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98.233672908348396</c:v>
                </c:pt>
                <c:pt idx="2">
                  <c:v>265</c:v>
                </c:pt>
                <c:pt idx="3">
                  <c:v>191.10021978560499</c:v>
                </c:pt>
                <c:pt idx="4">
                  <c:v>139.75763725621073</c:v>
                </c:pt>
                <c:pt idx="5">
                  <c:v>115.39020866045327</c:v>
                </c:pt>
                <c:pt idx="6">
                  <c:v>99.825147419314007</c:v>
                </c:pt>
                <c:pt idx="7">
                  <c:v>95</c:v>
                </c:pt>
                <c:pt idx="8">
                  <c:v>95.15507341544172</c:v>
                </c:pt>
                <c:pt idx="9">
                  <c:v>96.521074304204973</c:v>
                </c:pt>
                <c:pt idx="10">
                  <c:v>99.699771100784858</c:v>
                </c:pt>
                <c:pt idx="11">
                  <c:v>105.80342708873681</c:v>
                </c:pt>
                <c:pt idx="12">
                  <c:v>116.61291890022255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5-4D76-92EA-6780AFCFF11A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15-4D76-92EA-6780AFCF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55784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0.23834618926048279</c:v>
                </c:pt>
                <c:pt idx="1">
                  <c:v>106.45194244384766</c:v>
                </c:pt>
                <c:pt idx="2">
                  <c:v>376.59368896484375</c:v>
                </c:pt>
                <c:pt idx="3">
                  <c:v>487.2952880859375</c:v>
                </c:pt>
                <c:pt idx="4">
                  <c:v>523.31463623046875</c:v>
                </c:pt>
                <c:pt idx="5">
                  <c:v>539.51190185546875</c:v>
                </c:pt>
                <c:pt idx="6">
                  <c:v>555.0203857421875</c:v>
                </c:pt>
                <c:pt idx="7">
                  <c:v>564.04815673828125</c:v>
                </c:pt>
                <c:pt idx="8">
                  <c:v>571.14337158203125</c:v>
                </c:pt>
                <c:pt idx="9">
                  <c:v>577.365966796875</c:v>
                </c:pt>
                <c:pt idx="10">
                  <c:v>582.73663330078125</c:v>
                </c:pt>
                <c:pt idx="11">
                  <c:v>587.61163330078125</c:v>
                </c:pt>
                <c:pt idx="12">
                  <c:v>591.992431640625</c:v>
                </c:pt>
                <c:pt idx="13">
                  <c:v>595.8333740234375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15-4D76-92EA-6780AFCF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04557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0455784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19552008"/>
          <c:y val="2.8517140878862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98.233672908348396</c:v>
                </c:pt>
                <c:pt idx="2">
                  <c:v>265</c:v>
                </c:pt>
                <c:pt idx="3">
                  <c:v>191.10021978560499</c:v>
                </c:pt>
                <c:pt idx="4">
                  <c:v>139.75763725621073</c:v>
                </c:pt>
                <c:pt idx="5">
                  <c:v>115.39020866045327</c:v>
                </c:pt>
                <c:pt idx="6">
                  <c:v>99.825147419314007</c:v>
                </c:pt>
                <c:pt idx="7">
                  <c:v>95</c:v>
                </c:pt>
                <c:pt idx="8">
                  <c:v>95.15507341544172</c:v>
                </c:pt>
                <c:pt idx="9">
                  <c:v>96.521074304204973</c:v>
                </c:pt>
                <c:pt idx="10">
                  <c:v>99.699771100784858</c:v>
                </c:pt>
                <c:pt idx="11">
                  <c:v>105.80342708873681</c:v>
                </c:pt>
                <c:pt idx="12">
                  <c:v>116.61291890022255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F-4E43-9131-9E7B72E2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567496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DF-4E43-9131-9E7B72E2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567496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0.23834618926048279</c:v>
                </c:pt>
                <c:pt idx="1">
                  <c:v>106.45194244384766</c:v>
                </c:pt>
                <c:pt idx="2">
                  <c:v>376.59368896484375</c:v>
                </c:pt>
                <c:pt idx="3">
                  <c:v>487.2952880859375</c:v>
                </c:pt>
                <c:pt idx="4">
                  <c:v>523.31463623046875</c:v>
                </c:pt>
                <c:pt idx="5">
                  <c:v>539.51190185546875</c:v>
                </c:pt>
                <c:pt idx="6">
                  <c:v>555.0203857421875</c:v>
                </c:pt>
                <c:pt idx="7">
                  <c:v>564.04815673828125</c:v>
                </c:pt>
                <c:pt idx="8">
                  <c:v>571.14337158203125</c:v>
                </c:pt>
                <c:pt idx="9">
                  <c:v>577.365966796875</c:v>
                </c:pt>
                <c:pt idx="10">
                  <c:v>582.73663330078125</c:v>
                </c:pt>
                <c:pt idx="11">
                  <c:v>587.61163330078125</c:v>
                </c:pt>
                <c:pt idx="12">
                  <c:v>591.992431640625</c:v>
                </c:pt>
                <c:pt idx="13">
                  <c:v>595.8333740234375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DF-4E43-9131-9E7B72E2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456749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6807607955"/>
              <c:y val="0.846008445646748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47053536117E-2"/>
              <c:y val="0.2965780638616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456749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741487793"/>
              <c:y val="0.2927759125968149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0200985149"/>
          <c:y val="0.9401842503582758"/>
          <c:w val="0.23193021249056198"/>
          <c:h val="5.981574964172423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595.83333333333337</c:v>
                </c:pt>
                <c:pt idx="1">
                  <c:v>523.22948333333329</c:v>
                </c:pt>
                <c:pt idx="2">
                  <c:v>450.60385000000002</c:v>
                </c:pt>
                <c:pt idx="3">
                  <c:v>378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7.0958886827741354</c:v>
                </c:pt>
                <c:pt idx="1">
                  <c:v>9.2017826204683768</c:v>
                </c:pt>
                <c:pt idx="2">
                  <c:v>12.406994486990454</c:v>
                </c:pt>
                <c:pt idx="3">
                  <c:v>17.630831128024639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7-4EAB-9A07-FC3C7F53C8A9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595.83333333333337</c:v>
                </c:pt>
                <c:pt idx="1">
                  <c:v>523.22948333333329</c:v>
                </c:pt>
                <c:pt idx="2">
                  <c:v>450.60385000000002</c:v>
                </c:pt>
                <c:pt idx="3">
                  <c:v>378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3.5221767425537114</c:v>
                </c:pt>
                <c:pt idx="1">
                  <c:v>4.5674764902284046</c:v>
                </c:pt>
                <c:pt idx="2">
                  <c:v>6.1584432029147251</c:v>
                </c:pt>
                <c:pt idx="3">
                  <c:v>8.7513919858650961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57-4EAB-9A07-FC3C7F53C8A9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278</c:v>
                </c:pt>
                <c:pt idx="1">
                  <c:v>178</c:v>
                </c:pt>
                <c:pt idx="2">
                  <c:v>265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17.806107404889257</c:v>
                </c:pt>
                <c:pt idx="3">
                  <c:v>38.593638657665075</c:v>
                </c:pt>
                <c:pt idx="4">
                  <c:v>59.473669084820358</c:v>
                </c:pt>
                <c:pt idx="5" formatCode="0">
                  <c:v>200</c:v>
                </c:pt>
                <c:pt idx="6" formatCode="0">
                  <c:v>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7-4EAB-9A07-FC3C7F53C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04328"/>
        <c:axId val="1"/>
      </c:scatterChart>
      <c:valAx>
        <c:axId val="40710432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36488268916"/>
              <c:y val="0.94970480271111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02075755759E-2"/>
              <c:y val="0.375739950763911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710432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91.374359130859375</c:v>
                </c:pt>
                <c:pt idx="2">
                  <c:v>94.243209838867188</c:v>
                </c:pt>
                <c:pt idx="3">
                  <c:v>94.9595947265625</c:v>
                </c:pt>
                <c:pt idx="4">
                  <c:v>95.097885131835938</c:v>
                </c:pt>
                <c:pt idx="5">
                  <c:v>94.997360229492188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5A-4E66-B8DD-6ADE79091807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63.851985931396484</c:v>
                </c:pt>
                <c:pt idx="1">
                  <c:v>81.494247436523438</c:v>
                </c:pt>
                <c:pt idx="2">
                  <c:v>86.709793090820313</c:v>
                </c:pt>
                <c:pt idx="3">
                  <c:v>88.349349975585938</c:v>
                </c:pt>
                <c:pt idx="4">
                  <c:v>88.551177978515625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5A-4E66-B8DD-6ADE79091807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83.550864564635035</c:v>
                </c:pt>
                <c:pt idx="2">
                  <c:v>64.740837451919134</c:v>
                </c:pt>
                <c:pt idx="3">
                  <c:v>45.409295337457266</c:v>
                </c:pt>
                <c:pt idx="4">
                  <c:v>25.400539576022751</c:v>
                </c:pt>
                <c:pt idx="5">
                  <c:v>5.4099067344405505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5A-4E66-B8DD-6ADE79091807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2</c:v>
                </c:pt>
                <c:pt idx="1">
                  <c:v>7.6445329923448408</c:v>
                </c:pt>
                <c:pt idx="2">
                  <c:v>14.823654417380611</c:v>
                </c:pt>
                <c:pt idx="3">
                  <c:v>22.06773092960486</c:v>
                </c:pt>
                <c:pt idx="4">
                  <c:v>29.380854942338736</c:v>
                </c:pt>
                <c:pt idx="5">
                  <c:v>36.764932459993545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25A-4E66-B8DD-6ADE7909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46084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47.011783583205457</c:v>
                </c:pt>
                <c:pt idx="1">
                  <c:v>69.123970031738281</c:v>
                </c:pt>
                <c:pt idx="2">
                  <c:v>105.02203369140625</c:v>
                </c:pt>
                <c:pt idx="3">
                  <c:v>146.9405517578125</c:v>
                </c:pt>
                <c:pt idx="4">
                  <c:v>192.00527954101563</c:v>
                </c:pt>
                <c:pt idx="5">
                  <c:v>239.71296691894531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25A-4E66-B8DD-6ADE7909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54608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6084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2300V'!$B$54:$B$59</c:f>
              <c:numCache>
                <c:formatCode>0.0</c:formatCode>
                <c:ptCount val="6"/>
                <c:pt idx="1">
                  <c:v>91.374359130859375</c:v>
                </c:pt>
                <c:pt idx="2">
                  <c:v>94.243209838867188</c:v>
                </c:pt>
                <c:pt idx="3">
                  <c:v>94.9595947265625</c:v>
                </c:pt>
                <c:pt idx="4">
                  <c:v>95.097885131835938</c:v>
                </c:pt>
                <c:pt idx="5">
                  <c:v>94.997360229492188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E3-4E22-A0BC-F351FD19547E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2300V'!$C$55:$C$59</c:f>
              <c:numCache>
                <c:formatCode>0.0</c:formatCode>
                <c:ptCount val="5"/>
                <c:pt idx="0">
                  <c:v>63.851985931396484</c:v>
                </c:pt>
                <c:pt idx="1">
                  <c:v>81.494247436523438</c:v>
                </c:pt>
                <c:pt idx="2">
                  <c:v>86.709793090820313</c:v>
                </c:pt>
                <c:pt idx="3">
                  <c:v>88.349349975585938</c:v>
                </c:pt>
                <c:pt idx="4">
                  <c:v>88.551177978515625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E3-4E22-A0BC-F351FD19547E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83.550864564635035</c:v>
                </c:pt>
                <c:pt idx="2">
                  <c:v>64.740837451919134</c:v>
                </c:pt>
                <c:pt idx="3">
                  <c:v>45.409295337457266</c:v>
                </c:pt>
                <c:pt idx="4">
                  <c:v>25.400539576022751</c:v>
                </c:pt>
                <c:pt idx="5">
                  <c:v>5.4099067344405505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E3-4E22-A0BC-F351FD19547E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2300V'!$F$54:$F$59</c:f>
              <c:numCache>
                <c:formatCode>0.0</c:formatCode>
                <c:ptCount val="6"/>
                <c:pt idx="0">
                  <c:v>2</c:v>
                </c:pt>
                <c:pt idx="1">
                  <c:v>7.6445329923448408</c:v>
                </c:pt>
                <c:pt idx="2">
                  <c:v>14.823654417380611</c:v>
                </c:pt>
                <c:pt idx="3">
                  <c:v>22.06773092960486</c:v>
                </c:pt>
                <c:pt idx="4">
                  <c:v>29.380854942338736</c:v>
                </c:pt>
                <c:pt idx="5">
                  <c:v>36.764932459993545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E3-4E22-A0BC-F351FD19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460840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2300V'!$D$54:$D$59</c:f>
              <c:numCache>
                <c:formatCode>0.0</c:formatCode>
                <c:ptCount val="6"/>
                <c:pt idx="0">
                  <c:v>81.4267977205443</c:v>
                </c:pt>
                <c:pt idx="1">
                  <c:v>119.72622811583915</c:v>
                </c:pt>
                <c:pt idx="2">
                  <c:v>181.90349826772604</c:v>
                </c:pt>
                <c:pt idx="3">
                  <c:v>254.50850133673555</c:v>
                </c:pt>
                <c:pt idx="4">
                  <c:v>332.56289948650414</c:v>
                </c:pt>
                <c:pt idx="5">
                  <c:v>415.19503793669077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E3-4E22-A0BC-F351FD19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54608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15460840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5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56</xdr:row>
      <xdr:rowOff>7620</xdr:rowOff>
    </xdr:from>
    <xdr:to>
      <xdr:col>9</xdr:col>
      <xdr:colOff>838200</xdr:colOff>
      <xdr:row>67</xdr:row>
      <xdr:rowOff>182880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358140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402580" y="988314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43</xdr:row>
      <xdr:rowOff>0</xdr:rowOff>
    </xdr:from>
    <xdr:to>
      <xdr:col>9</xdr:col>
      <xdr:colOff>320040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26542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335280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28066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403860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250180" y="988314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38734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449636</xdr:colOff>
      <xdr:row>29</xdr:row>
      <xdr:rowOff>202266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61185" y="6768465"/>
          <a:ext cx="2496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880110" y="7139940"/>
          <a:ext cx="39250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211455</xdr:colOff>
      <xdr:row>26</xdr:row>
      <xdr:rowOff>200025</xdr:rowOff>
    </xdr:from>
    <xdr:to>
      <xdr:col>3</xdr:col>
      <xdr:colOff>47725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07795" y="6196965"/>
          <a:ext cx="30109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</xdr:txBody>
    </xdr:sp>
    <xdr:clientData/>
  </xdr:twoCellAnchor>
  <xdr:twoCellAnchor>
    <xdr:from>
      <xdr:col>1</xdr:col>
      <xdr:colOff>388620</xdr:colOff>
      <xdr:row>27</xdr:row>
      <xdr:rowOff>60960</xdr:rowOff>
    </xdr:from>
    <xdr:to>
      <xdr:col>3</xdr:col>
      <xdr:colOff>434340</xdr:colOff>
      <xdr:row>31</xdr:row>
      <xdr:rowOff>220980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>
          <a:grpSpLocks/>
        </xdr:cNvGrpSpPr>
      </xdr:nvGrpSpPr>
      <xdr:grpSpPr bwMode="auto">
        <a:xfrm>
          <a:off x="1160145" y="6299835"/>
          <a:ext cx="883920" cy="1074420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422910</xdr:colOff>
      <xdr:row>42</xdr:row>
      <xdr:rowOff>180975</xdr:rowOff>
    </xdr:from>
    <xdr:to>
      <xdr:col>3</xdr:col>
      <xdr:colOff>297269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619250" y="9835515"/>
          <a:ext cx="33917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3370.3</a:t>
          </a:r>
        </a:p>
      </xdr:txBody>
    </xdr:sp>
    <xdr:clientData/>
  </xdr:twoCellAnchor>
  <xdr:twoCellAnchor>
    <xdr:from>
      <xdr:col>1</xdr:col>
      <xdr:colOff>249555</xdr:colOff>
      <xdr:row>40</xdr:row>
      <xdr:rowOff>200025</xdr:rowOff>
    </xdr:from>
    <xdr:to>
      <xdr:col>2</xdr:col>
      <xdr:colOff>240030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42035" y="9397365"/>
          <a:ext cx="394335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367.0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335227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263015" y="9254490"/>
          <a:ext cx="2685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43.0</a:t>
          </a:r>
        </a:p>
      </xdr:txBody>
    </xdr:sp>
    <xdr:clientData/>
  </xdr:twoCellAnchor>
  <xdr:twoCellAnchor>
    <xdr:from>
      <xdr:col>2</xdr:col>
      <xdr:colOff>344805</xdr:colOff>
      <xdr:row>40</xdr:row>
      <xdr:rowOff>57150</xdr:rowOff>
    </xdr:from>
    <xdr:to>
      <xdr:col>3</xdr:col>
      <xdr:colOff>173355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1541145" y="9254490"/>
          <a:ext cx="2933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</xdr:txBody>
    </xdr:sp>
    <xdr:clientData/>
  </xdr:twoCellAnchor>
  <xdr:twoCellAnchor>
    <xdr:from>
      <xdr:col>1</xdr:col>
      <xdr:colOff>287655</xdr:colOff>
      <xdr:row>42</xdr:row>
      <xdr:rowOff>0</xdr:rowOff>
    </xdr:from>
    <xdr:to>
      <xdr:col>2</xdr:col>
      <xdr:colOff>182880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080135" y="9654540"/>
          <a:ext cx="29908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281.0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373380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1786890" y="745426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1.90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470482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863090" y="8101965"/>
          <a:ext cx="268552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37.00</a:t>
          </a:r>
        </a:p>
      </xdr:txBody>
    </xdr:sp>
    <xdr:clientData/>
  </xdr:twoCellAnchor>
  <xdr:twoCellAnchor>
    <xdr:from>
      <xdr:col>2</xdr:col>
      <xdr:colOff>394335</xdr:colOff>
      <xdr:row>33</xdr:row>
      <xdr:rowOff>142875</xdr:rowOff>
    </xdr:from>
    <xdr:to>
      <xdr:col>3</xdr:col>
      <xdr:colOff>163767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1590675" y="7740015"/>
          <a:ext cx="2342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382905</xdr:colOff>
      <xdr:row>34</xdr:row>
      <xdr:rowOff>38100</xdr:rowOff>
    </xdr:from>
    <xdr:to>
      <xdr:col>3</xdr:col>
      <xdr:colOff>173355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1579245" y="7863840"/>
          <a:ext cx="2552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11.1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135402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1144905" y="7844790"/>
          <a:ext cx="186837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6.0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459105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360170" y="8140065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17.00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344805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1710690" y="830199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22.00</a:t>
          </a:r>
        </a:p>
      </xdr:txBody>
    </xdr:sp>
    <xdr:clientData/>
  </xdr:twoCellAnchor>
  <xdr:twoCellAnchor>
    <xdr:from>
      <xdr:col>2</xdr:col>
      <xdr:colOff>182880</xdr:colOff>
      <xdr:row>36</xdr:row>
      <xdr:rowOff>152400</xdr:rowOff>
    </xdr:from>
    <xdr:to>
      <xdr:col>2</xdr:col>
      <xdr:colOff>411480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1379220" y="8435340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13.36</a:t>
          </a:r>
        </a:p>
      </xdr:txBody>
    </xdr:sp>
    <xdr:clientData/>
  </xdr:twoCellAnchor>
  <xdr:twoCellAnchor>
    <xdr:from>
      <xdr:col>1</xdr:col>
      <xdr:colOff>160020</xdr:colOff>
      <xdr:row>39</xdr:row>
      <xdr:rowOff>91440</xdr:rowOff>
    </xdr:from>
    <xdr:to>
      <xdr:col>3</xdr:col>
      <xdr:colOff>533400</xdr:colOff>
      <xdr:row>43</xdr:row>
      <xdr:rowOff>68580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>
          <a:grpSpLocks/>
        </xdr:cNvGrpSpPr>
      </xdr:nvGrpSpPr>
      <xdr:grpSpPr bwMode="auto">
        <a:xfrm>
          <a:off x="931545" y="9073515"/>
          <a:ext cx="1211580" cy="891540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0000000-0008-0000-01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358140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rrowheads="1"/>
        </xdr:cNvSpPr>
      </xdr:nvSpPr>
      <xdr:spPr bwMode="auto">
        <a:xfrm>
          <a:off x="5402580" y="1009650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44</xdr:row>
      <xdr:rowOff>0</xdr:rowOff>
    </xdr:from>
    <xdr:to>
      <xdr:col>9</xdr:col>
      <xdr:colOff>320040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rrowheads="1"/>
        </xdr:cNvSpPr>
      </xdr:nvSpPr>
      <xdr:spPr bwMode="auto">
        <a:xfrm>
          <a:off x="526542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335280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rrowheads="1"/>
        </xdr:cNvSpPr>
      </xdr:nvSpPr>
      <xdr:spPr bwMode="auto">
        <a:xfrm>
          <a:off x="528066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403860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5250180" y="1009650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rrowheads="1"/>
        </xdr:cNvSpPr>
      </xdr:nvSpPr>
      <xdr:spPr bwMode="auto">
        <a:xfrm>
          <a:off x="538734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373380</xdr:colOff>
      <xdr:row>32</xdr:row>
      <xdr:rowOff>182880</xdr:rowOff>
    </xdr:from>
    <xdr:to>
      <xdr:col>3</xdr:col>
      <xdr:colOff>320040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>
          <a:grpSpLocks/>
        </xdr:cNvGrpSpPr>
      </xdr:nvGrpSpPr>
      <xdr:grpSpPr bwMode="auto">
        <a:xfrm>
          <a:off x="1144905" y="7564755"/>
          <a:ext cx="784860" cy="1112520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00000000-0008-0000-0100-00005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00000000-0008-0000-0100-00005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00000000-0008-0000-0100-00005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00000000-0008-0000-0100-00005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00000000-0008-0000-0100-00005F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00000000-0008-0000-0100-00006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00000000-0008-0000-0100-00006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00000000-0008-0000-0100-00006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0000000-0008-0000-0100-00006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00000000-0008-0000-0100-00006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00000000-0008-0000-0100-000065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00000000-0008-0000-0100-00006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00000000-0008-0000-0100-00006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00000000-0008-0000-0100-00006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00000000-0008-0000-0100-00006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00000000-0008-0000-0100-00006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00000000-0008-0000-0100-00006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00000000-0008-0000-0100-00006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00000000-0008-0000-0100-00006D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00000000-0008-0000-0100-00006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00000000-0008-0000-0100-00006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00000000-0008-0000-0100-00007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00000000-0008-0000-0100-00007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00000000-0008-0000-0100-00007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00000000-0008-0000-0100-00007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0000000-0008-0000-0100-00007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00000000-0008-0000-0100-00007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00000000-0008-0000-0100-00007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00000000-0008-0000-0100-00007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00000000-0008-0000-0100-000078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0000000-0008-0000-0100-00007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00000000-0008-0000-0100-00005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670560</xdr:colOff>
      <xdr:row>28</xdr:row>
      <xdr:rowOff>200025</xdr:rowOff>
    </xdr:from>
    <xdr:to>
      <xdr:col>4</xdr:col>
      <xdr:colOff>724004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331720" y="6654165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670560</xdr:colOff>
      <xdr:row>34</xdr:row>
      <xdr:rowOff>209550</xdr:rowOff>
    </xdr:from>
    <xdr:to>
      <xdr:col>4</xdr:col>
      <xdr:colOff>724004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331720" y="803529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670560</xdr:colOff>
      <xdr:row>40</xdr:row>
      <xdr:rowOff>152400</xdr:rowOff>
    </xdr:from>
    <xdr:to>
      <xdr:col>4</xdr:col>
      <xdr:colOff>724004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331720" y="934974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594360" y="1272540"/>
          <a:ext cx="9220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594360" y="1440180"/>
          <a:ext cx="116281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7620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594360" y="487680"/>
          <a:ext cx="0" cy="777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0.63871</cdr:x>
      <cdr:y>0.65025</cdr:y>
    </cdr:from>
    <cdr:to>
      <cdr:x>0.878</cdr:x>
      <cdr:y>0.67094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0.63871</cdr:x>
      <cdr:y>0.54409</cdr:y>
    </cdr:from>
    <cdr:to>
      <cdr:x>0.92546</cdr:x>
      <cdr:y>0.56946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54941-CB69-46C7-936A-5F4FF7FBC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82E5D054-F50C-4F35-B58E-B25455C3BD55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AB4D49D8-B44D-4155-B569-B993145F5F32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E16057A0-0817-4790-BBBE-5B178C2AAA2A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835FECDD-8828-4393-AC26-C16EF6596804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137CA64D-3D0A-42F0-960F-E4BE4E422E1B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73631A44-1FA2-4DFF-8B95-5D4E6FBD6CDF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936016F3-CE97-4065-957B-4164881DEB31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534E4B48-FEEC-442B-BCB4-47DB17F09003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FAEFA3F1-9121-460C-8228-6A78E4354067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B1DC5EE3-3636-4565-82F9-C247CEA4F5CC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4A060C67-E500-4D5F-A5A2-649197141A07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8C8DCA3C-019E-488D-9348-87E0706A3D79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BC346EDE-C705-44A4-91E1-30494465CB6C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693843EF-B7BD-4A86-BA73-F6C091CF544E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DB64EBE7-DBB9-422F-9EE1-E678373A8EEF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34969C0A-4451-4AD0-AB60-97D81FE8FED5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606444C9-D2EB-4F1F-BB39-38B9D6E966C9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054F5C85-5284-451B-A620-185E436FFFDB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2F7716C7-FF54-4B9B-9860-70563382B87F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4BCA14AD-5C66-44E2-AD64-C6E01E96A066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19003BB3-3031-475A-90E9-182B618FFA27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A8DBDDB7-4AC1-4C40-8D9A-A9B7CFD652DB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4E3E10A0-246A-43B5-998F-A45FB8D58A68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641815B0-3B64-4839-B0A2-DBF475651605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20758BFC-2A9F-43FE-A046-005639453B63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53ED0E23-938E-4C47-804C-218A2F50AB16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DAB57A9D-3CFF-4A77-8277-DE4D0E710967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D3E85867-7D2F-4735-9582-E46C519B6BB4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5728B438-A9F5-46B5-BF28-D56A9BDF42A2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23" zoomScale="95" zoomScaleNormal="95" workbookViewId="0">
      <selection activeCell="M41" sqref="M4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218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219</v>
      </c>
    </row>
    <row r="3" spans="1:10" ht="15" customHeight="1" thickBot="1">
      <c r="A3" s="47" t="s">
        <v>1</v>
      </c>
      <c r="B3" s="94" t="s">
        <v>217</v>
      </c>
      <c r="C3" s="1"/>
      <c r="D3" s="47"/>
      <c r="E3" s="1"/>
      <c r="F3" s="1"/>
      <c r="G3" s="47" t="s">
        <v>2</v>
      </c>
      <c r="H3" s="172">
        <v>44704</v>
      </c>
      <c r="I3" s="47" t="s">
        <v>3</v>
      </c>
      <c r="J3" s="173">
        <v>0.51128472222222221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2</v>
      </c>
      <c r="B5" s="110">
        <v>1500</v>
      </c>
      <c r="C5" s="138">
        <v>3600</v>
      </c>
      <c r="D5" s="48" t="s">
        <v>194</v>
      </c>
      <c r="E5" s="156">
        <v>4000</v>
      </c>
      <c r="F5" s="138">
        <v>60</v>
      </c>
      <c r="G5" s="48">
        <v>105</v>
      </c>
      <c r="H5" s="76" t="s">
        <v>251</v>
      </c>
      <c r="I5" s="75" t="s">
        <v>256</v>
      </c>
      <c r="J5" s="48" t="s">
        <v>195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24.543671874999998</v>
      </c>
      <c r="J7" s="104" t="s">
        <v>19</v>
      </c>
    </row>
    <row r="8" spans="1:10" ht="15" customHeight="1">
      <c r="A8" s="9" t="s">
        <v>20</v>
      </c>
      <c r="B8" s="67">
        <v>3.2999999523162842</v>
      </c>
      <c r="C8" s="50"/>
      <c r="D8" s="5"/>
      <c r="E8" s="49"/>
      <c r="F8" s="3"/>
      <c r="G8" s="15"/>
      <c r="H8" s="9" t="s">
        <v>21</v>
      </c>
      <c r="I8" s="66">
        <v>30.456888323673823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27.500280099336912</v>
      </c>
      <c r="J9" s="102">
        <v>682.37121321530083</v>
      </c>
    </row>
    <row r="10" spans="1:10" ht="15" customHeight="1">
      <c r="A10" s="9" t="s">
        <v>27</v>
      </c>
      <c r="B10" s="67">
        <v>555</v>
      </c>
      <c r="C10" s="71">
        <v>555</v>
      </c>
      <c r="D10" s="5"/>
      <c r="E10" s="49"/>
      <c r="F10" s="114" t="s">
        <v>212</v>
      </c>
      <c r="G10" s="112" t="s">
        <v>213</v>
      </c>
      <c r="H10" s="9" t="s">
        <v>28</v>
      </c>
      <c r="I10" s="66">
        <v>14.338922976528664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368.40000009536743</v>
      </c>
      <c r="D11" s="9" t="s">
        <v>31</v>
      </c>
      <c r="E11" s="66">
        <v>0.62493749999999992</v>
      </c>
      <c r="F11" s="115"/>
      <c r="G11" s="111" t="s">
        <v>214</v>
      </c>
      <c r="H11" s="9" t="s">
        <v>32</v>
      </c>
      <c r="I11" s="66">
        <v>30.456888323673823</v>
      </c>
      <c r="J11" s="102">
        <v>61004.959093386708</v>
      </c>
    </row>
    <row r="12" spans="1:10" ht="15" customHeight="1">
      <c r="A12" s="9" t="s">
        <v>33</v>
      </c>
      <c r="B12" s="67">
        <v>375</v>
      </c>
      <c r="C12" s="71">
        <v>185</v>
      </c>
      <c r="D12" s="9" t="s">
        <v>34</v>
      </c>
      <c r="E12" s="151" t="s">
        <v>175</v>
      </c>
      <c r="F12" s="121"/>
      <c r="G12" s="113" t="s">
        <v>208</v>
      </c>
      <c r="H12" s="9" t="s">
        <v>35</v>
      </c>
      <c r="I12" s="66">
        <v>1.1789163438632333</v>
      </c>
      <c r="J12" s="101" t="s">
        <v>36</v>
      </c>
    </row>
    <row r="13" spans="1:10" ht="15" customHeight="1" thickBot="1">
      <c r="A13" s="9" t="s">
        <v>37</v>
      </c>
      <c r="B13" s="67">
        <v>85</v>
      </c>
      <c r="C13" s="71">
        <v>54.700000047683716</v>
      </c>
      <c r="D13" s="9" t="s">
        <v>38</v>
      </c>
      <c r="E13" s="68">
        <v>20</v>
      </c>
      <c r="F13" s="121"/>
      <c r="G13" s="113" t="s">
        <v>209</v>
      </c>
      <c r="H13" s="9" t="s">
        <v>40</v>
      </c>
      <c r="I13" s="66">
        <v>1</v>
      </c>
      <c r="J13" s="102">
        <v>186.90283203125</v>
      </c>
    </row>
    <row r="14" spans="1:10" ht="15" customHeight="1" thickBot="1">
      <c r="A14" s="158" t="s">
        <v>41</v>
      </c>
      <c r="B14" s="131">
        <v>441.75</v>
      </c>
      <c r="C14" s="132">
        <v>441.75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1.1789163438632333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175</v>
      </c>
      <c r="F15" s="49"/>
      <c r="G15" s="113"/>
      <c r="H15" s="9" t="s">
        <v>47</v>
      </c>
      <c r="I15" s="66">
        <v>0.83141460458883965</v>
      </c>
      <c r="J15" s="102">
        <v>28.868359375000001</v>
      </c>
    </row>
    <row r="16" spans="1:10" ht="15" customHeight="1">
      <c r="A16" s="9" t="s">
        <v>48</v>
      </c>
      <c r="B16" s="49">
        <v>48</v>
      </c>
      <c r="C16" s="50">
        <v>38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0.9554364713800827</v>
      </c>
      <c r="J16" s="103" t="s">
        <v>51</v>
      </c>
    </row>
    <row r="17" spans="1:17" ht="15" customHeight="1" thickBot="1">
      <c r="A17" s="9" t="s">
        <v>52</v>
      </c>
      <c r="B17" s="49" t="s">
        <v>196</v>
      </c>
      <c r="C17" s="50" t="s">
        <v>197</v>
      </c>
      <c r="D17" s="47" t="s">
        <v>53</v>
      </c>
      <c r="E17" s="49" t="s">
        <v>204</v>
      </c>
      <c r="F17" s="49"/>
      <c r="G17" s="113"/>
      <c r="H17" s="9" t="s">
        <v>54</v>
      </c>
      <c r="I17" s="66">
        <v>0.79436383606222771</v>
      </c>
      <c r="J17" s="102">
        <v>761.51128886964887</v>
      </c>
    </row>
    <row r="18" spans="1:17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1250</v>
      </c>
      <c r="F18" s="68">
        <v>640</v>
      </c>
      <c r="G18" s="72"/>
      <c r="H18" s="12" t="s">
        <v>57</v>
      </c>
      <c r="I18" s="129" t="s">
        <v>215</v>
      </c>
      <c r="J18" s="130"/>
    </row>
    <row r="19" spans="1:17" ht="15" customHeight="1">
      <c r="A19" s="9" t="s">
        <v>58</v>
      </c>
      <c r="B19" s="67">
        <v>62.5</v>
      </c>
      <c r="C19" s="71">
        <v>37</v>
      </c>
      <c r="D19" s="9" t="s">
        <v>59</v>
      </c>
      <c r="E19" s="68">
        <v>160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198</v>
      </c>
      <c r="C20" s="71"/>
      <c r="D20" s="9" t="s">
        <v>167</v>
      </c>
      <c r="E20" s="163">
        <v>8.4141610885592757E-2</v>
      </c>
      <c r="F20" s="49"/>
      <c r="G20" s="50"/>
      <c r="H20" s="9" t="s">
        <v>63</v>
      </c>
      <c r="I20" s="66">
        <v>18.533136367797852</v>
      </c>
      <c r="J20" s="70">
        <v>18.533136367797852</v>
      </c>
    </row>
    <row r="21" spans="1:17" ht="15" customHeight="1">
      <c r="A21" s="9" t="s">
        <v>64</v>
      </c>
      <c r="B21" s="67">
        <v>14.5</v>
      </c>
      <c r="C21" s="71">
        <v>0</v>
      </c>
      <c r="D21" s="9" t="s">
        <v>205</v>
      </c>
      <c r="E21" s="65">
        <v>0.11224391707527992</v>
      </c>
      <c r="F21" s="65">
        <v>8.7480582296848297E-2</v>
      </c>
      <c r="G21" s="69">
        <v>2.9676550737813036E-2</v>
      </c>
      <c r="H21" s="9" t="s">
        <v>65</v>
      </c>
      <c r="I21" s="66">
        <v>41.600204467773438</v>
      </c>
      <c r="J21" s="70">
        <v>19.93072509765625</v>
      </c>
    </row>
    <row r="22" spans="1:17" ht="15" customHeight="1">
      <c r="A22" s="9" t="s">
        <v>66</v>
      </c>
      <c r="B22" s="67">
        <v>2.8299999237060547</v>
      </c>
      <c r="C22" s="71">
        <v>1.8999999761581421</v>
      </c>
      <c r="D22" s="9" t="s">
        <v>67</v>
      </c>
      <c r="E22" s="49" t="s">
        <v>206</v>
      </c>
      <c r="F22" s="49" t="s">
        <v>207</v>
      </c>
      <c r="G22" s="50" t="s">
        <v>207</v>
      </c>
      <c r="H22" s="9" t="s">
        <v>68</v>
      </c>
      <c r="I22" s="66">
        <v>4.3345351219177246</v>
      </c>
      <c r="J22" s="70">
        <v>3.9824762344360352</v>
      </c>
    </row>
    <row r="23" spans="1:17" ht="15" customHeight="1">
      <c r="A23" s="9" t="s">
        <v>69</v>
      </c>
      <c r="B23" s="67">
        <v>10.043671607971191</v>
      </c>
      <c r="C23" s="71">
        <v>11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21.939808306805226</v>
      </c>
      <c r="J23" s="15" t="s">
        <v>216</v>
      </c>
    </row>
    <row r="24" spans="1:17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7.2923365179922683</v>
      </c>
      <c r="J24" s="70">
        <v>6.7562610455103647</v>
      </c>
    </row>
    <row r="25" spans="1:17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0.22940105199813843</v>
      </c>
      <c r="J25" s="70">
        <v>0.58211946487426758</v>
      </c>
    </row>
    <row r="26" spans="1:17" ht="15" customHeight="1">
      <c r="A26" s="9" t="s">
        <v>78</v>
      </c>
      <c r="B26" s="51" t="s">
        <v>199</v>
      </c>
      <c r="C26" s="58" t="s">
        <v>200</v>
      </c>
      <c r="D26" s="9" t="s">
        <v>79</v>
      </c>
      <c r="E26" s="67">
        <v>220.86166819405793</v>
      </c>
      <c r="F26" s="67">
        <v>22.893430161993269</v>
      </c>
      <c r="G26" s="71">
        <v>18.629805113139785</v>
      </c>
      <c r="H26" s="9" t="s">
        <v>80</v>
      </c>
      <c r="I26" s="66">
        <v>2.9370951652526855</v>
      </c>
      <c r="J26" s="70">
        <v>2.228248119354248</v>
      </c>
    </row>
    <row r="27" spans="1:17" ht="15" customHeight="1" thickBot="1">
      <c r="A27" s="9" t="s">
        <v>81</v>
      </c>
      <c r="B27" s="49" t="s">
        <v>201</v>
      </c>
      <c r="C27" s="50" t="s">
        <v>201</v>
      </c>
      <c r="D27" s="10" t="s">
        <v>82</v>
      </c>
      <c r="E27" s="78" t="s">
        <v>175</v>
      </c>
      <c r="F27" s="78" t="s">
        <v>175</v>
      </c>
      <c r="G27" s="80" t="s">
        <v>175</v>
      </c>
      <c r="H27" s="10" t="s">
        <v>83</v>
      </c>
      <c r="I27" s="77">
        <v>2.946040153503418</v>
      </c>
      <c r="J27" s="79">
        <v>2.3030312061309814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35.085827473152662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3561.1</v>
      </c>
      <c r="N29" s="169" t="s">
        <v>187</v>
      </c>
      <c r="O29" s="169"/>
      <c r="P29" s="3" t="s">
        <v>193</v>
      </c>
      <c r="Q29" s="169"/>
    </row>
    <row r="30" spans="1:17" ht="15" customHeight="1" thickBot="1">
      <c r="A30" s="7"/>
      <c r="B30" s="61" t="s">
        <v>94</v>
      </c>
      <c r="C30" s="74">
        <v>35.095949130481337</v>
      </c>
      <c r="D30" s="9" t="s">
        <v>95</v>
      </c>
      <c r="E30" s="164">
        <v>52.621632500000004</v>
      </c>
      <c r="F30" s="164">
        <v>750.97500000000002</v>
      </c>
      <c r="G30" s="164">
        <v>18.165315225093277</v>
      </c>
      <c r="H30" s="165">
        <v>1063.5918856898663</v>
      </c>
      <c r="I30" s="68">
        <v>69008.224844812503</v>
      </c>
      <c r="J30" s="72">
        <v>6439.2954836965</v>
      </c>
      <c r="M30" s="170" t="str">
        <f>RIGHT(E$41,SEARCH("/",E$41,1)-1)</f>
        <v xml:space="preserve"> 3569.1</v>
      </c>
      <c r="N30" s="169" t="s">
        <v>188</v>
      </c>
      <c r="O30" s="169"/>
      <c r="P30" s="171">
        <f>G30*6.4516</f>
        <v>117.19534770621179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6.25</v>
      </c>
      <c r="F31" s="164">
        <v>1064.8300638771057</v>
      </c>
      <c r="G31" s="164">
        <v>12.811149932689016</v>
      </c>
      <c r="H31" s="165">
        <v>30.641058786595803</v>
      </c>
      <c r="I31" s="68">
        <v>13310.375798463821</v>
      </c>
      <c r="J31" s="72">
        <v>705.41875105971883</v>
      </c>
      <c r="M31" s="170" t="str">
        <f>RIGHT(D$41,SEARCH("/",D$41,1)-1)</f>
        <v xml:space="preserve"> 3577.1</v>
      </c>
      <c r="N31" s="169" t="s">
        <v>189</v>
      </c>
      <c r="O31" s="169"/>
      <c r="P31" s="171">
        <f>G31*6.4516</f>
        <v>82.65241490573645</v>
      </c>
      <c r="Q31" s="169"/>
    </row>
    <row r="32" spans="1:17" ht="15" customHeight="1">
      <c r="A32" s="5" t="s">
        <v>98</v>
      </c>
      <c r="B32" s="66" t="s">
        <v>258</v>
      </c>
      <c r="C32" s="108"/>
      <c r="D32" s="9" t="s">
        <v>99</v>
      </c>
      <c r="E32" s="164">
        <v>23.122102407490132</v>
      </c>
      <c r="F32" s="164">
        <v>755.68700042128569</v>
      </c>
      <c r="G32" s="164">
        <v>18.052047466159074</v>
      </c>
      <c r="H32" s="165">
        <v>455.69376233464033</v>
      </c>
      <c r="I32" s="8" t="s">
        <v>100</v>
      </c>
      <c r="J32" s="72">
        <v>7144.7142347562185</v>
      </c>
      <c r="M32" s="170" t="str">
        <f>RIGHT(C$41,SEARCH("/",C$41,1)-1)</f>
        <v xml:space="preserve"> 3584.9</v>
      </c>
      <c r="N32" s="169" t="s">
        <v>190</v>
      </c>
      <c r="O32" s="169"/>
      <c r="P32" s="171">
        <f>G32*6.4516</f>
        <v>116.46458943267189</v>
      </c>
      <c r="Q32" s="169"/>
    </row>
    <row r="33" spans="1:17" ht="15" customHeight="1">
      <c r="A33" s="5" t="s">
        <v>101</v>
      </c>
      <c r="B33" s="66" t="s">
        <v>259</v>
      </c>
      <c r="C33" s="109" t="s">
        <v>102</v>
      </c>
      <c r="D33" s="9" t="s">
        <v>97</v>
      </c>
      <c r="E33" s="164">
        <v>3.7</v>
      </c>
      <c r="F33" s="164">
        <v>923.25750000000005</v>
      </c>
      <c r="G33" s="164">
        <v>14.775615254860559</v>
      </c>
      <c r="H33" s="165">
        <v>31.450102584385824</v>
      </c>
      <c r="I33" s="8" t="s">
        <v>103</v>
      </c>
      <c r="J33" s="71" t="s">
        <v>227</v>
      </c>
      <c r="M33" s="170" t="str">
        <f>RIGHT(B$41,SEARCH("/",B$41,1)-1)</f>
        <v xml:space="preserve"> 3592.4</v>
      </c>
      <c r="N33" s="169" t="s">
        <v>191</v>
      </c>
      <c r="O33" s="169"/>
      <c r="P33" s="171">
        <f>G33*6.4516</f>
        <v>95.326359378258388</v>
      </c>
      <c r="Q33" s="169"/>
    </row>
    <row r="34" spans="1:17" ht="15" customHeight="1" thickBot="1">
      <c r="A34" s="16" t="s">
        <v>104</v>
      </c>
      <c r="B34" s="77" t="s">
        <v>260</v>
      </c>
      <c r="C34" s="162">
        <v>13.641697601164422</v>
      </c>
      <c r="D34" s="10" t="s">
        <v>20</v>
      </c>
      <c r="E34" s="166">
        <v>0.32999999523162843</v>
      </c>
      <c r="F34" s="167">
        <v>2373.3478701136701</v>
      </c>
      <c r="G34" s="167">
        <v>5.7478710866397602</v>
      </c>
      <c r="H34" s="168">
        <v>1509.4247110405367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37.082965102565076</v>
      </c>
      <c r="Q34" s="169"/>
    </row>
    <row r="35" spans="1:17" ht="15" customHeight="1">
      <c r="A35" s="12" t="s">
        <v>106</v>
      </c>
      <c r="B35" s="13"/>
      <c r="C35" s="13"/>
      <c r="D35" s="133" t="s">
        <v>229</v>
      </c>
      <c r="E35" s="143" t="s">
        <v>228</v>
      </c>
      <c r="F35" s="14"/>
      <c r="G35" s="25" t="s">
        <v>107</v>
      </c>
      <c r="H35" s="83" t="s">
        <v>222</v>
      </c>
      <c r="I35" s="9" t="s">
        <v>108</v>
      </c>
      <c r="J35" s="72" t="s">
        <v>226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220</v>
      </c>
      <c r="I36" s="9" t="s">
        <v>111</v>
      </c>
      <c r="J36" s="72" t="s">
        <v>225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240</v>
      </c>
      <c r="C37" s="174" t="s">
        <v>241</v>
      </c>
      <c r="D37" s="174" t="s">
        <v>242</v>
      </c>
      <c r="E37" s="174" t="s">
        <v>243</v>
      </c>
      <c r="F37" s="175" t="s">
        <v>244</v>
      </c>
      <c r="G37" s="9" t="s">
        <v>113</v>
      </c>
      <c r="H37" s="72" t="s">
        <v>221</v>
      </c>
      <c r="I37" s="10" t="s">
        <v>114</v>
      </c>
      <c r="J37" s="81" t="s">
        <v>224</v>
      </c>
      <c r="O37" s="148"/>
    </row>
    <row r="38" spans="1:17" ht="15" customHeight="1" thickBot="1">
      <c r="A38" s="9" t="s">
        <v>115</v>
      </c>
      <c r="B38" s="176" t="s">
        <v>231</v>
      </c>
      <c r="C38" s="176" t="s">
        <v>232</v>
      </c>
      <c r="D38" s="176" t="s">
        <v>233</v>
      </c>
      <c r="E38" s="176" t="s">
        <v>234</v>
      </c>
      <c r="F38" s="177" t="s">
        <v>233</v>
      </c>
      <c r="G38" s="16" t="s">
        <v>116</v>
      </c>
      <c r="H38" s="81" t="s">
        <v>223</v>
      </c>
      <c r="I38" s="134" t="s">
        <v>230</v>
      </c>
      <c r="J38" s="82">
        <v>25854.427734375</v>
      </c>
      <c r="L38" t="str">
        <f>LEFT(E38,SEARCH("/",E38,1)-1)</f>
        <v xml:space="preserve">0.965 </v>
      </c>
      <c r="M38" t="str">
        <f>RIGHT(E38,SEARCH("/",E38,1)-1)</f>
        <v xml:space="preserve"> 0.951</v>
      </c>
      <c r="N38" s="149">
        <f>M38/L38</f>
        <v>0.9854922279792746</v>
      </c>
      <c r="O38" s="148" t="s">
        <v>178</v>
      </c>
    </row>
    <row r="39" spans="1:17" ht="15" customHeight="1">
      <c r="A39" s="9" t="s">
        <v>117</v>
      </c>
      <c r="B39" s="176" t="s">
        <v>235</v>
      </c>
      <c r="C39" s="176" t="s">
        <v>236</v>
      </c>
      <c r="D39" s="176" t="s">
        <v>237</v>
      </c>
      <c r="E39" s="176" t="s">
        <v>238</v>
      </c>
      <c r="F39" s="177" t="s">
        <v>239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0.895 </v>
      </c>
      <c r="M39" t="str">
        <f>RIGHT(E39,SEARCH("/",E39,1)-1)</f>
        <v xml:space="preserve"> 0.883</v>
      </c>
      <c r="N39" s="149">
        <f>M39/L39</f>
        <v>0.98659217877094973</v>
      </c>
      <c r="O39" s="148" t="s">
        <v>179</v>
      </c>
    </row>
    <row r="40" spans="1:17" ht="15" customHeight="1">
      <c r="A40" s="9" t="s">
        <v>119</v>
      </c>
      <c r="B40" s="178" t="s">
        <v>253</v>
      </c>
      <c r="C40" s="178" t="s">
        <v>254</v>
      </c>
      <c r="D40" s="178" t="s">
        <v>255</v>
      </c>
      <c r="E40" s="178" t="s">
        <v>256</v>
      </c>
      <c r="F40" s="179" t="s">
        <v>257</v>
      </c>
      <c r="G40" s="34" t="s">
        <v>121</v>
      </c>
      <c r="H40" s="89" t="s">
        <v>261</v>
      </c>
      <c r="I40" s="53"/>
      <c r="J40" s="54"/>
      <c r="L40" t="str">
        <f>LEFT(E37,SEARCH("/",E37,1)-1)</f>
        <v xml:space="preserve">186.90 </v>
      </c>
      <c r="M40">
        <v>192</v>
      </c>
      <c r="N40" s="149">
        <f>M40/L40</f>
        <v>1.0272873194221508</v>
      </c>
      <c r="O40" s="148" t="s">
        <v>177</v>
      </c>
    </row>
    <row r="41" spans="1:17" ht="15" customHeight="1">
      <c r="A41" s="9" t="s">
        <v>5</v>
      </c>
      <c r="B41" s="180" t="s">
        <v>248</v>
      </c>
      <c r="C41" s="180" t="s">
        <v>249</v>
      </c>
      <c r="D41" s="180" t="s">
        <v>250</v>
      </c>
      <c r="E41" s="180" t="s">
        <v>251</v>
      </c>
      <c r="F41" s="181" t="s">
        <v>252</v>
      </c>
      <c r="G41" s="35" t="s">
        <v>122</v>
      </c>
      <c r="H41" s="90" t="s">
        <v>262</v>
      </c>
      <c r="I41" s="55"/>
      <c r="J41" s="56"/>
      <c r="L41" t="str">
        <f>LEFT(E41,SEARCH("/",E41,1)-1)</f>
        <v xml:space="preserve">3569.1 </v>
      </c>
      <c r="M41">
        <v>3570</v>
      </c>
      <c r="N41" s="149">
        <f>M41/L41</f>
        <v>1.0002521644111961</v>
      </c>
      <c r="O41" s="148" t="s">
        <v>5</v>
      </c>
    </row>
    <row r="42" spans="1:17" ht="15" customHeight="1">
      <c r="A42" s="9" t="s">
        <v>123</v>
      </c>
      <c r="B42" s="176">
        <v>6.438294488397057</v>
      </c>
      <c r="C42" s="176">
        <v>5.4993710431195471</v>
      </c>
      <c r="D42" s="176">
        <v>5.0402017702756741</v>
      </c>
      <c r="E42" s="176">
        <v>4.7771019626455455</v>
      </c>
      <c r="F42" s="177">
        <v>4.604893223782395</v>
      </c>
      <c r="G42" s="34" t="s">
        <v>124</v>
      </c>
      <c r="H42" s="89" t="s">
        <v>263</v>
      </c>
      <c r="I42" s="53"/>
      <c r="J42" s="95">
        <v>0.25276983264558223</v>
      </c>
    </row>
    <row r="43" spans="1:17" ht="15" customHeight="1" thickBot="1">
      <c r="A43" s="10" t="s">
        <v>125</v>
      </c>
      <c r="B43" s="182">
        <v>10.085536466494315</v>
      </c>
      <c r="C43" s="183"/>
      <c r="D43" s="184" t="s">
        <v>266</v>
      </c>
      <c r="E43" s="184"/>
      <c r="F43" s="185"/>
      <c r="G43" s="35" t="s">
        <v>122</v>
      </c>
      <c r="H43" s="90" t="s">
        <v>264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2471.6052150831747</v>
      </c>
      <c r="I44" s="88">
        <v>3.9859681845498512E-2</v>
      </c>
      <c r="J44" s="95">
        <v>0.62813979923296537</v>
      </c>
    </row>
    <row r="45" spans="1:17" ht="15" customHeight="1">
      <c r="A45" s="9" t="s">
        <v>129</v>
      </c>
      <c r="B45" s="66">
        <v>0.27010959386825562</v>
      </c>
      <c r="C45" s="159" t="s">
        <v>130</v>
      </c>
      <c r="D45" s="70">
        <v>9.06368438154459E-3</v>
      </c>
      <c r="E45" s="9" t="s">
        <v>131</v>
      </c>
      <c r="F45" s="72">
        <v>410.84430661153414</v>
      </c>
      <c r="G45" s="36" t="s">
        <v>122</v>
      </c>
      <c r="H45" s="84" t="s">
        <v>265</v>
      </c>
      <c r="I45" s="57"/>
      <c r="J45" s="58"/>
    </row>
    <row r="46" spans="1:17" ht="15" customHeight="1">
      <c r="A46" s="9" t="s">
        <v>132</v>
      </c>
      <c r="B46" s="66">
        <v>0.21525608003139496</v>
      </c>
      <c r="C46" s="159" t="s">
        <v>133</v>
      </c>
      <c r="D46" s="70">
        <v>8.5863023996353149E-3</v>
      </c>
      <c r="E46" s="9" t="s">
        <v>134</v>
      </c>
      <c r="F46" s="72">
        <v>773.07784177671829</v>
      </c>
      <c r="G46" s="35" t="s">
        <v>135</v>
      </c>
      <c r="H46" s="92">
        <v>545.28575664741822</v>
      </c>
      <c r="I46" s="55"/>
      <c r="J46" s="56"/>
      <c r="L46" s="144" t="s">
        <v>180</v>
      </c>
      <c r="M46" s="146">
        <f>B5^0.95</f>
        <v>1040.606887628888</v>
      </c>
    </row>
    <row r="47" spans="1:17" ht="15" customHeight="1">
      <c r="A47" s="9" t="s">
        <v>136</v>
      </c>
      <c r="B47" s="66">
        <v>0.48536568880081177</v>
      </c>
      <c r="C47" s="159" t="s">
        <v>137</v>
      </c>
      <c r="D47" s="70">
        <v>5.3619304671883583E-3</v>
      </c>
      <c r="E47" s="9" t="s">
        <v>138</v>
      </c>
      <c r="F47" s="72">
        <v>332.55421227544042</v>
      </c>
      <c r="G47" s="62" t="s">
        <v>139</v>
      </c>
      <c r="H47" s="91">
        <v>2375.1223312415154</v>
      </c>
      <c r="I47" s="88">
        <v>3.8246682808552028E-2</v>
      </c>
      <c r="J47" s="93">
        <v>0.64206192669744822</v>
      </c>
      <c r="L47" s="144" t="s">
        <v>181</v>
      </c>
      <c r="M47" s="146">
        <f>B5^1.5</f>
        <v>58094.750193111278</v>
      </c>
    </row>
    <row r="48" spans="1:17" ht="15" customHeight="1">
      <c r="A48" s="9" t="s">
        <v>140</v>
      </c>
      <c r="B48" s="66">
        <v>1.0785788297653198E-2</v>
      </c>
      <c r="C48" s="159" t="s">
        <v>100</v>
      </c>
      <c r="D48" s="70">
        <v>3.3797703683376312E-2</v>
      </c>
      <c r="E48" s="9" t="s">
        <v>141</v>
      </c>
      <c r="F48" s="72">
        <v>90.557035473919058</v>
      </c>
      <c r="G48" s="63" t="s">
        <v>122</v>
      </c>
      <c r="H48" s="84">
        <v>212.25400636653399</v>
      </c>
      <c r="I48" s="57"/>
      <c r="J48" s="58"/>
      <c r="L48" s="144" t="s">
        <v>182</v>
      </c>
      <c r="M48" s="145">
        <f>IF(A5="",0,(7200/(1000*A5))^2.4)</f>
        <v>21.633460842025631</v>
      </c>
    </row>
    <row r="49" spans="1:13" ht="15" customHeight="1" thickBot="1">
      <c r="A49" s="7"/>
      <c r="B49" s="52"/>
      <c r="C49" s="160" t="s">
        <v>142</v>
      </c>
      <c r="D49" s="79">
        <v>0.96620231866836548</v>
      </c>
      <c r="E49" s="10" t="s">
        <v>143</v>
      </c>
      <c r="F49" s="81">
        <v>227.73148516748259</v>
      </c>
      <c r="G49" s="64" t="s">
        <v>135</v>
      </c>
      <c r="H49" s="92">
        <v>533.91942365842124</v>
      </c>
      <c r="I49" s="55"/>
      <c r="J49" s="59"/>
      <c r="L49" s="144" t="s">
        <v>183</v>
      </c>
      <c r="M49" s="145">
        <f>IF(A5="",0,(7200/(1000*A5))^1.8)</f>
        <v>10.031006258647469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27</v>
      </c>
    </row>
    <row r="51" spans="1:13" ht="15" customHeight="1">
      <c r="A51" s="9" t="s">
        <v>146</v>
      </c>
      <c r="B51" s="49">
        <v>38</v>
      </c>
      <c r="C51" s="8" t="s">
        <v>147</v>
      </c>
      <c r="D51" s="67">
        <v>6</v>
      </c>
      <c r="E51" s="8" t="s">
        <v>148</v>
      </c>
      <c r="F51" s="71">
        <v>11</v>
      </c>
      <c r="G51" s="8" t="s">
        <v>149</v>
      </c>
      <c r="H51" s="65">
        <v>0.12435681213457175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37</v>
      </c>
      <c r="C52" s="8" t="s">
        <v>151</v>
      </c>
      <c r="D52" s="67">
        <v>9.1000000238418579</v>
      </c>
      <c r="E52" s="8" t="s">
        <v>152</v>
      </c>
      <c r="F52" s="71">
        <v>0</v>
      </c>
      <c r="G52" s="8" t="s">
        <v>169</v>
      </c>
      <c r="H52" s="67">
        <v>64466.316033376694</v>
      </c>
      <c r="I52" s="96" t="s">
        <v>245</v>
      </c>
      <c r="J52" s="60"/>
      <c r="L52" s="144" t="s">
        <v>192</v>
      </c>
      <c r="M52" s="161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17.002901077270508</v>
      </c>
      <c r="E53" s="8" t="s">
        <v>154</v>
      </c>
      <c r="F53" s="71">
        <v>0</v>
      </c>
      <c r="G53" s="8" t="s">
        <v>170</v>
      </c>
      <c r="H53" s="66">
        <v>34.997102340338536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902.02774231047283</v>
      </c>
    </row>
    <row r="54" spans="1:13" ht="15" customHeight="1">
      <c r="A54" s="9" t="s">
        <v>66</v>
      </c>
      <c r="B54" s="67">
        <v>1.8999999761581421</v>
      </c>
      <c r="C54" s="8" t="s">
        <v>156</v>
      </c>
      <c r="D54" s="67">
        <v>13.35695953849817</v>
      </c>
      <c r="E54" s="8" t="s">
        <v>154</v>
      </c>
      <c r="F54" s="71">
        <v>11</v>
      </c>
      <c r="G54" s="8" t="s">
        <v>171</v>
      </c>
      <c r="H54" s="68">
        <v>213227.5</v>
      </c>
      <c r="I54" s="97" t="s">
        <v>246</v>
      </c>
      <c r="J54" s="98" t="s">
        <v>210</v>
      </c>
    </row>
    <row r="55" spans="1:13" ht="15" customHeight="1">
      <c r="A55" s="9" t="s">
        <v>157</v>
      </c>
      <c r="B55" s="67">
        <v>6</v>
      </c>
      <c r="C55" s="8" t="s">
        <v>158</v>
      </c>
      <c r="D55" s="67">
        <v>22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  <c r="M55">
        <f>0.33333*902</f>
        <v>300.66365999999999</v>
      </c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23.481341959194946</v>
      </c>
      <c r="E56" s="20" t="s">
        <v>164</v>
      </c>
      <c r="F56" s="80">
        <v>0</v>
      </c>
      <c r="G56" s="20" t="s">
        <v>165</v>
      </c>
      <c r="H56" s="77">
        <v>0.68740624999999989</v>
      </c>
      <c r="I56" s="99" t="s">
        <v>247</v>
      </c>
      <c r="J56" s="59" t="s">
        <v>211</v>
      </c>
    </row>
    <row r="57" spans="1:13" ht="15" customHeight="1">
      <c r="A57" s="22" t="s">
        <v>389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390</v>
      </c>
      <c r="D58" s="3" t="s">
        <v>119</v>
      </c>
      <c r="E58" s="3" t="s">
        <v>166</v>
      </c>
      <c r="F58" s="15" t="s">
        <v>391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0.23834618926048279</v>
      </c>
      <c r="D59" s="125">
        <v>0.69999998807907104</v>
      </c>
      <c r="E59" s="84">
        <v>99.699771100784858</v>
      </c>
      <c r="F59" s="85">
        <v>582.73663330078125</v>
      </c>
      <c r="G59" s="119"/>
      <c r="H59" s="31"/>
      <c r="I59" s="31"/>
      <c r="J59" s="44"/>
    </row>
    <row r="60" spans="1:13" ht="15" customHeight="1">
      <c r="A60" s="127">
        <v>7.9999994486570358E-3</v>
      </c>
      <c r="B60" s="84">
        <v>98.233672908348396</v>
      </c>
      <c r="C60" s="85">
        <v>106.45194244384766</v>
      </c>
      <c r="D60" s="125">
        <v>0.80000001192092896</v>
      </c>
      <c r="E60" s="84">
        <v>105.80342708873681</v>
      </c>
      <c r="F60" s="85">
        <v>587.61163330078125</v>
      </c>
      <c r="G60" s="119"/>
      <c r="H60" s="31"/>
      <c r="I60" s="31"/>
      <c r="J60" s="44"/>
    </row>
    <row r="61" spans="1:13" ht="15" customHeight="1">
      <c r="A61" s="127">
        <v>3.9999999105930328E-2</v>
      </c>
      <c r="B61" s="84">
        <v>265</v>
      </c>
      <c r="C61" s="85">
        <v>376.59368896484375</v>
      </c>
      <c r="D61" s="125">
        <v>0.89999997615814209</v>
      </c>
      <c r="E61" s="84">
        <v>116.61291890022255</v>
      </c>
      <c r="F61" s="85">
        <v>591.992431640625</v>
      </c>
      <c r="G61" s="119"/>
      <c r="H61" s="31"/>
      <c r="I61" s="31"/>
      <c r="J61" s="44"/>
    </row>
    <row r="62" spans="1:13" ht="15" customHeight="1">
      <c r="A62" s="123">
        <v>9.1428570449352264E-2</v>
      </c>
      <c r="B62" s="84">
        <v>191.10021978560499</v>
      </c>
      <c r="C62" s="85">
        <v>487.2952880859375</v>
      </c>
      <c r="D62" s="126">
        <v>1</v>
      </c>
      <c r="E62" s="84">
        <v>135</v>
      </c>
      <c r="F62" s="85">
        <v>595.8333740234375</v>
      </c>
      <c r="G62" s="119"/>
      <c r="H62" s="31"/>
      <c r="I62" s="31"/>
      <c r="J62" s="44"/>
    </row>
    <row r="63" spans="1:13" ht="15" customHeight="1" thickBot="1">
      <c r="A63" s="123">
        <v>0.1428571492433548</v>
      </c>
      <c r="B63" s="84">
        <v>139.75763725621073</v>
      </c>
      <c r="C63" s="85">
        <v>523.31463623046875</v>
      </c>
      <c r="D63" s="373"/>
      <c r="E63" s="86"/>
      <c r="F63" s="374"/>
      <c r="G63" s="119"/>
      <c r="H63" s="31"/>
      <c r="I63" s="31"/>
      <c r="J63" s="44"/>
    </row>
    <row r="64" spans="1:13" ht="15" customHeight="1">
      <c r="A64" s="123">
        <v>0.19428572058677673</v>
      </c>
      <c r="B64" s="84">
        <v>115.39020866045327</v>
      </c>
      <c r="C64" s="85">
        <v>539.51190185546875</v>
      </c>
      <c r="D64" s="375" t="s">
        <v>423</v>
      </c>
      <c r="E64" s="376"/>
      <c r="F64" s="376"/>
      <c r="G64" s="119"/>
      <c r="H64" s="31"/>
      <c r="I64" s="31"/>
      <c r="J64" s="44"/>
    </row>
    <row r="65" spans="1:10" ht="15" customHeight="1">
      <c r="A65" s="123">
        <v>0.29714286327362061</v>
      </c>
      <c r="B65" s="84">
        <v>99.825147419314007</v>
      </c>
      <c r="C65" s="85">
        <v>555.0203857421875</v>
      </c>
      <c r="D65" s="377" t="s">
        <v>408</v>
      </c>
      <c r="E65" s="379" t="s">
        <v>421</v>
      </c>
      <c r="F65" s="379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95</v>
      </c>
      <c r="C66" s="85">
        <v>564.04815673828125</v>
      </c>
      <c r="D66" s="377" t="s">
        <v>405</v>
      </c>
      <c r="E66" s="379" t="s">
        <v>422</v>
      </c>
      <c r="F66" s="379"/>
      <c r="G66" s="119"/>
      <c r="H66" s="31"/>
      <c r="I66" s="31"/>
      <c r="J66" s="44"/>
    </row>
    <row r="67" spans="1:10" ht="15" customHeight="1">
      <c r="A67" s="123">
        <v>0.5</v>
      </c>
      <c r="B67" s="84">
        <v>95.15507341544172</v>
      </c>
      <c r="C67" s="85">
        <v>571.14337158203125</v>
      </c>
      <c r="D67" s="377" t="s">
        <v>412</v>
      </c>
      <c r="E67" s="379" t="s">
        <v>424</v>
      </c>
      <c r="F67" s="379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96.521074304204973</v>
      </c>
      <c r="C68" s="87">
        <v>577.365966796875</v>
      </c>
      <c r="D68" s="378" t="s">
        <v>413</v>
      </c>
      <c r="E68" s="380" t="s">
        <v>425</v>
      </c>
      <c r="F68" s="380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0" t="s">
        <v>420</v>
      </c>
      <c r="B99" s="370"/>
      <c r="C99" s="370"/>
      <c r="D99" s="370"/>
      <c r="E99" s="370"/>
      <c r="F99" s="370"/>
      <c r="G99" s="370"/>
      <c r="H99" s="370"/>
      <c r="I99" s="370"/>
    </row>
    <row r="100" spans="1:9">
      <c r="A100" s="370">
        <v>100</v>
      </c>
      <c r="B100" s="370"/>
      <c r="C100" s="370"/>
      <c r="D100" s="370"/>
      <c r="E100" s="370"/>
      <c r="F100" s="370"/>
      <c r="G100" s="370"/>
      <c r="H100" s="370"/>
      <c r="I100" s="370"/>
    </row>
    <row r="101" spans="1:9">
      <c r="A101" s="370">
        <v>98.400001525878906</v>
      </c>
      <c r="B101" s="370"/>
      <c r="C101" s="370"/>
      <c r="D101" s="370"/>
      <c r="E101" s="370"/>
      <c r="F101" s="370"/>
      <c r="G101" s="370"/>
      <c r="H101" s="370"/>
      <c r="I101" s="370"/>
    </row>
    <row r="102" spans="1:9">
      <c r="A102" s="370">
        <v>89.75</v>
      </c>
      <c r="B102" s="370"/>
      <c r="C102" s="370"/>
      <c r="D102" s="370"/>
      <c r="E102" s="370"/>
      <c r="F102" s="370"/>
      <c r="G102" s="370"/>
      <c r="H102" s="370"/>
      <c r="I102" s="370"/>
    </row>
    <row r="103" spans="1:9">
      <c r="A103" s="370">
        <v>76.228569030761719</v>
      </c>
      <c r="B103" s="370"/>
      <c r="C103" s="370"/>
      <c r="D103" s="370"/>
      <c r="E103" s="370"/>
      <c r="F103" s="370"/>
      <c r="G103" s="370"/>
      <c r="H103" s="370"/>
      <c r="I103" s="370"/>
    </row>
    <row r="104" spans="1:9">
      <c r="A104" s="370">
        <v>62.857139587402344</v>
      </c>
      <c r="B104" s="370"/>
      <c r="C104" s="370"/>
      <c r="D104" s="370"/>
      <c r="E104" s="370"/>
      <c r="F104" s="370"/>
      <c r="G104" s="370"/>
      <c r="H104" s="370"/>
      <c r="I104" s="370"/>
    </row>
    <row r="105" spans="1:9">
      <c r="A105" s="370">
        <v>51.25714111328125</v>
      </c>
      <c r="B105" s="370"/>
      <c r="C105" s="370"/>
      <c r="D105" s="370"/>
      <c r="E105" s="370"/>
      <c r="F105" s="370"/>
      <c r="G105" s="370"/>
      <c r="H105" s="370"/>
      <c r="I105" s="370"/>
    </row>
    <row r="106" spans="1:9">
      <c r="A106" s="370">
        <v>33.485713958740234</v>
      </c>
      <c r="B106" s="370"/>
      <c r="C106" s="370"/>
      <c r="D106" s="370"/>
      <c r="E106" s="370"/>
      <c r="F106" s="370"/>
      <c r="G106" s="370"/>
      <c r="H106" s="370"/>
      <c r="I106" s="370"/>
    </row>
    <row r="107" spans="1:9">
      <c r="A107" s="370">
        <v>22</v>
      </c>
      <c r="B107" s="370"/>
      <c r="C107" s="370"/>
      <c r="D107" s="370"/>
      <c r="E107" s="370"/>
      <c r="F107" s="370"/>
      <c r="G107" s="370"/>
      <c r="H107" s="370"/>
      <c r="I107" s="370"/>
    </row>
    <row r="108" spans="1:9">
      <c r="A108" s="370">
        <v>14</v>
      </c>
      <c r="B108" s="370"/>
      <c r="C108" s="370"/>
      <c r="D108" s="370"/>
      <c r="E108" s="370"/>
      <c r="F108" s="370"/>
      <c r="G108" s="370"/>
      <c r="H108" s="370"/>
      <c r="I108" s="370"/>
    </row>
    <row r="109" spans="1:9">
      <c r="A109" s="370">
        <v>7.9999995231628418</v>
      </c>
      <c r="B109" s="370"/>
      <c r="C109" s="370"/>
      <c r="D109" s="370"/>
      <c r="E109" s="370"/>
      <c r="F109" s="370"/>
      <c r="G109" s="370"/>
      <c r="H109" s="370"/>
      <c r="I109" s="370"/>
    </row>
    <row r="110" spans="1:9">
      <c r="A110" s="370">
        <v>5.9999995231628418</v>
      </c>
      <c r="B110" s="370"/>
      <c r="C110" s="370"/>
      <c r="D110" s="370"/>
      <c r="E110" s="370"/>
      <c r="F110" s="370"/>
      <c r="G110" s="370"/>
      <c r="H110" s="370"/>
      <c r="I110" s="370"/>
    </row>
    <row r="111" spans="1:9">
      <c r="A111" s="370">
        <v>8.0000009536743164</v>
      </c>
      <c r="B111" s="370"/>
      <c r="C111" s="370"/>
      <c r="D111" s="370"/>
      <c r="E111" s="370"/>
      <c r="F111" s="370"/>
      <c r="G111" s="370"/>
      <c r="H111" s="370"/>
      <c r="I111" s="370"/>
    </row>
    <row r="112" spans="1:9">
      <c r="A112" s="370">
        <v>14.999996185302734</v>
      </c>
      <c r="B112" s="370"/>
      <c r="C112" s="370"/>
      <c r="D112" s="370"/>
      <c r="E112" s="370"/>
      <c r="F112" s="370"/>
      <c r="G112" s="370"/>
      <c r="H112" s="370"/>
      <c r="I112" s="370"/>
    </row>
    <row r="113" spans="1:9">
      <c r="A113" s="370">
        <v>30</v>
      </c>
      <c r="B113" s="370"/>
      <c r="C113" s="370"/>
      <c r="D113" s="370"/>
      <c r="E113" s="370"/>
      <c r="F113" s="370"/>
      <c r="G113" s="370"/>
      <c r="H113" s="370"/>
      <c r="I113" s="370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K10" sqref="K10"/>
    </sheetView>
  </sheetViews>
  <sheetFormatPr defaultColWidth="10.85546875" defaultRowHeight="15.75"/>
  <cols>
    <col min="1" max="1" width="11.5703125" style="326" customWidth="1"/>
    <col min="2" max="2" width="5.85546875" style="326" customWidth="1"/>
    <col min="3" max="3" width="6.7109375" style="326" customWidth="1"/>
    <col min="4" max="4" width="12.28515625" style="326" customWidth="1"/>
    <col min="5" max="5" width="12" style="326" customWidth="1"/>
    <col min="6" max="6" width="9" style="326" customWidth="1"/>
    <col min="7" max="7" width="5.42578125" style="326" customWidth="1"/>
    <col min="8" max="8" width="7.42578125" style="326" customWidth="1"/>
    <col min="9" max="9" width="6.28515625" style="326" customWidth="1"/>
    <col min="10" max="11" width="11.42578125" style="326" customWidth="1"/>
    <col min="12" max="26" width="10.85546875" style="186"/>
    <col min="27" max="16384" width="10.85546875" style="187"/>
  </cols>
  <sheetData>
    <row r="1" spans="1:26" ht="20.25" customHeight="1">
      <c r="A1" s="599" t="s">
        <v>267</v>
      </c>
      <c r="B1" s="599"/>
      <c r="C1" s="599"/>
      <c r="D1" s="599"/>
      <c r="E1" s="599"/>
      <c r="F1" s="599"/>
      <c r="G1" s="599"/>
      <c r="H1" s="599"/>
      <c r="I1" s="599"/>
      <c r="J1" s="599"/>
      <c r="K1" s="599"/>
    </row>
    <row r="2" spans="1:26" ht="20.25" customHeight="1">
      <c r="A2" s="600" t="s">
        <v>268</v>
      </c>
      <c r="B2" s="600"/>
      <c r="C2" s="600"/>
      <c r="D2" s="600"/>
      <c r="E2" s="600"/>
      <c r="F2" s="600"/>
      <c r="G2" s="600"/>
      <c r="H2" s="600"/>
      <c r="I2" s="600"/>
      <c r="J2" s="600"/>
      <c r="K2" s="600"/>
    </row>
    <row r="3" spans="1:26" ht="18.75" customHeight="1" thickBot="1">
      <c r="A3" s="189" t="s">
        <v>1</v>
      </c>
      <c r="B3" s="190" t="s">
        <v>378</v>
      </c>
      <c r="C3" s="191"/>
      <c r="D3" s="191"/>
      <c r="E3" s="191"/>
      <c r="F3" s="188"/>
      <c r="G3" s="191"/>
      <c r="H3" s="191"/>
      <c r="I3" s="189" t="s">
        <v>269</v>
      </c>
      <c r="J3" s="601"/>
      <c r="K3" s="601"/>
    </row>
    <row r="4" spans="1:26" s="200" customFormat="1" ht="18.399999999999999" customHeight="1" thickBot="1">
      <c r="A4" s="192" t="s">
        <v>703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270</v>
      </c>
      <c r="R4" s="198"/>
      <c r="S4" s="196"/>
      <c r="T4" s="197" t="s">
        <v>271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602" t="s">
        <v>272</v>
      </c>
      <c r="B5" s="603"/>
      <c r="C5" s="603"/>
      <c r="D5" s="201"/>
      <c r="E5" s="202"/>
      <c r="F5" s="203" t="s">
        <v>273</v>
      </c>
      <c r="G5" s="191"/>
      <c r="H5" s="191"/>
      <c r="I5" s="204"/>
      <c r="J5" s="205" t="s">
        <v>274</v>
      </c>
      <c r="K5" s="206" t="s">
        <v>275</v>
      </c>
      <c r="L5" s="196"/>
      <c r="M5" s="196"/>
      <c r="N5" s="196"/>
      <c r="O5" s="196"/>
      <c r="P5" s="196"/>
      <c r="Q5" s="207" t="s">
        <v>276</v>
      </c>
      <c r="R5" s="208"/>
      <c r="S5" s="196"/>
      <c r="T5" s="207" t="s">
        <v>277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04" t="s">
        <v>67</v>
      </c>
      <c r="B6" s="605"/>
      <c r="C6" s="605"/>
      <c r="D6" s="606"/>
      <c r="E6" s="607"/>
      <c r="F6" s="553" t="s">
        <v>278</v>
      </c>
      <c r="G6" s="554"/>
      <c r="H6" s="554"/>
      <c r="I6" s="554"/>
      <c r="J6" s="554"/>
      <c r="K6" s="555"/>
      <c r="L6" s="196"/>
      <c r="M6" s="196"/>
      <c r="N6" s="196"/>
      <c r="O6" s="196"/>
      <c r="P6" s="196"/>
      <c r="Q6" s="207" t="s">
        <v>279</v>
      </c>
      <c r="R6" s="208"/>
      <c r="S6" s="196"/>
      <c r="T6" s="207" t="s">
        <v>280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95" t="s">
        <v>20</v>
      </c>
      <c r="B7" s="596"/>
      <c r="C7" s="596"/>
      <c r="D7" s="597">
        <v>3.2999999523162802</v>
      </c>
      <c r="E7" s="598"/>
      <c r="F7" s="210" t="s">
        <v>281</v>
      </c>
      <c r="G7" s="211"/>
      <c r="H7" s="212"/>
      <c r="I7" s="213"/>
      <c r="J7" s="214">
        <v>41</v>
      </c>
      <c r="K7" s="215" t="s">
        <v>175</v>
      </c>
      <c r="L7" s="196"/>
      <c r="M7" s="196"/>
      <c r="N7" s="196"/>
      <c r="O7" s="196"/>
      <c r="P7" s="196"/>
      <c r="Q7" s="207" t="s">
        <v>282</v>
      </c>
      <c r="R7" s="208"/>
      <c r="S7" s="196"/>
      <c r="T7" s="207" t="s">
        <v>283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95" t="s">
        <v>284</v>
      </c>
      <c r="B8" s="596"/>
      <c r="C8" s="596"/>
      <c r="D8" s="583">
        <v>555</v>
      </c>
      <c r="E8" s="579"/>
      <c r="F8" s="216" t="s">
        <v>285</v>
      </c>
      <c r="G8" s="217"/>
      <c r="H8" s="218"/>
      <c r="I8" s="219"/>
      <c r="J8" s="220">
        <v>12007</v>
      </c>
      <c r="K8" s="221" t="s">
        <v>175</v>
      </c>
      <c r="L8" s="196"/>
      <c r="M8" s="196"/>
      <c r="N8" s="196"/>
      <c r="O8" s="196"/>
      <c r="P8" s="196"/>
      <c r="Q8" s="207" t="s">
        <v>286</v>
      </c>
      <c r="R8" s="208"/>
      <c r="S8" s="196"/>
      <c r="T8" s="207" t="s">
        <v>287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90" t="s">
        <v>288</v>
      </c>
      <c r="B9" s="591"/>
      <c r="C9" s="592"/>
      <c r="D9" s="583">
        <v>10</v>
      </c>
      <c r="E9" s="579"/>
      <c r="F9" s="210" t="s">
        <v>289</v>
      </c>
      <c r="G9" s="211"/>
      <c r="H9" s="222">
        <v>3</v>
      </c>
      <c r="I9" s="223" t="s">
        <v>290</v>
      </c>
      <c r="J9" s="224">
        <v>315</v>
      </c>
      <c r="K9" s="221" t="s">
        <v>175</v>
      </c>
      <c r="L9" s="196"/>
      <c r="M9" s="196"/>
      <c r="N9" s="196"/>
      <c r="O9" s="196"/>
      <c r="P9" s="196"/>
      <c r="Q9" s="207" t="s">
        <v>291</v>
      </c>
      <c r="R9" s="208"/>
      <c r="S9" s="196"/>
      <c r="T9" s="207" t="s">
        <v>292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90" t="s">
        <v>293</v>
      </c>
      <c r="B10" s="591"/>
      <c r="C10" s="592"/>
      <c r="D10" s="566" t="s">
        <v>203</v>
      </c>
      <c r="E10" s="567"/>
      <c r="F10" s="210" t="s">
        <v>294</v>
      </c>
      <c r="G10" s="211"/>
      <c r="H10" s="222">
        <v>3</v>
      </c>
      <c r="I10" s="223" t="s">
        <v>290</v>
      </c>
      <c r="J10" s="224">
        <v>1150</v>
      </c>
      <c r="K10" s="221" t="s">
        <v>175</v>
      </c>
      <c r="L10" s="196"/>
      <c r="M10" s="196"/>
      <c r="N10" s="196"/>
      <c r="O10" s="196"/>
      <c r="P10" s="196"/>
      <c r="Q10" s="207" t="s">
        <v>295</v>
      </c>
      <c r="R10" s="208"/>
      <c r="S10" s="196"/>
      <c r="T10" s="225" t="s">
        <v>296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90" t="s">
        <v>297</v>
      </c>
      <c r="B11" s="591"/>
      <c r="C11" s="592"/>
      <c r="D11" s="561" t="s">
        <v>175</v>
      </c>
      <c r="E11" s="562"/>
      <c r="F11" s="227" t="s">
        <v>298</v>
      </c>
      <c r="G11" s="228"/>
      <c r="H11" s="229">
        <v>3</v>
      </c>
      <c r="I11" s="223" t="s">
        <v>290</v>
      </c>
      <c r="J11" s="230">
        <v>61005</v>
      </c>
      <c r="K11" s="231" t="s">
        <v>175</v>
      </c>
      <c r="L11" s="196"/>
      <c r="M11" s="196"/>
      <c r="N11" s="196"/>
      <c r="O11" s="196"/>
      <c r="P11" s="196"/>
      <c r="Q11" s="207" t="s">
        <v>299</v>
      </c>
      <c r="R11" s="208"/>
      <c r="S11" s="196"/>
      <c r="T11" s="197" t="s">
        <v>300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301</v>
      </c>
      <c r="C12" s="233"/>
      <c r="D12" s="593" t="s">
        <v>175</v>
      </c>
      <c r="E12" s="594"/>
      <c r="F12" s="563" t="s">
        <v>302</v>
      </c>
      <c r="G12" s="564"/>
      <c r="H12" s="564"/>
      <c r="I12" s="564"/>
      <c r="J12" s="564"/>
      <c r="K12" s="565"/>
      <c r="L12" s="196"/>
      <c r="M12" s="196"/>
      <c r="N12" s="196"/>
      <c r="O12" s="196"/>
      <c r="P12" s="196"/>
      <c r="Q12" s="225" t="s">
        <v>303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90" t="s">
        <v>53</v>
      </c>
      <c r="B13" s="591"/>
      <c r="C13" s="592"/>
      <c r="D13" s="586" t="s">
        <v>704</v>
      </c>
      <c r="E13" s="587"/>
      <c r="F13" s="235"/>
      <c r="G13" s="236" t="s">
        <v>304</v>
      </c>
      <c r="H13" s="237"/>
      <c r="I13" s="238" t="s">
        <v>305</v>
      </c>
      <c r="J13" s="239" t="s">
        <v>381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90" t="s">
        <v>56</v>
      </c>
      <c r="B14" s="591"/>
      <c r="C14" s="592"/>
      <c r="D14" s="593">
        <v>1250</v>
      </c>
      <c r="E14" s="594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80" t="s">
        <v>306</v>
      </c>
      <c r="B15" s="581"/>
      <c r="C15" s="582"/>
      <c r="D15" s="559">
        <v>14.522000312805176</v>
      </c>
      <c r="E15" s="560"/>
      <c r="F15" s="235"/>
      <c r="G15" s="241" t="s">
        <v>307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56" t="s">
        <v>308</v>
      </c>
      <c r="B16" s="557"/>
      <c r="C16" s="558"/>
      <c r="D16" s="559">
        <v>3.736799955368042</v>
      </c>
      <c r="E16" s="560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309</v>
      </c>
      <c r="B17" s="248"/>
      <c r="C17" s="249"/>
      <c r="D17" s="561" t="s">
        <v>379</v>
      </c>
      <c r="E17" s="562"/>
      <c r="F17" s="563" t="s">
        <v>310</v>
      </c>
      <c r="G17" s="564"/>
      <c r="H17" s="564"/>
      <c r="I17" s="564"/>
      <c r="J17" s="564"/>
      <c r="K17" s="565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311</v>
      </c>
      <c r="B18" s="251"/>
      <c r="C18" s="249"/>
      <c r="D18" s="566" t="s">
        <v>175</v>
      </c>
      <c r="E18" s="567"/>
      <c r="F18" s="568"/>
      <c r="G18" s="569"/>
      <c r="H18" s="252" t="s">
        <v>312</v>
      </c>
      <c r="I18" s="253"/>
      <c r="J18" s="220" t="s">
        <v>711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74" t="s">
        <v>313</v>
      </c>
      <c r="B19" s="575"/>
      <c r="C19" s="576"/>
      <c r="D19" s="577" t="s">
        <v>175</v>
      </c>
      <c r="E19" s="562"/>
      <c r="F19" s="570"/>
      <c r="G19" s="571"/>
      <c r="H19" s="252" t="s">
        <v>5</v>
      </c>
      <c r="I19" s="213"/>
      <c r="J19" s="220">
        <v>3565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314</v>
      </c>
      <c r="C20" s="255"/>
      <c r="D20" s="578" t="s">
        <v>202</v>
      </c>
      <c r="E20" s="579"/>
      <c r="F20" s="570"/>
      <c r="G20" s="571"/>
      <c r="H20" s="252" t="s">
        <v>315</v>
      </c>
      <c r="I20" s="213"/>
      <c r="J20" s="224" t="s">
        <v>362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80" t="s">
        <v>316</v>
      </c>
      <c r="B21" s="581"/>
      <c r="C21" s="582"/>
      <c r="D21" s="583" t="s">
        <v>175</v>
      </c>
      <c r="E21" s="579"/>
      <c r="F21" s="570"/>
      <c r="G21" s="571"/>
      <c r="H21" s="256" t="s">
        <v>317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318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319</v>
      </c>
      <c r="B22" s="257"/>
      <c r="C22" s="257"/>
      <c r="D22" s="584">
        <v>8.4100000560283661E-2</v>
      </c>
      <c r="E22" s="585"/>
      <c r="F22" s="570"/>
      <c r="G22" s="571"/>
      <c r="H22" s="252" t="s">
        <v>274</v>
      </c>
      <c r="I22" s="213"/>
      <c r="J22" s="224" t="s">
        <v>175</v>
      </c>
      <c r="K22" s="221"/>
      <c r="L22" s="196"/>
      <c r="M22" s="196"/>
      <c r="N22" s="196"/>
      <c r="O22" s="196"/>
      <c r="P22" s="196"/>
      <c r="Q22" s="207" t="s">
        <v>320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321</v>
      </c>
      <c r="B23" s="259" t="s">
        <v>322</v>
      </c>
      <c r="C23" s="260"/>
      <c r="D23" s="586">
        <v>485.9</v>
      </c>
      <c r="E23" s="587"/>
      <c r="F23" s="570"/>
      <c r="G23" s="571"/>
      <c r="H23" s="261" t="s">
        <v>323</v>
      </c>
      <c r="I23" s="262"/>
      <c r="J23" s="263" t="s">
        <v>175</v>
      </c>
      <c r="K23" s="264"/>
      <c r="L23" s="196"/>
      <c r="Q23" s="207" t="s">
        <v>324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325</v>
      </c>
      <c r="B24" s="266" t="s">
        <v>326</v>
      </c>
      <c r="C24" s="267"/>
      <c r="D24" s="588" t="s">
        <v>175</v>
      </c>
      <c r="E24" s="589"/>
      <c r="F24" s="570"/>
      <c r="G24" s="571"/>
      <c r="H24" s="252" t="s">
        <v>327</v>
      </c>
      <c r="I24" s="233"/>
      <c r="J24" s="268" t="s">
        <v>175</v>
      </c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328</v>
      </c>
      <c r="B25" s="273"/>
      <c r="C25" s="273"/>
      <c r="D25" s="274"/>
      <c r="E25" s="274" t="s">
        <v>329</v>
      </c>
      <c r="F25" s="570"/>
      <c r="G25" s="571"/>
      <c r="H25" s="252" t="s">
        <v>330</v>
      </c>
      <c r="I25" s="233"/>
      <c r="J25" s="275" t="s">
        <v>175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331</v>
      </c>
      <c r="B26" s="277"/>
      <c r="C26" s="278"/>
      <c r="D26" s="279" t="s">
        <v>382</v>
      </c>
      <c r="E26" s="279" t="s">
        <v>383</v>
      </c>
      <c r="F26" s="572"/>
      <c r="G26" s="573"/>
      <c r="H26" s="535"/>
      <c r="I26" s="536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45" t="s">
        <v>332</v>
      </c>
      <c r="B27" s="546"/>
      <c r="C27" s="546"/>
      <c r="D27" s="546"/>
      <c r="E27" s="546"/>
      <c r="F27" s="553" t="s">
        <v>333</v>
      </c>
      <c r="G27" s="554"/>
      <c r="H27" s="554"/>
      <c r="I27" s="554"/>
      <c r="J27" s="554"/>
      <c r="K27" s="555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39"/>
      <c r="B28" s="540"/>
      <c r="C28" s="540"/>
      <c r="D28" s="540"/>
      <c r="E28" s="541"/>
      <c r="F28" s="282"/>
      <c r="G28" s="283"/>
      <c r="H28" s="241" t="s">
        <v>334</v>
      </c>
      <c r="I28" s="284" t="s">
        <v>380</v>
      </c>
      <c r="J28" s="220" t="s">
        <v>702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39"/>
      <c r="B29" s="540"/>
      <c r="C29" s="540"/>
      <c r="D29" s="540"/>
      <c r="E29" s="541"/>
      <c r="F29" s="285"/>
      <c r="G29" s="286"/>
      <c r="H29" s="241" t="s">
        <v>335</v>
      </c>
      <c r="I29" s="287">
        <v>60</v>
      </c>
      <c r="J29" s="220">
        <v>138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39"/>
      <c r="B30" s="540"/>
      <c r="C30" s="540"/>
      <c r="D30" s="540"/>
      <c r="E30" s="541"/>
      <c r="F30" s="285"/>
      <c r="G30" s="286"/>
      <c r="H30" s="241" t="s">
        <v>336</v>
      </c>
      <c r="I30" s="287">
        <v>175</v>
      </c>
      <c r="J30" s="220">
        <v>266</v>
      </c>
      <c r="K30" s="215" t="s">
        <v>175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39"/>
      <c r="B31" s="540"/>
      <c r="C31" s="540"/>
      <c r="D31" s="540"/>
      <c r="E31" s="541"/>
      <c r="F31" s="285"/>
      <c r="G31" s="286"/>
      <c r="H31" s="241" t="s">
        <v>337</v>
      </c>
      <c r="I31" s="242"/>
      <c r="J31" s="288">
        <v>0.86</v>
      </c>
      <c r="K31" s="215" t="s">
        <v>175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42"/>
      <c r="B32" s="543"/>
      <c r="C32" s="543"/>
      <c r="D32" s="543"/>
      <c r="E32" s="544"/>
      <c r="F32" s="285"/>
      <c r="G32" s="289" t="s">
        <v>338</v>
      </c>
      <c r="H32" s="241" t="s">
        <v>339</v>
      </c>
      <c r="I32" s="290"/>
      <c r="J32" s="214">
        <v>95.1</v>
      </c>
      <c r="K32" s="215" t="s">
        <v>175</v>
      </c>
      <c r="L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45" t="s">
        <v>340</v>
      </c>
      <c r="B33" s="546"/>
      <c r="C33" s="546"/>
      <c r="D33" s="546"/>
      <c r="E33" s="547"/>
      <c r="F33" s="291"/>
      <c r="G33" s="292"/>
      <c r="H33" s="293" t="s">
        <v>341</v>
      </c>
      <c r="I33" s="294"/>
      <c r="J33" s="295">
        <v>88.3</v>
      </c>
      <c r="K33" s="296" t="s">
        <v>175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39"/>
      <c r="B34" s="540"/>
      <c r="C34" s="540"/>
      <c r="D34" s="540"/>
      <c r="E34" s="541"/>
      <c r="F34" s="216" t="s">
        <v>342</v>
      </c>
      <c r="G34" s="297"/>
      <c r="H34" s="298" t="s">
        <v>14</v>
      </c>
      <c r="I34" s="299"/>
      <c r="J34" s="300">
        <v>10702</v>
      </c>
      <c r="K34" s="301" t="s">
        <v>175</v>
      </c>
      <c r="L34" s="302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39"/>
      <c r="B35" s="540"/>
      <c r="C35" s="540"/>
      <c r="D35" s="540"/>
      <c r="E35" s="541"/>
      <c r="F35" s="235"/>
      <c r="G35" s="303"/>
      <c r="H35" s="304" t="s">
        <v>15</v>
      </c>
      <c r="I35" s="243"/>
      <c r="J35" s="220">
        <v>10007</v>
      </c>
      <c r="K35" s="215" t="s">
        <v>175</v>
      </c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39"/>
      <c r="B36" s="540"/>
      <c r="C36" s="540"/>
      <c r="D36" s="540"/>
      <c r="E36" s="541"/>
      <c r="F36" s="235"/>
      <c r="G36" s="303"/>
      <c r="H36" s="304" t="s">
        <v>343</v>
      </c>
      <c r="I36" s="243"/>
      <c r="J36" s="220">
        <v>5238</v>
      </c>
      <c r="K36" s="215" t="s">
        <v>175</v>
      </c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39"/>
      <c r="B37" s="540"/>
      <c r="C37" s="540"/>
      <c r="D37" s="540"/>
      <c r="E37" s="541"/>
      <c r="F37" s="285"/>
      <c r="G37" s="303"/>
      <c r="H37" s="304" t="s">
        <v>344</v>
      </c>
      <c r="I37" s="243"/>
      <c r="J37" s="220">
        <v>5498</v>
      </c>
      <c r="K37" s="215" t="s">
        <v>175</v>
      </c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42"/>
      <c r="B38" s="543"/>
      <c r="C38" s="543"/>
      <c r="D38" s="543"/>
      <c r="E38" s="544"/>
      <c r="F38" s="244"/>
      <c r="G38" s="305"/>
      <c r="H38" s="306" t="s">
        <v>345</v>
      </c>
      <c r="I38" s="307"/>
      <c r="J38" s="308">
        <v>25854</v>
      </c>
      <c r="K38" s="309" t="s">
        <v>175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45" t="s">
        <v>346</v>
      </c>
      <c r="B39" s="546"/>
      <c r="C39" s="546"/>
      <c r="D39" s="546"/>
      <c r="E39" s="546"/>
      <c r="F39" s="310" t="s">
        <v>347</v>
      </c>
      <c r="G39" s="311" t="s">
        <v>378</v>
      </c>
      <c r="H39" s="311"/>
      <c r="I39" s="311"/>
      <c r="J39" s="311"/>
      <c r="K39" s="312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39"/>
      <c r="B40" s="540"/>
      <c r="C40" s="540"/>
      <c r="D40" s="540"/>
      <c r="E40" s="541"/>
      <c r="F40" s="365" t="s">
        <v>384</v>
      </c>
      <c r="G40" s="366" t="s">
        <v>385</v>
      </c>
      <c r="H40" s="367"/>
      <c r="I40" s="367"/>
      <c r="J40" s="367"/>
      <c r="K40" s="368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39"/>
      <c r="B41" s="540"/>
      <c r="C41" s="540"/>
      <c r="D41" s="540"/>
      <c r="E41" s="541"/>
      <c r="F41" s="313"/>
      <c r="G41" s="314" t="s">
        <v>705</v>
      </c>
      <c r="H41" s="314"/>
      <c r="I41" s="314"/>
      <c r="J41" s="314"/>
      <c r="K41" s="315"/>
      <c r="L41" s="316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39"/>
      <c r="B42" s="540"/>
      <c r="C42" s="540"/>
      <c r="D42" s="540"/>
      <c r="E42" s="541"/>
      <c r="F42" s="313"/>
      <c r="G42" s="314" t="s">
        <v>706</v>
      </c>
      <c r="H42" s="314"/>
      <c r="I42" s="314"/>
      <c r="J42" s="314"/>
      <c r="K42" s="315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39"/>
      <c r="B43" s="540"/>
      <c r="C43" s="540"/>
      <c r="D43" s="540"/>
      <c r="E43" s="541"/>
      <c r="F43" s="313"/>
      <c r="G43" s="314"/>
      <c r="H43" s="314"/>
      <c r="I43" s="314"/>
      <c r="J43" s="314"/>
      <c r="K43" s="315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48"/>
      <c r="B44" s="549"/>
      <c r="C44" s="549"/>
      <c r="D44" s="549"/>
      <c r="E44" s="550"/>
      <c r="F44" s="313"/>
      <c r="G44" s="314"/>
      <c r="H44" s="314"/>
      <c r="I44" s="314"/>
      <c r="J44" s="314"/>
      <c r="K44" s="315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17" t="s">
        <v>348</v>
      </c>
      <c r="B45" s="551"/>
      <c r="C45" s="552"/>
      <c r="D45" s="318" t="s">
        <v>349</v>
      </c>
      <c r="E45" s="369" t="s">
        <v>388</v>
      </c>
      <c r="F45" s="319"/>
      <c r="G45" s="314"/>
      <c r="H45" s="314"/>
      <c r="I45" s="314"/>
      <c r="J45" s="314"/>
      <c r="K45" s="315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20" t="s">
        <v>350</v>
      </c>
      <c r="B46" s="537"/>
      <c r="C46" s="538"/>
      <c r="D46" s="321" t="s">
        <v>350</v>
      </c>
      <c r="E46" s="322">
        <v>44704</v>
      </c>
      <c r="F46" s="323"/>
      <c r="G46" s="324" t="s">
        <v>386</v>
      </c>
      <c r="H46" s="324"/>
      <c r="I46" s="324"/>
      <c r="J46" s="324"/>
      <c r="K46" s="325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26"/>
      <c r="G47" s="196" t="s">
        <v>387</v>
      </c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196"/>
      <c r="G48" s="196"/>
      <c r="H48" s="196"/>
      <c r="I48" s="196"/>
      <c r="J48" s="196"/>
      <c r="K48" s="196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topLeftCell="A43" zoomScale="75" zoomScaleNormal="75" workbookViewId="0">
      <selection activeCell="K4" sqref="K4"/>
    </sheetView>
  </sheetViews>
  <sheetFormatPr defaultColWidth="8.7109375" defaultRowHeight="12.75"/>
  <cols>
    <col min="1" max="1" width="8.7109375" style="332" customWidth="1"/>
    <col min="2" max="2" width="17.28515625" style="332" customWidth="1"/>
    <col min="3" max="3" width="20.5703125" style="332" customWidth="1"/>
    <col min="4" max="4" width="20.28515625" style="332" bestFit="1" customWidth="1"/>
    <col min="5" max="5" width="6.5703125" style="332" bestFit="1" customWidth="1"/>
    <col min="6" max="6" width="28.28515625" style="332" customWidth="1"/>
    <col min="7" max="7" width="41.5703125" style="332" customWidth="1"/>
    <col min="8" max="8" width="16.28515625" style="332" customWidth="1"/>
    <col min="9" max="9" width="7.42578125" style="332" customWidth="1"/>
    <col min="10" max="10" width="2.28515625" style="332" bestFit="1" customWidth="1"/>
    <col min="11" max="12" width="2.28515625" style="332" customWidth="1"/>
    <col min="13" max="13" width="2.42578125" style="332" bestFit="1" customWidth="1"/>
    <col min="14" max="14" width="2.28515625" style="332" bestFit="1" customWidth="1"/>
    <col min="15" max="16384" width="8.7109375" style="332"/>
  </cols>
  <sheetData>
    <row r="1" spans="2:14" ht="12.75" customHeight="1">
      <c r="B1" s="327"/>
      <c r="C1" s="328"/>
      <c r="D1" s="328"/>
      <c r="E1" s="328"/>
      <c r="F1" s="328"/>
      <c r="G1" s="328"/>
      <c r="H1" s="329"/>
      <c r="I1" s="330"/>
      <c r="J1" s="331" t="s">
        <v>351</v>
      </c>
      <c r="K1" s="331" t="s">
        <v>352</v>
      </c>
      <c r="L1" s="331" t="s">
        <v>353</v>
      </c>
      <c r="M1" s="331" t="s">
        <v>352</v>
      </c>
      <c r="N1" s="331"/>
    </row>
    <row r="2" spans="2:14" ht="12.75" customHeight="1">
      <c r="B2" s="632" t="s">
        <v>354</v>
      </c>
      <c r="C2" s="633"/>
      <c r="D2" s="633"/>
      <c r="E2" s="633"/>
      <c r="F2" s="633"/>
      <c r="G2" s="633"/>
      <c r="H2" s="335"/>
      <c r="I2" s="336"/>
      <c r="J2" s="337" t="s">
        <v>355</v>
      </c>
      <c r="K2" s="337" t="s">
        <v>356</v>
      </c>
      <c r="L2" s="337" t="s">
        <v>357</v>
      </c>
      <c r="M2" s="337" t="s">
        <v>358</v>
      </c>
      <c r="N2" s="337" t="s">
        <v>359</v>
      </c>
    </row>
    <row r="3" spans="2:14" ht="12.75" customHeight="1">
      <c r="B3" s="632"/>
      <c r="C3" s="633"/>
      <c r="D3" s="633"/>
      <c r="E3" s="633"/>
      <c r="F3" s="633"/>
      <c r="G3" s="633"/>
      <c r="H3" s="335"/>
      <c r="I3" s="336"/>
      <c r="J3" s="337" t="s">
        <v>360</v>
      </c>
      <c r="K3" s="337"/>
      <c r="L3" s="337" t="s">
        <v>361</v>
      </c>
      <c r="M3" s="337" t="s">
        <v>351</v>
      </c>
      <c r="N3" s="337"/>
    </row>
    <row r="4" spans="2:14" ht="12.75" customHeight="1">
      <c r="B4" s="632"/>
      <c r="C4" s="633"/>
      <c r="D4" s="633"/>
      <c r="E4" s="633"/>
      <c r="F4" s="633"/>
      <c r="G4" s="633"/>
      <c r="H4" s="335"/>
      <c r="I4" s="336"/>
      <c r="J4" s="337" t="s">
        <v>362</v>
      </c>
      <c r="K4" s="337"/>
      <c r="L4" s="337" t="s">
        <v>357</v>
      </c>
      <c r="M4" s="337" t="s">
        <v>355</v>
      </c>
      <c r="N4" s="337"/>
    </row>
    <row r="5" spans="2:14" ht="12.75" customHeight="1">
      <c r="B5" s="333"/>
      <c r="C5" s="334"/>
      <c r="D5" s="334"/>
      <c r="E5" s="334"/>
      <c r="F5" s="334"/>
      <c r="G5" s="334"/>
      <c r="H5" s="335"/>
      <c r="I5" s="336"/>
      <c r="J5" s="337"/>
      <c r="K5" s="337" t="s">
        <v>363</v>
      </c>
      <c r="L5" s="337" t="s">
        <v>352</v>
      </c>
      <c r="M5" s="337"/>
      <c r="N5" s="337" t="s">
        <v>357</v>
      </c>
    </row>
    <row r="6" spans="2:14" ht="12" customHeight="1">
      <c r="B6" s="338"/>
      <c r="C6" s="339"/>
      <c r="D6" s="339"/>
      <c r="F6" s="339"/>
      <c r="H6" s="340"/>
      <c r="I6" s="336"/>
      <c r="J6" s="337" t="s">
        <v>356</v>
      </c>
      <c r="K6" s="337" t="s">
        <v>364</v>
      </c>
      <c r="L6" s="337"/>
      <c r="M6" s="337" t="s">
        <v>352</v>
      </c>
      <c r="N6" s="337" t="s">
        <v>365</v>
      </c>
    </row>
    <row r="7" spans="2:14" ht="12.75" customHeight="1">
      <c r="B7" s="338"/>
      <c r="D7" s="341"/>
      <c r="H7" s="340"/>
      <c r="I7" s="336"/>
      <c r="J7" s="337" t="s">
        <v>184</v>
      </c>
      <c r="K7" s="337" t="s">
        <v>360</v>
      </c>
      <c r="L7" s="337" t="s">
        <v>360</v>
      </c>
      <c r="M7" s="337" t="s">
        <v>355</v>
      </c>
      <c r="N7" s="337" t="s">
        <v>366</v>
      </c>
    </row>
    <row r="8" spans="2:14" ht="12.75" customHeight="1">
      <c r="B8" s="338"/>
      <c r="G8" s="341"/>
      <c r="H8" s="342"/>
      <c r="I8" s="337" t="s">
        <v>366</v>
      </c>
      <c r="J8" s="337" t="s">
        <v>352</v>
      </c>
      <c r="K8" s="337" t="s">
        <v>367</v>
      </c>
      <c r="L8" s="337" t="s">
        <v>355</v>
      </c>
      <c r="M8" s="337" t="s">
        <v>366</v>
      </c>
      <c r="N8" s="337" t="s">
        <v>364</v>
      </c>
    </row>
    <row r="9" spans="2:14">
      <c r="B9" s="337" t="s">
        <v>368</v>
      </c>
      <c r="C9" s="342" t="s">
        <v>369</v>
      </c>
      <c r="D9" s="342" t="s">
        <v>370</v>
      </c>
      <c r="E9" s="342" t="s">
        <v>371</v>
      </c>
      <c r="F9" s="337" t="s">
        <v>372</v>
      </c>
      <c r="G9" s="337" t="s">
        <v>373</v>
      </c>
      <c r="H9" s="337" t="s">
        <v>374</v>
      </c>
      <c r="I9" s="337" t="s">
        <v>362</v>
      </c>
      <c r="J9" s="337" t="s">
        <v>184</v>
      </c>
      <c r="K9" s="337" t="s">
        <v>355</v>
      </c>
      <c r="L9" s="337" t="s">
        <v>367</v>
      </c>
      <c r="M9" s="337" t="s">
        <v>352</v>
      </c>
      <c r="N9" s="337" t="s">
        <v>353</v>
      </c>
    </row>
    <row r="10" spans="2:14" ht="15" customHeight="1">
      <c r="B10" s="343"/>
      <c r="C10" s="344"/>
      <c r="D10" s="344"/>
      <c r="E10" s="344"/>
      <c r="F10" s="345"/>
      <c r="G10" s="346"/>
      <c r="H10" s="346"/>
      <c r="I10" s="347"/>
      <c r="J10" s="348"/>
      <c r="K10" s="348"/>
      <c r="L10" s="348"/>
      <c r="M10" s="348"/>
      <c r="N10" s="349"/>
    </row>
    <row r="11" spans="2:14" ht="15" customHeight="1">
      <c r="B11" s="343"/>
      <c r="C11" s="345"/>
      <c r="D11" s="345"/>
      <c r="E11" s="345"/>
      <c r="F11" s="345"/>
      <c r="G11" s="345"/>
      <c r="H11" s="345"/>
      <c r="I11" s="350"/>
      <c r="J11" s="348"/>
      <c r="K11" s="348"/>
      <c r="L11" s="348"/>
      <c r="M11" s="348"/>
      <c r="N11" s="349"/>
    </row>
    <row r="12" spans="2:14" ht="15" customHeight="1">
      <c r="B12" s="343"/>
      <c r="C12" s="345"/>
      <c r="D12" s="345"/>
      <c r="E12" s="345"/>
      <c r="F12" s="345"/>
      <c r="G12" s="345"/>
      <c r="H12" s="345"/>
      <c r="I12" s="350"/>
      <c r="J12" s="351"/>
      <c r="K12" s="348"/>
      <c r="L12" s="348"/>
      <c r="M12" s="348"/>
      <c r="N12" s="349"/>
    </row>
    <row r="13" spans="2:14" ht="15" customHeight="1">
      <c r="B13" s="343"/>
      <c r="C13" s="345"/>
      <c r="D13" s="345"/>
      <c r="E13" s="345"/>
      <c r="F13" s="345"/>
      <c r="G13" s="345"/>
      <c r="H13" s="345"/>
      <c r="I13" s="350"/>
      <c r="J13" s="348"/>
      <c r="K13" s="348"/>
      <c r="L13" s="348"/>
      <c r="M13" s="348"/>
      <c r="N13" s="349"/>
    </row>
    <row r="14" spans="2:14" ht="15" customHeight="1">
      <c r="B14" s="343"/>
      <c r="C14" s="345"/>
      <c r="D14" s="345"/>
      <c r="E14" s="345"/>
      <c r="F14" s="345"/>
      <c r="G14" s="345"/>
      <c r="H14" s="345"/>
      <c r="I14" s="350"/>
      <c r="J14" s="348"/>
      <c r="K14" s="348"/>
      <c r="L14" s="348"/>
      <c r="M14" s="348"/>
      <c r="N14" s="349"/>
    </row>
    <row r="15" spans="2:14" ht="15" customHeight="1">
      <c r="B15" s="343"/>
      <c r="C15" s="345"/>
      <c r="D15" s="345"/>
      <c r="E15" s="345"/>
      <c r="F15" s="345"/>
      <c r="G15" s="345"/>
      <c r="H15" s="345"/>
      <c r="I15" s="350"/>
      <c r="J15" s="348"/>
      <c r="K15" s="348"/>
      <c r="L15" s="348"/>
      <c r="M15" s="348"/>
      <c r="N15" s="349"/>
    </row>
    <row r="16" spans="2:14" ht="15" customHeight="1">
      <c r="B16" s="343"/>
      <c r="C16" s="345"/>
      <c r="D16" s="345"/>
      <c r="E16" s="345"/>
      <c r="F16" s="345"/>
      <c r="G16" s="345"/>
      <c r="H16" s="345"/>
      <c r="I16" s="350"/>
      <c r="J16" s="348"/>
      <c r="K16" s="348"/>
      <c r="L16" s="348"/>
      <c r="M16" s="348"/>
      <c r="N16" s="349"/>
    </row>
    <row r="17" spans="2:14" ht="15" customHeight="1">
      <c r="B17" s="343"/>
      <c r="C17" s="345"/>
      <c r="D17" s="345"/>
      <c r="E17" s="345"/>
      <c r="F17" s="345"/>
      <c r="G17" s="345"/>
      <c r="H17" s="345"/>
      <c r="I17" s="350"/>
      <c r="J17" s="348"/>
      <c r="K17" s="348"/>
      <c r="L17" s="348"/>
      <c r="M17" s="348"/>
      <c r="N17" s="349"/>
    </row>
    <row r="18" spans="2:14" ht="15" customHeight="1">
      <c r="B18" s="343"/>
      <c r="C18" s="345"/>
      <c r="D18" s="345"/>
      <c r="E18" s="345"/>
      <c r="F18" s="345"/>
      <c r="G18" s="345"/>
      <c r="H18" s="345"/>
      <c r="I18" s="350"/>
      <c r="J18" s="348"/>
      <c r="K18" s="348"/>
      <c r="L18" s="348"/>
      <c r="M18" s="348"/>
      <c r="N18" s="349"/>
    </row>
    <row r="19" spans="2:14" ht="15" customHeight="1">
      <c r="B19" s="343"/>
      <c r="C19" s="345"/>
      <c r="D19" s="345"/>
      <c r="E19" s="345"/>
      <c r="F19" s="345"/>
      <c r="G19" s="345"/>
      <c r="H19" s="345"/>
      <c r="I19" s="350"/>
      <c r="J19" s="348"/>
      <c r="K19" s="348"/>
      <c r="L19" s="348"/>
      <c r="M19" s="348"/>
      <c r="N19" s="349"/>
    </row>
    <row r="20" spans="2:14" ht="15" customHeight="1">
      <c r="B20" s="343"/>
      <c r="C20" s="345"/>
      <c r="D20" s="345"/>
      <c r="E20" s="345"/>
      <c r="F20" s="345"/>
      <c r="G20" s="345"/>
      <c r="H20" s="345"/>
      <c r="I20" s="350"/>
      <c r="J20" s="348"/>
      <c r="K20" s="348"/>
      <c r="L20" s="348"/>
      <c r="M20" s="348"/>
      <c r="N20" s="349"/>
    </row>
    <row r="21" spans="2:14" ht="15" customHeight="1">
      <c r="B21" s="343"/>
      <c r="C21" s="345"/>
      <c r="D21" s="345"/>
      <c r="E21" s="345"/>
      <c r="F21" s="345"/>
      <c r="G21" s="345"/>
      <c r="H21" s="345"/>
      <c r="I21" s="350"/>
      <c r="J21" s="348"/>
      <c r="K21" s="348"/>
      <c r="L21" s="348"/>
      <c r="M21" s="348"/>
      <c r="N21" s="349"/>
    </row>
    <row r="22" spans="2:14" ht="15" customHeight="1">
      <c r="B22" s="343"/>
      <c r="C22" s="345"/>
      <c r="D22" s="345"/>
      <c r="E22" s="345"/>
      <c r="F22" s="345"/>
      <c r="G22" s="345"/>
      <c r="H22" s="345"/>
      <c r="I22" s="350"/>
      <c r="J22" s="348"/>
      <c r="K22" s="348"/>
      <c r="L22" s="348"/>
      <c r="M22" s="348"/>
      <c r="N22" s="349"/>
    </row>
    <row r="23" spans="2:14" ht="15" customHeight="1">
      <c r="B23" s="343"/>
      <c r="C23" s="345"/>
      <c r="D23" s="345"/>
      <c r="E23" s="345"/>
      <c r="F23" s="345"/>
      <c r="G23" s="345"/>
      <c r="H23" s="345"/>
      <c r="I23" s="350"/>
      <c r="J23" s="348"/>
      <c r="K23" s="348"/>
      <c r="L23" s="348"/>
      <c r="M23" s="348"/>
      <c r="N23" s="349"/>
    </row>
    <row r="24" spans="2:14" ht="15" customHeight="1">
      <c r="B24" s="343"/>
      <c r="C24" s="345"/>
      <c r="D24" s="345"/>
      <c r="E24" s="345"/>
      <c r="F24" s="345"/>
      <c r="G24" s="345"/>
      <c r="H24" s="345"/>
      <c r="I24" s="350"/>
      <c r="J24" s="348"/>
      <c r="K24" s="348"/>
      <c r="L24" s="348"/>
      <c r="M24" s="348"/>
      <c r="N24" s="349"/>
    </row>
    <row r="25" spans="2:14" ht="15" customHeight="1">
      <c r="B25" s="343"/>
      <c r="C25" s="345"/>
      <c r="D25" s="345"/>
      <c r="E25" s="345"/>
      <c r="F25" s="345"/>
      <c r="G25" s="345"/>
      <c r="H25" s="345"/>
      <c r="I25" s="350"/>
      <c r="J25" s="348"/>
      <c r="K25" s="348"/>
      <c r="L25" s="348"/>
      <c r="M25" s="348"/>
      <c r="N25" s="349"/>
    </row>
    <row r="26" spans="2:14" ht="15" customHeight="1">
      <c r="B26" s="343"/>
      <c r="C26" s="345"/>
      <c r="D26" s="345"/>
      <c r="E26" s="345"/>
      <c r="F26" s="345"/>
      <c r="G26" s="345"/>
      <c r="H26" s="345"/>
      <c r="I26" s="350"/>
      <c r="J26" s="348"/>
      <c r="K26" s="348"/>
      <c r="L26" s="348"/>
      <c r="M26" s="348"/>
      <c r="N26" s="349"/>
    </row>
    <row r="27" spans="2:14" ht="15" customHeight="1">
      <c r="B27" s="343"/>
      <c r="C27" s="345"/>
      <c r="D27" s="345"/>
      <c r="E27" s="345"/>
      <c r="F27" s="345"/>
      <c r="G27" s="345"/>
      <c r="H27" s="345"/>
      <c r="I27" s="350"/>
      <c r="J27" s="348"/>
      <c r="K27" s="348"/>
      <c r="L27" s="348"/>
      <c r="M27" s="348"/>
      <c r="N27" s="349"/>
    </row>
    <row r="28" spans="2:14" ht="15" customHeight="1">
      <c r="B28" s="343"/>
      <c r="C28" s="345"/>
      <c r="D28" s="345"/>
      <c r="E28" s="345"/>
      <c r="F28" s="345"/>
      <c r="G28" s="345"/>
      <c r="H28" s="345"/>
      <c r="I28" s="350"/>
      <c r="J28" s="348"/>
      <c r="K28" s="348"/>
      <c r="L28" s="348"/>
      <c r="M28" s="348"/>
      <c r="N28" s="349"/>
    </row>
    <row r="29" spans="2:14" ht="15" customHeight="1">
      <c r="B29" s="343"/>
      <c r="C29" s="345"/>
      <c r="D29" s="345"/>
      <c r="E29" s="345"/>
      <c r="F29" s="345"/>
      <c r="G29" s="345"/>
      <c r="H29" s="345"/>
      <c r="I29" s="350"/>
      <c r="J29" s="348"/>
      <c r="K29" s="348"/>
      <c r="L29" s="348"/>
      <c r="M29" s="348"/>
      <c r="N29" s="349"/>
    </row>
    <row r="30" spans="2:14" ht="15" customHeight="1">
      <c r="B30" s="343"/>
      <c r="C30" s="345"/>
      <c r="D30" s="345"/>
      <c r="E30" s="345"/>
      <c r="F30" s="345"/>
      <c r="G30" s="345"/>
      <c r="H30" s="345"/>
      <c r="I30" s="350"/>
      <c r="J30" s="348"/>
      <c r="K30" s="348"/>
      <c r="L30" s="348"/>
      <c r="M30" s="348"/>
      <c r="N30" s="349"/>
    </row>
    <row r="31" spans="2:14" ht="15" customHeight="1">
      <c r="B31" s="343"/>
      <c r="C31" s="345"/>
      <c r="D31" s="345"/>
      <c r="E31" s="345"/>
      <c r="F31" s="345"/>
      <c r="G31" s="345"/>
      <c r="H31" s="345"/>
      <c r="I31" s="350"/>
      <c r="J31" s="348"/>
      <c r="K31" s="348"/>
      <c r="L31" s="348"/>
      <c r="M31" s="348"/>
      <c r="N31" s="349"/>
    </row>
    <row r="32" spans="2:14" ht="15" customHeight="1">
      <c r="B32" s="343"/>
      <c r="C32" s="345"/>
      <c r="D32" s="345"/>
      <c r="E32" s="345"/>
      <c r="F32" s="345"/>
      <c r="G32" s="345"/>
      <c r="H32" s="345"/>
      <c r="I32" s="350"/>
      <c r="J32" s="348"/>
      <c r="K32" s="348"/>
      <c r="L32" s="348"/>
      <c r="M32" s="348"/>
      <c r="N32" s="349"/>
    </row>
    <row r="33" spans="2:14" ht="15" customHeight="1">
      <c r="B33" s="343"/>
      <c r="C33" s="345"/>
      <c r="D33" s="345"/>
      <c r="E33" s="345"/>
      <c r="F33" s="345"/>
      <c r="G33" s="345"/>
      <c r="H33" s="345"/>
      <c r="I33" s="350"/>
      <c r="J33" s="348"/>
      <c r="K33" s="348"/>
      <c r="L33" s="348"/>
      <c r="M33" s="348"/>
      <c r="N33" s="349"/>
    </row>
    <row r="34" spans="2:14" ht="15" customHeight="1">
      <c r="B34" s="343"/>
      <c r="C34" s="345"/>
      <c r="D34" s="345"/>
      <c r="E34" s="345"/>
      <c r="F34" s="345"/>
      <c r="G34" s="345"/>
      <c r="H34" s="345"/>
      <c r="I34" s="350"/>
      <c r="J34" s="348"/>
      <c r="K34" s="348"/>
      <c r="L34" s="348"/>
      <c r="M34" s="348"/>
      <c r="N34" s="349"/>
    </row>
    <row r="35" spans="2:14" ht="15" customHeight="1">
      <c r="B35" s="343"/>
      <c r="C35" s="345"/>
      <c r="D35" s="345"/>
      <c r="E35" s="345"/>
      <c r="F35" s="345"/>
      <c r="G35" s="345"/>
      <c r="H35" s="345"/>
      <c r="I35" s="350"/>
      <c r="J35" s="348"/>
      <c r="K35" s="348"/>
      <c r="L35" s="348"/>
      <c r="M35" s="348"/>
      <c r="N35" s="349"/>
    </row>
    <row r="36" spans="2:14" ht="15" customHeight="1">
      <c r="B36" s="343"/>
      <c r="C36" s="345"/>
      <c r="D36" s="345"/>
      <c r="E36" s="345"/>
      <c r="F36" s="345"/>
      <c r="G36" s="345"/>
      <c r="H36" s="345"/>
      <c r="I36" s="350"/>
      <c r="J36" s="348"/>
      <c r="K36" s="348"/>
      <c r="L36" s="348"/>
      <c r="M36" s="348"/>
      <c r="N36" s="349"/>
    </row>
    <row r="37" spans="2:14" ht="15" customHeight="1">
      <c r="B37" s="343"/>
      <c r="C37" s="345"/>
      <c r="D37" s="345"/>
      <c r="E37" s="345"/>
      <c r="F37" s="345"/>
      <c r="G37" s="345"/>
      <c r="H37" s="345"/>
      <c r="I37" s="350"/>
      <c r="J37" s="348"/>
      <c r="K37" s="348"/>
      <c r="L37" s="348"/>
      <c r="M37" s="348"/>
      <c r="N37" s="349"/>
    </row>
    <row r="38" spans="2:14" ht="15" customHeight="1">
      <c r="B38" s="343"/>
      <c r="C38" s="345"/>
      <c r="D38" s="345"/>
      <c r="E38" s="345"/>
      <c r="F38" s="345"/>
      <c r="G38" s="345"/>
      <c r="H38" s="345"/>
      <c r="I38" s="350"/>
      <c r="J38" s="348"/>
      <c r="K38" s="348"/>
      <c r="L38" s="348"/>
      <c r="M38" s="348"/>
      <c r="N38" s="349"/>
    </row>
    <row r="39" spans="2:14" ht="15" customHeight="1">
      <c r="B39" s="343"/>
      <c r="C39" s="345"/>
      <c r="D39" s="345"/>
      <c r="E39" s="345"/>
      <c r="F39" s="345"/>
      <c r="G39" s="345"/>
      <c r="H39" s="345"/>
      <c r="I39" s="350"/>
      <c r="J39" s="348"/>
      <c r="K39" s="348"/>
      <c r="L39" s="348"/>
      <c r="M39" s="348"/>
      <c r="N39" s="349"/>
    </row>
    <row r="40" spans="2:14" ht="15" customHeight="1">
      <c r="B40" s="343"/>
      <c r="C40" s="345"/>
      <c r="D40" s="345"/>
      <c r="E40" s="345"/>
      <c r="F40" s="345"/>
      <c r="G40" s="345"/>
      <c r="H40" s="345"/>
      <c r="I40" s="350"/>
      <c r="J40" s="348"/>
      <c r="K40" s="348"/>
      <c r="L40" s="348"/>
      <c r="M40" s="348"/>
      <c r="N40" s="349"/>
    </row>
    <row r="41" spans="2:14" ht="15" customHeight="1">
      <c r="B41" s="343"/>
      <c r="C41" s="345"/>
      <c r="D41" s="345"/>
      <c r="E41" s="345"/>
      <c r="F41" s="345"/>
      <c r="G41" s="345"/>
      <c r="H41" s="345"/>
      <c r="I41" s="350"/>
      <c r="J41" s="348"/>
      <c r="K41" s="348"/>
      <c r="L41" s="348"/>
      <c r="M41" s="348"/>
      <c r="N41" s="349"/>
    </row>
    <row r="42" spans="2:14" ht="15" customHeight="1">
      <c r="B42" s="343"/>
      <c r="C42" s="345"/>
      <c r="D42" s="345"/>
      <c r="E42" s="345"/>
      <c r="F42" s="345"/>
      <c r="G42" s="345"/>
      <c r="H42" s="345"/>
      <c r="I42" s="350"/>
      <c r="J42" s="348"/>
      <c r="K42" s="348"/>
      <c r="L42" s="348"/>
      <c r="M42" s="348"/>
      <c r="N42" s="349"/>
    </row>
    <row r="43" spans="2:14" ht="15" customHeight="1">
      <c r="B43" s="343"/>
      <c r="C43" s="345"/>
      <c r="D43" s="345"/>
      <c r="E43" s="345"/>
      <c r="F43" s="345"/>
      <c r="G43" s="345"/>
      <c r="H43" s="345"/>
      <c r="I43" s="350"/>
      <c r="J43" s="348"/>
      <c r="K43" s="348"/>
      <c r="L43" s="348"/>
      <c r="M43" s="348"/>
      <c r="N43" s="349"/>
    </row>
    <row r="44" spans="2:14" ht="15" customHeight="1">
      <c r="B44" s="343"/>
      <c r="C44" s="345"/>
      <c r="D44" s="345"/>
      <c r="E44" s="345"/>
      <c r="F44" s="345"/>
      <c r="G44" s="345"/>
      <c r="H44" s="345"/>
      <c r="I44" s="350"/>
      <c r="J44" s="348"/>
      <c r="K44" s="348"/>
      <c r="L44" s="348"/>
      <c r="M44" s="348"/>
      <c r="N44" s="349"/>
    </row>
    <row r="45" spans="2:14" ht="15" customHeight="1">
      <c r="B45" s="343"/>
      <c r="C45" s="345"/>
      <c r="D45" s="345"/>
      <c r="E45" s="345"/>
      <c r="F45" s="345"/>
      <c r="G45" s="345"/>
      <c r="H45" s="345"/>
      <c r="I45" s="350"/>
      <c r="J45" s="348"/>
      <c r="K45" s="348"/>
      <c r="L45" s="348"/>
      <c r="M45" s="348"/>
      <c r="N45" s="349"/>
    </row>
    <row r="46" spans="2:14" ht="15" customHeight="1">
      <c r="B46" s="343"/>
      <c r="C46" s="345"/>
      <c r="D46" s="345"/>
      <c r="E46" s="345"/>
      <c r="F46" s="345"/>
      <c r="G46" s="345"/>
      <c r="H46" s="345"/>
      <c r="I46" s="350"/>
      <c r="J46" s="348"/>
      <c r="K46" s="348"/>
      <c r="L46" s="348"/>
      <c r="M46" s="348"/>
      <c r="N46" s="349"/>
    </row>
    <row r="47" spans="2:14" ht="15" customHeight="1">
      <c r="B47" s="343"/>
      <c r="C47" s="345"/>
      <c r="D47" s="345"/>
      <c r="E47" s="345"/>
      <c r="F47" s="345"/>
      <c r="G47" s="345"/>
      <c r="H47" s="345"/>
      <c r="I47" s="350"/>
      <c r="J47" s="348"/>
      <c r="K47" s="348"/>
      <c r="L47" s="348"/>
      <c r="M47" s="348"/>
      <c r="N47" s="349"/>
    </row>
    <row r="48" spans="2:14" ht="15" customHeight="1">
      <c r="B48" s="343"/>
      <c r="C48" s="345"/>
      <c r="D48" s="345"/>
      <c r="E48" s="345"/>
      <c r="F48" s="345"/>
      <c r="G48" s="345"/>
      <c r="H48" s="345"/>
      <c r="I48" s="350"/>
      <c r="J48" s="348"/>
      <c r="K48" s="348"/>
      <c r="L48" s="348"/>
      <c r="M48" s="348"/>
      <c r="N48" s="349"/>
    </row>
    <row r="49" spans="2:14" ht="15" customHeight="1">
      <c r="B49" s="343"/>
      <c r="C49" s="345"/>
      <c r="D49" s="345"/>
      <c r="E49" s="345"/>
      <c r="F49" s="345"/>
      <c r="G49" s="345"/>
      <c r="H49" s="345"/>
      <c r="I49" s="350"/>
      <c r="J49" s="348"/>
      <c r="K49" s="348"/>
      <c r="L49" s="348"/>
      <c r="M49" s="348"/>
      <c r="N49" s="349"/>
    </row>
    <row r="50" spans="2:14" ht="15" customHeight="1">
      <c r="B50" s="343"/>
      <c r="C50" s="345"/>
      <c r="D50" s="345"/>
      <c r="E50" s="345"/>
      <c r="F50" s="345"/>
      <c r="G50" s="345"/>
      <c r="H50" s="345"/>
      <c r="I50" s="350"/>
      <c r="J50" s="348"/>
      <c r="K50" s="348"/>
      <c r="L50" s="348"/>
      <c r="M50" s="348"/>
      <c r="N50" s="349"/>
    </row>
    <row r="51" spans="2:14" ht="15" customHeight="1">
      <c r="B51" s="343"/>
      <c r="C51" s="345"/>
      <c r="D51" s="345"/>
      <c r="E51" s="345"/>
      <c r="F51" s="345"/>
      <c r="G51" s="345"/>
      <c r="H51" s="345"/>
      <c r="I51" s="350"/>
      <c r="J51" s="348"/>
      <c r="K51" s="348"/>
      <c r="L51" s="348"/>
      <c r="M51" s="348"/>
      <c r="N51" s="349"/>
    </row>
    <row r="52" spans="2:14" ht="15" customHeight="1" thickBot="1">
      <c r="B52" s="352"/>
      <c r="C52" s="353"/>
      <c r="D52" s="353"/>
      <c r="E52" s="353"/>
      <c r="F52" s="353"/>
      <c r="G52" s="353"/>
      <c r="H52" s="353"/>
      <c r="I52" s="354"/>
      <c r="J52" s="355"/>
      <c r="K52" s="355"/>
      <c r="L52" s="355"/>
      <c r="M52" s="355"/>
      <c r="N52" s="356"/>
    </row>
    <row r="53" spans="2:14" ht="20.25" customHeight="1" thickBot="1">
      <c r="B53" s="634" t="s">
        <v>375</v>
      </c>
      <c r="C53" s="634"/>
      <c r="D53" s="634"/>
      <c r="E53" s="634"/>
      <c r="F53" s="634"/>
      <c r="G53" s="634"/>
      <c r="H53" s="634"/>
      <c r="I53" s="634"/>
      <c r="J53" s="634"/>
      <c r="K53" s="634"/>
      <c r="L53" s="634"/>
      <c r="M53" s="634"/>
      <c r="N53" s="634"/>
    </row>
    <row r="54" spans="2:14" ht="15" customHeight="1" thickBot="1">
      <c r="B54" s="357" t="s">
        <v>376</v>
      </c>
      <c r="C54" s="635" t="s">
        <v>373</v>
      </c>
      <c r="D54" s="636"/>
      <c r="E54" s="636"/>
      <c r="F54" s="636"/>
      <c r="G54" s="636"/>
      <c r="H54" s="358"/>
      <c r="I54" s="635" t="s">
        <v>368</v>
      </c>
      <c r="J54" s="636"/>
      <c r="K54" s="637"/>
      <c r="L54" s="635" t="s">
        <v>377</v>
      </c>
      <c r="M54" s="636"/>
      <c r="N54" s="638"/>
    </row>
    <row r="55" spans="2:14" ht="15" customHeight="1">
      <c r="B55" s="359"/>
      <c r="C55" s="624"/>
      <c r="D55" s="625"/>
      <c r="E55" s="625"/>
      <c r="F55" s="625"/>
      <c r="G55" s="625"/>
      <c r="H55" s="360"/>
      <c r="I55" s="626"/>
      <c r="J55" s="627"/>
      <c r="K55" s="628"/>
      <c r="L55" s="629"/>
      <c r="M55" s="630"/>
      <c r="N55" s="631"/>
    </row>
    <row r="56" spans="2:14" ht="15" customHeight="1">
      <c r="B56" s="361"/>
      <c r="C56" s="608"/>
      <c r="D56" s="609"/>
      <c r="E56" s="609"/>
      <c r="F56" s="609"/>
      <c r="G56" s="609"/>
      <c r="H56" s="362"/>
      <c r="I56" s="610"/>
      <c r="J56" s="611"/>
      <c r="K56" s="612"/>
      <c r="L56" s="613"/>
      <c r="M56" s="614"/>
      <c r="N56" s="615"/>
    </row>
    <row r="57" spans="2:14" ht="15" customHeight="1">
      <c r="B57" s="361"/>
      <c r="C57" s="608"/>
      <c r="D57" s="609"/>
      <c r="E57" s="609"/>
      <c r="F57" s="609"/>
      <c r="G57" s="609"/>
      <c r="H57" s="362"/>
      <c r="I57" s="610"/>
      <c r="J57" s="611"/>
      <c r="K57" s="612"/>
      <c r="L57" s="613"/>
      <c r="M57" s="614"/>
      <c r="N57" s="615"/>
    </row>
    <row r="58" spans="2:14" ht="15" customHeight="1">
      <c r="B58" s="361"/>
      <c r="C58" s="608"/>
      <c r="D58" s="609"/>
      <c r="E58" s="609"/>
      <c r="F58" s="609"/>
      <c r="G58" s="609"/>
      <c r="H58" s="362"/>
      <c r="I58" s="610"/>
      <c r="J58" s="611"/>
      <c r="K58" s="612"/>
      <c r="L58" s="613"/>
      <c r="M58" s="614"/>
      <c r="N58" s="615"/>
    </row>
    <row r="59" spans="2:14" ht="15" customHeight="1">
      <c r="B59" s="361"/>
      <c r="C59" s="608"/>
      <c r="D59" s="609"/>
      <c r="E59" s="609"/>
      <c r="F59" s="609"/>
      <c r="G59" s="609"/>
      <c r="H59" s="362"/>
      <c r="I59" s="610"/>
      <c r="J59" s="611"/>
      <c r="K59" s="612"/>
      <c r="L59" s="613"/>
      <c r="M59" s="614"/>
      <c r="N59" s="615"/>
    </row>
    <row r="60" spans="2:14" ht="15" customHeight="1">
      <c r="B60" s="361"/>
      <c r="C60" s="608"/>
      <c r="D60" s="609"/>
      <c r="E60" s="609"/>
      <c r="F60" s="609"/>
      <c r="G60" s="609"/>
      <c r="H60" s="362"/>
      <c r="I60" s="610"/>
      <c r="J60" s="611"/>
      <c r="K60" s="612"/>
      <c r="L60" s="613"/>
      <c r="M60" s="614"/>
      <c r="N60" s="615"/>
    </row>
    <row r="61" spans="2:14" ht="15" customHeight="1">
      <c r="B61" s="361"/>
      <c r="C61" s="608"/>
      <c r="D61" s="609"/>
      <c r="E61" s="609"/>
      <c r="F61" s="609"/>
      <c r="G61" s="609"/>
      <c r="H61" s="362"/>
      <c r="I61" s="610"/>
      <c r="J61" s="611"/>
      <c r="K61" s="612"/>
      <c r="L61" s="613"/>
      <c r="M61" s="614"/>
      <c r="N61" s="615"/>
    </row>
    <row r="62" spans="2:14" ht="15" customHeight="1">
      <c r="B62" s="361"/>
      <c r="C62" s="608"/>
      <c r="D62" s="609"/>
      <c r="E62" s="609"/>
      <c r="F62" s="609"/>
      <c r="G62" s="609"/>
      <c r="H62" s="362"/>
      <c r="I62" s="610"/>
      <c r="J62" s="611"/>
      <c r="K62" s="612"/>
      <c r="L62" s="613"/>
      <c r="M62" s="614"/>
      <c r="N62" s="615"/>
    </row>
    <row r="63" spans="2:14" ht="15" customHeight="1">
      <c r="B63" s="361"/>
      <c r="C63" s="608"/>
      <c r="D63" s="609"/>
      <c r="E63" s="609"/>
      <c r="F63" s="609"/>
      <c r="G63" s="609"/>
      <c r="H63" s="362"/>
      <c r="I63" s="610"/>
      <c r="J63" s="611"/>
      <c r="K63" s="612"/>
      <c r="L63" s="613"/>
      <c r="M63" s="614"/>
      <c r="N63" s="615"/>
    </row>
    <row r="64" spans="2:14" ht="15" customHeight="1">
      <c r="B64" s="361"/>
      <c r="C64" s="608"/>
      <c r="D64" s="609"/>
      <c r="E64" s="609"/>
      <c r="F64" s="609"/>
      <c r="G64" s="609"/>
      <c r="H64" s="362"/>
      <c r="I64" s="610"/>
      <c r="J64" s="611"/>
      <c r="K64" s="612"/>
      <c r="L64" s="613"/>
      <c r="M64" s="614"/>
      <c r="N64" s="615"/>
    </row>
    <row r="65" spans="2:14" ht="15" customHeight="1">
      <c r="B65" s="361"/>
      <c r="C65" s="608"/>
      <c r="D65" s="609"/>
      <c r="E65" s="609"/>
      <c r="F65" s="609"/>
      <c r="G65" s="609"/>
      <c r="H65" s="362"/>
      <c r="I65" s="610"/>
      <c r="J65" s="611"/>
      <c r="K65" s="612"/>
      <c r="L65" s="613"/>
      <c r="M65" s="614"/>
      <c r="N65" s="615"/>
    </row>
    <row r="66" spans="2:14" ht="15" customHeight="1">
      <c r="B66" s="361"/>
      <c r="C66" s="608"/>
      <c r="D66" s="609"/>
      <c r="E66" s="609"/>
      <c r="F66" s="609"/>
      <c r="G66" s="609"/>
      <c r="H66" s="362"/>
      <c r="I66" s="610"/>
      <c r="J66" s="611"/>
      <c r="K66" s="612"/>
      <c r="L66" s="613"/>
      <c r="M66" s="614"/>
      <c r="N66" s="615"/>
    </row>
    <row r="67" spans="2:14" ht="15" customHeight="1">
      <c r="B67" s="361"/>
      <c r="C67" s="608"/>
      <c r="D67" s="609"/>
      <c r="E67" s="609"/>
      <c r="F67" s="609"/>
      <c r="G67" s="609"/>
      <c r="H67" s="362"/>
      <c r="I67" s="610"/>
      <c r="J67" s="611"/>
      <c r="K67" s="612"/>
      <c r="L67" s="613"/>
      <c r="M67" s="614"/>
      <c r="N67" s="615"/>
    </row>
    <row r="68" spans="2:14" ht="15" customHeight="1">
      <c r="B68" s="361"/>
      <c r="C68" s="608"/>
      <c r="D68" s="609"/>
      <c r="E68" s="609"/>
      <c r="F68" s="609"/>
      <c r="G68" s="609"/>
      <c r="H68" s="362"/>
      <c r="I68" s="610"/>
      <c r="J68" s="611"/>
      <c r="K68" s="612"/>
      <c r="L68" s="613"/>
      <c r="M68" s="614"/>
      <c r="N68" s="615"/>
    </row>
    <row r="69" spans="2:14" ht="15" customHeight="1">
      <c r="B69" s="361"/>
      <c r="C69" s="608"/>
      <c r="D69" s="609"/>
      <c r="E69" s="609"/>
      <c r="F69" s="609"/>
      <c r="G69" s="609"/>
      <c r="H69" s="362"/>
      <c r="I69" s="610"/>
      <c r="J69" s="611"/>
      <c r="K69" s="612"/>
      <c r="L69" s="613"/>
      <c r="M69" s="614"/>
      <c r="N69" s="615"/>
    </row>
    <row r="70" spans="2:14" ht="15" customHeight="1">
      <c r="B70" s="361"/>
      <c r="C70" s="608"/>
      <c r="D70" s="609"/>
      <c r="E70" s="609"/>
      <c r="F70" s="609"/>
      <c r="G70" s="609"/>
      <c r="H70" s="362"/>
      <c r="I70" s="610"/>
      <c r="J70" s="611"/>
      <c r="K70" s="612"/>
      <c r="L70" s="613"/>
      <c r="M70" s="614"/>
      <c r="N70" s="615"/>
    </row>
    <row r="71" spans="2:14" ht="15" customHeight="1">
      <c r="B71" s="361"/>
      <c r="C71" s="608"/>
      <c r="D71" s="609"/>
      <c r="E71" s="609"/>
      <c r="F71" s="609"/>
      <c r="G71" s="609"/>
      <c r="H71" s="362"/>
      <c r="I71" s="610"/>
      <c r="J71" s="611"/>
      <c r="K71" s="612"/>
      <c r="L71" s="613"/>
      <c r="M71" s="614"/>
      <c r="N71" s="615"/>
    </row>
    <row r="72" spans="2:14">
      <c r="B72" s="361"/>
      <c r="C72" s="608"/>
      <c r="D72" s="609"/>
      <c r="E72" s="609"/>
      <c r="F72" s="609"/>
      <c r="G72" s="609"/>
      <c r="H72" s="362"/>
      <c r="I72" s="610"/>
      <c r="J72" s="611"/>
      <c r="K72" s="612"/>
      <c r="L72" s="613"/>
      <c r="M72" s="614"/>
      <c r="N72" s="615"/>
    </row>
    <row r="73" spans="2:14">
      <c r="B73" s="361"/>
      <c r="C73" s="608"/>
      <c r="D73" s="609"/>
      <c r="E73" s="609"/>
      <c r="F73" s="609"/>
      <c r="G73" s="609"/>
      <c r="H73" s="362"/>
      <c r="I73" s="610"/>
      <c r="J73" s="611"/>
      <c r="K73" s="612"/>
      <c r="L73" s="613"/>
      <c r="M73" s="614"/>
      <c r="N73" s="615"/>
    </row>
    <row r="74" spans="2:14">
      <c r="B74" s="361"/>
      <c r="C74" s="608"/>
      <c r="D74" s="609"/>
      <c r="E74" s="609"/>
      <c r="F74" s="609"/>
      <c r="G74" s="609"/>
      <c r="H74" s="362"/>
      <c r="I74" s="610"/>
      <c r="J74" s="611"/>
      <c r="K74" s="612"/>
      <c r="L74" s="613"/>
      <c r="M74" s="614"/>
      <c r="N74" s="615"/>
    </row>
    <row r="75" spans="2:14">
      <c r="B75" s="361"/>
      <c r="C75" s="608"/>
      <c r="D75" s="609"/>
      <c r="E75" s="609"/>
      <c r="F75" s="609"/>
      <c r="G75" s="609"/>
      <c r="H75" s="362"/>
      <c r="I75" s="610"/>
      <c r="J75" s="611"/>
      <c r="K75" s="612"/>
      <c r="L75" s="613"/>
      <c r="M75" s="614"/>
      <c r="N75" s="615"/>
    </row>
    <row r="76" spans="2:14">
      <c r="B76" s="361"/>
      <c r="C76" s="608"/>
      <c r="D76" s="609"/>
      <c r="E76" s="609"/>
      <c r="F76" s="609"/>
      <c r="G76" s="609"/>
      <c r="H76" s="362"/>
      <c r="I76" s="610"/>
      <c r="J76" s="611"/>
      <c r="K76" s="612"/>
      <c r="L76" s="613"/>
      <c r="M76" s="614"/>
      <c r="N76" s="615"/>
    </row>
    <row r="77" spans="2:14">
      <c r="B77" s="361"/>
      <c r="C77" s="608"/>
      <c r="D77" s="609"/>
      <c r="E77" s="609"/>
      <c r="F77" s="609"/>
      <c r="G77" s="609"/>
      <c r="H77" s="362"/>
      <c r="I77" s="610"/>
      <c r="J77" s="611"/>
      <c r="K77" s="612"/>
      <c r="L77" s="613"/>
      <c r="M77" s="614"/>
      <c r="N77" s="615"/>
    </row>
    <row r="78" spans="2:14">
      <c r="B78" s="361"/>
      <c r="C78" s="608"/>
      <c r="D78" s="609"/>
      <c r="E78" s="609"/>
      <c r="F78" s="609"/>
      <c r="G78" s="609"/>
      <c r="H78" s="362"/>
      <c r="I78" s="610"/>
      <c r="J78" s="611"/>
      <c r="K78" s="612"/>
      <c r="L78" s="613"/>
      <c r="M78" s="614"/>
      <c r="N78" s="615"/>
    </row>
    <row r="79" spans="2:14" ht="13.5" thickBot="1">
      <c r="B79" s="363"/>
      <c r="C79" s="616"/>
      <c r="D79" s="617"/>
      <c r="E79" s="617"/>
      <c r="F79" s="617"/>
      <c r="G79" s="617"/>
      <c r="H79" s="364"/>
      <c r="I79" s="618"/>
      <c r="J79" s="619"/>
      <c r="K79" s="620"/>
      <c r="L79" s="621"/>
      <c r="M79" s="622"/>
      <c r="N79" s="623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1"/>
  <sheetViews>
    <sheetView workbookViewId="0"/>
  </sheetViews>
  <sheetFormatPr defaultColWidth="8.85546875" defaultRowHeight="12.75"/>
  <cols>
    <col min="1" max="1" width="19.7109375" style="382" customWidth="1"/>
    <col min="2" max="7" width="10.7109375" style="382" customWidth="1"/>
    <col min="8" max="16384" width="8.85546875" style="382"/>
  </cols>
  <sheetData>
    <row r="1" spans="1:12" ht="21" customHeight="1">
      <c r="A1" s="381" t="s">
        <v>426</v>
      </c>
      <c r="B1" s="648" t="s">
        <v>465</v>
      </c>
      <c r="C1" s="648"/>
      <c r="D1" s="648"/>
      <c r="E1" s="648"/>
      <c r="F1" s="648"/>
      <c r="G1" s="648"/>
    </row>
    <row r="2" spans="1:12" ht="15" customHeight="1"/>
    <row r="3" spans="1:12" ht="20.25">
      <c r="A3" s="383" t="s">
        <v>427</v>
      </c>
    </row>
    <row r="4" spans="1:12" ht="12" customHeight="1">
      <c r="A4" s="384"/>
      <c r="B4" s="384"/>
      <c r="C4" s="384"/>
      <c r="D4" s="384" t="s">
        <v>479</v>
      </c>
      <c r="E4" s="384"/>
      <c r="F4" s="384"/>
      <c r="G4" s="384"/>
      <c r="H4" s="384"/>
      <c r="I4" s="384"/>
      <c r="J4" s="384"/>
      <c r="K4" s="384"/>
      <c r="L4" s="384"/>
    </row>
    <row r="5" spans="1:12" ht="15.6" customHeight="1">
      <c r="A5" s="385" t="s">
        <v>5</v>
      </c>
      <c r="B5" s="385" t="s">
        <v>428</v>
      </c>
      <c r="C5" s="385" t="s">
        <v>429</v>
      </c>
      <c r="D5" s="385" t="s">
        <v>430</v>
      </c>
      <c r="E5" s="385" t="s">
        <v>431</v>
      </c>
      <c r="F5" s="385" t="s">
        <v>432</v>
      </c>
      <c r="G5" s="385" t="s">
        <v>433</v>
      </c>
      <c r="H5" s="384"/>
      <c r="I5" s="384"/>
      <c r="J5" s="384"/>
      <c r="K5" s="384"/>
      <c r="L5" s="384"/>
    </row>
    <row r="6" spans="1:12" ht="15.6" customHeight="1">
      <c r="A6" s="386" t="s">
        <v>434</v>
      </c>
      <c r="B6" s="386" t="s">
        <v>166</v>
      </c>
      <c r="C6" s="386" t="s">
        <v>166</v>
      </c>
      <c r="D6" s="386" t="s">
        <v>435</v>
      </c>
      <c r="E6" s="386" t="s">
        <v>135</v>
      </c>
      <c r="F6" s="386" t="s">
        <v>436</v>
      </c>
      <c r="G6" s="386" t="s">
        <v>436</v>
      </c>
      <c r="H6" s="384"/>
      <c r="I6" s="384"/>
      <c r="J6" s="384"/>
      <c r="K6" s="384"/>
      <c r="L6" s="384"/>
    </row>
    <row r="7" spans="1:12" ht="15.95" customHeight="1">
      <c r="A7" s="387" t="s">
        <v>466</v>
      </c>
      <c r="B7" s="387" t="s">
        <v>480</v>
      </c>
      <c r="C7" s="387" t="s">
        <v>492</v>
      </c>
      <c r="D7" s="387" t="s">
        <v>503</v>
      </c>
      <c r="E7" s="387" t="s">
        <v>515</v>
      </c>
      <c r="F7" s="387" t="s">
        <v>527</v>
      </c>
      <c r="G7" s="387" t="s">
        <v>539</v>
      </c>
      <c r="H7" s="384"/>
      <c r="I7" s="384"/>
      <c r="J7" s="384"/>
      <c r="K7" s="384"/>
      <c r="L7" s="384"/>
    </row>
    <row r="8" spans="1:12" ht="15.95" customHeight="1">
      <c r="A8" s="387" t="s">
        <v>467</v>
      </c>
      <c r="B8" s="387" t="s">
        <v>481</v>
      </c>
      <c r="C8" s="387" t="s">
        <v>493</v>
      </c>
      <c r="D8" s="387" t="s">
        <v>504</v>
      </c>
      <c r="E8" s="387" t="s">
        <v>516</v>
      </c>
      <c r="F8" s="387" t="s">
        <v>528</v>
      </c>
      <c r="G8" s="387" t="s">
        <v>540</v>
      </c>
      <c r="H8" s="384"/>
      <c r="I8" s="384"/>
      <c r="J8" s="384"/>
      <c r="K8" s="384"/>
      <c r="L8" s="384"/>
    </row>
    <row r="9" spans="1:12" ht="15.95" customHeight="1">
      <c r="A9" s="387" t="s">
        <v>468</v>
      </c>
      <c r="B9" s="387" t="s">
        <v>482</v>
      </c>
      <c r="C9" s="387" t="s">
        <v>494</v>
      </c>
      <c r="D9" s="387" t="s">
        <v>505</v>
      </c>
      <c r="E9" s="387" t="s">
        <v>517</v>
      </c>
      <c r="F9" s="387" t="s">
        <v>529</v>
      </c>
      <c r="G9" s="387" t="s">
        <v>541</v>
      </c>
      <c r="H9" s="384"/>
      <c r="I9" s="384"/>
      <c r="J9" s="384"/>
      <c r="K9" s="384"/>
      <c r="L9" s="384"/>
    </row>
    <row r="10" spans="1:12" ht="15.95" customHeight="1">
      <c r="A10" s="387" t="s">
        <v>469</v>
      </c>
      <c r="B10" s="387" t="s">
        <v>483</v>
      </c>
      <c r="C10" s="387" t="s">
        <v>494</v>
      </c>
      <c r="D10" s="387" t="s">
        <v>506</v>
      </c>
      <c r="E10" s="387" t="s">
        <v>518</v>
      </c>
      <c r="F10" s="387" t="s">
        <v>530</v>
      </c>
      <c r="G10" s="387" t="s">
        <v>542</v>
      </c>
      <c r="H10" s="384"/>
      <c r="I10" s="384"/>
      <c r="J10" s="384"/>
      <c r="K10" s="384"/>
      <c r="L10" s="384"/>
    </row>
    <row r="11" spans="1:12" ht="15.95" customHeight="1">
      <c r="A11" s="387" t="s">
        <v>470</v>
      </c>
      <c r="B11" s="387" t="s">
        <v>484</v>
      </c>
      <c r="C11" s="387" t="s">
        <v>495</v>
      </c>
      <c r="D11" s="387" t="s">
        <v>507</v>
      </c>
      <c r="E11" s="387" t="s">
        <v>519</v>
      </c>
      <c r="F11" s="387" t="s">
        <v>531</v>
      </c>
      <c r="G11" s="387" t="s">
        <v>543</v>
      </c>
      <c r="H11" s="384"/>
      <c r="I11" s="384"/>
      <c r="J11" s="384"/>
      <c r="K11" s="384"/>
      <c r="L11" s="384"/>
    </row>
    <row r="12" spans="1:12" ht="15.95" customHeight="1">
      <c r="A12" s="387" t="s">
        <v>471</v>
      </c>
      <c r="B12" s="387" t="s">
        <v>485</v>
      </c>
      <c r="C12" s="387" t="s">
        <v>496</v>
      </c>
      <c r="D12" s="387" t="s">
        <v>508</v>
      </c>
      <c r="E12" s="387" t="s">
        <v>520</v>
      </c>
      <c r="F12" s="387" t="s">
        <v>532</v>
      </c>
      <c r="G12" s="387" t="s">
        <v>544</v>
      </c>
      <c r="H12" s="384"/>
      <c r="I12" s="384"/>
      <c r="J12" s="384"/>
      <c r="K12" s="384"/>
      <c r="L12" s="384"/>
    </row>
    <row r="13" spans="1:12" ht="15.95" customHeight="1">
      <c r="A13" s="387" t="s">
        <v>472</v>
      </c>
      <c r="B13" s="387" t="s">
        <v>486</v>
      </c>
      <c r="C13" s="387" t="s">
        <v>497</v>
      </c>
      <c r="D13" s="387" t="s">
        <v>509</v>
      </c>
      <c r="E13" s="387" t="s">
        <v>521</v>
      </c>
      <c r="F13" s="387" t="s">
        <v>533</v>
      </c>
      <c r="G13" s="387" t="s">
        <v>545</v>
      </c>
      <c r="H13" s="384"/>
      <c r="I13" s="384"/>
      <c r="J13" s="384"/>
      <c r="K13" s="384"/>
      <c r="L13" s="384"/>
    </row>
    <row r="14" spans="1:12" ht="15.95" customHeight="1">
      <c r="A14" s="387" t="s">
        <v>473</v>
      </c>
      <c r="B14" s="387" t="s">
        <v>487</v>
      </c>
      <c r="C14" s="387" t="s">
        <v>498</v>
      </c>
      <c r="D14" s="387" t="s">
        <v>510</v>
      </c>
      <c r="E14" s="387" t="s">
        <v>522</v>
      </c>
      <c r="F14" s="387" t="s">
        <v>534</v>
      </c>
      <c r="G14" s="387" t="s">
        <v>546</v>
      </c>
      <c r="H14" s="384"/>
      <c r="I14" s="384"/>
      <c r="J14" s="384"/>
      <c r="K14" s="384"/>
      <c r="L14" s="384"/>
    </row>
    <row r="15" spans="1:12" ht="15.95" customHeight="1">
      <c r="A15" s="387" t="s">
        <v>474</v>
      </c>
      <c r="B15" s="387" t="s">
        <v>488</v>
      </c>
      <c r="C15" s="387" t="s">
        <v>499</v>
      </c>
      <c r="D15" s="387" t="s">
        <v>511</v>
      </c>
      <c r="E15" s="387" t="s">
        <v>523</v>
      </c>
      <c r="F15" s="387" t="s">
        <v>535</v>
      </c>
      <c r="G15" s="387" t="s">
        <v>547</v>
      </c>
      <c r="H15" s="384"/>
      <c r="I15" s="384"/>
      <c r="J15" s="384"/>
      <c r="K15" s="384"/>
      <c r="L15" s="384"/>
    </row>
    <row r="16" spans="1:12" ht="15.95" customHeight="1">
      <c r="A16" s="387" t="s">
        <v>475</v>
      </c>
      <c r="B16" s="387" t="s">
        <v>489</v>
      </c>
      <c r="C16" s="387" t="s">
        <v>500</v>
      </c>
      <c r="D16" s="387" t="s">
        <v>512</v>
      </c>
      <c r="E16" s="387" t="s">
        <v>524</v>
      </c>
      <c r="F16" s="387" t="s">
        <v>536</v>
      </c>
      <c r="G16" s="387" t="s">
        <v>548</v>
      </c>
      <c r="H16" s="384"/>
      <c r="I16" s="384"/>
      <c r="J16" s="384"/>
      <c r="K16" s="384"/>
      <c r="L16" s="384"/>
    </row>
    <row r="17" spans="1:12" ht="15.95" customHeight="1">
      <c r="A17" s="387" t="s">
        <v>476</v>
      </c>
      <c r="B17" s="387" t="s">
        <v>490</v>
      </c>
      <c r="C17" s="387" t="s">
        <v>501</v>
      </c>
      <c r="D17" s="387" t="s">
        <v>513</v>
      </c>
      <c r="E17" s="387" t="s">
        <v>525</v>
      </c>
      <c r="F17" s="387" t="s">
        <v>537</v>
      </c>
      <c r="G17" s="387" t="s">
        <v>549</v>
      </c>
      <c r="H17" s="384"/>
      <c r="I17" s="384"/>
      <c r="J17" s="384"/>
      <c r="K17" s="384"/>
      <c r="L17" s="384"/>
    </row>
    <row r="18" spans="1:12" ht="15.95" customHeight="1">
      <c r="A18" s="387" t="s">
        <v>477</v>
      </c>
      <c r="B18" s="387" t="s">
        <v>491</v>
      </c>
      <c r="C18" s="387" t="s">
        <v>502</v>
      </c>
      <c r="D18" s="387" t="s">
        <v>514</v>
      </c>
      <c r="E18" s="387" t="s">
        <v>526</v>
      </c>
      <c r="F18" s="387" t="s">
        <v>538</v>
      </c>
      <c r="G18" s="387" t="s">
        <v>550</v>
      </c>
      <c r="H18" s="384"/>
      <c r="I18" s="384"/>
      <c r="J18" s="384"/>
      <c r="K18" s="384"/>
      <c r="L18" s="384"/>
    </row>
    <row r="19" spans="1:12" ht="15.95" customHeight="1">
      <c r="A19" s="394" t="s">
        <v>478</v>
      </c>
      <c r="B19" s="394" t="s">
        <v>478</v>
      </c>
      <c r="C19" s="394" t="s">
        <v>478</v>
      </c>
      <c r="D19" s="394" t="s">
        <v>478</v>
      </c>
      <c r="E19" s="394" t="s">
        <v>478</v>
      </c>
      <c r="F19" s="394" t="s">
        <v>478</v>
      </c>
      <c r="G19" s="394" t="s">
        <v>478</v>
      </c>
      <c r="H19" s="384"/>
      <c r="I19" s="384"/>
      <c r="J19" s="384"/>
      <c r="K19" s="384"/>
      <c r="L19" s="384"/>
    </row>
    <row r="20" spans="1:12" ht="15.75">
      <c r="A20" s="384"/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</row>
    <row r="21" spans="1:12" ht="15.75">
      <c r="A21" s="384"/>
      <c r="B21" s="384"/>
      <c r="C21" s="384"/>
      <c r="D21" s="649" t="s">
        <v>560</v>
      </c>
      <c r="E21" s="645"/>
      <c r="F21" s="645"/>
      <c r="G21" s="646"/>
      <c r="H21" s="384"/>
      <c r="I21" s="384"/>
      <c r="J21" s="384"/>
      <c r="K21" s="384"/>
      <c r="L21" s="384"/>
    </row>
    <row r="22" spans="1:12" ht="17.25" customHeight="1">
      <c r="A22" s="384"/>
      <c r="B22" s="647" t="s">
        <v>437</v>
      </c>
      <c r="C22" s="647"/>
      <c r="D22" s="647" t="s">
        <v>438</v>
      </c>
      <c r="E22" s="647"/>
      <c r="F22" s="647" t="s">
        <v>439</v>
      </c>
      <c r="G22" s="647"/>
      <c r="H22" s="384"/>
      <c r="I22" s="384"/>
      <c r="J22" s="384"/>
      <c r="K22" s="384"/>
      <c r="L22" s="384"/>
    </row>
    <row r="23" spans="1:12" ht="15.75">
      <c r="A23" s="389" t="s">
        <v>440</v>
      </c>
      <c r="B23" s="643" t="s">
        <v>551</v>
      </c>
      <c r="C23" s="643"/>
      <c r="D23" s="643" t="s">
        <v>554</v>
      </c>
      <c r="E23" s="643"/>
      <c r="F23" s="643" t="s">
        <v>557</v>
      </c>
      <c r="G23" s="643"/>
      <c r="H23" s="384"/>
      <c r="I23" s="384"/>
      <c r="J23" s="384"/>
      <c r="K23" s="384"/>
      <c r="L23" s="384"/>
    </row>
    <row r="24" spans="1:12" ht="18" customHeight="1">
      <c r="A24" s="389" t="s">
        <v>441</v>
      </c>
      <c r="B24" s="643" t="s">
        <v>552</v>
      </c>
      <c r="C24" s="643"/>
      <c r="D24" s="643" t="s">
        <v>555</v>
      </c>
      <c r="E24" s="643"/>
      <c r="F24" s="643" t="s">
        <v>558</v>
      </c>
      <c r="G24" s="643"/>
      <c r="H24" s="384"/>
      <c r="I24" s="384"/>
      <c r="J24" s="384"/>
      <c r="K24" s="384"/>
      <c r="L24" s="384"/>
    </row>
    <row r="25" spans="1:12" ht="15.75">
      <c r="A25" s="389" t="s">
        <v>442</v>
      </c>
      <c r="B25" s="643" t="s">
        <v>553</v>
      </c>
      <c r="C25" s="643"/>
      <c r="D25" s="643" t="s">
        <v>556</v>
      </c>
      <c r="E25" s="643"/>
      <c r="F25" s="643" t="s">
        <v>559</v>
      </c>
      <c r="G25" s="643"/>
      <c r="H25" s="384"/>
      <c r="I25" s="384"/>
      <c r="J25" s="384"/>
      <c r="K25" s="384"/>
      <c r="L25" s="384"/>
    </row>
    <row r="26" spans="1:12" ht="15.75">
      <c r="A26" s="384"/>
      <c r="B26" s="384"/>
      <c r="C26" s="384"/>
      <c r="D26" s="384"/>
      <c r="E26" s="384"/>
      <c r="F26" s="384"/>
      <c r="G26" s="384"/>
      <c r="H26" s="384"/>
      <c r="I26" s="384"/>
      <c r="J26" s="384"/>
      <c r="K26" s="384"/>
      <c r="L26" s="384"/>
    </row>
    <row r="27" spans="1:12" ht="20.25">
      <c r="A27" s="383" t="s">
        <v>443</v>
      </c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</row>
    <row r="28" spans="1:12" ht="15.75">
      <c r="A28" s="384"/>
      <c r="B28" s="384"/>
      <c r="C28" s="384"/>
      <c r="D28" s="384"/>
      <c r="E28" s="644" t="s">
        <v>444</v>
      </c>
      <c r="F28" s="645"/>
      <c r="G28" s="646"/>
      <c r="H28" s="384"/>
      <c r="I28" s="384"/>
      <c r="J28" s="384"/>
      <c r="K28" s="384"/>
      <c r="L28" s="384"/>
    </row>
    <row r="29" spans="1:12" ht="15.75">
      <c r="A29" s="384"/>
      <c r="B29" s="647" t="s">
        <v>445</v>
      </c>
      <c r="C29" s="647"/>
      <c r="D29" s="388" t="s">
        <v>446</v>
      </c>
      <c r="E29" s="388" t="s">
        <v>447</v>
      </c>
      <c r="F29" s="647" t="s">
        <v>448</v>
      </c>
      <c r="G29" s="647"/>
      <c r="H29" s="384"/>
      <c r="I29" s="384"/>
      <c r="J29" s="384"/>
      <c r="K29" s="384"/>
      <c r="L29" s="384"/>
    </row>
    <row r="30" spans="1:12" ht="15.75">
      <c r="A30" s="389" t="s">
        <v>449</v>
      </c>
      <c r="B30" s="643" t="s">
        <v>561</v>
      </c>
      <c r="C30" s="643"/>
      <c r="D30" s="387" t="s">
        <v>564</v>
      </c>
      <c r="E30" s="387" t="s">
        <v>450</v>
      </c>
      <c r="F30" s="643" t="s">
        <v>567</v>
      </c>
      <c r="G30" s="643"/>
      <c r="H30" s="384"/>
      <c r="I30" s="384"/>
      <c r="J30" s="384"/>
      <c r="K30" s="384"/>
      <c r="L30" s="384"/>
    </row>
    <row r="31" spans="1:12" ht="15.75">
      <c r="A31" s="389" t="s">
        <v>451</v>
      </c>
      <c r="B31" s="643" t="s">
        <v>562</v>
      </c>
      <c r="C31" s="643"/>
      <c r="D31" s="387" t="s">
        <v>565</v>
      </c>
      <c r="E31" s="387" t="s">
        <v>452</v>
      </c>
      <c r="F31" s="643" t="s">
        <v>568</v>
      </c>
      <c r="G31" s="643"/>
      <c r="H31" s="384"/>
      <c r="I31" s="384"/>
      <c r="J31" s="384"/>
      <c r="K31" s="384"/>
      <c r="L31" s="384"/>
    </row>
    <row r="32" spans="1:12" ht="15.75">
      <c r="A32" s="389" t="s">
        <v>453</v>
      </c>
      <c r="B32" s="643" t="s">
        <v>563</v>
      </c>
      <c r="C32" s="643"/>
      <c r="D32" s="387" t="s">
        <v>566</v>
      </c>
      <c r="E32" s="387" t="s">
        <v>454</v>
      </c>
      <c r="F32" s="643" t="s">
        <v>569</v>
      </c>
      <c r="G32" s="643"/>
      <c r="H32" s="384"/>
      <c r="I32" s="384"/>
      <c r="J32" s="384"/>
      <c r="K32" s="384"/>
      <c r="L32" s="384"/>
    </row>
    <row r="33" spans="1:12" ht="15.75">
      <c r="A33" s="384"/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</row>
    <row r="34" spans="1:12" ht="15.75">
      <c r="A34" s="384"/>
      <c r="B34" s="384"/>
      <c r="C34" s="384"/>
      <c r="D34" s="384"/>
      <c r="E34" s="644" t="s">
        <v>455</v>
      </c>
      <c r="F34" s="645"/>
      <c r="G34" s="646"/>
      <c r="H34" s="384"/>
      <c r="I34" s="384"/>
      <c r="J34" s="384"/>
      <c r="K34" s="384"/>
      <c r="L34" s="384"/>
    </row>
    <row r="35" spans="1:12" ht="15.75">
      <c r="A35" s="384"/>
      <c r="B35" s="647" t="s">
        <v>456</v>
      </c>
      <c r="C35" s="647"/>
      <c r="D35" s="388" t="s">
        <v>447</v>
      </c>
      <c r="E35" s="388" t="s">
        <v>457</v>
      </c>
      <c r="F35" s="388" t="s">
        <v>100</v>
      </c>
      <c r="G35" s="388" t="s">
        <v>458</v>
      </c>
      <c r="H35" s="384"/>
      <c r="I35" s="384"/>
      <c r="J35" s="384"/>
      <c r="K35" s="384"/>
      <c r="L35" s="384"/>
    </row>
    <row r="36" spans="1:12" ht="15.75">
      <c r="A36" s="389" t="s">
        <v>449</v>
      </c>
      <c r="B36" s="639" t="s">
        <v>570</v>
      </c>
      <c r="C36" s="640"/>
      <c r="D36" s="390" t="s">
        <v>572</v>
      </c>
      <c r="E36" s="390" t="s">
        <v>459</v>
      </c>
      <c r="F36" s="391" t="s">
        <v>460</v>
      </c>
      <c r="G36" s="387" t="s">
        <v>575</v>
      </c>
      <c r="H36" s="384"/>
      <c r="I36" s="384"/>
      <c r="J36" s="384"/>
      <c r="K36" s="384"/>
      <c r="L36" s="384"/>
    </row>
    <row r="37" spans="1:12" ht="15.75">
      <c r="A37" s="389" t="s">
        <v>451</v>
      </c>
      <c r="B37" s="639" t="s">
        <v>571</v>
      </c>
      <c r="C37" s="640"/>
      <c r="D37" s="390" t="s">
        <v>573</v>
      </c>
      <c r="E37" s="390" t="s">
        <v>459</v>
      </c>
      <c r="F37" s="391" t="s">
        <v>461</v>
      </c>
      <c r="G37" s="392" t="s">
        <v>576</v>
      </c>
      <c r="H37" s="384"/>
      <c r="I37" s="384"/>
      <c r="J37" s="384"/>
      <c r="K37" s="384"/>
      <c r="L37" s="384"/>
    </row>
    <row r="38" spans="1:12" ht="15.75">
      <c r="A38" s="389" t="s">
        <v>453</v>
      </c>
      <c r="B38" s="639" t="s">
        <v>571</v>
      </c>
      <c r="C38" s="640"/>
      <c r="D38" s="390" t="s">
        <v>574</v>
      </c>
      <c r="E38" s="390" t="s">
        <v>459</v>
      </c>
      <c r="F38" s="391" t="s">
        <v>462</v>
      </c>
      <c r="G38" s="387" t="s">
        <v>577</v>
      </c>
      <c r="H38" s="384"/>
      <c r="I38" s="384"/>
      <c r="J38" s="384"/>
      <c r="K38" s="384"/>
      <c r="L38" s="384"/>
    </row>
    <row r="39" spans="1:12" ht="15.75">
      <c r="A39" s="384"/>
      <c r="B39" s="384"/>
      <c r="C39" s="384"/>
      <c r="D39" s="384"/>
      <c r="E39" s="384"/>
      <c r="F39" s="384"/>
      <c r="G39" s="384"/>
      <c r="H39" s="384"/>
      <c r="I39" s="384"/>
      <c r="J39" s="384"/>
      <c r="K39" s="384"/>
      <c r="L39" s="384"/>
    </row>
    <row r="40" spans="1:12" ht="15.75">
      <c r="A40" s="393" t="s">
        <v>463</v>
      </c>
      <c r="B40" s="641" t="s">
        <v>578</v>
      </c>
      <c r="C40" s="641"/>
      <c r="D40" s="642" t="s">
        <v>464</v>
      </c>
      <c r="E40" s="642"/>
      <c r="F40" s="641" t="s">
        <v>579</v>
      </c>
      <c r="G40" s="641"/>
      <c r="H40" s="384"/>
      <c r="I40" s="384"/>
      <c r="J40" s="384"/>
      <c r="K40" s="384"/>
      <c r="L40" s="384"/>
    </row>
    <row r="41" spans="1:12" ht="15.75">
      <c r="A41" s="384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</row>
    <row r="42" spans="1:12" ht="15.75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</row>
    <row r="43" spans="1:12" ht="15.75">
      <c r="A43" s="384"/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</row>
    <row r="44" spans="1:12" ht="15.75">
      <c r="A44" s="384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</row>
    <row r="45" spans="1:12" ht="15.75">
      <c r="A45" s="384"/>
      <c r="B45" s="384"/>
      <c r="C45" s="384"/>
      <c r="D45" s="384"/>
      <c r="E45" s="384"/>
      <c r="F45" s="384"/>
      <c r="G45" s="384"/>
      <c r="H45" s="384"/>
      <c r="I45" s="384"/>
      <c r="J45" s="384"/>
      <c r="K45" s="384"/>
      <c r="L45" s="384"/>
    </row>
    <row r="46" spans="1:12" ht="15.75">
      <c r="A46" s="384"/>
      <c r="B46" s="384"/>
      <c r="C46" s="384"/>
      <c r="D46" s="384"/>
      <c r="E46" s="384"/>
      <c r="F46" s="384"/>
      <c r="G46" s="384"/>
      <c r="H46" s="384"/>
      <c r="I46" s="384"/>
      <c r="J46" s="384"/>
      <c r="K46" s="384"/>
      <c r="L46" s="384"/>
    </row>
    <row r="47" spans="1:12" ht="15.75">
      <c r="A47" s="384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</row>
    <row r="48" spans="1:12" ht="15.75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</row>
    <row r="49" spans="1:12" ht="15.75">
      <c r="A49" s="384"/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</row>
    <row r="50" spans="1:12" ht="15.75">
      <c r="A50" s="384"/>
      <c r="B50" s="384"/>
      <c r="C50" s="384"/>
      <c r="D50" s="384"/>
      <c r="E50" s="384"/>
      <c r="F50" s="384"/>
      <c r="G50" s="384"/>
      <c r="H50" s="384"/>
      <c r="I50" s="384"/>
      <c r="J50" s="384"/>
      <c r="K50" s="384"/>
      <c r="L50" s="384"/>
    </row>
    <row r="51" spans="1:12" ht="15.75">
      <c r="A51" s="384"/>
      <c r="B51" s="384"/>
      <c r="C51" s="384"/>
      <c r="D51" s="384"/>
      <c r="E51" s="384"/>
      <c r="F51" s="384"/>
      <c r="G51" s="384"/>
      <c r="H51" s="384"/>
      <c r="I51" s="384"/>
      <c r="J51" s="384"/>
      <c r="K51" s="384"/>
      <c r="L51" s="384"/>
    </row>
    <row r="52" spans="1:12" ht="15.75">
      <c r="A52" s="384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</row>
    <row r="53" spans="1:12" ht="15.75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</row>
    <row r="54" spans="1:12" ht="15.75">
      <c r="A54" s="384"/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</row>
    <row r="55" spans="1:12" ht="15.75">
      <c r="A55" s="384"/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</row>
    <row r="56" spans="1:12" ht="15.75">
      <c r="A56" s="384"/>
      <c r="B56" s="384"/>
      <c r="C56" s="384"/>
      <c r="D56" s="384"/>
      <c r="E56" s="384"/>
      <c r="F56" s="384"/>
      <c r="G56" s="384"/>
      <c r="H56" s="384"/>
      <c r="I56" s="384"/>
      <c r="J56" s="384"/>
      <c r="K56" s="384"/>
      <c r="L56" s="384"/>
    </row>
    <row r="57" spans="1:12" ht="15.75">
      <c r="A57" s="384"/>
      <c r="B57" s="384"/>
      <c r="C57" s="384"/>
      <c r="D57" s="384"/>
      <c r="E57" s="384"/>
      <c r="F57" s="384"/>
      <c r="G57" s="384"/>
      <c r="H57" s="384"/>
      <c r="I57" s="384"/>
      <c r="J57" s="384"/>
      <c r="K57" s="384"/>
      <c r="L57" s="384"/>
    </row>
    <row r="58" spans="1:12" ht="15.75">
      <c r="A58" s="384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</row>
    <row r="59" spans="1:12" ht="15.75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</row>
    <row r="60" spans="1:12" ht="15.75">
      <c r="A60" s="384"/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</row>
    <row r="61" spans="1:12" ht="15.75">
      <c r="A61" s="384"/>
      <c r="B61" s="384"/>
      <c r="C61" s="384"/>
      <c r="D61" s="384"/>
      <c r="E61" s="384"/>
      <c r="F61" s="384"/>
      <c r="G61" s="384"/>
      <c r="H61" s="384"/>
      <c r="I61" s="384"/>
      <c r="J61" s="384"/>
      <c r="K61" s="384"/>
      <c r="L61" s="384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N120"/>
  <sheetViews>
    <sheetView showGridLines="0" zoomScaleNormal="100" workbookViewId="0">
      <selection activeCell="I16" sqref="I16"/>
    </sheetView>
  </sheetViews>
  <sheetFormatPr defaultColWidth="12" defaultRowHeight="15.75"/>
  <cols>
    <col min="1" max="3" width="6.7109375" style="448" customWidth="1"/>
    <col min="4" max="4" width="8.28515625" style="448" bestFit="1" customWidth="1"/>
    <col min="5" max="14" width="6.7109375" style="448" customWidth="1"/>
    <col min="15" max="16384" width="12" style="448"/>
  </cols>
  <sheetData>
    <row r="1" spans="1:14" ht="17.100000000000001" customHeight="1">
      <c r="A1" s="441" t="s">
        <v>267</v>
      </c>
      <c r="B1" s="442"/>
      <c r="C1" s="442"/>
      <c r="D1" s="442"/>
      <c r="E1" s="442"/>
      <c r="F1" s="442"/>
      <c r="G1" s="442"/>
      <c r="H1" s="442"/>
      <c r="I1" s="442"/>
      <c r="J1" s="443" t="s">
        <v>589</v>
      </c>
      <c r="K1" s="444"/>
      <c r="L1" s="445" t="s">
        <v>590</v>
      </c>
      <c r="M1" s="446"/>
      <c r="N1" s="447"/>
    </row>
    <row r="2" spans="1:14" ht="17.100000000000001" customHeight="1">
      <c r="A2" s="449" t="s">
        <v>591</v>
      </c>
      <c r="B2" s="450"/>
      <c r="C2" s="450"/>
      <c r="D2" s="450"/>
      <c r="E2" s="450"/>
      <c r="F2" s="450"/>
      <c r="G2" s="450"/>
      <c r="H2" s="450"/>
      <c r="I2" s="450"/>
      <c r="J2" s="451" t="s">
        <v>592</v>
      </c>
      <c r="K2" s="452"/>
      <c r="L2" s="453" t="s">
        <v>593</v>
      </c>
      <c r="M2" s="454"/>
      <c r="N2" s="447"/>
    </row>
    <row r="3" spans="1:14" ht="15.95" customHeight="1">
      <c r="A3" s="455"/>
      <c r="B3" s="456"/>
      <c r="C3" s="456"/>
      <c r="D3" s="456"/>
      <c r="E3" s="456"/>
      <c r="F3" s="456"/>
      <c r="G3" s="456"/>
      <c r="H3" s="456"/>
      <c r="I3" s="456"/>
      <c r="J3" s="451" t="s">
        <v>594</v>
      </c>
      <c r="K3" s="452"/>
      <c r="L3" s="457" t="s">
        <v>595</v>
      </c>
      <c r="M3" s="454"/>
      <c r="N3" s="447"/>
    </row>
    <row r="4" spans="1:14" ht="15.95" customHeight="1">
      <c r="A4" s="458"/>
      <c r="B4" s="456"/>
      <c r="C4" s="456"/>
      <c r="D4" s="456"/>
      <c r="E4" s="456"/>
      <c r="F4" s="456"/>
      <c r="G4" s="456"/>
      <c r="H4" s="456"/>
      <c r="I4" s="456"/>
      <c r="J4" s="451" t="s">
        <v>596</v>
      </c>
      <c r="K4" s="452"/>
      <c r="L4" s="457" t="s">
        <v>597</v>
      </c>
      <c r="M4" s="454"/>
      <c r="N4" s="447"/>
    </row>
    <row r="5" spans="1:14" ht="15.95" customHeight="1">
      <c r="A5" s="455"/>
      <c r="B5" s="456"/>
      <c r="C5" s="456"/>
      <c r="D5" s="456"/>
      <c r="E5" s="456"/>
      <c r="F5" s="456"/>
      <c r="G5" s="456"/>
      <c r="H5" s="456"/>
      <c r="I5" s="456"/>
      <c r="J5" s="451" t="s">
        <v>598</v>
      </c>
      <c r="K5" s="452"/>
      <c r="L5" s="453">
        <v>2</v>
      </c>
      <c r="M5" s="454"/>
      <c r="N5" s="447"/>
    </row>
    <row r="6" spans="1:14" ht="15.95" customHeight="1">
      <c r="A6" s="459" t="s">
        <v>599</v>
      </c>
      <c r="B6" s="456"/>
      <c r="C6" s="456"/>
      <c r="D6" s="456"/>
      <c r="E6" s="456"/>
      <c r="F6" s="456"/>
      <c r="G6" s="456"/>
      <c r="H6" s="456"/>
      <c r="I6" s="456"/>
      <c r="J6" s="451" t="s">
        <v>600</v>
      </c>
      <c r="K6" s="452"/>
      <c r="L6" s="453" t="s">
        <v>601</v>
      </c>
      <c r="M6" s="454"/>
      <c r="N6" s="447"/>
    </row>
    <row r="7" spans="1:14" ht="15.95" customHeight="1" thickBot="1">
      <c r="A7" s="460" t="s">
        <v>602</v>
      </c>
      <c r="B7" s="461"/>
      <c r="C7" s="461"/>
      <c r="D7" s="461"/>
      <c r="E7" s="461"/>
      <c r="F7" s="461"/>
      <c r="G7" s="461"/>
      <c r="H7" s="461"/>
      <c r="I7" s="461"/>
      <c r="J7" s="462" t="s">
        <v>603</v>
      </c>
      <c r="K7" s="463"/>
      <c r="L7" s="464" t="s">
        <v>604</v>
      </c>
      <c r="M7" s="465"/>
      <c r="N7" s="447"/>
    </row>
    <row r="8" spans="1:14" ht="15.95" customHeight="1">
      <c r="A8" s="466"/>
      <c r="B8" s="456"/>
      <c r="C8" s="456"/>
      <c r="D8" s="456"/>
      <c r="E8" s="456"/>
      <c r="F8" s="456"/>
      <c r="G8" s="456"/>
      <c r="H8" s="456"/>
      <c r="I8" s="456"/>
      <c r="J8" s="456"/>
      <c r="K8" s="467"/>
      <c r="L8" s="468"/>
      <c r="M8" s="469"/>
      <c r="N8" s="456"/>
    </row>
    <row r="9" spans="1:14" ht="12" customHeight="1">
      <c r="A9" s="470"/>
      <c r="B9" s="471" t="s">
        <v>605</v>
      </c>
      <c r="C9" s="472" t="s">
        <v>696</v>
      </c>
      <c r="D9" s="473"/>
      <c r="E9" s="473"/>
      <c r="F9" s="473"/>
      <c r="G9" s="473"/>
      <c r="H9" s="473"/>
      <c r="I9" s="473"/>
      <c r="J9" s="473"/>
      <c r="K9" s="474"/>
      <c r="L9" s="470"/>
      <c r="M9" s="473"/>
      <c r="N9" s="456"/>
    </row>
    <row r="10" spans="1:14" ht="12" customHeight="1">
      <c r="A10" s="470"/>
      <c r="B10" s="471" t="s">
        <v>606</v>
      </c>
      <c r="C10" s="475" t="s">
        <v>697</v>
      </c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68"/>
    </row>
    <row r="11" spans="1:14" ht="16.5" thickBot="1">
      <c r="A11" s="468"/>
      <c r="B11" s="468"/>
      <c r="C11" s="468"/>
      <c r="D11" s="468"/>
      <c r="E11" s="468"/>
      <c r="F11" s="468"/>
      <c r="G11" s="468"/>
      <c r="H11" s="468"/>
      <c r="I11" s="468"/>
      <c r="J11" s="468"/>
      <c r="K11" s="468"/>
      <c r="L11" s="468"/>
      <c r="M11" s="468"/>
      <c r="N11" s="468"/>
    </row>
    <row r="12" spans="1:14" ht="20.100000000000001" customHeight="1" thickBot="1">
      <c r="A12" s="476" t="s">
        <v>607</v>
      </c>
      <c r="B12" s="477"/>
      <c r="C12" s="477"/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47"/>
    </row>
    <row r="13" spans="1:14" ht="12.95" customHeight="1" thickTop="1">
      <c r="A13" s="479"/>
      <c r="B13" s="471" t="s">
        <v>608</v>
      </c>
      <c r="C13" s="480">
        <v>1500</v>
      </c>
      <c r="D13" s="470"/>
      <c r="E13" s="471" t="s">
        <v>609</v>
      </c>
      <c r="F13" s="480" t="s">
        <v>708</v>
      </c>
      <c r="G13" s="470"/>
      <c r="H13" s="471" t="s">
        <v>610</v>
      </c>
      <c r="I13" s="480" t="s">
        <v>695</v>
      </c>
      <c r="J13" s="470"/>
      <c r="K13" s="470"/>
      <c r="L13" s="471" t="s">
        <v>611</v>
      </c>
      <c r="M13" s="481">
        <v>3600</v>
      </c>
      <c r="N13" s="447"/>
    </row>
    <row r="14" spans="1:14" ht="12.95" customHeight="1">
      <c r="A14" s="479"/>
      <c r="B14" s="471" t="s">
        <v>612</v>
      </c>
      <c r="C14" s="480" t="s">
        <v>698</v>
      </c>
      <c r="D14" s="470"/>
      <c r="E14" s="471" t="s">
        <v>613</v>
      </c>
      <c r="F14" s="482" t="s">
        <v>701</v>
      </c>
      <c r="G14" s="470"/>
      <c r="H14" s="471" t="s">
        <v>614</v>
      </c>
      <c r="I14" s="480" t="s">
        <v>712</v>
      </c>
      <c r="J14" s="470"/>
      <c r="K14" s="470"/>
      <c r="L14" s="471" t="s">
        <v>404</v>
      </c>
      <c r="M14" s="481">
        <v>3570</v>
      </c>
      <c r="N14" s="447"/>
    </row>
    <row r="15" spans="1:14" ht="12.95" customHeight="1">
      <c r="A15" s="479"/>
      <c r="B15" s="471" t="s">
        <v>615</v>
      </c>
      <c r="C15" s="480" t="s">
        <v>194</v>
      </c>
      <c r="D15" s="470"/>
      <c r="E15" s="471" t="s">
        <v>616</v>
      </c>
      <c r="F15" s="483" t="s">
        <v>699</v>
      </c>
      <c r="G15" s="470"/>
      <c r="H15" s="471" t="s">
        <v>617</v>
      </c>
      <c r="I15" s="482" t="s">
        <v>175</v>
      </c>
      <c r="J15" s="470"/>
      <c r="K15" s="470"/>
      <c r="L15" s="471" t="s">
        <v>618</v>
      </c>
      <c r="M15" s="481" t="s">
        <v>362</v>
      </c>
      <c r="N15" s="447"/>
    </row>
    <row r="16" spans="1:14" ht="12.95" customHeight="1">
      <c r="A16" s="479"/>
      <c r="B16" s="471" t="s">
        <v>619</v>
      </c>
      <c r="C16" s="480" t="s">
        <v>694</v>
      </c>
      <c r="D16" s="470"/>
      <c r="E16" s="471" t="s">
        <v>620</v>
      </c>
      <c r="F16" s="480" t="s">
        <v>459</v>
      </c>
      <c r="G16" s="470"/>
      <c r="H16" s="484" t="s">
        <v>621</v>
      </c>
      <c r="I16" s="485" t="s">
        <v>362</v>
      </c>
      <c r="J16" s="470"/>
      <c r="K16" s="470"/>
      <c r="L16" s="471" t="s">
        <v>622</v>
      </c>
      <c r="M16" s="481" t="s">
        <v>623</v>
      </c>
      <c r="N16" s="447"/>
    </row>
    <row r="17" spans="1:14" ht="12.95" customHeight="1">
      <c r="A17" s="479"/>
      <c r="B17" s="471" t="s">
        <v>624</v>
      </c>
      <c r="C17" s="472" t="s">
        <v>700</v>
      </c>
      <c r="D17" s="470"/>
      <c r="E17" s="471"/>
      <c r="F17" s="482"/>
      <c r="G17" s="470"/>
      <c r="H17" s="471" t="s">
        <v>625</v>
      </c>
      <c r="I17" s="485" t="s">
        <v>175</v>
      </c>
      <c r="J17" s="470"/>
      <c r="K17" s="470"/>
      <c r="L17" s="471"/>
      <c r="M17" s="486"/>
      <c r="N17" s="447"/>
    </row>
    <row r="18" spans="1:14" ht="12.95" customHeight="1" thickBot="1">
      <c r="A18" s="487"/>
      <c r="B18" s="488" t="s">
        <v>626</v>
      </c>
      <c r="C18" s="489" t="s">
        <v>175</v>
      </c>
      <c r="D18" s="490"/>
      <c r="E18" s="488" t="s">
        <v>627</v>
      </c>
      <c r="F18" s="489" t="s">
        <v>175</v>
      </c>
      <c r="G18" s="491"/>
      <c r="H18" s="488" t="s">
        <v>628</v>
      </c>
      <c r="I18" s="489" t="s">
        <v>175</v>
      </c>
      <c r="J18" s="490"/>
      <c r="K18" s="490"/>
      <c r="L18" s="490"/>
      <c r="M18" s="492"/>
      <c r="N18" s="447"/>
    </row>
    <row r="19" spans="1:14" ht="16.5" thickBot="1">
      <c r="A19" s="447"/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  <c r="N19" s="447"/>
    </row>
    <row r="20" spans="1:14" ht="20.100000000000001" customHeight="1" thickBot="1">
      <c r="A20" s="476"/>
      <c r="B20" s="477"/>
      <c r="C20" s="477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1:14" ht="15.95" customHeight="1" thickTop="1">
      <c r="A21" s="493" t="s">
        <v>629</v>
      </c>
      <c r="B21" s="494"/>
      <c r="C21" s="468"/>
      <c r="D21" s="495"/>
      <c r="E21" s="496" t="s">
        <v>630</v>
      </c>
      <c r="F21" s="497"/>
      <c r="G21" s="497"/>
      <c r="H21" s="498"/>
      <c r="I21" s="499" t="s">
        <v>631</v>
      </c>
      <c r="J21" s="497"/>
      <c r="K21" s="497"/>
      <c r="L21" s="468"/>
      <c r="M21" s="500"/>
    </row>
    <row r="22" spans="1:14" ht="15.95" customHeight="1">
      <c r="A22" s="501"/>
      <c r="B22" s="470"/>
      <c r="C22" s="471" t="s">
        <v>632</v>
      </c>
      <c r="D22" s="502" t="s">
        <v>707</v>
      </c>
      <c r="E22" s="471"/>
      <c r="G22" s="484" t="s">
        <v>633</v>
      </c>
      <c r="H22" s="503">
        <v>2207</v>
      </c>
      <c r="I22" s="471"/>
      <c r="J22" s="470"/>
      <c r="K22" s="471" t="s">
        <v>634</v>
      </c>
      <c r="L22" s="470" t="s">
        <v>635</v>
      </c>
      <c r="M22" s="486"/>
    </row>
    <row r="23" spans="1:14" ht="15.95" customHeight="1">
      <c r="A23" s="501"/>
      <c r="B23" s="471"/>
      <c r="C23" s="474"/>
      <c r="D23" s="504"/>
      <c r="E23" s="471"/>
      <c r="G23" s="471" t="s">
        <v>636</v>
      </c>
      <c r="H23" s="502">
        <v>135</v>
      </c>
      <c r="I23" s="470"/>
      <c r="J23" s="470"/>
      <c r="K23" s="471" t="s">
        <v>637</v>
      </c>
      <c r="L23" s="470" t="s">
        <v>635</v>
      </c>
      <c r="M23" s="486"/>
    </row>
    <row r="24" spans="1:14" ht="15.95" customHeight="1">
      <c r="A24" s="479"/>
      <c r="B24" s="471"/>
      <c r="C24" s="470"/>
      <c r="D24" s="504"/>
      <c r="E24" s="471"/>
      <c r="G24" s="484" t="s">
        <v>638</v>
      </c>
      <c r="H24" s="502">
        <v>265</v>
      </c>
      <c r="I24" s="470"/>
      <c r="J24" s="471"/>
      <c r="K24" s="470"/>
      <c r="L24" s="470"/>
      <c r="M24" s="486"/>
    </row>
    <row r="25" spans="1:14" ht="15.95" customHeight="1" thickBot="1">
      <c r="A25" s="487"/>
      <c r="B25" s="488"/>
      <c r="C25" s="490"/>
      <c r="D25" s="505"/>
      <c r="E25" s="488"/>
      <c r="F25" s="488"/>
      <c r="G25" s="488"/>
      <c r="H25" s="506"/>
      <c r="I25" s="490"/>
      <c r="J25" s="488"/>
      <c r="K25" s="490"/>
      <c r="L25" s="490"/>
      <c r="M25" s="492"/>
    </row>
    <row r="26" spans="1:14" ht="18.95" customHeight="1" thickBot="1">
      <c r="A26" s="466"/>
      <c r="B26" s="466"/>
      <c r="C26" s="466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</row>
    <row r="27" spans="1:14" ht="20.100000000000001" customHeight="1" thickBot="1">
      <c r="A27" s="507"/>
      <c r="B27" s="508"/>
      <c r="C27" s="508"/>
      <c r="D27" s="508"/>
      <c r="E27" s="508"/>
      <c r="F27" s="508"/>
      <c r="G27" s="509"/>
      <c r="H27" s="508"/>
      <c r="I27" s="508"/>
      <c r="J27" s="508"/>
      <c r="K27" s="508"/>
      <c r="L27" s="508"/>
      <c r="M27" s="510"/>
    </row>
    <row r="28" spans="1:14" ht="15.95" customHeight="1" thickTop="1">
      <c r="A28" s="511" t="s">
        <v>639</v>
      </c>
      <c r="B28" s="494"/>
      <c r="C28" s="468"/>
      <c r="D28" s="468"/>
      <c r="E28" s="497"/>
      <c r="F28" s="497"/>
      <c r="G28" s="512"/>
      <c r="H28" s="496" t="s">
        <v>640</v>
      </c>
      <c r="I28" s="497"/>
      <c r="J28" s="497"/>
      <c r="K28" s="496"/>
      <c r="L28" s="497"/>
      <c r="M28" s="500"/>
    </row>
    <row r="29" spans="1:14" ht="15.95" customHeight="1">
      <c r="A29" s="479"/>
      <c r="B29" s="471"/>
      <c r="C29" s="471" t="s">
        <v>641</v>
      </c>
      <c r="D29" s="513">
        <v>95.1</v>
      </c>
      <c r="E29" s="471"/>
      <c r="F29" s="471"/>
      <c r="G29" s="512"/>
      <c r="H29" s="484"/>
      <c r="I29" s="471"/>
      <c r="J29" s="471" t="s">
        <v>641</v>
      </c>
      <c r="K29" s="513">
        <v>88.3</v>
      </c>
      <c r="L29" s="470"/>
      <c r="M29" s="486"/>
    </row>
    <row r="30" spans="1:14" ht="15.95" customHeight="1">
      <c r="A30" s="514"/>
      <c r="B30" s="470"/>
      <c r="C30" s="471" t="s">
        <v>642</v>
      </c>
      <c r="D30" s="513">
        <v>95</v>
      </c>
      <c r="E30" s="471"/>
      <c r="F30" s="471"/>
      <c r="G30" s="512"/>
      <c r="H30" s="471"/>
      <c r="I30" s="470"/>
      <c r="J30" s="471" t="s">
        <v>642</v>
      </c>
      <c r="K30" s="513">
        <v>86.7</v>
      </c>
      <c r="L30" s="470"/>
      <c r="M30" s="486"/>
    </row>
    <row r="31" spans="1:14" ht="15.95" customHeight="1">
      <c r="A31" s="479"/>
      <c r="B31" s="471"/>
      <c r="C31" s="471" t="s">
        <v>643</v>
      </c>
      <c r="D31" s="513">
        <v>94.2</v>
      </c>
      <c r="E31" s="471"/>
      <c r="F31" s="471"/>
      <c r="G31" s="512"/>
      <c r="H31" s="471"/>
      <c r="I31" s="470"/>
      <c r="J31" s="471" t="s">
        <v>643</v>
      </c>
      <c r="K31" s="513">
        <v>81.5</v>
      </c>
      <c r="L31" s="471"/>
      <c r="M31" s="486"/>
    </row>
    <row r="32" spans="1:14" ht="15.95" customHeight="1" thickBot="1">
      <c r="A32" s="487"/>
      <c r="B32" s="488"/>
      <c r="C32" s="490"/>
      <c r="D32" s="490"/>
      <c r="E32" s="488"/>
      <c r="F32" s="488"/>
      <c r="G32" s="515"/>
      <c r="H32" s="488"/>
      <c r="I32" s="490"/>
      <c r="J32" s="488"/>
      <c r="K32" s="490"/>
      <c r="L32" s="488"/>
      <c r="M32" s="492"/>
    </row>
    <row r="33" spans="1:14" ht="20.100000000000001" customHeight="1" thickBot="1">
      <c r="A33" s="516"/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</row>
    <row r="34" spans="1:14" ht="20.100000000000001" customHeight="1" thickBot="1">
      <c r="A34" s="517"/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518"/>
      <c r="M34" s="519"/>
    </row>
    <row r="35" spans="1:14" ht="15.95" customHeight="1" thickTop="1">
      <c r="A35" s="520" t="s">
        <v>644</v>
      </c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521"/>
    </row>
    <row r="36" spans="1:14" ht="15.95" customHeight="1">
      <c r="A36" s="514" t="s">
        <v>645</v>
      </c>
      <c r="B36" s="474"/>
      <c r="C36" s="474"/>
      <c r="D36" s="474"/>
      <c r="E36" s="474"/>
      <c r="F36" s="474"/>
      <c r="G36" s="474"/>
      <c r="H36" s="474"/>
      <c r="I36" s="474"/>
      <c r="J36" s="474"/>
      <c r="K36" s="474"/>
      <c r="L36" s="474"/>
      <c r="M36" s="521"/>
    </row>
    <row r="37" spans="1:14" ht="15.95" customHeight="1">
      <c r="A37" s="522" t="s">
        <v>646</v>
      </c>
      <c r="B37" s="474"/>
      <c r="C37" s="474"/>
      <c r="D37" s="474"/>
      <c r="E37" s="523"/>
      <c r="F37" s="474"/>
      <c r="G37" s="474"/>
      <c r="H37" s="474"/>
      <c r="I37" s="474"/>
      <c r="J37" s="474"/>
      <c r="K37" s="474"/>
      <c r="L37" s="474"/>
      <c r="M37" s="521"/>
    </row>
    <row r="38" spans="1:14" ht="15.95" customHeight="1">
      <c r="A38" s="524" t="s">
        <v>647</v>
      </c>
      <c r="B38" s="474"/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521"/>
    </row>
    <row r="39" spans="1:14" ht="15.95" customHeight="1">
      <c r="A39" s="525" t="s">
        <v>648</v>
      </c>
      <c r="B39" s="474"/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521"/>
    </row>
    <row r="40" spans="1:14" ht="15.95" customHeight="1" thickBot="1">
      <c r="A40" s="526" t="s">
        <v>649</v>
      </c>
      <c r="B40" s="527"/>
      <c r="C40" s="527"/>
      <c r="D40" s="527"/>
      <c r="E40" s="527"/>
      <c r="F40" s="527"/>
      <c r="G40" s="527"/>
      <c r="H40" s="527"/>
      <c r="I40" s="527"/>
      <c r="J40" s="527"/>
      <c r="K40" s="527"/>
      <c r="L40" s="527"/>
      <c r="M40" s="528"/>
    </row>
    <row r="41" spans="1:14" ht="15.95" customHeight="1"/>
    <row r="42" spans="1:14" ht="18">
      <c r="A42" s="529"/>
      <c r="B42" s="529"/>
      <c r="C42" s="529"/>
      <c r="D42" s="529"/>
      <c r="E42" s="529"/>
      <c r="F42" s="529"/>
      <c r="G42" s="529"/>
      <c r="H42" s="447"/>
      <c r="I42" s="447"/>
      <c r="J42" s="530" t="s">
        <v>650</v>
      </c>
      <c r="K42" s="650" t="s">
        <v>388</v>
      </c>
      <c r="L42" s="650"/>
      <c r="M42" s="650"/>
      <c r="N42" s="529"/>
    </row>
    <row r="43" spans="1:14" ht="7.5" customHeight="1">
      <c r="H43" s="447"/>
      <c r="I43" s="447"/>
      <c r="J43" s="447"/>
      <c r="K43" s="447"/>
      <c r="L43" s="447"/>
      <c r="M43" s="447"/>
    </row>
    <row r="44" spans="1:14" ht="16.5">
      <c r="H44" s="447"/>
      <c r="I44" s="447"/>
      <c r="J44" s="530" t="s">
        <v>651</v>
      </c>
      <c r="K44" s="651">
        <v>44704</v>
      </c>
      <c r="L44" s="651"/>
      <c r="M44" s="651"/>
    </row>
    <row r="59" spans="1:5">
      <c r="A59" s="448" t="s">
        <v>175</v>
      </c>
      <c r="B59" s="448" t="s">
        <v>652</v>
      </c>
      <c r="D59" s="448">
        <v>1</v>
      </c>
      <c r="E59" s="531" t="s">
        <v>175</v>
      </c>
    </row>
    <row r="60" spans="1:5">
      <c r="A60" s="448" t="s">
        <v>653</v>
      </c>
      <c r="B60" s="448" t="s">
        <v>654</v>
      </c>
      <c r="D60" s="448">
        <v>1.1499999999999999</v>
      </c>
      <c r="E60" s="531" t="s">
        <v>184</v>
      </c>
    </row>
    <row r="61" spans="1:5">
      <c r="A61" s="448" t="s">
        <v>655</v>
      </c>
      <c r="B61" s="448" t="s">
        <v>656</v>
      </c>
      <c r="E61" s="531" t="s">
        <v>657</v>
      </c>
    </row>
    <row r="62" spans="1:5">
      <c r="B62" s="448" t="s">
        <v>658</v>
      </c>
    </row>
    <row r="63" spans="1:5">
      <c r="B63" s="448" t="s">
        <v>659</v>
      </c>
    </row>
    <row r="64" spans="1:5">
      <c r="B64" s="448" t="s">
        <v>660</v>
      </c>
    </row>
    <row r="65" spans="2:2">
      <c r="B65" s="448" t="s">
        <v>661</v>
      </c>
    </row>
    <row r="66" spans="2:2">
      <c r="B66" s="448" t="s">
        <v>662</v>
      </c>
    </row>
    <row r="67" spans="2:2">
      <c r="B67" s="448" t="s">
        <v>663</v>
      </c>
    </row>
    <row r="68" spans="2:2">
      <c r="B68" s="448" t="s">
        <v>664</v>
      </c>
    </row>
    <row r="69" spans="2:2">
      <c r="B69" s="448" t="s">
        <v>665</v>
      </c>
    </row>
    <row r="70" spans="2:2">
      <c r="B70" s="448" t="s">
        <v>666</v>
      </c>
    </row>
    <row r="71" spans="2:2">
      <c r="B71" s="448" t="s">
        <v>667</v>
      </c>
    </row>
    <row r="72" spans="2:2">
      <c r="B72" s="448" t="s">
        <v>668</v>
      </c>
    </row>
    <row r="73" spans="2:2">
      <c r="B73" s="448" t="s">
        <v>669</v>
      </c>
    </row>
    <row r="74" spans="2:2">
      <c r="B74" s="448" t="s">
        <v>670</v>
      </c>
    </row>
    <row r="75" spans="2:2">
      <c r="B75" s="448" t="s">
        <v>671</v>
      </c>
    </row>
    <row r="76" spans="2:2">
      <c r="B76" s="448" t="s">
        <v>672</v>
      </c>
    </row>
    <row r="77" spans="2:2">
      <c r="B77" s="448" t="s">
        <v>673</v>
      </c>
    </row>
    <row r="78" spans="2:2">
      <c r="B78" s="448" t="s">
        <v>674</v>
      </c>
    </row>
    <row r="79" spans="2:2">
      <c r="B79" s="448" t="s">
        <v>675</v>
      </c>
    </row>
    <row r="80" spans="2:2">
      <c r="B80" s="448">
        <v>6312</v>
      </c>
    </row>
    <row r="81" spans="2:2">
      <c r="B81" s="448" t="s">
        <v>676</v>
      </c>
    </row>
    <row r="82" spans="2:2">
      <c r="B82" s="448" t="s">
        <v>677</v>
      </c>
    </row>
    <row r="83" spans="2:2">
      <c r="B83" s="448" t="s">
        <v>678</v>
      </c>
    </row>
    <row r="84" spans="2:2">
      <c r="B84" s="448" t="s">
        <v>679</v>
      </c>
    </row>
    <row r="85" spans="2:2">
      <c r="B85" s="448">
        <v>6313</v>
      </c>
    </row>
    <row r="86" spans="2:2">
      <c r="B86" s="448" t="s">
        <v>680</v>
      </c>
    </row>
    <row r="87" spans="2:2">
      <c r="B87" s="448" t="s">
        <v>681</v>
      </c>
    </row>
    <row r="88" spans="2:2">
      <c r="B88" s="448" t="s">
        <v>682</v>
      </c>
    </row>
    <row r="89" spans="2:2">
      <c r="B89" s="448">
        <v>6314</v>
      </c>
    </row>
    <row r="90" spans="2:2">
      <c r="B90" s="448" t="s">
        <v>683</v>
      </c>
    </row>
    <row r="91" spans="2:2">
      <c r="B91" s="448">
        <v>6317</v>
      </c>
    </row>
    <row r="92" spans="2:2">
      <c r="B92" s="448" t="s">
        <v>684</v>
      </c>
    </row>
    <row r="93" spans="2:2">
      <c r="B93" s="448">
        <v>6318</v>
      </c>
    </row>
    <row r="94" spans="2:2">
      <c r="B94" s="448" t="s">
        <v>685</v>
      </c>
    </row>
    <row r="95" spans="2:2">
      <c r="B95" s="448" t="s">
        <v>686</v>
      </c>
    </row>
    <row r="96" spans="2:2">
      <c r="B96" s="448" t="s">
        <v>687</v>
      </c>
    </row>
    <row r="97" spans="2:2">
      <c r="B97" s="448">
        <v>6320</v>
      </c>
    </row>
    <row r="98" spans="2:2">
      <c r="B98" s="448" t="s">
        <v>688</v>
      </c>
    </row>
    <row r="99" spans="2:2">
      <c r="B99" s="448" t="s">
        <v>689</v>
      </c>
    </row>
    <row r="100" spans="2:2">
      <c r="B100" s="448" t="s">
        <v>690</v>
      </c>
    </row>
    <row r="101" spans="2:2">
      <c r="B101" s="448" t="s">
        <v>691</v>
      </c>
    </row>
    <row r="102" spans="2:2">
      <c r="B102" s="448" t="s">
        <v>691</v>
      </c>
    </row>
    <row r="118" spans="2:2">
      <c r="B118" s="448" t="s">
        <v>692</v>
      </c>
    </row>
    <row r="120" spans="2:2">
      <c r="B120" s="448" t="s">
        <v>693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7"/>
  <sheetViews>
    <sheetView workbookViewId="0">
      <selection activeCell="G52" sqref="G52:I71"/>
    </sheetView>
  </sheetViews>
  <sheetFormatPr defaultColWidth="8.85546875" defaultRowHeight="12.75"/>
  <cols>
    <col min="1" max="6" width="16.7109375" style="382" customWidth="1"/>
    <col min="7" max="16384" width="8.85546875" style="382"/>
  </cols>
  <sheetData>
    <row r="1" spans="1:9" ht="18.95" customHeight="1">
      <c r="A1" s="395"/>
      <c r="B1" s="396"/>
      <c r="C1" s="396"/>
      <c r="D1" s="396"/>
      <c r="E1" s="396"/>
      <c r="F1" s="397"/>
    </row>
    <row r="2" spans="1:9" ht="26.1" customHeight="1">
      <c r="A2" s="398" t="s">
        <v>267</v>
      </c>
      <c r="B2" s="399"/>
      <c r="C2" s="399"/>
      <c r="D2" s="399"/>
      <c r="E2" s="399"/>
      <c r="F2" s="400"/>
    </row>
    <row r="3" spans="1:9" ht="18.95" customHeight="1">
      <c r="A3" s="422" t="s">
        <v>392</v>
      </c>
      <c r="B3" s="399"/>
      <c r="C3" s="399"/>
      <c r="D3" s="399"/>
      <c r="E3" s="399"/>
      <c r="F3" s="400"/>
    </row>
    <row r="4" spans="1:9" ht="18.95" customHeight="1">
      <c r="A4" s="401"/>
      <c r="B4" s="402"/>
      <c r="C4" s="402"/>
      <c r="D4" s="402"/>
      <c r="E4" s="402"/>
      <c r="F4" s="403"/>
    </row>
    <row r="5" spans="1:9" ht="18.95" customHeight="1">
      <c r="A5" s="401"/>
      <c r="B5" s="402"/>
      <c r="C5" s="402"/>
      <c r="D5" s="402"/>
      <c r="E5" s="402"/>
      <c r="F5" s="403"/>
    </row>
    <row r="6" spans="1:9" ht="18.95" customHeight="1">
      <c r="A6" s="404" t="s">
        <v>393</v>
      </c>
      <c r="B6" s="652" t="str">
        <f>'Performance Data Sheet'!C17</f>
        <v>WT-10126293</v>
      </c>
      <c r="C6" s="653"/>
      <c r="D6" s="654"/>
      <c r="E6" s="404" t="s">
        <v>394</v>
      </c>
      <c r="F6" s="405" t="str">
        <f>'Performance Data Sheet'!I14 &amp; " A"</f>
        <v>333/192 A</v>
      </c>
    </row>
    <row r="7" spans="1:9" ht="18.95" customHeight="1">
      <c r="A7" s="404" t="s">
        <v>395</v>
      </c>
      <c r="B7" s="405" t="str">
        <f>'Performance Data Sheet'!F14</f>
        <v>WP-II</v>
      </c>
      <c r="C7" s="404" t="s">
        <v>396</v>
      </c>
      <c r="D7" s="405" t="str">
        <f>'Performance Data Sheet'!F13 &amp; " V"</f>
        <v>2300/4000 V</v>
      </c>
      <c r="E7" s="404" t="s">
        <v>397</v>
      </c>
      <c r="F7" s="405" t="str">
        <f>'Performance Data Sheet'!C14</f>
        <v>5812UZ</v>
      </c>
    </row>
    <row r="8" spans="1:9" ht="18.95" customHeight="1">
      <c r="A8" s="404" t="s">
        <v>398</v>
      </c>
      <c r="B8" s="405">
        <v>2</v>
      </c>
      <c r="C8" s="404" t="s">
        <v>399</v>
      </c>
      <c r="D8" s="405" t="s">
        <v>400</v>
      </c>
      <c r="E8" s="404" t="s">
        <v>401</v>
      </c>
      <c r="F8" s="405" t="s">
        <v>362</v>
      </c>
    </row>
    <row r="9" spans="1:9" ht="18.95" customHeight="1">
      <c r="A9" s="404" t="s">
        <v>402</v>
      </c>
      <c r="B9" s="405">
        <v>1500</v>
      </c>
      <c r="C9" s="404" t="s">
        <v>403</v>
      </c>
      <c r="D9" s="405" t="s">
        <v>418</v>
      </c>
      <c r="E9" s="404" t="s">
        <v>2</v>
      </c>
      <c r="F9" s="406">
        <f>'Performance Data Sheet'!K44</f>
        <v>44704</v>
      </c>
    </row>
    <row r="10" spans="1:9" ht="18.95" customHeight="1">
      <c r="A10" s="404" t="s">
        <v>404</v>
      </c>
      <c r="B10" s="405">
        <v>3565</v>
      </c>
      <c r="C10" s="404" t="s">
        <v>405</v>
      </c>
      <c r="D10" s="405" t="s">
        <v>585</v>
      </c>
      <c r="E10" s="404" t="s">
        <v>1</v>
      </c>
      <c r="F10" s="405" t="s">
        <v>378</v>
      </c>
    </row>
    <row r="11" spans="1:9" ht="18.95" customHeight="1">
      <c r="A11" s="401"/>
      <c r="B11" s="402"/>
      <c r="C11" s="402"/>
      <c r="D11" s="402"/>
      <c r="E11" s="402"/>
      <c r="F11" s="403"/>
    </row>
    <row r="12" spans="1:9" ht="18.95" customHeight="1">
      <c r="A12" s="401"/>
      <c r="B12" s="407" t="s">
        <v>407</v>
      </c>
      <c r="C12" s="408" t="str">
        <f>'Performance Data Sheet'!D22 &amp; " A"</f>
        <v>1981/1144 A</v>
      </c>
      <c r="D12" s="407" t="s">
        <v>408</v>
      </c>
      <c r="E12" s="408" t="s">
        <v>406</v>
      </c>
      <c r="F12" s="403"/>
    </row>
    <row r="13" spans="1:9" ht="18.95" customHeight="1">
      <c r="A13" s="401"/>
      <c r="B13" s="407" t="s">
        <v>409</v>
      </c>
      <c r="C13" s="409">
        <v>1.35</v>
      </c>
      <c r="D13" s="407" t="s">
        <v>410</v>
      </c>
      <c r="E13" s="408" t="s">
        <v>406</v>
      </c>
      <c r="F13" s="403"/>
    </row>
    <row r="14" spans="1:9" ht="18.95" customHeight="1">
      <c r="A14" s="401"/>
      <c r="B14" s="407" t="s">
        <v>411</v>
      </c>
      <c r="C14" s="409">
        <v>2.65</v>
      </c>
      <c r="D14" s="407" t="s">
        <v>412</v>
      </c>
      <c r="E14" s="408" t="s">
        <v>406</v>
      </c>
      <c r="F14" s="403"/>
    </row>
    <row r="15" spans="1:9" ht="18.95" customHeight="1">
      <c r="A15" s="401"/>
      <c r="B15" s="407" t="s">
        <v>413</v>
      </c>
      <c r="C15" s="408" t="s">
        <v>419</v>
      </c>
      <c r="D15" s="402"/>
      <c r="E15" s="402"/>
      <c r="F15" s="403"/>
      <c r="I15" s="533"/>
    </row>
    <row r="16" spans="1:9" ht="18.95" customHeight="1">
      <c r="A16" s="401"/>
      <c r="B16" s="402"/>
      <c r="C16" s="402"/>
      <c r="D16" s="402"/>
      <c r="E16" s="402"/>
      <c r="F16" s="403"/>
    </row>
    <row r="17" spans="1:6" ht="18.95" customHeight="1">
      <c r="A17" s="401"/>
      <c r="B17" s="402"/>
      <c r="C17" s="402"/>
      <c r="D17" s="402"/>
      <c r="E17" s="402"/>
      <c r="F17" s="403"/>
    </row>
    <row r="18" spans="1:6" ht="18.95" customHeight="1">
      <c r="A18" s="401"/>
      <c r="B18" s="402"/>
      <c r="C18" s="402"/>
      <c r="D18" s="402"/>
      <c r="E18" s="402"/>
      <c r="F18" s="403"/>
    </row>
    <row r="19" spans="1:6" ht="18.95" customHeight="1">
      <c r="A19" s="401"/>
      <c r="B19" s="402"/>
      <c r="C19" s="402"/>
      <c r="D19" s="402"/>
      <c r="E19" s="402"/>
      <c r="F19" s="403"/>
    </row>
    <row r="20" spans="1:6" ht="18.95" customHeight="1">
      <c r="A20" s="401"/>
      <c r="B20" s="402"/>
      <c r="C20" s="402"/>
      <c r="D20" s="402"/>
      <c r="E20" s="402"/>
      <c r="F20" s="403"/>
    </row>
    <row r="21" spans="1:6" ht="18.95" customHeight="1">
      <c r="A21" s="401"/>
      <c r="B21" s="402"/>
      <c r="C21" s="402"/>
      <c r="D21" s="402"/>
      <c r="E21" s="402"/>
      <c r="F21" s="403"/>
    </row>
    <row r="22" spans="1:6" ht="18.95" customHeight="1">
      <c r="A22" s="401"/>
      <c r="B22" s="402"/>
      <c r="C22" s="402"/>
      <c r="D22" s="402"/>
      <c r="E22" s="402"/>
      <c r="F22" s="403"/>
    </row>
    <row r="23" spans="1:6" ht="18.95" customHeight="1">
      <c r="A23" s="401"/>
      <c r="B23" s="402"/>
      <c r="C23" s="402"/>
      <c r="D23" s="402"/>
      <c r="E23" s="402"/>
      <c r="F23" s="403"/>
    </row>
    <row r="24" spans="1:6" ht="18.95" customHeight="1">
      <c r="A24" s="401"/>
      <c r="B24" s="402"/>
      <c r="C24" s="402"/>
      <c r="D24" s="402"/>
      <c r="E24" s="402"/>
      <c r="F24" s="403"/>
    </row>
    <row r="25" spans="1:6" ht="18.95" customHeight="1">
      <c r="A25" s="401"/>
      <c r="B25" s="402"/>
      <c r="C25" s="402"/>
      <c r="D25" s="402"/>
      <c r="E25" s="402"/>
      <c r="F25" s="403"/>
    </row>
    <row r="26" spans="1:6" ht="18.95" customHeight="1">
      <c r="A26" s="401"/>
      <c r="B26" s="402"/>
      <c r="C26" s="402"/>
      <c r="D26" s="402"/>
      <c r="E26" s="402"/>
      <c r="F26" s="403"/>
    </row>
    <row r="27" spans="1:6" ht="18.95" customHeight="1">
      <c r="A27" s="401"/>
      <c r="B27" s="402"/>
      <c r="C27" s="402"/>
      <c r="D27" s="402"/>
      <c r="E27" s="402"/>
      <c r="F27" s="403"/>
    </row>
    <row r="28" spans="1:6" ht="18.95" customHeight="1">
      <c r="A28" s="401"/>
      <c r="B28" s="402"/>
      <c r="C28" s="402"/>
      <c r="D28" s="402"/>
      <c r="E28" s="402"/>
      <c r="F28" s="403"/>
    </row>
    <row r="29" spans="1:6" ht="18.95" customHeight="1">
      <c r="A29" s="401"/>
      <c r="B29" s="402"/>
      <c r="C29" s="402"/>
      <c r="D29" s="402"/>
      <c r="E29" s="402"/>
      <c r="F29" s="403"/>
    </row>
    <row r="30" spans="1:6" ht="18.95" customHeight="1">
      <c r="A30" s="401"/>
      <c r="B30" s="402"/>
      <c r="C30" s="402"/>
      <c r="D30" s="402"/>
      <c r="E30" s="402"/>
      <c r="F30" s="403"/>
    </row>
    <row r="31" spans="1:6" ht="18.95" customHeight="1">
      <c r="A31" s="401"/>
      <c r="B31" s="402"/>
      <c r="C31" s="402"/>
      <c r="D31" s="402"/>
      <c r="E31" s="402"/>
      <c r="F31" s="403"/>
    </row>
    <row r="32" spans="1:6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414</v>
      </c>
      <c r="B39" s="411" t="s">
        <v>369</v>
      </c>
      <c r="C39" s="532" t="str">
        <f>'Performance Data Sheet'!C10</f>
        <v>2257472.1</v>
      </c>
      <c r="D39" s="402"/>
      <c r="E39" s="407" t="s">
        <v>415</v>
      </c>
      <c r="F39" s="412" t="str">
        <f>F10</f>
        <v>1T2M30U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416</v>
      </c>
      <c r="D43" s="415" t="str">
        <f>'Performance Data Sheet'!K42</f>
        <v>JERRY R</v>
      </c>
      <c r="E43" s="414" t="s">
        <v>417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0" t="s">
        <v>420</v>
      </c>
      <c r="E53" s="370"/>
      <c r="F53" s="370"/>
      <c r="G53" s="370"/>
      <c r="H53" s="370"/>
      <c r="I53" s="370"/>
      <c r="J53" s="370"/>
      <c r="K53" s="370"/>
      <c r="L53" s="370"/>
    </row>
    <row r="54" spans="1:12" ht="15" customHeight="1">
      <c r="A54" s="371">
        <v>100</v>
      </c>
      <c r="B54" s="370">
        <v>0</v>
      </c>
      <c r="C54" s="370">
        <v>0.23834618926048279</v>
      </c>
      <c r="D54" s="370">
        <v>100</v>
      </c>
      <c r="E54" s="370"/>
      <c r="F54" s="370"/>
      <c r="G54" s="370"/>
      <c r="H54" s="370"/>
      <c r="I54" s="370"/>
      <c r="J54" s="370"/>
      <c r="K54" s="370"/>
      <c r="L54" s="370"/>
    </row>
    <row r="55" spans="1:12" ht="15" customHeight="1">
      <c r="A55" s="371">
        <v>99.200000055134296</v>
      </c>
      <c r="B55" s="370">
        <v>98.233672908348396</v>
      </c>
      <c r="C55" s="370">
        <v>106.45194244384766</v>
      </c>
      <c r="D55" s="370">
        <v>98.400001525878906</v>
      </c>
      <c r="E55" s="370"/>
      <c r="F55" s="370"/>
      <c r="G55" s="370"/>
      <c r="H55" s="370"/>
      <c r="I55" s="370"/>
      <c r="J55" s="370"/>
      <c r="K55" s="370"/>
      <c r="L55" s="370"/>
    </row>
    <row r="56" spans="1:12" ht="15" customHeight="1">
      <c r="A56" s="371">
        <v>96.000000089406967</v>
      </c>
      <c r="B56" s="370">
        <v>265</v>
      </c>
      <c r="C56" s="370">
        <v>376.59368896484375</v>
      </c>
      <c r="D56" s="370">
        <v>89.75</v>
      </c>
      <c r="E56" s="370"/>
      <c r="F56" s="370"/>
      <c r="G56" s="370"/>
      <c r="H56" s="370"/>
      <c r="I56" s="370"/>
      <c r="J56" s="370"/>
      <c r="K56" s="370"/>
      <c r="L56" s="370"/>
    </row>
    <row r="57" spans="1:12">
      <c r="A57" s="371">
        <v>90.857142955064774</v>
      </c>
      <c r="B57" s="370">
        <v>191.10021978560499</v>
      </c>
      <c r="C57" s="370">
        <v>487.2952880859375</v>
      </c>
      <c r="D57" s="370">
        <v>76.228569030761719</v>
      </c>
      <c r="E57" s="370"/>
      <c r="F57" s="370"/>
      <c r="G57" s="370"/>
      <c r="H57" s="370"/>
      <c r="I57" s="370"/>
      <c r="J57" s="370"/>
      <c r="K57" s="370"/>
      <c r="L57" s="370"/>
    </row>
    <row r="58" spans="1:12">
      <c r="A58" s="371">
        <v>85.71428507566452</v>
      </c>
      <c r="B58" s="370">
        <v>139.75763725621073</v>
      </c>
      <c r="C58" s="370">
        <v>523.31463623046875</v>
      </c>
      <c r="D58" s="370">
        <v>62.857139587402344</v>
      </c>
      <c r="E58" s="370"/>
      <c r="F58" s="370"/>
      <c r="G58" s="370"/>
      <c r="H58" s="370"/>
      <c r="I58" s="370"/>
      <c r="J58" s="370"/>
      <c r="K58" s="370"/>
      <c r="L58" s="370"/>
    </row>
    <row r="59" spans="1:12">
      <c r="A59" s="371">
        <v>80.571427941322327</v>
      </c>
      <c r="B59" s="370">
        <v>115.39020866045327</v>
      </c>
      <c r="C59" s="370">
        <v>539.51190185546875</v>
      </c>
      <c r="D59" s="370">
        <v>51.25714111328125</v>
      </c>
      <c r="E59" s="370"/>
      <c r="F59" s="370"/>
      <c r="G59" s="370"/>
      <c r="H59" s="370"/>
      <c r="I59" s="370"/>
      <c r="J59" s="370"/>
      <c r="K59" s="370"/>
      <c r="L59" s="370"/>
    </row>
    <row r="60" spans="1:12">
      <c r="A60" s="371">
        <v>70.285713672637939</v>
      </c>
      <c r="B60" s="370">
        <v>99.825147419314007</v>
      </c>
      <c r="C60" s="370">
        <v>555.0203857421875</v>
      </c>
      <c r="D60" s="370">
        <v>33.485713958740234</v>
      </c>
      <c r="E60" s="370"/>
      <c r="F60" s="370"/>
      <c r="G60" s="370"/>
      <c r="H60" s="370"/>
      <c r="I60" s="370"/>
      <c r="J60" s="370"/>
      <c r="K60" s="370"/>
      <c r="L60" s="370"/>
    </row>
    <row r="61" spans="1:12">
      <c r="A61" s="371">
        <v>59.999999403953552</v>
      </c>
      <c r="B61" s="370">
        <v>95</v>
      </c>
      <c r="C61" s="370">
        <v>564.04815673828125</v>
      </c>
      <c r="D61" s="370">
        <v>22</v>
      </c>
      <c r="E61" s="370"/>
      <c r="F61" s="370"/>
      <c r="G61" s="370"/>
      <c r="H61" s="370"/>
      <c r="I61" s="370"/>
      <c r="J61" s="370"/>
      <c r="K61" s="370"/>
      <c r="L61" s="370"/>
    </row>
    <row r="62" spans="1:12">
      <c r="A62" s="371">
        <v>50</v>
      </c>
      <c r="B62" s="370">
        <v>95.15507341544172</v>
      </c>
      <c r="C62" s="370">
        <v>571.14337158203125</v>
      </c>
      <c r="D62" s="370">
        <v>14</v>
      </c>
      <c r="E62" s="370"/>
      <c r="F62" s="370"/>
      <c r="G62" s="370"/>
      <c r="H62" s="370"/>
      <c r="I62" s="370"/>
      <c r="J62" s="370"/>
      <c r="K62" s="370"/>
      <c r="L62" s="370"/>
    </row>
    <row r="63" spans="1:12">
      <c r="A63" s="371">
        <v>39.999997615814209</v>
      </c>
      <c r="B63" s="370">
        <v>96.521074304204973</v>
      </c>
      <c r="C63" s="370">
        <v>577.365966796875</v>
      </c>
      <c r="D63" s="370">
        <v>7.9999995231628418</v>
      </c>
      <c r="E63" s="370"/>
      <c r="F63" s="370"/>
      <c r="G63" s="370"/>
      <c r="H63" s="370"/>
      <c r="I63" s="370"/>
      <c r="J63" s="370"/>
      <c r="K63" s="370"/>
      <c r="L63" s="370"/>
    </row>
    <row r="64" spans="1:12">
      <c r="A64" s="371">
        <v>30.000001192092896</v>
      </c>
      <c r="B64" s="370">
        <v>99.699771100784858</v>
      </c>
      <c r="C64" s="370">
        <v>582.73663330078125</v>
      </c>
      <c r="D64" s="370">
        <v>5.9999995231628418</v>
      </c>
      <c r="E64" s="370"/>
      <c r="F64" s="370"/>
      <c r="G64" s="370"/>
      <c r="H64" s="370"/>
      <c r="I64" s="370"/>
      <c r="J64" s="370"/>
      <c r="K64" s="370"/>
      <c r="L64" s="370"/>
    </row>
    <row r="65" spans="1:12">
      <c r="A65" s="371">
        <v>19.999998807907104</v>
      </c>
      <c r="B65" s="370">
        <v>105.80342708873681</v>
      </c>
      <c r="C65" s="370">
        <v>587.61163330078125</v>
      </c>
      <c r="D65" s="370">
        <v>8.0000009536743164</v>
      </c>
      <c r="E65" s="370"/>
      <c r="F65" s="370"/>
      <c r="G65" s="370"/>
      <c r="H65" s="370"/>
      <c r="I65" s="370"/>
      <c r="J65" s="370"/>
      <c r="K65" s="370"/>
      <c r="L65" s="370"/>
    </row>
    <row r="66" spans="1:12">
      <c r="A66" s="371">
        <v>10.000002384185791</v>
      </c>
      <c r="B66" s="370">
        <v>116.61291890022255</v>
      </c>
      <c r="C66" s="370">
        <v>591.992431640625</v>
      </c>
      <c r="D66" s="370">
        <v>14.999996185302734</v>
      </c>
      <c r="E66" s="370"/>
      <c r="F66" s="370"/>
      <c r="G66" s="370"/>
      <c r="H66" s="370"/>
      <c r="I66" s="370"/>
      <c r="J66" s="370"/>
      <c r="K66" s="370"/>
      <c r="L66" s="370"/>
    </row>
    <row r="67" spans="1:12">
      <c r="A67" s="372">
        <v>0</v>
      </c>
      <c r="B67" s="370">
        <v>135</v>
      </c>
      <c r="C67" s="370">
        <v>595.8333740234375</v>
      </c>
      <c r="D67" s="370">
        <v>30</v>
      </c>
      <c r="E67" s="370"/>
      <c r="F67" s="370"/>
      <c r="G67" s="370"/>
      <c r="H67" s="370"/>
      <c r="I67" s="534"/>
      <c r="J67" s="370"/>
      <c r="K67" s="370"/>
      <c r="L67" s="370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activeCell="D7" sqref="D7"/>
    </sheetView>
  </sheetViews>
  <sheetFormatPr defaultColWidth="8.85546875" defaultRowHeight="12.75"/>
  <cols>
    <col min="1" max="6" width="16.7109375" style="382" customWidth="1"/>
    <col min="7" max="16384" width="8.85546875" style="382"/>
  </cols>
  <sheetData>
    <row r="1" spans="1:6" ht="18.95" customHeight="1">
      <c r="A1" s="395"/>
      <c r="B1" s="396"/>
      <c r="C1" s="396"/>
      <c r="D1" s="396"/>
      <c r="E1" s="396"/>
      <c r="F1" s="397"/>
    </row>
    <row r="2" spans="1:6" ht="26.1" customHeight="1">
      <c r="A2" s="398" t="s">
        <v>267</v>
      </c>
      <c r="B2" s="399"/>
      <c r="C2" s="399"/>
      <c r="D2" s="399"/>
      <c r="E2" s="399"/>
      <c r="F2" s="400"/>
    </row>
    <row r="3" spans="1:6" ht="18.95" customHeight="1">
      <c r="A3" s="655" t="s">
        <v>586</v>
      </c>
      <c r="B3" s="656"/>
      <c r="C3" s="656"/>
      <c r="D3" s="656"/>
      <c r="E3" s="656"/>
      <c r="F3" s="657"/>
    </row>
    <row r="4" spans="1:6" ht="18.95" customHeight="1">
      <c r="A4" s="658" t="s">
        <v>580</v>
      </c>
      <c r="B4" s="659"/>
      <c r="C4" s="659"/>
      <c r="D4" s="659"/>
      <c r="E4" s="659"/>
      <c r="F4" s="660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393</v>
      </c>
      <c r="B6" s="652" t="str">
        <f>'Performance Data Sheet'!C17</f>
        <v>WT-10126293</v>
      </c>
      <c r="C6" s="653"/>
      <c r="D6" s="654"/>
      <c r="E6" s="404" t="s">
        <v>394</v>
      </c>
      <c r="F6" s="405" t="str">
        <f>'Performance Data Sheet'!I14 &amp; " A"</f>
        <v>333/192 A</v>
      </c>
    </row>
    <row r="7" spans="1:6" ht="18.95" customHeight="1">
      <c r="A7" s="404" t="s">
        <v>395</v>
      </c>
      <c r="B7" s="405" t="str">
        <f>'Performance Data Sheet'!F14</f>
        <v>WP-II</v>
      </c>
      <c r="C7" s="404" t="s">
        <v>396</v>
      </c>
      <c r="D7" s="405" t="str">
        <f>'Performance Data Sheet'!F13 &amp; " V"</f>
        <v>2300/4000 V</v>
      </c>
      <c r="E7" s="404" t="s">
        <v>397</v>
      </c>
      <c r="F7" s="405" t="str">
        <f>'Performance Data Sheet'!C14</f>
        <v>5812UZ</v>
      </c>
    </row>
    <row r="8" spans="1:6" ht="18.95" customHeight="1">
      <c r="A8" s="404" t="s">
        <v>398</v>
      </c>
      <c r="B8" s="405">
        <v>2</v>
      </c>
      <c r="C8" s="404" t="s">
        <v>399</v>
      </c>
      <c r="D8" s="405" t="s">
        <v>400</v>
      </c>
      <c r="E8" s="404" t="s">
        <v>401</v>
      </c>
      <c r="F8" s="405" t="s">
        <v>362</v>
      </c>
    </row>
    <row r="9" spans="1:6" ht="18.95" customHeight="1">
      <c r="A9" s="404" t="s">
        <v>402</v>
      </c>
      <c r="B9" s="405">
        <v>1500</v>
      </c>
      <c r="C9" s="404" t="s">
        <v>403</v>
      </c>
      <c r="D9" s="405" t="s">
        <v>418</v>
      </c>
      <c r="E9" s="404" t="s">
        <v>2</v>
      </c>
      <c r="F9" s="406">
        <f>'Performance Data Sheet'!K44</f>
        <v>44704</v>
      </c>
    </row>
    <row r="10" spans="1:6" ht="18.95" customHeight="1">
      <c r="A10" s="404" t="s">
        <v>404</v>
      </c>
      <c r="B10" s="405">
        <v>3565</v>
      </c>
      <c r="C10" s="404" t="s">
        <v>405</v>
      </c>
      <c r="D10" s="405" t="s">
        <v>585</v>
      </c>
      <c r="E10" s="404" t="s">
        <v>1</v>
      </c>
      <c r="F10" s="405" t="s">
        <v>378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/>
      <c r="C12" s="408"/>
      <c r="D12" s="407"/>
      <c r="E12" s="408"/>
      <c r="F12" s="403"/>
    </row>
    <row r="13" spans="1:6" ht="18.95" customHeight="1">
      <c r="A13" s="401"/>
      <c r="B13" s="407"/>
      <c r="C13" s="409"/>
      <c r="D13" s="407"/>
      <c r="E13" s="408"/>
      <c r="F13" s="403"/>
    </row>
    <row r="14" spans="1:6" ht="18.95" customHeight="1">
      <c r="A14" s="401"/>
      <c r="B14" s="407"/>
      <c r="C14" s="409"/>
      <c r="D14" s="407"/>
      <c r="E14" s="408"/>
      <c r="F14" s="403"/>
    </row>
    <row r="15" spans="1:6" ht="18.95" customHeight="1">
      <c r="A15" s="401"/>
      <c r="B15" s="407"/>
      <c r="C15" s="408"/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6" ht="18.95" customHeight="1">
      <c r="A17" s="401"/>
      <c r="B17" s="402"/>
      <c r="C17" s="402"/>
      <c r="D17" s="402"/>
      <c r="E17" s="402"/>
      <c r="F17" s="403"/>
    </row>
    <row r="18" spans="1:6" ht="18.95" customHeight="1">
      <c r="A18" s="401"/>
      <c r="B18" s="402"/>
      <c r="C18" s="402"/>
      <c r="D18" s="402"/>
      <c r="E18" s="402"/>
      <c r="F18" s="403"/>
    </row>
    <row r="19" spans="1:6" ht="18.95" customHeight="1">
      <c r="A19" s="401"/>
      <c r="B19" s="402"/>
      <c r="C19" s="402"/>
      <c r="D19" s="402"/>
      <c r="E19" s="402"/>
      <c r="F19" s="403"/>
    </row>
    <row r="20" spans="1:6" ht="18.95" customHeight="1">
      <c r="A20" s="401"/>
      <c r="B20" s="402"/>
      <c r="C20" s="402"/>
      <c r="D20" s="402"/>
      <c r="E20" s="402"/>
      <c r="F20" s="403"/>
    </row>
    <row r="21" spans="1:6" ht="18.95" customHeight="1">
      <c r="A21" s="401"/>
      <c r="B21" s="402"/>
      <c r="C21" s="402"/>
      <c r="D21" s="402"/>
      <c r="E21" s="402"/>
      <c r="F21" s="403"/>
    </row>
    <row r="22" spans="1:6" ht="18.95" customHeight="1">
      <c r="A22" s="401"/>
      <c r="B22" s="402"/>
      <c r="C22" s="402"/>
      <c r="D22" s="402"/>
      <c r="E22" s="402"/>
      <c r="F22" s="403"/>
    </row>
    <row r="23" spans="1:6" ht="18.95" customHeight="1">
      <c r="A23" s="401"/>
      <c r="B23" s="402"/>
      <c r="C23" s="402"/>
      <c r="D23" s="402"/>
      <c r="E23" s="402"/>
      <c r="F23" s="403"/>
    </row>
    <row r="24" spans="1:6" ht="18.95" customHeight="1">
      <c r="A24" s="401"/>
      <c r="B24" s="402"/>
      <c r="C24" s="402"/>
      <c r="D24" s="402"/>
      <c r="E24" s="402"/>
      <c r="F24" s="403"/>
    </row>
    <row r="25" spans="1:6" ht="18.95" customHeight="1">
      <c r="A25" s="401"/>
      <c r="B25" s="402"/>
      <c r="C25" s="402"/>
      <c r="D25" s="402"/>
      <c r="E25" s="402"/>
      <c r="F25" s="403"/>
    </row>
    <row r="26" spans="1:6" ht="18.95" customHeight="1">
      <c r="A26" s="401"/>
      <c r="B26" s="402"/>
      <c r="C26" s="402"/>
      <c r="D26" s="402"/>
      <c r="E26" s="402"/>
      <c r="F26" s="403"/>
    </row>
    <row r="27" spans="1:6" ht="18.95" customHeight="1">
      <c r="A27" s="401"/>
      <c r="B27" s="402"/>
      <c r="C27" s="402"/>
      <c r="D27" s="402"/>
      <c r="E27" s="402"/>
      <c r="F27" s="403"/>
    </row>
    <row r="28" spans="1:6" ht="18.95" customHeight="1">
      <c r="A28" s="401"/>
      <c r="B28" s="402"/>
      <c r="C28" s="402"/>
      <c r="D28" s="402"/>
      <c r="E28" s="402"/>
      <c r="F28" s="403"/>
    </row>
    <row r="29" spans="1:6" ht="18.95" customHeight="1">
      <c r="A29" s="401"/>
      <c r="B29" s="402"/>
      <c r="C29" s="402"/>
      <c r="D29" s="402"/>
      <c r="E29" s="402"/>
      <c r="F29" s="403"/>
    </row>
    <row r="30" spans="1:6" ht="18.95" customHeight="1">
      <c r="A30" s="401"/>
      <c r="B30" s="402"/>
      <c r="C30" s="402"/>
      <c r="D30" s="402"/>
      <c r="E30" s="402"/>
      <c r="F30" s="403"/>
    </row>
    <row r="31" spans="1:6" ht="18.95" customHeight="1">
      <c r="A31" s="401"/>
      <c r="B31" s="402"/>
      <c r="C31" s="402"/>
      <c r="D31" s="402"/>
      <c r="E31" s="402"/>
      <c r="F31" s="403"/>
    </row>
    <row r="32" spans="1:6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414</v>
      </c>
      <c r="B39" s="411" t="s">
        <v>369</v>
      </c>
      <c r="C39" s="532" t="str">
        <f>'Performance Data Sheet'!C10</f>
        <v>2257472.1</v>
      </c>
      <c r="D39" s="402"/>
      <c r="E39" s="407" t="s">
        <v>415</v>
      </c>
      <c r="F39" s="412" t="str">
        <f>F10</f>
        <v>1T2M30U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416</v>
      </c>
      <c r="D43" s="415" t="str">
        <f>'Performance Data Sheet'!K42</f>
        <v>JERRY R</v>
      </c>
      <c r="E43" s="414" t="s">
        <v>417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6" t="e">
        <f>5252.1*B50/D53</f>
        <v>#DIV/0!</v>
      </c>
      <c r="G50" s="416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7"/>
    </row>
    <row r="63" spans="6:9">
      <c r="I63" s="382" t="s">
        <v>39</v>
      </c>
    </row>
    <row r="66" spans="1:6">
      <c r="D66" s="416" t="e">
        <f>D65/D64</f>
        <v>#DIV/0!</v>
      </c>
    </row>
    <row r="67" spans="1:6">
      <c r="A67" s="418" t="s">
        <v>390</v>
      </c>
      <c r="B67" s="418" t="s">
        <v>581</v>
      </c>
      <c r="C67" s="418" t="s">
        <v>582</v>
      </c>
      <c r="E67" s="418" t="s">
        <v>583</v>
      </c>
      <c r="F67" s="418" t="s">
        <v>584</v>
      </c>
    </row>
    <row r="68" spans="1:6">
      <c r="A68" s="419">
        <v>595.83333333333337</v>
      </c>
      <c r="B68" s="420">
        <v>7.0958886827741354</v>
      </c>
      <c r="C68" s="420">
        <v>3.5221767425537114</v>
      </c>
      <c r="E68" s="419">
        <f>A68</f>
        <v>595.83333333333337</v>
      </c>
      <c r="F68" s="420">
        <v>1E-4</v>
      </c>
    </row>
    <row r="69" spans="1:6">
      <c r="A69" s="419">
        <v>523.22948333333329</v>
      </c>
      <c r="B69" s="420">
        <f>((A68/A69)^2)*B68</f>
        <v>9.2017826204683768</v>
      </c>
      <c r="C69" s="420">
        <f>((A68/A69)^2)*C68</f>
        <v>4.5674764902284046</v>
      </c>
      <c r="E69" s="419">
        <v>593.90625</v>
      </c>
      <c r="F69" s="420">
        <v>0.26100000739097595</v>
      </c>
    </row>
    <row r="70" spans="1:6">
      <c r="A70" s="419">
        <v>450.60385000000002</v>
      </c>
      <c r="B70" s="420">
        <f>((A68/A70)^2)*B68</f>
        <v>12.406994486990454</v>
      </c>
      <c r="C70" s="420">
        <f>((A68/A70)^2)*C68</f>
        <v>6.1584432029147251</v>
      </c>
      <c r="E70" s="419">
        <v>589.79166666666674</v>
      </c>
      <c r="F70" s="420">
        <v>0.53100001811981201</v>
      </c>
    </row>
    <row r="71" spans="1:6">
      <c r="A71" s="419">
        <v>378</v>
      </c>
      <c r="B71" s="420">
        <f>((A68/A71)^2)*B68</f>
        <v>17.630831128024639</v>
      </c>
      <c r="C71" s="420">
        <f>((A68/A71)^2)*C68</f>
        <v>8.7513919858650961</v>
      </c>
      <c r="E71" s="419">
        <v>585.15625</v>
      </c>
      <c r="F71" s="420">
        <v>0.81200003623962402</v>
      </c>
    </row>
    <row r="72" spans="1:6">
      <c r="A72" s="419">
        <f>A71-100</f>
        <v>278</v>
      </c>
      <c r="B72" s="420">
        <f>((A68/A72)^2)*B68</f>
        <v>32.596186466754723</v>
      </c>
      <c r="C72" s="420"/>
      <c r="E72" s="419">
        <v>580.05208333333337</v>
      </c>
      <c r="F72" s="420">
        <v>1.1080000400543213</v>
      </c>
    </row>
    <row r="73" spans="1:6">
      <c r="A73" s="419">
        <f>A72-100</f>
        <v>178</v>
      </c>
      <c r="B73" s="420">
        <f>((A68/A73)^2)*B68</f>
        <v>79.509016377246311</v>
      </c>
      <c r="C73" s="420"/>
      <c r="E73" s="419">
        <v>574.27083333333326</v>
      </c>
      <c r="F73" s="420">
        <v>1.4259999990463257</v>
      </c>
    </row>
    <row r="74" spans="1:6">
      <c r="A74" s="419">
        <v>265</v>
      </c>
      <c r="B74" s="420">
        <f>((A68/A74)^2)*B68</f>
        <v>35.872747239539649</v>
      </c>
      <c r="C74" s="420">
        <f>((A68/A74)^2)*C68</f>
        <v>17.806107404889257</v>
      </c>
      <c r="E74" s="419">
        <v>567.60416666666663</v>
      </c>
      <c r="F74" s="420">
        <v>1.7749999761581421</v>
      </c>
    </row>
    <row r="75" spans="1:6">
      <c r="A75" s="421">
        <v>180</v>
      </c>
      <c r="B75" s="420">
        <f>((A68/A75)^2)*B69</f>
        <v>100.8269315875546</v>
      </c>
      <c r="C75" s="420">
        <f>((A68/A75)^2)*C68</f>
        <v>38.593638657665075</v>
      </c>
      <c r="E75" s="419">
        <v>559.53125</v>
      </c>
      <c r="F75" s="420">
        <v>2.1719999313354492</v>
      </c>
    </row>
    <row r="76" spans="1:6">
      <c r="A76" s="421">
        <v>145</v>
      </c>
      <c r="B76" s="420">
        <f>((A68/A76)^2)*B68</f>
        <v>119.81753507237441</v>
      </c>
      <c r="C76" s="420">
        <f>((A68/A76)^2)*C68</f>
        <v>59.473669084820358</v>
      </c>
      <c r="E76" s="419">
        <v>547.29166666666663</v>
      </c>
      <c r="F76" s="420">
        <v>2.5969998836517334</v>
      </c>
    </row>
    <row r="77" spans="1:6">
      <c r="A77" s="421">
        <v>125</v>
      </c>
      <c r="B77" s="420"/>
      <c r="C77" s="419">
        <f>CEILING(C76*2,100)</f>
        <v>200</v>
      </c>
      <c r="E77" s="419">
        <v>531.40625</v>
      </c>
      <c r="F77" s="420">
        <v>2.7929999828338623</v>
      </c>
    </row>
    <row r="78" spans="1:6">
      <c r="A78" s="421">
        <v>125</v>
      </c>
      <c r="B78" s="420"/>
      <c r="C78" s="419">
        <f>2*C77</f>
        <v>400</v>
      </c>
      <c r="E78" s="419">
        <v>505.3125</v>
      </c>
      <c r="F78" s="420">
        <v>2.937000036239624</v>
      </c>
    </row>
    <row r="79" spans="1:6">
      <c r="A79" s="421">
        <v>125</v>
      </c>
      <c r="B79" s="421"/>
      <c r="C79" s="421">
        <v>10000</v>
      </c>
      <c r="E79" s="419">
        <v>431.92708333333331</v>
      </c>
      <c r="F79" s="420">
        <v>3.0320000648498535</v>
      </c>
    </row>
    <row r="80" spans="1:6">
      <c r="E80" s="419">
        <v>0</v>
      </c>
      <c r="F80" s="420">
        <v>3.128000020980835</v>
      </c>
    </row>
    <row r="81" spans="5:6">
      <c r="E81" s="419"/>
      <c r="F81" s="420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7"/>
  <sheetViews>
    <sheetView workbookViewId="0">
      <selection activeCell="I11" sqref="I11"/>
    </sheetView>
  </sheetViews>
  <sheetFormatPr defaultColWidth="8.85546875" defaultRowHeight="12.75"/>
  <cols>
    <col min="1" max="6" width="16.7109375" style="382" customWidth="1"/>
    <col min="7" max="16384" width="8.85546875" style="382"/>
  </cols>
  <sheetData>
    <row r="1" spans="1:6" ht="18.95" customHeight="1">
      <c r="A1" s="395"/>
      <c r="B1" s="396"/>
      <c r="C1" s="396"/>
      <c r="D1" s="396"/>
      <c r="E1" s="396"/>
      <c r="F1" s="397"/>
    </row>
    <row r="2" spans="1:6" ht="26.1" customHeight="1">
      <c r="A2" s="398" t="s">
        <v>267</v>
      </c>
      <c r="B2" s="399"/>
      <c r="C2" s="399"/>
      <c r="D2" s="399"/>
      <c r="E2" s="399"/>
      <c r="F2" s="400"/>
    </row>
    <row r="3" spans="1:6" ht="18.95" customHeight="1">
      <c r="A3" s="422" t="s">
        <v>587</v>
      </c>
      <c r="B3" s="399"/>
      <c r="C3" s="399"/>
      <c r="D3" s="399"/>
      <c r="E3" s="399"/>
      <c r="F3" s="400"/>
    </row>
    <row r="4" spans="1:6" ht="18.95" customHeight="1">
      <c r="A4" s="658" t="s">
        <v>580</v>
      </c>
      <c r="B4" s="659"/>
      <c r="C4" s="659"/>
      <c r="D4" s="659"/>
      <c r="E4" s="659"/>
      <c r="F4" s="660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393</v>
      </c>
      <c r="B6" s="652" t="str">
        <f>'Performance Data Sheet'!C17</f>
        <v>WT-10126293</v>
      </c>
      <c r="C6" s="653"/>
      <c r="D6" s="654"/>
      <c r="E6" s="404" t="s">
        <v>394</v>
      </c>
      <c r="F6" s="405" t="s">
        <v>715</v>
      </c>
    </row>
    <row r="7" spans="1:6" ht="18.95" customHeight="1">
      <c r="A7" s="404" t="s">
        <v>395</v>
      </c>
      <c r="B7" s="405" t="str">
        <f>'Performance Data Sheet'!F14</f>
        <v>WP-II</v>
      </c>
      <c r="C7" s="404" t="s">
        <v>396</v>
      </c>
      <c r="D7" s="405" t="s">
        <v>714</v>
      </c>
      <c r="E7" s="404" t="s">
        <v>397</v>
      </c>
      <c r="F7" s="405" t="str">
        <f>'Performance Data Sheet'!C14</f>
        <v>5812UZ</v>
      </c>
    </row>
    <row r="8" spans="1:6" ht="18.95" customHeight="1">
      <c r="A8" s="404" t="s">
        <v>398</v>
      </c>
      <c r="B8" s="405">
        <v>2</v>
      </c>
      <c r="C8" s="404" t="s">
        <v>399</v>
      </c>
      <c r="D8" s="405" t="s">
        <v>400</v>
      </c>
      <c r="E8" s="404" t="s">
        <v>401</v>
      </c>
      <c r="F8" s="405" t="s">
        <v>362</v>
      </c>
    </row>
    <row r="9" spans="1:6" ht="18.95" customHeight="1">
      <c r="A9" s="404" t="s">
        <v>402</v>
      </c>
      <c r="B9" s="405">
        <v>1500</v>
      </c>
      <c r="C9" s="404" t="s">
        <v>403</v>
      </c>
      <c r="D9" s="405" t="s">
        <v>418</v>
      </c>
      <c r="E9" s="404" t="s">
        <v>2</v>
      </c>
      <c r="F9" s="406">
        <f>'Performance Data Sheet'!K44</f>
        <v>44704</v>
      </c>
    </row>
    <row r="10" spans="1:6" ht="18.95" customHeight="1">
      <c r="A10" s="404" t="s">
        <v>404</v>
      </c>
      <c r="B10" s="405">
        <v>3565</v>
      </c>
      <c r="C10" s="404" t="s">
        <v>405</v>
      </c>
      <c r="D10" s="405" t="s">
        <v>585</v>
      </c>
      <c r="E10" s="404" t="s">
        <v>1</v>
      </c>
      <c r="F10" s="405" t="s">
        <v>378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 t="s">
        <v>407</v>
      </c>
      <c r="C12" s="408" t="s">
        <v>716</v>
      </c>
      <c r="D12" s="407" t="s">
        <v>408</v>
      </c>
      <c r="E12" s="408" t="s">
        <v>406</v>
      </c>
      <c r="F12" s="403"/>
    </row>
    <row r="13" spans="1:6" ht="18.95" customHeight="1">
      <c r="A13" s="401"/>
      <c r="B13" s="407" t="s">
        <v>409</v>
      </c>
      <c r="C13" s="409">
        <v>1.35</v>
      </c>
      <c r="D13" s="407" t="s">
        <v>410</v>
      </c>
      <c r="E13" s="408" t="s">
        <v>406</v>
      </c>
      <c r="F13" s="403"/>
    </row>
    <row r="14" spans="1:6" ht="18.95" customHeight="1">
      <c r="A14" s="401"/>
      <c r="B14" s="407" t="s">
        <v>411</v>
      </c>
      <c r="C14" s="409">
        <v>2.65</v>
      </c>
      <c r="D14" s="407" t="s">
        <v>412</v>
      </c>
      <c r="E14" s="408" t="s">
        <v>406</v>
      </c>
      <c r="F14" s="403"/>
    </row>
    <row r="15" spans="1:6" ht="18.95" customHeight="1">
      <c r="A15" s="401"/>
      <c r="B15" s="407" t="s">
        <v>413</v>
      </c>
      <c r="C15" s="408" t="s">
        <v>419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8" ht="18.95" customHeight="1">
      <c r="A17" s="401"/>
      <c r="B17" s="402"/>
      <c r="C17" s="402"/>
      <c r="D17" s="402"/>
      <c r="E17" s="402"/>
      <c r="F17" s="403"/>
    </row>
    <row r="18" spans="1:8" ht="18.95" customHeight="1">
      <c r="A18" s="401"/>
      <c r="B18" s="402"/>
      <c r="C18" s="402"/>
      <c r="D18" s="402"/>
      <c r="E18" s="402"/>
      <c r="F18" s="403"/>
    </row>
    <row r="19" spans="1:8" ht="18.95" customHeight="1">
      <c r="A19" s="401"/>
      <c r="B19" s="402"/>
      <c r="C19" s="402"/>
      <c r="D19" s="402"/>
      <c r="E19" s="402"/>
      <c r="F19" s="403"/>
    </row>
    <row r="20" spans="1:8" ht="18.95" customHeight="1">
      <c r="A20" s="401"/>
      <c r="B20" s="402"/>
      <c r="C20" s="402"/>
      <c r="D20" s="402"/>
      <c r="E20" s="402"/>
      <c r="F20" s="403"/>
    </row>
    <row r="21" spans="1:8" ht="18.95" customHeight="1">
      <c r="A21" s="401"/>
      <c r="B21" s="402"/>
      <c r="C21" s="402"/>
      <c r="D21" s="402"/>
      <c r="E21" s="402"/>
      <c r="F21" s="403"/>
    </row>
    <row r="22" spans="1:8" ht="18.95" customHeight="1">
      <c r="A22" s="401"/>
      <c r="B22" s="402"/>
      <c r="C22" s="402"/>
      <c r="D22" s="402"/>
      <c r="E22" s="402"/>
      <c r="F22" s="403"/>
    </row>
    <row r="23" spans="1:8" ht="18.95" customHeight="1">
      <c r="A23" s="401"/>
      <c r="B23" s="402"/>
      <c r="C23" s="402"/>
      <c r="D23" s="402"/>
      <c r="E23" s="402"/>
      <c r="F23" s="403"/>
    </row>
    <row r="24" spans="1:8" ht="18.95" customHeight="1">
      <c r="A24" s="401"/>
      <c r="B24" s="402"/>
      <c r="C24" s="402"/>
      <c r="D24" s="402"/>
      <c r="E24" s="402"/>
      <c r="F24" s="403"/>
      <c r="H24" s="426"/>
    </row>
    <row r="25" spans="1:8" ht="18.95" customHeight="1">
      <c r="A25" s="401"/>
      <c r="B25" s="402"/>
      <c r="C25" s="402"/>
      <c r="D25" s="402"/>
      <c r="E25" s="402"/>
      <c r="F25" s="403"/>
    </row>
    <row r="26" spans="1:8" ht="18.95" customHeight="1">
      <c r="A26" s="401"/>
      <c r="B26" s="402"/>
      <c r="C26" s="402"/>
      <c r="D26" s="402"/>
      <c r="E26" s="402"/>
      <c r="F26" s="403"/>
    </row>
    <row r="27" spans="1:8" ht="18.95" customHeight="1">
      <c r="A27" s="401"/>
      <c r="B27" s="402"/>
      <c r="C27" s="402"/>
      <c r="D27" s="402"/>
      <c r="E27" s="402"/>
      <c r="F27" s="403"/>
    </row>
    <row r="28" spans="1:8" ht="18.95" customHeight="1">
      <c r="A28" s="401"/>
      <c r="B28" s="402"/>
      <c r="C28" s="402"/>
      <c r="D28" s="402"/>
      <c r="E28" s="402"/>
      <c r="F28" s="403"/>
    </row>
    <row r="29" spans="1:8" ht="18.95" customHeight="1">
      <c r="A29" s="401"/>
      <c r="B29" s="402"/>
      <c r="C29" s="402"/>
      <c r="D29" s="402"/>
      <c r="E29" s="402"/>
      <c r="F29" s="403"/>
    </row>
    <row r="30" spans="1:8" ht="18.95" customHeight="1">
      <c r="A30" s="401"/>
      <c r="B30" s="402"/>
      <c r="C30" s="402"/>
      <c r="D30" s="402"/>
      <c r="E30" s="402"/>
      <c r="F30" s="403"/>
    </row>
    <row r="31" spans="1:8" ht="18.95" customHeight="1">
      <c r="A31" s="401"/>
      <c r="B31" s="402"/>
      <c r="C31" s="402"/>
      <c r="D31" s="402"/>
      <c r="E31" s="402"/>
      <c r="F31" s="403"/>
    </row>
    <row r="32" spans="1:8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414</v>
      </c>
      <c r="B39" s="411" t="s">
        <v>369</v>
      </c>
      <c r="C39" s="532" t="str">
        <f>'Performance Data Sheet'!C10</f>
        <v>2257472.1</v>
      </c>
      <c r="D39" s="402"/>
      <c r="E39" s="407" t="s">
        <v>415</v>
      </c>
      <c r="F39" s="412" t="str">
        <f>F10</f>
        <v>1T2M30U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416</v>
      </c>
      <c r="D43" s="415" t="str">
        <f>'Performance Data Sheet'!K42</f>
        <v>JERRY R</v>
      </c>
      <c r="E43" s="414" t="s">
        <v>417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420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588</v>
      </c>
    </row>
    <row r="54" spans="1:6" ht="15" customHeight="1">
      <c r="A54" s="429">
        <v>0</v>
      </c>
      <c r="B54" s="430"/>
      <c r="C54" s="431"/>
      <c r="D54" s="431">
        <v>47.011783583205457</v>
      </c>
      <c r="E54" s="431">
        <v>100</v>
      </c>
      <c r="F54" s="432">
        <v>2</v>
      </c>
    </row>
    <row r="55" spans="1:6" ht="15" customHeight="1">
      <c r="A55" s="433">
        <v>25</v>
      </c>
      <c r="B55" s="434">
        <v>91.374359130859375</v>
      </c>
      <c r="C55" s="435">
        <v>63.851985931396484</v>
      </c>
      <c r="D55" s="435">
        <v>69.123970031738281</v>
      </c>
      <c r="E55" s="435">
        <v>83.550864564635035</v>
      </c>
      <c r="F55" s="436">
        <v>7.6445329923448408</v>
      </c>
    </row>
    <row r="56" spans="1:6" ht="15" customHeight="1">
      <c r="A56" s="433">
        <v>50</v>
      </c>
      <c r="B56" s="434">
        <v>94.243209838867188</v>
      </c>
      <c r="C56" s="435">
        <v>81.494247436523438</v>
      </c>
      <c r="D56" s="435">
        <v>105.02203369140625</v>
      </c>
      <c r="E56" s="435">
        <v>64.740837451919134</v>
      </c>
      <c r="F56" s="436">
        <v>14.823654417380611</v>
      </c>
    </row>
    <row r="57" spans="1:6">
      <c r="A57" s="433">
        <v>75</v>
      </c>
      <c r="B57" s="434">
        <v>94.9595947265625</v>
      </c>
      <c r="C57" s="435">
        <v>86.709793090820313</v>
      </c>
      <c r="D57" s="435">
        <v>146.9405517578125</v>
      </c>
      <c r="E57" s="435">
        <v>45.409295337457266</v>
      </c>
      <c r="F57" s="436">
        <v>22.06773092960486</v>
      </c>
    </row>
    <row r="58" spans="1:6">
      <c r="A58" s="433">
        <v>100</v>
      </c>
      <c r="B58" s="434">
        <v>95.097885131835938</v>
      </c>
      <c r="C58" s="435">
        <v>88.349349975585938</v>
      </c>
      <c r="D58" s="435">
        <v>192.00527954101563</v>
      </c>
      <c r="E58" s="435">
        <v>25.400539576022751</v>
      </c>
      <c r="F58" s="436">
        <v>29.380854942338736</v>
      </c>
    </row>
    <row r="59" spans="1:6" ht="13.5" thickBot="1">
      <c r="A59" s="437">
        <v>125</v>
      </c>
      <c r="B59" s="438">
        <v>94.997360229492188</v>
      </c>
      <c r="C59" s="439">
        <v>88.551177978515625</v>
      </c>
      <c r="D59" s="439">
        <v>239.71296691894531</v>
      </c>
      <c r="E59" s="439">
        <v>5.4099067344405505</v>
      </c>
      <c r="F59" s="440">
        <v>36.764932459993545</v>
      </c>
    </row>
    <row r="60" spans="1:6">
      <c r="A60" s="423"/>
      <c r="B60" s="424"/>
      <c r="C60" s="424"/>
    </row>
    <row r="61" spans="1:6">
      <c r="A61" s="423"/>
      <c r="B61" s="424"/>
      <c r="C61" s="424"/>
    </row>
    <row r="62" spans="1:6">
      <c r="A62" s="423"/>
      <c r="B62" s="424"/>
      <c r="C62" s="424"/>
    </row>
    <row r="63" spans="1:6">
      <c r="A63" s="423"/>
      <c r="B63" s="424"/>
      <c r="C63" s="424"/>
    </row>
    <row r="64" spans="1:6">
      <c r="A64" s="423"/>
      <c r="B64" s="424"/>
      <c r="C64" s="424"/>
    </row>
    <row r="65" spans="1:3">
      <c r="A65" s="423"/>
      <c r="B65" s="424"/>
      <c r="C65" s="424"/>
    </row>
    <row r="66" spans="1:3">
      <c r="A66" s="423"/>
      <c r="B66" s="424"/>
      <c r="C66" s="424"/>
    </row>
    <row r="67" spans="1:3">
      <c r="A67" s="425"/>
      <c r="B67" s="424"/>
      <c r="C67" s="424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C83F-72D8-4864-95AD-21A98E3F2730}">
  <sheetPr>
    <pageSetUpPr fitToPage="1"/>
  </sheetPr>
  <dimension ref="A1:H67"/>
  <sheetViews>
    <sheetView topLeftCell="A17" workbookViewId="0">
      <selection activeCell="H24" sqref="H24"/>
    </sheetView>
  </sheetViews>
  <sheetFormatPr defaultColWidth="8.85546875" defaultRowHeight="12.75"/>
  <cols>
    <col min="1" max="6" width="16.7109375" style="382" customWidth="1"/>
    <col min="7" max="16384" width="8.85546875" style="382"/>
  </cols>
  <sheetData>
    <row r="1" spans="1:6" ht="18.95" customHeight="1">
      <c r="A1" s="395"/>
      <c r="B1" s="396"/>
      <c r="C1" s="396"/>
      <c r="D1" s="396"/>
      <c r="E1" s="396"/>
      <c r="F1" s="397"/>
    </row>
    <row r="2" spans="1:6" ht="26.1" customHeight="1">
      <c r="A2" s="398" t="s">
        <v>267</v>
      </c>
      <c r="B2" s="399"/>
      <c r="C2" s="399"/>
      <c r="D2" s="399"/>
      <c r="E2" s="399"/>
      <c r="F2" s="400"/>
    </row>
    <row r="3" spans="1:6" ht="18.95" customHeight="1">
      <c r="A3" s="422" t="s">
        <v>587</v>
      </c>
      <c r="B3" s="399"/>
      <c r="C3" s="399"/>
      <c r="D3" s="399"/>
      <c r="E3" s="399"/>
      <c r="F3" s="400"/>
    </row>
    <row r="4" spans="1:6" ht="18.95" customHeight="1">
      <c r="A4" s="658" t="s">
        <v>580</v>
      </c>
      <c r="B4" s="659"/>
      <c r="C4" s="659"/>
      <c r="D4" s="659"/>
      <c r="E4" s="659"/>
      <c r="F4" s="660"/>
    </row>
    <row r="5" spans="1:6" ht="18.95" customHeight="1">
      <c r="A5" s="401"/>
      <c r="B5" s="402"/>
      <c r="C5" s="402"/>
      <c r="D5" s="402"/>
      <c r="E5" s="402"/>
      <c r="F5" s="403"/>
    </row>
    <row r="6" spans="1:6" ht="18.95" customHeight="1">
      <c r="A6" s="404" t="s">
        <v>393</v>
      </c>
      <c r="B6" s="652" t="str">
        <f>'Performance Data Sheet'!C17</f>
        <v>WT-10126293</v>
      </c>
      <c r="C6" s="653"/>
      <c r="D6" s="654"/>
      <c r="E6" s="404" t="s">
        <v>394</v>
      </c>
      <c r="F6" s="405" t="s">
        <v>713</v>
      </c>
    </row>
    <row r="7" spans="1:6" ht="18.95" customHeight="1">
      <c r="A7" s="404" t="s">
        <v>395</v>
      </c>
      <c r="B7" s="405" t="str">
        <f>'Performance Data Sheet'!F14</f>
        <v>WP-II</v>
      </c>
      <c r="C7" s="404" t="s">
        <v>396</v>
      </c>
      <c r="D7" s="405" t="s">
        <v>709</v>
      </c>
      <c r="E7" s="404" t="s">
        <v>397</v>
      </c>
      <c r="F7" s="405" t="str">
        <f>'Performance Data Sheet'!C14</f>
        <v>5812UZ</v>
      </c>
    </row>
    <row r="8" spans="1:6" ht="18.95" customHeight="1">
      <c r="A8" s="404" t="s">
        <v>398</v>
      </c>
      <c r="B8" s="405">
        <v>2</v>
      </c>
      <c r="C8" s="404" t="s">
        <v>399</v>
      </c>
      <c r="D8" s="405" t="s">
        <v>400</v>
      </c>
      <c r="E8" s="404" t="s">
        <v>401</v>
      </c>
      <c r="F8" s="405" t="s">
        <v>362</v>
      </c>
    </row>
    <row r="9" spans="1:6" ht="18.95" customHeight="1">
      <c r="A9" s="404" t="s">
        <v>402</v>
      </c>
      <c r="B9" s="405">
        <v>1500</v>
      </c>
      <c r="C9" s="404" t="s">
        <v>403</v>
      </c>
      <c r="D9" s="405" t="s">
        <v>418</v>
      </c>
      <c r="E9" s="404" t="s">
        <v>2</v>
      </c>
      <c r="F9" s="406">
        <f>'Performance Data Sheet'!K44</f>
        <v>44704</v>
      </c>
    </row>
    <row r="10" spans="1:6" ht="18.95" customHeight="1">
      <c r="A10" s="404" t="s">
        <v>404</v>
      </c>
      <c r="B10" s="405">
        <v>3565</v>
      </c>
      <c r="C10" s="404" t="s">
        <v>405</v>
      </c>
      <c r="D10" s="405" t="s">
        <v>585</v>
      </c>
      <c r="E10" s="404" t="s">
        <v>1</v>
      </c>
      <c r="F10" s="405" t="s">
        <v>378</v>
      </c>
    </row>
    <row r="11" spans="1:6" ht="18.95" customHeight="1">
      <c r="A11" s="401"/>
      <c r="B11" s="402"/>
      <c r="C11" s="402"/>
      <c r="D11" s="402"/>
      <c r="E11" s="402"/>
      <c r="F11" s="403"/>
    </row>
    <row r="12" spans="1:6" ht="18.95" customHeight="1">
      <c r="A12" s="401"/>
      <c r="B12" s="407" t="s">
        <v>407</v>
      </c>
      <c r="C12" s="408" t="s">
        <v>710</v>
      </c>
      <c r="D12" s="407" t="s">
        <v>408</v>
      </c>
      <c r="E12" s="408" t="s">
        <v>406</v>
      </c>
      <c r="F12" s="403"/>
    </row>
    <row r="13" spans="1:6" ht="18.95" customHeight="1">
      <c r="A13" s="401"/>
      <c r="B13" s="407" t="s">
        <v>409</v>
      </c>
      <c r="C13" s="409">
        <v>1.35</v>
      </c>
      <c r="D13" s="407" t="s">
        <v>410</v>
      </c>
      <c r="E13" s="408" t="s">
        <v>406</v>
      </c>
      <c r="F13" s="403"/>
    </row>
    <row r="14" spans="1:6" ht="18.95" customHeight="1">
      <c r="A14" s="401"/>
      <c r="B14" s="407" t="s">
        <v>411</v>
      </c>
      <c r="C14" s="409">
        <v>2.65</v>
      </c>
      <c r="D14" s="407" t="s">
        <v>412</v>
      </c>
      <c r="E14" s="408" t="s">
        <v>406</v>
      </c>
      <c r="F14" s="403"/>
    </row>
    <row r="15" spans="1:6" ht="18.95" customHeight="1">
      <c r="A15" s="401"/>
      <c r="B15" s="407" t="s">
        <v>413</v>
      </c>
      <c r="C15" s="408" t="s">
        <v>419</v>
      </c>
      <c r="D15" s="402"/>
      <c r="E15" s="402"/>
      <c r="F15" s="403"/>
    </row>
    <row r="16" spans="1:6" ht="18.95" customHeight="1">
      <c r="A16" s="401"/>
      <c r="B16" s="402"/>
      <c r="C16" s="402"/>
      <c r="D16" s="402"/>
      <c r="E16" s="402"/>
      <c r="F16" s="403"/>
    </row>
    <row r="17" spans="1:8" ht="18.95" customHeight="1">
      <c r="A17" s="401"/>
      <c r="B17" s="402"/>
      <c r="C17" s="402"/>
      <c r="D17" s="402"/>
      <c r="E17" s="402"/>
      <c r="F17" s="403"/>
    </row>
    <row r="18" spans="1:8" ht="18.95" customHeight="1">
      <c r="A18" s="401"/>
      <c r="B18" s="402"/>
      <c r="C18" s="402"/>
      <c r="D18" s="402"/>
      <c r="E18" s="402"/>
      <c r="F18" s="403"/>
    </row>
    <row r="19" spans="1:8" ht="18.95" customHeight="1">
      <c r="A19" s="401"/>
      <c r="B19" s="402"/>
      <c r="C19" s="402"/>
      <c r="D19" s="402"/>
      <c r="E19" s="402"/>
      <c r="F19" s="403"/>
    </row>
    <row r="20" spans="1:8" ht="18.95" customHeight="1">
      <c r="A20" s="401"/>
      <c r="B20" s="402"/>
      <c r="C20" s="402"/>
      <c r="D20" s="402"/>
      <c r="E20" s="402"/>
      <c r="F20" s="403"/>
    </row>
    <row r="21" spans="1:8" ht="18.95" customHeight="1">
      <c r="A21" s="401"/>
      <c r="B21" s="402"/>
      <c r="C21" s="402"/>
      <c r="D21" s="402"/>
      <c r="E21" s="402"/>
      <c r="F21" s="403"/>
    </row>
    <row r="22" spans="1:8" ht="18.95" customHeight="1">
      <c r="A22" s="401"/>
      <c r="B22" s="402"/>
      <c r="C22" s="402"/>
      <c r="D22" s="402"/>
      <c r="E22" s="402"/>
      <c r="F22" s="403"/>
    </row>
    <row r="23" spans="1:8" ht="18.95" customHeight="1">
      <c r="A23" s="401"/>
      <c r="B23" s="402"/>
      <c r="C23" s="402"/>
      <c r="D23" s="402"/>
      <c r="E23" s="402"/>
      <c r="F23" s="403"/>
    </row>
    <row r="24" spans="1:8" ht="18.95" customHeight="1">
      <c r="A24" s="401"/>
      <c r="B24" s="402"/>
      <c r="C24" s="402"/>
      <c r="D24" s="402"/>
      <c r="E24" s="402"/>
      <c r="F24" s="403"/>
      <c r="H24" s="426"/>
    </row>
    <row r="25" spans="1:8" ht="18.95" customHeight="1">
      <c r="A25" s="401"/>
      <c r="B25" s="402"/>
      <c r="C25" s="402"/>
      <c r="D25" s="402"/>
      <c r="E25" s="402"/>
      <c r="F25" s="403"/>
    </row>
    <row r="26" spans="1:8" ht="18.95" customHeight="1">
      <c r="A26" s="401"/>
      <c r="B26" s="402"/>
      <c r="C26" s="402"/>
      <c r="D26" s="402"/>
      <c r="E26" s="402"/>
      <c r="F26" s="403"/>
    </row>
    <row r="27" spans="1:8" ht="18.95" customHeight="1">
      <c r="A27" s="401"/>
      <c r="B27" s="402"/>
      <c r="C27" s="402"/>
      <c r="D27" s="402"/>
      <c r="E27" s="402"/>
      <c r="F27" s="403"/>
    </row>
    <row r="28" spans="1:8" ht="18.95" customHeight="1">
      <c r="A28" s="401"/>
      <c r="B28" s="402"/>
      <c r="C28" s="402"/>
      <c r="D28" s="402"/>
      <c r="E28" s="402"/>
      <c r="F28" s="403"/>
    </row>
    <row r="29" spans="1:8" ht="18.95" customHeight="1">
      <c r="A29" s="401"/>
      <c r="B29" s="402"/>
      <c r="C29" s="402"/>
      <c r="D29" s="402"/>
      <c r="E29" s="402"/>
      <c r="F29" s="403"/>
    </row>
    <row r="30" spans="1:8" ht="18.95" customHeight="1">
      <c r="A30" s="401"/>
      <c r="B30" s="402"/>
      <c r="C30" s="402"/>
      <c r="D30" s="402"/>
      <c r="E30" s="402"/>
      <c r="F30" s="403"/>
    </row>
    <row r="31" spans="1:8" ht="18.95" customHeight="1">
      <c r="A31" s="401"/>
      <c r="B31" s="402"/>
      <c r="C31" s="402"/>
      <c r="D31" s="402"/>
      <c r="E31" s="402"/>
      <c r="F31" s="403"/>
    </row>
    <row r="32" spans="1:8" ht="18.95" customHeight="1">
      <c r="A32" s="401"/>
      <c r="B32" s="402"/>
      <c r="C32" s="402"/>
      <c r="D32" s="402"/>
      <c r="E32" s="402"/>
      <c r="F32" s="403"/>
    </row>
    <row r="33" spans="1:6" ht="18.95" customHeight="1">
      <c r="A33" s="401"/>
      <c r="B33" s="402"/>
      <c r="C33" s="402"/>
      <c r="D33" s="402"/>
      <c r="E33" s="402"/>
      <c r="F33" s="403"/>
    </row>
    <row r="34" spans="1:6" ht="18.95" customHeight="1">
      <c r="A34" s="401"/>
      <c r="B34" s="402"/>
      <c r="C34" s="402"/>
      <c r="D34" s="402"/>
      <c r="E34" s="402"/>
      <c r="F34" s="403"/>
    </row>
    <row r="35" spans="1:6" ht="18.95" customHeight="1">
      <c r="A35" s="401"/>
      <c r="B35" s="402"/>
      <c r="C35" s="402"/>
      <c r="D35" s="402"/>
      <c r="E35" s="402"/>
      <c r="F35" s="403"/>
    </row>
    <row r="36" spans="1:6" ht="18.95" customHeight="1">
      <c r="A36" s="401"/>
      <c r="B36" s="402"/>
      <c r="C36" s="402"/>
      <c r="D36" s="402"/>
      <c r="E36" s="402"/>
      <c r="F36" s="403"/>
    </row>
    <row r="37" spans="1:6" ht="18.95" customHeight="1">
      <c r="A37" s="401"/>
      <c r="B37" s="402"/>
      <c r="C37" s="402"/>
      <c r="D37" s="402"/>
      <c r="E37" s="402"/>
      <c r="F37" s="403"/>
    </row>
    <row r="38" spans="1:6" ht="18.95" customHeight="1">
      <c r="A38" s="401"/>
      <c r="B38" s="402"/>
      <c r="C38" s="402"/>
      <c r="D38" s="402"/>
      <c r="E38" s="402"/>
      <c r="F38" s="403"/>
    </row>
    <row r="39" spans="1:6" ht="18.95" customHeight="1">
      <c r="A39" s="410" t="s">
        <v>414</v>
      </c>
      <c r="B39" s="411" t="s">
        <v>369</v>
      </c>
      <c r="C39" s="532" t="str">
        <f>'Performance Data Sheet'!C10</f>
        <v>2257472.1</v>
      </c>
      <c r="D39" s="402"/>
      <c r="E39" s="407" t="s">
        <v>415</v>
      </c>
      <c r="F39" s="412" t="str">
        <f>F10</f>
        <v>1T2M30U</v>
      </c>
    </row>
    <row r="40" spans="1:6" ht="18.95" customHeight="1">
      <c r="A40" s="401"/>
      <c r="B40" s="411"/>
      <c r="C40" s="411"/>
      <c r="D40" s="402"/>
      <c r="E40" s="402"/>
      <c r="F40" s="403"/>
    </row>
    <row r="41" spans="1:6" ht="18.95" customHeight="1">
      <c r="A41" s="401"/>
      <c r="B41" s="411"/>
      <c r="C41" s="411"/>
      <c r="D41" s="402"/>
      <c r="E41" s="402"/>
      <c r="F41" s="403"/>
    </row>
    <row r="42" spans="1:6" ht="18.95" customHeight="1">
      <c r="A42" s="401"/>
      <c r="B42" s="402"/>
      <c r="C42" s="402"/>
      <c r="D42" s="402"/>
      <c r="E42" s="402"/>
      <c r="F42" s="403"/>
    </row>
    <row r="43" spans="1:6" ht="18.95" customHeight="1">
      <c r="A43" s="413"/>
      <c r="B43" s="411"/>
      <c r="C43" s="414" t="s">
        <v>416</v>
      </c>
      <c r="D43" s="415" t="str">
        <f>'Performance Data Sheet'!K42</f>
        <v>JERRY R</v>
      </c>
      <c r="E43" s="414" t="s">
        <v>417</v>
      </c>
      <c r="F43" s="41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7" t="s">
        <v>420</v>
      </c>
      <c r="B53" s="427" t="s">
        <v>142</v>
      </c>
      <c r="C53" s="427" t="s">
        <v>120</v>
      </c>
      <c r="D53" s="427" t="s">
        <v>135</v>
      </c>
      <c r="E53" s="427" t="s">
        <v>5</v>
      </c>
      <c r="F53" s="428" t="s">
        <v>588</v>
      </c>
    </row>
    <row r="54" spans="1:6" ht="15" customHeight="1">
      <c r="A54" s="429">
        <v>0</v>
      </c>
      <c r="B54" s="430"/>
      <c r="C54" s="431"/>
      <c r="D54" s="431">
        <v>81.4267977205443</v>
      </c>
      <c r="E54" s="431">
        <v>100</v>
      </c>
      <c r="F54" s="432">
        <v>2</v>
      </c>
    </row>
    <row r="55" spans="1:6" ht="15" customHeight="1">
      <c r="A55" s="433">
        <v>25</v>
      </c>
      <c r="B55" s="434">
        <v>91.374359130859375</v>
      </c>
      <c r="C55" s="435">
        <v>63.851985931396484</v>
      </c>
      <c r="D55" s="435">
        <v>119.72622811583915</v>
      </c>
      <c r="E55" s="435">
        <v>83.550864564635035</v>
      </c>
      <c r="F55" s="436">
        <v>7.6445329923448408</v>
      </c>
    </row>
    <row r="56" spans="1:6" ht="15" customHeight="1">
      <c r="A56" s="433">
        <v>50</v>
      </c>
      <c r="B56" s="434">
        <v>94.243209838867188</v>
      </c>
      <c r="C56" s="435">
        <v>81.494247436523438</v>
      </c>
      <c r="D56" s="435">
        <v>181.90349826772604</v>
      </c>
      <c r="E56" s="435">
        <v>64.740837451919134</v>
      </c>
      <c r="F56" s="436">
        <v>14.823654417380611</v>
      </c>
    </row>
    <row r="57" spans="1:6">
      <c r="A57" s="433">
        <v>75</v>
      </c>
      <c r="B57" s="434">
        <v>94.9595947265625</v>
      </c>
      <c r="C57" s="435">
        <v>86.709793090820313</v>
      </c>
      <c r="D57" s="435">
        <v>254.50850133673555</v>
      </c>
      <c r="E57" s="435">
        <v>45.409295337457266</v>
      </c>
      <c r="F57" s="436">
        <v>22.06773092960486</v>
      </c>
    </row>
    <row r="58" spans="1:6">
      <c r="A58" s="433">
        <v>100</v>
      </c>
      <c r="B58" s="434">
        <v>95.097885131835938</v>
      </c>
      <c r="C58" s="435">
        <v>88.349349975585938</v>
      </c>
      <c r="D58" s="435">
        <v>332.56289948650414</v>
      </c>
      <c r="E58" s="435">
        <v>25.400539576022751</v>
      </c>
      <c r="F58" s="436">
        <v>29.380854942338736</v>
      </c>
    </row>
    <row r="59" spans="1:6" ht="13.5" thickBot="1">
      <c r="A59" s="437">
        <v>125</v>
      </c>
      <c r="B59" s="438">
        <v>94.997360229492188</v>
      </c>
      <c r="C59" s="439">
        <v>88.551177978515625</v>
      </c>
      <c r="D59" s="439">
        <v>415.19503793669077</v>
      </c>
      <c r="E59" s="439">
        <v>5.4099067344405505</v>
      </c>
      <c r="F59" s="440">
        <v>36.764932459993545</v>
      </c>
    </row>
    <row r="60" spans="1:6">
      <c r="A60" s="423"/>
      <c r="B60" s="424"/>
      <c r="C60" s="424"/>
    </row>
    <row r="61" spans="1:6">
      <c r="A61" s="423"/>
      <c r="B61" s="424"/>
      <c r="C61" s="424"/>
    </row>
    <row r="62" spans="1:6">
      <c r="A62" s="423"/>
      <c r="B62" s="424"/>
      <c r="C62" s="424"/>
    </row>
    <row r="63" spans="1:6">
      <c r="A63" s="423"/>
      <c r="B63" s="424"/>
      <c r="C63" s="424"/>
    </row>
    <row r="64" spans="1:6">
      <c r="A64" s="423"/>
      <c r="B64" s="424"/>
      <c r="C64" s="424"/>
    </row>
    <row r="65" spans="1:3">
      <c r="A65" s="423"/>
      <c r="B65" s="424"/>
      <c r="C65" s="424"/>
    </row>
    <row r="66" spans="1:3">
      <c r="A66" s="423"/>
      <c r="B66" s="424"/>
      <c r="C66" s="424"/>
    </row>
    <row r="67" spans="1:3">
      <c r="A67" s="425"/>
      <c r="B67" s="424"/>
      <c r="C67" s="424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 4000V</vt:lpstr>
      <vt:lpstr>Performance 2300V</vt:lpstr>
      <vt:lpstr>'Data Sheet'!Print_Area</vt:lpstr>
      <vt:lpstr>DesignSheet!Print_Area</vt:lpstr>
      <vt:lpstr>LoginSheet!Print_Area</vt:lpstr>
      <vt:lpstr>'Performance 2300V'!Print_Area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2026-08-03T20:58:42Z</dcterms:modified>
</cp:coreProperties>
</file>