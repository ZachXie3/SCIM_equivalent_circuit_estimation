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N:\DESPRO\BASE MV DESIGNS\New 5010_5810 TEFC\MVDIE\"/>
    </mc:Choice>
  </mc:AlternateContent>
  <xr:revisionPtr revIDLastSave="0" documentId="13_ncr:1_{D77F8DC2-FEE9-4057-B418-65ED3811136A}" xr6:coauthVersionLast="47" xr6:coauthVersionMax="47" xr10:uidLastSave="{00000000-0000-0000-0000-000000000000}"/>
  <bookViews>
    <workbookView xWindow="-24120" yWindow="1905" windowWidth="24240" windowHeight="13020" tabRatio="768" activeTab="1" xr2:uid="{00000000-000D-0000-FFFF-FFFF00000000}"/>
  </bookViews>
  <sheets>
    <sheet name="DesignSheet" sheetId="2" r:id="rId1"/>
    <sheet name="Data Sheet" sheetId="3" r:id="rId2"/>
    <sheet name="LoginSheet" sheetId="4" r:id="rId3"/>
    <sheet name="Performance Data Sheet" sheetId="10" r:id="rId4"/>
    <sheet name="STCurve" sheetId="5" r:id="rId5"/>
    <sheet name="Thermdam" sheetId="8" r:id="rId6"/>
    <sheet name="Performance 4000V" sheetId="9" r:id="rId7"/>
    <sheet name="Performance 2300V" sheetId="11" r:id="rId8"/>
    <sheet name="StallTime" sheetId="7" r:id="rId9"/>
  </sheets>
  <definedNames>
    <definedName name="_Regression_Int" localSheetId="3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'Performance 2300V'!$A$1:$F$43</definedName>
    <definedName name="_xlnm.Print_Area" localSheetId="6">'Performance 4000V'!$A$1:$F$43</definedName>
    <definedName name="_xlnm.Print_Area" localSheetId="3">'Performance Data Sheet'!$A$1:$M$44</definedName>
    <definedName name="_xlnm.Print_Area" localSheetId="8">StallTime!$A$1:$G$40</definedName>
    <definedName name="_xlnm.Print_Area" localSheetId="4">STCurve!$A$1:$F$43</definedName>
    <definedName name="_xlnm.Print_Area" localSheetId="5">Thermdam!$A$1:$F$43</definedName>
    <definedName name="Print_Area_MI">'Performance Data Sheet'!$A$10:$N$42</definedName>
    <definedName name="Z_852987ED_B4F5_11D1_ABEC_0000832EB49E_.wvu.PrintArea" localSheetId="7" hidden="1">'Performance 2300V'!$A$1:$F$43</definedName>
    <definedName name="Z_852987ED_B4F5_11D1_ABEC_0000832EB49E_.wvu.PrintArea" localSheetId="6" hidden="1">'Performance 4000V'!$A$1:$F$43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1" l="1"/>
  <c r="F39" i="11"/>
  <c r="C39" i="11"/>
  <c r="C12" i="11"/>
  <c r="F9" i="11"/>
  <c r="F7" i="11"/>
  <c r="D7" i="11"/>
  <c r="B7" i="11"/>
  <c r="F6" i="11"/>
  <c r="B6" i="11"/>
  <c r="F9" i="8"/>
  <c r="F7" i="8"/>
  <c r="D7" i="8"/>
  <c r="B7" i="8"/>
  <c r="F6" i="8"/>
  <c r="B6" i="8"/>
  <c r="F9" i="9"/>
  <c r="F7" i="9"/>
  <c r="B7" i="9"/>
  <c r="B6" i="9"/>
  <c r="D43" i="9"/>
  <c r="F39" i="9"/>
  <c r="C39" i="9"/>
  <c r="D43" i="8"/>
  <c r="F39" i="8"/>
  <c r="C39" i="8"/>
  <c r="F39" i="5"/>
  <c r="D43" i="5"/>
  <c r="C39" i="5"/>
  <c r="C12" i="5"/>
  <c r="F6" i="5"/>
  <c r="D7" i="5"/>
  <c r="F9" i="5"/>
  <c r="F7" i="5"/>
  <c r="B7" i="5"/>
  <c r="B6" i="5"/>
  <c r="C76" i="8"/>
  <c r="C77" i="8" s="1"/>
  <c r="C78" i="8" s="1"/>
  <c r="B76" i="8"/>
  <c r="C75" i="8"/>
  <c r="C74" i="8"/>
  <c r="B74" i="8"/>
  <c r="E68" i="8"/>
  <c r="D66" i="8"/>
  <c r="F50" i="8"/>
  <c r="P31" i="2"/>
  <c r="P32" i="2"/>
  <c r="P33" i="2"/>
  <c r="P34" i="2"/>
  <c r="P30" i="2"/>
  <c r="M52" i="2"/>
  <c r="L41" i="2"/>
  <c r="L40" i="2"/>
  <c r="M39" i="2"/>
  <c r="N39" i="2" s="1"/>
  <c r="L39" i="2"/>
  <c r="M38" i="2"/>
  <c r="N38" i="2" s="1"/>
  <c r="L38" i="2"/>
  <c r="M33" i="2"/>
  <c r="M32" i="2"/>
  <c r="M31" i="2"/>
  <c r="M30" i="2"/>
  <c r="M29" i="2"/>
  <c r="M50" i="2"/>
  <c r="M49" i="2"/>
  <c r="M48" i="2"/>
  <c r="M53" i="2" s="1"/>
  <c r="M46" i="2"/>
  <c r="M47" i="2"/>
  <c r="C70" i="8" l="1"/>
  <c r="B70" i="8"/>
  <c r="C69" i="8"/>
  <c r="B69" i="8"/>
  <c r="B75" i="8" s="1"/>
  <c r="N41" i="2"/>
  <c r="N40" i="2"/>
  <c r="C71" i="8" l="1"/>
  <c r="B71" i="8"/>
  <c r="A72" i="8"/>
  <c r="A73" i="8" l="1"/>
  <c r="B73" i="8" s="1"/>
  <c r="B7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<sst xmlns="http://schemas.openxmlformats.org/spreadsheetml/2006/main" count="976" uniqueCount="718">
  <si>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</si>
  <si>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</si>
  <si>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</si>
  <si>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</si>
  <si>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</si>
  <si>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</si>
  <si>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</si>
  <si>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</si>
  <si>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</si>
  <si>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</si>
  <si>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</si>
  <si>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</si>
  <si>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</si>
  <si>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</si>
  <si>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</si>
  <si>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</si>
  <si>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</si>
  <si>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</si>
  <si>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</si>
  <si>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</si>
  <si>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</si>
  <si>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</si>
  <si>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</si>
  <si>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</si>
  <si>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</si>
  <si>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</si>
  <si>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</si>
  <si>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</si>
  <si>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</si>
  <si>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</si>
  <si>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</si>
  <si>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</si>
  <si>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</si>
  <si>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</si>
  <si>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</si>
  <si>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</si>
  <si>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</si>
  <si>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</si>
  <si>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</si>
  <si>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</si>
  <si>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</si>
  <si>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</si>
  <si>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</si>
  <si>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</si>
  <si>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</si>
  <si>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</si>
  <si>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</si>
  <si>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</si>
  <si>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</si>
  <si>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</si>
  <si>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</si>
  <si>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</si>
  <si>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</si>
  <si>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</si>
  <si>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</si>
  <si>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</si>
  <si>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</si>
  <si>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</si>
  <si>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</si>
  <si>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</si>
  <si>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</si>
  <si>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</si>
  <si>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</si>
  <si>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</si>
  <si>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</si>
  <si>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</si>
  <si>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</si>
  <si>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</si>
  <si>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</si>
  <si>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</si>
  <si>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</si>
  <si>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</si>
  <si>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</si>
  <si>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</si>
  <si>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</si>
  <si>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</si>
  <si>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</si>
  <si>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</si>
  <si>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</si>
  <si>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</si>
  <si>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</si>
  <si>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</si>
  <si>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</si>
  <si>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</si>
  <si>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</si>
  <si>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</si>
  <si>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</si>
  <si>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</si>
  <si>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</si>
  <si>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</si>
  <si>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</si>
  <si>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</si>
  <si>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</si>
  <si>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</si>
  <si>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</si>
  <si>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</si>
  <si>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</si>
  <si>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</si>
  <si>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</si>
  <si>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</si>
  <si>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</si>
  <si>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</si>
  <si>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</si>
  <si>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</si>
  <si>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</si>
  <si>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</si>
  <si>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</si>
  <si>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</si>
  <si>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</si>
  <si>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</si>
  <si>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</si>
  <si>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</si>
  <si>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</si>
  <si>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</si>
  <si>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</si>
  <si>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</si>
  <si>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</si>
  <si>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</si>
  <si>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</si>
  <si>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</si>
  <si>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</si>
  <si>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</si>
  <si>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</si>
  <si>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</si>
  <si>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</si>
  <si>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</si>
  <si>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</si>
  <si>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</si>
  <si>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</si>
  <si>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</si>
  <si>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</si>
  <si>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</si>
  <si>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</si>
  <si>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</si>
  <si>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</si>
  <si>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</si>
  <si>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</si>
  <si>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</si>
  <si>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</si>
  <si>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</si>
  <si>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</si>
  <si>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</si>
  <si>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</si>
  <si>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</si>
  <si>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</si>
  <si>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</si>
  <si>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</si>
  <si>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</si>
  <si>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</si>
  <si>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</si>
  <si>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</si>
  <si>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</si>
  <si>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</si>
  <si>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</si>
  <si>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</si>
  <si>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</si>
  <si>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</si>
  <si>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</si>
  <si>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</si>
  <si>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</si>
  <si>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</si>
  <si>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</si>
  <si>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</si>
  <si>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</si>
  <si>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</si>
  <si>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</si>
  <si>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</si>
  <si>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</si>
  <si>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</si>
  <si>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</si>
  <si>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</si>
  <si>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</si>
  <si>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</si>
  <si>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</si>
  <si>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</si>
  <si>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</si>
  <si>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</si>
  <si>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</si>
  <si>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</si>
  <si>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</si>
  <si>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</si>
  <si>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</si>
  <si>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</si>
  <si>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</si>
  <si>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</si>
  <si>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</si>
  <si>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</si>
  <si>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</si>
  <si>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</si>
  <si>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</si>
  <si>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</si>
  <si>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</si>
  <si>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</si>
  <si>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</si>
  <si>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DCKW</t>
  </si>
  <si>
    <t>Open</t>
  </si>
  <si>
    <t>Dbl - Closed</t>
  </si>
  <si>
    <t>14.00 - 14.00</t>
  </si>
  <si>
    <t>1.20 - 2.40</t>
  </si>
  <si>
    <t>Normal</t>
  </si>
  <si>
    <t>9 x 8</t>
  </si>
  <si>
    <t>8 x 8</t>
  </si>
  <si>
    <t>1 ~ 14</t>
  </si>
  <si>
    <t>(.081"x.182")x1</t>
  </si>
  <si>
    <t>(.081"x.204")x1</t>
  </si>
  <si>
    <t>Wye</t>
  </si>
  <si>
    <t>(105°C)</t>
  </si>
  <si>
    <t>CU</t>
  </si>
  <si>
    <t>AL</t>
  </si>
  <si>
    <t>ERD1: 246.2</t>
  </si>
  <si>
    <t>ERD2: 332.2</t>
  </si>
  <si>
    <t>LB:  -</t>
  </si>
  <si>
    <t>LER:  -</t>
  </si>
  <si>
    <t>UB: 417.4</t>
  </si>
  <si>
    <t>UER: 2800.0</t>
  </si>
  <si>
    <t>ERT: 70.0</t>
  </si>
  <si>
    <t>(Coeff.: 0.0702)</t>
  </si>
  <si>
    <t>Skew R.: 0.00</t>
  </si>
  <si>
    <t>N:\DESPRO\RAT FILES\1T2800K_REV2.rat</t>
  </si>
  <si>
    <t>2-2-2-0-1-2</t>
  </si>
  <si>
    <t>B.L.-1  P.F.-1</t>
  </si>
  <si>
    <t>9249.9 / 9778.1</t>
  </si>
  <si>
    <t>6640.3 / 7821.4</t>
  </si>
  <si>
    <t>11067.2 / 8766.7</t>
  </si>
  <si>
    <t>3000.0 / 3271.9</t>
  </si>
  <si>
    <t>7670.2 / 5074.6</t>
  </si>
  <si>
    <t>1633.4 / 1080.7</t>
  </si>
  <si>
    <t>6036.8 / 3993.9</t>
  </si>
  <si>
    <t>1.50 / 0.99</t>
  </si>
  <si>
    <t>66 / 63</t>
  </si>
  <si>
    <t>Temp. Rise @ 100%:</t>
  </si>
  <si>
    <t>Stray Loss</t>
  </si>
  <si>
    <t>0.925 / 0.905</t>
  </si>
  <si>
    <t>0.953 / 0.933</t>
  </si>
  <si>
    <t>0.959 / 0.939</t>
  </si>
  <si>
    <t>0.958 / 0.938</t>
  </si>
  <si>
    <t>0.956 / 0.936</t>
  </si>
  <si>
    <t>0.661 / 0.640</t>
  </si>
  <si>
    <t>0.838 / 0.812</t>
  </si>
  <si>
    <t>0.888 / 0.861</t>
  </si>
  <si>
    <t>0.904 / 0.876</t>
  </si>
  <si>
    <t>0.906 / 0.878</t>
  </si>
  <si>
    <t>35.24 / 37.15</t>
  </si>
  <si>
    <t>53.96 / 56.88</t>
  </si>
  <si>
    <t>75.86 / 79.97</t>
  </si>
  <si>
    <t>99.40 / 104.78</t>
  </si>
  <si>
    <t>124.38 / 131.11</t>
  </si>
  <si>
    <t>5.08 / 5.36</t>
  </si>
  <si>
    <t>UB: 3.82 / 4.02</t>
  </si>
  <si>
    <t>UER: 3.08 / 3.25</t>
  </si>
  <si>
    <t>3590.6 / 3583.5</t>
  </si>
  <si>
    <t>3581.4 / 3574.3</t>
  </si>
  <si>
    <t>3571.9 / 3564.8</t>
  </si>
  <si>
    <t>3562.0 / 3554.9</t>
  </si>
  <si>
    <t>3552.2 / 3545.1</t>
  </si>
  <si>
    <t>0.0026 / 0.0046</t>
  </si>
  <si>
    <t>0.0052 / 0.0072</t>
  </si>
  <si>
    <t>0.0078 / 0.0098</t>
  </si>
  <si>
    <t>0.0106 / 0.0125</t>
  </si>
  <si>
    <t>0.0133 / 0.0152</t>
  </si>
  <si>
    <t>23.786 / 21.077</t>
  </si>
  <si>
    <t>1.106 / 0.980</t>
  </si>
  <si>
    <t>23.81 / 21.10</t>
  </si>
  <si>
    <t>541.3 / 537.3</t>
  </si>
  <si>
    <t>544.6 / 540.5</t>
  </si>
  <si>
    <t>198.5 / 172.0</t>
  </si>
  <si>
    <t>121.6 / 105.4</t>
  </si>
  <si>
    <t>231.5 / 228.3</t>
  </si>
  <si>
    <t>Correlated to: 1T2800K_REV2.DAT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</si>
  <si>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</si>
  <si>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</si>
  <si>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</si>
  <si>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</si>
  <si>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</si>
  <si>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</si>
  <si>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</si>
  <si>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</si>
  <si>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</si>
  <si>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</si>
  <si>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</si>
  <si>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</si>
  <si>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</si>
  <si>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</si>
  <si>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</si>
  <si>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</si>
  <si>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</si>
  <si>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</si>
  <si>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</si>
  <si>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</si>
  <si>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</si>
  <si>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</si>
  <si>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</si>
  <si>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</si>
  <si>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</si>
  <si>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</si>
  <si>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</si>
  <si>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</si>
  <si>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</si>
  <si>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</si>
  <si>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</si>
  <si>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</si>
  <si>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</si>
  <si>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</si>
  <si>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</si>
  <si>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</si>
  <si>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</si>
  <si>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</si>
  <si>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</si>
  <si>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</si>
  <si>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</si>
  <si>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</si>
  <si>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</si>
  <si>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</si>
  <si>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</si>
  <si>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</si>
  <si>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</si>
  <si>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</si>
  <si>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</si>
  <si>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</si>
  <si>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</si>
  <si>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</si>
  <si>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</si>
  <si>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</si>
  <si>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</si>
  <si>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</si>
  <si>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</si>
  <si>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</si>
  <si>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</si>
  <si>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</si>
  <si>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</si>
  <si>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</si>
  <si>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</si>
  <si>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</si>
  <si>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</si>
  <si>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</si>
  <si>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</si>
  <si>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</si>
  <si>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</si>
  <si>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</si>
  <si>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</si>
  <si>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</si>
  <si>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</si>
  <si>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</si>
  <si>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</si>
  <si>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</si>
  <si>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</si>
  <si>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</si>
  <si>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</si>
  <si>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</si>
  <si>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</si>
  <si>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</si>
  <si>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</si>
  <si>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Jerry R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</si>
  <si>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</si>
  <si>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</si>
  <si>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</si>
  <si>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</si>
  <si>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</si>
  <si>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</si>
  <si>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</si>
  <si>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</si>
  <si>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</si>
  <si>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</si>
  <si>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</si>
  <si>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</si>
  <si>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</si>
  <si>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</si>
  <si>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</si>
  <si>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</si>
  <si>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</si>
  <si>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</si>
  <si>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</si>
  <si>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</si>
  <si>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</si>
  <si>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</si>
  <si>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</si>
  <si>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</si>
  <si>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</si>
  <si>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</si>
  <si>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</si>
  <si>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</si>
  <si>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1T2800K_REV2</t>
  </si>
  <si>
    <t>Type: TIKK - Form: DCKW - 2 Pole - 800 HP - 2300 / 4000 V - 60 Hz - 5012 - Class F</t>
  </si>
  <si>
    <t>18 x 2</t>
  </si>
  <si>
    <t>1D / 1Y</t>
  </si>
  <si>
    <t xml:space="preserve"> - </t>
  </si>
  <si>
    <t>182 / 105</t>
  </si>
  <si>
    <t>36 / 21</t>
  </si>
  <si>
    <t>930/ 537</t>
  </si>
  <si>
    <t>66 / 87</t>
  </si>
  <si>
    <t>536 / 2741</t>
  </si>
  <si>
    <t>402 / 325</t>
  </si>
  <si>
    <t>LINK: 1T2800K_REV2.RAT &amp; DAT</t>
  </si>
  <si>
    <t>THEN RUN 1T2800K_REV3.RAT</t>
  </si>
  <si>
    <t>A. Gracia</t>
  </si>
  <si>
    <t>Revision 1: Complete  design changed.</t>
  </si>
  <si>
    <t>A. Gracia   06/25/04</t>
  </si>
  <si>
    <t>REV3. CHANGE WIRE SIZE FORM 0.091"x.204</t>
  </si>
  <si>
    <t>JROD 11/06/2023</t>
  </si>
  <si>
    <t>8003WTAK11F-A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</si>
  <si>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</si>
  <si>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</si>
  <si>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</si>
  <si>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</si>
  <si>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</si>
  <si>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</si>
  <si>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</si>
  <si>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</si>
  <si>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</si>
  <si>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</si>
  <si>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</si>
  <si>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</si>
  <si>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</si>
  <si>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</si>
  <si>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</si>
  <si>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</si>
  <si>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</si>
  <si>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</si>
  <si>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</si>
  <si>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</si>
  <si>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</si>
  <si>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</si>
  <si>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</si>
  <si>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</si>
  <si>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</si>
  <si>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</si>
  <si>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</si>
  <si>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</si>
  <si>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</si>
  <si>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</si>
  <si>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114.9 lb-ft²</t>
  </si>
  <si>
    <t>537 A</t>
  </si>
  <si>
    <t>1T2800K_REV3</t>
  </si>
  <si>
    <t>Load</t>
  </si>
  <si>
    <t>Fan / Pump</t>
  </si>
  <si>
    <t>Acceleration Data (FV V)</t>
  </si>
  <si>
    <t>163.2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</si>
  <si>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</si>
  <si>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</si>
  <si>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</si>
  <si>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</si>
  <si>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</si>
  <si>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</si>
  <si>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</si>
  <si>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</si>
  <si>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</si>
  <si>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</si>
  <si>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</si>
  <si>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</si>
  <si>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</si>
  <si>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</si>
  <si>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</si>
  <si>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</si>
  <si>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</si>
  <si>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</si>
  <si>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</si>
  <si>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</si>
  <si>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</si>
  <si>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</si>
  <si>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</si>
  <si>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</si>
  <si>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</si>
  <si>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</si>
  <si>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</si>
  <si>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</si>
  <si>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</si>
  <si>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</si>
  <si>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</si>
  <si>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</si>
  <si>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</si>
  <si>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</si>
  <si>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</si>
  <si>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</si>
  <si>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</si>
  <si>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</si>
  <si>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</si>
  <si>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- 800.0 HP - 3600 RPM - 4000 V - 60 Hz</t>
  </si>
  <si>
    <t>0~360</t>
  </si>
  <si>
    <t>360~720</t>
  </si>
  <si>
    <t>720~1080</t>
  </si>
  <si>
    <t>1080~1440</t>
  </si>
  <si>
    <t>1440~1800</t>
  </si>
  <si>
    <t>1800~2160</t>
  </si>
  <si>
    <t>2160~2530</t>
  </si>
  <si>
    <t>2530~2901</t>
  </si>
  <si>
    <t>2901~3086</t>
  </si>
  <si>
    <t>3086~3271</t>
  </si>
  <si>
    <t>3271~3456</t>
  </si>
  <si>
    <t>3456~3562</t>
  </si>
  <si>
    <t/>
  </si>
  <si>
    <t>98.2</t>
  </si>
  <si>
    <t>87.2</t>
  </si>
  <si>
    <t>80.5</t>
  </si>
  <si>
    <t>76.6</t>
  </si>
  <si>
    <t>74.5</t>
  </si>
  <si>
    <t>73.7</t>
  </si>
  <si>
    <t>76.9</t>
  </si>
  <si>
    <t>89.6</t>
  </si>
  <si>
    <t>112.2</t>
  </si>
  <si>
    <t>150.1</t>
  </si>
  <si>
    <t>199.8</t>
  </si>
  <si>
    <t>162.5</t>
  </si>
  <si>
    <t>22.5</t>
  </si>
  <si>
    <t>11.5</t>
  </si>
  <si>
    <t>7.0</t>
  </si>
  <si>
    <t>11.0</t>
  </si>
  <si>
    <t>18.0</t>
  </si>
  <si>
    <t>27.7</t>
  </si>
  <si>
    <t>42.4</t>
  </si>
  <si>
    <t>57.1</t>
  </si>
  <si>
    <t>69.5</t>
  </si>
  <si>
    <t>83.0</t>
  </si>
  <si>
    <t>94.1</t>
  </si>
  <si>
    <t>0.625</t>
  </si>
  <si>
    <t>535.1</t>
  </si>
  <si>
    <t>531.0</t>
  </si>
  <si>
    <t>526.5</t>
  </si>
  <si>
    <t>521.6</t>
  </si>
  <si>
    <t>515.9</t>
  </si>
  <si>
    <t>509.2</t>
  </si>
  <si>
    <t>500.5</t>
  </si>
  <si>
    <t>485.8</t>
  </si>
  <si>
    <t>466.2</t>
  </si>
  <si>
    <t>434.5</t>
  </si>
  <si>
    <t>355.7</t>
  </si>
  <si>
    <t>188.9</t>
  </si>
  <si>
    <t>47.0</t>
  </si>
  <si>
    <t>5.9°C / s</t>
  </si>
  <si>
    <t>28.9°C / s</t>
  </si>
  <si>
    <t>14.6°C / s</t>
  </si>
  <si>
    <t>312.6 kW</t>
  </si>
  <si>
    <t>443.7 kW</t>
  </si>
  <si>
    <t>182.9 kW</t>
  </si>
  <si>
    <t>27.0 s</t>
  </si>
  <si>
    <t>9.0 s</t>
  </si>
  <si>
    <t>12.3 s</t>
  </si>
  <si>
    <t>66°C    +</t>
  </si>
  <si>
    <t>88°C    +</t>
  </si>
  <si>
    <t>94°C    +</t>
  </si>
  <si>
    <t>172°C   +</t>
  </si>
  <si>
    <t>92°C   +</t>
  </si>
  <si>
    <t>15.9 s</t>
  </si>
  <si>
    <t>6.0 s</t>
  </si>
  <si>
    <t>6.3 s</t>
  </si>
  <si>
    <t>9.3 s</t>
  </si>
  <si>
    <t>4.8 s</t>
  </si>
  <si>
    <t>31.5 kg.m²</t>
  </si>
  <si>
    <t>4.6 (s)</t>
  </si>
  <si>
    <t>Load Type: Fan / Pump - 186.7 lb-ft²</t>
  </si>
  <si>
    <t>0.395</t>
  </si>
  <si>
    <t>0.407</t>
  </si>
  <si>
    <t>0.430</t>
  </si>
  <si>
    <t>0.471</t>
  </si>
  <si>
    <t>0.537</t>
  </si>
  <si>
    <t>0.652</t>
  </si>
  <si>
    <t>0.279</t>
  </si>
  <si>
    <t>0.191</t>
  </si>
  <si>
    <t>0.132</t>
  </si>
  <si>
    <t>0.129</t>
  </si>
  <si>
    <t>106.6</t>
  </si>
  <si>
    <t>105.1</t>
  </si>
  <si>
    <t>106.5</t>
  </si>
  <si>
    <t>110.5</t>
  </si>
  <si>
    <t>118.8</t>
  </si>
  <si>
    <t>132.2</t>
  </si>
  <si>
    <t>149.6</t>
  </si>
  <si>
    <t>149.7</t>
  </si>
  <si>
    <t>59.3</t>
  </si>
  <si>
    <t>37.2</t>
  </si>
  <si>
    <t>21.0</t>
  </si>
  <si>
    <t>1.3</t>
  </si>
  <si>
    <t>292.7</t>
  </si>
  <si>
    <t>229.3</t>
  </si>
  <si>
    <t>190.6</t>
  </si>
  <si>
    <t>165.5</t>
  </si>
  <si>
    <t>150.0</t>
  </si>
  <si>
    <t>139.9</t>
  </si>
  <si>
    <t>126.1</t>
  </si>
  <si>
    <t>106.7</t>
  </si>
  <si>
    <t>73.6</t>
  </si>
  <si>
    <t>28.9</t>
  </si>
  <si>
    <t>7.3</t>
  </si>
  <si>
    <t>1098 kW / s</t>
  </si>
  <si>
    <t>1103 kW / s</t>
  </si>
  <si>
    <t>455 kW / s</t>
  </si>
  <si>
    <t>21°C</t>
  </si>
  <si>
    <t>72°C</t>
  </si>
  <si>
    <t>36°C</t>
  </si>
  <si>
    <t>42°C</t>
  </si>
  <si>
    <t>144°C</t>
  </si>
  <si>
    <t>73°C</t>
  </si>
  <si>
    <t>Acceleration Time:  4.6 s</t>
  </si>
  <si>
    <t>Design Values (For Reference Only)</t>
  </si>
  <si>
    <t>Cold</t>
  </si>
  <si>
    <t>Hot</t>
  </si>
  <si>
    <t>CURRENT (%)</t>
  </si>
  <si>
    <t>Accel. Time</t>
  </si>
  <si>
    <t>Thermal Limit Curve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</si>
  <si>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</si>
  <si>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</si>
  <si>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</si>
  <si>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</si>
  <si>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</si>
  <si>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</si>
  <si>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</si>
  <si>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</si>
  <si>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</si>
  <si>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</si>
  <si>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</si>
  <si>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</si>
  <si>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</si>
  <si>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</si>
  <si>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</si>
  <si>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</si>
  <si>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</si>
  <si>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</si>
  <si>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</si>
  <si>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</si>
  <si>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</si>
  <si>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</si>
  <si>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</si>
  <si>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</si>
  <si>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</si>
  <si>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</si>
  <si>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</si>
  <si>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</si>
  <si>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</si>
  <si>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</si>
  <si>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</si>
  <si>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</si>
  <si>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</si>
  <si>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</si>
  <si>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</si>
  <si>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</si>
  <si>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</si>
  <si>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</si>
  <si>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</si>
  <si>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</si>
  <si>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</si>
  <si>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</si>
  <si>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</si>
  <si>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</si>
  <si>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</si>
  <si>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</si>
  <si>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</si>
  <si>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</si>
  <si>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</si>
  <si>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</si>
  <si>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</si>
  <si>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</si>
  <si>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</si>
  <si>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</si>
  <si>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</si>
  <si>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</si>
  <si>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</si>
  <si>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</si>
  <si>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</si>
  <si>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</si>
  <si>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</si>
  <si>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</si>
  <si>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</si>
  <si>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</si>
  <si>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</si>
  <si>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</si>
  <si>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</si>
  <si>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</si>
  <si>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</si>
  <si>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</si>
  <si>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</si>
  <si>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</si>
  <si>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</si>
  <si>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</si>
  <si>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</si>
  <si>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</si>
  <si>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</si>
  <si>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</si>
  <si>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</si>
  <si>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</si>
  <si>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</si>
  <si>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</si>
  <si>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</si>
  <si>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</si>
  <si>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</si>
  <si>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</si>
  <si>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</si>
  <si>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</si>
  <si>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</si>
  <si>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</si>
  <si>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</si>
  <si>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</si>
  <si>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</si>
  <si>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</si>
  <si>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</si>
  <si>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</si>
  <si>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</si>
  <si>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</si>
  <si>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</si>
  <si>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</si>
  <si>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</si>
  <si>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</si>
  <si>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</si>
  <si>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</si>
  <si>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</si>
  <si>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</si>
  <si>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</si>
  <si>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</si>
  <si>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1182 lb-ft</t>
  </si>
  <si>
    <t>5012USS</t>
  </si>
  <si>
    <t>WP-II</t>
  </si>
  <si>
    <t>1.15</t>
  </si>
  <si>
    <t>182/105</t>
  </si>
  <si>
    <t>930/537</t>
  </si>
  <si>
    <t>105 A</t>
  </si>
  <si>
    <t>2300/4000</t>
  </si>
  <si>
    <t>HEARTLAND MOTORS</t>
  </si>
  <si>
    <t>2374928.5</t>
  </si>
  <si>
    <t>WT-10179885</t>
  </si>
  <si>
    <t>REFERENCE TOP HAT 135-R121-100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</si>
</sst>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  <numFmt numFmtId="173" formatCode="General&quot;°C&quot;"/>
  </numFmts>
  <fonts count="7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172" fontId="64" fillId="0" borderId="0"/>
  </cellStyleXfs>
  <cellXfs count="66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69" xfId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0" fontId="31" fillId="0" borderId="23" xfId="1" applyFont="1" applyBorder="1"/>
    <xf numFmtId="0" fontId="31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0" fillId="0" borderId="127" xfId="2" applyFont="1" applyBorder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7" xfId="2" applyBorder="1"/>
    <xf numFmtId="0" fontId="50" fillId="0" borderId="0" xfId="2" applyFont="1"/>
    <xf numFmtId="0" fontId="50" fillId="0" borderId="127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7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0" fillId="0" borderId="129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2" xfId="2" applyBorder="1" applyAlignment="1">
      <alignment horizontal="left"/>
    </xf>
    <xf numFmtId="49" fontId="1" fillId="0" borderId="4" xfId="2" applyNumberFormat="1" applyBorder="1"/>
    <xf numFmtId="0" fontId="1" fillId="0" borderId="133" xfId="2" applyBorder="1" applyAlignment="1">
      <alignment horizontal="left"/>
    </xf>
    <xf numFmtId="0" fontId="47" fillId="5" borderId="120" xfId="3" applyFont="1" applyFill="1" applyBorder="1" applyAlignment="1">
      <alignment horizontal="center"/>
    </xf>
    <xf numFmtId="14" fontId="19" fillId="5" borderId="124" xfId="3" applyNumberFormat="1" applyFont="1" applyFill="1" applyBorder="1" applyAlignment="1">
      <alignment horizontal="center"/>
    </xf>
    <xf numFmtId="0" fontId="31" fillId="5" borderId="68" xfId="3" applyFont="1" applyFill="1" applyBorder="1" applyAlignment="1">
      <alignment horizontal="left"/>
    </xf>
    <xf numFmtId="0" fontId="31" fillId="5" borderId="74" xfId="3" applyFont="1" applyFill="1" applyBorder="1" applyAlignment="1">
      <alignment horizontal="left"/>
    </xf>
    <xf numFmtId="0" fontId="31" fillId="5" borderId="125" xfId="3" applyFont="1" applyFill="1" applyBorder="1" applyAlignment="1">
      <alignment horizontal="left"/>
    </xf>
    <xf numFmtId="0" fontId="31" fillId="5" borderId="126" xfId="3" applyFont="1" applyFill="1" applyBorder="1" applyAlignment="1">
      <alignment horizontal="left"/>
    </xf>
    <xf numFmtId="167" fontId="2" fillId="0" borderId="0" xfId="0" applyNumberFormat="1" applyFont="1" applyAlignment="1">
      <alignment horizontal="center"/>
    </xf>
    <xf numFmtId="0" fontId="53" fillId="0" borderId="61" xfId="4" applyFont="1" applyBorder="1"/>
    <xf numFmtId="0" fontId="53" fillId="0" borderId="62" xfId="4" applyFont="1" applyBorder="1"/>
    <xf numFmtId="0" fontId="53" fillId="0" borderId="38" xfId="4" applyFont="1" applyBorder="1"/>
    <xf numFmtId="0" fontId="1" fillId="0" borderId="0" xfId="4"/>
    <xf numFmtId="0" fontId="54" fillId="0" borderId="83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108" xfId="4" applyFont="1" applyBorder="1" applyAlignment="1">
      <alignment horizontal="centerContinuous"/>
    </xf>
    <xf numFmtId="0" fontId="55" fillId="0" borderId="83" xfId="4" applyFont="1" applyBorder="1" applyAlignment="1">
      <alignment horizontal="centerContinuous"/>
    </xf>
    <xf numFmtId="0" fontId="53" fillId="0" borderId="83" xfId="4" applyFont="1" applyBorder="1"/>
    <xf numFmtId="0" fontId="53" fillId="0" borderId="0" xfId="4" applyFont="1"/>
    <xf numFmtId="0" fontId="53" fillId="0" borderId="108" xfId="4" applyFont="1" applyBorder="1"/>
    <xf numFmtId="0" fontId="56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6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6" fillId="0" borderId="83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5" xfId="4" applyFont="1" applyBorder="1"/>
    <xf numFmtId="0" fontId="56" fillId="0" borderId="17" xfId="4" applyFont="1" applyBorder="1" applyAlignment="1">
      <alignment horizontal="right"/>
    </xf>
    <xf numFmtId="0" fontId="53" fillId="0" borderId="132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25" fillId="0" borderId="0" xfId="4" applyFont="1"/>
    <xf numFmtId="0" fontId="57" fillId="0" borderId="0" xfId="4" applyFont="1"/>
    <xf numFmtId="0" fontId="58" fillId="0" borderId="26" xfId="4" applyFont="1" applyBorder="1" applyAlignment="1">
      <alignment horizontal="center"/>
    </xf>
    <xf numFmtId="0" fontId="58" fillId="0" borderId="28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58" fillId="0" borderId="1" xfId="4" applyFont="1" applyBorder="1" applyAlignment="1">
      <alignment horizontal="right"/>
    </xf>
    <xf numFmtId="0" fontId="57" fillId="0" borderId="131" xfId="4" applyFont="1" applyBorder="1" applyAlignment="1">
      <alignment horizontal="center"/>
    </xf>
    <xf numFmtId="0" fontId="57" fillId="0" borderId="132" xfId="4" quotePrefix="1" applyFont="1" applyBorder="1" applyAlignment="1">
      <alignment horizontal="center"/>
    </xf>
    <xf numFmtId="0" fontId="57" fillId="0" borderId="132" xfId="4" applyFont="1" applyBorder="1" applyAlignment="1">
      <alignment horizontal="center"/>
    </xf>
    <xf numFmtId="0" fontId="58" fillId="0" borderId="0" xfId="4" applyFont="1" applyAlignment="1">
      <alignment horizontal="right"/>
    </xf>
    <xf numFmtId="0" fontId="57" fillId="0" borderId="62" xfId="4" applyFont="1" applyBorder="1" applyAlignment="1">
      <alignment horizontal="center"/>
    </xf>
    <xf numFmtId="0" fontId="61" fillId="0" borderId="0" xfId="4" applyFont="1"/>
    <xf numFmtId="0" fontId="62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3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5" fillId="0" borderId="6" xfId="5" applyFont="1" applyBorder="1" applyAlignment="1">
      <alignment horizontal="centerContinuous"/>
    </xf>
    <xf numFmtId="172" fontId="65" fillId="0" borderId="7" xfId="5" applyFont="1" applyBorder="1" applyAlignment="1">
      <alignment horizontal="centerContinuous"/>
    </xf>
    <xf numFmtId="172" fontId="66" fillId="0" borderId="12" xfId="5" applyFont="1" applyBorder="1" applyAlignment="1">
      <alignment horizontal="left"/>
    </xf>
    <xf numFmtId="172" fontId="67" fillId="0" borderId="55" xfId="5" applyFont="1" applyBorder="1"/>
    <xf numFmtId="172" fontId="66" fillId="0" borderId="13" xfId="5" applyFont="1" applyBorder="1" applyAlignment="1">
      <alignment horizontal="centerContinuous"/>
    </xf>
    <xf numFmtId="172" fontId="67" fillId="0" borderId="14" xfId="5" applyFont="1" applyBorder="1" applyAlignment="1">
      <alignment horizontal="centerContinuous"/>
    </xf>
    <xf numFmtId="172" fontId="68" fillId="0" borderId="0" xfId="5" applyFont="1"/>
    <xf numFmtId="172" fontId="64" fillId="0" borderId="0" xfId="5"/>
    <xf numFmtId="172" fontId="65" fillId="0" borderId="45" xfId="5" applyFont="1" applyBorder="1" applyAlignment="1">
      <alignment horizontal="centerContinuous"/>
    </xf>
    <xf numFmtId="172" fontId="65" fillId="0" borderId="0" xfId="5" applyFont="1" applyAlignment="1">
      <alignment horizontal="centerContinuous"/>
    </xf>
    <xf numFmtId="172" fontId="66" fillId="0" borderId="109" xfId="5" applyFont="1" applyBorder="1" applyAlignment="1">
      <alignment horizontal="left"/>
    </xf>
    <xf numFmtId="172" fontId="67" fillId="0" borderId="39" xfId="5" applyFont="1" applyBorder="1"/>
    <xf numFmtId="172" fontId="66" fillId="0" borderId="40" xfId="5" applyFont="1" applyBorder="1" applyAlignment="1">
      <alignment horizontal="centerContinuous"/>
    </xf>
    <xf numFmtId="172" fontId="67" fillId="0" borderId="29" xfId="5" applyFont="1" applyBorder="1" applyAlignment="1">
      <alignment horizontal="centerContinuous"/>
    </xf>
    <xf numFmtId="172" fontId="67" fillId="0" borderId="45" xfId="5" applyFont="1" applyBorder="1" applyAlignment="1">
      <alignment horizontal="centerContinuous"/>
    </xf>
    <xf numFmtId="172" fontId="67" fillId="0" borderId="0" xfId="5" applyFont="1" applyAlignment="1">
      <alignment horizontal="centerContinuous"/>
    </xf>
    <xf numFmtId="172" fontId="66" fillId="0" borderId="40" xfId="5" quotePrefix="1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8" fillId="0" borderId="45" xfId="5" applyFont="1" applyBorder="1" applyAlignment="1">
      <alignment horizontal="centerContinuous"/>
    </xf>
    <xf numFmtId="172" fontId="68" fillId="0" borderId="46" xfId="5" applyFont="1" applyBorder="1" applyAlignment="1">
      <alignment horizontal="centerContinuous"/>
    </xf>
    <xf numFmtId="172" fontId="67" fillId="0" borderId="23" xfId="5" applyFont="1" applyBorder="1" applyAlignment="1">
      <alignment horizontal="centerContinuous"/>
    </xf>
    <xf numFmtId="172" fontId="66" fillId="0" borderId="46" xfId="5" applyFont="1" applyBorder="1" applyAlignment="1">
      <alignment horizontal="left"/>
    </xf>
    <xf numFmtId="172" fontId="67" fillId="0" borderId="48" xfId="5" applyFont="1" applyBorder="1"/>
    <xf numFmtId="172" fontId="70" fillId="0" borderId="23" xfId="5" applyFont="1" applyBorder="1" applyAlignment="1">
      <alignment horizontal="centerContinuous"/>
    </xf>
    <xf numFmtId="172" fontId="67" fillId="0" borderId="24" xfId="5" applyFont="1" applyBorder="1" applyAlignment="1">
      <alignment horizontal="centerContinuous"/>
    </xf>
    <xf numFmtId="172" fontId="68" fillId="0" borderId="0" xfId="5" applyFont="1" applyAlignment="1">
      <alignment horizontal="centerContinuous"/>
    </xf>
    <xf numFmtId="172" fontId="66" fillId="0" borderId="0" xfId="5" applyFont="1" applyAlignment="1">
      <alignment horizontal="left"/>
    </xf>
    <xf numFmtId="172" fontId="67" fillId="0" borderId="0" xfId="5" applyFont="1"/>
    <xf numFmtId="172" fontId="66" fillId="0" borderId="0" xfId="5" applyFont="1" applyAlignment="1">
      <alignment horizontal="centerContinuous"/>
    </xf>
    <xf numFmtId="172" fontId="71" fillId="0" borderId="0" xfId="5" applyFont="1"/>
    <xf numFmtId="172" fontId="71" fillId="0" borderId="0" xfId="5" applyFont="1" applyAlignment="1">
      <alignment horizontal="right"/>
    </xf>
    <xf numFmtId="172" fontId="71" fillId="0" borderId="0" xfId="5" applyFont="1" applyAlignment="1" applyProtection="1">
      <alignment horizontal="left"/>
      <protection locked="0"/>
    </xf>
    <xf numFmtId="172" fontId="71" fillId="0" borderId="0" xfId="5" applyFont="1" applyAlignment="1">
      <alignment horizontal="centerContinuous"/>
    </xf>
    <xf numFmtId="172" fontId="71" fillId="0" borderId="0" xfId="5" applyFont="1" applyAlignment="1">
      <alignment horizontal="left"/>
    </xf>
    <xf numFmtId="49" fontId="71" fillId="0" borderId="0" xfId="5" quotePrefix="1" applyNumberFormat="1" applyFont="1" applyAlignment="1" applyProtection="1">
      <alignment horizontal="left"/>
      <protection locked="0"/>
    </xf>
    <xf numFmtId="172" fontId="72" fillId="0" borderId="138" xfId="5" applyFont="1" applyBorder="1" applyAlignment="1">
      <alignment horizontal="centerContinuous"/>
    </xf>
    <xf numFmtId="172" fontId="68" fillId="0" borderId="139" xfId="5" applyFont="1" applyBorder="1" applyAlignment="1">
      <alignment horizontal="centerContinuous"/>
    </xf>
    <xf numFmtId="172" fontId="68" fillId="0" borderId="140" xfId="5" applyFont="1" applyBorder="1" applyAlignment="1">
      <alignment horizontal="centerContinuous"/>
    </xf>
    <xf numFmtId="172" fontId="71" fillId="0" borderId="45" xfId="5" applyFont="1" applyBorder="1"/>
    <xf numFmtId="172" fontId="71" fillId="0" borderId="0" xfId="5" applyFont="1" applyAlignment="1" applyProtection="1">
      <alignment horizontal="center"/>
      <protection locked="0"/>
    </xf>
    <xf numFmtId="172" fontId="71" fillId="0" borderId="21" xfId="5" applyFont="1" applyBorder="1" applyAlignment="1" applyProtection="1">
      <alignment horizontal="center"/>
      <protection locked="0"/>
    </xf>
    <xf numFmtId="172" fontId="71" fillId="0" borderId="0" xfId="5" applyFont="1" applyAlignment="1">
      <alignment horizontal="center"/>
    </xf>
    <xf numFmtId="49" fontId="71" fillId="0" borderId="0" xfId="5" applyNumberFormat="1" applyFont="1" applyAlignment="1">
      <alignment horizontal="center"/>
    </xf>
    <xf numFmtId="173" fontId="71" fillId="0" borderId="0" xfId="5" applyNumberFormat="1" applyFont="1" applyAlignment="1" applyProtection="1">
      <alignment horizontal="center"/>
      <protection locked="0"/>
    </xf>
    <xf numFmtId="172" fontId="71" fillId="0" borderId="0" xfId="5" quotePrefix="1" applyFont="1" applyAlignment="1">
      <alignment horizontal="right"/>
    </xf>
    <xf numFmtId="172" fontId="71" fillId="0" borderId="0" xfId="5" quotePrefix="1" applyFont="1" applyAlignment="1" applyProtection="1">
      <alignment horizontal="center"/>
      <protection locked="0"/>
    </xf>
    <xf numFmtId="172" fontId="71" fillId="0" borderId="21" xfId="5" applyFont="1" applyBorder="1"/>
    <xf numFmtId="172" fontId="71" fillId="0" borderId="46" xfId="5" applyFont="1" applyBorder="1"/>
    <xf numFmtId="172" fontId="71" fillId="0" borderId="23" xfId="5" applyFont="1" applyBorder="1" applyAlignment="1">
      <alignment horizontal="right"/>
    </xf>
    <xf numFmtId="167" fontId="71" fillId="0" borderId="23" xfId="5" quotePrefix="1" applyNumberFormat="1" applyFont="1" applyBorder="1" applyAlignment="1" applyProtection="1">
      <alignment horizontal="center"/>
      <protection locked="0"/>
    </xf>
    <xf numFmtId="172" fontId="71" fillId="0" borderId="23" xfId="5" applyFont="1" applyBorder="1"/>
    <xf numFmtId="167" fontId="71" fillId="0" borderId="23" xfId="5" applyNumberFormat="1" applyFont="1" applyBorder="1"/>
    <xf numFmtId="172" fontId="71" fillId="0" borderId="24" xfId="5" applyFont="1" applyBorder="1"/>
    <xf numFmtId="172" fontId="73" fillId="0" borderId="45" xfId="5" quotePrefix="1" applyFont="1" applyBorder="1" applyAlignment="1">
      <alignment horizontal="left"/>
    </xf>
    <xf numFmtId="172" fontId="67" fillId="0" borderId="0" xfId="5" quotePrefix="1" applyFont="1" applyAlignment="1">
      <alignment horizontal="right"/>
    </xf>
    <xf numFmtId="172" fontId="67" fillId="0" borderId="108" xfId="5" applyFont="1" applyBorder="1"/>
    <xf numFmtId="172" fontId="73" fillId="0" borderId="0" xfId="5" applyFont="1" applyAlignment="1">
      <alignment horizontal="left"/>
    </xf>
    <xf numFmtId="172" fontId="67" fillId="0" borderId="0" xfId="5" applyFont="1" applyAlignment="1">
      <alignment horizontal="right"/>
    </xf>
    <xf numFmtId="172" fontId="67" fillId="0" borderId="108" xfId="5" applyFont="1" applyBorder="1" applyAlignment="1">
      <alignment horizontal="right"/>
    </xf>
    <xf numFmtId="172" fontId="73" fillId="0" borderId="0" xfId="5" quotePrefix="1" applyFont="1" applyAlignment="1">
      <alignment horizontal="left"/>
    </xf>
    <xf numFmtId="172" fontId="67" fillId="0" borderId="21" xfId="5" applyFont="1" applyBorder="1"/>
    <xf numFmtId="172" fontId="64" fillId="0" borderId="45" xfId="5" applyBorder="1"/>
    <xf numFmtId="172" fontId="71" fillId="0" borderId="108" xfId="5" applyFont="1" applyBorder="1" applyAlignment="1" applyProtection="1">
      <alignment horizontal="center"/>
      <protection locked="0"/>
    </xf>
    <xf numFmtId="1" fontId="71" fillId="0" borderId="108" xfId="5" applyNumberFormat="1" applyFont="1" applyBorder="1" applyAlignment="1">
      <alignment horizontal="center"/>
    </xf>
    <xf numFmtId="172" fontId="71" fillId="0" borderId="108" xfId="5" applyFont="1" applyBorder="1"/>
    <xf numFmtId="172" fontId="71" fillId="0" borderId="48" xfId="5" applyFont="1" applyBorder="1"/>
    <xf numFmtId="172" fontId="71" fillId="0" borderId="48" xfId="5" applyFont="1" applyBorder="1" applyAlignment="1">
      <alignment horizontal="left"/>
    </xf>
    <xf numFmtId="172" fontId="72" fillId="0" borderId="141" xfId="5" applyFont="1" applyBorder="1" applyAlignment="1">
      <alignment horizontal="centerContinuous"/>
    </xf>
    <xf numFmtId="172" fontId="68" fillId="0" borderId="142" xfId="5" applyFont="1" applyBorder="1" applyAlignment="1">
      <alignment horizontal="centerContinuous"/>
    </xf>
    <xf numFmtId="172" fontId="64" fillId="0" borderId="143" xfId="5" applyBorder="1"/>
    <xf numFmtId="172" fontId="68" fillId="0" borderId="144" xfId="5" applyFont="1" applyBorder="1" applyAlignment="1">
      <alignment horizontal="centerContinuous"/>
    </xf>
    <xf numFmtId="172" fontId="73" fillId="0" borderId="45" xfId="5" applyFont="1" applyBorder="1" applyAlignment="1">
      <alignment horizontal="left"/>
    </xf>
    <xf numFmtId="172" fontId="64" fillId="0" borderId="108" xfId="5" applyBorder="1"/>
    <xf numFmtId="167" fontId="71" fillId="0" borderId="0" xfId="5" applyNumberFormat="1" applyFont="1" applyAlignment="1" applyProtection="1">
      <alignment horizontal="center"/>
      <protection locked="0"/>
    </xf>
    <xf numFmtId="172" fontId="71" fillId="0" borderId="45" xfId="5" applyFont="1" applyBorder="1" applyAlignment="1">
      <alignment horizontal="left"/>
    </xf>
    <xf numFmtId="172" fontId="64" fillId="0" borderId="48" xfId="5" applyBorder="1"/>
    <xf numFmtId="172" fontId="68" fillId="0" borderId="0" xfId="5" applyFont="1" applyAlignment="1">
      <alignment horizontal="left"/>
    </xf>
    <xf numFmtId="172" fontId="68" fillId="0" borderId="141" xfId="5" applyFont="1" applyBorder="1"/>
    <xf numFmtId="172" fontId="67" fillId="0" borderId="142" xfId="5" applyFont="1" applyBorder="1" applyAlignment="1">
      <alignment horizontal="left"/>
    </xf>
    <xf numFmtId="172" fontId="67" fillId="0" borderId="144" xfId="5" applyFont="1" applyBorder="1" applyAlignment="1">
      <alignment horizontal="left"/>
    </xf>
    <xf numFmtId="172" fontId="71" fillId="0" borderId="45" xfId="5" quotePrefix="1" applyFont="1" applyBorder="1" applyAlignment="1">
      <alignment horizontal="left"/>
    </xf>
    <xf numFmtId="172" fontId="71" fillId="0" borderId="21" xfId="5" applyFont="1" applyBorder="1" applyAlignment="1">
      <alignment horizontal="left"/>
    </xf>
    <xf numFmtId="172" fontId="74" fillId="0" borderId="145" xfId="5" applyFont="1" applyBorder="1"/>
    <xf numFmtId="172" fontId="71" fillId="0" borderId="0" xfId="5" quotePrefix="1" applyFont="1" applyAlignment="1">
      <alignment horizontal="left"/>
    </xf>
    <xf numFmtId="172" fontId="71" fillId="0" borderId="146" xfId="5" quotePrefix="1" applyFont="1" applyBorder="1" applyAlignment="1">
      <alignment horizontal="left"/>
    </xf>
    <xf numFmtId="172" fontId="71" fillId="0" borderId="147" xfId="5" quotePrefix="1" applyFont="1" applyBorder="1" applyAlignment="1">
      <alignment horizontal="left"/>
    </xf>
    <xf numFmtId="172" fontId="71" fillId="0" borderId="46" xfId="5" applyFont="1" applyBorder="1" applyAlignment="1">
      <alignment horizontal="left"/>
    </xf>
    <xf numFmtId="172" fontId="71" fillId="0" borderId="23" xfId="5" applyFont="1" applyBorder="1" applyAlignment="1">
      <alignment horizontal="left"/>
    </xf>
    <xf numFmtId="172" fontId="71" fillId="0" borderId="24" xfId="5" applyFont="1" applyBorder="1" applyAlignment="1">
      <alignment horizontal="left"/>
    </xf>
    <xf numFmtId="172" fontId="67" fillId="0" borderId="0" xfId="5" applyFont="1" applyAlignment="1">
      <alignment horizontal="left"/>
    </xf>
    <xf numFmtId="172" fontId="75" fillId="0" borderId="0" xfId="5" applyFont="1" applyAlignment="1">
      <alignment horizontal="right"/>
    </xf>
    <xf numFmtId="172" fontId="64" fillId="0" borderId="0" xfId="5" applyAlignment="1">
      <alignment horizontal="right"/>
    </xf>
    <xf numFmtId="49" fontId="53" fillId="0" borderId="40" xfId="4" applyNumberFormat="1" applyFont="1" applyBorder="1"/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53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17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172" fontId="76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5" fillId="0" borderId="83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108" xfId="4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60" fillId="0" borderId="108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9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7" fillId="0" borderId="17" xfId="4" applyFont="1" applyBorder="1" applyAlignment="1">
      <alignment horizontal="right"/>
    </xf>
    <xf numFmtId="0" fontId="57" fillId="0" borderId="131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8" fillId="0" borderId="0" xfId="4" applyFont="1" applyAlignment="1">
      <alignment horizontal="right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71.916120995171696</c:v>
                </c:pt>
                <c:pt idx="2">
                  <c:v>225</c:v>
                </c:pt>
                <c:pt idx="3">
                  <c:v>174.64142989658092</c:v>
                </c:pt>
                <c:pt idx="4">
                  <c:v>125.46985458202442</c:v>
                </c:pt>
                <c:pt idx="5">
                  <c:v>98.911928549775894</c:v>
                </c:pt>
                <c:pt idx="6">
                  <c:v>80.327107281965425</c:v>
                </c:pt>
                <c:pt idx="7">
                  <c:v>73.5</c:v>
                </c:pt>
                <c:pt idx="8">
                  <c:v>73.865397106395307</c:v>
                </c:pt>
                <c:pt idx="9">
                  <c:v>75.201260678520285</c:v>
                </c:pt>
                <c:pt idx="10">
                  <c:v>77.970278833446201</c:v>
                </c:pt>
                <c:pt idx="11">
                  <c:v>82.961654272264312</c:v>
                </c:pt>
                <c:pt idx="12">
                  <c:v>91.366667433853252</c:v>
                </c:pt>
                <c:pt idx="13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8F-43E8-AB89-B63AB57A08A7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8F-43E8-AB89-B63AB57A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270368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0.22677947580814362</c:v>
                </c:pt>
                <c:pt idx="1">
                  <c:v>75.481330871582031</c:v>
                </c:pt>
                <c:pt idx="2">
                  <c:v>284.35906982421875</c:v>
                </c:pt>
                <c:pt idx="3">
                  <c:v>393.17889404296875</c:v>
                </c:pt>
                <c:pt idx="4">
                  <c:v>434.3758544921875</c:v>
                </c:pt>
                <c:pt idx="5">
                  <c:v>453.60983276367188</c:v>
                </c:pt>
                <c:pt idx="6">
                  <c:v>471.8004150390625</c:v>
                </c:pt>
                <c:pt idx="7">
                  <c:v>481.47457885742188</c:v>
                </c:pt>
                <c:pt idx="8">
                  <c:v>488.46221923828125</c:v>
                </c:pt>
                <c:pt idx="9">
                  <c:v>494.28448486328125</c:v>
                </c:pt>
                <c:pt idx="10">
                  <c:v>499.22158813476563</c:v>
                </c:pt>
                <c:pt idx="11">
                  <c:v>503.67514038085938</c:v>
                </c:pt>
                <c:pt idx="12">
                  <c:v>507.73077392578125</c:v>
                </c:pt>
                <c:pt idx="13">
                  <c:v>511.42855834960938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8F-43E8-AB89-B63AB57A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50627036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6270368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19552008"/>
          <c:y val="2.85171408788625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71.916120995171696</c:v>
                </c:pt>
                <c:pt idx="2">
                  <c:v>225</c:v>
                </c:pt>
                <c:pt idx="3">
                  <c:v>174.64142989658092</c:v>
                </c:pt>
                <c:pt idx="4">
                  <c:v>125.46985458202442</c:v>
                </c:pt>
                <c:pt idx="5">
                  <c:v>98.911928549775894</c:v>
                </c:pt>
                <c:pt idx="6">
                  <c:v>80.327107281965425</c:v>
                </c:pt>
                <c:pt idx="7">
                  <c:v>73.5</c:v>
                </c:pt>
                <c:pt idx="8">
                  <c:v>73.865397106395307</c:v>
                </c:pt>
                <c:pt idx="9">
                  <c:v>75.201260678520285</c:v>
                </c:pt>
                <c:pt idx="10">
                  <c:v>77.970278833446201</c:v>
                </c:pt>
                <c:pt idx="11">
                  <c:v>82.961654272264312</c:v>
                </c:pt>
                <c:pt idx="12">
                  <c:v>91.366667433853252</c:v>
                </c:pt>
                <c:pt idx="13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24-4C46-8B35-0B27B1810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99552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0.22677947580814362</c:v>
                </c:pt>
                <c:pt idx="1">
                  <c:v>75.481330871582031</c:v>
                </c:pt>
                <c:pt idx="2">
                  <c:v>284.35906982421875</c:v>
                </c:pt>
                <c:pt idx="3">
                  <c:v>393.17889404296875</c:v>
                </c:pt>
                <c:pt idx="4">
                  <c:v>434.3758544921875</c:v>
                </c:pt>
                <c:pt idx="5">
                  <c:v>453.60983276367188</c:v>
                </c:pt>
                <c:pt idx="6">
                  <c:v>471.8004150390625</c:v>
                </c:pt>
                <c:pt idx="7">
                  <c:v>481.47457885742188</c:v>
                </c:pt>
                <c:pt idx="8">
                  <c:v>488.46221923828125</c:v>
                </c:pt>
                <c:pt idx="9">
                  <c:v>494.28448486328125</c:v>
                </c:pt>
                <c:pt idx="10">
                  <c:v>499.22158813476563</c:v>
                </c:pt>
                <c:pt idx="11">
                  <c:v>503.67514038085938</c:v>
                </c:pt>
                <c:pt idx="12">
                  <c:v>507.73077392578125</c:v>
                </c:pt>
                <c:pt idx="13">
                  <c:v>511.42855834960938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24-4C46-8B35-0B27B1810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2319955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6807607955"/>
              <c:y val="0.846008445646748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47053536117E-2"/>
              <c:y val="0.29657806386164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3199552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741487793"/>
              <c:y val="0.2927759125968149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657570200985149"/>
          <c:y val="0.9401842503582758"/>
          <c:w val="0.29863049653039947"/>
          <c:h val="4.294478527607359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511.42857142857144</c:v>
                </c:pt>
                <c:pt idx="1">
                  <c:v>446.29222857142861</c:v>
                </c:pt>
                <c:pt idx="2">
                  <c:v>381.13634285714284</c:v>
                </c:pt>
                <c:pt idx="3">
                  <c:v>316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13.305395671299527</c:v>
                </c:pt>
                <c:pt idx="1">
                  <c:v>17.472663716374804</c:v>
                </c:pt>
                <c:pt idx="2">
                  <c:v>23.957254274278124</c:v>
                </c:pt>
                <c:pt idx="3">
                  <c:v>34.851670708195982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85-47DC-971D-9CE5A4EB04DF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511.42857142857144</c:v>
                </c:pt>
                <c:pt idx="1">
                  <c:v>446.29222857142861</c:v>
                </c:pt>
                <c:pt idx="2">
                  <c:v>381.13634285714284</c:v>
                </c:pt>
                <c:pt idx="3">
                  <c:v>316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6.8305288042340964</c:v>
                </c:pt>
                <c:pt idx="1">
                  <c:v>8.9698597283230956</c:v>
                </c:pt>
                <c:pt idx="2">
                  <c:v>12.298823682770983</c:v>
                </c:pt>
                <c:pt idx="3">
                  <c:v>17.891639341587783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85-47DC-971D-9CE5A4EB04DF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216</c:v>
                </c:pt>
                <c:pt idx="1">
                  <c:v>116</c:v>
                </c:pt>
                <c:pt idx="2">
                  <c:v>225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35.290618036416575</c:v>
                </c:pt>
                <c:pt idx="3">
                  <c:v>55.141590681900908</c:v>
                </c:pt>
                <c:pt idx="4">
                  <c:v>84.974437008018526</c:v>
                </c:pt>
                <c:pt idx="5" formatCode="0">
                  <c:v>200</c:v>
                </c:pt>
                <c:pt idx="6" formatCode="0">
                  <c:v>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85-47DC-971D-9CE5A4EB0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477880"/>
        <c:axId val="1"/>
      </c:scatterChart>
      <c:valAx>
        <c:axId val="118647788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36488268916"/>
              <c:y val="0.94970480271111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02075755759E-2"/>
              <c:y val="0.375739950763911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647788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90.536056518554688</c:v>
                </c:pt>
                <c:pt idx="2">
                  <c:v>93.28961181640625</c:v>
                </c:pt>
                <c:pt idx="3">
                  <c:v>93.862014770507813</c:v>
                </c:pt>
                <c:pt idx="4">
                  <c:v>93.843864440917969</c:v>
                </c:pt>
                <c:pt idx="5">
                  <c:v>93.586166381835938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10-4648-9333-599166BC2B2C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64.035369873046875</c:v>
                </c:pt>
                <c:pt idx="1">
                  <c:v>81.174125671386719</c:v>
                </c:pt>
                <c:pt idx="2">
                  <c:v>86.08062744140625</c:v>
                </c:pt>
                <c:pt idx="3">
                  <c:v>87.609146118164063</c:v>
                </c:pt>
                <c:pt idx="4">
                  <c:v>87.759658813476563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10-4648-9333-599166BC2B2C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83.451592478728571</c:v>
                </c:pt>
                <c:pt idx="2">
                  <c:v>74.23615820865686</c:v>
                </c:pt>
                <c:pt idx="3">
                  <c:v>64.79891389745471</c:v>
                </c:pt>
                <c:pt idx="4">
                  <c:v>54.853243094629619</c:v>
                </c:pt>
                <c:pt idx="5">
                  <c:v>45.115487836090871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10-4648-9333-599166BC2B2C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0.54791875000000001</c:v>
                </c:pt>
                <c:pt idx="1">
                  <c:v>10.321326084732092</c:v>
                </c:pt>
                <c:pt idx="2">
                  <c:v>20.033360300472133</c:v>
                </c:pt>
                <c:pt idx="3">
                  <c:v>29.866785957267865</c:v>
                </c:pt>
                <c:pt idx="4">
                  <c:v>39.830086349865745</c:v>
                </c:pt>
                <c:pt idx="5">
                  <c:v>49.924699468005379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10-4648-9333-599166BC2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5888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25.152453566460451</c:v>
                </c:pt>
                <c:pt idx="1">
                  <c:v>37.224399566650391</c:v>
                </c:pt>
                <c:pt idx="2">
                  <c:v>56.996513366699219</c:v>
                </c:pt>
                <c:pt idx="3">
                  <c:v>80.1300048828125</c:v>
                </c:pt>
                <c:pt idx="4">
                  <c:v>104.99628448486328</c:v>
                </c:pt>
                <c:pt idx="5">
                  <c:v>131.38102722167969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10-4648-9333-599166BC2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18635888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635888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90.536056518554688</c:v>
                </c:pt>
                <c:pt idx="2">
                  <c:v>93.28961181640625</c:v>
                </c:pt>
                <c:pt idx="3">
                  <c:v>93.862014770507813</c:v>
                </c:pt>
                <c:pt idx="4">
                  <c:v>93.843864440917969</c:v>
                </c:pt>
                <c:pt idx="5">
                  <c:v>93.586166381835938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F-4644-8B64-82F1E5C5B6E0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64.035369873046875</c:v>
                </c:pt>
                <c:pt idx="1">
                  <c:v>81.174125671386719</c:v>
                </c:pt>
                <c:pt idx="2">
                  <c:v>86.08062744140625</c:v>
                </c:pt>
                <c:pt idx="3">
                  <c:v>87.609146118164063</c:v>
                </c:pt>
                <c:pt idx="4">
                  <c:v>87.759658813476563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F-4644-8B64-82F1E5C5B6E0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83.451592478728571</c:v>
                </c:pt>
                <c:pt idx="2">
                  <c:v>74.23615820865686</c:v>
                </c:pt>
                <c:pt idx="3">
                  <c:v>64.79891389745471</c:v>
                </c:pt>
                <c:pt idx="4">
                  <c:v>54.853243094629619</c:v>
                </c:pt>
                <c:pt idx="5">
                  <c:v>45.115487836090871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CF-4644-8B64-82F1E5C5B6E0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0.54791875000000001</c:v>
                </c:pt>
                <c:pt idx="1">
                  <c:v>10.321326084732092</c:v>
                </c:pt>
                <c:pt idx="2">
                  <c:v>20.033360300472133</c:v>
                </c:pt>
                <c:pt idx="3">
                  <c:v>29.866785957267865</c:v>
                </c:pt>
                <c:pt idx="4">
                  <c:v>39.830086349865745</c:v>
                </c:pt>
                <c:pt idx="5">
                  <c:v>49.924699468005379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CF-4644-8B64-82F1E5C5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5888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25.152453566460451</c:v>
                </c:pt>
                <c:pt idx="1">
                  <c:v>37.224399566650391</c:v>
                </c:pt>
                <c:pt idx="2">
                  <c:v>56.996513366699219</c:v>
                </c:pt>
                <c:pt idx="3">
                  <c:v>80.1300048828125</c:v>
                </c:pt>
                <c:pt idx="4">
                  <c:v>104.99628448486328</c:v>
                </c:pt>
                <c:pt idx="5">
                  <c:v>131.38102722167969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CF-4644-8B64-82F1E5C5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18635888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635888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56</xdr:row>
      <xdr:rowOff>7620</xdr:rowOff>
    </xdr:from>
    <xdr:to>
      <xdr:col>9</xdr:col>
      <xdr:colOff>838200</xdr:colOff>
      <xdr:row>67</xdr:row>
      <xdr:rowOff>182880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9D80E1AD-DFC5-FB7A-D63A-F6FA3F689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358140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BD2E70-E990-4723-8BFC-01D1083D041B}"/>
            </a:ext>
          </a:extLst>
        </xdr:cNvPr>
        <xdr:cNvSpPr>
          <a:spLocks noChangeArrowheads="1"/>
        </xdr:cNvSpPr>
      </xdr:nvSpPr>
      <xdr:spPr bwMode="auto">
        <a:xfrm>
          <a:off x="5402580" y="988314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43</xdr:row>
      <xdr:rowOff>0</xdr:rowOff>
    </xdr:from>
    <xdr:to>
      <xdr:col>9</xdr:col>
      <xdr:colOff>320040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C49073-B05F-45C0-A550-02C803F1B3E7}"/>
            </a:ext>
          </a:extLst>
        </xdr:cNvPr>
        <xdr:cNvSpPr>
          <a:spLocks noChangeArrowheads="1"/>
        </xdr:cNvSpPr>
      </xdr:nvSpPr>
      <xdr:spPr bwMode="auto">
        <a:xfrm>
          <a:off x="526542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43</xdr:row>
      <xdr:rowOff>0</xdr:rowOff>
    </xdr:from>
    <xdr:to>
      <xdr:col>9</xdr:col>
      <xdr:colOff>335280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CDA9A3-F9E4-4E69-8F96-9443406FFB19}"/>
            </a:ext>
          </a:extLst>
        </xdr:cNvPr>
        <xdr:cNvSpPr>
          <a:spLocks noChangeArrowheads="1"/>
        </xdr:cNvSpPr>
      </xdr:nvSpPr>
      <xdr:spPr bwMode="auto">
        <a:xfrm>
          <a:off x="528066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403860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6D0A70B-08ED-40AA-9718-0BC143B3AE1D}"/>
            </a:ext>
          </a:extLst>
        </xdr:cNvPr>
        <xdr:cNvSpPr>
          <a:spLocks noChangeArrowheads="1"/>
        </xdr:cNvSpPr>
      </xdr:nvSpPr>
      <xdr:spPr bwMode="auto">
        <a:xfrm>
          <a:off x="5250180" y="988314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43</xdr:row>
      <xdr:rowOff>0</xdr:rowOff>
    </xdr:from>
    <xdr:to>
      <xdr:col>9</xdr:col>
      <xdr:colOff>350520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B9BDC6-8A74-4698-A75F-49D0B97E3B54}"/>
            </a:ext>
          </a:extLst>
        </xdr:cNvPr>
        <xdr:cNvSpPr>
          <a:spLocks noChangeArrowheads="1"/>
        </xdr:cNvSpPr>
      </xdr:nvSpPr>
      <xdr:spPr bwMode="auto">
        <a:xfrm>
          <a:off x="5387340" y="988314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449636</xdr:colOff>
      <xdr:row>29</xdr:row>
      <xdr:rowOff>202266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6C130069-9B7A-47FB-9741-CD67A88C0D2B}"/>
            </a:ext>
          </a:extLst>
        </xdr:cNvPr>
        <xdr:cNvSpPr txBox="1">
          <a:spLocks noChangeArrowheads="1"/>
        </xdr:cNvSpPr>
      </xdr:nvSpPr>
      <xdr:spPr bwMode="auto">
        <a:xfrm>
          <a:off x="1861185" y="6768465"/>
          <a:ext cx="249611" cy="11654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87630</xdr:colOff>
      <xdr:row>31</xdr:row>
      <xdr:rowOff>0</xdr:rowOff>
    </xdr:from>
    <xdr:to>
      <xdr:col>2</xdr:col>
      <xdr:colOff>76276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CBE481BB-CE6E-49A4-BF00-AAB4E581A001}"/>
            </a:ext>
          </a:extLst>
        </xdr:cNvPr>
        <xdr:cNvSpPr txBox="1">
          <a:spLocks noChangeArrowheads="1"/>
        </xdr:cNvSpPr>
      </xdr:nvSpPr>
      <xdr:spPr bwMode="auto">
        <a:xfrm>
          <a:off x="880110" y="7139940"/>
          <a:ext cx="392506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211455</xdr:colOff>
      <xdr:row>26</xdr:row>
      <xdr:rowOff>200025</xdr:rowOff>
    </xdr:from>
    <xdr:to>
      <xdr:col>3</xdr:col>
      <xdr:colOff>47725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F5B4BAE5-8CD3-4BE0-AFDC-EC1CCDA673B7}"/>
            </a:ext>
          </a:extLst>
        </xdr:cNvPr>
        <xdr:cNvSpPr txBox="1">
          <a:spLocks noChangeArrowheads="1"/>
        </xdr:cNvSpPr>
      </xdr:nvSpPr>
      <xdr:spPr bwMode="auto">
        <a:xfrm>
          <a:off x="1407795" y="6196965"/>
          <a:ext cx="30109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388620</xdr:colOff>
      <xdr:row>27</xdr:row>
      <xdr:rowOff>60960</xdr:rowOff>
    </xdr:from>
    <xdr:to>
      <xdr:col>3</xdr:col>
      <xdr:colOff>434340</xdr:colOff>
      <xdr:row>31</xdr:row>
      <xdr:rowOff>220980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CA81F49-756A-4119-B295-9E92438500C2}"/>
            </a:ext>
          </a:extLst>
        </xdr:cNvPr>
        <xdr:cNvGrpSpPr>
          <a:grpSpLocks/>
        </xdr:cNvGrpSpPr>
      </xdr:nvGrpSpPr>
      <xdr:grpSpPr bwMode="auto">
        <a:xfrm>
          <a:off x="1160145" y="6299835"/>
          <a:ext cx="883920" cy="1074420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C7D22682-0FE3-1151-2CC6-686464CC448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E06A7879-6B16-B440-DF44-6A51FF04CB7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31B1CA50-EE2E-4E50-2286-D8442ABF892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6CC006CF-3173-3DF4-E305-6420E6EAE7D5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DBA5E097-4761-1B77-F59F-A009B9E0FEB3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43EB631D-67DF-C2BF-DFB2-78D2EB3364F4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2460529B-13B2-A900-BB65-90C2ED2B557D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C98FC73-1CFF-436E-4105-7BF590FF9414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98AAB92F-FBD6-3CDB-1ACD-AB4F13859ACB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604673A5-A2E0-9122-14D7-5E2FBA23B94D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2E2D6FD6-8A78-FAA8-00B1-EB13EFE4F8A2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AF137282-0497-EC95-A692-9769AC9B9AE3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CC7A0403-DA95-28D3-CBD0-06F3F2AA9356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9244ABD1-50A9-5886-49A9-C44B06587D36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FCC2E63D-B288-EC85-1885-E1765ED69C1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5E335B0A-59BA-76CC-DDDC-55427F6B23D9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F3F478EC-4228-B7E1-EAD0-55CEEE5E03BD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7A51479E-AB87-8ABE-3FE1-17E2DEACBBD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BBEE3F5E-5E12-4377-68C4-003BCB039D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EFECED75-6B7B-9CAD-12C0-136812424F64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98ED1175-BC64-B749-4F40-E3D09502DE5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57864157-009E-7668-BC90-78071747394B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E04B55E1-8C9F-B4C1-4286-603D9CBF0146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A7BAEDB-E0D8-DF9F-3844-DFA751DE89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548CB916-0723-FEDD-B7C3-1F5095C36BFF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422910</xdr:colOff>
      <xdr:row>42</xdr:row>
      <xdr:rowOff>180975</xdr:rowOff>
    </xdr:from>
    <xdr:to>
      <xdr:col>3</xdr:col>
      <xdr:colOff>297269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A96DC9DA-48AD-48A7-9E4E-CCD1B0A463B0}"/>
            </a:ext>
          </a:extLst>
        </xdr:cNvPr>
        <xdr:cNvSpPr txBox="1">
          <a:spLocks noChangeArrowheads="1"/>
        </xdr:cNvSpPr>
      </xdr:nvSpPr>
      <xdr:spPr bwMode="auto">
        <a:xfrm>
          <a:off x="1619250" y="9835515"/>
          <a:ext cx="33917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2800.0</a:t>
          </a:r>
        </a:p>
      </xdr:txBody>
    </xdr:sp>
    <xdr:clientData/>
  </xdr:twoCellAnchor>
  <xdr:twoCellAnchor>
    <xdr:from>
      <xdr:col>1</xdr:col>
      <xdr:colOff>249555</xdr:colOff>
      <xdr:row>40</xdr:row>
      <xdr:rowOff>200025</xdr:rowOff>
    </xdr:from>
    <xdr:to>
      <xdr:col>2</xdr:col>
      <xdr:colOff>240030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927EB0AF-2327-47D2-BB68-5C1AE784883D}"/>
            </a:ext>
          </a:extLst>
        </xdr:cNvPr>
        <xdr:cNvSpPr txBox="1">
          <a:spLocks noChangeArrowheads="1"/>
        </xdr:cNvSpPr>
      </xdr:nvSpPr>
      <xdr:spPr bwMode="auto">
        <a:xfrm>
          <a:off x="1042035" y="9397365"/>
          <a:ext cx="394335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332.2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335227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E01DF171-6725-4C54-BBF5-41AF4ED1C608}"/>
            </a:ext>
          </a:extLst>
        </xdr:cNvPr>
        <xdr:cNvSpPr txBox="1">
          <a:spLocks noChangeArrowheads="1"/>
        </xdr:cNvSpPr>
      </xdr:nvSpPr>
      <xdr:spPr bwMode="auto">
        <a:xfrm>
          <a:off x="1263015" y="9254490"/>
          <a:ext cx="2685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2</xdr:col>
      <xdr:colOff>344805</xdr:colOff>
      <xdr:row>40</xdr:row>
      <xdr:rowOff>57150</xdr:rowOff>
    </xdr:from>
    <xdr:to>
      <xdr:col>3</xdr:col>
      <xdr:colOff>173355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8C40FBCA-B6CC-4096-9D4B-105A5CD6CBEF}"/>
            </a:ext>
          </a:extLst>
        </xdr:cNvPr>
        <xdr:cNvSpPr txBox="1">
          <a:spLocks noChangeArrowheads="1"/>
        </xdr:cNvSpPr>
      </xdr:nvSpPr>
      <xdr:spPr bwMode="auto">
        <a:xfrm>
          <a:off x="1541145" y="9254490"/>
          <a:ext cx="2933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1</xdr:col>
      <xdr:colOff>287655</xdr:colOff>
      <xdr:row>42</xdr:row>
      <xdr:rowOff>0</xdr:rowOff>
    </xdr:from>
    <xdr:to>
      <xdr:col>2</xdr:col>
      <xdr:colOff>182880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144723A5-A05E-4DD0-A8E3-DD09C50B4DDD}"/>
            </a:ext>
          </a:extLst>
        </xdr:cNvPr>
        <xdr:cNvSpPr txBox="1">
          <a:spLocks noChangeArrowheads="1"/>
        </xdr:cNvSpPr>
      </xdr:nvSpPr>
      <xdr:spPr bwMode="auto">
        <a:xfrm>
          <a:off x="1080135" y="9654540"/>
          <a:ext cx="29908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246.2</a:t>
          </a:r>
        </a:p>
      </xdr:txBody>
    </xdr:sp>
    <xdr:clientData/>
  </xdr:twoCellAnchor>
  <xdr:twoCellAnchor>
    <xdr:from>
      <xdr:col>3</xdr:col>
      <xdr:colOff>125730</xdr:colOff>
      <xdr:row>32</xdr:row>
      <xdr:rowOff>85725</xdr:rowOff>
    </xdr:from>
    <xdr:to>
      <xdr:col>3</xdr:col>
      <xdr:colOff>373380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DC74BF64-BCB1-40F6-92C6-A8439D8961C9}"/>
            </a:ext>
          </a:extLst>
        </xdr:cNvPr>
        <xdr:cNvSpPr txBox="1">
          <a:spLocks noChangeArrowheads="1"/>
        </xdr:cNvSpPr>
      </xdr:nvSpPr>
      <xdr:spPr bwMode="auto">
        <a:xfrm>
          <a:off x="1786890" y="7454265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1.00</a:t>
          </a:r>
        </a:p>
      </xdr:txBody>
    </xdr:sp>
    <xdr:clientData/>
  </xdr:twoCellAnchor>
  <xdr:twoCellAnchor>
    <xdr:from>
      <xdr:col>3</xdr:col>
      <xdr:colOff>201930</xdr:colOff>
      <xdr:row>35</xdr:row>
      <xdr:rowOff>47625</xdr:rowOff>
    </xdr:from>
    <xdr:to>
      <xdr:col>3</xdr:col>
      <xdr:colOff>470482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E74303B9-3E36-421C-B8A0-BADB98ECFD88}"/>
            </a:ext>
          </a:extLst>
        </xdr:cNvPr>
        <xdr:cNvSpPr txBox="1">
          <a:spLocks noChangeArrowheads="1"/>
        </xdr:cNvSpPr>
      </xdr:nvSpPr>
      <xdr:spPr bwMode="auto">
        <a:xfrm>
          <a:off x="1863090" y="8101965"/>
          <a:ext cx="268552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35.00</a:t>
          </a:r>
        </a:p>
      </xdr:txBody>
    </xdr:sp>
    <xdr:clientData/>
  </xdr:twoCellAnchor>
  <xdr:twoCellAnchor>
    <xdr:from>
      <xdr:col>2</xdr:col>
      <xdr:colOff>394335</xdr:colOff>
      <xdr:row>33</xdr:row>
      <xdr:rowOff>142875</xdr:rowOff>
    </xdr:from>
    <xdr:to>
      <xdr:col>3</xdr:col>
      <xdr:colOff>163767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E20098AF-E86F-4C90-88E9-6E240B0783D2}"/>
            </a:ext>
          </a:extLst>
        </xdr:cNvPr>
        <xdr:cNvSpPr txBox="1">
          <a:spLocks noChangeArrowheads="1"/>
        </xdr:cNvSpPr>
      </xdr:nvSpPr>
      <xdr:spPr bwMode="auto">
        <a:xfrm>
          <a:off x="1590675" y="7740015"/>
          <a:ext cx="2342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382905</xdr:colOff>
      <xdr:row>34</xdr:row>
      <xdr:rowOff>38100</xdr:rowOff>
    </xdr:from>
    <xdr:to>
      <xdr:col>3</xdr:col>
      <xdr:colOff>173355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3CEB0CBC-622B-43E9-9F78-1D03EAF6DFBE}"/>
            </a:ext>
          </a:extLst>
        </xdr:cNvPr>
        <xdr:cNvSpPr txBox="1">
          <a:spLocks noChangeArrowheads="1"/>
        </xdr:cNvSpPr>
      </xdr:nvSpPr>
      <xdr:spPr bwMode="auto">
        <a:xfrm>
          <a:off x="1579245" y="7863840"/>
          <a:ext cx="2552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10.0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135402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322FEFB2-5D4D-4528-86E0-D2F3A5B881B3}"/>
            </a:ext>
          </a:extLst>
        </xdr:cNvPr>
        <xdr:cNvSpPr txBox="1">
          <a:spLocks noChangeArrowheads="1"/>
        </xdr:cNvSpPr>
      </xdr:nvSpPr>
      <xdr:spPr bwMode="auto">
        <a:xfrm>
          <a:off x="1144905" y="7844790"/>
          <a:ext cx="186837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7.0</a:t>
          </a:r>
        </a:p>
      </xdr:txBody>
    </xdr:sp>
    <xdr:clientData/>
  </xdr:twoCellAnchor>
  <xdr:twoCellAnchor>
    <xdr:from>
      <xdr:col>2</xdr:col>
      <xdr:colOff>163830</xdr:colOff>
      <xdr:row>35</xdr:row>
      <xdr:rowOff>85725</xdr:rowOff>
    </xdr:from>
    <xdr:to>
      <xdr:col>2</xdr:col>
      <xdr:colOff>459105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60669CA1-DE92-487F-8A13-DEF64AF86533}"/>
            </a:ext>
          </a:extLst>
        </xdr:cNvPr>
        <xdr:cNvSpPr txBox="1">
          <a:spLocks noChangeArrowheads="1"/>
        </xdr:cNvSpPr>
      </xdr:nvSpPr>
      <xdr:spPr bwMode="auto">
        <a:xfrm>
          <a:off x="1360170" y="8140065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17.51</a:t>
          </a:r>
        </a:p>
      </xdr:txBody>
    </xdr:sp>
    <xdr:clientData/>
  </xdr:twoCellAnchor>
  <xdr:twoCellAnchor>
    <xdr:from>
      <xdr:col>3</xdr:col>
      <xdr:colOff>49530</xdr:colOff>
      <xdr:row>36</xdr:row>
      <xdr:rowOff>19050</xdr:rowOff>
    </xdr:from>
    <xdr:to>
      <xdr:col>3</xdr:col>
      <xdr:colOff>344805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1E9DD1C1-51B4-4720-911E-C8257A1B413F}"/>
            </a:ext>
          </a:extLst>
        </xdr:cNvPr>
        <xdr:cNvSpPr txBox="1">
          <a:spLocks noChangeArrowheads="1"/>
        </xdr:cNvSpPr>
      </xdr:nvSpPr>
      <xdr:spPr bwMode="auto">
        <a:xfrm>
          <a:off x="1710690" y="8301990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22.00</a:t>
          </a:r>
        </a:p>
      </xdr:txBody>
    </xdr:sp>
    <xdr:clientData/>
  </xdr:twoCellAnchor>
  <xdr:twoCellAnchor>
    <xdr:from>
      <xdr:col>2</xdr:col>
      <xdr:colOff>182880</xdr:colOff>
      <xdr:row>36</xdr:row>
      <xdr:rowOff>152400</xdr:rowOff>
    </xdr:from>
    <xdr:to>
      <xdr:col>2</xdr:col>
      <xdr:colOff>411480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484736B0-DA7E-4560-BA96-C7808025AE2D}"/>
            </a:ext>
          </a:extLst>
        </xdr:cNvPr>
        <xdr:cNvSpPr txBox="1">
          <a:spLocks noChangeArrowheads="1"/>
        </xdr:cNvSpPr>
      </xdr:nvSpPr>
      <xdr:spPr bwMode="auto">
        <a:xfrm>
          <a:off x="1379220" y="8435340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13.43</a:t>
          </a:r>
        </a:p>
      </xdr:txBody>
    </xdr:sp>
    <xdr:clientData/>
  </xdr:twoCellAnchor>
  <xdr:twoCellAnchor>
    <xdr:from>
      <xdr:col>1</xdr:col>
      <xdr:colOff>160020</xdr:colOff>
      <xdr:row>39</xdr:row>
      <xdr:rowOff>91440</xdr:rowOff>
    </xdr:from>
    <xdr:to>
      <xdr:col>3</xdr:col>
      <xdr:colOff>533400</xdr:colOff>
      <xdr:row>43</xdr:row>
      <xdr:rowOff>68580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E440E679-D843-4F9B-A8A4-5E45A2125600}"/>
            </a:ext>
          </a:extLst>
        </xdr:cNvPr>
        <xdr:cNvGrpSpPr>
          <a:grpSpLocks/>
        </xdr:cNvGrpSpPr>
      </xdr:nvGrpSpPr>
      <xdr:grpSpPr bwMode="auto">
        <a:xfrm>
          <a:off x="931545" y="9073515"/>
          <a:ext cx="1211580" cy="891540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4F39357B-A173-22FF-1E94-099475F3169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2C4842D3-57DE-A3CB-D761-10B95A77D14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8DB2FBC5-4FA8-DB84-034F-0BC7171C9AB8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77551826-97D5-BDDF-BD81-CF123D75EC64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4E502EF7-8859-00D0-B58A-3CF89D7DB297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1E3F0263-25E3-83CB-7A78-3BBF3B284604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A898E108-DAFF-27C6-AEAE-A7B93742A2A5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B96BF428-9616-C918-92AD-49C75D6B8EB6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F63C3132-BC27-0E72-33C5-5B164036F85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E7CC2F29-1784-A8DF-FF46-1F605A5CC33D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76A062DC-542F-31B8-7223-4EE00F33DB7B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CE29EBE1-517B-C15E-3891-4DC41635717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206A8D18-54EE-8ECE-E7A0-04F1FD5BC7C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AD49185A-315C-74CD-D65D-4D8BB679523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13C21943-BFB2-C1C2-6CC5-D2FD8F7D90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7379EF5A-16EB-1DB0-EF94-938AB677F9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2098DA2-4842-C4DE-4642-F808A548902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506CBBEF-1B6B-56C1-E545-38850E3258B6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E8333BE8-1C2E-943B-D316-27A1FD3BD021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7389319A-AAD4-4294-FE84-7C627D2972E4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42E65B6D-A657-720B-410D-7D5CA41EAEAD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61FA3064-61EB-015F-658A-2B5D179BBBC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913DB17C-0A2A-587D-628D-57DD74CF5256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F5184F18-CAB2-742D-29AD-368353F0C53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85D055A9-1912-C9E8-FF47-DF43A8FDED86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19F7B521-A4BC-11D9-1FA8-0F0302D27E19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B5DE6980-5D4D-6CE0-24E2-DB08C524997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22DCC3BD-68CF-6F59-FE93-F6F378390195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A537CA8A-B0BE-7A0C-F4A2-E089F83B8F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9C437674-CCDE-D4EE-69D7-182AE6678B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DBDF2064-6E04-494F-F3AF-E97A8C1586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1394300-BC93-84B8-8D00-5FDF275EAD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720D4480-9526-D0CE-245B-FE8116EA7F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358140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577C7D07-3FC3-4BC6-8A59-6D98EF84EEB9}"/>
            </a:ext>
          </a:extLst>
        </xdr:cNvPr>
        <xdr:cNvSpPr>
          <a:spLocks noChangeArrowheads="1"/>
        </xdr:cNvSpPr>
      </xdr:nvSpPr>
      <xdr:spPr bwMode="auto">
        <a:xfrm>
          <a:off x="5402580" y="1009650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44</xdr:row>
      <xdr:rowOff>0</xdr:rowOff>
    </xdr:from>
    <xdr:to>
      <xdr:col>9</xdr:col>
      <xdr:colOff>320040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752F2DF4-E38D-4481-A7AA-E86D1A57FEEB}"/>
            </a:ext>
          </a:extLst>
        </xdr:cNvPr>
        <xdr:cNvSpPr>
          <a:spLocks noChangeArrowheads="1"/>
        </xdr:cNvSpPr>
      </xdr:nvSpPr>
      <xdr:spPr bwMode="auto">
        <a:xfrm>
          <a:off x="526542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44</xdr:row>
      <xdr:rowOff>0</xdr:rowOff>
    </xdr:from>
    <xdr:to>
      <xdr:col>9</xdr:col>
      <xdr:colOff>335280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12CF12D2-36F4-4253-8FD5-68E77F196BF5}"/>
            </a:ext>
          </a:extLst>
        </xdr:cNvPr>
        <xdr:cNvSpPr>
          <a:spLocks noChangeArrowheads="1"/>
        </xdr:cNvSpPr>
      </xdr:nvSpPr>
      <xdr:spPr bwMode="auto">
        <a:xfrm>
          <a:off x="528066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403860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3460F90-4E4F-4356-A7AB-2E21B77B8882}"/>
            </a:ext>
          </a:extLst>
        </xdr:cNvPr>
        <xdr:cNvSpPr>
          <a:spLocks noChangeArrowheads="1"/>
        </xdr:cNvSpPr>
      </xdr:nvSpPr>
      <xdr:spPr bwMode="auto">
        <a:xfrm>
          <a:off x="5250180" y="1009650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44</xdr:row>
      <xdr:rowOff>0</xdr:rowOff>
    </xdr:from>
    <xdr:to>
      <xdr:col>9</xdr:col>
      <xdr:colOff>350520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B205300A-A47B-47A3-A80E-9E7D28B28F9E}"/>
            </a:ext>
          </a:extLst>
        </xdr:cNvPr>
        <xdr:cNvSpPr>
          <a:spLocks noChangeArrowheads="1"/>
        </xdr:cNvSpPr>
      </xdr:nvSpPr>
      <xdr:spPr bwMode="auto">
        <a:xfrm>
          <a:off x="5387340" y="1009650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373380</xdr:colOff>
      <xdr:row>32</xdr:row>
      <xdr:rowOff>182880</xdr:rowOff>
    </xdr:from>
    <xdr:to>
      <xdr:col>3</xdr:col>
      <xdr:colOff>320040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9C3DB521-15B0-4DEF-B8AE-670D9122837E}"/>
            </a:ext>
          </a:extLst>
        </xdr:cNvPr>
        <xdr:cNvGrpSpPr>
          <a:grpSpLocks/>
        </xdr:cNvGrpSpPr>
      </xdr:nvGrpSpPr>
      <xdr:grpSpPr bwMode="auto">
        <a:xfrm>
          <a:off x="1144905" y="7564755"/>
          <a:ext cx="784860" cy="1112520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5B5B925F-0337-CB63-FBF3-57255FD98D9C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9E7455F8-4AA1-24F0-C4F2-2CB18819C92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68193278-C8DF-70F1-ECAA-8BD5F748D8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911DABB1-4E19-2657-6FA3-FB6F3DF0D80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28FB9474-A4D9-0289-DF0A-8CB231F242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60E7A22A-E24F-0172-BC4D-D05A7B98C8C5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A691267D-24E8-BDAC-EABC-C85FF2BCD7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459BCB50-8DB7-F685-3E0A-C7E6C0B964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BDE399AD-E94D-D84D-159B-7FEB11FE8DE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F3B62DCD-111D-8FD1-F1A4-59807AB99C6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4F0243AD-AE78-DA6B-817C-0B871E11B8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3DCF1602-9FD3-A6DC-4641-3D213F55FC1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1320610A-FA79-02B5-D886-7CD8C4B9E8C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B379118D-C10B-BA32-EE60-A5F489DD4E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C261EF06-2D9D-F6AB-02B3-5C7926D67DA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59E9C9EE-68A7-EEC2-85E2-8EF2468EF6C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4773265D-98A4-A961-09F3-6398FEB564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D5F0654A-DA06-29FD-2E97-1415D57CF6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B2A23552-27DD-28A1-92C8-F7C8CC40838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4B0904E0-4F6D-C5E0-FEBF-5A7AC0A462A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99A759F6-3C03-8DEE-619C-377196D667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207A83F2-2CCA-6368-AF78-0A295B99777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96BDE7B6-E4FF-6F02-F7D7-9584B9CD26B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99AC5AF2-8254-273D-BCB6-F0368083A59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208B7082-7949-1D10-78EB-DC5410267F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3C57272A-A03F-8CA2-502D-81CE302126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CC173523-3883-4806-D496-981EAB6AD46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ABB7886A-9459-A309-8D26-DEA5B8C8FAF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9FA94E1C-68E4-B7EF-52C8-95DA99B0B65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64C8470-DA80-F397-AE07-CED64A1C6CA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C4269920-79E9-600F-698D-24E008D4482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8D14B5F6-0D07-8F62-3161-8903E840F35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75EC67F9-3F70-FDA9-0567-58A576DA735B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670560</xdr:colOff>
      <xdr:row>28</xdr:row>
      <xdr:rowOff>200025</xdr:rowOff>
    </xdr:from>
    <xdr:to>
      <xdr:col>4</xdr:col>
      <xdr:colOff>724004</xdr:colOff>
      <xdr:row>29</xdr:row>
      <xdr:rowOff>133350</xdr:rowOff>
    </xdr:to>
    <xdr:sp macro="" textlink="">
      <xdr:nvSpPr>
        <xdr:cNvPr id="122" name="Text 219">
          <a:extLst>
            <a:ext uri="{FF2B5EF4-FFF2-40B4-BE49-F238E27FC236}">
              <a16:creationId xmlns:a16="http://schemas.microsoft.com/office/drawing/2014/main" id="{DC416A0F-458E-4CA1-BC5C-58650AFA201E}"/>
            </a:ext>
          </a:extLst>
        </xdr:cNvPr>
        <xdr:cNvSpPr txBox="1">
          <a:spLocks noChangeArrowheads="1"/>
        </xdr:cNvSpPr>
      </xdr:nvSpPr>
      <xdr:spPr bwMode="auto">
        <a:xfrm>
          <a:off x="2331720" y="6654165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670560</xdr:colOff>
      <xdr:row>34</xdr:row>
      <xdr:rowOff>209550</xdr:rowOff>
    </xdr:from>
    <xdr:to>
      <xdr:col>4</xdr:col>
      <xdr:colOff>724004</xdr:colOff>
      <xdr:row>35</xdr:row>
      <xdr:rowOff>142875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15F843FA-173D-42FD-B478-931358E9CBAC}"/>
            </a:ext>
          </a:extLst>
        </xdr:cNvPr>
        <xdr:cNvSpPr txBox="1">
          <a:spLocks noChangeArrowheads="1"/>
        </xdr:cNvSpPr>
      </xdr:nvSpPr>
      <xdr:spPr bwMode="auto">
        <a:xfrm>
          <a:off x="2331720" y="803529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670560</xdr:colOff>
      <xdr:row>40</xdr:row>
      <xdr:rowOff>152400</xdr:rowOff>
    </xdr:from>
    <xdr:to>
      <xdr:col>4</xdr:col>
      <xdr:colOff>724004</xdr:colOff>
      <xdr:row>41</xdr:row>
      <xdr:rowOff>85725</xdr:rowOff>
    </xdr:to>
    <xdr:sp macro="" textlink="">
      <xdr:nvSpPr>
        <xdr:cNvPr id="124" name="Text 219">
          <a:extLst>
            <a:ext uri="{FF2B5EF4-FFF2-40B4-BE49-F238E27FC236}">
              <a16:creationId xmlns:a16="http://schemas.microsoft.com/office/drawing/2014/main" id="{84334AAA-4FE8-4D95-BA80-E697760F5A90}"/>
            </a:ext>
          </a:extLst>
        </xdr:cNvPr>
        <xdr:cNvSpPr txBox="1">
          <a:spLocks noChangeArrowheads="1"/>
        </xdr:cNvSpPr>
      </xdr:nvSpPr>
      <xdr:spPr bwMode="auto">
        <a:xfrm>
          <a:off x="2331720" y="934974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CD17848-75B1-4227-AE28-559439C0027B}"/>
            </a:ext>
          </a:extLst>
        </xdr:cNvPr>
        <xdr:cNvSpPr>
          <a:spLocks noChangeShapeType="1"/>
        </xdr:cNvSpPr>
      </xdr:nvSpPr>
      <xdr:spPr bwMode="auto">
        <a:xfrm>
          <a:off x="594360" y="1272540"/>
          <a:ext cx="92202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6E0FECD-47D3-4FD1-8642-726A816C57B2}"/>
            </a:ext>
          </a:extLst>
        </xdr:cNvPr>
        <xdr:cNvSpPr>
          <a:spLocks noChangeShapeType="1"/>
        </xdr:cNvSpPr>
      </xdr:nvSpPr>
      <xdr:spPr bwMode="auto">
        <a:xfrm flipV="1">
          <a:off x="594360" y="1440180"/>
          <a:ext cx="11628120" cy="76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3B175CF0-69D6-4DC1-A8D1-DFDDC5952F3F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C45AF79A-C441-4CB8-BA72-9EA74580156B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7620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9194D1EC-02C4-4BE4-BEC8-67D55E7A692E}"/>
            </a:ext>
          </a:extLst>
        </xdr:cNvPr>
        <xdr:cNvSpPr>
          <a:spLocks noChangeShapeType="1"/>
        </xdr:cNvSpPr>
      </xdr:nvSpPr>
      <xdr:spPr bwMode="auto">
        <a:xfrm flipH="1">
          <a:off x="594360" y="487680"/>
          <a:ext cx="0" cy="7772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15</xdr:row>
      <xdr:rowOff>160020</xdr:rowOff>
    </xdr:from>
    <xdr:to>
      <xdr:col>5</xdr:col>
      <xdr:colOff>670560</xdr:colOff>
      <xdr:row>36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847A6-7A0D-4CCE-892D-23976AE34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11</xdr:row>
      <xdr:rowOff>0</xdr:rowOff>
    </xdr:from>
    <xdr:to>
      <xdr:col>5</xdr:col>
      <xdr:colOff>609600</xdr:colOff>
      <xdr:row>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60B08-438F-476C-8A76-D9F2321AE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0.63871</cdr:x>
      <cdr:y>0.65025</cdr:y>
    </cdr:from>
    <cdr:to>
      <cdr:x>0.878</cdr:x>
      <cdr:y>0.67094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0.63871</cdr:x>
      <cdr:y>0.54409</cdr:y>
    </cdr:from>
    <cdr:to>
      <cdr:x>0.92546</cdr:x>
      <cdr:y>0.56946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0.29342</cdr:x>
      <cdr:y>0.36133</cdr:y>
    </cdr:from>
    <cdr:to>
      <cdr:x>0.62247</cdr:x>
      <cdr:y>0.38867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0.62223</cdr:x>
      <cdr:y>0.19335</cdr:y>
    </cdr:from>
    <cdr:to>
      <cdr:x>0.95202</cdr:x>
      <cdr:y>0.22217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574C6-915A-488B-B2B0-2EC3644E9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F366EF3E-0E72-4482-926E-8E878180D4F3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693775A9-EE03-495A-8988-58B872998EA4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3590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AA2562E6-E797-460E-A8E7-CFD2620707E6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7BADA369-5265-4164-AABD-5EA18E26E323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EC3E5E32-0B8D-43A0-9DD5-0918FF87CED6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61A98C92-A3CD-4442-8E25-9DAE0966C68F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94043437-BDFF-4CB6-8CB9-46EC824D7CE2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3540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16A38A6B-0F40-40BE-B1EA-7298FD1D4A76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3530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609C8925-BAF6-4352-8C68-DCAD8DACDC5A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3520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618B5F53-132A-4108-8078-CA378A9997FA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3510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68D44AEC-2A17-48F7-BBE8-7332BB41EF9E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3500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25E125EB-707A-4669-9D9F-6239796724B1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7DD6FE93-B085-4AEB-BF27-11240F052065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2C88498A-8BF6-44E5-B56E-72A1395CC88D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AB03434C-614C-4A5C-8A8C-806E191A929D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5BCB4F71-E5BE-4EB8-8DEB-DBDE96E27EE7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E6BDEEA7-1478-41E4-91DF-A5ED7F38C007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6AE65E7B-B428-45A3-8304-EC16DC8E0F11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B0642-CE11-4503-8CB1-136D53668045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B83E09DE-6F48-4E82-BC2E-326B473381B1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EEF026EE-3BEE-4D84-B774-A875C482328F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7B4EF016-7846-4FDD-A0EF-407810BB62FC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1280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24530E79-C390-44D9-978B-7B4762E5F728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D73B2720-DEF2-44C4-B5C1-4E85AB31A9DC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3A442371-389E-4480-ABF1-A71E8D322781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6117B807-07DA-47FB-B9E8-572DE4AAAAA4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73E81EE0-97B2-496F-A922-8E12C15BA1F1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DA5AA352-9D64-4B28-B8BC-23B990730B4F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D61B6EF1-FDFC-4238-8A7D-62DACBFE3A44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6CD52-4226-4130-99E6-8025B1A56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6439A14E-3F0A-45A2-999D-8531D95A8885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DB2960C-1AE5-4892-B746-7D45FC61D1EE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3590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FF369922-A9BE-4DCB-B691-DDE1718796CA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87E4DB37-4B26-4213-B0B8-DB8ED69E2813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1E4ADAC0-6358-45A7-8F90-29D893C44A6F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642D59EA-A57F-4209-917F-FA2080236410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90E39626-B985-4B5A-9150-7514762A1476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3540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EA0676A9-F678-48E9-93B6-F4569B7EAF54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3530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33012F45-70FF-444B-8EC3-D5998AEA9B6D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3520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51EA63A8-412C-44C4-86D9-A17308506CAC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3510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269F9653-1019-4D3D-8246-2968F7B496AF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3500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6BB330AF-34F2-4163-B60D-02FB4295018B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646267E9-B2BC-4A43-B7FC-7ACAB17DC83A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1DBEF85F-A4BE-4451-BB29-135E76863853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1CF2D39B-6416-4B2D-BEEF-B10AF44E39A7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640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A511B2D6-1C31-4A67-8C44-0A5D23B549F2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C9624BCA-44A0-41DD-A4F1-5827228E15F5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45516935-349D-440D-BD03-5FE959A43748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84CCC2BD-33DE-478C-AC23-5A71E323A615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7BBB733C-2D8B-47E2-BA4E-ECE0E450C3C0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A9D5DC70-668B-4B68-BB6E-A7777DE02FB6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627A613C-9160-4CE9-AC31-B2D25031FD95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1280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EA197BE-ABD7-42DB-9BFC-33DC1998AE94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217BFD48-5D27-47A5-86ED-8588CF3A24CA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982DFCAD-7834-4037-82FB-1666AEB55DE4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55315EF8-AA68-4E1F-A7AE-C6FFE401F9CB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B2472AC-611A-4729-8CD9-EBE591D1747B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D7477575-B8A0-4F5C-9055-5EE7FDB56E13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DB3EC980-8F66-4624-AC84-5C6B6F1BD0FF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topLeftCell="A26" zoomScale="95" zoomScaleNormal="95" workbookViewId="0">
      <selection activeCell="M41" sqref="M4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219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220</v>
      </c>
    </row>
    <row r="3" spans="1:10" ht="15" customHeight="1" thickBot="1">
      <c r="A3" s="47" t="s">
        <v>1</v>
      </c>
      <c r="B3" s="94" t="s">
        <v>218</v>
      </c>
      <c r="C3" s="1"/>
      <c r="D3" s="47"/>
      <c r="E3" s="1"/>
      <c r="F3" s="1"/>
      <c r="G3" s="47" t="s">
        <v>2</v>
      </c>
      <c r="H3" s="172">
        <v>45236</v>
      </c>
      <c r="I3" s="47" t="s">
        <v>3</v>
      </c>
      <c r="J3" s="173">
        <v>0.29381944444444447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799.99998363668738</v>
      </c>
      <c r="C5" s="138">
        <v>3600</v>
      </c>
      <c r="D5" s="48" t="s">
        <v>194</v>
      </c>
      <c r="E5" s="156">
        <v>4000</v>
      </c>
      <c r="F5" s="138">
        <v>60</v>
      </c>
      <c r="G5" s="48">
        <v>105</v>
      </c>
      <c r="H5" s="76" t="s">
        <v>253</v>
      </c>
      <c r="I5" s="75" t="s">
        <v>258</v>
      </c>
      <c r="J5" s="48">
        <v>5012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25.431919047619047</v>
      </c>
      <c r="J7" s="104" t="s">
        <v>19</v>
      </c>
    </row>
    <row r="8" spans="1:10" ht="15" customHeight="1">
      <c r="A8" s="9" t="s">
        <v>20</v>
      </c>
      <c r="B8" s="67">
        <v>2.9000000953674316</v>
      </c>
      <c r="C8" s="50"/>
      <c r="D8" s="5"/>
      <c r="E8" s="49"/>
      <c r="F8" s="3"/>
      <c r="G8" s="15"/>
      <c r="H8" s="9" t="s">
        <v>21</v>
      </c>
      <c r="I8" s="66">
        <v>30.879981688258507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202</v>
      </c>
      <c r="F9" s="105" t="s">
        <v>25</v>
      </c>
      <c r="G9" s="29"/>
      <c r="H9" s="9" t="s">
        <v>26</v>
      </c>
      <c r="I9" s="67">
        <v>28.155950367938779</v>
      </c>
      <c r="J9" s="102">
        <v>602.59743039288253</v>
      </c>
    </row>
    <row r="10" spans="1:10" ht="15" customHeight="1">
      <c r="A10" s="9" t="s">
        <v>27</v>
      </c>
      <c r="B10" s="67">
        <v>452</v>
      </c>
      <c r="C10" s="71">
        <v>452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18.247458461573483</v>
      </c>
      <c r="J10" s="101" t="s">
        <v>29</v>
      </c>
    </row>
    <row r="11" spans="1:10" ht="15" customHeight="1" thickBot="1">
      <c r="A11" s="9" t="s">
        <v>30</v>
      </c>
      <c r="B11" s="67">
        <v>590</v>
      </c>
      <c r="C11" s="71">
        <v>334.19999980926514</v>
      </c>
      <c r="D11" s="9" t="s">
        <v>31</v>
      </c>
      <c r="E11" s="66">
        <v>0.61898571428571425</v>
      </c>
      <c r="F11" s="115"/>
      <c r="G11" s="111" t="s">
        <v>215</v>
      </c>
      <c r="H11" s="9" t="s">
        <v>32</v>
      </c>
      <c r="I11" s="66">
        <v>30.879981688258507</v>
      </c>
      <c r="J11" s="102">
        <v>33933.86517316509</v>
      </c>
    </row>
    <row r="12" spans="1:10" ht="15" customHeight="1">
      <c r="A12" s="9" t="s">
        <v>33</v>
      </c>
      <c r="B12" s="67">
        <v>340</v>
      </c>
      <c r="C12" s="71">
        <v>155</v>
      </c>
      <c r="D12" s="9" t="s">
        <v>34</v>
      </c>
      <c r="E12" s="151" t="s">
        <v>175</v>
      </c>
      <c r="F12" s="121"/>
      <c r="G12" s="113" t="s">
        <v>209</v>
      </c>
      <c r="H12" s="9" t="s">
        <v>35</v>
      </c>
      <c r="I12" s="66">
        <v>1.3937239041357459</v>
      </c>
      <c r="J12" s="101" t="s">
        <v>36</v>
      </c>
    </row>
    <row r="13" spans="1:10" ht="15" customHeight="1" thickBot="1">
      <c r="A13" s="9" t="s">
        <v>37</v>
      </c>
      <c r="B13" s="67">
        <v>68</v>
      </c>
      <c r="C13" s="71">
        <v>54.599999904632568</v>
      </c>
      <c r="D13" s="9" t="s">
        <v>38</v>
      </c>
      <c r="E13" s="68">
        <v>18</v>
      </c>
      <c r="F13" s="121"/>
      <c r="G13" s="113" t="s">
        <v>210</v>
      </c>
      <c r="H13" s="9" t="s">
        <v>40</v>
      </c>
      <c r="I13" s="66">
        <v>1</v>
      </c>
      <c r="J13" s="102">
        <v>99.400054931640625</v>
      </c>
    </row>
    <row r="14" spans="1:10" ht="15" customHeight="1" thickBot="1">
      <c r="A14" s="158" t="s">
        <v>41</v>
      </c>
      <c r="B14" s="131">
        <v>353.39999389648438</v>
      </c>
      <c r="C14" s="132">
        <v>360.83999633789063</v>
      </c>
      <c r="D14" s="9" t="s">
        <v>42</v>
      </c>
      <c r="E14" s="49" t="s">
        <v>203</v>
      </c>
      <c r="F14" s="49"/>
      <c r="G14" s="113"/>
      <c r="H14" s="47" t="s">
        <v>43</v>
      </c>
      <c r="I14" s="66">
        <v>1.3937239041357459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204</v>
      </c>
      <c r="F15" s="49"/>
      <c r="G15" s="113"/>
      <c r="H15" s="9" t="s">
        <v>47</v>
      </c>
      <c r="I15" s="66">
        <v>0.82618353059296434</v>
      </c>
      <c r="J15" s="102">
        <v>18.329117063492063</v>
      </c>
    </row>
    <row r="16" spans="1:10" ht="15" customHeight="1">
      <c r="A16" s="9" t="s">
        <v>48</v>
      </c>
      <c r="B16" s="49">
        <v>42</v>
      </c>
      <c r="C16" s="50">
        <v>34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0.9556462151235352</v>
      </c>
      <c r="J16" s="103" t="s">
        <v>51</v>
      </c>
    </row>
    <row r="17" spans="1:17" ht="15" customHeight="1" thickBot="1">
      <c r="A17" s="9" t="s">
        <v>52</v>
      </c>
      <c r="B17" s="49" t="s">
        <v>195</v>
      </c>
      <c r="C17" s="50" t="s">
        <v>196</v>
      </c>
      <c r="D17" s="47" t="s">
        <v>53</v>
      </c>
      <c r="E17" s="49" t="s">
        <v>205</v>
      </c>
      <c r="F17" s="49"/>
      <c r="G17" s="113"/>
      <c r="H17" s="9" t="s">
        <v>54</v>
      </c>
      <c r="I17" s="66">
        <v>0.78953916400856583</v>
      </c>
      <c r="J17" s="102">
        <v>703.52574865444035</v>
      </c>
    </row>
    <row r="18" spans="1:17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1042</v>
      </c>
      <c r="F18" s="68">
        <v>522</v>
      </c>
      <c r="G18" s="72"/>
      <c r="H18" s="12" t="s">
        <v>57</v>
      </c>
      <c r="I18" s="129" t="s">
        <v>216</v>
      </c>
      <c r="J18" s="130"/>
    </row>
    <row r="19" spans="1:17" ht="15" customHeight="1">
      <c r="A19" s="9" t="s">
        <v>58</v>
      </c>
      <c r="B19" s="67">
        <v>57</v>
      </c>
      <c r="C19" s="71">
        <v>35</v>
      </c>
      <c r="D19" s="9" t="s">
        <v>59</v>
      </c>
      <c r="E19" s="68">
        <v>252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197</v>
      </c>
      <c r="C20" s="71"/>
      <c r="D20" s="9" t="s">
        <v>167</v>
      </c>
      <c r="E20" s="163">
        <v>0.23393301612265185</v>
      </c>
      <c r="F20" s="49"/>
      <c r="G20" s="50"/>
      <c r="H20" s="9" t="s">
        <v>63</v>
      </c>
      <c r="I20" s="66">
        <v>11.78604793548584</v>
      </c>
      <c r="J20" s="70">
        <v>11.78604793548584</v>
      </c>
    </row>
    <row r="21" spans="1:17" ht="15" customHeight="1">
      <c r="A21" s="9" t="s">
        <v>64</v>
      </c>
      <c r="B21" s="67">
        <v>14</v>
      </c>
      <c r="C21" s="71">
        <v>0</v>
      </c>
      <c r="D21" s="9" t="s">
        <v>206</v>
      </c>
      <c r="E21" s="65">
        <v>0.31206388594750611</v>
      </c>
      <c r="F21" s="65">
        <v>0.19034278392791748</v>
      </c>
      <c r="G21" s="69">
        <v>7.8464405380004126E-2</v>
      </c>
      <c r="H21" s="9" t="s">
        <v>65</v>
      </c>
      <c r="I21" s="66">
        <v>27.790168762207031</v>
      </c>
      <c r="J21" s="70">
        <v>14.921492576599121</v>
      </c>
    </row>
    <row r="22" spans="1:17" ht="15" customHeight="1">
      <c r="A22" s="9" t="s">
        <v>66</v>
      </c>
      <c r="B22" s="67">
        <v>2.8299999237060547</v>
      </c>
      <c r="C22" s="71">
        <v>1</v>
      </c>
      <c r="D22" s="9" t="s">
        <v>67</v>
      </c>
      <c r="E22" s="49" t="s">
        <v>207</v>
      </c>
      <c r="F22" s="49" t="s">
        <v>208</v>
      </c>
      <c r="G22" s="50" t="s">
        <v>208</v>
      </c>
      <c r="H22" s="9" t="s">
        <v>68</v>
      </c>
      <c r="I22" s="66">
        <v>7.0829815864562988</v>
      </c>
      <c r="J22" s="70">
        <v>6.3129973411560059</v>
      </c>
    </row>
    <row r="23" spans="1:17" ht="15" customHeight="1">
      <c r="A23" s="9" t="s">
        <v>69</v>
      </c>
      <c r="B23" s="67">
        <v>11.431919097900391</v>
      </c>
      <c r="C23" s="71">
        <v>11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20.325075708117275</v>
      </c>
      <c r="J23" s="15" t="s">
        <v>217</v>
      </c>
    </row>
    <row r="24" spans="1:17" ht="15" customHeight="1">
      <c r="A24" s="9" t="s">
        <v>72</v>
      </c>
      <c r="B24" s="67">
        <v>0</v>
      </c>
      <c r="C24" s="71">
        <v>2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5.8606569418680206</v>
      </c>
      <c r="J24" s="70">
        <v>5.27040075015704</v>
      </c>
    </row>
    <row r="25" spans="1:17" ht="15" customHeight="1">
      <c r="A25" s="9" t="s">
        <v>75</v>
      </c>
      <c r="B25" s="49" t="s">
        <v>175</v>
      </c>
      <c r="C25" s="71">
        <v>2</v>
      </c>
      <c r="D25" s="107" t="s">
        <v>76</v>
      </c>
      <c r="E25" s="51"/>
      <c r="F25" s="51"/>
      <c r="G25" s="58"/>
      <c r="H25" s="9" t="s">
        <v>77</v>
      </c>
      <c r="I25" s="66">
        <v>0.5808711051940918</v>
      </c>
      <c r="J25" s="70">
        <v>1.1448242664337158</v>
      </c>
    </row>
    <row r="26" spans="1:17" ht="15" customHeight="1">
      <c r="A26" s="9" t="s">
        <v>78</v>
      </c>
      <c r="B26" s="51" t="s">
        <v>198</v>
      </c>
      <c r="C26" s="58" t="s">
        <v>199</v>
      </c>
      <c r="D26" s="9" t="s">
        <v>79</v>
      </c>
      <c r="E26" s="67">
        <v>64.44211450991294</v>
      </c>
      <c r="F26" s="67">
        <v>17.127407770344792</v>
      </c>
      <c r="G26" s="71">
        <v>14.007364998670198</v>
      </c>
      <c r="H26" s="9" t="s">
        <v>80</v>
      </c>
      <c r="I26" s="66">
        <v>5.1114411354064941</v>
      </c>
      <c r="J26" s="70">
        <v>4.1097278594970703</v>
      </c>
    </row>
    <row r="27" spans="1:17" ht="15" customHeight="1" thickBot="1">
      <c r="A27" s="9" t="s">
        <v>81</v>
      </c>
      <c r="B27" s="49" t="s">
        <v>200</v>
      </c>
      <c r="C27" s="50" t="s">
        <v>201</v>
      </c>
      <c r="D27" s="10" t="s">
        <v>82</v>
      </c>
      <c r="E27" s="78">
        <v>72.493425351335631</v>
      </c>
      <c r="F27" s="78" t="s">
        <v>175</v>
      </c>
      <c r="G27" s="80" t="s">
        <v>175</v>
      </c>
      <c r="H27" s="10" t="s">
        <v>83</v>
      </c>
      <c r="I27" s="77">
        <v>5.1443405151367188</v>
      </c>
      <c r="J27" s="79">
        <v>4.266202449798584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33.987912486317896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3545.1</v>
      </c>
      <c r="N29" s="169" t="s">
        <v>187</v>
      </c>
      <c r="O29" s="169"/>
      <c r="P29" s="3" t="s">
        <v>193</v>
      </c>
      <c r="Q29" s="169"/>
    </row>
    <row r="30" spans="1:17" ht="15" customHeight="1" thickBot="1">
      <c r="A30" s="7"/>
      <c r="B30" s="61" t="s">
        <v>94</v>
      </c>
      <c r="C30" s="74">
        <v>33.99654522834512</v>
      </c>
      <c r="D30" s="9" t="s">
        <v>95</v>
      </c>
      <c r="E30" s="164">
        <v>46.338452500000002</v>
      </c>
      <c r="F30" s="164">
        <v>480.62399169921878</v>
      </c>
      <c r="G30" s="164">
        <v>18.131268987782786</v>
      </c>
      <c r="H30" s="165">
        <v>929.53908399402394</v>
      </c>
      <c r="I30" s="68">
        <v>39409.004030749304</v>
      </c>
      <c r="J30" s="72">
        <v>3666.1740802746958</v>
      </c>
      <c r="M30" s="170" t="str">
        <f>RIGHT(E$41,SEARCH("/",E$41,1)-1)</f>
        <v xml:space="preserve"> 3554.9</v>
      </c>
      <c r="N30" s="169" t="s">
        <v>188</v>
      </c>
      <c r="O30" s="169"/>
      <c r="P30" s="171">
        <f>G30*6.4516</f>
        <v>116.97569500157942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5.7</v>
      </c>
      <c r="F31" s="164">
        <v>848.40842927885126</v>
      </c>
      <c r="G31" s="164">
        <v>10.27137705702383</v>
      </c>
      <c r="H31" s="165">
        <v>14.827701900047844</v>
      </c>
      <c r="I31" s="68">
        <v>9671.8560937789043</v>
      </c>
      <c r="J31" s="72">
        <v>358.35396409250984</v>
      </c>
      <c r="M31" s="170" t="str">
        <f>RIGHT(D$41,SEARCH("/",D$41,1)-1)</f>
        <v xml:space="preserve"> 3564.8</v>
      </c>
      <c r="N31" s="169" t="s">
        <v>189</v>
      </c>
      <c r="O31" s="169"/>
      <c r="P31" s="171">
        <f>G31*6.4516</f>
        <v>66.266816221094942</v>
      </c>
      <c r="Q31" s="169"/>
    </row>
    <row r="32" spans="1:17" ht="15" customHeight="1">
      <c r="A32" s="5" t="s">
        <v>98</v>
      </c>
      <c r="B32" s="66" t="s">
        <v>260</v>
      </c>
      <c r="C32" s="108"/>
      <c r="D32" s="9" t="s">
        <v>99</v>
      </c>
      <c r="E32" s="164">
        <v>20.750201935019732</v>
      </c>
      <c r="F32" s="164">
        <v>580.47127342063914</v>
      </c>
      <c r="G32" s="164">
        <v>15.012496353399341</v>
      </c>
      <c r="H32" s="165">
        <v>188.66037982100644</v>
      </c>
      <c r="I32" s="8" t="s">
        <v>100</v>
      </c>
      <c r="J32" s="72">
        <v>4024.5280443672054</v>
      </c>
      <c r="M32" s="170" t="str">
        <f>RIGHT(C$41,SEARCH("/",C$41,1)-1)</f>
        <v xml:space="preserve"> 3574.3</v>
      </c>
      <c r="N32" s="169" t="s">
        <v>190</v>
      </c>
      <c r="O32" s="169"/>
      <c r="P32" s="171">
        <f>G32*6.4516</f>
        <v>96.85462147359118</v>
      </c>
      <c r="Q32" s="169"/>
    </row>
    <row r="33" spans="1:17" ht="15" customHeight="1">
      <c r="A33" s="5" t="s">
        <v>101</v>
      </c>
      <c r="B33" s="66" t="s">
        <v>261</v>
      </c>
      <c r="C33" s="109" t="s">
        <v>102</v>
      </c>
      <c r="D33" s="9" t="s">
        <v>97</v>
      </c>
      <c r="E33" s="164">
        <v>3.5</v>
      </c>
      <c r="F33" s="164">
        <v>674.77079315185551</v>
      </c>
      <c r="G33" s="164">
        <v>12.914493282638686</v>
      </c>
      <c r="H33" s="165">
        <v>17.61719217577253</v>
      </c>
      <c r="I33" s="8" t="s">
        <v>103</v>
      </c>
      <c r="J33" s="71" t="s">
        <v>228</v>
      </c>
      <c r="M33" s="170" t="str">
        <f>RIGHT(B$41,SEARCH("/",B$41,1)-1)</f>
        <v xml:space="preserve"> 3583.5</v>
      </c>
      <c r="N33" s="169" t="s">
        <v>191</v>
      </c>
      <c r="O33" s="169"/>
      <c r="P33" s="171">
        <f>G33*6.4516</f>
        <v>83.319144862271742</v>
      </c>
      <c r="Q33" s="169"/>
    </row>
    <row r="34" spans="1:17" ht="15" customHeight="1" thickBot="1">
      <c r="A34" s="16" t="s">
        <v>104</v>
      </c>
      <c r="B34" s="77" t="s">
        <v>262</v>
      </c>
      <c r="C34" s="162">
        <v>8.7143228754804163</v>
      </c>
      <c r="D34" s="10" t="s">
        <v>20</v>
      </c>
      <c r="E34" s="166">
        <v>0.29000000953674315</v>
      </c>
      <c r="F34" s="167">
        <v>1471.4750503412859</v>
      </c>
      <c r="G34" s="167">
        <v>5.92216828512265</v>
      </c>
      <c r="H34" s="168">
        <v>1366.687616114584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38.207460908297286</v>
      </c>
      <c r="Q34" s="169"/>
    </row>
    <row r="35" spans="1:17" ht="15" customHeight="1">
      <c r="A35" s="12" t="s">
        <v>106</v>
      </c>
      <c r="B35" s="13"/>
      <c r="C35" s="13"/>
      <c r="D35" s="133" t="s">
        <v>230</v>
      </c>
      <c r="E35" s="143" t="s">
        <v>229</v>
      </c>
      <c r="F35" s="14"/>
      <c r="G35" s="25" t="s">
        <v>107</v>
      </c>
      <c r="H35" s="83" t="s">
        <v>223</v>
      </c>
      <c r="I35" s="9" t="s">
        <v>108</v>
      </c>
      <c r="J35" s="72" t="s">
        <v>227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221</v>
      </c>
      <c r="I36" s="9" t="s">
        <v>111</v>
      </c>
      <c r="J36" s="72" t="s">
        <v>226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242</v>
      </c>
      <c r="C37" s="174" t="s">
        <v>243</v>
      </c>
      <c r="D37" s="174" t="s">
        <v>244</v>
      </c>
      <c r="E37" s="174" t="s">
        <v>245</v>
      </c>
      <c r="F37" s="175" t="s">
        <v>246</v>
      </c>
      <c r="G37" s="9" t="s">
        <v>113</v>
      </c>
      <c r="H37" s="72" t="s">
        <v>222</v>
      </c>
      <c r="I37" s="10" t="s">
        <v>114</v>
      </c>
      <c r="J37" s="81" t="s">
        <v>225</v>
      </c>
      <c r="O37" s="148"/>
    </row>
    <row r="38" spans="1:17" ht="15" customHeight="1" thickBot="1">
      <c r="A38" s="9" t="s">
        <v>115</v>
      </c>
      <c r="B38" s="176" t="s">
        <v>232</v>
      </c>
      <c r="C38" s="176" t="s">
        <v>233</v>
      </c>
      <c r="D38" s="176" t="s">
        <v>234</v>
      </c>
      <c r="E38" s="176" t="s">
        <v>235</v>
      </c>
      <c r="F38" s="177" t="s">
        <v>236</v>
      </c>
      <c r="G38" s="16" t="s">
        <v>116</v>
      </c>
      <c r="H38" s="81" t="s">
        <v>224</v>
      </c>
      <c r="I38" s="134" t="s">
        <v>231</v>
      </c>
      <c r="J38" s="82">
        <v>13263.716796875</v>
      </c>
      <c r="L38" t="str">
        <f>LEFT(E38,SEARCH("/",E38,1)-1)</f>
        <v xml:space="preserve">0.958 </v>
      </c>
      <c r="M38" t="str">
        <f>RIGHT(E38,SEARCH("/",E38,1)-1)</f>
        <v xml:space="preserve"> 0.938</v>
      </c>
      <c r="N38" s="149">
        <f>M38/L38</f>
        <v>0.97912317327766174</v>
      </c>
      <c r="O38" s="148" t="s">
        <v>178</v>
      </c>
    </row>
    <row r="39" spans="1:17" ht="15" customHeight="1">
      <c r="A39" s="9" t="s">
        <v>117</v>
      </c>
      <c r="B39" s="176" t="s">
        <v>237</v>
      </c>
      <c r="C39" s="176" t="s">
        <v>238</v>
      </c>
      <c r="D39" s="176" t="s">
        <v>239</v>
      </c>
      <c r="E39" s="176" t="s">
        <v>240</v>
      </c>
      <c r="F39" s="177" t="s">
        <v>241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0.904 </v>
      </c>
      <c r="M39" t="str">
        <f>RIGHT(E39,SEARCH("/",E39,1)-1)</f>
        <v xml:space="preserve"> 0.876</v>
      </c>
      <c r="N39" s="149">
        <f>M39/L39</f>
        <v>0.96902654867256632</v>
      </c>
      <c r="O39" s="148" t="s">
        <v>179</v>
      </c>
    </row>
    <row r="40" spans="1:17" ht="15" customHeight="1">
      <c r="A40" s="9" t="s">
        <v>119</v>
      </c>
      <c r="B40" s="178" t="s">
        <v>255</v>
      </c>
      <c r="C40" s="178" t="s">
        <v>256</v>
      </c>
      <c r="D40" s="178" t="s">
        <v>257</v>
      </c>
      <c r="E40" s="178" t="s">
        <v>258</v>
      </c>
      <c r="F40" s="179" t="s">
        <v>259</v>
      </c>
      <c r="G40" s="34" t="s">
        <v>121</v>
      </c>
      <c r="H40" s="89" t="s">
        <v>263</v>
      </c>
      <c r="I40" s="53"/>
      <c r="J40" s="54"/>
      <c r="L40" t="str">
        <f>LEFT(E37,SEARCH("/",E37,1)-1)</f>
        <v xml:space="preserve">99.40 </v>
      </c>
      <c r="M40">
        <v>105</v>
      </c>
      <c r="N40" s="149">
        <f>M40/L40</f>
        <v>1.056338028169014</v>
      </c>
      <c r="O40" s="148" t="s">
        <v>177</v>
      </c>
    </row>
    <row r="41" spans="1:17" ht="15" customHeight="1">
      <c r="A41" s="9" t="s">
        <v>5</v>
      </c>
      <c r="B41" s="180" t="s">
        <v>250</v>
      </c>
      <c r="C41" s="180" t="s">
        <v>251</v>
      </c>
      <c r="D41" s="180" t="s">
        <v>252</v>
      </c>
      <c r="E41" s="180" t="s">
        <v>253</v>
      </c>
      <c r="F41" s="181" t="s">
        <v>254</v>
      </c>
      <c r="G41" s="35" t="s">
        <v>122</v>
      </c>
      <c r="H41" s="90" t="s">
        <v>264</v>
      </c>
      <c r="I41" s="55"/>
      <c r="J41" s="56"/>
      <c r="L41" t="str">
        <f>LEFT(E41,SEARCH("/",E41,1)-1)</f>
        <v xml:space="preserve">3562.0 </v>
      </c>
      <c r="M41">
        <v>3555</v>
      </c>
      <c r="N41" s="149">
        <f>M41/L41</f>
        <v>0.99803481190342502</v>
      </c>
      <c r="O41" s="148" t="s">
        <v>5</v>
      </c>
    </row>
    <row r="42" spans="1:17" ht="15" customHeight="1">
      <c r="A42" s="9" t="s">
        <v>123</v>
      </c>
      <c r="B42" s="176">
        <v>10.398705858181938</v>
      </c>
      <c r="C42" s="176">
        <v>9.2370419038327292</v>
      </c>
      <c r="D42" s="176">
        <v>8.6565432945304792</v>
      </c>
      <c r="E42" s="176">
        <v>8.3101116037432998</v>
      </c>
      <c r="F42" s="177">
        <v>8.0904776849200104</v>
      </c>
      <c r="G42" s="34" t="s">
        <v>124</v>
      </c>
      <c r="H42" s="89" t="s">
        <v>265</v>
      </c>
      <c r="I42" s="53"/>
      <c r="J42" s="95">
        <v>0.26835538085343014</v>
      </c>
    </row>
    <row r="43" spans="1:17" ht="15" customHeight="1" thickBot="1">
      <c r="A43" s="10" t="s">
        <v>125</v>
      </c>
      <c r="B43" s="182">
        <v>15.416362036839443</v>
      </c>
      <c r="C43" s="183"/>
      <c r="D43" s="184" t="s">
        <v>268</v>
      </c>
      <c r="E43" s="184"/>
      <c r="F43" s="185"/>
      <c r="G43" s="35" t="s">
        <v>122</v>
      </c>
      <c r="H43" s="90" t="s">
        <v>266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1396.0607663909425</v>
      </c>
      <c r="I44" s="88">
        <v>5.2491580165666338E-2</v>
      </c>
      <c r="J44" s="95">
        <v>0.6166707435854899</v>
      </c>
    </row>
    <row r="45" spans="1:17" ht="15" customHeight="1">
      <c r="A45" s="9" t="s">
        <v>129</v>
      </c>
      <c r="B45" s="66">
        <v>0.26212608814239502</v>
      </c>
      <c r="C45" s="159" t="s">
        <v>130</v>
      </c>
      <c r="D45" s="70">
        <v>1.3431873172521591E-2</v>
      </c>
      <c r="E45" s="9" t="s">
        <v>131</v>
      </c>
      <c r="F45" s="72">
        <v>316.3460086255738</v>
      </c>
      <c r="G45" s="36" t="s">
        <v>122</v>
      </c>
      <c r="H45" s="84" t="s">
        <v>267</v>
      </c>
      <c r="I45" s="57"/>
      <c r="J45" s="58"/>
    </row>
    <row r="46" spans="1:17" ht="15" customHeight="1">
      <c r="A46" s="9" t="s">
        <v>132</v>
      </c>
      <c r="B46" s="66">
        <v>0.20083765685558319</v>
      </c>
      <c r="C46" s="159" t="s">
        <v>133</v>
      </c>
      <c r="D46" s="70">
        <v>1.056191511452198E-2</v>
      </c>
      <c r="E46" s="9" t="s">
        <v>134</v>
      </c>
      <c r="F46" s="72">
        <v>503.5174795110816</v>
      </c>
      <c r="G46" s="35" t="s">
        <v>135</v>
      </c>
      <c r="H46" s="92">
        <v>309.59982782487492</v>
      </c>
      <c r="I46" s="55"/>
      <c r="J46" s="56"/>
      <c r="L46" s="144" t="s">
        <v>180</v>
      </c>
      <c r="M46" s="146">
        <f>B5^0.95</f>
        <v>572.71094007948739</v>
      </c>
    </row>
    <row r="47" spans="1:17" ht="15" customHeight="1">
      <c r="A47" s="9" t="s">
        <v>136</v>
      </c>
      <c r="B47" s="66">
        <v>0.4629637598991394</v>
      </c>
      <c r="C47" s="159" t="s">
        <v>137</v>
      </c>
      <c r="D47" s="70">
        <v>5.0268098711967468E-3</v>
      </c>
      <c r="E47" s="9" t="s">
        <v>138</v>
      </c>
      <c r="F47" s="72">
        <v>185.1431492505364</v>
      </c>
      <c r="G47" s="62" t="s">
        <v>139</v>
      </c>
      <c r="H47" s="91">
        <v>1324.8119733517151</v>
      </c>
      <c r="I47" s="88">
        <v>4.9658202282589783E-2</v>
      </c>
      <c r="J47" s="93">
        <v>0.63545451702332878</v>
      </c>
      <c r="L47" s="144" t="s">
        <v>181</v>
      </c>
      <c r="M47" s="146">
        <f>B5^1.5</f>
        <v>22627.416303732971</v>
      </c>
    </row>
    <row r="48" spans="1:17" ht="15" customHeight="1">
      <c r="A48" s="9" t="s">
        <v>140</v>
      </c>
      <c r="B48" s="66">
        <v>1.1125834658741951E-2</v>
      </c>
      <c r="C48" s="159" t="s">
        <v>100</v>
      </c>
      <c r="D48" s="70">
        <v>4.0146432816982269E-2</v>
      </c>
      <c r="E48" s="9" t="s">
        <v>141</v>
      </c>
      <c r="F48" s="72">
        <v>81.256786388011633</v>
      </c>
      <c r="G48" s="63" t="s">
        <v>122</v>
      </c>
      <c r="H48" s="84">
        <v>221.98592500831205</v>
      </c>
      <c r="I48" s="57"/>
      <c r="J48" s="58"/>
      <c r="L48" s="144" t="s">
        <v>182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0" t="s">
        <v>142</v>
      </c>
      <c r="D49" s="79">
        <v>0.95985358953475952</v>
      </c>
      <c r="E49" s="10" t="s">
        <v>143</v>
      </c>
      <c r="F49" s="81">
        <v>197.11910367674295</v>
      </c>
      <c r="G49" s="64" t="s">
        <v>135</v>
      </c>
      <c r="H49" s="92">
        <v>300.90986688540374</v>
      </c>
      <c r="I49" s="55"/>
      <c r="J49" s="59"/>
      <c r="L49" s="144" t="s">
        <v>183</v>
      </c>
      <c r="M49" s="145">
        <f>IF(A5="",0,(7200/(1000*A5))^1.8)</f>
        <v>10.031006258647469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27</v>
      </c>
    </row>
    <row r="51" spans="1:13" ht="15" customHeight="1">
      <c r="A51" s="9" t="s">
        <v>146</v>
      </c>
      <c r="B51" s="49">
        <v>34</v>
      </c>
      <c r="C51" s="8" t="s">
        <v>147</v>
      </c>
      <c r="D51" s="67">
        <v>7</v>
      </c>
      <c r="E51" s="8" t="s">
        <v>148</v>
      </c>
      <c r="F51" s="71">
        <v>11</v>
      </c>
      <c r="G51" s="8" t="s">
        <v>149</v>
      </c>
      <c r="H51" s="65">
        <v>0.145397982561423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35</v>
      </c>
      <c r="C52" s="8" t="s">
        <v>151</v>
      </c>
      <c r="D52" s="67">
        <v>8</v>
      </c>
      <c r="E52" s="8" t="s">
        <v>152</v>
      </c>
      <c r="F52" s="71">
        <v>0</v>
      </c>
      <c r="G52" s="8" t="s">
        <v>169</v>
      </c>
      <c r="H52" s="67">
        <v>43335.580270534978</v>
      </c>
      <c r="I52" s="96" t="s">
        <v>247</v>
      </c>
      <c r="J52" s="60"/>
      <c r="L52" s="144" t="s">
        <v>192</v>
      </c>
      <c r="M52" s="161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17.511787414550781</v>
      </c>
      <c r="E53" s="8" t="s">
        <v>154</v>
      </c>
      <c r="F53" s="71">
        <v>0</v>
      </c>
      <c r="G53" s="8" t="s">
        <v>170</v>
      </c>
      <c r="H53" s="66">
        <v>19.360541416329689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560.26270089112268</v>
      </c>
    </row>
    <row r="54" spans="1:13" ht="15" customHeight="1">
      <c r="A54" s="9" t="s">
        <v>66</v>
      </c>
      <c r="B54" s="67">
        <v>1</v>
      </c>
      <c r="C54" s="8" t="s">
        <v>156</v>
      </c>
      <c r="D54" s="67">
        <v>13.434589514283759</v>
      </c>
      <c r="E54" s="8" t="s">
        <v>154</v>
      </c>
      <c r="F54" s="71">
        <v>11</v>
      </c>
      <c r="G54" s="8" t="s">
        <v>171</v>
      </c>
      <c r="H54" s="68">
        <v>132278</v>
      </c>
      <c r="I54" s="97" t="s">
        <v>248</v>
      </c>
      <c r="J54" s="98" t="s">
        <v>211</v>
      </c>
    </row>
    <row r="55" spans="1:13" ht="15" customHeight="1">
      <c r="A55" s="9" t="s">
        <v>157</v>
      </c>
      <c r="B55" s="67">
        <v>7</v>
      </c>
      <c r="C55" s="8" t="s">
        <v>158</v>
      </c>
      <c r="D55" s="67">
        <v>22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</row>
    <row r="56" spans="1:13" ht="15" customHeight="1" thickBot="1">
      <c r="A56" s="10" t="s">
        <v>162</v>
      </c>
      <c r="B56" s="78">
        <v>2</v>
      </c>
      <c r="C56" s="20" t="s">
        <v>163</v>
      </c>
      <c r="D56" s="78">
        <v>22.955984629434976</v>
      </c>
      <c r="E56" s="20" t="s">
        <v>164</v>
      </c>
      <c r="F56" s="80">
        <v>0</v>
      </c>
      <c r="G56" s="20" t="s">
        <v>165</v>
      </c>
      <c r="H56" s="77">
        <v>0.67847857142857138</v>
      </c>
      <c r="I56" s="99" t="s">
        <v>249</v>
      </c>
      <c r="J56" s="59" t="s">
        <v>212</v>
      </c>
    </row>
    <row r="57" spans="1:13" ht="15" customHeight="1">
      <c r="A57" s="22" t="s">
        <v>400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401</v>
      </c>
      <c r="D58" s="3" t="s">
        <v>119</v>
      </c>
      <c r="E58" s="3" t="s">
        <v>166</v>
      </c>
      <c r="F58" s="15" t="s">
        <v>402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0.22677947580814362</v>
      </c>
      <c r="D59" s="125">
        <v>0.69999998807907104</v>
      </c>
      <c r="E59" s="84">
        <v>77.970278833446201</v>
      </c>
      <c r="F59" s="85">
        <v>499.22158813476563</v>
      </c>
      <c r="G59" s="119"/>
      <c r="H59" s="31"/>
      <c r="I59" s="31"/>
      <c r="J59" s="44"/>
    </row>
    <row r="60" spans="1:13" ht="15" customHeight="1">
      <c r="A60" s="127">
        <v>7.9999994486570358E-3</v>
      </c>
      <c r="B60" s="84">
        <v>71.916120995171696</v>
      </c>
      <c r="C60" s="85">
        <v>75.481330871582031</v>
      </c>
      <c r="D60" s="125">
        <v>0.80000001192092896</v>
      </c>
      <c r="E60" s="84">
        <v>82.961654272264312</v>
      </c>
      <c r="F60" s="85">
        <v>503.67514038085938</v>
      </c>
      <c r="G60" s="119"/>
      <c r="H60" s="31"/>
      <c r="I60" s="31"/>
      <c r="J60" s="44"/>
    </row>
    <row r="61" spans="1:13" ht="15" customHeight="1">
      <c r="A61" s="127">
        <v>3.9999999105930328E-2</v>
      </c>
      <c r="B61" s="84">
        <v>225</v>
      </c>
      <c r="C61" s="85">
        <v>284.35906982421875</v>
      </c>
      <c r="D61" s="125">
        <v>0.89999997615814209</v>
      </c>
      <c r="E61" s="84">
        <v>91.366667433853252</v>
      </c>
      <c r="F61" s="85">
        <v>507.73077392578125</v>
      </c>
      <c r="G61" s="119"/>
      <c r="H61" s="31"/>
      <c r="I61" s="31"/>
      <c r="J61" s="44"/>
    </row>
    <row r="62" spans="1:13" ht="15" customHeight="1">
      <c r="A62" s="123">
        <v>9.1428570449352264E-2</v>
      </c>
      <c r="B62" s="84">
        <v>174.64142989658092</v>
      </c>
      <c r="C62" s="85">
        <v>393.17889404296875</v>
      </c>
      <c r="D62" s="126">
        <v>1</v>
      </c>
      <c r="E62" s="84">
        <v>105</v>
      </c>
      <c r="F62" s="85">
        <v>511.42855834960938</v>
      </c>
      <c r="G62" s="119"/>
      <c r="H62" s="31"/>
      <c r="I62" s="31"/>
      <c r="J62" s="44"/>
    </row>
    <row r="63" spans="1:13" ht="15" customHeight="1" thickBot="1">
      <c r="A63" s="123">
        <v>0.1428571492433548</v>
      </c>
      <c r="B63" s="84">
        <v>125.46985458202442</v>
      </c>
      <c r="C63" s="85">
        <v>434.3758544921875</v>
      </c>
      <c r="D63" s="399"/>
      <c r="E63" s="86"/>
      <c r="F63" s="400"/>
      <c r="G63" s="119"/>
      <c r="H63" s="31"/>
      <c r="I63" s="31"/>
      <c r="J63" s="44"/>
    </row>
    <row r="64" spans="1:13" ht="15" customHeight="1">
      <c r="A64" s="123">
        <v>0.19428572058677673</v>
      </c>
      <c r="B64" s="84">
        <v>98.911928549775894</v>
      </c>
      <c r="C64" s="85">
        <v>453.60983276367188</v>
      </c>
      <c r="D64" s="401" t="s">
        <v>435</v>
      </c>
      <c r="E64" s="402"/>
      <c r="F64" s="402"/>
      <c r="G64" s="119"/>
      <c r="H64" s="31"/>
      <c r="I64" s="31"/>
      <c r="J64" s="44"/>
    </row>
    <row r="65" spans="1:10" ht="15" customHeight="1">
      <c r="A65" s="123">
        <v>0.29714286327362061</v>
      </c>
      <c r="B65" s="84">
        <v>80.327107281965425</v>
      </c>
      <c r="C65" s="85">
        <v>471.8004150390625</v>
      </c>
      <c r="D65" s="403" t="s">
        <v>419</v>
      </c>
      <c r="E65" s="405" t="s">
        <v>434</v>
      </c>
      <c r="F65" s="405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73.5</v>
      </c>
      <c r="C66" s="85">
        <v>481.47457885742188</v>
      </c>
      <c r="D66" s="403" t="s">
        <v>416</v>
      </c>
      <c r="E66" s="405" t="s">
        <v>546</v>
      </c>
      <c r="F66" s="405"/>
      <c r="G66" s="119"/>
      <c r="H66" s="31"/>
      <c r="I66" s="31"/>
      <c r="J66" s="44"/>
    </row>
    <row r="67" spans="1:10" ht="15" customHeight="1">
      <c r="A67" s="123">
        <v>0.5</v>
      </c>
      <c r="B67" s="84">
        <v>73.865397106395307</v>
      </c>
      <c r="C67" s="85">
        <v>488.46221923828125</v>
      </c>
      <c r="D67" s="403" t="s">
        <v>423</v>
      </c>
      <c r="E67" s="405" t="s">
        <v>547</v>
      </c>
      <c r="F67" s="405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75.201260678520285</v>
      </c>
      <c r="C68" s="87">
        <v>494.28448486328125</v>
      </c>
      <c r="D68" s="404" t="s">
        <v>424</v>
      </c>
      <c r="E68" s="406" t="s">
        <v>436</v>
      </c>
      <c r="F68" s="406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0" t="s">
        <v>433</v>
      </c>
      <c r="B99" s="370"/>
      <c r="C99" s="370"/>
      <c r="D99" s="370"/>
      <c r="E99" s="370"/>
      <c r="F99" s="370"/>
      <c r="G99" s="370"/>
      <c r="H99" s="370"/>
      <c r="I99" s="370"/>
    </row>
    <row r="100" spans="1:9">
      <c r="A100" s="370">
        <v>100</v>
      </c>
      <c r="B100" s="370"/>
      <c r="C100" s="370"/>
      <c r="D100" s="370"/>
      <c r="E100" s="370"/>
      <c r="F100" s="370"/>
      <c r="G100" s="370"/>
      <c r="H100" s="370"/>
      <c r="I100" s="370"/>
    </row>
    <row r="101" spans="1:9">
      <c r="A101" s="370">
        <v>98.400001525878906</v>
      </c>
      <c r="B101" s="370"/>
      <c r="C101" s="370"/>
      <c r="D101" s="370"/>
      <c r="E101" s="370"/>
      <c r="F101" s="370"/>
      <c r="G101" s="370"/>
      <c r="H101" s="370"/>
      <c r="I101" s="370"/>
    </row>
    <row r="102" spans="1:9">
      <c r="A102" s="370">
        <v>89.75</v>
      </c>
      <c r="B102" s="370"/>
      <c r="C102" s="370"/>
      <c r="D102" s="370"/>
      <c r="E102" s="370"/>
      <c r="F102" s="370"/>
      <c r="G102" s="370"/>
      <c r="H102" s="370"/>
      <c r="I102" s="370"/>
    </row>
    <row r="103" spans="1:9">
      <c r="A103" s="370">
        <v>76.228569030761719</v>
      </c>
      <c r="B103" s="370"/>
      <c r="C103" s="370"/>
      <c r="D103" s="370"/>
      <c r="E103" s="370"/>
      <c r="F103" s="370"/>
      <c r="G103" s="370"/>
      <c r="H103" s="370"/>
      <c r="I103" s="370"/>
    </row>
    <row r="104" spans="1:9">
      <c r="A104" s="370">
        <v>62.857139587402344</v>
      </c>
      <c r="B104" s="370"/>
      <c r="C104" s="370"/>
      <c r="D104" s="370"/>
      <c r="E104" s="370"/>
      <c r="F104" s="370"/>
      <c r="G104" s="370"/>
      <c r="H104" s="370"/>
      <c r="I104" s="370"/>
    </row>
    <row r="105" spans="1:9">
      <c r="A105" s="370">
        <v>51.25714111328125</v>
      </c>
      <c r="B105" s="370"/>
      <c r="C105" s="370"/>
      <c r="D105" s="370"/>
      <c r="E105" s="370"/>
      <c r="F105" s="370"/>
      <c r="G105" s="370"/>
      <c r="H105" s="370"/>
      <c r="I105" s="370"/>
    </row>
    <row r="106" spans="1:9">
      <c r="A106" s="370">
        <v>33.485713958740234</v>
      </c>
      <c r="B106" s="370"/>
      <c r="C106" s="370"/>
      <c r="D106" s="370"/>
      <c r="E106" s="370"/>
      <c r="F106" s="370"/>
      <c r="G106" s="370"/>
      <c r="H106" s="370"/>
      <c r="I106" s="370"/>
    </row>
    <row r="107" spans="1:9">
      <c r="A107" s="370">
        <v>22</v>
      </c>
      <c r="B107" s="370"/>
      <c r="C107" s="370"/>
      <c r="D107" s="370"/>
      <c r="E107" s="370"/>
      <c r="F107" s="370"/>
      <c r="G107" s="370"/>
      <c r="H107" s="370"/>
      <c r="I107" s="370"/>
    </row>
    <row r="108" spans="1:9">
      <c r="A108" s="370">
        <v>14</v>
      </c>
      <c r="B108" s="370"/>
      <c r="C108" s="370"/>
      <c r="D108" s="370"/>
      <c r="E108" s="370"/>
      <c r="F108" s="370"/>
      <c r="G108" s="370"/>
      <c r="H108" s="370"/>
      <c r="I108" s="370"/>
    </row>
    <row r="109" spans="1:9">
      <c r="A109" s="370">
        <v>7.9999995231628418</v>
      </c>
      <c r="B109" s="370"/>
      <c r="C109" s="370"/>
      <c r="D109" s="370"/>
      <c r="E109" s="370"/>
      <c r="F109" s="370"/>
      <c r="G109" s="370"/>
      <c r="H109" s="370"/>
      <c r="I109" s="370"/>
    </row>
    <row r="110" spans="1:9">
      <c r="A110" s="370">
        <v>5.9999995231628418</v>
      </c>
      <c r="B110" s="370"/>
      <c r="C110" s="370"/>
      <c r="D110" s="370"/>
      <c r="E110" s="370"/>
      <c r="F110" s="370"/>
      <c r="G110" s="370"/>
      <c r="H110" s="370"/>
      <c r="I110" s="370"/>
    </row>
    <row r="111" spans="1:9">
      <c r="A111" s="370">
        <v>8.0000009536743164</v>
      </c>
      <c r="B111" s="370"/>
      <c r="C111" s="370"/>
      <c r="D111" s="370"/>
      <c r="E111" s="370"/>
      <c r="F111" s="370"/>
      <c r="G111" s="370"/>
      <c r="H111" s="370"/>
      <c r="I111" s="370"/>
    </row>
    <row r="112" spans="1:9">
      <c r="A112" s="370">
        <v>14.999996185302734</v>
      </c>
      <c r="B112" s="370"/>
      <c r="C112" s="370"/>
      <c r="D112" s="370"/>
      <c r="E112" s="370"/>
      <c r="F112" s="370"/>
      <c r="G112" s="370"/>
      <c r="H112" s="370"/>
      <c r="I112" s="370"/>
    </row>
    <row r="113" spans="1:9">
      <c r="A113" s="370">
        <v>30</v>
      </c>
      <c r="B113" s="370"/>
      <c r="C113" s="370"/>
      <c r="D113" s="370"/>
      <c r="E113" s="370"/>
      <c r="F113" s="370"/>
      <c r="G113" s="370"/>
      <c r="H113" s="370"/>
      <c r="I113" s="370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35" workbookViewId="0">
      <selection activeCell="G42" sqref="G42:K42"/>
    </sheetView>
  </sheetViews>
  <sheetFormatPr defaultColWidth="10.85546875" defaultRowHeight="15.75"/>
  <cols>
    <col min="1" max="1" width="11.5703125" style="325" customWidth="1"/>
    <col min="2" max="2" width="5.85546875" style="325" customWidth="1"/>
    <col min="3" max="3" width="6.7109375" style="325" customWidth="1"/>
    <col min="4" max="4" width="12.28515625" style="325" customWidth="1"/>
    <col min="5" max="5" width="12" style="325" customWidth="1"/>
    <col min="6" max="6" width="9" style="325" customWidth="1"/>
    <col min="7" max="7" width="5.42578125" style="325" customWidth="1"/>
    <col min="8" max="8" width="7.42578125" style="325" customWidth="1"/>
    <col min="9" max="9" width="6.28515625" style="325" customWidth="1"/>
    <col min="10" max="11" width="11.42578125" style="325" customWidth="1"/>
    <col min="12" max="26" width="10.85546875" style="186"/>
    <col min="27" max="16384" width="10.85546875" style="187"/>
  </cols>
  <sheetData>
    <row r="1" spans="1:26" ht="20.25" customHeight="1">
      <c r="A1" s="534" t="s">
        <v>269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</row>
    <row r="2" spans="1:26" ht="20.25" customHeight="1">
      <c r="A2" s="535" t="s">
        <v>270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</row>
    <row r="3" spans="1:26" ht="18.75" customHeight="1" thickBot="1">
      <c r="A3" s="189" t="s">
        <v>1</v>
      </c>
      <c r="B3" s="190" t="s">
        <v>381</v>
      </c>
      <c r="C3" s="191"/>
      <c r="D3" s="191"/>
      <c r="E3" s="191"/>
      <c r="F3" s="188"/>
      <c r="G3" s="191"/>
      <c r="H3" s="191"/>
      <c r="I3" s="189" t="s">
        <v>271</v>
      </c>
      <c r="J3" s="536" t="s">
        <v>399</v>
      </c>
      <c r="K3" s="536"/>
    </row>
    <row r="4" spans="1:26" s="200" customFormat="1" ht="18.399999999999999" customHeight="1" thickBot="1">
      <c r="A4" s="192" t="s">
        <v>382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272</v>
      </c>
      <c r="R4" s="198"/>
      <c r="S4" s="196"/>
      <c r="T4" s="197" t="s">
        <v>273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537" t="s">
        <v>274</v>
      </c>
      <c r="B5" s="538"/>
      <c r="C5" s="538"/>
      <c r="D5" s="201"/>
      <c r="E5" s="202"/>
      <c r="F5" s="203" t="s">
        <v>275</v>
      </c>
      <c r="G5" s="191"/>
      <c r="H5" s="191"/>
      <c r="I5" s="204"/>
      <c r="J5" s="205" t="s">
        <v>276</v>
      </c>
      <c r="K5" s="206" t="s">
        <v>277</v>
      </c>
      <c r="L5" s="196"/>
      <c r="M5" s="196"/>
      <c r="N5" s="196"/>
      <c r="O5" s="196"/>
      <c r="P5" s="196"/>
      <c r="Q5" s="207" t="s">
        <v>278</v>
      </c>
      <c r="R5" s="208"/>
      <c r="S5" s="196"/>
      <c r="T5" s="207" t="s">
        <v>279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539" t="s">
        <v>67</v>
      </c>
      <c r="B6" s="540"/>
      <c r="C6" s="540"/>
      <c r="D6" s="541" t="s">
        <v>279</v>
      </c>
      <c r="E6" s="542"/>
      <c r="F6" s="543" t="s">
        <v>281</v>
      </c>
      <c r="G6" s="544"/>
      <c r="H6" s="544"/>
      <c r="I6" s="544"/>
      <c r="J6" s="544"/>
      <c r="K6" s="545"/>
      <c r="L6" s="196"/>
      <c r="M6" s="196"/>
      <c r="N6" s="196"/>
      <c r="O6" s="196"/>
      <c r="P6" s="196"/>
      <c r="Q6" s="207" t="s">
        <v>282</v>
      </c>
      <c r="R6" s="208"/>
      <c r="S6" s="196"/>
      <c r="T6" s="207" t="s">
        <v>283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549" t="s">
        <v>20</v>
      </c>
      <c r="B7" s="550"/>
      <c r="C7" s="550"/>
      <c r="D7" s="551">
        <v>2.9000000953674299</v>
      </c>
      <c r="E7" s="552"/>
      <c r="F7" s="210" t="s">
        <v>284</v>
      </c>
      <c r="G7" s="211"/>
      <c r="H7" s="212"/>
      <c r="I7" s="213"/>
      <c r="J7" s="214" t="s">
        <v>387</v>
      </c>
      <c r="K7" s="215" t="s">
        <v>175</v>
      </c>
      <c r="L7" s="196"/>
      <c r="M7" s="196"/>
      <c r="N7" s="196"/>
      <c r="O7" s="196"/>
      <c r="P7" s="196"/>
      <c r="Q7" s="207" t="s">
        <v>285</v>
      </c>
      <c r="R7" s="208"/>
      <c r="S7" s="196"/>
      <c r="T7" s="207" t="s">
        <v>280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549" t="s">
        <v>286</v>
      </c>
      <c r="B8" s="550"/>
      <c r="C8" s="550"/>
      <c r="D8" s="553">
        <v>452</v>
      </c>
      <c r="E8" s="554"/>
      <c r="F8" s="216" t="s">
        <v>287</v>
      </c>
      <c r="G8" s="217"/>
      <c r="H8" s="218"/>
      <c r="I8" s="219"/>
      <c r="J8" s="220">
        <v>8767</v>
      </c>
      <c r="K8" s="221" t="s">
        <v>175</v>
      </c>
      <c r="L8" s="196"/>
      <c r="M8" s="196"/>
      <c r="N8" s="196"/>
      <c r="O8" s="196"/>
      <c r="P8" s="196"/>
      <c r="Q8" s="207" t="s">
        <v>288</v>
      </c>
      <c r="R8" s="208"/>
      <c r="S8" s="196"/>
      <c r="T8" s="207" t="s">
        <v>289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555" t="s">
        <v>290</v>
      </c>
      <c r="B9" s="556"/>
      <c r="C9" s="557"/>
      <c r="D9" s="553">
        <v>9</v>
      </c>
      <c r="E9" s="554"/>
      <c r="F9" s="210" t="s">
        <v>291</v>
      </c>
      <c r="G9" s="211"/>
      <c r="H9" s="222">
        <v>3</v>
      </c>
      <c r="I9" s="223" t="s">
        <v>292</v>
      </c>
      <c r="J9" s="224">
        <v>190</v>
      </c>
      <c r="K9" s="221" t="s">
        <v>175</v>
      </c>
      <c r="L9" s="196"/>
      <c r="M9" s="196"/>
      <c r="N9" s="196"/>
      <c r="O9" s="196"/>
      <c r="P9" s="196"/>
      <c r="Q9" s="207" t="s">
        <v>293</v>
      </c>
      <c r="R9" s="208"/>
      <c r="S9" s="196"/>
      <c r="T9" s="207" t="s">
        <v>294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555" t="s">
        <v>295</v>
      </c>
      <c r="B10" s="556"/>
      <c r="C10" s="557"/>
      <c r="D10" s="558" t="s">
        <v>203</v>
      </c>
      <c r="E10" s="559"/>
      <c r="F10" s="210" t="s">
        <v>296</v>
      </c>
      <c r="G10" s="211"/>
      <c r="H10" s="222">
        <v>3</v>
      </c>
      <c r="I10" s="223" t="s">
        <v>292</v>
      </c>
      <c r="J10" s="224">
        <v>1150</v>
      </c>
      <c r="K10" s="221" t="s">
        <v>175</v>
      </c>
      <c r="L10" s="196"/>
      <c r="M10" s="196"/>
      <c r="N10" s="196"/>
      <c r="O10" s="196"/>
      <c r="P10" s="196"/>
      <c r="Q10" s="207" t="s">
        <v>297</v>
      </c>
      <c r="R10" s="208"/>
      <c r="S10" s="196"/>
      <c r="T10" s="225" t="s">
        <v>298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555" t="s">
        <v>299</v>
      </c>
      <c r="B11" s="556"/>
      <c r="C11" s="557"/>
      <c r="D11" s="560" t="s">
        <v>204</v>
      </c>
      <c r="E11" s="561"/>
      <c r="F11" s="227" t="s">
        <v>300</v>
      </c>
      <c r="G11" s="228"/>
      <c r="H11" s="229">
        <v>3</v>
      </c>
      <c r="I11" s="223" t="s">
        <v>292</v>
      </c>
      <c r="J11" s="230">
        <v>33934</v>
      </c>
      <c r="K11" s="231" t="s">
        <v>175</v>
      </c>
      <c r="L11" s="196"/>
      <c r="M11" s="196"/>
      <c r="N11" s="196"/>
      <c r="O11" s="196"/>
      <c r="P11" s="196"/>
      <c r="Q11" s="207" t="s">
        <v>301</v>
      </c>
      <c r="R11" s="208"/>
      <c r="S11" s="196"/>
      <c r="T11" s="197" t="s">
        <v>302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303</v>
      </c>
      <c r="C12" s="233"/>
      <c r="D12" s="562" t="s">
        <v>175</v>
      </c>
      <c r="E12" s="563"/>
      <c r="F12" s="546" t="s">
        <v>304</v>
      </c>
      <c r="G12" s="547"/>
      <c r="H12" s="547"/>
      <c r="I12" s="547"/>
      <c r="J12" s="547"/>
      <c r="K12" s="548"/>
      <c r="L12" s="196"/>
      <c r="M12" s="196"/>
      <c r="N12" s="196"/>
      <c r="O12" s="196"/>
      <c r="P12" s="196"/>
      <c r="Q12" s="225" t="s">
        <v>305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555" t="s">
        <v>53</v>
      </c>
      <c r="B13" s="556"/>
      <c r="C13" s="557"/>
      <c r="D13" s="564" t="s">
        <v>384</v>
      </c>
      <c r="E13" s="565"/>
      <c r="F13" s="235"/>
      <c r="G13" s="236" t="s">
        <v>306</v>
      </c>
      <c r="H13" s="237"/>
      <c r="I13" s="238" t="s">
        <v>307</v>
      </c>
      <c r="J13" s="239" t="s">
        <v>389</v>
      </c>
      <c r="K13" s="240" t="s">
        <v>175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555" t="s">
        <v>56</v>
      </c>
      <c r="B14" s="556"/>
      <c r="C14" s="557"/>
      <c r="D14" s="562">
        <v>1042</v>
      </c>
      <c r="E14" s="563"/>
      <c r="F14" s="235"/>
      <c r="G14" s="241" t="s">
        <v>10</v>
      </c>
      <c r="H14" s="242"/>
      <c r="I14" s="242"/>
      <c r="J14" s="224" t="s">
        <v>175</v>
      </c>
      <c r="K14" s="221" t="s">
        <v>175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66" t="s">
        <v>308</v>
      </c>
      <c r="B15" s="567"/>
      <c r="C15" s="568"/>
      <c r="D15" s="569">
        <v>13.536800384521484</v>
      </c>
      <c r="E15" s="570"/>
      <c r="F15" s="235"/>
      <c r="G15" s="241" t="s">
        <v>309</v>
      </c>
      <c r="H15" s="242"/>
      <c r="I15" s="242"/>
      <c r="J15" s="224" t="s">
        <v>175</v>
      </c>
      <c r="K15" s="221" t="s">
        <v>175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73" t="s">
        <v>310</v>
      </c>
      <c r="B16" s="574"/>
      <c r="C16" s="575"/>
      <c r="D16" s="569">
        <v>3.7956001758575439</v>
      </c>
      <c r="E16" s="570"/>
      <c r="F16" s="244"/>
      <c r="G16" s="245" t="s">
        <v>17</v>
      </c>
      <c r="H16" s="246"/>
      <c r="I16" s="246"/>
      <c r="J16" s="230" t="s">
        <v>175</v>
      </c>
      <c r="K16" s="231" t="s">
        <v>175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7" t="s">
        <v>311</v>
      </c>
      <c r="B17" s="248"/>
      <c r="C17" s="249"/>
      <c r="D17" s="560" t="s">
        <v>383</v>
      </c>
      <c r="E17" s="561"/>
      <c r="F17" s="546" t="s">
        <v>312</v>
      </c>
      <c r="G17" s="547"/>
      <c r="H17" s="547"/>
      <c r="I17" s="547"/>
      <c r="J17" s="547"/>
      <c r="K17" s="548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50" t="s">
        <v>313</v>
      </c>
      <c r="B18" s="251"/>
      <c r="C18" s="249"/>
      <c r="D18" s="558" t="s">
        <v>175</v>
      </c>
      <c r="E18" s="559"/>
      <c r="F18" s="576"/>
      <c r="G18" s="577"/>
      <c r="H18" s="252" t="s">
        <v>314</v>
      </c>
      <c r="I18" s="253"/>
      <c r="J18" s="220" t="s">
        <v>386</v>
      </c>
      <c r="K18" s="221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82" t="s">
        <v>315</v>
      </c>
      <c r="B19" s="583"/>
      <c r="C19" s="584"/>
      <c r="D19" s="585" t="s">
        <v>175</v>
      </c>
      <c r="E19" s="561"/>
      <c r="F19" s="578"/>
      <c r="G19" s="579"/>
      <c r="H19" s="252" t="s">
        <v>5</v>
      </c>
      <c r="I19" s="213"/>
      <c r="J19" s="220">
        <v>3550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4" t="s">
        <v>316</v>
      </c>
      <c r="C20" s="255"/>
      <c r="D20" s="586" t="s">
        <v>202</v>
      </c>
      <c r="E20" s="554"/>
      <c r="F20" s="578"/>
      <c r="G20" s="579"/>
      <c r="H20" s="252" t="s">
        <v>317</v>
      </c>
      <c r="I20" s="213"/>
      <c r="J20" s="224" t="s">
        <v>358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66" t="s">
        <v>318</v>
      </c>
      <c r="B21" s="567"/>
      <c r="C21" s="568"/>
      <c r="D21" s="553" t="s">
        <v>175</v>
      </c>
      <c r="E21" s="554"/>
      <c r="F21" s="578"/>
      <c r="G21" s="579"/>
      <c r="H21" s="256" t="s">
        <v>319</v>
      </c>
      <c r="I21" s="213"/>
      <c r="J21" s="224">
        <v>1.1499999999999999</v>
      </c>
      <c r="K21" s="221"/>
      <c r="L21" s="196"/>
      <c r="M21" s="196"/>
      <c r="N21" s="196"/>
      <c r="O21" s="196"/>
      <c r="P21" s="196"/>
      <c r="Q21" s="197" t="s">
        <v>320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50" t="s">
        <v>321</v>
      </c>
      <c r="B22" s="257"/>
      <c r="C22" s="257"/>
      <c r="D22" s="587">
        <v>0.23389999568462372</v>
      </c>
      <c r="E22" s="588"/>
      <c r="F22" s="578"/>
      <c r="G22" s="579"/>
      <c r="H22" s="252" t="s">
        <v>276</v>
      </c>
      <c r="I22" s="213"/>
      <c r="J22" s="224"/>
      <c r="K22" s="221"/>
      <c r="L22" s="196"/>
      <c r="M22" s="196"/>
      <c r="N22" s="196"/>
      <c r="O22" s="196"/>
      <c r="P22" s="196"/>
      <c r="Q22" s="207" t="s">
        <v>322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8" t="s">
        <v>323</v>
      </c>
      <c r="B23" s="259" t="s">
        <v>324</v>
      </c>
      <c r="C23" s="260"/>
      <c r="D23" s="564">
        <v>141.80000000000001</v>
      </c>
      <c r="E23" s="565"/>
      <c r="F23" s="578"/>
      <c r="G23" s="579"/>
      <c r="H23" s="261" t="s">
        <v>325</v>
      </c>
      <c r="I23" s="262"/>
      <c r="J23" s="263"/>
      <c r="K23" s="264"/>
      <c r="L23" s="196"/>
      <c r="Q23" s="207" t="s">
        <v>326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5" t="s">
        <v>327</v>
      </c>
      <c r="B24" s="266" t="s">
        <v>328</v>
      </c>
      <c r="C24" s="267"/>
      <c r="D24" s="589">
        <v>159.5</v>
      </c>
      <c r="E24" s="590"/>
      <c r="F24" s="578"/>
      <c r="G24" s="579"/>
      <c r="H24" s="252" t="s">
        <v>329</v>
      </c>
      <c r="I24" s="233"/>
      <c r="J24" s="268"/>
      <c r="K24" s="269"/>
      <c r="Q24" s="270" t="s">
        <v>175</v>
      </c>
      <c r="R24" s="271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2" t="s">
        <v>330</v>
      </c>
      <c r="B25" s="273"/>
      <c r="C25" s="273"/>
      <c r="D25" s="274"/>
      <c r="E25" s="274" t="s">
        <v>331</v>
      </c>
      <c r="F25" s="578"/>
      <c r="G25" s="579"/>
      <c r="H25" s="252" t="s">
        <v>332</v>
      </c>
      <c r="I25" s="233"/>
      <c r="J25" s="275">
        <v>87.5</v>
      </c>
      <c r="K25" s="269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6" t="s">
        <v>333</v>
      </c>
      <c r="B26" s="277"/>
      <c r="C26" s="278"/>
      <c r="D26" s="279" t="s">
        <v>390</v>
      </c>
      <c r="E26" s="279" t="s">
        <v>391</v>
      </c>
      <c r="F26" s="580"/>
      <c r="G26" s="581"/>
      <c r="H26" s="591"/>
      <c r="I26" s="592"/>
      <c r="J26" s="280"/>
      <c r="K26" s="281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71" t="s">
        <v>334</v>
      </c>
      <c r="B27" s="572"/>
      <c r="C27" s="572"/>
      <c r="D27" s="572"/>
      <c r="E27" s="572"/>
      <c r="F27" s="543" t="s">
        <v>335</v>
      </c>
      <c r="G27" s="544"/>
      <c r="H27" s="544"/>
      <c r="I27" s="544"/>
      <c r="J27" s="544"/>
      <c r="K27" s="545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595"/>
      <c r="B28" s="596"/>
      <c r="C28" s="596"/>
      <c r="D28" s="596"/>
      <c r="E28" s="597"/>
      <c r="F28" s="282"/>
      <c r="G28" s="283"/>
      <c r="H28" s="241" t="s">
        <v>336</v>
      </c>
      <c r="I28" s="284" t="s">
        <v>385</v>
      </c>
      <c r="J28" s="220" t="s">
        <v>388</v>
      </c>
      <c r="K28" s="215" t="s">
        <v>175</v>
      </c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595"/>
      <c r="B29" s="596"/>
      <c r="C29" s="596"/>
      <c r="D29" s="596"/>
      <c r="E29" s="597"/>
      <c r="F29" s="285"/>
      <c r="G29" s="286"/>
      <c r="H29" s="241" t="s">
        <v>337</v>
      </c>
      <c r="I29" s="287">
        <v>60</v>
      </c>
      <c r="J29" s="220">
        <v>105</v>
      </c>
      <c r="K29" s="215" t="s">
        <v>175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595"/>
      <c r="B30" s="596"/>
      <c r="C30" s="596"/>
      <c r="D30" s="596"/>
      <c r="E30" s="597"/>
      <c r="F30" s="285"/>
      <c r="G30" s="286"/>
      <c r="H30" s="241" t="s">
        <v>338</v>
      </c>
      <c r="I30" s="287">
        <v>175</v>
      </c>
      <c r="J30" s="220">
        <v>228</v>
      </c>
      <c r="K30" s="215" t="s">
        <v>175</v>
      </c>
      <c r="L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595"/>
      <c r="B31" s="596"/>
      <c r="C31" s="596"/>
      <c r="D31" s="596"/>
      <c r="E31" s="597"/>
      <c r="F31" s="285"/>
      <c r="G31" s="286"/>
      <c r="H31" s="241" t="s">
        <v>339</v>
      </c>
      <c r="I31" s="242"/>
      <c r="J31" s="288">
        <v>1.25</v>
      </c>
      <c r="K31" s="215" t="s">
        <v>175</v>
      </c>
      <c r="L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598"/>
      <c r="B32" s="599"/>
      <c r="C32" s="599"/>
      <c r="D32" s="599"/>
      <c r="E32" s="600"/>
      <c r="F32" s="285"/>
      <c r="G32" s="289" t="s">
        <v>340</v>
      </c>
      <c r="H32" s="241" t="s">
        <v>341</v>
      </c>
      <c r="I32" s="290"/>
      <c r="J32" s="214">
        <v>93.8</v>
      </c>
      <c r="K32" s="215" t="s">
        <v>175</v>
      </c>
      <c r="L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71" t="s">
        <v>342</v>
      </c>
      <c r="B33" s="572"/>
      <c r="C33" s="572"/>
      <c r="D33" s="572"/>
      <c r="E33" s="601"/>
      <c r="F33" s="291"/>
      <c r="G33" s="292"/>
      <c r="H33" s="293" t="s">
        <v>343</v>
      </c>
      <c r="I33" s="294"/>
      <c r="J33" s="295">
        <v>87.6</v>
      </c>
      <c r="K33" s="296" t="s">
        <v>175</v>
      </c>
      <c r="L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595"/>
      <c r="B34" s="596"/>
      <c r="C34" s="596"/>
      <c r="D34" s="596"/>
      <c r="E34" s="597"/>
      <c r="F34" s="216" t="s">
        <v>344</v>
      </c>
      <c r="G34" s="297"/>
      <c r="H34" s="298" t="s">
        <v>14</v>
      </c>
      <c r="I34" s="299"/>
      <c r="J34" s="300">
        <v>9778</v>
      </c>
      <c r="K34" s="301" t="s">
        <v>175</v>
      </c>
      <c r="L34" s="302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595"/>
      <c r="B35" s="596"/>
      <c r="C35" s="596"/>
      <c r="D35" s="596"/>
      <c r="E35" s="597"/>
      <c r="F35" s="235"/>
      <c r="G35" s="303"/>
      <c r="H35" s="304" t="s">
        <v>15</v>
      </c>
      <c r="I35" s="243"/>
      <c r="J35" s="220">
        <v>7821</v>
      </c>
      <c r="K35" s="215" t="s">
        <v>175</v>
      </c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595"/>
      <c r="B36" s="596"/>
      <c r="C36" s="596"/>
      <c r="D36" s="596"/>
      <c r="E36" s="597"/>
      <c r="F36" s="235"/>
      <c r="G36" s="303"/>
      <c r="H36" s="304" t="s">
        <v>345</v>
      </c>
      <c r="I36" s="243"/>
      <c r="J36" s="220">
        <v>5075</v>
      </c>
      <c r="K36" s="215" t="s">
        <v>175</v>
      </c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595"/>
      <c r="B37" s="596"/>
      <c r="C37" s="596"/>
      <c r="D37" s="596"/>
      <c r="E37" s="597"/>
      <c r="F37" s="285"/>
      <c r="G37" s="303"/>
      <c r="H37" s="304" t="s">
        <v>346</v>
      </c>
      <c r="I37" s="243"/>
      <c r="J37" s="220">
        <v>3272</v>
      </c>
      <c r="K37" s="215" t="s">
        <v>175</v>
      </c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598"/>
      <c r="B38" s="599"/>
      <c r="C38" s="599"/>
      <c r="D38" s="599"/>
      <c r="E38" s="600"/>
      <c r="F38" s="244"/>
      <c r="G38" s="305"/>
      <c r="H38" s="306" t="s">
        <v>347</v>
      </c>
      <c r="I38" s="307"/>
      <c r="J38" s="308">
        <v>13264</v>
      </c>
      <c r="K38" s="309" t="s">
        <v>175</v>
      </c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71" t="s">
        <v>348</v>
      </c>
      <c r="B39" s="572"/>
      <c r="C39" s="572"/>
      <c r="D39" s="572"/>
      <c r="E39" s="572"/>
      <c r="F39" s="310" t="s">
        <v>349</v>
      </c>
      <c r="G39" s="311"/>
      <c r="H39" s="311"/>
      <c r="I39" s="311"/>
      <c r="J39" s="311"/>
      <c r="K39" s="312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595"/>
      <c r="B40" s="596"/>
      <c r="C40" s="596"/>
      <c r="D40" s="596"/>
      <c r="E40" s="597"/>
      <c r="F40" s="313" t="s">
        <v>392</v>
      </c>
      <c r="G40" s="314"/>
      <c r="H40" s="314"/>
      <c r="I40" s="314"/>
      <c r="J40" s="314"/>
      <c r="K40" s="315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595"/>
      <c r="B41" s="596"/>
      <c r="C41" s="596"/>
      <c r="D41" s="596"/>
      <c r="E41" s="597"/>
      <c r="F41" s="313"/>
      <c r="G41" s="316" t="s">
        <v>393</v>
      </c>
      <c r="H41" s="316"/>
      <c r="I41" s="316"/>
      <c r="J41" s="316"/>
      <c r="K41" s="317"/>
      <c r="L41" s="318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595"/>
      <c r="B42" s="596"/>
      <c r="C42" s="596"/>
      <c r="D42" s="596"/>
      <c r="E42" s="597"/>
      <c r="F42" s="313"/>
      <c r="G42" s="316" t="s">
        <v>717</v>
      </c>
      <c r="H42" s="316"/>
      <c r="I42" s="316"/>
      <c r="J42" s="316"/>
      <c r="K42" s="317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595"/>
      <c r="B43" s="596"/>
      <c r="C43" s="596"/>
      <c r="D43" s="596"/>
      <c r="E43" s="597"/>
      <c r="F43" s="313"/>
      <c r="G43" s="316"/>
      <c r="H43" s="316"/>
      <c r="I43" s="316"/>
      <c r="J43" s="316"/>
      <c r="K43" s="317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602"/>
      <c r="B44" s="603"/>
      <c r="C44" s="603"/>
      <c r="D44" s="603"/>
      <c r="E44" s="604"/>
      <c r="F44" s="313"/>
      <c r="G44" s="316"/>
      <c r="H44" s="316"/>
      <c r="I44" s="316"/>
      <c r="J44" s="316"/>
      <c r="K44" s="317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19" t="s">
        <v>350</v>
      </c>
      <c r="B45" s="605"/>
      <c r="C45" s="606"/>
      <c r="D45" s="320" t="s">
        <v>351</v>
      </c>
      <c r="E45" s="364" t="s">
        <v>394</v>
      </c>
      <c r="F45" s="321"/>
      <c r="G45" s="366" t="s">
        <v>395</v>
      </c>
      <c r="H45" s="366"/>
      <c r="I45" s="366"/>
      <c r="J45" s="366"/>
      <c r="K45" s="367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2" t="s">
        <v>353</v>
      </c>
      <c r="B46" s="593"/>
      <c r="C46" s="594"/>
      <c r="D46" s="323" t="s">
        <v>353</v>
      </c>
      <c r="E46" s="365">
        <v>38163</v>
      </c>
      <c r="F46" s="324"/>
      <c r="G46" s="368" t="s">
        <v>396</v>
      </c>
      <c r="H46" s="368"/>
      <c r="I46" s="368"/>
      <c r="J46" s="368"/>
      <c r="K46" s="369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25"/>
      <c r="G47" s="196" t="s">
        <v>397</v>
      </c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 t="s">
        <v>398</v>
      </c>
      <c r="H48" s="196"/>
      <c r="I48" s="196"/>
      <c r="J48" s="196"/>
      <c r="K48" s="196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$T$5:$T$11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E45" sqref="E45"/>
    </sheetView>
  </sheetViews>
  <sheetFormatPr defaultColWidth="8.7109375" defaultRowHeight="12.75"/>
  <cols>
    <col min="1" max="1" width="8.7109375" style="331" customWidth="1"/>
    <col min="2" max="2" width="17.28515625" style="331" customWidth="1"/>
    <col min="3" max="3" width="20.5703125" style="331" customWidth="1"/>
    <col min="4" max="4" width="20.28515625" style="331" bestFit="1" customWidth="1"/>
    <col min="5" max="5" width="6.5703125" style="331" bestFit="1" customWidth="1"/>
    <col min="6" max="6" width="28.28515625" style="331" customWidth="1"/>
    <col min="7" max="7" width="41.5703125" style="331" customWidth="1"/>
    <col min="8" max="8" width="16.28515625" style="331" customWidth="1"/>
    <col min="9" max="9" width="7.42578125" style="331" customWidth="1"/>
    <col min="10" max="10" width="2.28515625" style="331" bestFit="1" customWidth="1"/>
    <col min="11" max="12" width="2.28515625" style="331" customWidth="1"/>
    <col min="13" max="13" width="2.42578125" style="331" bestFit="1" customWidth="1"/>
    <col min="14" max="14" width="2.28515625" style="331" bestFit="1" customWidth="1"/>
    <col min="15" max="16384" width="8.7109375" style="331"/>
  </cols>
  <sheetData>
    <row r="1" spans="2:14" ht="12.75" customHeight="1">
      <c r="B1" s="326"/>
      <c r="C1" s="327"/>
      <c r="D1" s="327"/>
      <c r="E1" s="327"/>
      <c r="F1" s="327"/>
      <c r="G1" s="327"/>
      <c r="H1" s="328"/>
      <c r="I1" s="329"/>
      <c r="J1" s="330" t="s">
        <v>354</v>
      </c>
      <c r="K1" s="330" t="s">
        <v>355</v>
      </c>
      <c r="L1" s="330" t="s">
        <v>356</v>
      </c>
      <c r="M1" s="330" t="s">
        <v>355</v>
      </c>
      <c r="N1" s="330"/>
    </row>
    <row r="2" spans="2:14" ht="12.75" customHeight="1">
      <c r="B2" s="615" t="s">
        <v>357</v>
      </c>
      <c r="C2" s="616"/>
      <c r="D2" s="616"/>
      <c r="E2" s="616"/>
      <c r="F2" s="616"/>
      <c r="G2" s="616"/>
      <c r="H2" s="334"/>
      <c r="I2" s="335"/>
      <c r="J2" s="336" t="s">
        <v>358</v>
      </c>
      <c r="K2" s="336" t="s">
        <v>359</v>
      </c>
      <c r="L2" s="336" t="s">
        <v>360</v>
      </c>
      <c r="M2" s="336" t="s">
        <v>361</v>
      </c>
      <c r="N2" s="336" t="s">
        <v>362</v>
      </c>
    </row>
    <row r="3" spans="2:14" ht="12.75" customHeight="1">
      <c r="B3" s="615"/>
      <c r="C3" s="616"/>
      <c r="D3" s="616"/>
      <c r="E3" s="616"/>
      <c r="F3" s="616"/>
      <c r="G3" s="616"/>
      <c r="H3" s="334"/>
      <c r="I3" s="335"/>
      <c r="J3" s="336" t="s">
        <v>363</v>
      </c>
      <c r="K3" s="336"/>
      <c r="L3" s="336" t="s">
        <v>364</v>
      </c>
      <c r="M3" s="336" t="s">
        <v>354</v>
      </c>
      <c r="N3" s="336"/>
    </row>
    <row r="4" spans="2:14" ht="12.75" customHeight="1">
      <c r="B4" s="615"/>
      <c r="C4" s="616"/>
      <c r="D4" s="616"/>
      <c r="E4" s="616"/>
      <c r="F4" s="616"/>
      <c r="G4" s="616"/>
      <c r="H4" s="334"/>
      <c r="I4" s="335"/>
      <c r="J4" s="336" t="s">
        <v>365</v>
      </c>
      <c r="K4" s="336"/>
      <c r="L4" s="336" t="s">
        <v>360</v>
      </c>
      <c r="M4" s="336" t="s">
        <v>358</v>
      </c>
      <c r="N4" s="336"/>
    </row>
    <row r="5" spans="2:14" ht="12.75" customHeight="1">
      <c r="B5" s="332"/>
      <c r="C5" s="333"/>
      <c r="D5" s="333"/>
      <c r="E5" s="333"/>
      <c r="F5" s="333"/>
      <c r="G5" s="333"/>
      <c r="H5" s="334"/>
      <c r="I5" s="335"/>
      <c r="J5" s="336"/>
      <c r="K5" s="336" t="s">
        <v>366</v>
      </c>
      <c r="L5" s="336" t="s">
        <v>355</v>
      </c>
      <c r="M5" s="336"/>
      <c r="N5" s="336" t="s">
        <v>360</v>
      </c>
    </row>
    <row r="6" spans="2:14" ht="12" customHeight="1">
      <c r="B6" s="337"/>
      <c r="C6" s="338"/>
      <c r="D6" s="338"/>
      <c r="F6" s="338"/>
      <c r="H6" s="339"/>
      <c r="I6" s="335"/>
      <c r="J6" s="336" t="s">
        <v>359</v>
      </c>
      <c r="K6" s="336" t="s">
        <v>367</v>
      </c>
      <c r="L6" s="336"/>
      <c r="M6" s="336" t="s">
        <v>355</v>
      </c>
      <c r="N6" s="336" t="s">
        <v>368</v>
      </c>
    </row>
    <row r="7" spans="2:14" ht="12.75" customHeight="1">
      <c r="B7" s="337"/>
      <c r="D7" s="340"/>
      <c r="H7" s="339"/>
      <c r="I7" s="335"/>
      <c r="J7" s="336" t="s">
        <v>184</v>
      </c>
      <c r="K7" s="336" t="s">
        <v>363</v>
      </c>
      <c r="L7" s="336" t="s">
        <v>363</v>
      </c>
      <c r="M7" s="336" t="s">
        <v>358</v>
      </c>
      <c r="N7" s="336" t="s">
        <v>369</v>
      </c>
    </row>
    <row r="8" spans="2:14" ht="12.75" customHeight="1">
      <c r="B8" s="337"/>
      <c r="G8" s="340"/>
      <c r="H8" s="341"/>
      <c r="I8" s="336" t="s">
        <v>369</v>
      </c>
      <c r="J8" s="336" t="s">
        <v>355</v>
      </c>
      <c r="K8" s="336" t="s">
        <v>370</v>
      </c>
      <c r="L8" s="336" t="s">
        <v>358</v>
      </c>
      <c r="M8" s="336" t="s">
        <v>369</v>
      </c>
      <c r="N8" s="336" t="s">
        <v>367</v>
      </c>
    </row>
    <row r="9" spans="2:14">
      <c r="B9" s="336" t="s">
        <v>371</v>
      </c>
      <c r="C9" s="341" t="s">
        <v>372</v>
      </c>
      <c r="D9" s="341" t="s">
        <v>373</v>
      </c>
      <c r="E9" s="341" t="s">
        <v>374</v>
      </c>
      <c r="F9" s="336" t="s">
        <v>375</v>
      </c>
      <c r="G9" s="336" t="s">
        <v>376</v>
      </c>
      <c r="H9" s="336" t="s">
        <v>377</v>
      </c>
      <c r="I9" s="336" t="s">
        <v>365</v>
      </c>
      <c r="J9" s="336" t="s">
        <v>184</v>
      </c>
      <c r="K9" s="336" t="s">
        <v>358</v>
      </c>
      <c r="L9" s="336" t="s">
        <v>370</v>
      </c>
      <c r="M9" s="336" t="s">
        <v>355</v>
      </c>
      <c r="N9" s="336" t="s">
        <v>356</v>
      </c>
    </row>
    <row r="10" spans="2:14" ht="15" customHeight="1">
      <c r="B10" s="342"/>
      <c r="C10" s="343"/>
      <c r="D10" s="343"/>
      <c r="E10" s="343"/>
      <c r="F10" s="344"/>
      <c r="G10" s="345"/>
      <c r="H10" s="345"/>
      <c r="I10" s="346"/>
      <c r="J10" s="347"/>
      <c r="K10" s="347"/>
      <c r="L10" s="347"/>
      <c r="M10" s="347"/>
      <c r="N10" s="348"/>
    </row>
    <row r="11" spans="2:14" ht="15" customHeight="1">
      <c r="B11" s="342"/>
      <c r="C11" s="344"/>
      <c r="D11" s="344"/>
      <c r="E11" s="344"/>
      <c r="F11" s="344"/>
      <c r="G11" s="344"/>
      <c r="H11" s="344"/>
      <c r="I11" s="349"/>
      <c r="J11" s="347"/>
      <c r="K11" s="347"/>
      <c r="L11" s="347"/>
      <c r="M11" s="347"/>
      <c r="N11" s="348"/>
    </row>
    <row r="12" spans="2:14" ht="15" customHeight="1">
      <c r="B12" s="342"/>
      <c r="C12" s="344"/>
      <c r="D12" s="344"/>
      <c r="E12" s="344"/>
      <c r="F12" s="344"/>
      <c r="G12" s="344"/>
      <c r="H12" s="344"/>
      <c r="I12" s="349"/>
      <c r="J12" s="350"/>
      <c r="K12" s="347"/>
      <c r="L12" s="347"/>
      <c r="M12" s="347"/>
      <c r="N12" s="348"/>
    </row>
    <row r="13" spans="2:14" ht="15" customHeight="1">
      <c r="B13" s="342"/>
      <c r="C13" s="344"/>
      <c r="D13" s="344"/>
      <c r="E13" s="344"/>
      <c r="F13" s="344"/>
      <c r="G13" s="344"/>
      <c r="H13" s="344"/>
      <c r="I13" s="349"/>
      <c r="J13" s="347"/>
      <c r="K13" s="347"/>
      <c r="L13" s="347"/>
      <c r="M13" s="347"/>
      <c r="N13" s="348"/>
    </row>
    <row r="14" spans="2:14" ht="15" customHeight="1">
      <c r="B14" s="342"/>
      <c r="C14" s="344"/>
      <c r="D14" s="344"/>
      <c r="E14" s="344"/>
      <c r="F14" s="344"/>
      <c r="G14" s="344"/>
      <c r="H14" s="344"/>
      <c r="I14" s="349"/>
      <c r="J14" s="347"/>
      <c r="K14" s="347"/>
      <c r="L14" s="347"/>
      <c r="M14" s="347"/>
      <c r="N14" s="348"/>
    </row>
    <row r="15" spans="2:14" ht="15" customHeight="1">
      <c r="B15" s="342"/>
      <c r="C15" s="344"/>
      <c r="D15" s="344"/>
      <c r="E15" s="344"/>
      <c r="F15" s="344"/>
      <c r="G15" s="344"/>
      <c r="H15" s="344"/>
      <c r="I15" s="349"/>
      <c r="J15" s="347"/>
      <c r="K15" s="347"/>
      <c r="L15" s="347"/>
      <c r="M15" s="347"/>
      <c r="N15" s="348"/>
    </row>
    <row r="16" spans="2:14" ht="15" customHeight="1">
      <c r="B16" s="342"/>
      <c r="C16" s="344"/>
      <c r="D16" s="344"/>
      <c r="E16" s="344"/>
      <c r="F16" s="344"/>
      <c r="G16" s="344"/>
      <c r="H16" s="344"/>
      <c r="I16" s="349"/>
      <c r="J16" s="347"/>
      <c r="K16" s="347"/>
      <c r="L16" s="347"/>
      <c r="M16" s="347"/>
      <c r="N16" s="348"/>
    </row>
    <row r="17" spans="2:14" ht="15" customHeight="1">
      <c r="B17" s="342"/>
      <c r="C17" s="344"/>
      <c r="D17" s="344"/>
      <c r="E17" s="344"/>
      <c r="F17" s="344"/>
      <c r="G17" s="344"/>
      <c r="H17" s="344"/>
      <c r="I17" s="349"/>
      <c r="J17" s="347"/>
      <c r="K17" s="347"/>
      <c r="L17" s="347"/>
      <c r="M17" s="347"/>
      <c r="N17" s="348"/>
    </row>
    <row r="18" spans="2:14" ht="15" customHeight="1">
      <c r="B18" s="342"/>
      <c r="C18" s="344"/>
      <c r="D18" s="344"/>
      <c r="E18" s="344"/>
      <c r="F18" s="344"/>
      <c r="G18" s="344"/>
      <c r="H18" s="344"/>
      <c r="I18" s="349"/>
      <c r="J18" s="347"/>
      <c r="K18" s="347"/>
      <c r="L18" s="347"/>
      <c r="M18" s="347"/>
      <c r="N18" s="348"/>
    </row>
    <row r="19" spans="2:14" ht="15" customHeight="1">
      <c r="B19" s="342"/>
      <c r="C19" s="344"/>
      <c r="D19" s="344"/>
      <c r="E19" s="344"/>
      <c r="F19" s="344"/>
      <c r="G19" s="344"/>
      <c r="H19" s="344"/>
      <c r="I19" s="349"/>
      <c r="J19" s="347"/>
      <c r="K19" s="347"/>
      <c r="L19" s="347"/>
      <c r="M19" s="347"/>
      <c r="N19" s="348"/>
    </row>
    <row r="20" spans="2:14" ht="15" customHeight="1">
      <c r="B20" s="342"/>
      <c r="C20" s="344"/>
      <c r="D20" s="344"/>
      <c r="E20" s="344"/>
      <c r="F20" s="344"/>
      <c r="G20" s="344"/>
      <c r="H20" s="344"/>
      <c r="I20" s="349"/>
      <c r="J20" s="347"/>
      <c r="K20" s="347"/>
      <c r="L20" s="347"/>
      <c r="M20" s="347"/>
      <c r="N20" s="348"/>
    </row>
    <row r="21" spans="2:14" ht="15" customHeight="1">
      <c r="B21" s="342"/>
      <c r="C21" s="344"/>
      <c r="D21" s="344"/>
      <c r="E21" s="344"/>
      <c r="F21" s="344"/>
      <c r="G21" s="344"/>
      <c r="H21" s="344"/>
      <c r="I21" s="349"/>
      <c r="J21" s="347"/>
      <c r="K21" s="347"/>
      <c r="L21" s="347"/>
      <c r="M21" s="347"/>
      <c r="N21" s="348"/>
    </row>
    <row r="22" spans="2:14" ht="15" customHeight="1">
      <c r="B22" s="342"/>
      <c r="C22" s="344"/>
      <c r="D22" s="344"/>
      <c r="E22" s="344"/>
      <c r="F22" s="344"/>
      <c r="G22" s="344"/>
      <c r="H22" s="344"/>
      <c r="I22" s="349"/>
      <c r="J22" s="347"/>
      <c r="K22" s="347"/>
      <c r="L22" s="347"/>
      <c r="M22" s="347"/>
      <c r="N22" s="348"/>
    </row>
    <row r="23" spans="2:14" ht="15" customHeight="1">
      <c r="B23" s="342"/>
      <c r="C23" s="344"/>
      <c r="D23" s="344"/>
      <c r="E23" s="344"/>
      <c r="F23" s="344"/>
      <c r="G23" s="344"/>
      <c r="H23" s="344"/>
      <c r="I23" s="349"/>
      <c r="J23" s="347"/>
      <c r="K23" s="347"/>
      <c r="L23" s="347"/>
      <c r="M23" s="347"/>
      <c r="N23" s="348"/>
    </row>
    <row r="24" spans="2:14" ht="15" customHeight="1">
      <c r="B24" s="342"/>
      <c r="C24" s="344"/>
      <c r="D24" s="344"/>
      <c r="E24" s="344"/>
      <c r="F24" s="344"/>
      <c r="G24" s="344"/>
      <c r="H24" s="344"/>
      <c r="I24" s="349"/>
      <c r="J24" s="347"/>
      <c r="K24" s="347"/>
      <c r="L24" s="347"/>
      <c r="M24" s="347"/>
      <c r="N24" s="348"/>
    </row>
    <row r="25" spans="2:14" ht="15" customHeight="1">
      <c r="B25" s="342"/>
      <c r="C25" s="344"/>
      <c r="D25" s="344"/>
      <c r="E25" s="344"/>
      <c r="F25" s="344"/>
      <c r="G25" s="344"/>
      <c r="H25" s="344"/>
      <c r="I25" s="349"/>
      <c r="J25" s="347"/>
      <c r="K25" s="347"/>
      <c r="L25" s="347"/>
      <c r="M25" s="347"/>
      <c r="N25" s="348"/>
    </row>
    <row r="26" spans="2:14" ht="15" customHeight="1">
      <c r="B26" s="342"/>
      <c r="C26" s="344"/>
      <c r="D26" s="344"/>
      <c r="E26" s="344"/>
      <c r="F26" s="344"/>
      <c r="G26" s="344"/>
      <c r="H26" s="344"/>
      <c r="I26" s="349"/>
      <c r="J26" s="347"/>
      <c r="K26" s="347"/>
      <c r="L26" s="347"/>
      <c r="M26" s="347"/>
      <c r="N26" s="348"/>
    </row>
    <row r="27" spans="2:14" ht="15" customHeight="1">
      <c r="B27" s="342"/>
      <c r="C27" s="344"/>
      <c r="D27" s="344"/>
      <c r="E27" s="344"/>
      <c r="F27" s="344"/>
      <c r="G27" s="344"/>
      <c r="H27" s="344"/>
      <c r="I27" s="349"/>
      <c r="J27" s="347"/>
      <c r="K27" s="347"/>
      <c r="L27" s="347"/>
      <c r="M27" s="347"/>
      <c r="N27" s="348"/>
    </row>
    <row r="28" spans="2:14" ht="15" customHeight="1">
      <c r="B28" s="342"/>
      <c r="C28" s="344"/>
      <c r="D28" s="344"/>
      <c r="E28" s="344"/>
      <c r="F28" s="344"/>
      <c r="G28" s="344"/>
      <c r="H28" s="344"/>
      <c r="I28" s="349"/>
      <c r="J28" s="347"/>
      <c r="K28" s="347"/>
      <c r="L28" s="347"/>
      <c r="M28" s="347"/>
      <c r="N28" s="348"/>
    </row>
    <row r="29" spans="2:14" ht="15" customHeight="1">
      <c r="B29" s="342"/>
      <c r="C29" s="344"/>
      <c r="D29" s="344"/>
      <c r="E29" s="344"/>
      <c r="F29" s="344"/>
      <c r="G29" s="344"/>
      <c r="H29" s="344"/>
      <c r="I29" s="349"/>
      <c r="J29" s="347"/>
      <c r="K29" s="347"/>
      <c r="L29" s="347"/>
      <c r="M29" s="347"/>
      <c r="N29" s="348"/>
    </row>
    <row r="30" spans="2:14" ht="15" customHeight="1">
      <c r="B30" s="342"/>
      <c r="C30" s="344"/>
      <c r="D30" s="344"/>
      <c r="E30" s="344"/>
      <c r="F30" s="344"/>
      <c r="G30" s="344"/>
      <c r="H30" s="344"/>
      <c r="I30" s="349"/>
      <c r="J30" s="347"/>
      <c r="K30" s="347"/>
      <c r="L30" s="347"/>
      <c r="M30" s="347"/>
      <c r="N30" s="348"/>
    </row>
    <row r="31" spans="2:14" ht="15" customHeight="1">
      <c r="B31" s="342"/>
      <c r="C31" s="344"/>
      <c r="D31" s="344"/>
      <c r="E31" s="344"/>
      <c r="F31" s="344"/>
      <c r="G31" s="344"/>
      <c r="H31" s="344"/>
      <c r="I31" s="349"/>
      <c r="J31" s="347"/>
      <c r="K31" s="347"/>
      <c r="L31" s="347"/>
      <c r="M31" s="347"/>
      <c r="N31" s="348"/>
    </row>
    <row r="32" spans="2:14" ht="15" customHeight="1">
      <c r="B32" s="342"/>
      <c r="C32" s="344"/>
      <c r="D32" s="344"/>
      <c r="E32" s="344"/>
      <c r="F32" s="344"/>
      <c r="G32" s="344"/>
      <c r="H32" s="344"/>
      <c r="I32" s="349"/>
      <c r="J32" s="347"/>
      <c r="K32" s="347"/>
      <c r="L32" s="347"/>
      <c r="M32" s="347"/>
      <c r="N32" s="348"/>
    </row>
    <row r="33" spans="2:14" ht="15" customHeight="1">
      <c r="B33" s="342"/>
      <c r="C33" s="344"/>
      <c r="D33" s="344"/>
      <c r="E33" s="344"/>
      <c r="F33" s="344"/>
      <c r="G33" s="344"/>
      <c r="H33" s="344"/>
      <c r="I33" s="349"/>
      <c r="J33" s="347"/>
      <c r="K33" s="347"/>
      <c r="L33" s="347"/>
      <c r="M33" s="347"/>
      <c r="N33" s="348"/>
    </row>
    <row r="34" spans="2:14" ht="15" customHeight="1">
      <c r="B34" s="342"/>
      <c r="C34" s="344"/>
      <c r="D34" s="344"/>
      <c r="E34" s="344"/>
      <c r="F34" s="344"/>
      <c r="G34" s="344"/>
      <c r="H34" s="344"/>
      <c r="I34" s="349"/>
      <c r="J34" s="347"/>
      <c r="K34" s="347"/>
      <c r="L34" s="347"/>
      <c r="M34" s="347"/>
      <c r="N34" s="348"/>
    </row>
    <row r="35" spans="2:14" ht="15" customHeight="1">
      <c r="B35" s="342"/>
      <c r="C35" s="344"/>
      <c r="D35" s="344"/>
      <c r="E35" s="344"/>
      <c r="F35" s="344"/>
      <c r="G35" s="344"/>
      <c r="H35" s="344"/>
      <c r="I35" s="349"/>
      <c r="J35" s="347"/>
      <c r="K35" s="347"/>
      <c r="L35" s="347"/>
      <c r="M35" s="347"/>
      <c r="N35" s="348"/>
    </row>
    <row r="36" spans="2:14" ht="15" customHeight="1">
      <c r="B36" s="342"/>
      <c r="C36" s="344"/>
      <c r="D36" s="344"/>
      <c r="E36" s="344"/>
      <c r="F36" s="344"/>
      <c r="G36" s="344"/>
      <c r="H36" s="344"/>
      <c r="I36" s="349"/>
      <c r="J36" s="347"/>
      <c r="K36" s="347"/>
      <c r="L36" s="347"/>
      <c r="M36" s="347"/>
      <c r="N36" s="348"/>
    </row>
    <row r="37" spans="2:14" ht="15" customHeight="1">
      <c r="B37" s="342"/>
      <c r="C37" s="344"/>
      <c r="D37" s="344"/>
      <c r="E37" s="344"/>
      <c r="F37" s="344"/>
      <c r="G37" s="344"/>
      <c r="H37" s="344"/>
      <c r="I37" s="349"/>
      <c r="J37" s="347"/>
      <c r="K37" s="347"/>
      <c r="L37" s="347"/>
      <c r="M37" s="347"/>
      <c r="N37" s="348"/>
    </row>
    <row r="38" spans="2:14" ht="15" customHeight="1">
      <c r="B38" s="342"/>
      <c r="C38" s="344"/>
      <c r="D38" s="344"/>
      <c r="E38" s="344"/>
      <c r="F38" s="344"/>
      <c r="G38" s="344"/>
      <c r="H38" s="344"/>
      <c r="I38" s="349"/>
      <c r="J38" s="347"/>
      <c r="K38" s="347"/>
      <c r="L38" s="347"/>
      <c r="M38" s="347"/>
      <c r="N38" s="348"/>
    </row>
    <row r="39" spans="2:14" ht="15" customHeight="1">
      <c r="B39" s="342"/>
      <c r="C39" s="344"/>
      <c r="D39" s="344"/>
      <c r="E39" s="344"/>
      <c r="F39" s="344"/>
      <c r="G39" s="344"/>
      <c r="H39" s="344"/>
      <c r="I39" s="349"/>
      <c r="J39" s="347"/>
      <c r="K39" s="347"/>
      <c r="L39" s="347"/>
      <c r="M39" s="347"/>
      <c r="N39" s="348"/>
    </row>
    <row r="40" spans="2:14" ht="15" customHeight="1">
      <c r="B40" s="342"/>
      <c r="C40" s="344"/>
      <c r="D40" s="344"/>
      <c r="E40" s="344"/>
      <c r="F40" s="344"/>
      <c r="G40" s="344"/>
      <c r="H40" s="344"/>
      <c r="I40" s="349"/>
      <c r="J40" s="347"/>
      <c r="K40" s="347"/>
      <c r="L40" s="347"/>
      <c r="M40" s="347"/>
      <c r="N40" s="348"/>
    </row>
    <row r="41" spans="2:14" ht="15" customHeight="1">
      <c r="B41" s="342"/>
      <c r="C41" s="344"/>
      <c r="D41" s="344"/>
      <c r="E41" s="344"/>
      <c r="F41" s="344"/>
      <c r="G41" s="344"/>
      <c r="H41" s="344"/>
      <c r="I41" s="349"/>
      <c r="J41" s="347"/>
      <c r="K41" s="347"/>
      <c r="L41" s="347"/>
      <c r="M41" s="347"/>
      <c r="N41" s="348"/>
    </row>
    <row r="42" spans="2:14" ht="15" customHeight="1">
      <c r="B42" s="342"/>
      <c r="C42" s="344"/>
      <c r="D42" s="344"/>
      <c r="E42" s="344"/>
      <c r="F42" s="344"/>
      <c r="G42" s="344"/>
      <c r="H42" s="344"/>
      <c r="I42" s="349"/>
      <c r="J42" s="347"/>
      <c r="K42" s="347"/>
      <c r="L42" s="347"/>
      <c r="M42" s="347"/>
      <c r="N42" s="348"/>
    </row>
    <row r="43" spans="2:14" ht="15" customHeight="1">
      <c r="B43" s="342"/>
      <c r="C43" s="344"/>
      <c r="D43" s="344"/>
      <c r="E43" s="344"/>
      <c r="F43" s="344"/>
      <c r="G43" s="344"/>
      <c r="H43" s="344"/>
      <c r="I43" s="349"/>
      <c r="J43" s="347"/>
      <c r="K43" s="347"/>
      <c r="L43" s="347"/>
      <c r="M43" s="347"/>
      <c r="N43" s="348"/>
    </row>
    <row r="44" spans="2:14" ht="15" customHeight="1">
      <c r="B44" s="342"/>
      <c r="C44" s="344"/>
      <c r="D44" s="344"/>
      <c r="E44" s="344"/>
      <c r="F44" s="344"/>
      <c r="G44" s="344"/>
      <c r="H44" s="344"/>
      <c r="I44" s="349"/>
      <c r="J44" s="347"/>
      <c r="K44" s="347"/>
      <c r="L44" s="347"/>
      <c r="M44" s="347"/>
      <c r="N44" s="348"/>
    </row>
    <row r="45" spans="2:14" ht="15" customHeight="1">
      <c r="B45" s="342"/>
      <c r="C45" s="344"/>
      <c r="D45" s="344"/>
      <c r="E45" s="344"/>
      <c r="F45" s="344"/>
      <c r="G45" s="344"/>
      <c r="H45" s="344"/>
      <c r="I45" s="349"/>
      <c r="J45" s="347"/>
      <c r="K45" s="347"/>
      <c r="L45" s="347"/>
      <c r="M45" s="347"/>
      <c r="N45" s="348"/>
    </row>
    <row r="46" spans="2:14" ht="15" customHeight="1">
      <c r="B46" s="342"/>
      <c r="C46" s="344"/>
      <c r="D46" s="344"/>
      <c r="E46" s="344"/>
      <c r="F46" s="344"/>
      <c r="G46" s="344"/>
      <c r="H46" s="344"/>
      <c r="I46" s="349"/>
      <c r="J46" s="347"/>
      <c r="K46" s="347"/>
      <c r="L46" s="347"/>
      <c r="M46" s="347"/>
      <c r="N46" s="348"/>
    </row>
    <row r="47" spans="2:14" ht="15" customHeight="1">
      <c r="B47" s="342"/>
      <c r="C47" s="344"/>
      <c r="D47" s="344"/>
      <c r="E47" s="344"/>
      <c r="F47" s="344"/>
      <c r="G47" s="344"/>
      <c r="H47" s="344"/>
      <c r="I47" s="349"/>
      <c r="J47" s="347"/>
      <c r="K47" s="347"/>
      <c r="L47" s="347"/>
      <c r="M47" s="347"/>
      <c r="N47" s="348"/>
    </row>
    <row r="48" spans="2:14" ht="15" customHeight="1">
      <c r="B48" s="342"/>
      <c r="C48" s="344"/>
      <c r="D48" s="344"/>
      <c r="E48" s="344"/>
      <c r="F48" s="344"/>
      <c r="G48" s="344"/>
      <c r="H48" s="344"/>
      <c r="I48" s="349"/>
      <c r="J48" s="347"/>
      <c r="K48" s="347"/>
      <c r="L48" s="347"/>
      <c r="M48" s="347"/>
      <c r="N48" s="348"/>
    </row>
    <row r="49" spans="2:14" ht="15" customHeight="1">
      <c r="B49" s="342"/>
      <c r="C49" s="344"/>
      <c r="D49" s="344"/>
      <c r="E49" s="344"/>
      <c r="F49" s="344"/>
      <c r="G49" s="344"/>
      <c r="H49" s="344"/>
      <c r="I49" s="349"/>
      <c r="J49" s="347"/>
      <c r="K49" s="347"/>
      <c r="L49" s="347"/>
      <c r="M49" s="347"/>
      <c r="N49" s="348"/>
    </row>
    <row r="50" spans="2:14" ht="15" customHeight="1">
      <c r="B50" s="342"/>
      <c r="C50" s="344"/>
      <c r="D50" s="344"/>
      <c r="E50" s="344"/>
      <c r="F50" s="344"/>
      <c r="G50" s="344"/>
      <c r="H50" s="344"/>
      <c r="I50" s="349"/>
      <c r="J50" s="347"/>
      <c r="K50" s="347"/>
      <c r="L50" s="347"/>
      <c r="M50" s="347"/>
      <c r="N50" s="348"/>
    </row>
    <row r="51" spans="2:14" ht="15" customHeight="1">
      <c r="B51" s="342"/>
      <c r="C51" s="344"/>
      <c r="D51" s="344"/>
      <c r="E51" s="344"/>
      <c r="F51" s="344"/>
      <c r="G51" s="344"/>
      <c r="H51" s="344"/>
      <c r="I51" s="349"/>
      <c r="J51" s="347"/>
      <c r="K51" s="347"/>
      <c r="L51" s="347"/>
      <c r="M51" s="347"/>
      <c r="N51" s="348"/>
    </row>
    <row r="52" spans="2:14" ht="15" customHeight="1" thickBot="1">
      <c r="B52" s="351"/>
      <c r="C52" s="352"/>
      <c r="D52" s="352"/>
      <c r="E52" s="352"/>
      <c r="F52" s="352"/>
      <c r="G52" s="352"/>
      <c r="H52" s="352"/>
      <c r="I52" s="353"/>
      <c r="J52" s="354"/>
      <c r="K52" s="354"/>
      <c r="L52" s="354"/>
      <c r="M52" s="354"/>
      <c r="N52" s="355"/>
    </row>
    <row r="53" spans="2:14" ht="20.25" customHeight="1" thickBot="1">
      <c r="B53" s="617" t="s">
        <v>378</v>
      </c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</row>
    <row r="54" spans="2:14" ht="15" customHeight="1" thickBot="1">
      <c r="B54" s="356" t="s">
        <v>379</v>
      </c>
      <c r="C54" s="618" t="s">
        <v>376</v>
      </c>
      <c r="D54" s="619"/>
      <c r="E54" s="619"/>
      <c r="F54" s="619"/>
      <c r="G54" s="619"/>
      <c r="H54" s="357"/>
      <c r="I54" s="618" t="s">
        <v>371</v>
      </c>
      <c r="J54" s="619"/>
      <c r="K54" s="620"/>
      <c r="L54" s="618" t="s">
        <v>380</v>
      </c>
      <c r="M54" s="619"/>
      <c r="N54" s="621"/>
    </row>
    <row r="55" spans="2:14" ht="15" customHeight="1">
      <c r="B55" s="358"/>
      <c r="C55" s="607"/>
      <c r="D55" s="608"/>
      <c r="E55" s="608"/>
      <c r="F55" s="608"/>
      <c r="G55" s="608"/>
      <c r="H55" s="359"/>
      <c r="I55" s="609"/>
      <c r="J55" s="610"/>
      <c r="K55" s="611"/>
      <c r="L55" s="612"/>
      <c r="M55" s="613"/>
      <c r="N55" s="614"/>
    </row>
    <row r="56" spans="2:14" ht="15" customHeight="1">
      <c r="B56" s="360"/>
      <c r="C56" s="622"/>
      <c r="D56" s="623"/>
      <c r="E56" s="623"/>
      <c r="F56" s="623"/>
      <c r="G56" s="623"/>
      <c r="H56" s="361"/>
      <c r="I56" s="624"/>
      <c r="J56" s="625"/>
      <c r="K56" s="626"/>
      <c r="L56" s="627"/>
      <c r="M56" s="628"/>
      <c r="N56" s="629"/>
    </row>
    <row r="57" spans="2:14" ht="15" customHeight="1">
      <c r="B57" s="360"/>
      <c r="C57" s="622"/>
      <c r="D57" s="623"/>
      <c r="E57" s="623"/>
      <c r="F57" s="623"/>
      <c r="G57" s="623"/>
      <c r="H57" s="361"/>
      <c r="I57" s="624"/>
      <c r="J57" s="625"/>
      <c r="K57" s="626"/>
      <c r="L57" s="627"/>
      <c r="M57" s="628"/>
      <c r="N57" s="629"/>
    </row>
    <row r="58" spans="2:14" ht="15" customHeight="1">
      <c r="B58" s="360"/>
      <c r="C58" s="622"/>
      <c r="D58" s="623"/>
      <c r="E58" s="623"/>
      <c r="F58" s="623"/>
      <c r="G58" s="623"/>
      <c r="H58" s="361"/>
      <c r="I58" s="624"/>
      <c r="J58" s="625"/>
      <c r="K58" s="626"/>
      <c r="L58" s="627"/>
      <c r="M58" s="628"/>
      <c r="N58" s="629"/>
    </row>
    <row r="59" spans="2:14" ht="15" customHeight="1">
      <c r="B59" s="360"/>
      <c r="C59" s="622"/>
      <c r="D59" s="623"/>
      <c r="E59" s="623"/>
      <c r="F59" s="623"/>
      <c r="G59" s="623"/>
      <c r="H59" s="361"/>
      <c r="I59" s="624"/>
      <c r="J59" s="625"/>
      <c r="K59" s="626"/>
      <c r="L59" s="627"/>
      <c r="M59" s="628"/>
      <c r="N59" s="629"/>
    </row>
    <row r="60" spans="2:14" ht="15" customHeight="1">
      <c r="B60" s="360"/>
      <c r="C60" s="622"/>
      <c r="D60" s="623"/>
      <c r="E60" s="623"/>
      <c r="F60" s="623"/>
      <c r="G60" s="623"/>
      <c r="H60" s="361"/>
      <c r="I60" s="624"/>
      <c r="J60" s="625"/>
      <c r="K60" s="626"/>
      <c r="L60" s="627"/>
      <c r="M60" s="628"/>
      <c r="N60" s="629"/>
    </row>
    <row r="61" spans="2:14" ht="15" customHeight="1">
      <c r="B61" s="360"/>
      <c r="C61" s="622"/>
      <c r="D61" s="623"/>
      <c r="E61" s="623"/>
      <c r="F61" s="623"/>
      <c r="G61" s="623"/>
      <c r="H61" s="361"/>
      <c r="I61" s="624"/>
      <c r="J61" s="625"/>
      <c r="K61" s="626"/>
      <c r="L61" s="627"/>
      <c r="M61" s="628"/>
      <c r="N61" s="629"/>
    </row>
    <row r="62" spans="2:14" ht="15" customHeight="1">
      <c r="B62" s="360"/>
      <c r="C62" s="622"/>
      <c r="D62" s="623"/>
      <c r="E62" s="623"/>
      <c r="F62" s="623"/>
      <c r="G62" s="623"/>
      <c r="H62" s="361"/>
      <c r="I62" s="624"/>
      <c r="J62" s="625"/>
      <c r="K62" s="626"/>
      <c r="L62" s="627"/>
      <c r="M62" s="628"/>
      <c r="N62" s="629"/>
    </row>
    <row r="63" spans="2:14" ht="15" customHeight="1">
      <c r="B63" s="360"/>
      <c r="C63" s="622"/>
      <c r="D63" s="623"/>
      <c r="E63" s="623"/>
      <c r="F63" s="623"/>
      <c r="G63" s="623"/>
      <c r="H63" s="361"/>
      <c r="I63" s="624"/>
      <c r="J63" s="625"/>
      <c r="K63" s="626"/>
      <c r="L63" s="627"/>
      <c r="M63" s="628"/>
      <c r="N63" s="629"/>
    </row>
    <row r="64" spans="2:14" ht="15" customHeight="1">
      <c r="B64" s="360"/>
      <c r="C64" s="622"/>
      <c r="D64" s="623"/>
      <c r="E64" s="623"/>
      <c r="F64" s="623"/>
      <c r="G64" s="623"/>
      <c r="H64" s="361"/>
      <c r="I64" s="624"/>
      <c r="J64" s="625"/>
      <c r="K64" s="626"/>
      <c r="L64" s="627"/>
      <c r="M64" s="628"/>
      <c r="N64" s="629"/>
    </row>
    <row r="65" spans="2:14" ht="15" customHeight="1">
      <c r="B65" s="360"/>
      <c r="C65" s="622"/>
      <c r="D65" s="623"/>
      <c r="E65" s="623"/>
      <c r="F65" s="623"/>
      <c r="G65" s="623"/>
      <c r="H65" s="361"/>
      <c r="I65" s="624"/>
      <c r="J65" s="625"/>
      <c r="K65" s="626"/>
      <c r="L65" s="627"/>
      <c r="M65" s="628"/>
      <c r="N65" s="629"/>
    </row>
    <row r="66" spans="2:14" ht="15" customHeight="1">
      <c r="B66" s="360"/>
      <c r="C66" s="622"/>
      <c r="D66" s="623"/>
      <c r="E66" s="623"/>
      <c r="F66" s="623"/>
      <c r="G66" s="623"/>
      <c r="H66" s="361"/>
      <c r="I66" s="624"/>
      <c r="J66" s="625"/>
      <c r="K66" s="626"/>
      <c r="L66" s="627"/>
      <c r="M66" s="628"/>
      <c r="N66" s="629"/>
    </row>
    <row r="67" spans="2:14" ht="15" customHeight="1">
      <c r="B67" s="360"/>
      <c r="C67" s="622"/>
      <c r="D67" s="623"/>
      <c r="E67" s="623"/>
      <c r="F67" s="623"/>
      <c r="G67" s="623"/>
      <c r="H67" s="361"/>
      <c r="I67" s="624"/>
      <c r="J67" s="625"/>
      <c r="K67" s="626"/>
      <c r="L67" s="627"/>
      <c r="M67" s="628"/>
      <c r="N67" s="629"/>
    </row>
    <row r="68" spans="2:14" ht="15" customHeight="1">
      <c r="B68" s="360"/>
      <c r="C68" s="622"/>
      <c r="D68" s="623"/>
      <c r="E68" s="623"/>
      <c r="F68" s="623"/>
      <c r="G68" s="623"/>
      <c r="H68" s="361"/>
      <c r="I68" s="624"/>
      <c r="J68" s="625"/>
      <c r="K68" s="626"/>
      <c r="L68" s="627"/>
      <c r="M68" s="628"/>
      <c r="N68" s="629"/>
    </row>
    <row r="69" spans="2:14" ht="15" customHeight="1">
      <c r="B69" s="360"/>
      <c r="C69" s="622"/>
      <c r="D69" s="623"/>
      <c r="E69" s="623"/>
      <c r="F69" s="623"/>
      <c r="G69" s="623"/>
      <c r="H69" s="361"/>
      <c r="I69" s="624"/>
      <c r="J69" s="625"/>
      <c r="K69" s="626"/>
      <c r="L69" s="627"/>
      <c r="M69" s="628"/>
      <c r="N69" s="629"/>
    </row>
    <row r="70" spans="2:14" ht="15" customHeight="1">
      <c r="B70" s="360"/>
      <c r="C70" s="622"/>
      <c r="D70" s="623"/>
      <c r="E70" s="623"/>
      <c r="F70" s="623"/>
      <c r="G70" s="623"/>
      <c r="H70" s="361"/>
      <c r="I70" s="624"/>
      <c r="J70" s="625"/>
      <c r="K70" s="626"/>
      <c r="L70" s="627"/>
      <c r="M70" s="628"/>
      <c r="N70" s="629"/>
    </row>
    <row r="71" spans="2:14" ht="15" customHeight="1">
      <c r="B71" s="360"/>
      <c r="C71" s="622"/>
      <c r="D71" s="623"/>
      <c r="E71" s="623"/>
      <c r="F71" s="623"/>
      <c r="G71" s="623"/>
      <c r="H71" s="361"/>
      <c r="I71" s="624"/>
      <c r="J71" s="625"/>
      <c r="K71" s="626"/>
      <c r="L71" s="627"/>
      <c r="M71" s="628"/>
      <c r="N71" s="629"/>
    </row>
    <row r="72" spans="2:14">
      <c r="B72" s="360"/>
      <c r="C72" s="622"/>
      <c r="D72" s="623"/>
      <c r="E72" s="623"/>
      <c r="F72" s="623"/>
      <c r="G72" s="623"/>
      <c r="H72" s="361"/>
      <c r="I72" s="624"/>
      <c r="J72" s="625"/>
      <c r="K72" s="626"/>
      <c r="L72" s="627"/>
      <c r="M72" s="628"/>
      <c r="N72" s="629"/>
    </row>
    <row r="73" spans="2:14">
      <c r="B73" s="360"/>
      <c r="C73" s="622"/>
      <c r="D73" s="623"/>
      <c r="E73" s="623"/>
      <c r="F73" s="623"/>
      <c r="G73" s="623"/>
      <c r="H73" s="361"/>
      <c r="I73" s="624"/>
      <c r="J73" s="625"/>
      <c r="K73" s="626"/>
      <c r="L73" s="627"/>
      <c r="M73" s="628"/>
      <c r="N73" s="629"/>
    </row>
    <row r="74" spans="2:14">
      <c r="B74" s="360"/>
      <c r="C74" s="622"/>
      <c r="D74" s="623"/>
      <c r="E74" s="623"/>
      <c r="F74" s="623"/>
      <c r="G74" s="623"/>
      <c r="H74" s="361"/>
      <c r="I74" s="624"/>
      <c r="J74" s="625"/>
      <c r="K74" s="626"/>
      <c r="L74" s="627"/>
      <c r="M74" s="628"/>
      <c r="N74" s="629"/>
    </row>
    <row r="75" spans="2:14">
      <c r="B75" s="360"/>
      <c r="C75" s="622"/>
      <c r="D75" s="623"/>
      <c r="E75" s="623"/>
      <c r="F75" s="623"/>
      <c r="G75" s="623"/>
      <c r="H75" s="361"/>
      <c r="I75" s="624"/>
      <c r="J75" s="625"/>
      <c r="K75" s="626"/>
      <c r="L75" s="627"/>
      <c r="M75" s="628"/>
      <c r="N75" s="629"/>
    </row>
    <row r="76" spans="2:14">
      <c r="B76" s="360"/>
      <c r="C76" s="622"/>
      <c r="D76" s="623"/>
      <c r="E76" s="623"/>
      <c r="F76" s="623"/>
      <c r="G76" s="623"/>
      <c r="H76" s="361"/>
      <c r="I76" s="624"/>
      <c r="J76" s="625"/>
      <c r="K76" s="626"/>
      <c r="L76" s="627"/>
      <c r="M76" s="628"/>
      <c r="N76" s="629"/>
    </row>
    <row r="77" spans="2:14">
      <c r="B77" s="360"/>
      <c r="C77" s="622"/>
      <c r="D77" s="623"/>
      <c r="E77" s="623"/>
      <c r="F77" s="623"/>
      <c r="G77" s="623"/>
      <c r="H77" s="361"/>
      <c r="I77" s="624"/>
      <c r="J77" s="625"/>
      <c r="K77" s="626"/>
      <c r="L77" s="627"/>
      <c r="M77" s="628"/>
      <c r="N77" s="629"/>
    </row>
    <row r="78" spans="2:14">
      <c r="B78" s="360"/>
      <c r="C78" s="622"/>
      <c r="D78" s="623"/>
      <c r="E78" s="623"/>
      <c r="F78" s="623"/>
      <c r="G78" s="623"/>
      <c r="H78" s="361"/>
      <c r="I78" s="624"/>
      <c r="J78" s="625"/>
      <c r="K78" s="626"/>
      <c r="L78" s="627"/>
      <c r="M78" s="628"/>
      <c r="N78" s="629"/>
    </row>
    <row r="79" spans="2:14" ht="13.5" thickBot="1">
      <c r="B79" s="362"/>
      <c r="C79" s="630"/>
      <c r="D79" s="631"/>
      <c r="E79" s="631"/>
      <c r="F79" s="631"/>
      <c r="G79" s="631"/>
      <c r="H79" s="363"/>
      <c r="I79" s="632"/>
      <c r="J79" s="633"/>
      <c r="K79" s="634"/>
      <c r="L79" s="635"/>
      <c r="M79" s="636"/>
      <c r="N79" s="637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1" transitionEvaluation="1"/>
  <dimension ref="A1:N120"/>
  <sheetViews>
    <sheetView showGridLines="0" zoomScaleNormal="100" workbookViewId="0">
      <selection activeCell="K45" sqref="K45"/>
    </sheetView>
  </sheetViews>
  <sheetFormatPr defaultColWidth="12" defaultRowHeight="15.75"/>
  <cols>
    <col min="1" max="5" width="6.7109375" style="448" customWidth="1"/>
    <col min="6" max="6" width="8.28515625" style="448" customWidth="1"/>
    <col min="7" max="14" width="6.7109375" style="448" customWidth="1"/>
    <col min="15" max="16384" width="12" style="448"/>
  </cols>
  <sheetData>
    <row r="1" spans="1:14" ht="17.100000000000001" customHeight="1">
      <c r="A1" s="441" t="s">
        <v>269</v>
      </c>
      <c r="B1" s="442"/>
      <c r="C1" s="442"/>
      <c r="D1" s="442"/>
      <c r="E1" s="442"/>
      <c r="F1" s="442"/>
      <c r="G1" s="442"/>
      <c r="H1" s="442"/>
      <c r="I1" s="442"/>
      <c r="J1" s="443" t="s">
        <v>600</v>
      </c>
      <c r="K1" s="444"/>
      <c r="L1" s="445" t="s">
        <v>601</v>
      </c>
      <c r="M1" s="446"/>
      <c r="N1" s="447"/>
    </row>
    <row r="2" spans="1:14" ht="17.100000000000001" customHeight="1">
      <c r="A2" s="449" t="s">
        <v>602</v>
      </c>
      <c r="B2" s="450"/>
      <c r="C2" s="450"/>
      <c r="D2" s="450"/>
      <c r="E2" s="450"/>
      <c r="F2" s="450"/>
      <c r="G2" s="450"/>
      <c r="H2" s="450"/>
      <c r="I2" s="450"/>
      <c r="J2" s="451" t="s">
        <v>603</v>
      </c>
      <c r="K2" s="452"/>
      <c r="L2" s="453" t="s">
        <v>604</v>
      </c>
      <c r="M2" s="454"/>
      <c r="N2" s="447"/>
    </row>
    <row r="3" spans="1:14" ht="15.95" customHeight="1">
      <c r="A3" s="455"/>
      <c r="B3" s="456"/>
      <c r="C3" s="456"/>
      <c r="D3" s="456"/>
      <c r="E3" s="456"/>
      <c r="F3" s="456"/>
      <c r="G3" s="456"/>
      <c r="H3" s="456"/>
      <c r="I3" s="456"/>
      <c r="J3" s="451" t="s">
        <v>605</v>
      </c>
      <c r="K3" s="452"/>
      <c r="L3" s="457" t="s">
        <v>606</v>
      </c>
      <c r="M3" s="454"/>
      <c r="N3" s="447"/>
    </row>
    <row r="4" spans="1:14" ht="15.95" customHeight="1">
      <c r="A4" s="458"/>
      <c r="B4" s="456"/>
      <c r="C4" s="456"/>
      <c r="D4" s="456"/>
      <c r="E4" s="456"/>
      <c r="F4" s="456"/>
      <c r="G4" s="456"/>
      <c r="H4" s="456"/>
      <c r="I4" s="456"/>
      <c r="J4" s="451" t="s">
        <v>607</v>
      </c>
      <c r="K4" s="452"/>
      <c r="L4" s="457" t="s">
        <v>608</v>
      </c>
      <c r="M4" s="454"/>
      <c r="N4" s="447"/>
    </row>
    <row r="5" spans="1:14" ht="15.95" customHeight="1">
      <c r="A5" s="455"/>
      <c r="B5" s="456"/>
      <c r="C5" s="456"/>
      <c r="D5" s="456"/>
      <c r="E5" s="456"/>
      <c r="F5" s="456"/>
      <c r="G5" s="456"/>
      <c r="H5" s="456"/>
      <c r="I5" s="456"/>
      <c r="J5" s="451" t="s">
        <v>609</v>
      </c>
      <c r="K5" s="452"/>
      <c r="L5" s="453">
        <v>2</v>
      </c>
      <c r="M5" s="454"/>
      <c r="N5" s="447"/>
    </row>
    <row r="6" spans="1:14" ht="15.95" customHeight="1">
      <c r="A6" s="459" t="s">
        <v>610</v>
      </c>
      <c r="B6" s="456"/>
      <c r="C6" s="456"/>
      <c r="D6" s="456"/>
      <c r="E6" s="456"/>
      <c r="F6" s="456"/>
      <c r="G6" s="456"/>
      <c r="H6" s="456"/>
      <c r="I6" s="456"/>
      <c r="J6" s="451" t="s">
        <v>611</v>
      </c>
      <c r="K6" s="452"/>
      <c r="L6" s="453" t="s">
        <v>612</v>
      </c>
      <c r="M6" s="454"/>
      <c r="N6" s="447"/>
    </row>
    <row r="7" spans="1:14" ht="15.95" customHeight="1" thickBot="1">
      <c r="A7" s="460" t="s">
        <v>613</v>
      </c>
      <c r="B7" s="461"/>
      <c r="C7" s="461"/>
      <c r="D7" s="461"/>
      <c r="E7" s="461"/>
      <c r="F7" s="461"/>
      <c r="G7" s="461"/>
      <c r="H7" s="461"/>
      <c r="I7" s="461"/>
      <c r="J7" s="462" t="s">
        <v>614</v>
      </c>
      <c r="K7" s="463"/>
      <c r="L7" s="464" t="s">
        <v>615</v>
      </c>
      <c r="M7" s="465"/>
      <c r="N7" s="447"/>
    </row>
    <row r="8" spans="1:14" ht="15.95" customHeight="1">
      <c r="A8" s="466"/>
      <c r="B8" s="456"/>
      <c r="C8" s="456"/>
      <c r="D8" s="456"/>
      <c r="E8" s="456"/>
      <c r="F8" s="456"/>
      <c r="G8" s="456"/>
      <c r="H8" s="456"/>
      <c r="I8" s="456"/>
      <c r="J8" s="456"/>
      <c r="K8" s="467"/>
      <c r="L8" s="468"/>
      <c r="M8" s="469"/>
      <c r="N8" s="456"/>
    </row>
    <row r="9" spans="1:14" ht="12" customHeight="1">
      <c r="A9" s="470"/>
      <c r="B9" s="471" t="s">
        <v>616</v>
      </c>
      <c r="C9" s="472" t="s">
        <v>714</v>
      </c>
      <c r="D9" s="473"/>
      <c r="E9" s="473"/>
      <c r="F9" s="473"/>
      <c r="G9" s="473"/>
      <c r="H9" s="473"/>
      <c r="I9" s="473"/>
      <c r="J9" s="473"/>
      <c r="K9" s="474"/>
      <c r="L9" s="470"/>
      <c r="M9" s="473"/>
      <c r="N9" s="456"/>
    </row>
    <row r="10" spans="1:14" ht="12" customHeight="1">
      <c r="A10" s="470"/>
      <c r="B10" s="471" t="s">
        <v>617</v>
      </c>
      <c r="C10" s="475" t="s">
        <v>715</v>
      </c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68"/>
    </row>
    <row r="11" spans="1:14" ht="16.5" thickBot="1">
      <c r="A11" s="468"/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</row>
    <row r="12" spans="1:14" ht="20.100000000000001" customHeight="1" thickBot="1">
      <c r="A12" s="476" t="s">
        <v>618</v>
      </c>
      <c r="B12" s="477"/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47"/>
    </row>
    <row r="13" spans="1:14" ht="12.95" customHeight="1" thickTop="1">
      <c r="A13" s="479"/>
      <c r="B13" s="471" t="s">
        <v>619</v>
      </c>
      <c r="C13" s="480">
        <v>800</v>
      </c>
      <c r="D13" s="470"/>
      <c r="E13" s="471" t="s">
        <v>620</v>
      </c>
      <c r="F13" s="480" t="s">
        <v>713</v>
      </c>
      <c r="G13" s="470"/>
      <c r="H13" s="471" t="s">
        <v>621</v>
      </c>
      <c r="I13" s="480" t="s">
        <v>705</v>
      </c>
      <c r="J13" s="470"/>
      <c r="K13" s="470"/>
      <c r="L13" s="471" t="s">
        <v>622</v>
      </c>
      <c r="M13" s="481">
        <v>3600</v>
      </c>
      <c r="N13" s="447"/>
    </row>
    <row r="14" spans="1:14" ht="12.95" customHeight="1">
      <c r="A14" s="479"/>
      <c r="B14" s="471" t="s">
        <v>623</v>
      </c>
      <c r="C14" s="480" t="s">
        <v>707</v>
      </c>
      <c r="D14" s="470"/>
      <c r="E14" s="471" t="s">
        <v>624</v>
      </c>
      <c r="F14" s="482" t="s">
        <v>708</v>
      </c>
      <c r="G14" s="470"/>
      <c r="H14" s="471" t="s">
        <v>625</v>
      </c>
      <c r="I14" s="480" t="s">
        <v>710</v>
      </c>
      <c r="J14" s="470"/>
      <c r="K14" s="470"/>
      <c r="L14" s="471" t="s">
        <v>415</v>
      </c>
      <c r="M14" s="481">
        <v>3555</v>
      </c>
      <c r="N14" s="447"/>
    </row>
    <row r="15" spans="1:14" ht="12.95" customHeight="1">
      <c r="A15" s="479"/>
      <c r="B15" s="471" t="s">
        <v>626</v>
      </c>
      <c r="C15" s="480" t="s">
        <v>194</v>
      </c>
      <c r="D15" s="470"/>
      <c r="E15" s="471" t="s">
        <v>627</v>
      </c>
      <c r="F15" s="483" t="s">
        <v>709</v>
      </c>
      <c r="G15" s="470"/>
      <c r="H15" s="471" t="s">
        <v>628</v>
      </c>
      <c r="I15" s="482" t="s">
        <v>175</v>
      </c>
      <c r="J15" s="470"/>
      <c r="K15" s="470"/>
      <c r="L15" s="471" t="s">
        <v>629</v>
      </c>
      <c r="M15" s="481" t="s">
        <v>365</v>
      </c>
      <c r="N15" s="447"/>
    </row>
    <row r="16" spans="1:14" ht="12.95" customHeight="1">
      <c r="A16" s="479"/>
      <c r="B16" s="471" t="s">
        <v>630</v>
      </c>
      <c r="C16" s="480" t="s">
        <v>704</v>
      </c>
      <c r="D16" s="470"/>
      <c r="E16" s="471" t="s">
        <v>631</v>
      </c>
      <c r="F16" s="484">
        <v>40</v>
      </c>
      <c r="G16" s="470"/>
      <c r="H16" s="485" t="s">
        <v>632</v>
      </c>
      <c r="I16" s="486" t="s">
        <v>358</v>
      </c>
      <c r="J16" s="470"/>
      <c r="K16" s="470"/>
      <c r="L16" s="471" t="s">
        <v>633</v>
      </c>
      <c r="M16" s="481" t="s">
        <v>634</v>
      </c>
      <c r="N16" s="447"/>
    </row>
    <row r="17" spans="1:14" ht="12.95" customHeight="1">
      <c r="A17" s="479"/>
      <c r="B17" s="471" t="s">
        <v>635</v>
      </c>
      <c r="C17" s="472" t="s">
        <v>716</v>
      </c>
      <c r="D17" s="470"/>
      <c r="E17" s="471"/>
      <c r="F17" s="482"/>
      <c r="G17" s="470"/>
      <c r="H17" s="471" t="s">
        <v>636</v>
      </c>
      <c r="I17" s="486" t="s">
        <v>175</v>
      </c>
      <c r="J17" s="470"/>
      <c r="K17" s="470"/>
      <c r="L17" s="471"/>
      <c r="M17" s="487"/>
      <c r="N17" s="447"/>
    </row>
    <row r="18" spans="1:14" ht="12.95" customHeight="1" thickBot="1">
      <c r="A18" s="488"/>
      <c r="B18" s="489" t="s">
        <v>637</v>
      </c>
      <c r="C18" s="490" t="s">
        <v>175</v>
      </c>
      <c r="D18" s="491"/>
      <c r="E18" s="489" t="s">
        <v>638</v>
      </c>
      <c r="F18" s="490" t="s">
        <v>175</v>
      </c>
      <c r="G18" s="492"/>
      <c r="H18" s="489" t="s">
        <v>639</v>
      </c>
      <c r="I18" s="490" t="s">
        <v>175</v>
      </c>
      <c r="J18" s="491"/>
      <c r="K18" s="491"/>
      <c r="L18" s="491"/>
      <c r="M18" s="493"/>
      <c r="N18" s="447"/>
    </row>
    <row r="19" spans="1:14" ht="16.5" thickBot="1">
      <c r="A19" s="447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</row>
    <row r="20" spans="1:14" ht="20.100000000000001" customHeight="1" thickBot="1">
      <c r="A20" s="476"/>
      <c r="B20" s="477"/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8"/>
    </row>
    <row r="21" spans="1:14" ht="15.95" customHeight="1" thickTop="1">
      <c r="A21" s="494" t="s">
        <v>640</v>
      </c>
      <c r="B21" s="495"/>
      <c r="C21" s="468"/>
      <c r="D21" s="496"/>
      <c r="E21" s="497" t="s">
        <v>641</v>
      </c>
      <c r="F21" s="498"/>
      <c r="G21" s="498"/>
      <c r="H21" s="499"/>
      <c r="I21" s="500" t="s">
        <v>642</v>
      </c>
      <c r="J21" s="498"/>
      <c r="K21" s="498"/>
      <c r="L21" s="468"/>
      <c r="M21" s="501"/>
    </row>
    <row r="22" spans="1:14" ht="15.95" customHeight="1">
      <c r="A22" s="502"/>
      <c r="B22" s="470"/>
      <c r="C22" s="471" t="s">
        <v>643</v>
      </c>
      <c r="D22" s="503" t="s">
        <v>711</v>
      </c>
      <c r="E22" s="471"/>
      <c r="G22" s="485" t="s">
        <v>644</v>
      </c>
      <c r="H22" s="504">
        <v>1182</v>
      </c>
      <c r="I22" s="471"/>
      <c r="J22" s="470"/>
      <c r="K22" s="471" t="s">
        <v>645</v>
      </c>
      <c r="L22" s="470"/>
      <c r="M22" s="487"/>
    </row>
    <row r="23" spans="1:14" ht="15.95" customHeight="1">
      <c r="A23" s="502"/>
      <c r="B23" s="471"/>
      <c r="C23" s="474"/>
      <c r="D23" s="505"/>
      <c r="E23" s="471"/>
      <c r="G23" s="471" t="s">
        <v>646</v>
      </c>
      <c r="H23" s="503">
        <v>105</v>
      </c>
      <c r="I23" s="470"/>
      <c r="J23" s="470"/>
      <c r="K23" s="471" t="s">
        <v>647</v>
      </c>
      <c r="L23" s="470"/>
      <c r="M23" s="487"/>
    </row>
    <row r="24" spans="1:14" ht="15.95" customHeight="1">
      <c r="A24" s="479"/>
      <c r="B24" s="471"/>
      <c r="C24" s="470"/>
      <c r="D24" s="505"/>
      <c r="E24" s="471"/>
      <c r="G24" s="485" t="s">
        <v>648</v>
      </c>
      <c r="H24" s="503">
        <v>225</v>
      </c>
      <c r="I24" s="470"/>
      <c r="J24" s="471"/>
      <c r="K24" s="470"/>
      <c r="L24" s="470"/>
      <c r="M24" s="487"/>
    </row>
    <row r="25" spans="1:14" ht="15.95" customHeight="1" thickBot="1">
      <c r="A25" s="488"/>
      <c r="B25" s="489"/>
      <c r="C25" s="491"/>
      <c r="D25" s="506"/>
      <c r="E25" s="489"/>
      <c r="F25" s="489"/>
      <c r="G25" s="489"/>
      <c r="H25" s="507"/>
      <c r="I25" s="491"/>
      <c r="J25" s="489"/>
      <c r="K25" s="491"/>
      <c r="L25" s="491"/>
      <c r="M25" s="493"/>
    </row>
    <row r="26" spans="1:14" ht="18.95" customHeight="1" thickBot="1">
      <c r="A26" s="466"/>
      <c r="B26" s="466"/>
      <c r="C26" s="466"/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447"/>
    </row>
    <row r="27" spans="1:14" ht="20.100000000000001" customHeight="1" thickBot="1">
      <c r="A27" s="508"/>
      <c r="B27" s="509"/>
      <c r="C27" s="509"/>
      <c r="D27" s="509"/>
      <c r="E27" s="509"/>
      <c r="F27" s="509"/>
      <c r="G27" s="510"/>
      <c r="H27" s="509"/>
      <c r="I27" s="509"/>
      <c r="J27" s="509"/>
      <c r="K27" s="509"/>
      <c r="L27" s="509"/>
      <c r="M27" s="511"/>
    </row>
    <row r="28" spans="1:14" ht="15.95" customHeight="1" thickTop="1">
      <c r="A28" s="512" t="s">
        <v>649</v>
      </c>
      <c r="B28" s="495"/>
      <c r="C28" s="468"/>
      <c r="D28" s="468"/>
      <c r="E28" s="498"/>
      <c r="F28" s="498"/>
      <c r="G28" s="513"/>
      <c r="H28" s="497" t="s">
        <v>650</v>
      </c>
      <c r="I28" s="498"/>
      <c r="J28" s="498"/>
      <c r="K28" s="497"/>
      <c r="L28" s="498"/>
      <c r="M28" s="501"/>
    </row>
    <row r="29" spans="1:14" ht="15.95" customHeight="1">
      <c r="A29" s="479"/>
      <c r="B29" s="471"/>
      <c r="C29" s="471" t="s">
        <v>651</v>
      </c>
      <c r="D29" s="514">
        <v>93.8</v>
      </c>
      <c r="E29" s="471"/>
      <c r="F29" s="471"/>
      <c r="G29" s="513"/>
      <c r="H29" s="485"/>
      <c r="I29" s="471"/>
      <c r="J29" s="471" t="s">
        <v>651</v>
      </c>
      <c r="K29" s="514">
        <v>87.6</v>
      </c>
      <c r="L29" s="470"/>
      <c r="M29" s="487"/>
    </row>
    <row r="30" spans="1:14" ht="15.95" customHeight="1">
      <c r="A30" s="515"/>
      <c r="B30" s="470"/>
      <c r="C30" s="471" t="s">
        <v>652</v>
      </c>
      <c r="D30" s="514">
        <v>93.9</v>
      </c>
      <c r="E30" s="471"/>
      <c r="F30" s="471"/>
      <c r="G30" s="513"/>
      <c r="H30" s="471"/>
      <c r="I30" s="470"/>
      <c r="J30" s="471" t="s">
        <v>652</v>
      </c>
      <c r="K30" s="514">
        <v>86.1</v>
      </c>
      <c r="L30" s="470"/>
      <c r="M30" s="487"/>
    </row>
    <row r="31" spans="1:14" ht="15.95" customHeight="1">
      <c r="A31" s="479"/>
      <c r="B31" s="471"/>
      <c r="C31" s="471" t="s">
        <v>653</v>
      </c>
      <c r="D31" s="514">
        <v>93.3</v>
      </c>
      <c r="E31" s="471"/>
      <c r="F31" s="471"/>
      <c r="G31" s="513"/>
      <c r="H31" s="471"/>
      <c r="I31" s="470"/>
      <c r="J31" s="471" t="s">
        <v>653</v>
      </c>
      <c r="K31" s="514">
        <v>81.2</v>
      </c>
      <c r="L31" s="471"/>
      <c r="M31" s="487"/>
    </row>
    <row r="32" spans="1:14" ht="15.95" customHeight="1" thickBot="1">
      <c r="A32" s="488"/>
      <c r="B32" s="489"/>
      <c r="C32" s="491"/>
      <c r="D32" s="491"/>
      <c r="E32" s="489"/>
      <c r="F32" s="489"/>
      <c r="G32" s="516"/>
      <c r="H32" s="489"/>
      <c r="I32" s="491"/>
      <c r="J32" s="489"/>
      <c r="K32" s="491"/>
      <c r="L32" s="489"/>
      <c r="M32" s="493"/>
    </row>
    <row r="33" spans="1:14" ht="20.100000000000001" customHeight="1" thickBot="1">
      <c r="A33" s="517"/>
      <c r="B33" s="517"/>
      <c r="C33" s="517"/>
      <c r="D33" s="517"/>
      <c r="E33" s="517"/>
      <c r="F33" s="517"/>
      <c r="G33" s="517"/>
      <c r="H33" s="517"/>
      <c r="I33" s="517"/>
      <c r="J33" s="517"/>
      <c r="K33" s="517"/>
      <c r="L33" s="517"/>
      <c r="M33" s="517"/>
      <c r="N33" s="517"/>
    </row>
    <row r="34" spans="1:14" ht="20.100000000000001" customHeight="1" thickBot="1">
      <c r="A34" s="518"/>
      <c r="B34" s="519"/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20"/>
    </row>
    <row r="35" spans="1:14" ht="15.95" customHeight="1" thickTop="1">
      <c r="A35" s="521" t="s">
        <v>654</v>
      </c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522"/>
    </row>
    <row r="36" spans="1:14" ht="15.95" customHeight="1">
      <c r="A36" s="515" t="s">
        <v>655</v>
      </c>
      <c r="B36" s="474"/>
      <c r="C36" s="474"/>
      <c r="D36" s="474"/>
      <c r="E36" s="474"/>
      <c r="F36" s="474"/>
      <c r="G36" s="474"/>
      <c r="H36" s="474"/>
      <c r="I36" s="474"/>
      <c r="J36" s="474"/>
      <c r="K36" s="474"/>
      <c r="L36" s="474"/>
      <c r="M36" s="522"/>
    </row>
    <row r="37" spans="1:14" ht="15.95" customHeight="1">
      <c r="A37" s="523" t="s">
        <v>656</v>
      </c>
      <c r="B37" s="474"/>
      <c r="C37" s="474"/>
      <c r="D37" s="474"/>
      <c r="E37" s="524"/>
      <c r="F37" s="474"/>
      <c r="G37" s="474"/>
      <c r="H37" s="474"/>
      <c r="I37" s="474"/>
      <c r="J37" s="474"/>
      <c r="K37" s="474"/>
      <c r="L37" s="474"/>
      <c r="M37" s="522"/>
    </row>
    <row r="38" spans="1:14" ht="15.95" customHeight="1">
      <c r="A38" s="525" t="s">
        <v>657</v>
      </c>
      <c r="B38" s="474"/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522"/>
    </row>
    <row r="39" spans="1:14" ht="15.95" customHeight="1">
      <c r="A39" s="526" t="s">
        <v>658</v>
      </c>
      <c r="B39" s="474"/>
      <c r="C39" s="474"/>
      <c r="D39" s="474"/>
      <c r="E39" s="474"/>
      <c r="F39" s="474"/>
      <c r="G39" s="474"/>
      <c r="H39" s="474"/>
      <c r="I39" s="474"/>
      <c r="J39" s="474"/>
      <c r="K39" s="474"/>
      <c r="L39" s="474"/>
      <c r="M39" s="522"/>
    </row>
    <row r="40" spans="1:14" ht="15.95" customHeight="1" thickBot="1">
      <c r="A40" s="527" t="s">
        <v>659</v>
      </c>
      <c r="B40" s="528"/>
      <c r="C40" s="528"/>
      <c r="D40" s="528"/>
      <c r="E40" s="528"/>
      <c r="F40" s="528"/>
      <c r="G40" s="528"/>
      <c r="H40" s="528"/>
      <c r="I40" s="528"/>
      <c r="J40" s="528"/>
      <c r="K40" s="528"/>
      <c r="L40" s="528"/>
      <c r="M40" s="529"/>
    </row>
    <row r="41" spans="1:14" ht="15.95" customHeight="1"/>
    <row r="42" spans="1:14" ht="18">
      <c r="A42" s="530"/>
      <c r="B42" s="530"/>
      <c r="C42" s="530"/>
      <c r="D42" s="530"/>
      <c r="E42" s="530"/>
      <c r="F42" s="530"/>
      <c r="G42" s="530"/>
      <c r="H42" s="447"/>
      <c r="I42" s="447"/>
      <c r="J42" s="531" t="s">
        <v>660</v>
      </c>
      <c r="K42" s="638" t="s">
        <v>352</v>
      </c>
      <c r="L42" s="638"/>
      <c r="M42" s="638"/>
      <c r="N42" s="530"/>
    </row>
    <row r="43" spans="1:14" ht="7.5" customHeight="1">
      <c r="H43" s="447"/>
      <c r="I43" s="447"/>
      <c r="J43" s="447"/>
      <c r="K43" s="447"/>
      <c r="L43" s="447"/>
      <c r="M43" s="447"/>
    </row>
    <row r="44" spans="1:14" ht="16.5">
      <c r="H44" s="447"/>
      <c r="I44" s="447"/>
      <c r="J44" s="531" t="s">
        <v>661</v>
      </c>
      <c r="K44" s="639">
        <v>45932</v>
      </c>
      <c r="L44" s="639"/>
      <c r="M44" s="639"/>
    </row>
    <row r="59" spans="1:5">
      <c r="A59" s="448" t="s">
        <v>175</v>
      </c>
      <c r="B59" s="448" t="s">
        <v>662</v>
      </c>
      <c r="D59" s="448">
        <v>1</v>
      </c>
      <c r="E59" s="532" t="s">
        <v>175</v>
      </c>
    </row>
    <row r="60" spans="1:5">
      <c r="A60" s="448" t="s">
        <v>663</v>
      </c>
      <c r="B60" s="448" t="s">
        <v>664</v>
      </c>
      <c r="D60" s="448">
        <v>1.1499999999999999</v>
      </c>
      <c r="E60" s="532" t="s">
        <v>184</v>
      </c>
    </row>
    <row r="61" spans="1:5">
      <c r="A61" s="448" t="s">
        <v>665</v>
      </c>
      <c r="B61" s="448" t="s">
        <v>666</v>
      </c>
      <c r="E61" s="532" t="s">
        <v>667</v>
      </c>
    </row>
    <row r="62" spans="1:5">
      <c r="B62" s="448" t="s">
        <v>668</v>
      </c>
    </row>
    <row r="63" spans="1:5">
      <c r="B63" s="448" t="s">
        <v>669</v>
      </c>
    </row>
    <row r="64" spans="1:5">
      <c r="B64" s="448" t="s">
        <v>670</v>
      </c>
    </row>
    <row r="65" spans="2:2">
      <c r="B65" s="448" t="s">
        <v>671</v>
      </c>
    </row>
    <row r="66" spans="2:2">
      <c r="B66" s="448" t="s">
        <v>672</v>
      </c>
    </row>
    <row r="67" spans="2:2">
      <c r="B67" s="448" t="s">
        <v>673</v>
      </c>
    </row>
    <row r="68" spans="2:2">
      <c r="B68" s="448" t="s">
        <v>674</v>
      </c>
    </row>
    <row r="69" spans="2:2">
      <c r="B69" s="448" t="s">
        <v>675</v>
      </c>
    </row>
    <row r="70" spans="2:2">
      <c r="B70" s="448" t="s">
        <v>676</v>
      </c>
    </row>
    <row r="71" spans="2:2">
      <c r="B71" s="448" t="s">
        <v>677</v>
      </c>
    </row>
    <row r="72" spans="2:2">
      <c r="B72" s="448" t="s">
        <v>678</v>
      </c>
    </row>
    <row r="73" spans="2:2">
      <c r="B73" s="448" t="s">
        <v>679</v>
      </c>
    </row>
    <row r="74" spans="2:2">
      <c r="B74" s="448" t="s">
        <v>680</v>
      </c>
    </row>
    <row r="75" spans="2:2">
      <c r="B75" s="448" t="s">
        <v>681</v>
      </c>
    </row>
    <row r="76" spans="2:2">
      <c r="B76" s="448" t="s">
        <v>682</v>
      </c>
    </row>
    <row r="77" spans="2:2">
      <c r="B77" s="448" t="s">
        <v>683</v>
      </c>
    </row>
    <row r="78" spans="2:2">
      <c r="B78" s="448" t="s">
        <v>684</v>
      </c>
    </row>
    <row r="79" spans="2:2">
      <c r="B79" s="448" t="s">
        <v>685</v>
      </c>
    </row>
    <row r="80" spans="2:2">
      <c r="B80" s="448">
        <v>6312</v>
      </c>
    </row>
    <row r="81" spans="2:2">
      <c r="B81" s="448" t="s">
        <v>686</v>
      </c>
    </row>
    <row r="82" spans="2:2">
      <c r="B82" s="448" t="s">
        <v>687</v>
      </c>
    </row>
    <row r="83" spans="2:2">
      <c r="B83" s="448" t="s">
        <v>688</v>
      </c>
    </row>
    <row r="84" spans="2:2">
      <c r="B84" s="448" t="s">
        <v>689</v>
      </c>
    </row>
    <row r="85" spans="2:2">
      <c r="B85" s="448">
        <v>6313</v>
      </c>
    </row>
    <row r="86" spans="2:2">
      <c r="B86" s="448" t="s">
        <v>690</v>
      </c>
    </row>
    <row r="87" spans="2:2">
      <c r="B87" s="448" t="s">
        <v>691</v>
      </c>
    </row>
    <row r="88" spans="2:2">
      <c r="B88" s="448" t="s">
        <v>692</v>
      </c>
    </row>
    <row r="89" spans="2:2">
      <c r="B89" s="448">
        <v>6314</v>
      </c>
    </row>
    <row r="90" spans="2:2">
      <c r="B90" s="448" t="s">
        <v>693</v>
      </c>
    </row>
    <row r="91" spans="2:2">
      <c r="B91" s="448">
        <v>6317</v>
      </c>
    </row>
    <row r="92" spans="2:2">
      <c r="B92" s="448" t="s">
        <v>694</v>
      </c>
    </row>
    <row r="93" spans="2:2">
      <c r="B93" s="448">
        <v>6318</v>
      </c>
    </row>
    <row r="94" spans="2:2">
      <c r="B94" s="448" t="s">
        <v>695</v>
      </c>
    </row>
    <row r="95" spans="2:2">
      <c r="B95" s="448" t="s">
        <v>696</v>
      </c>
    </row>
    <row r="96" spans="2:2">
      <c r="B96" s="448" t="s">
        <v>697</v>
      </c>
    </row>
    <row r="97" spans="2:2">
      <c r="B97" s="448">
        <v>6320</v>
      </c>
    </row>
    <row r="98" spans="2:2">
      <c r="B98" s="448" t="s">
        <v>698</v>
      </c>
    </row>
    <row r="99" spans="2:2">
      <c r="B99" s="448" t="s">
        <v>699</v>
      </c>
    </row>
    <row r="100" spans="2:2">
      <c r="B100" s="448" t="s">
        <v>700</v>
      </c>
    </row>
    <row r="101" spans="2:2">
      <c r="B101" s="448" t="s">
        <v>701</v>
      </c>
    </row>
    <row r="102" spans="2:2">
      <c r="B102" s="448" t="s">
        <v>701</v>
      </c>
    </row>
    <row r="118" spans="2:2">
      <c r="B118" s="448" t="s">
        <v>702</v>
      </c>
    </row>
    <row r="120" spans="2:2">
      <c r="B120" s="448" t="s">
        <v>703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7"/>
  <sheetViews>
    <sheetView workbookViewId="0">
      <selection activeCell="A6" sqref="A6:F15"/>
    </sheetView>
  </sheetViews>
  <sheetFormatPr defaultColWidth="8.85546875" defaultRowHeight="12.75"/>
  <cols>
    <col min="1" max="6" width="16.7109375" style="374" customWidth="1"/>
    <col min="7" max="16384" width="8.85546875" style="374"/>
  </cols>
  <sheetData>
    <row r="1" spans="1:6" ht="18.95" customHeight="1">
      <c r="A1" s="371"/>
      <c r="B1" s="372"/>
      <c r="C1" s="372"/>
      <c r="D1" s="372"/>
      <c r="E1" s="372"/>
      <c r="F1" s="373"/>
    </row>
    <row r="2" spans="1:6" ht="26.1" customHeight="1">
      <c r="A2" s="375" t="s">
        <v>269</v>
      </c>
      <c r="B2" s="376"/>
      <c r="C2" s="376"/>
      <c r="D2" s="376"/>
      <c r="E2" s="376"/>
      <c r="F2" s="377"/>
    </row>
    <row r="3" spans="1:6" ht="18.95" customHeight="1">
      <c r="A3" s="378" t="s">
        <v>403</v>
      </c>
      <c r="B3" s="376"/>
      <c r="C3" s="376"/>
      <c r="D3" s="376"/>
      <c r="E3" s="376"/>
      <c r="F3" s="377"/>
    </row>
    <row r="4" spans="1:6" ht="18.95" customHeight="1">
      <c r="A4" s="379"/>
      <c r="B4" s="380"/>
      <c r="C4" s="380"/>
      <c r="D4" s="380"/>
      <c r="E4" s="380"/>
      <c r="F4" s="381"/>
    </row>
    <row r="5" spans="1:6" ht="18.95" customHeight="1">
      <c r="A5" s="379"/>
      <c r="B5" s="380"/>
      <c r="C5" s="380"/>
      <c r="D5" s="380"/>
      <c r="E5" s="380"/>
      <c r="F5" s="381"/>
    </row>
    <row r="6" spans="1:6" ht="18.95" customHeight="1">
      <c r="A6" s="382" t="s">
        <v>404</v>
      </c>
      <c r="B6" s="640" t="str">
        <f>'Performance Data Sheet'!C17</f>
        <v>WT-10179885</v>
      </c>
      <c r="C6" s="641"/>
      <c r="D6" s="642"/>
      <c r="E6" s="382" t="s">
        <v>405</v>
      </c>
      <c r="F6" s="383" t="str">
        <f>'Performance Data Sheet'!I14 &amp; " A"</f>
        <v>182/105 A</v>
      </c>
    </row>
    <row r="7" spans="1:6" ht="18.95" customHeight="1">
      <c r="A7" s="382" t="s">
        <v>406</v>
      </c>
      <c r="B7" s="383" t="str">
        <f>'Performance Data Sheet'!F14</f>
        <v>WP-II</v>
      </c>
      <c r="C7" s="382" t="s">
        <v>407</v>
      </c>
      <c r="D7" s="383" t="str">
        <f>'Performance Data Sheet'!F13 &amp; " V"</f>
        <v>2300/4000 V</v>
      </c>
      <c r="E7" s="382" t="s">
        <v>408</v>
      </c>
      <c r="F7" s="383" t="str">
        <f>'Performance Data Sheet'!C14</f>
        <v>5012USS</v>
      </c>
    </row>
    <row r="8" spans="1:6" ht="18.95" customHeight="1">
      <c r="A8" s="382" t="s">
        <v>409</v>
      </c>
      <c r="B8" s="383">
        <v>2</v>
      </c>
      <c r="C8" s="382" t="s">
        <v>410</v>
      </c>
      <c r="D8" s="383" t="s">
        <v>411</v>
      </c>
      <c r="E8" s="382" t="s">
        <v>412</v>
      </c>
      <c r="F8" s="383" t="s">
        <v>365</v>
      </c>
    </row>
    <row r="9" spans="1:6" ht="18.95" customHeight="1">
      <c r="A9" s="382" t="s">
        <v>413</v>
      </c>
      <c r="B9" s="383">
        <v>800</v>
      </c>
      <c r="C9" s="382" t="s">
        <v>414</v>
      </c>
      <c r="D9" s="383" t="s">
        <v>430</v>
      </c>
      <c r="E9" s="382" t="s">
        <v>2</v>
      </c>
      <c r="F9" s="384">
        <f>'Performance Data Sheet'!K44</f>
        <v>45932</v>
      </c>
    </row>
    <row r="10" spans="1:6" ht="18.95" customHeight="1">
      <c r="A10" s="382" t="s">
        <v>415</v>
      </c>
      <c r="B10" s="383">
        <v>3555</v>
      </c>
      <c r="C10" s="382" t="s">
        <v>416</v>
      </c>
      <c r="D10" s="383" t="s">
        <v>417</v>
      </c>
      <c r="E10" s="382" t="s">
        <v>1</v>
      </c>
      <c r="F10" s="383" t="s">
        <v>432</v>
      </c>
    </row>
    <row r="11" spans="1:6" ht="18.95" customHeight="1">
      <c r="A11" s="379"/>
      <c r="B11" s="380"/>
      <c r="C11" s="380"/>
      <c r="D11" s="380"/>
      <c r="E11" s="380"/>
      <c r="F11" s="381"/>
    </row>
    <row r="12" spans="1:6" ht="18.95" customHeight="1">
      <c r="A12" s="379"/>
      <c r="B12" s="385" t="s">
        <v>418</v>
      </c>
      <c r="C12" s="386" t="str">
        <f>'Performance Data Sheet'!D22 &amp; " A"</f>
        <v>930/537 A</v>
      </c>
      <c r="D12" s="385" t="s">
        <v>419</v>
      </c>
      <c r="E12" s="386" t="s">
        <v>417</v>
      </c>
      <c r="F12" s="381"/>
    </row>
    <row r="13" spans="1:6" ht="18.95" customHeight="1">
      <c r="A13" s="379"/>
      <c r="B13" s="385" t="s">
        <v>420</v>
      </c>
      <c r="C13" s="387">
        <v>1.05</v>
      </c>
      <c r="D13" s="385" t="s">
        <v>421</v>
      </c>
      <c r="E13" s="386" t="s">
        <v>417</v>
      </c>
      <c r="F13" s="381"/>
    </row>
    <row r="14" spans="1:6" ht="18.95" customHeight="1">
      <c r="A14" s="379"/>
      <c r="B14" s="385" t="s">
        <v>422</v>
      </c>
      <c r="C14" s="387">
        <v>2.25</v>
      </c>
      <c r="D14" s="385" t="s">
        <v>423</v>
      </c>
      <c r="E14" s="386" t="s">
        <v>417</v>
      </c>
      <c r="F14" s="381"/>
    </row>
    <row r="15" spans="1:6" ht="18.95" customHeight="1">
      <c r="A15" s="379"/>
      <c r="B15" s="385" t="s">
        <v>424</v>
      </c>
      <c r="C15" s="386" t="s">
        <v>706</v>
      </c>
      <c r="D15" s="380"/>
      <c r="E15" s="380"/>
      <c r="F15" s="381"/>
    </row>
    <row r="16" spans="1:6" ht="18.95" customHeight="1">
      <c r="A16" s="379"/>
      <c r="B16" s="380"/>
      <c r="C16" s="380"/>
      <c r="D16" s="380"/>
      <c r="E16" s="380"/>
      <c r="F16" s="381"/>
    </row>
    <row r="17" spans="1:6" ht="18.95" customHeight="1">
      <c r="A17" s="379"/>
      <c r="B17" s="380"/>
      <c r="C17" s="380"/>
      <c r="D17" s="380"/>
      <c r="E17" s="380"/>
      <c r="F17" s="381"/>
    </row>
    <row r="18" spans="1:6" ht="18.95" customHeight="1">
      <c r="A18" s="379"/>
      <c r="B18" s="380"/>
      <c r="C18" s="380"/>
      <c r="D18" s="380"/>
      <c r="E18" s="380"/>
      <c r="F18" s="381"/>
    </row>
    <row r="19" spans="1:6" ht="18.95" customHeight="1">
      <c r="A19" s="379"/>
      <c r="B19" s="380"/>
      <c r="C19" s="380"/>
      <c r="D19" s="380"/>
      <c r="E19" s="380"/>
      <c r="F19" s="381"/>
    </row>
    <row r="20" spans="1:6" ht="18.95" customHeight="1">
      <c r="A20" s="379"/>
      <c r="B20" s="380"/>
      <c r="C20" s="380"/>
      <c r="D20" s="380"/>
      <c r="E20" s="380"/>
      <c r="F20" s="381"/>
    </row>
    <row r="21" spans="1:6" ht="18.95" customHeight="1">
      <c r="A21" s="379"/>
      <c r="B21" s="380"/>
      <c r="C21" s="380"/>
      <c r="D21" s="380"/>
      <c r="E21" s="380"/>
      <c r="F21" s="381"/>
    </row>
    <row r="22" spans="1:6" ht="18.95" customHeight="1">
      <c r="A22" s="379"/>
      <c r="B22" s="380"/>
      <c r="C22" s="380"/>
      <c r="D22" s="380"/>
      <c r="E22" s="380"/>
      <c r="F22" s="381"/>
    </row>
    <row r="23" spans="1:6" ht="18.95" customHeight="1">
      <c r="A23" s="379"/>
      <c r="B23" s="380"/>
      <c r="C23" s="380"/>
      <c r="D23" s="380"/>
      <c r="E23" s="380"/>
      <c r="F23" s="381"/>
    </row>
    <row r="24" spans="1:6" ht="18.95" customHeight="1">
      <c r="A24" s="379"/>
      <c r="B24" s="380"/>
      <c r="C24" s="380"/>
      <c r="D24" s="380"/>
      <c r="E24" s="380"/>
      <c r="F24" s="381"/>
    </row>
    <row r="25" spans="1:6" ht="18.95" customHeight="1">
      <c r="A25" s="379"/>
      <c r="B25" s="380"/>
      <c r="C25" s="380"/>
      <c r="D25" s="380"/>
      <c r="E25" s="380"/>
      <c r="F25" s="381"/>
    </row>
    <row r="26" spans="1:6" ht="18.95" customHeight="1">
      <c r="A26" s="379"/>
      <c r="B26" s="380"/>
      <c r="C26" s="380"/>
      <c r="D26" s="380"/>
      <c r="E26" s="380"/>
      <c r="F26" s="381"/>
    </row>
    <row r="27" spans="1:6" ht="18.95" customHeight="1">
      <c r="A27" s="379"/>
      <c r="B27" s="380"/>
      <c r="C27" s="380"/>
      <c r="D27" s="380"/>
      <c r="E27" s="380"/>
      <c r="F27" s="381"/>
    </row>
    <row r="28" spans="1:6" ht="18.95" customHeight="1">
      <c r="A28" s="379"/>
      <c r="B28" s="380"/>
      <c r="C28" s="380"/>
      <c r="D28" s="380"/>
      <c r="E28" s="380"/>
      <c r="F28" s="381"/>
    </row>
    <row r="29" spans="1:6" ht="18.95" customHeight="1">
      <c r="A29" s="379"/>
      <c r="B29" s="380"/>
      <c r="C29" s="380"/>
      <c r="D29" s="380"/>
      <c r="E29" s="380"/>
      <c r="F29" s="381"/>
    </row>
    <row r="30" spans="1:6" ht="18.95" customHeight="1">
      <c r="A30" s="379"/>
      <c r="B30" s="380"/>
      <c r="C30" s="380"/>
      <c r="D30" s="380"/>
      <c r="E30" s="380"/>
      <c r="F30" s="381"/>
    </row>
    <row r="31" spans="1:6" ht="18.95" customHeight="1">
      <c r="A31" s="379"/>
      <c r="B31" s="380"/>
      <c r="C31" s="380"/>
      <c r="D31" s="380"/>
      <c r="E31" s="380"/>
      <c r="F31" s="381"/>
    </row>
    <row r="32" spans="1:6" ht="18.95" customHeight="1">
      <c r="A32" s="379"/>
      <c r="B32" s="380"/>
      <c r="C32" s="380"/>
      <c r="D32" s="380"/>
      <c r="E32" s="380"/>
      <c r="F32" s="381"/>
    </row>
    <row r="33" spans="1:6" ht="18.95" customHeight="1">
      <c r="A33" s="379"/>
      <c r="B33" s="380"/>
      <c r="C33" s="380"/>
      <c r="D33" s="380"/>
      <c r="E33" s="380"/>
      <c r="F33" s="381"/>
    </row>
    <row r="34" spans="1:6" ht="18.95" customHeight="1">
      <c r="A34" s="379"/>
      <c r="B34" s="380"/>
      <c r="C34" s="380"/>
      <c r="D34" s="380"/>
      <c r="E34" s="380"/>
      <c r="F34" s="381"/>
    </row>
    <row r="35" spans="1:6" ht="18.95" customHeight="1">
      <c r="A35" s="379"/>
      <c r="B35" s="380"/>
      <c r="C35" s="380"/>
      <c r="D35" s="380"/>
      <c r="E35" s="380"/>
      <c r="F35" s="381"/>
    </row>
    <row r="36" spans="1:6" ht="18.95" customHeight="1">
      <c r="A36" s="379"/>
      <c r="B36" s="380"/>
      <c r="C36" s="380"/>
      <c r="D36" s="380"/>
      <c r="E36" s="380"/>
      <c r="F36" s="381"/>
    </row>
    <row r="37" spans="1:6" ht="18.95" customHeight="1">
      <c r="A37" s="379"/>
      <c r="B37" s="380"/>
      <c r="C37" s="380"/>
      <c r="D37" s="380"/>
      <c r="E37" s="380"/>
      <c r="F37" s="381"/>
    </row>
    <row r="38" spans="1:6" ht="18.95" customHeight="1">
      <c r="A38" s="379"/>
      <c r="B38" s="380"/>
      <c r="C38" s="380"/>
      <c r="D38" s="380"/>
      <c r="E38" s="380"/>
      <c r="F38" s="381"/>
    </row>
    <row r="39" spans="1:6" ht="18.95" customHeight="1">
      <c r="A39" s="388" t="s">
        <v>425</v>
      </c>
      <c r="B39" s="389" t="s">
        <v>372</v>
      </c>
      <c r="C39" s="533" t="str">
        <f>'Performance Data Sheet'!C10</f>
        <v>2374928.5</v>
      </c>
      <c r="D39" s="380"/>
      <c r="E39" s="385" t="s">
        <v>426</v>
      </c>
      <c r="F39" s="390" t="str">
        <f>F10</f>
        <v>1T2800K_REV3</v>
      </c>
    </row>
    <row r="40" spans="1:6" ht="18.95" customHeight="1">
      <c r="A40" s="379"/>
      <c r="B40" s="389"/>
      <c r="C40" s="389"/>
      <c r="D40" s="380"/>
      <c r="E40" s="380"/>
      <c r="F40" s="381"/>
    </row>
    <row r="41" spans="1:6" ht="18.95" customHeight="1">
      <c r="A41" s="379"/>
      <c r="B41" s="389"/>
      <c r="C41" s="389"/>
      <c r="D41" s="380"/>
      <c r="E41" s="380"/>
      <c r="F41" s="381"/>
    </row>
    <row r="42" spans="1:6" ht="18.95" customHeight="1">
      <c r="A42" s="379"/>
      <c r="B42" s="380"/>
      <c r="C42" s="380"/>
      <c r="D42" s="380"/>
      <c r="E42" s="380"/>
      <c r="F42" s="381"/>
    </row>
    <row r="43" spans="1:6" ht="18.95" customHeight="1">
      <c r="A43" s="391"/>
      <c r="B43" s="389"/>
      <c r="C43" s="392" t="s">
        <v>427</v>
      </c>
      <c r="D43" s="393" t="str">
        <f>'Performance Data Sheet'!K42</f>
        <v>Jerry R</v>
      </c>
      <c r="E43" s="392" t="s">
        <v>428</v>
      </c>
      <c r="F43" s="393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97">
        <v>100</v>
      </c>
      <c r="B54" s="370">
        <v>0</v>
      </c>
      <c r="C54" s="370">
        <v>0.22677947580814362</v>
      </c>
    </row>
    <row r="55" spans="1:3" ht="15" customHeight="1">
      <c r="A55" s="397">
        <v>99.200000055134296</v>
      </c>
      <c r="B55" s="370">
        <v>71.916120995171696</v>
      </c>
      <c r="C55" s="370">
        <v>75.481330871582031</v>
      </c>
    </row>
    <row r="56" spans="1:3" ht="15" customHeight="1">
      <c r="A56" s="397">
        <v>96.000000089406967</v>
      </c>
      <c r="B56" s="370">
        <v>225</v>
      </c>
      <c r="C56" s="370">
        <v>284.35906982421875</v>
      </c>
    </row>
    <row r="57" spans="1:3">
      <c r="A57" s="397">
        <v>90.857142955064774</v>
      </c>
      <c r="B57" s="370">
        <v>174.64142989658092</v>
      </c>
      <c r="C57" s="370">
        <v>393.17889404296875</v>
      </c>
    </row>
    <row r="58" spans="1:3">
      <c r="A58" s="397">
        <v>85.71428507566452</v>
      </c>
      <c r="B58" s="370">
        <v>125.46985458202442</v>
      </c>
      <c r="C58" s="370">
        <v>434.3758544921875</v>
      </c>
    </row>
    <row r="59" spans="1:3">
      <c r="A59" s="397">
        <v>80.571427941322327</v>
      </c>
      <c r="B59" s="370">
        <v>98.911928549775894</v>
      </c>
      <c r="C59" s="370">
        <v>453.60983276367188</v>
      </c>
    </row>
    <row r="60" spans="1:3">
      <c r="A60" s="397">
        <v>70.285713672637939</v>
      </c>
      <c r="B60" s="370">
        <v>80.327107281965425</v>
      </c>
      <c r="C60" s="370">
        <v>471.8004150390625</v>
      </c>
    </row>
    <row r="61" spans="1:3">
      <c r="A61" s="397">
        <v>59.999999403953552</v>
      </c>
      <c r="B61" s="370">
        <v>73.5</v>
      </c>
      <c r="C61" s="370">
        <v>481.47457885742188</v>
      </c>
    </row>
    <row r="62" spans="1:3">
      <c r="A62" s="397">
        <v>50</v>
      </c>
      <c r="B62" s="370">
        <v>73.865397106395307</v>
      </c>
      <c r="C62" s="370">
        <v>488.46221923828125</v>
      </c>
    </row>
    <row r="63" spans="1:3">
      <c r="A63" s="397">
        <v>39.999997615814209</v>
      </c>
      <c r="B63" s="370">
        <v>75.201260678520285</v>
      </c>
      <c r="C63" s="370">
        <v>494.28448486328125</v>
      </c>
    </row>
    <row r="64" spans="1:3">
      <c r="A64" s="397">
        <v>30.000001192092896</v>
      </c>
      <c r="B64" s="370">
        <v>77.970278833446201</v>
      </c>
      <c r="C64" s="370">
        <v>499.22158813476563</v>
      </c>
    </row>
    <row r="65" spans="1:3">
      <c r="A65" s="397">
        <v>19.999998807907104</v>
      </c>
      <c r="B65" s="370">
        <v>82.961654272264312</v>
      </c>
      <c r="C65" s="370">
        <v>503.67514038085938</v>
      </c>
    </row>
    <row r="66" spans="1:3">
      <c r="A66" s="397">
        <v>10.000002384185791</v>
      </c>
      <c r="B66" s="370">
        <v>91.366667433853252</v>
      </c>
      <c r="C66" s="370">
        <v>507.73077392578125</v>
      </c>
    </row>
    <row r="67" spans="1:3">
      <c r="A67" s="398">
        <v>0</v>
      </c>
      <c r="B67" s="370">
        <v>105</v>
      </c>
      <c r="C67" s="370">
        <v>511.42855834960938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1"/>
  <sheetViews>
    <sheetView workbookViewId="0">
      <selection activeCell="A6" sqref="A6:F10"/>
    </sheetView>
  </sheetViews>
  <sheetFormatPr defaultColWidth="8.85546875" defaultRowHeight="12.75"/>
  <cols>
    <col min="1" max="6" width="16.7109375" style="374" customWidth="1"/>
    <col min="7" max="16384" width="8.85546875" style="374"/>
  </cols>
  <sheetData>
    <row r="1" spans="1:6" ht="18.95" customHeight="1">
      <c r="A1" s="371"/>
      <c r="B1" s="372"/>
      <c r="C1" s="372"/>
      <c r="D1" s="372"/>
      <c r="E1" s="372"/>
      <c r="F1" s="373"/>
    </row>
    <row r="2" spans="1:6" ht="26.1" customHeight="1">
      <c r="A2" s="375" t="s">
        <v>269</v>
      </c>
      <c r="B2" s="376"/>
      <c r="C2" s="376"/>
      <c r="D2" s="376"/>
      <c r="E2" s="376"/>
      <c r="F2" s="377"/>
    </row>
    <row r="3" spans="1:6" ht="18.95" customHeight="1">
      <c r="A3" s="643" t="s">
        <v>597</v>
      </c>
      <c r="B3" s="644"/>
      <c r="C3" s="644"/>
      <c r="D3" s="644"/>
      <c r="E3" s="644"/>
      <c r="F3" s="645"/>
    </row>
    <row r="4" spans="1:6" ht="18.95" customHeight="1">
      <c r="A4" s="646" t="s">
        <v>592</v>
      </c>
      <c r="B4" s="647"/>
      <c r="C4" s="647"/>
      <c r="D4" s="647"/>
      <c r="E4" s="647"/>
      <c r="F4" s="648"/>
    </row>
    <row r="5" spans="1:6" ht="18.95" customHeight="1">
      <c r="A5" s="379"/>
      <c r="B5" s="380"/>
      <c r="C5" s="380"/>
      <c r="D5" s="380"/>
      <c r="E5" s="380"/>
      <c r="F5" s="381"/>
    </row>
    <row r="6" spans="1:6" ht="18.95" customHeight="1">
      <c r="A6" s="382" t="s">
        <v>404</v>
      </c>
      <c r="B6" s="640" t="str">
        <f>'Performance Data Sheet'!C17</f>
        <v>WT-10179885</v>
      </c>
      <c r="C6" s="641"/>
      <c r="D6" s="642"/>
      <c r="E6" s="382" t="s">
        <v>405</v>
      </c>
      <c r="F6" s="383" t="str">
        <f>'Performance Data Sheet'!I14 &amp; " A"</f>
        <v>182/105 A</v>
      </c>
    </row>
    <row r="7" spans="1:6" ht="18.95" customHeight="1">
      <c r="A7" s="382" t="s">
        <v>406</v>
      </c>
      <c r="B7" s="383" t="str">
        <f>'Performance Data Sheet'!F14</f>
        <v>WP-II</v>
      </c>
      <c r="C7" s="382" t="s">
        <v>407</v>
      </c>
      <c r="D7" s="383" t="str">
        <f>'Performance Data Sheet'!F13 &amp; " V"</f>
        <v>2300/4000 V</v>
      </c>
      <c r="E7" s="382" t="s">
        <v>408</v>
      </c>
      <c r="F7" s="383" t="str">
        <f>'Performance Data Sheet'!C14</f>
        <v>5012USS</v>
      </c>
    </row>
    <row r="8" spans="1:6" ht="18.95" customHeight="1">
      <c r="A8" s="382" t="s">
        <v>409</v>
      </c>
      <c r="B8" s="383">
        <v>2</v>
      </c>
      <c r="C8" s="382" t="s">
        <v>410</v>
      </c>
      <c r="D8" s="383" t="s">
        <v>411</v>
      </c>
      <c r="E8" s="382" t="s">
        <v>412</v>
      </c>
      <c r="F8" s="383" t="s">
        <v>365</v>
      </c>
    </row>
    <row r="9" spans="1:6" ht="18.95" customHeight="1">
      <c r="A9" s="382" t="s">
        <v>413</v>
      </c>
      <c r="B9" s="383">
        <v>800</v>
      </c>
      <c r="C9" s="382" t="s">
        <v>414</v>
      </c>
      <c r="D9" s="383" t="s">
        <v>430</v>
      </c>
      <c r="E9" s="382" t="s">
        <v>2</v>
      </c>
      <c r="F9" s="384">
        <f>'Performance Data Sheet'!K44</f>
        <v>45932</v>
      </c>
    </row>
    <row r="10" spans="1:6" ht="18.95" customHeight="1">
      <c r="A10" s="382" t="s">
        <v>415</v>
      </c>
      <c r="B10" s="383">
        <v>3555</v>
      </c>
      <c r="C10" s="382" t="s">
        <v>416</v>
      </c>
      <c r="D10" s="383" t="s">
        <v>417</v>
      </c>
      <c r="E10" s="382" t="s">
        <v>1</v>
      </c>
      <c r="F10" s="383" t="s">
        <v>432</v>
      </c>
    </row>
    <row r="11" spans="1:6" ht="18.95" customHeight="1">
      <c r="A11" s="379"/>
      <c r="B11" s="380"/>
      <c r="C11" s="380"/>
      <c r="D11" s="380"/>
      <c r="E11" s="380"/>
      <c r="F11" s="381"/>
    </row>
    <row r="12" spans="1:6" ht="18.95" customHeight="1">
      <c r="A12" s="379"/>
      <c r="B12" s="385"/>
      <c r="C12" s="386"/>
      <c r="D12" s="385"/>
      <c r="E12" s="386"/>
      <c r="F12" s="381"/>
    </row>
    <row r="13" spans="1:6" ht="18.95" customHeight="1">
      <c r="A13" s="379"/>
      <c r="B13" s="385"/>
      <c r="C13" s="387"/>
      <c r="D13" s="385"/>
      <c r="E13" s="386"/>
      <c r="F13" s="381"/>
    </row>
    <row r="14" spans="1:6" ht="18.95" customHeight="1">
      <c r="A14" s="379"/>
      <c r="B14" s="385"/>
      <c r="C14" s="387"/>
      <c r="D14" s="385"/>
      <c r="E14" s="386"/>
      <c r="F14" s="381"/>
    </row>
    <row r="15" spans="1:6" ht="18.95" customHeight="1">
      <c r="A15" s="379"/>
      <c r="B15" s="385"/>
      <c r="C15" s="386"/>
      <c r="D15" s="380"/>
      <c r="E15" s="380"/>
      <c r="F15" s="381"/>
    </row>
    <row r="16" spans="1:6" ht="18.95" customHeight="1">
      <c r="A16" s="379"/>
      <c r="B16" s="380"/>
      <c r="C16" s="380"/>
      <c r="D16" s="380"/>
      <c r="E16" s="380"/>
      <c r="F16" s="381"/>
    </row>
    <row r="17" spans="1:6" ht="18.95" customHeight="1">
      <c r="A17" s="379"/>
      <c r="B17" s="380"/>
      <c r="C17" s="380"/>
      <c r="D17" s="380"/>
      <c r="E17" s="380"/>
      <c r="F17" s="381"/>
    </row>
    <row r="18" spans="1:6" ht="18.95" customHeight="1">
      <c r="A18" s="379"/>
      <c r="B18" s="380"/>
      <c r="C18" s="380"/>
      <c r="D18" s="380"/>
      <c r="E18" s="380"/>
      <c r="F18" s="381"/>
    </row>
    <row r="19" spans="1:6" ht="18.95" customHeight="1">
      <c r="A19" s="379"/>
      <c r="B19" s="380"/>
      <c r="C19" s="380"/>
      <c r="D19" s="380"/>
      <c r="E19" s="380"/>
      <c r="F19" s="381"/>
    </row>
    <row r="20" spans="1:6" ht="18.95" customHeight="1">
      <c r="A20" s="379"/>
      <c r="B20" s="380"/>
      <c r="C20" s="380"/>
      <c r="D20" s="380"/>
      <c r="E20" s="380"/>
      <c r="F20" s="381"/>
    </row>
    <row r="21" spans="1:6" ht="18.95" customHeight="1">
      <c r="A21" s="379"/>
      <c r="B21" s="380"/>
      <c r="C21" s="380"/>
      <c r="D21" s="380"/>
      <c r="E21" s="380"/>
      <c r="F21" s="381"/>
    </row>
    <row r="22" spans="1:6" ht="18.95" customHeight="1">
      <c r="A22" s="379"/>
      <c r="B22" s="380"/>
      <c r="C22" s="380"/>
      <c r="D22" s="380"/>
      <c r="E22" s="380"/>
      <c r="F22" s="381"/>
    </row>
    <row r="23" spans="1:6" ht="18.95" customHeight="1">
      <c r="A23" s="379"/>
      <c r="B23" s="380"/>
      <c r="C23" s="380"/>
      <c r="D23" s="380"/>
      <c r="E23" s="380"/>
      <c r="F23" s="381"/>
    </row>
    <row r="24" spans="1:6" ht="18.95" customHeight="1">
      <c r="A24" s="379"/>
      <c r="B24" s="380"/>
      <c r="C24" s="380"/>
      <c r="D24" s="380"/>
      <c r="E24" s="380"/>
      <c r="F24" s="381"/>
    </row>
    <row r="25" spans="1:6" ht="18.95" customHeight="1">
      <c r="A25" s="379"/>
      <c r="B25" s="380"/>
      <c r="C25" s="380"/>
      <c r="D25" s="380"/>
      <c r="E25" s="380"/>
      <c r="F25" s="381"/>
    </row>
    <row r="26" spans="1:6" ht="18.95" customHeight="1">
      <c r="A26" s="379"/>
      <c r="B26" s="380"/>
      <c r="C26" s="380"/>
      <c r="D26" s="380"/>
      <c r="E26" s="380"/>
      <c r="F26" s="381"/>
    </row>
    <row r="27" spans="1:6" ht="18.95" customHeight="1">
      <c r="A27" s="379"/>
      <c r="B27" s="380"/>
      <c r="C27" s="380"/>
      <c r="D27" s="380"/>
      <c r="E27" s="380"/>
      <c r="F27" s="381"/>
    </row>
    <row r="28" spans="1:6" ht="18.95" customHeight="1">
      <c r="A28" s="379"/>
      <c r="B28" s="380"/>
      <c r="C28" s="380"/>
      <c r="D28" s="380"/>
      <c r="E28" s="380"/>
      <c r="F28" s="381"/>
    </row>
    <row r="29" spans="1:6" ht="18.95" customHeight="1">
      <c r="A29" s="379"/>
      <c r="B29" s="380"/>
      <c r="C29" s="380"/>
      <c r="D29" s="380"/>
      <c r="E29" s="380"/>
      <c r="F29" s="381"/>
    </row>
    <row r="30" spans="1:6" ht="18.95" customHeight="1">
      <c r="A30" s="379"/>
      <c r="B30" s="380"/>
      <c r="C30" s="380"/>
      <c r="D30" s="380"/>
      <c r="E30" s="380"/>
      <c r="F30" s="381"/>
    </row>
    <row r="31" spans="1:6" ht="18.95" customHeight="1">
      <c r="A31" s="379"/>
      <c r="B31" s="380"/>
      <c r="C31" s="380"/>
      <c r="D31" s="380"/>
      <c r="E31" s="380"/>
      <c r="F31" s="381"/>
    </row>
    <row r="32" spans="1:6" ht="18.95" customHeight="1">
      <c r="A32" s="379"/>
      <c r="B32" s="380"/>
      <c r="C32" s="380"/>
      <c r="D32" s="380"/>
      <c r="E32" s="380"/>
      <c r="F32" s="381"/>
    </row>
    <row r="33" spans="1:6" ht="18.95" customHeight="1">
      <c r="A33" s="379"/>
      <c r="B33" s="380"/>
      <c r="C33" s="380"/>
      <c r="D33" s="380"/>
      <c r="E33" s="380"/>
      <c r="F33" s="381"/>
    </row>
    <row r="34" spans="1:6" ht="18.95" customHeight="1">
      <c r="A34" s="379"/>
      <c r="B34" s="380"/>
      <c r="C34" s="380"/>
      <c r="D34" s="380"/>
      <c r="E34" s="380"/>
      <c r="F34" s="381"/>
    </row>
    <row r="35" spans="1:6" ht="18.95" customHeight="1">
      <c r="A35" s="379"/>
      <c r="B35" s="380"/>
      <c r="C35" s="380"/>
      <c r="D35" s="380"/>
      <c r="E35" s="380"/>
      <c r="F35" s="381"/>
    </row>
    <row r="36" spans="1:6" ht="18.95" customHeight="1">
      <c r="A36" s="379"/>
      <c r="B36" s="380"/>
      <c r="C36" s="380"/>
      <c r="D36" s="380"/>
      <c r="E36" s="380"/>
      <c r="F36" s="381"/>
    </row>
    <row r="37" spans="1:6" ht="18.95" customHeight="1">
      <c r="A37" s="379"/>
      <c r="B37" s="380"/>
      <c r="C37" s="380"/>
      <c r="D37" s="380"/>
      <c r="E37" s="380"/>
      <c r="F37" s="381"/>
    </row>
    <row r="38" spans="1:6" ht="18.95" customHeight="1">
      <c r="A38" s="379"/>
      <c r="B38" s="380"/>
      <c r="C38" s="380"/>
      <c r="D38" s="380"/>
      <c r="E38" s="380"/>
      <c r="F38" s="381"/>
    </row>
    <row r="39" spans="1:6" ht="18.95" customHeight="1">
      <c r="A39" s="388" t="s">
        <v>425</v>
      </c>
      <c r="B39" s="389" t="s">
        <v>372</v>
      </c>
      <c r="C39" s="533" t="str">
        <f>'Performance Data Sheet'!C10</f>
        <v>2374928.5</v>
      </c>
      <c r="D39" s="380"/>
      <c r="E39" s="385" t="s">
        <v>426</v>
      </c>
      <c r="F39" s="390" t="str">
        <f>F10</f>
        <v>1T2800K_REV3</v>
      </c>
    </row>
    <row r="40" spans="1:6" ht="18.95" customHeight="1">
      <c r="A40" s="379"/>
      <c r="B40" s="389"/>
      <c r="C40" s="389"/>
      <c r="D40" s="380"/>
      <c r="E40" s="380"/>
      <c r="F40" s="381"/>
    </row>
    <row r="41" spans="1:6" ht="18.95" customHeight="1">
      <c r="A41" s="379"/>
      <c r="B41" s="389"/>
      <c r="C41" s="389"/>
      <c r="D41" s="380"/>
      <c r="E41" s="380"/>
      <c r="F41" s="381"/>
    </row>
    <row r="42" spans="1:6" ht="18.95" customHeight="1">
      <c r="A42" s="379"/>
      <c r="B42" s="380"/>
      <c r="C42" s="380"/>
      <c r="D42" s="380"/>
      <c r="E42" s="380"/>
      <c r="F42" s="381"/>
    </row>
    <row r="43" spans="1:6" ht="18.95" customHeight="1">
      <c r="A43" s="391"/>
      <c r="B43" s="389"/>
      <c r="C43" s="392" t="s">
        <v>427</v>
      </c>
      <c r="D43" s="393" t="str">
        <f>'Performance Data Sheet'!K42</f>
        <v>Jerry R</v>
      </c>
      <c r="E43" s="392" t="s">
        <v>428</v>
      </c>
      <c r="F43" s="393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0" t="e">
        <f>5252.1*B50/D53</f>
        <v>#DIV/0!</v>
      </c>
      <c r="G50" s="420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1"/>
    </row>
    <row r="63" spans="6:9">
      <c r="I63" s="374" t="s">
        <v>39</v>
      </c>
    </row>
    <row r="66" spans="1:6">
      <c r="D66" s="420" t="e">
        <f>D65/D64</f>
        <v>#DIV/0!</v>
      </c>
    </row>
    <row r="67" spans="1:6">
      <c r="A67" s="422" t="s">
        <v>401</v>
      </c>
      <c r="B67" s="422" t="s">
        <v>593</v>
      </c>
      <c r="C67" s="422" t="s">
        <v>594</v>
      </c>
      <c r="E67" s="422" t="s">
        <v>595</v>
      </c>
      <c r="F67" s="422" t="s">
        <v>596</v>
      </c>
    </row>
    <row r="68" spans="1:6">
      <c r="A68" s="423">
        <v>511.42857142857144</v>
      </c>
      <c r="B68" s="424">
        <v>13.305395671299527</v>
      </c>
      <c r="C68" s="424">
        <v>6.8305288042340964</v>
      </c>
      <c r="E68" s="423">
        <f>A68</f>
        <v>511.42857142857144</v>
      </c>
      <c r="F68" s="424">
        <v>1E-4</v>
      </c>
    </row>
    <row r="69" spans="1:6">
      <c r="A69" s="423">
        <v>446.29222857142861</v>
      </c>
      <c r="B69" s="424">
        <f>((A68/A69)^2)*B68</f>
        <v>17.472663716374804</v>
      </c>
      <c r="C69" s="424">
        <f>((A68/A69)^2)*C68</f>
        <v>8.9698597283230956</v>
      </c>
      <c r="E69" s="423">
        <v>509.61904761904759</v>
      </c>
      <c r="F69" s="424">
        <v>0.39500001072883606</v>
      </c>
    </row>
    <row r="70" spans="1:6">
      <c r="A70" s="423">
        <v>381.13634285714284</v>
      </c>
      <c r="B70" s="424">
        <f>((A68/A70)^2)*B68</f>
        <v>23.957254274278124</v>
      </c>
      <c r="C70" s="424">
        <f>((A68/A70)^2)*C68</f>
        <v>12.298823682770983</v>
      </c>
      <c r="E70" s="423">
        <v>505.71428571428572</v>
      </c>
      <c r="F70" s="424">
        <v>0.79000002145767212</v>
      </c>
    </row>
    <row r="71" spans="1:6">
      <c r="A71" s="423">
        <v>316</v>
      </c>
      <c r="B71" s="424">
        <f>((A68/A71)^2)*B68</f>
        <v>34.851670708195982</v>
      </c>
      <c r="C71" s="424">
        <f>((A68/A71)^2)*C68</f>
        <v>17.891639341587783</v>
      </c>
      <c r="E71" s="423">
        <v>501.42857142857144</v>
      </c>
      <c r="F71" s="424">
        <v>1.1970000267028809</v>
      </c>
    </row>
    <row r="72" spans="1:6">
      <c r="A72" s="423">
        <f>A71-100</f>
        <v>216</v>
      </c>
      <c r="B72" s="424">
        <f>((A68/A72)^2)*B68</f>
        <v>74.591658741375554</v>
      </c>
      <c r="C72" s="424"/>
      <c r="E72" s="423">
        <v>496.76190476190476</v>
      </c>
      <c r="F72" s="424">
        <v>1.6269999742507935</v>
      </c>
    </row>
    <row r="73" spans="1:6">
      <c r="A73" s="423">
        <f>A72-100</f>
        <v>116</v>
      </c>
      <c r="B73" s="424">
        <f>((A68/A73)^2)*B68</f>
        <v>258.63172043977534</v>
      </c>
      <c r="C73" s="424"/>
      <c r="E73" s="423">
        <v>491.33333333333331</v>
      </c>
      <c r="F73" s="424">
        <v>2.0980000495910645</v>
      </c>
    </row>
    <row r="74" spans="1:6">
      <c r="A74" s="423">
        <v>225</v>
      </c>
      <c r="B74" s="424">
        <f>((A68/A74)^2)*B68</f>
        <v>68.743672696051703</v>
      </c>
      <c r="C74" s="424">
        <f>((A68/A74)^2)*C68</f>
        <v>35.290618036416575</v>
      </c>
      <c r="E74" s="423">
        <v>484.95238095238096</v>
      </c>
      <c r="F74" s="424">
        <v>2.6349999904632568</v>
      </c>
    </row>
    <row r="75" spans="1:6">
      <c r="A75" s="425">
        <v>180</v>
      </c>
      <c r="B75" s="424">
        <f>((A68/A75)^2)*B69</f>
        <v>141.05356969926055</v>
      </c>
      <c r="C75" s="424">
        <f>((A68/A75)^2)*C68</f>
        <v>55.141590681900908</v>
      </c>
      <c r="E75" s="423">
        <v>476.66666666666669</v>
      </c>
      <c r="F75" s="424">
        <v>3.2599999904632568</v>
      </c>
    </row>
    <row r="76" spans="1:6">
      <c r="A76" s="425">
        <v>145</v>
      </c>
      <c r="B76" s="424">
        <f>((A68/A76)^2)*B68</f>
        <v>165.52430108145626</v>
      </c>
      <c r="C76" s="424">
        <f>((A68/A76)^2)*C68</f>
        <v>84.974437008018526</v>
      </c>
      <c r="E76" s="423">
        <v>462.66666666666669</v>
      </c>
      <c r="F76" s="424">
        <v>3.9119999408721924</v>
      </c>
    </row>
    <row r="77" spans="1:6">
      <c r="A77" s="425">
        <v>125</v>
      </c>
      <c r="B77" s="424"/>
      <c r="C77" s="423">
        <f>CEILING(C76*2,100)</f>
        <v>200</v>
      </c>
      <c r="E77" s="423">
        <v>444</v>
      </c>
      <c r="F77" s="424">
        <v>4.1909999847412109</v>
      </c>
    </row>
    <row r="78" spans="1:6">
      <c r="A78" s="425">
        <v>125</v>
      </c>
      <c r="B78" s="424"/>
      <c r="C78" s="423">
        <f>2*C77</f>
        <v>400</v>
      </c>
      <c r="E78" s="423">
        <v>413.8095238095238</v>
      </c>
      <c r="F78" s="424">
        <v>4.3819999694824219</v>
      </c>
    </row>
    <row r="79" spans="1:6">
      <c r="A79" s="425">
        <v>125</v>
      </c>
      <c r="B79" s="425"/>
      <c r="C79" s="425">
        <v>10000</v>
      </c>
      <c r="E79" s="423">
        <v>338.76190476190476</v>
      </c>
      <c r="F79" s="424">
        <v>4.5139999389648438</v>
      </c>
    </row>
    <row r="80" spans="1:6">
      <c r="E80" s="423">
        <v>0</v>
      </c>
      <c r="F80" s="424">
        <v>4.6430001258850098</v>
      </c>
    </row>
    <row r="81" spans="5:6">
      <c r="E81" s="423"/>
      <c r="F81" s="424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67"/>
  <sheetViews>
    <sheetView topLeftCell="A2" workbookViewId="0">
      <selection activeCell="D8" sqref="D8"/>
    </sheetView>
  </sheetViews>
  <sheetFormatPr defaultColWidth="8.85546875" defaultRowHeight="12.75"/>
  <cols>
    <col min="1" max="6" width="16.7109375" style="374" customWidth="1"/>
    <col min="7" max="16384" width="8.85546875" style="374"/>
  </cols>
  <sheetData>
    <row r="1" spans="1:6" ht="18.95" customHeight="1">
      <c r="A1" s="371"/>
      <c r="B1" s="372"/>
      <c r="C1" s="372"/>
      <c r="D1" s="372"/>
      <c r="E1" s="372"/>
      <c r="F1" s="373"/>
    </row>
    <row r="2" spans="1:6" ht="26.1" customHeight="1">
      <c r="A2" s="375" t="s">
        <v>269</v>
      </c>
      <c r="B2" s="376"/>
      <c r="C2" s="376"/>
      <c r="D2" s="376"/>
      <c r="E2" s="376"/>
      <c r="F2" s="377"/>
    </row>
    <row r="3" spans="1:6" ht="18.95" customHeight="1">
      <c r="A3" s="378" t="s">
        <v>598</v>
      </c>
      <c r="B3" s="376"/>
      <c r="C3" s="376"/>
      <c r="D3" s="376"/>
      <c r="E3" s="376"/>
      <c r="F3" s="377"/>
    </row>
    <row r="4" spans="1:6" ht="18.95" customHeight="1">
      <c r="A4" s="646" t="s">
        <v>592</v>
      </c>
      <c r="B4" s="647"/>
      <c r="C4" s="647"/>
      <c r="D4" s="647"/>
      <c r="E4" s="647"/>
      <c r="F4" s="648"/>
    </row>
    <row r="5" spans="1:6" ht="18.95" customHeight="1">
      <c r="A5" s="379"/>
      <c r="B5" s="380"/>
      <c r="C5" s="380"/>
      <c r="D5" s="380"/>
      <c r="E5" s="380"/>
      <c r="F5" s="381"/>
    </row>
    <row r="6" spans="1:6" ht="18.95" customHeight="1">
      <c r="A6" s="382" t="s">
        <v>404</v>
      </c>
      <c r="B6" s="640" t="str">
        <f>'Performance Data Sheet'!C17</f>
        <v>WT-10179885</v>
      </c>
      <c r="C6" s="641"/>
      <c r="D6" s="642"/>
      <c r="E6" s="382" t="s">
        <v>405</v>
      </c>
      <c r="F6" s="383" t="s">
        <v>712</v>
      </c>
    </row>
    <row r="7" spans="1:6" ht="18.95" customHeight="1">
      <c r="A7" s="382" t="s">
        <v>406</v>
      </c>
      <c r="B7" s="383" t="str">
        <f>'Performance Data Sheet'!F14</f>
        <v>WP-II</v>
      </c>
      <c r="C7" s="382" t="s">
        <v>407</v>
      </c>
      <c r="D7" s="383" t="s">
        <v>429</v>
      </c>
      <c r="E7" s="382" t="s">
        <v>408</v>
      </c>
      <c r="F7" s="383" t="str">
        <f>'Performance Data Sheet'!C14</f>
        <v>5012USS</v>
      </c>
    </row>
    <row r="8" spans="1:6" ht="18.95" customHeight="1">
      <c r="A8" s="382" t="s">
        <v>409</v>
      </c>
      <c r="B8" s="383">
        <v>2</v>
      </c>
      <c r="C8" s="382" t="s">
        <v>410</v>
      </c>
      <c r="D8" s="383" t="s">
        <v>411</v>
      </c>
      <c r="E8" s="382" t="s">
        <v>412</v>
      </c>
      <c r="F8" s="383" t="s">
        <v>365</v>
      </c>
    </row>
    <row r="9" spans="1:6" ht="18.95" customHeight="1">
      <c r="A9" s="382" t="s">
        <v>413</v>
      </c>
      <c r="B9" s="383">
        <v>800</v>
      </c>
      <c r="C9" s="382" t="s">
        <v>414</v>
      </c>
      <c r="D9" s="383" t="s">
        <v>430</v>
      </c>
      <c r="E9" s="382" t="s">
        <v>2</v>
      </c>
      <c r="F9" s="384">
        <f>'Performance Data Sheet'!K44</f>
        <v>45932</v>
      </c>
    </row>
    <row r="10" spans="1:6" ht="18.95" customHeight="1">
      <c r="A10" s="382" t="s">
        <v>415</v>
      </c>
      <c r="B10" s="383">
        <v>3555</v>
      </c>
      <c r="C10" s="382" t="s">
        <v>416</v>
      </c>
      <c r="D10" s="383" t="s">
        <v>417</v>
      </c>
      <c r="E10" s="382" t="s">
        <v>1</v>
      </c>
      <c r="F10" s="383" t="s">
        <v>432</v>
      </c>
    </row>
    <row r="11" spans="1:6" ht="18.95" customHeight="1">
      <c r="A11" s="379"/>
      <c r="B11" s="380"/>
      <c r="C11" s="380"/>
      <c r="D11" s="380"/>
      <c r="E11" s="380"/>
      <c r="F11" s="381"/>
    </row>
    <row r="12" spans="1:6" ht="18.95" customHeight="1">
      <c r="A12" s="379"/>
      <c r="B12" s="385" t="s">
        <v>418</v>
      </c>
      <c r="C12" s="386" t="s">
        <v>431</v>
      </c>
      <c r="D12" s="385" t="s">
        <v>419</v>
      </c>
      <c r="E12" s="386" t="s">
        <v>417</v>
      </c>
      <c r="F12" s="381"/>
    </row>
    <row r="13" spans="1:6" ht="18.95" customHeight="1">
      <c r="A13" s="379"/>
      <c r="B13" s="385" t="s">
        <v>420</v>
      </c>
      <c r="C13" s="387">
        <v>1.05</v>
      </c>
      <c r="D13" s="385" t="s">
        <v>421</v>
      </c>
      <c r="E13" s="386" t="s">
        <v>417</v>
      </c>
      <c r="F13" s="381"/>
    </row>
    <row r="14" spans="1:6" ht="18.95" customHeight="1">
      <c r="A14" s="379"/>
      <c r="B14" s="385" t="s">
        <v>422</v>
      </c>
      <c r="C14" s="387">
        <v>2.25</v>
      </c>
      <c r="D14" s="385" t="s">
        <v>423</v>
      </c>
      <c r="E14" s="386" t="s">
        <v>417</v>
      </c>
      <c r="F14" s="381"/>
    </row>
    <row r="15" spans="1:6" ht="18.95" customHeight="1">
      <c r="A15" s="379"/>
      <c r="B15" s="385" t="s">
        <v>424</v>
      </c>
      <c r="C15" s="386" t="s">
        <v>706</v>
      </c>
      <c r="D15" s="380"/>
      <c r="E15" s="380"/>
      <c r="F15" s="381"/>
    </row>
    <row r="16" spans="1:6" ht="18.95" customHeight="1">
      <c r="A16" s="379"/>
      <c r="B16" s="380"/>
      <c r="C16" s="380"/>
      <c r="D16" s="380"/>
      <c r="E16" s="380"/>
      <c r="F16" s="381"/>
    </row>
    <row r="17" spans="1:8" ht="18.95" customHeight="1">
      <c r="A17" s="379"/>
      <c r="B17" s="380"/>
      <c r="C17" s="380"/>
      <c r="D17" s="380"/>
      <c r="E17" s="380"/>
      <c r="F17" s="381"/>
    </row>
    <row r="18" spans="1:8" ht="18.95" customHeight="1">
      <c r="A18" s="379"/>
      <c r="B18" s="380"/>
      <c r="C18" s="380"/>
      <c r="D18" s="380"/>
      <c r="E18" s="380"/>
      <c r="F18" s="381"/>
    </row>
    <row r="19" spans="1:8" ht="18.95" customHeight="1">
      <c r="A19" s="379"/>
      <c r="B19" s="380"/>
      <c r="C19" s="380"/>
      <c r="D19" s="380"/>
      <c r="E19" s="380"/>
      <c r="F19" s="381"/>
    </row>
    <row r="20" spans="1:8" ht="18.95" customHeight="1">
      <c r="A20" s="379"/>
      <c r="B20" s="380"/>
      <c r="C20" s="380"/>
      <c r="D20" s="380"/>
      <c r="E20" s="380"/>
      <c r="F20" s="381"/>
    </row>
    <row r="21" spans="1:8" ht="18.95" customHeight="1">
      <c r="A21" s="379"/>
      <c r="B21" s="380"/>
      <c r="C21" s="380"/>
      <c r="D21" s="380"/>
      <c r="E21" s="380"/>
      <c r="F21" s="381"/>
    </row>
    <row r="22" spans="1:8" ht="18.95" customHeight="1">
      <c r="A22" s="379"/>
      <c r="B22" s="380"/>
      <c r="C22" s="380"/>
      <c r="D22" s="380"/>
      <c r="E22" s="380"/>
      <c r="F22" s="381"/>
    </row>
    <row r="23" spans="1:8" ht="18.95" customHeight="1">
      <c r="A23" s="379"/>
      <c r="B23" s="380"/>
      <c r="C23" s="380"/>
      <c r="D23" s="380"/>
      <c r="E23" s="380"/>
      <c r="F23" s="381"/>
    </row>
    <row r="24" spans="1:8" ht="18.95" customHeight="1">
      <c r="A24" s="379"/>
      <c r="B24" s="380"/>
      <c r="C24" s="380"/>
      <c r="D24" s="380"/>
      <c r="E24" s="380"/>
      <c r="F24" s="381"/>
      <c r="H24" s="426"/>
    </row>
    <row r="25" spans="1:8" ht="18.95" customHeight="1">
      <c r="A25" s="379"/>
      <c r="B25" s="380"/>
      <c r="C25" s="380"/>
      <c r="D25" s="380"/>
      <c r="E25" s="380"/>
      <c r="F25" s="381"/>
    </row>
    <row r="26" spans="1:8" ht="18.95" customHeight="1">
      <c r="A26" s="379"/>
      <c r="B26" s="380"/>
      <c r="C26" s="380"/>
      <c r="D26" s="380"/>
      <c r="E26" s="380"/>
      <c r="F26" s="381"/>
    </row>
    <row r="27" spans="1:8" ht="18.95" customHeight="1">
      <c r="A27" s="379"/>
      <c r="B27" s="380"/>
      <c r="C27" s="380"/>
      <c r="D27" s="380"/>
      <c r="E27" s="380"/>
      <c r="F27" s="381"/>
    </row>
    <row r="28" spans="1:8" ht="18.95" customHeight="1">
      <c r="A28" s="379"/>
      <c r="B28" s="380"/>
      <c r="C28" s="380"/>
      <c r="D28" s="380"/>
      <c r="E28" s="380"/>
      <c r="F28" s="381"/>
    </row>
    <row r="29" spans="1:8" ht="18.95" customHeight="1">
      <c r="A29" s="379"/>
      <c r="B29" s="380"/>
      <c r="C29" s="380"/>
      <c r="D29" s="380"/>
      <c r="E29" s="380"/>
      <c r="F29" s="381"/>
    </row>
    <row r="30" spans="1:8" ht="18.95" customHeight="1">
      <c r="A30" s="379"/>
      <c r="B30" s="380"/>
      <c r="C30" s="380"/>
      <c r="D30" s="380"/>
      <c r="E30" s="380"/>
      <c r="F30" s="381"/>
    </row>
    <row r="31" spans="1:8" ht="18.95" customHeight="1">
      <c r="A31" s="379"/>
      <c r="B31" s="380"/>
      <c r="C31" s="380"/>
      <c r="D31" s="380"/>
      <c r="E31" s="380"/>
      <c r="F31" s="381"/>
    </row>
    <row r="32" spans="1:8" ht="18.95" customHeight="1">
      <c r="A32" s="379"/>
      <c r="B32" s="380"/>
      <c r="C32" s="380"/>
      <c r="D32" s="380"/>
      <c r="E32" s="380"/>
      <c r="F32" s="381"/>
    </row>
    <row r="33" spans="1:6" ht="18.95" customHeight="1">
      <c r="A33" s="379"/>
      <c r="B33" s="380"/>
      <c r="C33" s="380"/>
      <c r="D33" s="380"/>
      <c r="E33" s="380"/>
      <c r="F33" s="381"/>
    </row>
    <row r="34" spans="1:6" ht="18.95" customHeight="1">
      <c r="A34" s="379"/>
      <c r="B34" s="380"/>
      <c r="C34" s="380"/>
      <c r="D34" s="380"/>
      <c r="E34" s="380"/>
      <c r="F34" s="381"/>
    </row>
    <row r="35" spans="1:6" ht="18.95" customHeight="1">
      <c r="A35" s="379"/>
      <c r="B35" s="380"/>
      <c r="C35" s="380"/>
      <c r="D35" s="380"/>
      <c r="E35" s="380"/>
      <c r="F35" s="381"/>
    </row>
    <row r="36" spans="1:6" ht="18.95" customHeight="1">
      <c r="A36" s="379"/>
      <c r="B36" s="380"/>
      <c r="C36" s="380"/>
      <c r="D36" s="380"/>
      <c r="E36" s="380"/>
      <c r="F36" s="381"/>
    </row>
    <row r="37" spans="1:6" ht="18.95" customHeight="1">
      <c r="A37" s="379"/>
      <c r="B37" s="380"/>
      <c r="C37" s="380"/>
      <c r="D37" s="380"/>
      <c r="E37" s="380"/>
      <c r="F37" s="381"/>
    </row>
    <row r="38" spans="1:6" ht="18.95" customHeight="1">
      <c r="A38" s="379"/>
      <c r="B38" s="380"/>
      <c r="C38" s="380"/>
      <c r="D38" s="380"/>
      <c r="E38" s="380"/>
      <c r="F38" s="381"/>
    </row>
    <row r="39" spans="1:6" ht="18.95" customHeight="1">
      <c r="A39" s="388" t="s">
        <v>425</v>
      </c>
      <c r="B39" s="389" t="s">
        <v>372</v>
      </c>
      <c r="C39" s="533" t="str">
        <f>'Performance Data Sheet'!C10</f>
        <v>2374928.5</v>
      </c>
      <c r="D39" s="380"/>
      <c r="E39" s="385" t="s">
        <v>426</v>
      </c>
      <c r="F39" s="390" t="str">
        <f>F10</f>
        <v>1T2800K_REV3</v>
      </c>
    </row>
    <row r="40" spans="1:6" ht="18.95" customHeight="1">
      <c r="A40" s="379"/>
      <c r="B40" s="389"/>
      <c r="C40" s="389"/>
      <c r="D40" s="380"/>
      <c r="E40" s="380"/>
      <c r="F40" s="381"/>
    </row>
    <row r="41" spans="1:6" ht="18.95" customHeight="1">
      <c r="A41" s="379"/>
      <c r="B41" s="389"/>
      <c r="C41" s="389"/>
      <c r="D41" s="380"/>
      <c r="E41" s="380"/>
      <c r="F41" s="381"/>
    </row>
    <row r="42" spans="1:6" ht="18.95" customHeight="1">
      <c r="A42" s="379"/>
      <c r="B42" s="380"/>
      <c r="C42" s="380"/>
      <c r="D42" s="380"/>
      <c r="E42" s="380"/>
      <c r="F42" s="381"/>
    </row>
    <row r="43" spans="1:6" ht="18.95" customHeight="1">
      <c r="A43" s="391"/>
      <c r="B43" s="389"/>
      <c r="C43" s="392" t="s">
        <v>427</v>
      </c>
      <c r="D43" s="393" t="str">
        <f>'Performance Data Sheet'!K42</f>
        <v>Jerry R</v>
      </c>
      <c r="E43" s="392" t="s">
        <v>428</v>
      </c>
      <c r="F43" s="393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7" t="s">
        <v>433</v>
      </c>
      <c r="B53" s="427" t="s">
        <v>142</v>
      </c>
      <c r="C53" s="427" t="s">
        <v>120</v>
      </c>
      <c r="D53" s="427" t="s">
        <v>135</v>
      </c>
      <c r="E53" s="427" t="s">
        <v>5</v>
      </c>
      <c r="F53" s="428" t="s">
        <v>599</v>
      </c>
    </row>
    <row r="54" spans="1:6" ht="15" customHeight="1">
      <c r="A54" s="429">
        <v>0</v>
      </c>
      <c r="B54" s="430"/>
      <c r="C54" s="431"/>
      <c r="D54" s="431">
        <v>25.152453566460451</v>
      </c>
      <c r="E54" s="431">
        <v>100</v>
      </c>
      <c r="F54" s="432">
        <v>0.54791875000000001</v>
      </c>
    </row>
    <row r="55" spans="1:6" ht="15" customHeight="1">
      <c r="A55" s="433">
        <v>25</v>
      </c>
      <c r="B55" s="434">
        <v>90.536056518554688</v>
      </c>
      <c r="C55" s="435">
        <v>64.035369873046875</v>
      </c>
      <c r="D55" s="435">
        <v>37.224399566650391</v>
      </c>
      <c r="E55" s="435">
        <v>83.451592478728571</v>
      </c>
      <c r="F55" s="436">
        <v>10.321326084732092</v>
      </c>
    </row>
    <row r="56" spans="1:6" ht="15" customHeight="1">
      <c r="A56" s="433">
        <v>50</v>
      </c>
      <c r="B56" s="434">
        <v>93.28961181640625</v>
      </c>
      <c r="C56" s="435">
        <v>81.174125671386719</v>
      </c>
      <c r="D56" s="435">
        <v>56.996513366699219</v>
      </c>
      <c r="E56" s="435">
        <v>74.23615820865686</v>
      </c>
      <c r="F56" s="436">
        <v>20.033360300472133</v>
      </c>
    </row>
    <row r="57" spans="1:6">
      <c r="A57" s="433">
        <v>75</v>
      </c>
      <c r="B57" s="434">
        <v>93.862014770507813</v>
      </c>
      <c r="C57" s="435">
        <v>86.08062744140625</v>
      </c>
      <c r="D57" s="435">
        <v>80.1300048828125</v>
      </c>
      <c r="E57" s="435">
        <v>64.79891389745471</v>
      </c>
      <c r="F57" s="436">
        <v>29.866785957267865</v>
      </c>
    </row>
    <row r="58" spans="1:6">
      <c r="A58" s="433">
        <v>100</v>
      </c>
      <c r="B58" s="434">
        <v>93.843864440917969</v>
      </c>
      <c r="C58" s="435">
        <v>87.609146118164063</v>
      </c>
      <c r="D58" s="435">
        <v>104.99628448486328</v>
      </c>
      <c r="E58" s="435">
        <v>54.853243094629619</v>
      </c>
      <c r="F58" s="436">
        <v>39.830086349865745</v>
      </c>
    </row>
    <row r="59" spans="1:6" ht="13.5" thickBot="1">
      <c r="A59" s="437">
        <v>125</v>
      </c>
      <c r="B59" s="438">
        <v>93.586166381835938</v>
      </c>
      <c r="C59" s="439">
        <v>87.759658813476563</v>
      </c>
      <c r="D59" s="439">
        <v>131.38102722167969</v>
      </c>
      <c r="E59" s="439">
        <v>45.115487836090871</v>
      </c>
      <c r="F59" s="440">
        <v>49.924699468005379</v>
      </c>
    </row>
    <row r="60" spans="1:6">
      <c r="A60" s="394"/>
      <c r="B60" s="395"/>
      <c r="C60" s="395"/>
    </row>
    <row r="61" spans="1:6">
      <c r="A61" s="394"/>
      <c r="B61" s="395"/>
      <c r="C61" s="395"/>
    </row>
    <row r="62" spans="1:6">
      <c r="A62" s="394"/>
      <c r="B62" s="395"/>
      <c r="C62" s="395"/>
    </row>
    <row r="63" spans="1:6">
      <c r="A63" s="394"/>
      <c r="B63" s="395"/>
      <c r="C63" s="395"/>
    </row>
    <row r="64" spans="1:6">
      <c r="A64" s="394"/>
      <c r="B64" s="395"/>
      <c r="C64" s="395"/>
    </row>
    <row r="65" spans="1:3">
      <c r="A65" s="394"/>
      <c r="B65" s="395"/>
      <c r="C65" s="395"/>
    </row>
    <row r="66" spans="1:3">
      <c r="A66" s="394"/>
      <c r="B66" s="395"/>
      <c r="C66" s="395"/>
    </row>
    <row r="67" spans="1:3">
      <c r="A67" s="396"/>
      <c r="B67" s="395"/>
      <c r="C67" s="395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7"/>
  <sheetViews>
    <sheetView topLeftCell="A17" workbookViewId="0">
      <selection activeCell="A6" sqref="A6:F10"/>
    </sheetView>
  </sheetViews>
  <sheetFormatPr defaultColWidth="8.85546875" defaultRowHeight="12.75"/>
  <cols>
    <col min="1" max="6" width="16.7109375" style="374" customWidth="1"/>
    <col min="7" max="16384" width="8.85546875" style="374"/>
  </cols>
  <sheetData>
    <row r="1" spans="1:6" ht="18.95" customHeight="1">
      <c r="A1" s="371"/>
      <c r="B1" s="372"/>
      <c r="C1" s="372"/>
      <c r="D1" s="372"/>
      <c r="E1" s="372"/>
      <c r="F1" s="373"/>
    </row>
    <row r="2" spans="1:6" ht="26.1" customHeight="1">
      <c r="A2" s="375" t="s">
        <v>269</v>
      </c>
      <c r="B2" s="376"/>
      <c r="C2" s="376"/>
      <c r="D2" s="376"/>
      <c r="E2" s="376"/>
      <c r="F2" s="377"/>
    </row>
    <row r="3" spans="1:6" ht="18.95" customHeight="1">
      <c r="A3" s="378" t="s">
        <v>598</v>
      </c>
      <c r="B3" s="376"/>
      <c r="C3" s="376"/>
      <c r="D3" s="376"/>
      <c r="E3" s="376"/>
      <c r="F3" s="377"/>
    </row>
    <row r="4" spans="1:6" ht="18.95" customHeight="1">
      <c r="A4" s="646" t="s">
        <v>592</v>
      </c>
      <c r="B4" s="647"/>
      <c r="C4" s="647"/>
      <c r="D4" s="647"/>
      <c r="E4" s="647"/>
      <c r="F4" s="648"/>
    </row>
    <row r="5" spans="1:6" ht="18.95" customHeight="1">
      <c r="A5" s="379"/>
      <c r="B5" s="380"/>
      <c r="C5" s="380"/>
      <c r="D5" s="380"/>
      <c r="E5" s="380"/>
      <c r="F5" s="381"/>
    </row>
    <row r="6" spans="1:6" ht="18.95" customHeight="1">
      <c r="A6" s="382" t="s">
        <v>404</v>
      </c>
      <c r="B6" s="640" t="str">
        <f>'Performance Data Sheet'!C17</f>
        <v>WT-10179885</v>
      </c>
      <c r="C6" s="641"/>
      <c r="D6" s="642"/>
      <c r="E6" s="382" t="s">
        <v>405</v>
      </c>
      <c r="F6" s="383" t="str">
        <f>'Performance Data Sheet'!I14 &amp; " A"</f>
        <v>182/105 A</v>
      </c>
    </row>
    <row r="7" spans="1:6" ht="18.95" customHeight="1">
      <c r="A7" s="382" t="s">
        <v>406</v>
      </c>
      <c r="B7" s="383" t="str">
        <f>'Performance Data Sheet'!F14</f>
        <v>WP-II</v>
      </c>
      <c r="C7" s="382" t="s">
        <v>407</v>
      </c>
      <c r="D7" s="383" t="str">
        <f>'Performance Data Sheet'!F13 &amp; " V"</f>
        <v>2300/4000 V</v>
      </c>
      <c r="E7" s="382" t="s">
        <v>408</v>
      </c>
      <c r="F7" s="383" t="str">
        <f>'Performance Data Sheet'!C14</f>
        <v>5012USS</v>
      </c>
    </row>
    <row r="8" spans="1:6" ht="18.95" customHeight="1">
      <c r="A8" s="382" t="s">
        <v>409</v>
      </c>
      <c r="B8" s="383">
        <v>2</v>
      </c>
      <c r="C8" s="382" t="s">
        <v>410</v>
      </c>
      <c r="D8" s="383" t="s">
        <v>411</v>
      </c>
      <c r="E8" s="382" t="s">
        <v>412</v>
      </c>
      <c r="F8" s="383" t="s">
        <v>365</v>
      </c>
    </row>
    <row r="9" spans="1:6" ht="18.95" customHeight="1">
      <c r="A9" s="382" t="s">
        <v>413</v>
      </c>
      <c r="B9" s="383">
        <v>800</v>
      </c>
      <c r="C9" s="382" t="s">
        <v>414</v>
      </c>
      <c r="D9" s="383" t="s">
        <v>430</v>
      </c>
      <c r="E9" s="382" t="s">
        <v>2</v>
      </c>
      <c r="F9" s="384">
        <f>'Performance Data Sheet'!K44</f>
        <v>45932</v>
      </c>
    </row>
    <row r="10" spans="1:6" ht="18.95" customHeight="1">
      <c r="A10" s="382" t="s">
        <v>415</v>
      </c>
      <c r="B10" s="383">
        <v>3555</v>
      </c>
      <c r="C10" s="382" t="s">
        <v>416</v>
      </c>
      <c r="D10" s="383" t="s">
        <v>417</v>
      </c>
      <c r="E10" s="382" t="s">
        <v>1</v>
      </c>
      <c r="F10" s="383" t="s">
        <v>432</v>
      </c>
    </row>
    <row r="11" spans="1:6" ht="18.95" customHeight="1">
      <c r="A11" s="379"/>
      <c r="B11" s="380"/>
      <c r="C11" s="380"/>
      <c r="D11" s="380"/>
      <c r="E11" s="380"/>
      <c r="F11" s="381"/>
    </row>
    <row r="12" spans="1:6" ht="18.95" customHeight="1">
      <c r="A12" s="379"/>
      <c r="B12" s="385" t="s">
        <v>418</v>
      </c>
      <c r="C12" s="386" t="str">
        <f>'Performance Data Sheet'!D22 &amp; " A"</f>
        <v>930/537 A</v>
      </c>
      <c r="D12" s="385" t="s">
        <v>419</v>
      </c>
      <c r="E12" s="386" t="s">
        <v>417</v>
      </c>
      <c r="F12" s="381"/>
    </row>
    <row r="13" spans="1:6" ht="18.95" customHeight="1">
      <c r="A13" s="379"/>
      <c r="B13" s="385" t="s">
        <v>420</v>
      </c>
      <c r="C13" s="387">
        <v>1.05</v>
      </c>
      <c r="D13" s="385" t="s">
        <v>421</v>
      </c>
      <c r="E13" s="386" t="s">
        <v>417</v>
      </c>
      <c r="F13" s="381"/>
    </row>
    <row r="14" spans="1:6" ht="18.95" customHeight="1">
      <c r="A14" s="379"/>
      <c r="B14" s="385" t="s">
        <v>422</v>
      </c>
      <c r="C14" s="387">
        <v>2.25</v>
      </c>
      <c r="D14" s="385" t="s">
        <v>423</v>
      </c>
      <c r="E14" s="386" t="s">
        <v>417</v>
      </c>
      <c r="F14" s="381"/>
    </row>
    <row r="15" spans="1:6" ht="18.95" customHeight="1">
      <c r="A15" s="379"/>
      <c r="B15" s="385" t="s">
        <v>424</v>
      </c>
      <c r="C15" s="386" t="s">
        <v>706</v>
      </c>
      <c r="D15" s="380"/>
      <c r="E15" s="380"/>
      <c r="F15" s="381"/>
    </row>
    <row r="16" spans="1:6" ht="18.95" customHeight="1">
      <c r="A16" s="379"/>
      <c r="B16" s="380"/>
      <c r="C16" s="380"/>
      <c r="D16" s="380"/>
      <c r="E16" s="380"/>
      <c r="F16" s="381"/>
    </row>
    <row r="17" spans="1:8" ht="18.95" customHeight="1">
      <c r="A17" s="379"/>
      <c r="B17" s="380"/>
      <c r="C17" s="380"/>
      <c r="D17" s="380"/>
      <c r="E17" s="380"/>
      <c r="F17" s="381"/>
    </row>
    <row r="18" spans="1:8" ht="18.95" customHeight="1">
      <c r="A18" s="379"/>
      <c r="B18" s="380"/>
      <c r="C18" s="380"/>
      <c r="D18" s="380"/>
      <c r="E18" s="380"/>
      <c r="F18" s="381"/>
    </row>
    <row r="19" spans="1:8" ht="18.95" customHeight="1">
      <c r="A19" s="379"/>
      <c r="B19" s="380"/>
      <c r="C19" s="380"/>
      <c r="D19" s="380"/>
      <c r="E19" s="380"/>
      <c r="F19" s="381"/>
    </row>
    <row r="20" spans="1:8" ht="18.95" customHeight="1">
      <c r="A20" s="379"/>
      <c r="B20" s="380"/>
      <c r="C20" s="380"/>
      <c r="D20" s="380"/>
      <c r="E20" s="380"/>
      <c r="F20" s="381"/>
    </row>
    <row r="21" spans="1:8" ht="18.95" customHeight="1">
      <c r="A21" s="379"/>
      <c r="B21" s="380"/>
      <c r="C21" s="380"/>
      <c r="D21" s="380"/>
      <c r="E21" s="380"/>
      <c r="F21" s="381"/>
    </row>
    <row r="22" spans="1:8" ht="18.95" customHeight="1">
      <c r="A22" s="379"/>
      <c r="B22" s="380"/>
      <c r="C22" s="380"/>
      <c r="D22" s="380"/>
      <c r="E22" s="380"/>
      <c r="F22" s="381"/>
    </row>
    <row r="23" spans="1:8" ht="18.95" customHeight="1">
      <c r="A23" s="379"/>
      <c r="B23" s="380"/>
      <c r="C23" s="380"/>
      <c r="D23" s="380"/>
      <c r="E23" s="380"/>
      <c r="F23" s="381"/>
    </row>
    <row r="24" spans="1:8" ht="18.95" customHeight="1">
      <c r="A24" s="379"/>
      <c r="B24" s="380"/>
      <c r="C24" s="380"/>
      <c r="D24" s="380"/>
      <c r="E24" s="380"/>
      <c r="F24" s="381"/>
      <c r="H24" s="426"/>
    </row>
    <row r="25" spans="1:8" ht="18.95" customHeight="1">
      <c r="A25" s="379"/>
      <c r="B25" s="380"/>
      <c r="C25" s="380"/>
      <c r="D25" s="380"/>
      <c r="E25" s="380"/>
      <c r="F25" s="381"/>
    </row>
    <row r="26" spans="1:8" ht="18.95" customHeight="1">
      <c r="A26" s="379"/>
      <c r="B26" s="380"/>
      <c r="C26" s="380"/>
      <c r="D26" s="380"/>
      <c r="E26" s="380"/>
      <c r="F26" s="381"/>
    </row>
    <row r="27" spans="1:8" ht="18.95" customHeight="1">
      <c r="A27" s="379"/>
      <c r="B27" s="380"/>
      <c r="C27" s="380"/>
      <c r="D27" s="380"/>
      <c r="E27" s="380"/>
      <c r="F27" s="381"/>
    </row>
    <row r="28" spans="1:8" ht="18.95" customHeight="1">
      <c r="A28" s="379"/>
      <c r="B28" s="380"/>
      <c r="C28" s="380"/>
      <c r="D28" s="380"/>
      <c r="E28" s="380"/>
      <c r="F28" s="381"/>
    </row>
    <row r="29" spans="1:8" ht="18.95" customHeight="1">
      <c r="A29" s="379"/>
      <c r="B29" s="380"/>
      <c r="C29" s="380"/>
      <c r="D29" s="380"/>
      <c r="E29" s="380"/>
      <c r="F29" s="381"/>
    </row>
    <row r="30" spans="1:8" ht="18.95" customHeight="1">
      <c r="A30" s="379"/>
      <c r="B30" s="380"/>
      <c r="C30" s="380"/>
      <c r="D30" s="380"/>
      <c r="E30" s="380"/>
      <c r="F30" s="381"/>
    </row>
    <row r="31" spans="1:8" ht="18.95" customHeight="1">
      <c r="A31" s="379"/>
      <c r="B31" s="380"/>
      <c r="C31" s="380"/>
      <c r="D31" s="380"/>
      <c r="E31" s="380"/>
      <c r="F31" s="381"/>
    </row>
    <row r="32" spans="1:8" ht="18.95" customHeight="1">
      <c r="A32" s="379"/>
      <c r="B32" s="380"/>
      <c r="C32" s="380"/>
      <c r="D32" s="380"/>
      <c r="E32" s="380"/>
      <c r="F32" s="381"/>
    </row>
    <row r="33" spans="1:6" ht="18.95" customHeight="1">
      <c r="A33" s="379"/>
      <c r="B33" s="380"/>
      <c r="C33" s="380"/>
      <c r="D33" s="380"/>
      <c r="E33" s="380"/>
      <c r="F33" s="381"/>
    </row>
    <row r="34" spans="1:6" ht="18.95" customHeight="1">
      <c r="A34" s="379"/>
      <c r="B34" s="380"/>
      <c r="C34" s="380"/>
      <c r="D34" s="380"/>
      <c r="E34" s="380"/>
      <c r="F34" s="381"/>
    </row>
    <row r="35" spans="1:6" ht="18.95" customHeight="1">
      <c r="A35" s="379"/>
      <c r="B35" s="380"/>
      <c r="C35" s="380"/>
      <c r="D35" s="380"/>
      <c r="E35" s="380"/>
      <c r="F35" s="381"/>
    </row>
    <row r="36" spans="1:6" ht="18.95" customHeight="1">
      <c r="A36" s="379"/>
      <c r="B36" s="380"/>
      <c r="C36" s="380"/>
      <c r="D36" s="380"/>
      <c r="E36" s="380"/>
      <c r="F36" s="381"/>
    </row>
    <row r="37" spans="1:6" ht="18.95" customHeight="1">
      <c r="A37" s="379"/>
      <c r="B37" s="380"/>
      <c r="C37" s="380"/>
      <c r="D37" s="380"/>
      <c r="E37" s="380"/>
      <c r="F37" s="381"/>
    </row>
    <row r="38" spans="1:6" ht="18.95" customHeight="1">
      <c r="A38" s="379"/>
      <c r="B38" s="380"/>
      <c r="C38" s="380"/>
      <c r="D38" s="380"/>
      <c r="E38" s="380"/>
      <c r="F38" s="381"/>
    </row>
    <row r="39" spans="1:6" ht="18.95" customHeight="1">
      <c r="A39" s="388" t="s">
        <v>425</v>
      </c>
      <c r="B39" s="389" t="s">
        <v>372</v>
      </c>
      <c r="C39" s="533" t="str">
        <f>'Performance Data Sheet'!C10</f>
        <v>2374928.5</v>
      </c>
      <c r="D39" s="380"/>
      <c r="E39" s="385" t="s">
        <v>426</v>
      </c>
      <c r="F39" s="390" t="str">
        <f>F10</f>
        <v>1T2800K_REV3</v>
      </c>
    </row>
    <row r="40" spans="1:6" ht="18.95" customHeight="1">
      <c r="A40" s="379"/>
      <c r="B40" s="389"/>
      <c r="C40" s="389"/>
      <c r="D40" s="380"/>
      <c r="E40" s="380"/>
      <c r="F40" s="381"/>
    </row>
    <row r="41" spans="1:6" ht="18.95" customHeight="1">
      <c r="A41" s="379"/>
      <c r="B41" s="389"/>
      <c r="C41" s="389"/>
      <c r="D41" s="380"/>
      <c r="E41" s="380"/>
      <c r="F41" s="381"/>
    </row>
    <row r="42" spans="1:6" ht="18.95" customHeight="1">
      <c r="A42" s="379"/>
      <c r="B42" s="380"/>
      <c r="C42" s="380"/>
      <c r="D42" s="380"/>
      <c r="E42" s="380"/>
      <c r="F42" s="381"/>
    </row>
    <row r="43" spans="1:6" ht="18.95" customHeight="1">
      <c r="A43" s="391"/>
      <c r="B43" s="389"/>
      <c r="C43" s="392" t="s">
        <v>427</v>
      </c>
      <c r="D43" s="393" t="str">
        <f>'Performance Data Sheet'!K42</f>
        <v>Jerry R</v>
      </c>
      <c r="E43" s="392" t="s">
        <v>428</v>
      </c>
      <c r="F43" s="393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7" t="s">
        <v>433</v>
      </c>
      <c r="B53" s="427" t="s">
        <v>142</v>
      </c>
      <c r="C53" s="427" t="s">
        <v>120</v>
      </c>
      <c r="D53" s="427" t="s">
        <v>135</v>
      </c>
      <c r="E53" s="427" t="s">
        <v>5</v>
      </c>
      <c r="F53" s="428" t="s">
        <v>599</v>
      </c>
    </row>
    <row r="54" spans="1:6" ht="15" customHeight="1">
      <c r="A54" s="429">
        <v>0</v>
      </c>
      <c r="B54" s="430"/>
      <c r="C54" s="431"/>
      <c r="D54" s="431">
        <v>25.152453566460451</v>
      </c>
      <c r="E54" s="431">
        <v>100</v>
      </c>
      <c r="F54" s="432">
        <v>0.54791875000000001</v>
      </c>
    </row>
    <row r="55" spans="1:6" ht="15" customHeight="1">
      <c r="A55" s="433">
        <v>25</v>
      </c>
      <c r="B55" s="434">
        <v>90.536056518554688</v>
      </c>
      <c r="C55" s="435">
        <v>64.035369873046875</v>
      </c>
      <c r="D55" s="435">
        <v>37.224399566650391</v>
      </c>
      <c r="E55" s="435">
        <v>83.451592478728571</v>
      </c>
      <c r="F55" s="436">
        <v>10.321326084732092</v>
      </c>
    </row>
    <row r="56" spans="1:6" ht="15" customHeight="1">
      <c r="A56" s="433">
        <v>50</v>
      </c>
      <c r="B56" s="434">
        <v>93.28961181640625</v>
      </c>
      <c r="C56" s="435">
        <v>81.174125671386719</v>
      </c>
      <c r="D56" s="435">
        <v>56.996513366699219</v>
      </c>
      <c r="E56" s="435">
        <v>74.23615820865686</v>
      </c>
      <c r="F56" s="436">
        <v>20.033360300472133</v>
      </c>
    </row>
    <row r="57" spans="1:6">
      <c r="A57" s="433">
        <v>75</v>
      </c>
      <c r="B57" s="434">
        <v>93.862014770507813</v>
      </c>
      <c r="C57" s="435">
        <v>86.08062744140625</v>
      </c>
      <c r="D57" s="435">
        <v>80.1300048828125</v>
      </c>
      <c r="E57" s="435">
        <v>64.79891389745471</v>
      </c>
      <c r="F57" s="436">
        <v>29.866785957267865</v>
      </c>
    </row>
    <row r="58" spans="1:6">
      <c r="A58" s="433">
        <v>100</v>
      </c>
      <c r="B58" s="434">
        <v>93.843864440917969</v>
      </c>
      <c r="C58" s="435">
        <v>87.609146118164063</v>
      </c>
      <c r="D58" s="435">
        <v>104.99628448486328</v>
      </c>
      <c r="E58" s="435">
        <v>54.853243094629619</v>
      </c>
      <c r="F58" s="436">
        <v>39.830086349865745</v>
      </c>
    </row>
    <row r="59" spans="1:6" ht="13.5" thickBot="1">
      <c r="A59" s="437">
        <v>125</v>
      </c>
      <c r="B59" s="438">
        <v>93.586166381835938</v>
      </c>
      <c r="C59" s="439">
        <v>87.759658813476563</v>
      </c>
      <c r="D59" s="439">
        <v>131.38102722167969</v>
      </c>
      <c r="E59" s="439">
        <v>45.115487836090871</v>
      </c>
      <c r="F59" s="440">
        <v>49.924699468005379</v>
      </c>
    </row>
    <row r="60" spans="1:6">
      <c r="A60" s="394"/>
      <c r="B60" s="395"/>
      <c r="C60" s="395"/>
    </row>
    <row r="61" spans="1:6">
      <c r="A61" s="394"/>
      <c r="B61" s="395"/>
      <c r="C61" s="395"/>
    </row>
    <row r="62" spans="1:6">
      <c r="A62" s="394"/>
      <c r="B62" s="395"/>
      <c r="C62" s="395"/>
    </row>
    <row r="63" spans="1:6">
      <c r="A63" s="394"/>
      <c r="B63" s="395"/>
      <c r="C63" s="395"/>
    </row>
    <row r="64" spans="1:6">
      <c r="A64" s="394"/>
      <c r="B64" s="395"/>
      <c r="C64" s="395"/>
    </row>
    <row r="65" spans="1:3">
      <c r="A65" s="394"/>
      <c r="B65" s="395"/>
      <c r="C65" s="395"/>
    </row>
    <row r="66" spans="1:3">
      <c r="A66" s="394"/>
      <c r="B66" s="395"/>
      <c r="C66" s="395"/>
    </row>
    <row r="67" spans="1:3">
      <c r="A67" s="396"/>
      <c r="B67" s="395"/>
      <c r="C67" s="395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61"/>
  <sheetViews>
    <sheetView workbookViewId="0"/>
  </sheetViews>
  <sheetFormatPr defaultColWidth="8.85546875" defaultRowHeight="12.75"/>
  <cols>
    <col min="1" max="1" width="19.7109375" style="374" customWidth="1"/>
    <col min="2" max="7" width="10.7109375" style="374" customWidth="1"/>
    <col min="8" max="16384" width="8.85546875" style="374"/>
  </cols>
  <sheetData>
    <row r="1" spans="1:12" ht="21" customHeight="1">
      <c r="A1" s="407" t="s">
        <v>437</v>
      </c>
      <c r="B1" s="650" t="s">
        <v>476</v>
      </c>
      <c r="C1" s="650"/>
      <c r="D1" s="650"/>
      <c r="E1" s="650"/>
      <c r="F1" s="650"/>
      <c r="G1" s="650"/>
    </row>
    <row r="2" spans="1:12" ht="15" customHeight="1"/>
    <row r="3" spans="1:12" ht="20.25">
      <c r="A3" s="408" t="s">
        <v>438</v>
      </c>
    </row>
    <row r="4" spans="1:12" ht="12" customHeight="1">
      <c r="A4" s="409"/>
      <c r="B4" s="409"/>
      <c r="C4" s="409"/>
      <c r="D4" s="409" t="s">
        <v>548</v>
      </c>
      <c r="E4" s="409"/>
      <c r="F4" s="409"/>
      <c r="G4" s="409"/>
      <c r="H4" s="409"/>
      <c r="I4" s="409"/>
      <c r="J4" s="409"/>
      <c r="K4" s="409"/>
      <c r="L4" s="409"/>
    </row>
    <row r="5" spans="1:12" ht="15.6" customHeight="1">
      <c r="A5" s="410" t="s">
        <v>5</v>
      </c>
      <c r="B5" s="410" t="s">
        <v>439</v>
      </c>
      <c r="C5" s="410" t="s">
        <v>440</v>
      </c>
      <c r="D5" s="410" t="s">
        <v>441</v>
      </c>
      <c r="E5" s="410" t="s">
        <v>442</v>
      </c>
      <c r="F5" s="410" t="s">
        <v>443</v>
      </c>
      <c r="G5" s="410" t="s">
        <v>444</v>
      </c>
      <c r="H5" s="409"/>
      <c r="I5" s="409"/>
      <c r="J5" s="409"/>
      <c r="K5" s="409"/>
      <c r="L5" s="409"/>
    </row>
    <row r="6" spans="1:12" ht="15.6" customHeight="1">
      <c r="A6" s="411" t="s">
        <v>445</v>
      </c>
      <c r="B6" s="411" t="s">
        <v>166</v>
      </c>
      <c r="C6" s="411" t="s">
        <v>166</v>
      </c>
      <c r="D6" s="411" t="s">
        <v>446</v>
      </c>
      <c r="E6" s="411" t="s">
        <v>135</v>
      </c>
      <c r="F6" s="411" t="s">
        <v>447</v>
      </c>
      <c r="G6" s="411" t="s">
        <v>447</v>
      </c>
      <c r="H6" s="409"/>
      <c r="I6" s="409"/>
      <c r="J6" s="409"/>
      <c r="K6" s="409"/>
      <c r="L6" s="409"/>
    </row>
    <row r="7" spans="1:12" ht="15.95" customHeight="1">
      <c r="A7" s="412" t="s">
        <v>477</v>
      </c>
      <c r="B7" s="412" t="s">
        <v>490</v>
      </c>
      <c r="C7" s="412" t="s">
        <v>502</v>
      </c>
      <c r="D7" s="412" t="s">
        <v>549</v>
      </c>
      <c r="E7" s="412" t="s">
        <v>514</v>
      </c>
      <c r="F7" s="412" t="s">
        <v>559</v>
      </c>
      <c r="G7" s="412" t="s">
        <v>571</v>
      </c>
      <c r="H7" s="409"/>
      <c r="I7" s="409"/>
      <c r="J7" s="409"/>
      <c r="K7" s="409"/>
      <c r="L7" s="409"/>
    </row>
    <row r="8" spans="1:12" ht="15.95" customHeight="1">
      <c r="A8" s="412" t="s">
        <v>478</v>
      </c>
      <c r="B8" s="412" t="s">
        <v>491</v>
      </c>
      <c r="C8" s="412" t="s">
        <v>503</v>
      </c>
      <c r="D8" s="412" t="s">
        <v>549</v>
      </c>
      <c r="E8" s="412" t="s">
        <v>515</v>
      </c>
      <c r="F8" s="412" t="s">
        <v>560</v>
      </c>
      <c r="G8" s="412" t="s">
        <v>572</v>
      </c>
      <c r="H8" s="409"/>
      <c r="I8" s="409"/>
      <c r="J8" s="409"/>
      <c r="K8" s="409"/>
      <c r="L8" s="409"/>
    </row>
    <row r="9" spans="1:12" ht="15.95" customHeight="1">
      <c r="A9" s="412" t="s">
        <v>479</v>
      </c>
      <c r="B9" s="412" t="s">
        <v>492</v>
      </c>
      <c r="C9" s="412" t="s">
        <v>504</v>
      </c>
      <c r="D9" s="412" t="s">
        <v>550</v>
      </c>
      <c r="E9" s="412" t="s">
        <v>516</v>
      </c>
      <c r="F9" s="412" t="s">
        <v>561</v>
      </c>
      <c r="G9" s="412" t="s">
        <v>573</v>
      </c>
      <c r="H9" s="409"/>
      <c r="I9" s="409"/>
      <c r="J9" s="409"/>
      <c r="K9" s="409"/>
      <c r="L9" s="409"/>
    </row>
    <row r="10" spans="1:12" ht="15.95" customHeight="1">
      <c r="A10" s="412" t="s">
        <v>480</v>
      </c>
      <c r="B10" s="412" t="s">
        <v>493</v>
      </c>
      <c r="C10" s="412" t="s">
        <v>504</v>
      </c>
      <c r="D10" s="412" t="s">
        <v>551</v>
      </c>
      <c r="E10" s="412" t="s">
        <v>517</v>
      </c>
      <c r="F10" s="412" t="s">
        <v>562</v>
      </c>
      <c r="G10" s="412" t="s">
        <v>574</v>
      </c>
      <c r="H10" s="409"/>
      <c r="I10" s="409"/>
      <c r="J10" s="409"/>
      <c r="K10" s="409"/>
      <c r="L10" s="409"/>
    </row>
    <row r="11" spans="1:12" ht="15.95" customHeight="1">
      <c r="A11" s="412" t="s">
        <v>481</v>
      </c>
      <c r="B11" s="412" t="s">
        <v>494</v>
      </c>
      <c r="C11" s="412" t="s">
        <v>505</v>
      </c>
      <c r="D11" s="412" t="s">
        <v>552</v>
      </c>
      <c r="E11" s="412" t="s">
        <v>518</v>
      </c>
      <c r="F11" s="412" t="s">
        <v>563</v>
      </c>
      <c r="G11" s="412" t="s">
        <v>575</v>
      </c>
      <c r="H11" s="409"/>
      <c r="I11" s="409"/>
      <c r="J11" s="409"/>
      <c r="K11" s="409"/>
      <c r="L11" s="409"/>
    </row>
    <row r="12" spans="1:12" ht="15.95" customHeight="1">
      <c r="A12" s="412" t="s">
        <v>482</v>
      </c>
      <c r="B12" s="412" t="s">
        <v>495</v>
      </c>
      <c r="C12" s="412" t="s">
        <v>506</v>
      </c>
      <c r="D12" s="412" t="s">
        <v>553</v>
      </c>
      <c r="E12" s="412" t="s">
        <v>519</v>
      </c>
      <c r="F12" s="412" t="s">
        <v>564</v>
      </c>
      <c r="G12" s="412" t="s">
        <v>576</v>
      </c>
      <c r="H12" s="409"/>
      <c r="I12" s="409"/>
      <c r="J12" s="409"/>
      <c r="K12" s="409"/>
      <c r="L12" s="409"/>
    </row>
    <row r="13" spans="1:12" ht="15.95" customHeight="1">
      <c r="A13" s="412" t="s">
        <v>483</v>
      </c>
      <c r="B13" s="412" t="s">
        <v>496</v>
      </c>
      <c r="C13" s="412" t="s">
        <v>507</v>
      </c>
      <c r="D13" s="412" t="s">
        <v>513</v>
      </c>
      <c r="E13" s="412" t="s">
        <v>520</v>
      </c>
      <c r="F13" s="412" t="s">
        <v>565</v>
      </c>
      <c r="G13" s="412" t="s">
        <v>577</v>
      </c>
      <c r="H13" s="409"/>
      <c r="I13" s="409"/>
      <c r="J13" s="409"/>
      <c r="K13" s="409"/>
      <c r="L13" s="409"/>
    </row>
    <row r="14" spans="1:12" ht="15.95" customHeight="1">
      <c r="A14" s="412" t="s">
        <v>484</v>
      </c>
      <c r="B14" s="412" t="s">
        <v>497</v>
      </c>
      <c r="C14" s="412" t="s">
        <v>508</v>
      </c>
      <c r="D14" s="412" t="s">
        <v>554</v>
      </c>
      <c r="E14" s="412" t="s">
        <v>521</v>
      </c>
      <c r="F14" s="412" t="s">
        <v>566</v>
      </c>
      <c r="G14" s="412" t="s">
        <v>578</v>
      </c>
      <c r="H14" s="409"/>
      <c r="I14" s="409"/>
      <c r="J14" s="409"/>
      <c r="K14" s="409"/>
      <c r="L14" s="409"/>
    </row>
    <row r="15" spans="1:12" ht="15.95" customHeight="1">
      <c r="A15" s="412" t="s">
        <v>485</v>
      </c>
      <c r="B15" s="412" t="s">
        <v>498</v>
      </c>
      <c r="C15" s="412" t="s">
        <v>509</v>
      </c>
      <c r="D15" s="412" t="s">
        <v>555</v>
      </c>
      <c r="E15" s="412" t="s">
        <v>522</v>
      </c>
      <c r="F15" s="412" t="s">
        <v>567</v>
      </c>
      <c r="G15" s="412" t="s">
        <v>579</v>
      </c>
      <c r="H15" s="409"/>
      <c r="I15" s="409"/>
      <c r="J15" s="409"/>
      <c r="K15" s="409"/>
      <c r="L15" s="409"/>
    </row>
    <row r="16" spans="1:12" ht="15.95" customHeight="1">
      <c r="A16" s="412" t="s">
        <v>486</v>
      </c>
      <c r="B16" s="412" t="s">
        <v>499</v>
      </c>
      <c r="C16" s="412" t="s">
        <v>510</v>
      </c>
      <c r="D16" s="412" t="s">
        <v>556</v>
      </c>
      <c r="E16" s="412" t="s">
        <v>523</v>
      </c>
      <c r="F16" s="412" t="s">
        <v>568</v>
      </c>
      <c r="G16" s="412" t="s">
        <v>526</v>
      </c>
      <c r="H16" s="409"/>
      <c r="I16" s="409"/>
      <c r="J16" s="409"/>
      <c r="K16" s="409"/>
      <c r="L16" s="409"/>
    </row>
    <row r="17" spans="1:12" ht="15.95" customHeight="1">
      <c r="A17" s="412" t="s">
        <v>487</v>
      </c>
      <c r="B17" s="412" t="s">
        <v>500</v>
      </c>
      <c r="C17" s="412" t="s">
        <v>511</v>
      </c>
      <c r="D17" s="412" t="s">
        <v>557</v>
      </c>
      <c r="E17" s="412" t="s">
        <v>524</v>
      </c>
      <c r="F17" s="412" t="s">
        <v>569</v>
      </c>
      <c r="G17" s="412" t="s">
        <v>580</v>
      </c>
      <c r="H17" s="409"/>
      <c r="I17" s="409"/>
      <c r="J17" s="409"/>
      <c r="K17" s="409"/>
      <c r="L17" s="409"/>
    </row>
    <row r="18" spans="1:12" ht="15.95" customHeight="1">
      <c r="A18" s="412" t="s">
        <v>488</v>
      </c>
      <c r="B18" s="412" t="s">
        <v>501</v>
      </c>
      <c r="C18" s="412" t="s">
        <v>512</v>
      </c>
      <c r="D18" s="412" t="s">
        <v>558</v>
      </c>
      <c r="E18" s="412" t="s">
        <v>525</v>
      </c>
      <c r="F18" s="412" t="s">
        <v>570</v>
      </c>
      <c r="G18" s="412" t="s">
        <v>581</v>
      </c>
      <c r="H18" s="409"/>
      <c r="I18" s="409"/>
      <c r="J18" s="409"/>
      <c r="K18" s="409"/>
      <c r="L18" s="409"/>
    </row>
    <row r="19" spans="1:12" ht="15.95" customHeight="1">
      <c r="A19" s="419" t="s">
        <v>489</v>
      </c>
      <c r="B19" s="419" t="s">
        <v>489</v>
      </c>
      <c r="C19" s="419" t="s">
        <v>489</v>
      </c>
      <c r="D19" s="419" t="s">
        <v>489</v>
      </c>
      <c r="E19" s="419" t="s">
        <v>489</v>
      </c>
      <c r="F19" s="419" t="s">
        <v>489</v>
      </c>
      <c r="G19" s="419" t="s">
        <v>489</v>
      </c>
      <c r="H19" s="409"/>
      <c r="I19" s="409"/>
      <c r="J19" s="409"/>
      <c r="K19" s="409"/>
      <c r="L19" s="409"/>
    </row>
    <row r="20" spans="1:12" ht="15.75">
      <c r="A20" s="409"/>
      <c r="B20" s="409"/>
      <c r="C20" s="409"/>
      <c r="D20" s="409"/>
      <c r="E20" s="409"/>
      <c r="F20" s="409"/>
      <c r="G20" s="409"/>
      <c r="H20" s="409"/>
      <c r="I20" s="409"/>
      <c r="J20" s="409"/>
      <c r="K20" s="409"/>
      <c r="L20" s="409"/>
    </row>
    <row r="21" spans="1:12" ht="15.75">
      <c r="A21" s="409"/>
      <c r="B21" s="409"/>
      <c r="C21" s="409"/>
      <c r="D21" s="651" t="s">
        <v>591</v>
      </c>
      <c r="E21" s="652"/>
      <c r="F21" s="652"/>
      <c r="G21" s="653"/>
      <c r="H21" s="409"/>
      <c r="I21" s="409"/>
      <c r="J21" s="409"/>
      <c r="K21" s="409"/>
      <c r="L21" s="409"/>
    </row>
    <row r="22" spans="1:12" ht="17.25" customHeight="1">
      <c r="A22" s="409"/>
      <c r="B22" s="654" t="s">
        <v>448</v>
      </c>
      <c r="C22" s="654"/>
      <c r="D22" s="654" t="s">
        <v>449</v>
      </c>
      <c r="E22" s="654"/>
      <c r="F22" s="654" t="s">
        <v>450</v>
      </c>
      <c r="G22" s="654"/>
      <c r="H22" s="409"/>
      <c r="I22" s="409"/>
      <c r="J22" s="409"/>
      <c r="K22" s="409"/>
      <c r="L22" s="409"/>
    </row>
    <row r="23" spans="1:12" ht="15.75">
      <c r="A23" s="414" t="s">
        <v>451</v>
      </c>
      <c r="B23" s="649" t="s">
        <v>582</v>
      </c>
      <c r="C23" s="649"/>
      <c r="D23" s="649" t="s">
        <v>585</v>
      </c>
      <c r="E23" s="649"/>
      <c r="F23" s="649" t="s">
        <v>588</v>
      </c>
      <c r="G23" s="649"/>
      <c r="H23" s="409"/>
      <c r="I23" s="409"/>
      <c r="J23" s="409"/>
      <c r="K23" s="409"/>
      <c r="L23" s="409"/>
    </row>
    <row r="24" spans="1:12" ht="18" customHeight="1">
      <c r="A24" s="414" t="s">
        <v>452</v>
      </c>
      <c r="B24" s="649" t="s">
        <v>583</v>
      </c>
      <c r="C24" s="649"/>
      <c r="D24" s="649" t="s">
        <v>586</v>
      </c>
      <c r="E24" s="649"/>
      <c r="F24" s="649" t="s">
        <v>589</v>
      </c>
      <c r="G24" s="649"/>
      <c r="H24" s="409"/>
      <c r="I24" s="409"/>
      <c r="J24" s="409"/>
      <c r="K24" s="409"/>
      <c r="L24" s="409"/>
    </row>
    <row r="25" spans="1:12" ht="15.75">
      <c r="A25" s="414" t="s">
        <v>453</v>
      </c>
      <c r="B25" s="649" t="s">
        <v>584</v>
      </c>
      <c r="C25" s="649"/>
      <c r="D25" s="649" t="s">
        <v>587</v>
      </c>
      <c r="E25" s="649"/>
      <c r="F25" s="649" t="s">
        <v>590</v>
      </c>
      <c r="G25" s="649"/>
      <c r="H25" s="409"/>
      <c r="I25" s="409"/>
      <c r="J25" s="409"/>
      <c r="K25" s="409"/>
      <c r="L25" s="409"/>
    </row>
    <row r="26" spans="1:12" ht="15.75">
      <c r="A26" s="409"/>
      <c r="B26" s="409"/>
      <c r="C26" s="409"/>
      <c r="D26" s="409"/>
      <c r="E26" s="409"/>
      <c r="F26" s="409"/>
      <c r="G26" s="409"/>
      <c r="H26" s="409"/>
      <c r="I26" s="409"/>
      <c r="J26" s="409"/>
      <c r="K26" s="409"/>
      <c r="L26" s="409"/>
    </row>
    <row r="27" spans="1:12" ht="20.25">
      <c r="A27" s="408" t="s">
        <v>454</v>
      </c>
      <c r="B27" s="409"/>
      <c r="C27" s="409"/>
      <c r="D27" s="409"/>
      <c r="E27" s="409"/>
      <c r="F27" s="409"/>
      <c r="G27" s="409"/>
      <c r="H27" s="409"/>
      <c r="I27" s="409"/>
      <c r="J27" s="409"/>
      <c r="K27" s="409"/>
      <c r="L27" s="409"/>
    </row>
    <row r="28" spans="1:12" ht="15.75">
      <c r="A28" s="409"/>
      <c r="B28" s="409"/>
      <c r="C28" s="409"/>
      <c r="D28" s="409"/>
      <c r="E28" s="655" t="s">
        <v>455</v>
      </c>
      <c r="F28" s="652"/>
      <c r="G28" s="653"/>
      <c r="H28" s="409"/>
      <c r="I28" s="409"/>
      <c r="J28" s="409"/>
      <c r="K28" s="409"/>
      <c r="L28" s="409"/>
    </row>
    <row r="29" spans="1:12" ht="15.75">
      <c r="A29" s="409"/>
      <c r="B29" s="654" t="s">
        <v>456</v>
      </c>
      <c r="C29" s="654"/>
      <c r="D29" s="413" t="s">
        <v>457</v>
      </c>
      <c r="E29" s="413" t="s">
        <v>458</v>
      </c>
      <c r="F29" s="654" t="s">
        <v>459</v>
      </c>
      <c r="G29" s="654"/>
      <c r="H29" s="409"/>
      <c r="I29" s="409"/>
      <c r="J29" s="409"/>
      <c r="K29" s="409"/>
      <c r="L29" s="409"/>
    </row>
    <row r="30" spans="1:12" ht="15.75">
      <c r="A30" s="414" t="s">
        <v>460</v>
      </c>
      <c r="B30" s="649" t="s">
        <v>527</v>
      </c>
      <c r="C30" s="649"/>
      <c r="D30" s="412" t="s">
        <v>530</v>
      </c>
      <c r="E30" s="412" t="s">
        <v>461</v>
      </c>
      <c r="F30" s="649" t="s">
        <v>533</v>
      </c>
      <c r="G30" s="649"/>
      <c r="H30" s="409"/>
      <c r="I30" s="409"/>
      <c r="J30" s="409"/>
      <c r="K30" s="409"/>
      <c r="L30" s="409"/>
    </row>
    <row r="31" spans="1:12" ht="15.75">
      <c r="A31" s="414" t="s">
        <v>462</v>
      </c>
      <c r="B31" s="649" t="s">
        <v>528</v>
      </c>
      <c r="C31" s="649"/>
      <c r="D31" s="412" t="s">
        <v>531</v>
      </c>
      <c r="E31" s="412" t="s">
        <v>463</v>
      </c>
      <c r="F31" s="649" t="s">
        <v>534</v>
      </c>
      <c r="G31" s="649"/>
      <c r="H31" s="409"/>
      <c r="I31" s="409"/>
      <c r="J31" s="409"/>
      <c r="K31" s="409"/>
      <c r="L31" s="409"/>
    </row>
    <row r="32" spans="1:12" ht="15.75">
      <c r="A32" s="414" t="s">
        <v>464</v>
      </c>
      <c r="B32" s="649" t="s">
        <v>529</v>
      </c>
      <c r="C32" s="649"/>
      <c r="D32" s="412" t="s">
        <v>532</v>
      </c>
      <c r="E32" s="412" t="s">
        <v>465</v>
      </c>
      <c r="F32" s="649" t="s">
        <v>535</v>
      </c>
      <c r="G32" s="649"/>
      <c r="H32" s="409"/>
      <c r="I32" s="409"/>
      <c r="J32" s="409"/>
      <c r="K32" s="409"/>
      <c r="L32" s="409"/>
    </row>
    <row r="33" spans="1:12" ht="15.75">
      <c r="A33" s="409"/>
      <c r="B33" s="409"/>
      <c r="C33" s="409"/>
      <c r="D33" s="409"/>
      <c r="E33" s="409"/>
      <c r="F33" s="409"/>
      <c r="G33" s="409"/>
      <c r="H33" s="409"/>
      <c r="I33" s="409"/>
      <c r="J33" s="409"/>
      <c r="K33" s="409"/>
      <c r="L33" s="409"/>
    </row>
    <row r="34" spans="1:12" ht="15.75">
      <c r="A34" s="409"/>
      <c r="B34" s="409"/>
      <c r="C34" s="409"/>
      <c r="D34" s="409"/>
      <c r="E34" s="655" t="s">
        <v>466</v>
      </c>
      <c r="F34" s="652"/>
      <c r="G34" s="653"/>
      <c r="H34" s="409"/>
      <c r="I34" s="409"/>
      <c r="J34" s="409"/>
      <c r="K34" s="409"/>
      <c r="L34" s="409"/>
    </row>
    <row r="35" spans="1:12" ht="15.75">
      <c r="A35" s="409"/>
      <c r="B35" s="654" t="s">
        <v>467</v>
      </c>
      <c r="C35" s="654"/>
      <c r="D35" s="413" t="s">
        <v>458</v>
      </c>
      <c r="E35" s="413" t="s">
        <v>468</v>
      </c>
      <c r="F35" s="413" t="s">
        <v>100</v>
      </c>
      <c r="G35" s="413" t="s">
        <v>469</v>
      </c>
      <c r="H35" s="409"/>
      <c r="I35" s="409"/>
      <c r="J35" s="409"/>
      <c r="K35" s="409"/>
      <c r="L35" s="409"/>
    </row>
    <row r="36" spans="1:12" ht="15.75">
      <c r="A36" s="414" t="s">
        <v>460</v>
      </c>
      <c r="B36" s="656" t="s">
        <v>536</v>
      </c>
      <c r="C36" s="657"/>
      <c r="D36" s="415" t="s">
        <v>538</v>
      </c>
      <c r="E36" s="415" t="s">
        <v>470</v>
      </c>
      <c r="F36" s="416" t="s">
        <v>471</v>
      </c>
      <c r="G36" s="412" t="s">
        <v>541</v>
      </c>
      <c r="H36" s="409"/>
      <c r="I36" s="409"/>
      <c r="J36" s="409"/>
      <c r="K36" s="409"/>
      <c r="L36" s="409"/>
    </row>
    <row r="37" spans="1:12" ht="15.75">
      <c r="A37" s="414" t="s">
        <v>462</v>
      </c>
      <c r="B37" s="656" t="s">
        <v>537</v>
      </c>
      <c r="C37" s="657"/>
      <c r="D37" s="415" t="s">
        <v>539</v>
      </c>
      <c r="E37" s="415" t="s">
        <v>470</v>
      </c>
      <c r="F37" s="416" t="s">
        <v>472</v>
      </c>
      <c r="G37" s="417" t="s">
        <v>542</v>
      </c>
      <c r="H37" s="409"/>
      <c r="I37" s="409"/>
      <c r="J37" s="409"/>
      <c r="K37" s="409"/>
      <c r="L37" s="409"/>
    </row>
    <row r="38" spans="1:12" ht="15.75">
      <c r="A38" s="414" t="s">
        <v>464</v>
      </c>
      <c r="B38" s="656" t="s">
        <v>537</v>
      </c>
      <c r="C38" s="657"/>
      <c r="D38" s="415" t="s">
        <v>540</v>
      </c>
      <c r="E38" s="415" t="s">
        <v>470</v>
      </c>
      <c r="F38" s="416" t="s">
        <v>473</v>
      </c>
      <c r="G38" s="412" t="s">
        <v>543</v>
      </c>
      <c r="H38" s="409"/>
      <c r="I38" s="409"/>
      <c r="J38" s="409"/>
      <c r="K38" s="409"/>
      <c r="L38" s="409"/>
    </row>
    <row r="39" spans="1:12" ht="15.75">
      <c r="A39" s="409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09"/>
    </row>
    <row r="40" spans="1:12" ht="15.75">
      <c r="A40" s="418" t="s">
        <v>474</v>
      </c>
      <c r="B40" s="658" t="s">
        <v>544</v>
      </c>
      <c r="C40" s="658"/>
      <c r="D40" s="659" t="s">
        <v>475</v>
      </c>
      <c r="E40" s="659"/>
      <c r="F40" s="658" t="s">
        <v>545</v>
      </c>
      <c r="G40" s="658"/>
      <c r="H40" s="409"/>
      <c r="I40" s="409"/>
      <c r="J40" s="409"/>
      <c r="K40" s="409"/>
      <c r="L40" s="409"/>
    </row>
    <row r="41" spans="1:12" ht="15.75">
      <c r="A41" s="409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</row>
    <row r="42" spans="1:12" ht="15.75">
      <c r="A42" s="409"/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</row>
    <row r="43" spans="1:12" ht="15.75">
      <c r="A43" s="409"/>
      <c r="B43" s="409"/>
      <c r="C43" s="409"/>
      <c r="D43" s="409"/>
      <c r="E43" s="409"/>
      <c r="F43" s="409"/>
      <c r="G43" s="409"/>
      <c r="H43" s="409"/>
      <c r="I43" s="409"/>
      <c r="J43" s="409"/>
      <c r="K43" s="409"/>
      <c r="L43" s="409"/>
    </row>
    <row r="44" spans="1:12" ht="15.75">
      <c r="A44" s="409"/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</row>
    <row r="45" spans="1:12" ht="15.75">
      <c r="A45" s="409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</row>
    <row r="46" spans="1:12" ht="15.75">
      <c r="A46" s="409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</row>
    <row r="47" spans="1:12" ht="15.75">
      <c r="A47" s="409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</row>
    <row r="48" spans="1:12" ht="15.75">
      <c r="A48" s="409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</row>
    <row r="49" spans="1:12" ht="15.75">
      <c r="A49" s="409"/>
      <c r="B49" s="409"/>
      <c r="C49" s="409"/>
      <c r="D49" s="409"/>
      <c r="E49" s="409"/>
      <c r="F49" s="409"/>
      <c r="G49" s="409"/>
      <c r="H49" s="409"/>
      <c r="I49" s="409"/>
      <c r="J49" s="409"/>
      <c r="K49" s="409"/>
      <c r="L49" s="409"/>
    </row>
    <row r="50" spans="1:12" ht="15.75">
      <c r="A50" s="409"/>
      <c r="B50" s="409"/>
      <c r="C50" s="409"/>
      <c r="D50" s="409"/>
      <c r="E50" s="409"/>
      <c r="F50" s="409"/>
      <c r="G50" s="409"/>
      <c r="H50" s="409"/>
      <c r="I50" s="409"/>
      <c r="J50" s="409"/>
      <c r="K50" s="409"/>
      <c r="L50" s="409"/>
    </row>
    <row r="51" spans="1:12" ht="15.75">
      <c r="A51" s="409"/>
      <c r="B51" s="409"/>
      <c r="C51" s="409"/>
      <c r="D51" s="409"/>
      <c r="E51" s="409"/>
      <c r="F51" s="409"/>
      <c r="G51" s="409"/>
      <c r="H51" s="409"/>
      <c r="I51" s="409"/>
      <c r="J51" s="409"/>
      <c r="K51" s="409"/>
      <c r="L51" s="409"/>
    </row>
    <row r="52" spans="1:12" ht="15.75">
      <c r="A52" s="409"/>
      <c r="B52" s="409"/>
      <c r="C52" s="409"/>
      <c r="D52" s="409"/>
      <c r="E52" s="409"/>
      <c r="F52" s="409"/>
      <c r="G52" s="409"/>
      <c r="H52" s="409"/>
      <c r="I52" s="409"/>
      <c r="J52" s="409"/>
      <c r="K52" s="409"/>
      <c r="L52" s="409"/>
    </row>
    <row r="53" spans="1:12" ht="15.75">
      <c r="A53" s="409"/>
      <c r="B53" s="409"/>
      <c r="C53" s="409"/>
      <c r="D53" s="409"/>
      <c r="E53" s="409"/>
      <c r="F53" s="409"/>
      <c r="G53" s="409"/>
      <c r="H53" s="409"/>
      <c r="I53" s="409"/>
      <c r="J53" s="409"/>
      <c r="K53" s="409"/>
      <c r="L53" s="409"/>
    </row>
    <row r="54" spans="1:12" ht="15.75">
      <c r="A54" s="409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09"/>
    </row>
    <row r="55" spans="1:12" ht="15.75">
      <c r="A55" s="409"/>
      <c r="B55" s="409"/>
      <c r="C55" s="409"/>
      <c r="D55" s="409"/>
      <c r="E55" s="409"/>
      <c r="F55" s="409"/>
      <c r="G55" s="409"/>
      <c r="H55" s="409"/>
      <c r="I55" s="409"/>
      <c r="J55" s="409"/>
      <c r="K55" s="409"/>
      <c r="L55" s="409"/>
    </row>
    <row r="56" spans="1:12" ht="15.75">
      <c r="A56" s="409"/>
      <c r="B56" s="409"/>
      <c r="C56" s="409"/>
      <c r="D56" s="409"/>
      <c r="E56" s="409"/>
      <c r="F56" s="409"/>
      <c r="G56" s="409"/>
      <c r="H56" s="409"/>
      <c r="I56" s="409"/>
      <c r="J56" s="409"/>
      <c r="K56" s="409"/>
      <c r="L56" s="409"/>
    </row>
    <row r="57" spans="1:12" ht="15.75">
      <c r="A57" s="409"/>
      <c r="B57" s="409"/>
      <c r="C57" s="409"/>
      <c r="D57" s="409"/>
      <c r="E57" s="409"/>
      <c r="F57" s="409"/>
      <c r="G57" s="409"/>
      <c r="H57" s="409"/>
      <c r="I57" s="409"/>
      <c r="J57" s="409"/>
      <c r="K57" s="409"/>
      <c r="L57" s="409"/>
    </row>
    <row r="58" spans="1:12" ht="15.75">
      <c r="A58" s="409"/>
      <c r="B58" s="409"/>
      <c r="C58" s="409"/>
      <c r="D58" s="409"/>
      <c r="E58" s="409"/>
      <c r="F58" s="409"/>
      <c r="G58" s="409"/>
      <c r="H58" s="409"/>
      <c r="I58" s="409"/>
      <c r="J58" s="409"/>
      <c r="K58" s="409"/>
      <c r="L58" s="409"/>
    </row>
    <row r="59" spans="1:12" ht="15.75">
      <c r="A59" s="409"/>
      <c r="B59" s="409"/>
      <c r="C59" s="409"/>
      <c r="D59" s="409"/>
      <c r="E59" s="409"/>
      <c r="F59" s="409"/>
      <c r="G59" s="409"/>
      <c r="H59" s="409"/>
      <c r="I59" s="409"/>
      <c r="J59" s="409"/>
      <c r="K59" s="409"/>
      <c r="L59" s="409"/>
    </row>
    <row r="60" spans="1:12" ht="15.75">
      <c r="A60" s="409"/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</row>
    <row r="61" spans="1:12" ht="15.75">
      <c r="A61" s="409"/>
      <c r="B61" s="409"/>
      <c r="C61" s="409"/>
      <c r="D61" s="409"/>
      <c r="E61" s="409"/>
      <c r="F61" s="409"/>
      <c r="G61" s="409"/>
      <c r="H61" s="409"/>
      <c r="I61" s="409"/>
      <c r="J61" s="409"/>
      <c r="K61" s="409"/>
      <c r="L61" s="40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DesignSheet</vt:lpstr>
      <vt:lpstr>Data Sheet</vt:lpstr>
      <vt:lpstr>LoginSheet</vt:lpstr>
      <vt:lpstr>Performance Data Sheet</vt:lpstr>
      <vt:lpstr>STCurve</vt:lpstr>
      <vt:lpstr>Thermdam</vt:lpstr>
      <vt:lpstr>Performance 4000V</vt:lpstr>
      <vt:lpstr>Performance 2300V</vt:lpstr>
      <vt:lpstr>StallTime</vt:lpstr>
      <vt:lpstr>'Data Sheet'!Print_Area</vt:lpstr>
      <vt:lpstr>DesignSheet!Print_Area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2025-10-02T13:50:03Z</dcterms:modified>
</cp:coreProperties>
</file>