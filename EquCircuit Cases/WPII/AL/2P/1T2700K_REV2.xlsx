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N:\DESPRO\BASE MV DESIGNS\TOP HAT - WPII\"/>
    </mc:Choice>
  </mc:AlternateContent>
  <xr:revisionPtr revIDLastSave="0" documentId="8_{31C7FAFF-14BF-4D39-85D9-3F1F7DB42CD9}" xr6:coauthVersionLast="47" xr6:coauthVersionMax="47" xr10:uidLastSave="{00000000-0000-0000-0000-000000000000}"/>
  <bookViews>
    <workbookView xWindow="32460" yWindow="2955" windowWidth="21600" windowHeight="10560" activeTab="1" xr2:uid="{00000000-000D-0000-FFFF-FFFF00000000}"/>
  </bookViews>
  <sheets>
    <sheet name="DesignSheet" sheetId="11" r:id="rId1"/>
    <sheet name="Data Sheet" sheetId="3" r:id="rId2"/>
    <sheet name="LoginSheet" sheetId="4" r:id="rId3"/>
    <sheet name="Form" sheetId="5" r:id="rId4"/>
    <sheet name="Performance Data Sheet" sheetId="6" r:id="rId5"/>
    <sheet name="STCurve" sheetId="7" r:id="rId6"/>
    <sheet name="Thermdam" sheetId="9" r:id="rId7"/>
    <sheet name="Performance 4000V" sheetId="1" r:id="rId8"/>
    <sheet name="Performance 2300V" sheetId="10" r:id="rId9"/>
    <sheet name="StallTime" sheetId="8" r:id="rId10"/>
  </sheets>
  <definedNames>
    <definedName name="_Regression_Int" localSheetId="4" hidden="1">1</definedName>
    <definedName name="_xlnm.Print_Area" localSheetId="1">'Data Sheet'!$A$1:$K$46</definedName>
    <definedName name="_xlnm.Print_Area" localSheetId="0">DesignSheet!$A$1:$J$69</definedName>
    <definedName name="_xlnm.Print_Area" localSheetId="3">Form!$A$1:$F$39</definedName>
    <definedName name="_xlnm.Print_Area" localSheetId="2">LoginSheet!$A$1:$N$79</definedName>
    <definedName name="_xlnm.Print_Area" localSheetId="8">'Performance 2300V'!$A$1:$F$43</definedName>
    <definedName name="_xlnm.Print_Area" localSheetId="7">'Performance 4000V'!$A$1:$F$43</definedName>
    <definedName name="_xlnm.Print_Area" localSheetId="4">'Performance Data Sheet'!$A$1:$M$44</definedName>
    <definedName name="_xlnm.Print_Area" localSheetId="9">StallTime!$A$1:$G$40</definedName>
    <definedName name="_xlnm.Print_Area" localSheetId="5">STCurve!$A$1:$F$43</definedName>
    <definedName name="_xlnm.Print_Area" localSheetId="6">Thermdam!$A$1:$F$43</definedName>
    <definedName name="Print_Area_MI">'Performance Data Sheet'!$A$10:$N$42</definedName>
    <definedName name="Z_852987ED_B4F5_11D1_ABEC_0000832EB49E_.wvu.PrintArea" localSheetId="8" hidden="1">'Performance 2300V'!$A$1:$F$43</definedName>
    <definedName name="Z_852987ED_B4F5_11D1_ABEC_0000832EB49E_.wvu.PrintArea" localSheetId="7" hidden="1">'Performance 4000V'!$A$1:$F$43</definedName>
    <definedName name="Z_852987ED_B4F5_11D1_ABEC_0000832EB49E_.wvu.PrintArea" localSheetId="5" hidden="1">STCurve!$A$1:$F$43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1" l="1"/>
  <c r="M50" i="11"/>
  <c r="M49" i="11"/>
  <c r="M48" i="11"/>
  <c r="M47" i="11"/>
  <c r="M46" i="11"/>
  <c r="M41" i="11"/>
  <c r="N41" i="11" s="1"/>
  <c r="L41" i="11"/>
  <c r="M40" i="11"/>
  <c r="N40" i="11" s="1"/>
  <c r="L40" i="11"/>
  <c r="M39" i="11"/>
  <c r="N39" i="11" s="1"/>
  <c r="L39" i="11"/>
  <c r="M38" i="11"/>
  <c r="L38" i="11"/>
  <c r="P34" i="11"/>
  <c r="P33" i="11"/>
  <c r="M33" i="11"/>
  <c r="P32" i="11"/>
  <c r="M32" i="11"/>
  <c r="P31" i="11"/>
  <c r="M31" i="11"/>
  <c r="P30" i="11"/>
  <c r="M30" i="11"/>
  <c r="M29" i="11"/>
  <c r="M53" i="11" l="1"/>
  <c r="N38" i="11"/>
  <c r="F54" i="10"/>
  <c r="D43" i="10"/>
  <c r="F39" i="10"/>
  <c r="C39" i="10"/>
  <c r="F9" i="10"/>
  <c r="F7" i="10"/>
  <c r="B7" i="10"/>
  <c r="B6" i="10"/>
  <c r="D43" i="1"/>
  <c r="F39" i="1"/>
  <c r="C39" i="1"/>
  <c r="D43" i="7"/>
  <c r="F39" i="7"/>
  <c r="C39" i="7"/>
  <c r="C39" i="9"/>
  <c r="F9" i="9"/>
  <c r="F7" i="9"/>
  <c r="D7" i="9"/>
  <c r="B7" i="9"/>
  <c r="F6" i="9"/>
  <c r="B6" i="9"/>
  <c r="C12" i="1"/>
  <c r="F9" i="1"/>
  <c r="F7" i="1"/>
  <c r="D7" i="1"/>
  <c r="B7" i="1"/>
  <c r="F6" i="1"/>
  <c r="B6" i="1"/>
  <c r="D43" i="9"/>
  <c r="F39" i="9"/>
  <c r="C12" i="7"/>
  <c r="F6" i="7"/>
  <c r="D7" i="7"/>
  <c r="F9" i="7"/>
  <c r="F7" i="7"/>
  <c r="B7" i="7"/>
  <c r="B6" i="7"/>
  <c r="F54" i="1"/>
  <c r="C76" i="9"/>
  <c r="C77" i="9" s="1"/>
  <c r="C78" i="9" s="1"/>
  <c r="B76" i="9"/>
  <c r="C75" i="9"/>
  <c r="C74" i="9"/>
  <c r="B74" i="9"/>
  <c r="A72" i="9"/>
  <c r="A73" i="9" s="1"/>
  <c r="B73" i="9" s="1"/>
  <c r="C71" i="9"/>
  <c r="B71" i="9"/>
  <c r="C70" i="9"/>
  <c r="B70" i="9"/>
  <c r="C69" i="9"/>
  <c r="B69" i="9"/>
  <c r="B75" i="9" s="1"/>
  <c r="E68" i="9"/>
  <c r="D66" i="9"/>
  <c r="F50" i="9"/>
  <c r="B7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00000000-0006-0000-0100-000001000000}">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0000000-0006-0000-0100-000002000000}">
      <text>
        <r>
          <rPr>
            <b/>
            <sz val="8"/>
            <color indexed="81"/>
            <rFont val="Tahoma"/>
            <family val="2"/>
          </rPr>
          <t>Choose Steel Type
from list or input name</t>
        </r>
      </text>
    </comment>
    <comment ref="D21" authorId="0" shapeId="0" xr:uid="{00000000-0006-0000-0100-000003000000}">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<sst xmlns="http://schemas.openxmlformats.org/spreadsheetml/2006/main" count="1005" uniqueCount="738">
  <si>
    <t>Input Watts</t>
  </si>
  <si>
    <t>RPM</t>
  </si>
  <si>
    <t>Amps</t>
  </si>
  <si>
    <t>PF</t>
  </si>
  <si>
    <t>Efficiency</t>
  </si>
  <si>
    <t>Load</t>
  </si>
  <si>
    <t>Checked by:</t>
  </si>
  <si>
    <t>Prepared by:</t>
  </si>
  <si>
    <t>D.E.Curve #:</t>
  </si>
  <si>
    <t>PROJECT</t>
  </si>
  <si>
    <t>Comments:</t>
  </si>
  <si>
    <t>Rated Torque:</t>
  </si>
  <si>
    <t>N/A</t>
  </si>
  <si>
    <t>Accel. Time:</t>
  </si>
  <si>
    <t>Breakdown Torque:</t>
  </si>
  <si>
    <t>Starting at:</t>
  </si>
  <si>
    <t>Locked Rotor Torque:</t>
  </si>
  <si>
    <t>Load Type:</t>
  </si>
  <si>
    <t>Locked Rotor Amps:</t>
  </si>
  <si>
    <t>File:</t>
  </si>
  <si>
    <t>Load Inertia:</t>
  </si>
  <si>
    <t>FLRPM:</t>
  </si>
  <si>
    <t>Date:</t>
  </si>
  <si>
    <t>114.9 lb-ft²</t>
  </si>
  <si>
    <t>Rotor Inertia:</t>
  </si>
  <si>
    <t>HP:</t>
  </si>
  <si>
    <t>Ins. Class:</t>
  </si>
  <si>
    <t>3 PH / 60 Hz</t>
  </si>
  <si>
    <t>Frequency:</t>
  </si>
  <si>
    <t>Pole:</t>
  </si>
  <si>
    <t>Frame:</t>
  </si>
  <si>
    <t>Voltage:</t>
  </si>
  <si>
    <t>Enclosure:</t>
  </si>
  <si>
    <t>FLAmps:</t>
  </si>
  <si>
    <t>Model #:</t>
  </si>
  <si>
    <t>Design Values (For Reference Only)</t>
  </si>
  <si>
    <t>Performance Curve</t>
  </si>
  <si>
    <t>TOSHIBA INTERNATIONAL CORPORATION</t>
  </si>
  <si>
    <t xml:space="preserve">                              TOSHIBA INTERNATIONAL CORPORATION</t>
  </si>
  <si>
    <t>Calc. Code:</t>
  </si>
  <si>
    <t>2-2-2-0-1-2</t>
  </si>
  <si>
    <t xml:space="preserve">             3-PHASE SQUIRREL CAGE INDUCTION MOTOR DESIGN SHEET</t>
  </si>
  <si>
    <t>B.L.-1  P.F.-1</t>
  </si>
  <si>
    <t>Time:</t>
  </si>
  <si>
    <t>Pole</t>
  </si>
  <si>
    <t>HP</t>
  </si>
  <si>
    <t>Form</t>
  </si>
  <si>
    <t>Voltage</t>
  </si>
  <si>
    <t>Frequency</t>
  </si>
  <si>
    <t>Temperature</t>
  </si>
  <si>
    <t>FLSpeed</t>
  </si>
  <si>
    <t>FLSlip</t>
  </si>
  <si>
    <t xml:space="preserve">Frame </t>
  </si>
  <si>
    <t>DCKW</t>
  </si>
  <si>
    <t>0.0091 / 0.0111</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</si>
  <si>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</si>
  <si>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</si>
  <si>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</si>
  <si>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</si>
  <si>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</si>
  <si>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</si>
  <si>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</si>
  <si>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</si>
  <si>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</si>
  <si>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</si>
  <si>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</si>
  <si>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</si>
  <si>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</si>
  <si>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</si>
  <si>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14</t>
  </si>
  <si>
    <t>Cross Section Area</t>
  </si>
  <si>
    <t>Mean Value</t>
  </si>
  <si>
    <t>Core Length</t>
  </si>
  <si>
    <t>UB: 417.4</t>
  </si>
  <si>
    <t>UER: 2800.0</t>
  </si>
  <si>
    <t>Eff.T.W.St.</t>
  </si>
  <si>
    <t>WS</t>
  </si>
  <si>
    <t>OD</t>
  </si>
  <si>
    <t>Coil Pitch</t>
  </si>
  <si>
    <t>ERT: 70.0</t>
  </si>
  <si>
    <t>Eff.T.W.Rt.</t>
  </si>
  <si>
    <t>ID</t>
  </si>
  <si>
    <t>Slot Fill</t>
  </si>
  <si>
    <t>-</t>
  </si>
  <si>
    <t>ERD1: 246.2</t>
  </si>
  <si>
    <t xml:space="preserve">St.Carter Fac. </t>
  </si>
  <si>
    <t>IS</t>
  </si>
  <si>
    <t>Core Depth</t>
  </si>
  <si>
    <t>Con./Slot</t>
  </si>
  <si>
    <t>ERD2: 332.2</t>
  </si>
  <si>
    <t>Rt.Carter Fac.</t>
  </si>
  <si>
    <t>Eff.Core L.</t>
  </si>
  <si>
    <t>Wire Size 1</t>
  </si>
  <si>
    <t>Carter Factor</t>
  </si>
  <si>
    <t>Volts / Turn</t>
  </si>
  <si>
    <t>Slot Data</t>
  </si>
  <si>
    <t>Wire Size 2</t>
  </si>
  <si>
    <t>Short. Factor</t>
  </si>
  <si>
    <t>Number</t>
  </si>
  <si>
    <t>// Circuits</t>
  </si>
  <si>
    <t>Distrib. Factor</t>
  </si>
  <si>
    <t>AC</t>
  </si>
  <si>
    <t>Kind</t>
  </si>
  <si>
    <t>Open</t>
  </si>
  <si>
    <t>Dbl - Closed</t>
  </si>
  <si>
    <t>Connection</t>
  </si>
  <si>
    <t>Wye</t>
  </si>
  <si>
    <t>Wind. Factor</t>
  </si>
  <si>
    <t>Skew</t>
  </si>
  <si>
    <t>MCL</t>
  </si>
  <si>
    <t>Reactance</t>
  </si>
  <si>
    <t>(Coeff.: 0.0702)</t>
  </si>
  <si>
    <t>Depth</t>
  </si>
  <si>
    <t>No.Cond./Ph.</t>
  </si>
  <si>
    <t>Running</t>
  </si>
  <si>
    <t>Start</t>
  </si>
  <si>
    <t>Width</t>
  </si>
  <si>
    <t>14.00 - 14.00</t>
  </si>
  <si>
    <t>Res.     (20°C)</t>
  </si>
  <si>
    <t>Stator Slot</t>
  </si>
  <si>
    <t>Opening</t>
  </si>
  <si>
    <t>(105°C)</t>
  </si>
  <si>
    <t>Rotor Slot</t>
  </si>
  <si>
    <t>Tip Depth</t>
  </si>
  <si>
    <t>Material</t>
  </si>
  <si>
    <t>CU</t>
  </si>
  <si>
    <t>AL</t>
  </si>
  <si>
    <t>Zigzag</t>
  </si>
  <si>
    <t>T.Min.Wid.</t>
  </si>
  <si>
    <t>Spec.Resist.</t>
  </si>
  <si>
    <t>Coil End</t>
  </si>
  <si>
    <t>Skew R.: 0.00</t>
  </si>
  <si>
    <t>Low. R.</t>
  </si>
  <si>
    <t>Spec.Gravity</t>
  </si>
  <si>
    <t>Belt Leakage</t>
  </si>
  <si>
    <t>Up. R.</t>
  </si>
  <si>
    <t>Weight (kg)</t>
  </si>
  <si>
    <t>Total Resist.</t>
  </si>
  <si>
    <t>Wedge Dep.</t>
  </si>
  <si>
    <t>1.20 - 2.40</t>
  </si>
  <si>
    <t>Normal</t>
  </si>
  <si>
    <t>Wire 1</t>
  </si>
  <si>
    <t>Total React.</t>
  </si>
  <si>
    <t>Duct</t>
  </si>
  <si>
    <t>9 x 8</t>
  </si>
  <si>
    <t>8 x 8</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</si>
  <si>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</si>
  <si>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</si>
  <si>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</si>
  <si>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</si>
  <si>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</si>
  <si>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</si>
  <si>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</si>
  <si>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</si>
  <si>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</si>
  <si>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</si>
  <si>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</si>
  <si>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</si>
  <si>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</si>
  <si>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</si>
  <si>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</si>
  <si>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</si>
  <si>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</si>
  <si>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Second.Core</t>
  </si>
  <si>
    <t>Total</t>
  </si>
  <si>
    <t>Core Loss</t>
  </si>
  <si>
    <t>Flux / Pole</t>
  </si>
  <si>
    <t>C.L.C.</t>
  </si>
  <si>
    <t>1.50 / 0.99</t>
  </si>
  <si>
    <t>NoLoad</t>
  </si>
  <si>
    <t>S.F.C.</t>
  </si>
  <si>
    <t>Load Characteristics</t>
  </si>
  <si>
    <t>Temp. Rise @ 100%:</t>
  </si>
  <si>
    <t>No Load Loss</t>
  </si>
  <si>
    <t>W.Loss</t>
  </si>
  <si>
    <t>Load (%)</t>
  </si>
  <si>
    <t>Primary Loss</t>
  </si>
  <si>
    <t>S.Loss</t>
  </si>
  <si>
    <t>1633.4 / 1080.7</t>
  </si>
  <si>
    <t>Current (A)</t>
  </si>
  <si>
    <t>Second. Loss</t>
  </si>
  <si>
    <t>Total C.Loss</t>
  </si>
  <si>
    <t>7670.2 / 5074.6</t>
  </si>
  <si>
    <t xml:space="preserve">Efficiency </t>
  </si>
  <si>
    <t>0.959 / 0.943</t>
  </si>
  <si>
    <t>Frict.&amp; Wind.</t>
  </si>
  <si>
    <t>3000.0 / 3271.9</t>
  </si>
  <si>
    <t>Stray Loss</t>
  </si>
  <si>
    <t>P.F.</t>
  </si>
  <si>
    <t>0.906 / 0.878</t>
  </si>
  <si>
    <t>Starting Data</t>
  </si>
  <si>
    <t>Slip</t>
  </si>
  <si>
    <t>0.0023 / 0.0043</t>
  </si>
  <si>
    <t>0.0045 / 0.0065</t>
  </si>
  <si>
    <t>0.0068 / 0.0088</t>
  </si>
  <si>
    <t>0.0115 / 0.0135</t>
  </si>
  <si>
    <t xml:space="preserve">LRA </t>
  </si>
  <si>
    <t>%</t>
  </si>
  <si>
    <t>L (Inv., MH)</t>
  </si>
  <si>
    <t>LRT (kg.m)</t>
  </si>
  <si>
    <t>(No Load)</t>
  </si>
  <si>
    <t>Design Parameters (Full Load)</t>
  </si>
  <si>
    <t>Magnetic Pull  &amp; Thrust</t>
  </si>
  <si>
    <t>BDT (kW)</t>
  </si>
  <si>
    <t>IM/IW</t>
  </si>
  <si>
    <t>I*R1/E</t>
  </si>
  <si>
    <t>Rosenberg</t>
  </si>
  <si>
    <t>IW*X/E</t>
  </si>
  <si>
    <t>I*R2/E</t>
  </si>
  <si>
    <t>Schwisky</t>
  </si>
  <si>
    <t>SUM</t>
  </si>
  <si>
    <t>Friction/OP.</t>
  </si>
  <si>
    <t>Tsurumi</t>
  </si>
  <si>
    <t>Max. Output</t>
  </si>
  <si>
    <t>IH/I</t>
  </si>
  <si>
    <t>Thrust (1mm)</t>
  </si>
  <si>
    <t>Thrust (3 mm)</t>
  </si>
  <si>
    <t>Double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</si>
  <si>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</si>
  <si>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</si>
  <si>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</si>
  <si>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</si>
  <si>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</si>
  <si>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</si>
  <si>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</si>
  <si>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</si>
  <si>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</si>
  <si>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</si>
  <si>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</si>
  <si>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</si>
  <si>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</si>
  <si>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</si>
  <si>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</si>
  <si>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LB:  -</t>
  </si>
  <si>
    <t>Up. Sl. Wid.</t>
  </si>
  <si>
    <t>L.S.Depth</t>
  </si>
  <si>
    <t>X2S</t>
  </si>
  <si>
    <t>IMC</t>
  </si>
  <si>
    <t>ER Cur. Den.</t>
  </si>
  <si>
    <t>Up. Sl. Dep.</t>
  </si>
  <si>
    <t>T.M.Wid.Up.</t>
  </si>
  <si>
    <t>X3S</t>
  </si>
  <si>
    <t>Coil Pitch Ct.</t>
  </si>
  <si>
    <t>LER:  -</t>
  </si>
  <si>
    <t>Torque (%)</t>
  </si>
  <si>
    <t>Current (%)</t>
  </si>
  <si>
    <t>Torque 80%</t>
  </si>
  <si>
    <t>LRA 80%</t>
  </si>
  <si>
    <t>INDUCTION MOTOR DATA SHEET</t>
  </si>
  <si>
    <t>1T2700K_REV1</t>
  </si>
  <si>
    <t>HRW / Model Number:</t>
  </si>
  <si>
    <t>7003WTAK11F-A</t>
  </si>
  <si>
    <t>Type: TIKK - Form: DCKW - 2 Pole - 700 HP - 2300 / 4000 V - 60 Hz - 5012 - Class F</t>
  </si>
  <si>
    <t>Motor Type Selection</t>
  </si>
  <si>
    <t>Electrical Steel Table</t>
  </si>
  <si>
    <t>Motor Parameters</t>
  </si>
  <si>
    <t>PERFORMANCE</t>
  </si>
  <si>
    <t>DESIGN</t>
  </si>
  <si>
    <t>TEST</t>
  </si>
  <si>
    <t>EPACT</t>
  </si>
  <si>
    <t>M22 - 26Ga.</t>
  </si>
  <si>
    <t>NL &amp; Impedance Test</t>
  </si>
  <si>
    <t>EQP-III</t>
  </si>
  <si>
    <t>M36 - 26Ga.</t>
  </si>
  <si>
    <t>No load amps</t>
  </si>
  <si>
    <t>36 / 21</t>
  </si>
  <si>
    <t>Exp.Prf.</t>
  </si>
  <si>
    <t>NCB1 - 26Ga.</t>
  </si>
  <si>
    <t>Stack length</t>
  </si>
  <si>
    <t>No load watts</t>
  </si>
  <si>
    <t>Exp.Prf.-EQPIII</t>
  </si>
  <si>
    <t>M43 - 26Ga.</t>
  </si>
  <si>
    <t>Number of turns per coil</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</si>
  <si>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</si>
  <si>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</si>
  <si>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</si>
  <si>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</si>
  <si>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</si>
  <si>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</si>
  <si>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</si>
  <si>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</si>
  <si>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</si>
  <si>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</si>
  <si>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</si>
  <si>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</si>
  <si>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</si>
  <si>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1D / 1Y</t>
  </si>
  <si>
    <t>Winding</t>
  </si>
  <si>
    <t>80/115</t>
  </si>
  <si>
    <t>46 / 61</t>
  </si>
  <si>
    <t>Allowance for ins. depth</t>
  </si>
  <si>
    <t xml:space="preserve">Bearing  PS/OS </t>
  </si>
  <si>
    <t>Allowance for ins. width</t>
  </si>
  <si>
    <t>Slot/Wire arrangement</t>
  </si>
  <si>
    <t>18 x 2</t>
  </si>
  <si>
    <t>Nameplate Data</t>
  </si>
  <si>
    <t>Effective cross section for coil</t>
  </si>
  <si>
    <t>FLC (A)</t>
  </si>
  <si>
    <t>159 / 92</t>
  </si>
  <si>
    <t>Coil grouping</t>
  </si>
  <si>
    <t>Coil pitch (slot number)</t>
  </si>
  <si>
    <t>CODE</t>
  </si>
  <si>
    <t>F</t>
  </si>
  <si>
    <t>Method of coil connection</t>
  </si>
  <si>
    <t>Adjacent</t>
  </si>
  <si>
    <t>S. F.</t>
  </si>
  <si>
    <t>Method of Connection</t>
  </si>
  <si>
    <t>Resistance per phase @ 20 °C</t>
  </si>
  <si>
    <t>Skip</t>
  </si>
  <si>
    <t>Coil Weight</t>
  </si>
  <si>
    <t>Wire1</t>
  </si>
  <si>
    <t xml:space="preserve">Nom.Eff. (%): </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</si>
  <si>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</si>
  <si>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</si>
  <si>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</si>
  <si>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</si>
  <si>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</si>
  <si>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</si>
  <si>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</si>
  <si>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393 / 2302</t>
  </si>
  <si>
    <t>346 / 279</t>
  </si>
  <si>
    <t>Stator Slot Shape                                       (Reference)</t>
  </si>
  <si>
    <t>Performance</t>
  </si>
  <si>
    <t>LRC (A)</t>
  </si>
  <si>
    <t xml:space="preserve"> - </t>
  </si>
  <si>
    <t>934/ 539</t>
  </si>
  <si>
    <t>LRT (%)</t>
  </si>
  <si>
    <t>BDT (%)</t>
  </si>
  <si>
    <t>SLIP (%)</t>
  </si>
  <si>
    <t>IEEE-B</t>
  </si>
  <si>
    <t>Eff. (%)</t>
  </si>
  <si>
    <t>Rotor Slot Shape                                        (Reference)</t>
  </si>
  <si>
    <t>PF (%)</t>
  </si>
  <si>
    <t>Losses (Watts)</t>
  </si>
  <si>
    <t>Core</t>
  </si>
  <si>
    <t>F &amp; W (A/F Brg)</t>
  </si>
  <si>
    <t xml:space="preserve">Stray </t>
  </si>
  <si>
    <t>End Ring                                                    (Reference)</t>
  </si>
  <si>
    <t>Note</t>
  </si>
  <si>
    <t>Approved</t>
  </si>
  <si>
    <t>Design</t>
  </si>
  <si>
    <t>A. Gracia</t>
  </si>
  <si>
    <t>Revision 1: Complete design changed.</t>
  </si>
  <si>
    <t>Date</t>
  </si>
  <si>
    <t>A. Gracia  06/25/04</t>
  </si>
  <si>
    <t>P</t>
  </si>
  <si>
    <t>T</t>
  </si>
  <si>
    <t>L</t>
  </si>
  <si>
    <t>PROJECT HISTORY</t>
  </si>
  <si>
    <t>E</t>
  </si>
  <si>
    <t>D</t>
  </si>
  <si>
    <t>I</t>
  </si>
  <si>
    <t>Y</t>
  </si>
  <si>
    <t>H</t>
  </si>
  <si>
    <t>R</t>
  </si>
  <si>
    <t>M</t>
  </si>
  <si>
    <t>C</t>
  </si>
  <si>
    <t>U</t>
  </si>
  <si>
    <t>N</t>
  </si>
  <si>
    <t>A</t>
  </si>
  <si>
    <t>S</t>
  </si>
  <si>
    <t>V</t>
  </si>
  <si>
    <t>DATE</t>
  </si>
  <si>
    <t>SMART NUMBER</t>
  </si>
  <si>
    <t>QTY</t>
  </si>
  <si>
    <t>CUSTOMER</t>
  </si>
  <si>
    <t>REMARKS</t>
  </si>
  <si>
    <t>LIMIT CODE</t>
  </si>
  <si>
    <t>REVISION HISTORY</t>
  </si>
  <si>
    <t>REV</t>
  </si>
  <si>
    <t>INIT</t>
  </si>
  <si>
    <t>Winding Data Calculation</t>
  </si>
  <si>
    <t>MCL: 1042.0</t>
  </si>
  <si>
    <t>Coil Resistance</t>
  </si>
  <si>
    <t>Lead Resistance</t>
  </si>
  <si>
    <t xml:space="preserve">9T: </t>
  </si>
  <si>
    <t>0.01443 ~ 0.01387</t>
  </si>
  <si>
    <t>AWG. 02 x 6</t>
  </si>
  <si>
    <t/>
  </si>
  <si>
    <t>0.00125</t>
  </si>
  <si>
    <t>Coil Dimensions</t>
  </si>
  <si>
    <t>HM:</t>
  </si>
  <si>
    <t>9T: 22.60</t>
  </si>
  <si>
    <t>WM:</t>
  </si>
  <si>
    <t>9T: 10.76</t>
  </si>
  <si>
    <t>WT:</t>
  </si>
  <si>
    <t>14.10 ~ 13.70</t>
  </si>
  <si>
    <t>Insulation Allowance</t>
  </si>
  <si>
    <t>Wire Weight</t>
  </si>
  <si>
    <t>Depth:</t>
  </si>
  <si>
    <t>8.96</t>
  </si>
  <si>
    <t xml:space="preserve"> (.091"x.204")x 2: </t>
  </si>
  <si>
    <t>370 lbs.</t>
  </si>
  <si>
    <t>Width:</t>
  </si>
  <si>
    <t>3.24</t>
  </si>
  <si>
    <t>QC Resistance</t>
  </si>
  <si>
    <t xml:space="preserve">1-4, 2-5, 3-6: </t>
  </si>
  <si>
    <t>0.205 ~ 0.193</t>
  </si>
  <si>
    <t>INDEX</t>
  </si>
  <si>
    <t>MPCF-1033</t>
  </si>
  <si>
    <t>Industrial Division / Houston Motor Plant</t>
  </si>
  <si>
    <t>SHEET NO.</t>
  </si>
  <si>
    <t>1 of 1</t>
  </si>
  <si>
    <t>ISSUED</t>
  </si>
  <si>
    <t>7/31/13</t>
  </si>
  <si>
    <t>SUPERSEDES</t>
  </si>
  <si>
    <t>11/8/96</t>
  </si>
  <si>
    <t>REVISION</t>
  </si>
  <si>
    <t>SQUIRREL CAGE INDUCTION MOTOR</t>
  </si>
  <si>
    <t>WRITTEN BY</t>
  </si>
  <si>
    <t>MDC</t>
  </si>
  <si>
    <t>PERFORMANCE SPECIFICATIONS</t>
  </si>
  <si>
    <t>APPROVED BY</t>
  </si>
  <si>
    <t>PAA</t>
  </si>
  <si>
    <t>CUSTOMER:</t>
  </si>
  <si>
    <t>TIC SR No.:</t>
  </si>
  <si>
    <t>MOTOR NAMEPLATE DATA</t>
  </si>
  <si>
    <t>H.P.:</t>
  </si>
  <si>
    <t>VOLTS:</t>
  </si>
  <si>
    <t>3 PH /</t>
  </si>
  <si>
    <t>60 Hz</t>
  </si>
  <si>
    <t>S. RPM:</t>
  </si>
  <si>
    <t>FRAME:</t>
  </si>
  <si>
    <t>ENCL:</t>
  </si>
  <si>
    <t>WP-II</t>
  </si>
  <si>
    <t>FLAMPS:</t>
  </si>
  <si>
    <t>FORM:</t>
  </si>
  <si>
    <t>S.F.:</t>
  </si>
  <si>
    <t>NEMA DESIGN:</t>
  </si>
  <si>
    <t>INSUL CLASS:</t>
  </si>
  <si>
    <t>TYPE:</t>
  </si>
  <si>
    <t>TKKH</t>
  </si>
  <si>
    <t>AMB.:</t>
  </si>
  <si>
    <t>40°C</t>
  </si>
  <si>
    <t>CODE:</t>
  </si>
  <si>
    <t>DUTY:</t>
  </si>
  <si>
    <t>Cont.</t>
  </si>
  <si>
    <t>MODEL No.:</t>
  </si>
  <si>
    <t>kW:</t>
  </si>
  <si>
    <t>NOM. EFF.:</t>
  </si>
  <si>
    <t>MIN. EFF.:</t>
  </si>
  <si>
    <t>P.F.:</t>
  </si>
  <si>
    <t>AMPERAGE</t>
  </si>
  <si>
    <t>TORQUES</t>
  </si>
  <si>
    <t>**BEARINGS:</t>
  </si>
  <si>
    <t>LOCKED ROTOR:</t>
  </si>
  <si>
    <t>FULL LOAD (lb-ft.):</t>
  </si>
  <si>
    <t>DRIVE END:</t>
  </si>
  <si>
    <t>REFER TO NP</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</si>
  <si>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</si>
  <si>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</si>
  <si>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</si>
  <si>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</si>
  <si>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</si>
  <si>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</si>
  <si>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</si>
  <si>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</si>
  <si>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</si>
  <si>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</si>
  <si>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</si>
  <si>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</si>
  <si>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</si>
  <si>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</si>
  <si>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CERTIFIED BY:</t>
  </si>
  <si>
    <t>Jerry R</t>
  </si>
  <si>
    <t>DATE:</t>
  </si>
  <si>
    <t>6205ZZ</t>
  </si>
  <si>
    <t>TEFC</t>
  </si>
  <si>
    <t>6206UU</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</si>
  <si>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</si>
  <si>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</si>
  <si>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</si>
  <si>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</si>
  <si>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</si>
  <si>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</si>
  <si>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</si>
  <si>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</si>
  <si>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</si>
  <si>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</si>
  <si>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</si>
  <si>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</si>
  <si>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</si>
  <si>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</si>
  <si>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</si>
  <si>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</si>
  <si>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</si>
  <si>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</si>
  <si>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</si>
  <si>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</si>
  <si>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</si>
  <si>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</si>
  <si>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</si>
  <si>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</si>
  <si>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</si>
  <si>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</si>
  <si>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</si>
  <si>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</si>
  <si>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</si>
  <si>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</si>
  <si>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</si>
  <si>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</si>
  <si>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</si>
  <si>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</si>
  <si>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</si>
  <si>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</si>
  <si>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</si>
  <si>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</si>
  <si>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</si>
  <si>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</si>
  <si>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1033 lb-ft</t>
  </si>
  <si>
    <t>Rating:</t>
  </si>
  <si>
    <t>2 Pole - 700.0 HP - 3600 RPM - 4000 V - 60 Hz</t>
  </si>
  <si>
    <t>Starting Performance</t>
  </si>
  <si>
    <t>Load Type: Fan / Pump - 252.0 lb-ft²</t>
  </si>
  <si>
    <t>Motor</t>
  </si>
  <si>
    <t xml:space="preserve">Load </t>
  </si>
  <si>
    <t>Accel.</t>
  </si>
  <si>
    <t xml:space="preserve"> Line</t>
  </si>
  <si>
    <t>Stator</t>
  </si>
  <si>
    <t>Rotor</t>
  </si>
  <si>
    <t>Speed Increment</t>
  </si>
  <si>
    <t>Time (s)</t>
  </si>
  <si>
    <t>kW / s</t>
  </si>
  <si>
    <t>0~360</t>
  </si>
  <si>
    <t>69.9</t>
  </si>
  <si>
    <t>22.5</t>
  </si>
  <si>
    <t>0.878</t>
  </si>
  <si>
    <t>429.6</t>
  </si>
  <si>
    <t>128.1</t>
  </si>
  <si>
    <t>395.6</t>
  </si>
  <si>
    <t>360~720</t>
  </si>
  <si>
    <t>58.8</t>
  </si>
  <si>
    <t>11.5</t>
  </si>
  <si>
    <t>0.880</t>
  </si>
  <si>
    <t>426.3</t>
  </si>
  <si>
    <t>126.5</t>
  </si>
  <si>
    <t>293.0</t>
  </si>
  <si>
    <t>720~1080</t>
  </si>
  <si>
    <t>51.9</t>
  </si>
  <si>
    <t>7.0</t>
  </si>
  <si>
    <t>0.927</t>
  </si>
  <si>
    <t>422.7</t>
  </si>
  <si>
    <t>131.1</t>
  </si>
  <si>
    <t>237.1</t>
  </si>
  <si>
    <t>1080~1440</t>
  </si>
  <si>
    <t>47.9</t>
  </si>
  <si>
    <t>1.018</t>
  </si>
  <si>
    <t>418.7</t>
  </si>
  <si>
    <t>141.4</t>
  </si>
  <si>
    <t>206.2</t>
  </si>
  <si>
    <t>1440~1800</t>
  </si>
  <si>
    <t>45.6</t>
  </si>
  <si>
    <t>11.0</t>
  </si>
  <si>
    <t>1.203</t>
  </si>
  <si>
    <t>414.2</t>
  </si>
  <si>
    <t>163.9</t>
  </si>
  <si>
    <t>196.4</t>
  </si>
  <si>
    <t>1800~2191</t>
  </si>
  <si>
    <t>45.7</t>
  </si>
  <si>
    <t>18.5</t>
  </si>
  <si>
    <t>1.663</t>
  </si>
  <si>
    <t>408.8</t>
  </si>
  <si>
    <t>221.2</t>
  </si>
  <si>
    <t>201.1</t>
  </si>
  <si>
    <t>2191~2582</t>
  </si>
  <si>
    <t>48.7</t>
  </si>
  <si>
    <t>29.4</t>
  </si>
  <si>
    <t>2.344</t>
  </si>
  <si>
    <t>401.9</t>
  </si>
  <si>
    <t>303.0</t>
  </si>
  <si>
    <t>230.7</t>
  </si>
  <si>
    <t>2582~2974</t>
  </si>
  <si>
    <t>56.2</t>
  </si>
  <si>
    <t>45.8</t>
  </si>
  <si>
    <t>4.350</t>
  </si>
  <si>
    <t>390.3</t>
  </si>
  <si>
    <t>540.1</t>
  </si>
  <si>
    <t>337.3</t>
  </si>
  <si>
    <t>2974~3169</t>
  </si>
  <si>
    <t>69.3</t>
  </si>
  <si>
    <t>62.3</t>
  </si>
  <si>
    <t>3.232</t>
  </si>
  <si>
    <t>374.7</t>
  </si>
  <si>
    <t>371.4</t>
  </si>
  <si>
    <t>373.9</t>
  </si>
  <si>
    <t>3169~3365</t>
  </si>
  <si>
    <t>91.0</t>
  </si>
  <si>
    <t>75.9</t>
  </si>
  <si>
    <t>1.508</t>
  </si>
  <si>
    <t>349.5</t>
  </si>
  <si>
    <t>159.1</t>
  </si>
  <si>
    <t>150.0</t>
  </si>
  <si>
    <t>3365~3560</t>
  </si>
  <si>
    <t>134.1</t>
  </si>
  <si>
    <t>90.4</t>
  </si>
  <si>
    <t>0.518</t>
  </si>
  <si>
    <t>286.2</t>
  </si>
  <si>
    <t>44.8</t>
  </si>
  <si>
    <t>38.3</t>
  </si>
  <si>
    <t>3560~3567</t>
  </si>
  <si>
    <t>131.6</t>
  </si>
  <si>
    <t>98.6</t>
  </si>
  <si>
    <t>0.024</t>
  </si>
  <si>
    <t>151.9</t>
  </si>
  <si>
    <t>0.2</t>
  </si>
  <si>
    <t>Acceleration Time:  18.5 s</t>
  </si>
  <si>
    <t>Energy</t>
  </si>
  <si>
    <t>First Start</t>
  </si>
  <si>
    <t>Second Start</t>
  </si>
  <si>
    <t>Stator Winding Rise</t>
  </si>
  <si>
    <t>2331 kW / s</t>
  </si>
  <si>
    <t>37°C</t>
  </si>
  <si>
    <t>74°C</t>
  </si>
  <si>
    <t>Rotor Bar Rise</t>
  </si>
  <si>
    <t>1891 kW / s</t>
  </si>
  <si>
    <t>123°C</t>
  </si>
  <si>
    <t>247°C</t>
  </si>
  <si>
    <t>End Ring Rise</t>
  </si>
  <si>
    <t>780 kW / s</t>
  </si>
  <si>
    <t>62°C</t>
  </si>
  <si>
    <t>124°C</t>
  </si>
  <si>
    <t>Locked Rotor Thermal Capability</t>
  </si>
  <si>
    <t>Cold Condition</t>
  </si>
  <si>
    <t>Rate of Rise</t>
  </si>
  <si>
    <t>Power</t>
  </si>
  <si>
    <t>Rise Limit</t>
  </si>
  <si>
    <t>Max Time</t>
  </si>
  <si>
    <t>Stator Copper</t>
  </si>
  <si>
    <t>3.9°C / s</t>
  </si>
  <si>
    <t>246.3 kW</t>
  </si>
  <si>
    <t>160°C</t>
  </si>
  <si>
    <t>40.9 s</t>
  </si>
  <si>
    <t>Rotor Bar</t>
  </si>
  <si>
    <t>28.9°C / s</t>
  </si>
  <si>
    <t>443.7 kW</t>
  </si>
  <si>
    <t>260°C</t>
  </si>
  <si>
    <t>9.0 s</t>
  </si>
  <si>
    <t>Rotor ER</t>
  </si>
  <si>
    <t>14.6°C / s</t>
  </si>
  <si>
    <t>182.9 kW</t>
  </si>
  <si>
    <t>180°C</t>
  </si>
  <si>
    <t>12.3 s</t>
  </si>
  <si>
    <t>Hot Condition</t>
  </si>
  <si>
    <t>Hot Temp.</t>
  </si>
  <si>
    <t>Ambient</t>
  </si>
  <si>
    <t>Max.Time</t>
  </si>
  <si>
    <t>46°C    +</t>
  </si>
  <si>
    <t>114°C    +</t>
  </si>
  <si>
    <t>=    200°C</t>
  </si>
  <si>
    <t>29.1 s</t>
  </si>
  <si>
    <t>58°C    +</t>
  </si>
  <si>
    <t>202°C   +</t>
  </si>
  <si>
    <t>=    300°C</t>
  </si>
  <si>
    <t>7.0 s</t>
  </si>
  <si>
    <t>122°C   +</t>
  </si>
  <si>
    <t>=    220°C</t>
  </si>
  <si>
    <t>8.4 s</t>
  </si>
  <si>
    <t>Cold Stall Time:</t>
  </si>
  <si>
    <t>24.9 s</t>
  </si>
  <si>
    <t>Hot Stall Time:</t>
  </si>
  <si>
    <t>16.6 s</t>
  </si>
  <si>
    <t>Thermal Limit &amp; Acceleration Curves</t>
  </si>
  <si>
    <t xml:space="preserve"> </t>
  </si>
  <si>
    <t>Cold</t>
  </si>
  <si>
    <t>Hot</t>
  </si>
  <si>
    <t>CURRENT (%)</t>
  </si>
  <si>
    <t>Accel. Time</t>
  </si>
  <si>
    <t>5012USS</t>
  </si>
  <si>
    <t xml:space="preserve">2300V </t>
  </si>
  <si>
    <t>159 A</t>
  </si>
  <si>
    <t>934 A</t>
  </si>
  <si>
    <t>REV2. CHG WIRE FROM .091"x.204"x2</t>
  </si>
  <si>
    <t>JROD 04/19/2022</t>
  </si>
  <si>
    <t>(.081"x.204")x1</t>
  </si>
  <si>
    <t>(.081"x.182")x1</t>
  </si>
  <si>
    <t>LINK: 1T2700K_REV1.RAT &amp; DAT</t>
  </si>
  <si>
    <t>CHG WIRE TO .081x.204x1 ; .081x.182x1</t>
  </si>
  <si>
    <t>N:\DESPRO\RAT FILES\1T2700K_REV1.rat</t>
  </si>
  <si>
    <t>3567.1 / 3559.9</t>
  </si>
  <si>
    <t>125RPM</t>
  </si>
  <si>
    <r>
      <t>Kline/in</t>
    </r>
    <r>
      <rPr>
        <i/>
        <vertAlign val="superscript"/>
        <sz val="10"/>
        <rFont val="Times New Roman"/>
        <family val="1"/>
      </rPr>
      <t>2</t>
    </r>
  </si>
  <si>
    <t>100RPM</t>
  </si>
  <si>
    <t>75RPM</t>
  </si>
  <si>
    <t>23.786 / 20.977</t>
  </si>
  <si>
    <t>50RPM</t>
  </si>
  <si>
    <t>1.106 / 0.975</t>
  </si>
  <si>
    <t>25RPM</t>
  </si>
  <si>
    <t>23.81 / 21.00</t>
  </si>
  <si>
    <t>51 / 48</t>
  </si>
  <si>
    <t>11067.2 / 8766.7</t>
  </si>
  <si>
    <t>6036.8 / 3993.9</t>
  </si>
  <si>
    <t>7160.1 / 7568.9</t>
  </si>
  <si>
    <t>33.37 / 35.02</t>
  </si>
  <si>
    <t>48.87 / 51.28</t>
  </si>
  <si>
    <t>67.41 / 70.74</t>
  </si>
  <si>
    <t>87.45 / 91.77</t>
  </si>
  <si>
    <t>108.61 / 113.97</t>
  </si>
  <si>
    <t>4971.2 / 5855.3</t>
  </si>
  <si>
    <t>0.916 / 0.900</t>
  </si>
  <si>
    <t>0.949 / 0.933</t>
  </si>
  <si>
    <t>0.958 / 0.941</t>
  </si>
  <si>
    <t>0.958 / 0.942</t>
  </si>
  <si>
    <t>Eff.</t>
  </si>
  <si>
    <t>0.616 / 0.598</t>
  </si>
  <si>
    <t>0.812 / 0.788</t>
  </si>
  <si>
    <t>0.876 / 0.849</t>
  </si>
  <si>
    <t>0.899 / 0.871</t>
  </si>
  <si>
    <t>PF.</t>
  </si>
  <si>
    <t>541.3 / 537.3</t>
  </si>
  <si>
    <t>Current</t>
  </si>
  <si>
    <t>3591.8 / 3584.5</t>
  </si>
  <si>
    <t>3583.7 / 3576.5</t>
  </si>
  <si>
    <t>3575.5 / 3568.3</t>
  </si>
  <si>
    <t>3558.6 / 3551.4</t>
  </si>
  <si>
    <t>619.0 / 614.4</t>
  </si>
  <si>
    <t>198.5 / 171.9</t>
  </si>
  <si>
    <t>Correlated to: 1T2700K_REV1.dat</t>
  </si>
  <si>
    <t>139.2 / 120.6</t>
  </si>
  <si>
    <t>259.4 / 255.8</t>
  </si>
  <si>
    <r>
      <t>HP</t>
    </r>
    <r>
      <rPr>
        <vertAlign val="superscript"/>
        <sz val="10"/>
        <rFont val="Arial"/>
        <family val="2"/>
      </rPr>
      <t>0.95</t>
    </r>
  </si>
  <si>
    <r>
      <t>HP</t>
    </r>
    <r>
      <rPr>
        <vertAlign val="superscript"/>
        <sz val="10"/>
        <rFont val="Arial"/>
        <family val="2"/>
      </rPr>
      <t>1.5</t>
    </r>
  </si>
  <si>
    <r>
      <t>(RPM/1000)</t>
    </r>
    <r>
      <rPr>
        <vertAlign val="superscript"/>
        <sz val="10"/>
        <rFont val="Arial"/>
        <family val="2"/>
      </rPr>
      <t>2.4</t>
    </r>
  </si>
  <si>
    <r>
      <t>(RPM/1000)</t>
    </r>
    <r>
      <rPr>
        <vertAlign val="superscript"/>
        <sz val="10"/>
        <rFont val="Arial"/>
        <family val="2"/>
      </rPr>
      <t>1.8</t>
    </r>
  </si>
  <si>
    <t>k</t>
  </si>
  <si>
    <t>4.47 / 4.69</t>
  </si>
  <si>
    <t>Hz</t>
  </si>
  <si>
    <t>Load Inertia</t>
  </si>
  <si>
    <t>UB: 3.30 / 3.47</t>
  </si>
  <si>
    <t>UER: 2.67 / 2.80</t>
  </si>
  <si>
    <t>S-T Curve Data</t>
  </si>
  <si>
    <t>LIMITS: 1T2700F=2300V ; 1T2700G=4000V</t>
  </si>
  <si>
    <t>1042 [1071 (1.03)]</t>
  </si>
  <si>
    <t>0.199 [0.2357 (1.03)]</t>
  </si>
  <si>
    <t>WP-I = 135-R111-100</t>
  </si>
  <si>
    <t>WP-II = 135-R121-100</t>
  </si>
  <si>
    <t>LAB 9636 - DT2700K AVG 79 Dba</t>
  </si>
  <si>
    <t>LAB 8274 - 80.3 AVG Dba</t>
  </si>
  <si>
    <t>lab 3813 - MAX VIBRATION 0.0622 (OEH) LOADED SINWAVE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</si>
</sst>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
    <numFmt numFmtId="167" formatCode="0.0000"/>
    <numFmt numFmtId="168" formatCode=".0000"/>
    <numFmt numFmtId="169" formatCode="mm/dd/yy"/>
    <numFmt numFmtId="170" formatCode="0.00_);\(0.00\)"/>
    <numFmt numFmtId="171" formatCode="General_)"/>
    <numFmt numFmtId="172" formatCode="0.00000"/>
  </numFmts>
  <fonts count="72">
    <font>
      <sz val="14"/>
      <color theme="1"/>
      <name val="Calibri"/>
      <family val="2"/>
      <scheme val="minor"/>
    </font>
    <font>
      <sz val="10"/>
      <name val="Arial"/>
      <family val="2"/>
    </font>
    <font>
      <sz val="10"/>
      <name val="Times New Roman"/>
      <family val="1"/>
    </font>
    <font>
      <i/>
      <sz val="10"/>
      <name val="Times New Roman"/>
      <family val="1"/>
    </font>
    <font>
      <sz val="14"/>
      <name val="Times New Roman"/>
      <family val="1"/>
    </font>
    <font>
      <b/>
      <i/>
      <sz val="14"/>
      <name val="Times New Roman"/>
      <family val="1"/>
    </font>
    <font>
      <sz val="10"/>
      <color indexed="10"/>
      <name val="Arial"/>
      <family val="2"/>
    </font>
    <font>
      <b/>
      <i/>
      <u/>
      <sz val="14"/>
      <name val="Times New Roman"/>
      <family val="1"/>
    </font>
    <font>
      <b/>
      <u/>
      <sz val="16"/>
      <name val="Times New Roman"/>
      <family val="1"/>
    </font>
    <font>
      <b/>
      <u/>
      <sz val="22"/>
      <name val="Times New Roman"/>
      <family val="1"/>
    </font>
    <font>
      <b/>
      <sz val="14"/>
      <name val="Times New Roman"/>
      <family val="1"/>
    </font>
    <font>
      <i/>
      <sz val="9"/>
      <name val="Times New Roman"/>
      <family val="1"/>
    </font>
    <font>
      <b/>
      <i/>
      <sz val="10"/>
      <name val="Times New Roman"/>
      <family val="1"/>
    </font>
    <font>
      <b/>
      <sz val="10"/>
      <name val="Times New Roman"/>
      <family val="1"/>
    </font>
    <font>
      <i/>
      <vertAlign val="superscript"/>
      <sz val="10"/>
      <name val="Times New Roman"/>
      <family val="1"/>
    </font>
    <font>
      <sz val="8"/>
      <name val="Times New Roman"/>
      <family val="1"/>
    </font>
    <font>
      <sz val="12"/>
      <name val="Univers (w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sz val="20"/>
      <color indexed="8"/>
      <name val="WP Greek Century"/>
      <charset val="2"/>
    </font>
    <font>
      <sz val="10"/>
      <color indexed="8"/>
      <name val="WP Greek Century"/>
      <charset val="2"/>
    </font>
    <font>
      <b/>
      <i/>
      <sz val="12"/>
      <color indexed="8"/>
      <name val="Brush Script MT"/>
      <family val="4"/>
    </font>
    <font>
      <b/>
      <sz val="8"/>
      <color indexed="81"/>
      <name val="Tahoma"/>
      <family val="2"/>
    </font>
    <font>
      <sz val="8"/>
      <color indexed="81"/>
      <name val="Tahoma"/>
      <family val="2"/>
    </font>
    <font>
      <b/>
      <sz val="10"/>
      <name val="Arial"/>
      <family val="2"/>
    </font>
    <font>
      <b/>
      <sz val="14"/>
      <name val="Arial"/>
      <family val="2"/>
    </font>
    <font>
      <b/>
      <sz val="12"/>
      <name val="Arial"/>
      <family val="2"/>
    </font>
    <font>
      <sz val="12"/>
      <name val="Times New Roman"/>
      <family val="1"/>
    </font>
    <font>
      <b/>
      <i/>
      <sz val="12"/>
      <name val="Times New Roman"/>
      <family val="1"/>
    </font>
    <font>
      <sz val="12"/>
      <name val="Helv"/>
    </font>
    <font>
      <sz val="14"/>
      <name val="Univers (W1)"/>
      <family val="2"/>
    </font>
    <font>
      <sz val="8"/>
      <name val="Univers (W1)"/>
      <family val="2"/>
    </font>
    <font>
      <sz val="10"/>
      <name val="Univers (W1)"/>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sz val="9"/>
      <name val="Univers (W1)"/>
    </font>
    <font>
      <b/>
      <sz val="13"/>
      <name val="Univers (W1)"/>
      <family val="2"/>
    </font>
    <font>
      <sz val="12"/>
      <name val="Lucida Handwriting"/>
      <family val="4"/>
    </font>
    <font>
      <i/>
      <sz val="12"/>
      <name val="Times New Roman"/>
      <family val="1"/>
    </font>
    <font>
      <sz val="10"/>
      <color indexed="9"/>
      <name val="Arial"/>
      <family val="2"/>
    </font>
    <font>
      <sz val="10"/>
      <color indexed="8"/>
      <name val="Arial"/>
      <family val="2"/>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12"/>
      <name val="Arial"/>
      <family val="2"/>
    </font>
  </fonts>
  <fills count="6">
    <fill>
      <patternFill patternType="none"/>
    </fill>
    <fill>
      <patternFill patternType="gray125"/>
    </fill>
    <fill>
      <patternFill patternType="solid">
        <fgColor indexed="9"/>
        <bgColor indexed="64"/>
      </patternFill>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s>
  <borders count="150">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right/>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right style="medium">
        <color indexed="64"/>
      </right>
      <top/>
      <bottom style="hair">
        <color indexed="23"/>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medium">
        <color indexed="64"/>
      </left>
      <right/>
      <top/>
      <bottom style="thin">
        <color indexed="64"/>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top/>
      <bottom style="thin">
        <color indexed="8"/>
      </bottom>
      <diagonal/>
    </border>
  </borders>
  <cellStyleXfs count="6">
    <xf numFmtId="0" fontId="0" fillId="0" borderId="0"/>
    <xf numFmtId="0" fontId="1" fillId="0" borderId="0"/>
    <xf numFmtId="0" fontId="16" fillId="0" borderId="0"/>
    <xf numFmtId="0" fontId="1" fillId="0" borderId="0"/>
    <xf numFmtId="171" fontId="51" fillId="0" borderId="0"/>
    <xf numFmtId="171" fontId="51" fillId="0" borderId="0"/>
  </cellStyleXfs>
  <cellXfs count="679">
    <xf numFmtId="0" fontId="0" fillId="0" borderId="0" xfId="0"/>
    <xf numFmtId="0" fontId="1" fillId="0" borderId="0" xfId="1"/>
    <xf numFmtId="164" fontId="2" fillId="0" borderId="0" xfId="1" applyNumberFormat="1" applyFont="1" applyAlignment="1">
      <alignment horizontal="center"/>
    </xf>
    <xf numFmtId="164" fontId="3" fillId="0" borderId="0" xfId="1" applyNumberFormat="1" applyFont="1" applyAlignment="1">
      <alignment horizontal="center"/>
    </xf>
    <xf numFmtId="164" fontId="3" fillId="0" borderId="0" xfId="1" quotePrefix="1" applyNumberFormat="1" applyFont="1" applyAlignment="1">
      <alignment horizontal="center"/>
    </xf>
    <xf numFmtId="164" fontId="2" fillId="0" borderId="1" xfId="1" applyNumberFormat="1" applyFont="1" applyBorder="1" applyAlignment="1">
      <alignment horizontal="center"/>
    </xf>
    <xf numFmtId="164" fontId="2" fillId="0" borderId="2" xfId="1" applyNumberFormat="1" applyFont="1" applyBorder="1" applyAlignment="1">
      <alignment horizontal="center"/>
    </xf>
    <xf numFmtId="164" fontId="2" fillId="0" borderId="3" xfId="1" applyNumberFormat="1" applyFont="1" applyBorder="1" applyAlignment="1">
      <alignment horizontal="center"/>
    </xf>
    <xf numFmtId="164" fontId="3" fillId="0" borderId="4" xfId="1" quotePrefix="1" applyNumberFormat="1" applyFont="1" applyBorder="1" applyAlignment="1">
      <alignment horizontal="center"/>
    </xf>
    <xf numFmtId="164" fontId="2" fillId="0" borderId="5" xfId="1" applyNumberFormat="1" applyFont="1" applyBorder="1" applyAlignment="1">
      <alignment horizontal="center"/>
    </xf>
    <xf numFmtId="164" fontId="2" fillId="0" borderId="6" xfId="1" applyNumberFormat="1" applyFont="1" applyBorder="1" applyAlignment="1">
      <alignment horizontal="center"/>
    </xf>
    <xf numFmtId="164" fontId="2" fillId="0" borderId="7" xfId="1" applyNumberFormat="1" applyFont="1" applyBorder="1" applyAlignment="1">
      <alignment horizontal="center"/>
    </xf>
    <xf numFmtId="164" fontId="3" fillId="0" borderId="8" xfId="1" quotePrefix="1" applyNumberFormat="1" applyFont="1" applyBorder="1" applyAlignment="1">
      <alignment horizontal="center"/>
    </xf>
    <xf numFmtId="164" fontId="2" fillId="0" borderId="9" xfId="1" applyNumberFormat="1" applyFont="1" applyBorder="1" applyAlignment="1">
      <alignment horizontal="center"/>
    </xf>
    <xf numFmtId="164" fontId="2" fillId="0" borderId="10" xfId="1" applyNumberFormat="1" applyFont="1" applyBorder="1" applyAlignment="1">
      <alignment horizontal="center"/>
    </xf>
    <xf numFmtId="164" fontId="2" fillId="0" borderId="11" xfId="1" applyNumberFormat="1" applyFont="1" applyBorder="1" applyAlignment="1">
      <alignment horizontal="center"/>
    </xf>
    <xf numFmtId="164" fontId="3" fillId="0" borderId="12" xfId="1" quotePrefix="1" applyNumberFormat="1" applyFont="1" applyBorder="1" applyAlignment="1">
      <alignment horizontal="center"/>
    </xf>
    <xf numFmtId="0" fontId="2" fillId="0" borderId="13" xfId="1" applyFont="1" applyBorder="1" applyAlignment="1">
      <alignment horizontal="center"/>
    </xf>
    <xf numFmtId="0" fontId="2" fillId="0" borderId="14" xfId="1" applyFont="1" applyBorder="1" applyAlignment="1">
      <alignment horizontal="center"/>
    </xf>
    <xf numFmtId="0" fontId="4" fillId="0" borderId="7" xfId="1" applyFont="1" applyBorder="1"/>
    <xf numFmtId="0" fontId="5" fillId="0" borderId="15" xfId="1" applyFont="1" applyBorder="1" applyAlignment="1">
      <alignment horizontal="right"/>
    </xf>
    <xf numFmtId="0" fontId="4" fillId="0" borderId="16" xfId="1" applyFont="1" applyBorder="1"/>
    <xf numFmtId="0" fontId="4" fillId="0" borderId="17" xfId="1" applyFont="1" applyBorder="1"/>
    <xf numFmtId="0" fontId="4" fillId="0" borderId="18" xfId="1" applyFont="1" applyBorder="1"/>
    <xf numFmtId="0" fontId="4" fillId="0" borderId="0" xfId="1" applyFont="1"/>
    <xf numFmtId="0" fontId="4" fillId="0" borderId="19" xfId="1" applyFont="1" applyBorder="1"/>
    <xf numFmtId="0" fontId="4" fillId="0" borderId="11" xfId="1" applyFont="1" applyBorder="1" applyAlignment="1">
      <alignment horizontal="center"/>
    </xf>
    <xf numFmtId="0" fontId="5" fillId="0" borderId="0" xfId="1" applyFont="1" applyAlignment="1">
      <alignment horizontal="right"/>
    </xf>
    <xf numFmtId="0" fontId="5" fillId="0" borderId="19" xfId="1" applyFont="1" applyBorder="1" applyAlignment="1">
      <alignment horizontal="right"/>
    </xf>
    <xf numFmtId="0" fontId="6" fillId="0" borderId="0" xfId="1" applyFont="1"/>
    <xf numFmtId="0" fontId="4" fillId="0" borderId="0" xfId="1" applyFont="1" applyAlignment="1">
      <alignment horizontal="center"/>
    </xf>
    <xf numFmtId="9" fontId="4" fillId="0" borderId="0" xfId="1" applyNumberFormat="1" applyFont="1" applyAlignment="1">
      <alignment horizontal="center"/>
    </xf>
    <xf numFmtId="0" fontId="4" fillId="0" borderId="6" xfId="1" applyFont="1" applyBorder="1" applyAlignment="1">
      <alignment horizontal="center"/>
    </xf>
    <xf numFmtId="0" fontId="5" fillId="0" borderId="6" xfId="1" applyFont="1" applyBorder="1" applyAlignment="1">
      <alignment horizontal="right"/>
    </xf>
    <xf numFmtId="14" fontId="4" fillId="0" borderId="6" xfId="1" applyNumberFormat="1" applyFont="1" applyBorder="1" applyAlignment="1">
      <alignment horizontal="center"/>
    </xf>
    <xf numFmtId="0" fontId="4" fillId="0" borderId="18" xfId="1" applyFont="1" applyBorder="1" applyAlignment="1">
      <alignment horizontal="centerContinuous"/>
    </xf>
    <xf numFmtId="0" fontId="4" fillId="0" borderId="0" xfId="1" applyFont="1" applyAlignment="1">
      <alignment horizontal="centerContinuous"/>
    </xf>
    <xf numFmtId="0" fontId="8" fillId="0" borderId="19" xfId="1" applyFont="1" applyBorder="1" applyAlignment="1">
      <alignment horizontal="centerContinuous"/>
    </xf>
    <xf numFmtId="0" fontId="9" fillId="0" borderId="19" xfId="1" applyFont="1" applyBorder="1" applyAlignment="1">
      <alignment horizontal="centerContinuous"/>
    </xf>
    <xf numFmtId="0" fontId="4" fillId="0" borderId="21" xfId="1" applyFont="1" applyBorder="1"/>
    <xf numFmtId="0" fontId="4" fillId="0" borderId="22" xfId="1" applyFont="1" applyBorder="1"/>
    <xf numFmtId="0" fontId="4" fillId="0" borderId="23" xfId="1" applyFont="1" applyBorder="1"/>
    <xf numFmtId="0" fontId="10" fillId="0" borderId="0" xfId="1" applyFont="1" applyAlignment="1">
      <alignment horizontal="centerContinuous"/>
    </xf>
    <xf numFmtId="0" fontId="1" fillId="0" borderId="0" xfId="1" applyAlignment="1">
      <alignment horizontal="centerContinuous"/>
    </xf>
    <xf numFmtId="0" fontId="3" fillId="0" borderId="0" xfId="1" applyFont="1" applyAlignment="1">
      <alignment horizontal="centerContinuous"/>
    </xf>
    <xf numFmtId="0" fontId="11" fillId="0" borderId="0" xfId="1" applyFont="1" applyAlignment="1">
      <alignment horizontal="center"/>
    </xf>
    <xf numFmtId="0" fontId="3" fillId="0" borderId="0" xfId="1" applyFont="1" applyAlignment="1">
      <alignment horizontal="right"/>
    </xf>
    <xf numFmtId="0" fontId="3" fillId="0" borderId="0" xfId="1" applyFont="1"/>
    <xf numFmtId="0" fontId="2" fillId="0" borderId="0" xfId="1" applyFont="1"/>
    <xf numFmtId="14" fontId="3" fillId="0" borderId="0" xfId="1" applyNumberFormat="1" applyFont="1" applyAlignment="1">
      <alignment horizontal="center"/>
    </xf>
    <xf numFmtId="19" fontId="3" fillId="0" borderId="0" xfId="1" applyNumberFormat="1" applyFont="1"/>
    <xf numFmtId="0" fontId="12" fillId="0" borderId="24" xfId="1" applyFont="1" applyBorder="1" applyAlignment="1">
      <alignment horizontal="center"/>
    </xf>
    <xf numFmtId="0" fontId="2" fillId="0" borderId="4" xfId="1" applyFont="1" applyBorder="1" applyAlignment="1">
      <alignment horizontal="center"/>
    </xf>
    <xf numFmtId="2" fontId="2" fillId="0" borderId="4" xfId="1" applyNumberFormat="1" applyFont="1" applyBorder="1" applyAlignment="1">
      <alignment horizontal="center"/>
    </xf>
    <xf numFmtId="1" fontId="2" fillId="0" borderId="4" xfId="1" applyNumberFormat="1" applyFont="1" applyBorder="1" applyAlignment="1">
      <alignment horizontal="center"/>
    </xf>
    <xf numFmtId="164" fontId="2" fillId="0" borderId="4" xfId="1" applyNumberFormat="1" applyFont="1" applyBorder="1" applyAlignment="1">
      <alignment horizontal="center"/>
    </xf>
    <xf numFmtId="165" fontId="2" fillId="0" borderId="4" xfId="1" applyNumberFormat="1" applyFont="1" applyBorder="1" applyAlignment="1">
      <alignment horizontal="center"/>
    </xf>
    <xf numFmtId="0" fontId="12" fillId="0" borderId="25" xfId="1" applyFont="1" applyBorder="1"/>
    <xf numFmtId="0" fontId="3" fillId="0" borderId="26" xfId="1" applyFont="1" applyBorder="1" applyAlignment="1">
      <alignment horizontal="center"/>
    </xf>
    <xf numFmtId="0" fontId="3" fillId="0" borderId="27" xfId="1" applyFont="1" applyBorder="1" applyAlignment="1">
      <alignment horizontal="center"/>
    </xf>
    <xf numFmtId="0" fontId="12" fillId="0" borderId="25" xfId="1" applyFont="1" applyBorder="1" applyAlignment="1">
      <alignment horizontal="left"/>
    </xf>
    <xf numFmtId="0" fontId="2" fillId="0" borderId="26" xfId="1" applyFont="1" applyBorder="1"/>
    <xf numFmtId="0" fontId="2" fillId="0" borderId="28" xfId="1" applyFont="1" applyBorder="1"/>
    <xf numFmtId="0" fontId="2" fillId="0" borderId="29" xfId="1" applyFont="1" applyBorder="1"/>
    <xf numFmtId="0" fontId="12" fillId="0" borderId="0" xfId="1" applyFont="1"/>
    <xf numFmtId="0" fontId="2" fillId="0" borderId="0" xfId="1" applyFont="1" applyAlignment="1">
      <alignment horizontal="centerContinuous"/>
    </xf>
    <xf numFmtId="0" fontId="2" fillId="0" borderId="27" xfId="1" applyFont="1" applyBorder="1" applyAlignment="1">
      <alignment horizontal="centerContinuous"/>
    </xf>
    <xf numFmtId="0" fontId="1" fillId="0" borderId="30" xfId="1" applyBorder="1"/>
    <xf numFmtId="0" fontId="3" fillId="0" borderId="6" xfId="1" applyFont="1" applyBorder="1" applyAlignment="1">
      <alignment horizontal="center"/>
    </xf>
    <xf numFmtId="0" fontId="3" fillId="0" borderId="5" xfId="1" applyFont="1" applyBorder="1" applyAlignment="1">
      <alignment horizontal="center"/>
    </xf>
    <xf numFmtId="0" fontId="3" fillId="0" borderId="31" xfId="1" applyFont="1" applyBorder="1" applyAlignment="1">
      <alignment horizontal="right"/>
    </xf>
    <xf numFmtId="165" fontId="2" fillId="0" borderId="6" xfId="1" applyNumberFormat="1" applyFont="1" applyBorder="1" applyAlignment="1">
      <alignment horizontal="center"/>
    </xf>
    <xf numFmtId="0" fontId="3" fillId="0" borderId="14" xfId="1" applyFont="1" applyBorder="1" applyAlignment="1">
      <alignment horizontal="center"/>
    </xf>
    <xf numFmtId="0" fontId="3" fillId="0" borderId="31" xfId="1" applyFont="1" applyBorder="1"/>
    <xf numFmtId="2" fontId="2" fillId="0" borderId="6" xfId="1" applyNumberFormat="1" applyFont="1" applyBorder="1" applyAlignment="1">
      <alignment horizontal="center"/>
    </xf>
    <xf numFmtId="0" fontId="2" fillId="0" borderId="5" xfId="1" applyFont="1" applyBorder="1" applyAlignment="1">
      <alignment horizontal="center"/>
    </xf>
    <xf numFmtId="0" fontId="2" fillId="0" borderId="6" xfId="1" applyFont="1" applyBorder="1" applyAlignment="1">
      <alignment horizontal="center"/>
    </xf>
    <xf numFmtId="0" fontId="3" fillId="0" borderId="32" xfId="1" applyFont="1" applyBorder="1" applyAlignment="1">
      <alignment horizontal="center"/>
    </xf>
    <xf numFmtId="0" fontId="2" fillId="0" borderId="0" xfId="1" applyFont="1" applyAlignment="1">
      <alignment horizontal="center"/>
    </xf>
    <xf numFmtId="0" fontId="3" fillId="0" borderId="15" xfId="1" applyFont="1" applyBorder="1" applyAlignment="1">
      <alignment horizontal="centerContinuous"/>
    </xf>
    <xf numFmtId="0" fontId="2" fillId="0" borderId="33" xfId="1" applyFont="1" applyBorder="1" applyAlignment="1">
      <alignment horizontal="centerContinuous"/>
    </xf>
    <xf numFmtId="164" fontId="2" fillId="0" borderId="34" xfId="1" applyNumberFormat="1" applyFont="1" applyBorder="1" applyAlignment="1">
      <alignment horizontal="center"/>
    </xf>
    <xf numFmtId="2" fontId="2" fillId="0" borderId="5" xfId="1" applyNumberFormat="1" applyFont="1" applyBorder="1" applyAlignment="1">
      <alignment horizontal="center"/>
    </xf>
    <xf numFmtId="0" fontId="2" fillId="0" borderId="35" xfId="1" applyFont="1" applyBorder="1" applyAlignment="1">
      <alignment horizontal="left"/>
    </xf>
    <xf numFmtId="0" fontId="2" fillId="0" borderId="36" xfId="1" applyFont="1" applyBorder="1" applyAlignment="1">
      <alignment horizontal="left"/>
    </xf>
    <xf numFmtId="0" fontId="2" fillId="0" borderId="10" xfId="1" applyFont="1" applyBorder="1" applyAlignment="1">
      <alignment horizontal="left"/>
    </xf>
    <xf numFmtId="0" fontId="2" fillId="0" borderId="37" xfId="1" applyFont="1" applyBorder="1" applyAlignment="1">
      <alignment horizontal="left"/>
    </xf>
    <xf numFmtId="0" fontId="2" fillId="0" borderId="6" xfId="1" applyFont="1" applyBorder="1" applyAlignment="1">
      <alignment horizontal="left"/>
    </xf>
    <xf numFmtId="0" fontId="2" fillId="0" borderId="5" xfId="1" applyFont="1" applyBorder="1" applyAlignment="1">
      <alignment horizontal="left"/>
    </xf>
    <xf numFmtId="2" fontId="2" fillId="0" borderId="39" xfId="1" applyNumberFormat="1" applyFont="1" applyBorder="1" applyAlignment="1">
      <alignment horizontal="center"/>
    </xf>
    <xf numFmtId="2" fontId="2" fillId="0" borderId="40" xfId="1" applyNumberFormat="1" applyFont="1" applyBorder="1" applyAlignment="1">
      <alignment horizontal="center"/>
    </xf>
    <xf numFmtId="0" fontId="12" fillId="0" borderId="41" xfId="1" applyFont="1" applyBorder="1"/>
    <xf numFmtId="164" fontId="2" fillId="0" borderId="28" xfId="1" applyNumberFormat="1" applyFont="1" applyBorder="1" applyAlignment="1">
      <alignment horizontal="center"/>
    </xf>
    <xf numFmtId="164" fontId="2" fillId="0" borderId="29" xfId="1" applyNumberFormat="1" applyFont="1" applyBorder="1" applyAlignment="1">
      <alignment horizontal="center"/>
    </xf>
    <xf numFmtId="0" fontId="3" fillId="0" borderId="42" xfId="1" applyFont="1" applyBorder="1" applyAlignment="1">
      <alignment horizontal="center"/>
    </xf>
    <xf numFmtId="164" fontId="13" fillId="0" borderId="6" xfId="1" applyNumberFormat="1" applyFont="1" applyBorder="1" applyAlignment="1">
      <alignment horizontal="center"/>
    </xf>
    <xf numFmtId="0" fontId="12" fillId="0" borderId="28" xfId="1" applyFont="1" applyBorder="1" applyAlignment="1">
      <alignment horizontal="centerContinuous"/>
    </xf>
    <xf numFmtId="0" fontId="12" fillId="0" borderId="29" xfId="1" applyFont="1" applyBorder="1" applyAlignment="1">
      <alignment horizontal="centerContinuous"/>
    </xf>
    <xf numFmtId="0" fontId="1" fillId="0" borderId="31" xfId="1" applyBorder="1"/>
    <xf numFmtId="0" fontId="3" fillId="0" borderId="5" xfId="1" applyFont="1" applyBorder="1" applyAlignment="1">
      <alignment horizontal="centerContinuous"/>
    </xf>
    <xf numFmtId="167" fontId="2" fillId="0" borderId="6" xfId="1" applyNumberFormat="1" applyFont="1" applyBorder="1" applyAlignment="1">
      <alignment horizontal="center"/>
    </xf>
    <xf numFmtId="165" fontId="2" fillId="0" borderId="5" xfId="1" applyNumberFormat="1" applyFont="1" applyBorder="1" applyAlignment="1">
      <alignment horizontal="center"/>
    </xf>
    <xf numFmtId="167" fontId="2" fillId="0" borderId="5" xfId="1" applyNumberFormat="1" applyFont="1" applyBorder="1" applyAlignment="1">
      <alignment horizontal="center"/>
    </xf>
    <xf numFmtId="0" fontId="3" fillId="0" borderId="30" xfId="1" applyFont="1" applyBorder="1"/>
    <xf numFmtId="0" fontId="2" fillId="0" borderId="36" xfId="1" applyFont="1" applyBorder="1" applyAlignment="1">
      <alignment horizontal="center"/>
    </xf>
    <xf numFmtId="0" fontId="3" fillId="0" borderId="43" xfId="1" applyFont="1" applyBorder="1" applyAlignment="1">
      <alignment horizontal="right"/>
    </xf>
    <xf numFmtId="2" fontId="2" fillId="0" borderId="2" xfId="1" applyNumberFormat="1" applyFont="1" applyBorder="1" applyAlignment="1">
      <alignment horizontal="center"/>
    </xf>
    <xf numFmtId="2" fontId="2" fillId="0" borderId="1" xfId="1" applyNumberFormat="1" applyFont="1" applyBorder="1" applyAlignment="1">
      <alignment horizontal="center"/>
    </xf>
    <xf numFmtId="165" fontId="2" fillId="0" borderId="2" xfId="1" applyNumberFormat="1" applyFont="1" applyBorder="1" applyAlignment="1">
      <alignment horizontal="center"/>
    </xf>
    <xf numFmtId="165" fontId="2" fillId="0" borderId="1" xfId="1" applyNumberFormat="1" applyFont="1" applyBorder="1" applyAlignment="1">
      <alignment horizontal="center"/>
    </xf>
    <xf numFmtId="0" fontId="2" fillId="0" borderId="36" xfId="1" applyFont="1" applyBorder="1"/>
    <xf numFmtId="0" fontId="3" fillId="0" borderId="28" xfId="1" applyFont="1" applyBorder="1" applyAlignment="1">
      <alignment horizontal="centerContinuous"/>
    </xf>
    <xf numFmtId="0" fontId="2" fillId="0" borderId="28" xfId="1" applyFont="1" applyBorder="1" applyAlignment="1">
      <alignment horizontal="centerContinuous"/>
    </xf>
    <xf numFmtId="0" fontId="12" fillId="0" borderId="44" xfId="1" applyFont="1" applyBorder="1"/>
    <xf numFmtId="0" fontId="2" fillId="0" borderId="31" xfId="1" applyFont="1" applyBorder="1"/>
    <xf numFmtId="0" fontId="2" fillId="0" borderId="15" xfId="1" applyFont="1" applyBorder="1" applyAlignment="1">
      <alignment horizontal="right"/>
    </xf>
    <xf numFmtId="2" fontId="2" fillId="0" borderId="33" xfId="1" applyNumberFormat="1" applyFont="1" applyBorder="1" applyAlignment="1">
      <alignment horizontal="center"/>
    </xf>
    <xf numFmtId="0" fontId="2" fillId="0" borderId="43" xfId="1" applyFont="1" applyBorder="1"/>
    <xf numFmtId="0" fontId="2" fillId="0" borderId="45" xfId="1" applyFont="1" applyBorder="1" applyAlignment="1">
      <alignment horizontal="right"/>
    </xf>
    <xf numFmtId="2" fontId="2" fillId="0" borderId="46" xfId="1" applyNumberFormat="1" applyFont="1" applyBorder="1" applyAlignment="1">
      <alignment horizontal="center"/>
    </xf>
    <xf numFmtId="0" fontId="1" fillId="0" borderId="26" xfId="1" applyBorder="1"/>
    <xf numFmtId="0" fontId="2" fillId="0" borderId="27" xfId="1" applyFont="1" applyBorder="1"/>
    <xf numFmtId="0" fontId="2" fillId="0" borderId="33" xfId="1" applyFont="1" applyBorder="1" applyAlignment="1">
      <alignment horizontal="center"/>
    </xf>
    <xf numFmtId="0" fontId="3" fillId="0" borderId="6" xfId="1" applyFont="1" applyBorder="1" applyAlignment="1">
      <alignment horizontal="right"/>
    </xf>
    <xf numFmtId="0" fontId="3" fillId="0" borderId="0" xfId="1" applyFont="1" applyAlignment="1">
      <alignment horizontal="center"/>
    </xf>
    <xf numFmtId="0" fontId="3" fillId="0" borderId="43" xfId="1" applyFont="1" applyBorder="1"/>
    <xf numFmtId="0" fontId="2" fillId="0" borderId="28" xfId="1" applyFont="1" applyBorder="1" applyAlignment="1">
      <alignment horizontal="right"/>
    </xf>
    <xf numFmtId="49" fontId="2" fillId="0" borderId="28" xfId="1" applyNumberFormat="1" applyFont="1" applyBorder="1" applyAlignment="1">
      <alignment horizontal="center"/>
    </xf>
    <xf numFmtId="0" fontId="3" fillId="0" borderId="47" xfId="1" applyFont="1" applyBorder="1" applyAlignment="1">
      <alignment horizontal="right"/>
    </xf>
    <xf numFmtId="164" fontId="2" fillId="0" borderId="48" xfId="1" applyNumberFormat="1" applyFont="1" applyBorder="1" applyAlignment="1">
      <alignment horizontal="center"/>
    </xf>
    <xf numFmtId="0" fontId="3" fillId="0" borderId="49" xfId="1" applyFont="1" applyBorder="1" applyAlignment="1">
      <alignment horizontal="right"/>
    </xf>
    <xf numFmtId="164" fontId="2" fillId="0" borderId="50" xfId="1" applyNumberFormat="1" applyFont="1" applyBorder="1" applyAlignment="1">
      <alignment horizontal="center"/>
    </xf>
    <xf numFmtId="0" fontId="3" fillId="0" borderId="51" xfId="1" applyFont="1" applyBorder="1" applyAlignment="1">
      <alignment horizontal="center"/>
    </xf>
    <xf numFmtId="0" fontId="3" fillId="0" borderId="48" xfId="1" applyFont="1" applyBorder="1" applyAlignment="1">
      <alignment horizontal="center"/>
    </xf>
    <xf numFmtId="0" fontId="3" fillId="0" borderId="52" xfId="1" applyFont="1" applyBorder="1" applyAlignment="1">
      <alignment horizontal="right"/>
    </xf>
    <xf numFmtId="164" fontId="2" fillId="0" borderId="21" xfId="1" applyNumberFormat="1" applyFont="1" applyBorder="1" applyAlignment="1">
      <alignment horizontal="center"/>
    </xf>
    <xf numFmtId="0" fontId="2" fillId="0" borderId="53" xfId="1" applyFont="1" applyBorder="1" applyAlignment="1">
      <alignment horizontal="center"/>
    </xf>
    <xf numFmtId="0" fontId="2" fillId="0" borderId="54" xfId="1" applyFont="1" applyBorder="1" applyAlignment="1">
      <alignment horizontal="center"/>
    </xf>
    <xf numFmtId="0" fontId="3" fillId="0" borderId="55" xfId="1" applyFont="1" applyBorder="1" applyAlignment="1">
      <alignment horizontal="right"/>
    </xf>
    <xf numFmtId="0" fontId="2" fillId="0" borderId="10" xfId="1" applyFont="1" applyBorder="1" applyAlignment="1">
      <alignment horizontal="center"/>
    </xf>
    <xf numFmtId="0" fontId="2" fillId="0" borderId="37" xfId="1" applyFont="1" applyBorder="1" applyAlignment="1">
      <alignment horizontal="center"/>
    </xf>
    <xf numFmtId="2" fontId="2" fillId="0" borderId="54" xfId="1" applyNumberFormat="1" applyFont="1" applyBorder="1" applyAlignment="1">
      <alignment horizontal="center"/>
    </xf>
    <xf numFmtId="0" fontId="12" fillId="0" borderId="47" xfId="1" applyFont="1" applyBorder="1"/>
    <xf numFmtId="0" fontId="2" fillId="0" borderId="56" xfId="1" applyFont="1" applyBorder="1"/>
    <xf numFmtId="0" fontId="2" fillId="0" borderId="48" xfId="1" applyFont="1" applyBorder="1"/>
    <xf numFmtId="164" fontId="2" fillId="0" borderId="53" xfId="1" applyNumberFormat="1" applyFont="1" applyBorder="1" applyAlignment="1">
      <alignment horizontal="center"/>
    </xf>
    <xf numFmtId="165" fontId="2" fillId="0" borderId="53" xfId="1" applyNumberFormat="1" applyFont="1" applyBorder="1" applyAlignment="1">
      <alignment horizontal="center"/>
    </xf>
    <xf numFmtId="0" fontId="3" fillId="0" borderId="57" xfId="1" applyFont="1" applyBorder="1" applyAlignment="1">
      <alignment horizontal="right"/>
    </xf>
    <xf numFmtId="164" fontId="2" fillId="0" borderId="35" xfId="1" applyNumberFormat="1" applyFont="1" applyBorder="1" applyAlignment="1">
      <alignment horizontal="center"/>
    </xf>
    <xf numFmtId="0" fontId="2" fillId="0" borderId="35" xfId="1" applyFont="1" applyBorder="1" applyAlignment="1">
      <alignment horizontal="center"/>
    </xf>
    <xf numFmtId="1" fontId="2" fillId="0" borderId="10" xfId="1" applyNumberFormat="1" applyFont="1" applyBorder="1" applyAlignment="1">
      <alignment horizontal="center"/>
    </xf>
    <xf numFmtId="0" fontId="3" fillId="0" borderId="53" xfId="1" applyFont="1" applyBorder="1" applyAlignment="1">
      <alignment horizontal="right"/>
    </xf>
    <xf numFmtId="2" fontId="2" fillId="0" borderId="36" xfId="1" applyNumberFormat="1" applyFont="1" applyBorder="1" applyAlignment="1">
      <alignment horizontal="center"/>
    </xf>
    <xf numFmtId="0" fontId="3" fillId="0" borderId="35" xfId="1" applyFont="1" applyBorder="1" applyAlignment="1">
      <alignment horizontal="right"/>
    </xf>
    <xf numFmtId="0" fontId="2" fillId="0" borderId="2" xfId="1" applyFont="1" applyBorder="1" applyAlignment="1">
      <alignment horizontal="center"/>
    </xf>
    <xf numFmtId="0" fontId="3" fillId="0" borderId="10" xfId="1" applyFont="1" applyBorder="1" applyAlignment="1">
      <alignment horizontal="right"/>
    </xf>
    <xf numFmtId="0" fontId="2" fillId="0" borderId="40" xfId="1" applyFont="1" applyBorder="1" applyAlignment="1">
      <alignment horizontal="center"/>
    </xf>
    <xf numFmtId="0" fontId="3" fillId="0" borderId="0" xfId="1" applyFont="1" applyAlignment="1">
      <alignment horizontal="left"/>
    </xf>
    <xf numFmtId="2" fontId="2" fillId="0" borderId="16" xfId="1" applyNumberFormat="1" applyFont="1" applyBorder="1" applyAlignment="1">
      <alignment horizontal="centerContinuous"/>
    </xf>
    <xf numFmtId="0" fontId="2" fillId="0" borderId="37" xfId="1" applyFont="1" applyBorder="1" applyAlignment="1">
      <alignment horizontal="centerContinuous"/>
    </xf>
    <xf numFmtId="0" fontId="2" fillId="0" borderId="16" xfId="1" applyFont="1" applyBorder="1" applyAlignment="1">
      <alignment horizontal="center"/>
    </xf>
    <xf numFmtId="0" fontId="3" fillId="0" borderId="2" xfId="1" applyFont="1" applyBorder="1" applyAlignment="1">
      <alignment horizontal="right"/>
    </xf>
    <xf numFmtId="0" fontId="2" fillId="0" borderId="58" xfId="1" applyFont="1" applyBorder="1" applyAlignment="1">
      <alignment horizontal="center"/>
    </xf>
    <xf numFmtId="0" fontId="15" fillId="0" borderId="25" xfId="1" applyFont="1" applyBorder="1"/>
    <xf numFmtId="0" fontId="15" fillId="0" borderId="26" xfId="1" applyFont="1" applyBorder="1"/>
    <xf numFmtId="0" fontId="15" fillId="0" borderId="27" xfId="1" applyFont="1" applyBorder="1"/>
    <xf numFmtId="0" fontId="3" fillId="0" borderId="31" xfId="1" applyFont="1" applyBorder="1" applyAlignment="1">
      <alignment horizontal="center"/>
    </xf>
    <xf numFmtId="0" fontId="15" fillId="0" borderId="30" xfId="1" applyFont="1" applyBorder="1"/>
    <xf numFmtId="0" fontId="15" fillId="0" borderId="0" xfId="1" applyFont="1"/>
    <xf numFmtId="0" fontId="15" fillId="0" borderId="36" xfId="1" applyFont="1" applyBorder="1"/>
    <xf numFmtId="2" fontId="3" fillId="0" borderId="57" xfId="1" quotePrefix="1" applyNumberFormat="1" applyFont="1" applyBorder="1" applyAlignment="1">
      <alignment horizontal="center"/>
    </xf>
    <xf numFmtId="164" fontId="2" fillId="0" borderId="59" xfId="1" applyNumberFormat="1" applyFont="1" applyBorder="1" applyAlignment="1">
      <alignment horizontal="center"/>
    </xf>
    <xf numFmtId="2" fontId="3" fillId="0" borderId="35" xfId="1" quotePrefix="1" applyNumberFormat="1" applyFont="1" applyBorder="1" applyAlignment="1">
      <alignment horizontal="center"/>
    </xf>
    <xf numFmtId="165" fontId="3" fillId="0" borderId="57" xfId="1" quotePrefix="1" applyNumberFormat="1" applyFont="1" applyBorder="1" applyAlignment="1">
      <alignment horizontal="center"/>
    </xf>
    <xf numFmtId="2" fontId="3" fillId="0" borderId="35" xfId="1" applyNumberFormat="1" applyFont="1" applyBorder="1" applyAlignment="1">
      <alignment horizontal="center"/>
    </xf>
    <xf numFmtId="2" fontId="3" fillId="0" borderId="60" xfId="1" applyNumberFormat="1" applyFont="1" applyBorder="1" applyAlignment="1">
      <alignment horizontal="center"/>
    </xf>
    <xf numFmtId="164" fontId="2" fillId="0" borderId="60" xfId="1" applyNumberFormat="1" applyFont="1" applyBorder="1" applyAlignment="1">
      <alignment horizontal="center"/>
    </xf>
    <xf numFmtId="2" fontId="3" fillId="0" borderId="38" xfId="1" quotePrefix="1" applyNumberFormat="1" applyFont="1" applyBorder="1" applyAlignment="1">
      <alignment horizontal="center"/>
    </xf>
    <xf numFmtId="164" fontId="2" fillId="0" borderId="62" xfId="1" applyNumberFormat="1" applyFont="1" applyBorder="1" applyAlignment="1">
      <alignment horizontal="center"/>
    </xf>
    <xf numFmtId="0" fontId="15" fillId="0" borderId="63" xfId="1" applyFont="1" applyBorder="1"/>
    <xf numFmtId="0" fontId="15" fillId="0" borderId="58" xfId="1" applyFont="1" applyBorder="1"/>
    <xf numFmtId="0" fontId="15" fillId="0" borderId="40" xfId="1" applyFont="1" applyBorder="1"/>
    <xf numFmtId="0" fontId="18" fillId="0" borderId="0" xfId="2" applyFont="1"/>
    <xf numFmtId="0" fontId="19" fillId="0" borderId="0" xfId="2" applyFont="1"/>
    <xf numFmtId="0" fontId="21" fillId="2" borderId="0" xfId="2" applyFont="1" applyFill="1" applyAlignment="1">
      <alignment horizontal="right"/>
    </xf>
    <xf numFmtId="0" fontId="22" fillId="2" borderId="0" xfId="2" applyFont="1" applyFill="1"/>
    <xf numFmtId="0" fontId="23" fillId="2" borderId="0" xfId="2" applyFont="1" applyFill="1"/>
    <xf numFmtId="0" fontId="20" fillId="2" borderId="0" xfId="2" applyFont="1" applyFill="1" applyAlignment="1">
      <alignment horizontal="center"/>
    </xf>
    <xf numFmtId="0" fontId="24" fillId="0" borderId="64" xfId="2" applyFont="1" applyBorder="1" applyAlignment="1">
      <alignment horizontal="left" vertical="center"/>
    </xf>
    <xf numFmtId="0" fontId="24" fillId="0" borderId="65" xfId="2" applyFont="1" applyBorder="1" applyAlignment="1">
      <alignment vertical="center"/>
    </xf>
    <xf numFmtId="0" fontId="16" fillId="0" borderId="65" xfId="2" applyBorder="1"/>
    <xf numFmtId="0" fontId="24" fillId="0" borderId="13" xfId="2" applyFont="1" applyBorder="1" applyAlignment="1">
      <alignment horizontal="right" vertical="center"/>
    </xf>
    <xf numFmtId="0" fontId="25" fillId="0" borderId="0" xfId="2" applyFont="1"/>
    <xf numFmtId="0" fontId="26" fillId="0" borderId="64" xfId="2" applyFont="1" applyBorder="1"/>
    <xf numFmtId="0" fontId="25" fillId="0" borderId="13" xfId="2" applyFont="1" applyBorder="1"/>
    <xf numFmtId="0" fontId="26" fillId="0" borderId="13" xfId="2" applyFont="1" applyBorder="1"/>
    <xf numFmtId="0" fontId="27" fillId="0" borderId="0" xfId="2" applyFont="1"/>
    <xf numFmtId="0" fontId="28" fillId="2" borderId="26" xfId="2" applyFont="1" applyFill="1" applyBorder="1" applyAlignment="1">
      <alignment horizontal="center"/>
    </xf>
    <xf numFmtId="0" fontId="28" fillId="2" borderId="66" xfId="2" applyFont="1" applyFill="1" applyBorder="1" applyAlignment="1">
      <alignment horizontal="center"/>
    </xf>
    <xf numFmtId="0" fontId="28" fillId="2" borderId="0" xfId="2" quotePrefix="1" applyFont="1" applyFill="1" applyAlignment="1">
      <alignment horizontal="left"/>
    </xf>
    <xf numFmtId="0" fontId="29" fillId="2" borderId="67" xfId="2" applyFont="1" applyFill="1" applyBorder="1" applyAlignment="1">
      <alignment horizontal="right"/>
    </xf>
    <xf numFmtId="0" fontId="28" fillId="2" borderId="68" xfId="2" applyFont="1" applyFill="1" applyBorder="1" applyAlignment="1">
      <alignment horizontal="center"/>
    </xf>
    <xf numFmtId="0" fontId="28" fillId="2" borderId="36" xfId="2" applyFont="1" applyFill="1" applyBorder="1" applyAlignment="1">
      <alignment horizontal="center"/>
    </xf>
    <xf numFmtId="0" fontId="26" fillId="0" borderId="30" xfId="2" applyFont="1" applyBorder="1"/>
    <xf numFmtId="0" fontId="25" fillId="0" borderId="36" xfId="2" applyFont="1" applyBorder="1"/>
    <xf numFmtId="0" fontId="26" fillId="0" borderId="36" xfId="2" applyFont="1" applyBorder="1"/>
    <xf numFmtId="0" fontId="30" fillId="2" borderId="76" xfId="2" applyFont="1" applyFill="1" applyBorder="1"/>
    <xf numFmtId="0" fontId="30" fillId="2" borderId="77" xfId="2" applyFont="1" applyFill="1" applyBorder="1"/>
    <xf numFmtId="0" fontId="33" fillId="2" borderId="77" xfId="2" applyFont="1" applyFill="1" applyBorder="1"/>
    <xf numFmtId="0" fontId="33" fillId="2" borderId="78" xfId="2" applyFont="1" applyFill="1" applyBorder="1"/>
    <xf numFmtId="164" fontId="32" fillId="2" borderId="73" xfId="2" applyNumberFormat="1" applyFont="1" applyFill="1" applyBorder="1" applyAlignment="1">
      <alignment horizontal="center"/>
    </xf>
    <xf numFmtId="0" fontId="32" fillId="2" borderId="79" xfId="2" applyFont="1" applyFill="1" applyBorder="1" applyAlignment="1">
      <alignment horizontal="center"/>
    </xf>
    <xf numFmtId="0" fontId="30" fillId="2" borderId="80" xfId="2" applyFont="1" applyFill="1" applyBorder="1"/>
    <xf numFmtId="0" fontId="30" fillId="2" borderId="81" xfId="2" applyFont="1" applyFill="1" applyBorder="1"/>
    <xf numFmtId="0" fontId="33" fillId="2" borderId="81" xfId="2" applyFont="1" applyFill="1" applyBorder="1"/>
    <xf numFmtId="0" fontId="33" fillId="2" borderId="82" xfId="2" applyFont="1" applyFill="1" applyBorder="1"/>
    <xf numFmtId="1" fontId="32" fillId="2" borderId="73" xfId="2" applyNumberFormat="1" applyFont="1" applyFill="1" applyBorder="1" applyAlignment="1">
      <alignment horizontal="center"/>
    </xf>
    <xf numFmtId="0" fontId="32" fillId="2" borderId="83" xfId="2" applyFont="1" applyFill="1" applyBorder="1" applyAlignment="1">
      <alignment horizontal="center"/>
    </xf>
    <xf numFmtId="0" fontId="34" fillId="2" borderId="77" xfId="2" applyFont="1" applyFill="1" applyBorder="1"/>
    <xf numFmtId="0" fontId="35" fillId="2" borderId="78" xfId="2" applyFont="1" applyFill="1" applyBorder="1" applyAlignment="1">
      <alignment horizontal="left"/>
    </xf>
    <xf numFmtId="0" fontId="32" fillId="2" borderId="73" xfId="2" applyFont="1" applyFill="1" applyBorder="1" applyAlignment="1">
      <alignment horizontal="center"/>
    </xf>
    <xf numFmtId="0" fontId="26" fillId="0" borderId="63" xfId="2" applyFont="1" applyBorder="1"/>
    <xf numFmtId="0" fontId="26" fillId="0" borderId="40" xfId="2" applyFont="1" applyBorder="1"/>
    <xf numFmtId="0" fontId="30" fillId="2" borderId="85" xfId="2" applyFont="1" applyFill="1" applyBorder="1"/>
    <xf numFmtId="0" fontId="30" fillId="2" borderId="86" xfId="2" applyFont="1" applyFill="1" applyBorder="1"/>
    <xf numFmtId="0" fontId="34" fillId="2" borderId="86" xfId="2" applyFont="1" applyFill="1" applyBorder="1"/>
    <xf numFmtId="0" fontId="32" fillId="2" borderId="87" xfId="2" applyFont="1" applyFill="1" applyBorder="1" applyAlignment="1">
      <alignment horizontal="center"/>
    </xf>
    <xf numFmtId="0" fontId="32" fillId="2" borderId="88" xfId="2" applyFont="1" applyFill="1" applyBorder="1" applyAlignment="1">
      <alignment horizontal="center"/>
    </xf>
    <xf numFmtId="0" fontId="25" fillId="0" borderId="40" xfId="2" applyFont="1" applyBorder="1"/>
    <xf numFmtId="0" fontId="30" fillId="2" borderId="72" xfId="2" quotePrefix="1" applyFont="1" applyFill="1" applyBorder="1" applyAlignment="1">
      <alignment horizontal="left"/>
    </xf>
    <xf numFmtId="0" fontId="27" fillId="0" borderId="78" xfId="2" applyFont="1" applyBorder="1"/>
    <xf numFmtId="0" fontId="30" fillId="2" borderId="19" xfId="2" quotePrefix="1" applyFont="1" applyFill="1" applyBorder="1" applyAlignment="1">
      <alignment horizontal="left"/>
    </xf>
    <xf numFmtId="0" fontId="30" fillId="2" borderId="70" xfId="2" applyFont="1" applyFill="1" applyBorder="1"/>
    <xf numFmtId="0" fontId="33" fillId="2" borderId="70" xfId="2" applyFont="1" applyFill="1" applyBorder="1"/>
    <xf numFmtId="0" fontId="37" fillId="2" borderId="70" xfId="2" applyFont="1" applyFill="1" applyBorder="1" applyAlignment="1">
      <alignment horizontal="right"/>
    </xf>
    <xf numFmtId="49" fontId="32" fillId="2" borderId="70" xfId="2" applyNumberFormat="1" applyFont="1" applyFill="1" applyBorder="1" applyAlignment="1">
      <alignment horizontal="center"/>
    </xf>
    <xf numFmtId="0" fontId="32" fillId="2" borderId="92" xfId="2" applyFont="1" applyFill="1" applyBorder="1" applyAlignment="1">
      <alignment horizontal="center"/>
    </xf>
    <xf numFmtId="0" fontId="30" fillId="2" borderId="73" xfId="2" applyFont="1" applyFill="1" applyBorder="1"/>
    <xf numFmtId="0" fontId="33" fillId="2" borderId="73" xfId="2" applyFont="1" applyFill="1" applyBorder="1"/>
    <xf numFmtId="0" fontId="30" fillId="2" borderId="17" xfId="2" quotePrefix="1" applyFont="1" applyFill="1" applyBorder="1" applyAlignment="1">
      <alignment horizontal="left"/>
    </xf>
    <xf numFmtId="0" fontId="30" fillId="2" borderId="87" xfId="2" applyFont="1" applyFill="1" applyBorder="1"/>
    <xf numFmtId="0" fontId="33" fillId="2" borderId="87" xfId="2" applyFont="1" applyFill="1" applyBorder="1"/>
    <xf numFmtId="0" fontId="30" fillId="2" borderId="72" xfId="2" applyFont="1" applyFill="1" applyBorder="1" applyAlignment="1">
      <alignment horizontal="left"/>
    </xf>
    <xf numFmtId="0" fontId="25" fillId="2" borderId="93" xfId="2" applyFont="1" applyFill="1" applyBorder="1"/>
    <xf numFmtId="0" fontId="25" fillId="2" borderId="78" xfId="2" applyFont="1" applyFill="1" applyBorder="1"/>
    <xf numFmtId="0" fontId="30" fillId="2" borderId="72" xfId="2" applyFont="1" applyFill="1" applyBorder="1"/>
    <xf numFmtId="0" fontId="25" fillId="2" borderId="77" xfId="2" applyFont="1" applyFill="1" applyBorder="1"/>
    <xf numFmtId="0" fontId="30" fillId="2" borderId="93" xfId="2" applyFont="1" applyFill="1" applyBorder="1"/>
    <xf numFmtId="0" fontId="37" fillId="2" borderId="78" xfId="2" applyFont="1" applyFill="1" applyBorder="1" applyAlignment="1">
      <alignment horizontal="right"/>
    </xf>
    <xf numFmtId="0" fontId="30" fillId="2" borderId="69" xfId="2" quotePrefix="1" applyFont="1" applyFill="1" applyBorder="1" applyAlignment="1">
      <alignment horizontal="left"/>
    </xf>
    <xf numFmtId="0" fontId="27" fillId="0" borderId="100" xfId="2" applyFont="1" applyBorder="1"/>
    <xf numFmtId="0" fontId="30" fillId="2" borderId="93" xfId="2" quotePrefix="1" applyFont="1" applyFill="1" applyBorder="1" applyAlignment="1">
      <alignment horizontal="left"/>
    </xf>
    <xf numFmtId="0" fontId="25" fillId="2" borderId="73" xfId="2" applyFont="1" applyFill="1" applyBorder="1"/>
    <xf numFmtId="0" fontId="30" fillId="2" borderId="101" xfId="2" applyFont="1" applyFill="1" applyBorder="1" applyAlignment="1">
      <alignment horizontal="left"/>
    </xf>
    <xf numFmtId="0" fontId="30" fillId="2" borderId="77" xfId="2" quotePrefix="1" applyFont="1" applyFill="1" applyBorder="1" applyAlignment="1">
      <alignment horizontal="center"/>
    </xf>
    <xf numFmtId="0" fontId="25" fillId="2" borderId="78" xfId="2" quotePrefix="1" applyFont="1" applyFill="1" applyBorder="1" applyAlignment="1">
      <alignment horizontal="center"/>
    </xf>
    <xf numFmtId="0" fontId="30" fillId="2" borderId="102" xfId="2" applyFont="1" applyFill="1" applyBorder="1"/>
    <xf numFmtId="0" fontId="27" fillId="0" borderId="103" xfId="2" applyFont="1" applyBorder="1"/>
    <xf numFmtId="0" fontId="32" fillId="0" borderId="103" xfId="2" applyFont="1" applyBorder="1" applyAlignment="1">
      <alignment horizontal="center"/>
    </xf>
    <xf numFmtId="0" fontId="32" fillId="0" borderId="104" xfId="2" applyFont="1" applyBorder="1" applyAlignment="1">
      <alignment horizontal="center"/>
    </xf>
    <xf numFmtId="0" fontId="30" fillId="2" borderId="105" xfId="2" applyFont="1" applyFill="1" applyBorder="1" applyAlignment="1">
      <alignment horizontal="center"/>
    </xf>
    <xf numFmtId="0" fontId="30" fillId="2" borderId="86" xfId="2" quotePrefix="1" applyFont="1" applyFill="1" applyBorder="1" applyAlignment="1">
      <alignment horizontal="center"/>
    </xf>
    <xf numFmtId="0" fontId="25" fillId="2" borderId="106" xfId="2" quotePrefix="1" applyFont="1" applyFill="1" applyBorder="1" applyAlignment="1">
      <alignment horizontal="center"/>
    </xf>
    <xf numFmtId="0" fontId="32" fillId="0" borderId="78" xfId="2" applyFont="1" applyBorder="1" applyAlignment="1">
      <alignment horizontal="center"/>
    </xf>
    <xf numFmtId="0" fontId="32" fillId="0" borderId="83" xfId="2" applyFont="1" applyBorder="1" applyAlignment="1">
      <alignment horizontal="center"/>
    </xf>
    <xf numFmtId="0" fontId="32" fillId="0" borderId="63" xfId="2" applyFont="1" applyBorder="1"/>
    <xf numFmtId="0" fontId="38" fillId="0" borderId="40" xfId="2" applyFont="1" applyBorder="1"/>
    <xf numFmtId="0" fontId="21" fillId="0" borderId="109" xfId="2" applyFont="1" applyBorder="1" applyAlignment="1">
      <alignment horizontal="left"/>
    </xf>
    <xf numFmtId="0" fontId="21" fillId="0" borderId="22" xfId="2" applyFont="1" applyBorder="1" applyAlignment="1">
      <alignment horizontal="left"/>
    </xf>
    <xf numFmtId="0" fontId="40" fillId="2" borderId="110" xfId="2" applyFont="1" applyFill="1" applyBorder="1" applyAlignment="1">
      <alignment horizontal="center"/>
    </xf>
    <xf numFmtId="164" fontId="32" fillId="0" borderId="78" xfId="2" applyNumberFormat="1" applyFont="1" applyBorder="1" applyAlignment="1">
      <alignment horizontal="center"/>
    </xf>
    <xf numFmtId="0" fontId="30" fillId="2" borderId="111" xfId="2" applyFont="1" applyFill="1" applyBorder="1" applyAlignment="1">
      <alignment horizontal="left"/>
    </xf>
    <xf numFmtId="0" fontId="25" fillId="2" borderId="112" xfId="2" applyFont="1" applyFill="1" applyBorder="1"/>
    <xf numFmtId="0" fontId="25" fillId="2" borderId="113" xfId="2" applyFont="1" applyFill="1" applyBorder="1"/>
    <xf numFmtId="0" fontId="32" fillId="2" borderId="114" xfId="2" applyFont="1" applyFill="1" applyBorder="1" applyAlignment="1">
      <alignment horizontal="center"/>
    </xf>
    <xf numFmtId="0" fontId="27" fillId="0" borderId="87" xfId="2" applyFont="1" applyBorder="1"/>
    <xf numFmtId="0" fontId="27" fillId="0" borderId="88" xfId="2" applyFont="1" applyBorder="1"/>
    <xf numFmtId="0" fontId="27" fillId="0" borderId="94" xfId="2" applyFont="1" applyBorder="1"/>
    <xf numFmtId="0" fontId="30" fillId="2" borderId="103" xfId="2" applyFont="1" applyFill="1" applyBorder="1"/>
    <xf numFmtId="0" fontId="37" fillId="2" borderId="73" xfId="2" applyFont="1" applyFill="1" applyBorder="1" applyAlignment="1">
      <alignment horizontal="right" shrinkToFit="1"/>
    </xf>
    <xf numFmtId="0" fontId="30" fillId="2" borderId="19" xfId="2" applyFont="1" applyFill="1" applyBorder="1"/>
    <xf numFmtId="0" fontId="30" fillId="2" borderId="67" xfId="2" applyFont="1" applyFill="1" applyBorder="1"/>
    <xf numFmtId="0" fontId="37" fillId="2" borderId="73" xfId="2" applyFont="1" applyFill="1" applyBorder="1" applyAlignment="1">
      <alignment horizontal="right"/>
    </xf>
    <xf numFmtId="2" fontId="32" fillId="2" borderId="73" xfId="2" applyNumberFormat="1" applyFont="1" applyFill="1" applyBorder="1" applyAlignment="1">
      <alignment horizontal="center"/>
    </xf>
    <xf numFmtId="0" fontId="37" fillId="2" borderId="67" xfId="2" applyFont="1" applyFill="1" applyBorder="1" applyAlignment="1">
      <alignment horizontal="right"/>
    </xf>
    <xf numFmtId="0" fontId="37" fillId="2" borderId="73" xfId="2" applyFont="1" applyFill="1" applyBorder="1"/>
    <xf numFmtId="0" fontId="30" fillId="2" borderId="116" xfId="2" applyFont="1" applyFill="1" applyBorder="1"/>
    <xf numFmtId="0" fontId="30" fillId="2" borderId="117" xfId="2" applyFont="1" applyFill="1" applyBorder="1"/>
    <xf numFmtId="0" fontId="30" fillId="2" borderId="118" xfId="2" applyFont="1" applyFill="1" applyBorder="1"/>
    <xf numFmtId="0" fontId="37" fillId="2" borderId="118" xfId="2" applyFont="1" applyFill="1" applyBorder="1"/>
    <xf numFmtId="164" fontId="32" fillId="2" borderId="118" xfId="2" applyNumberFormat="1" applyFont="1" applyFill="1" applyBorder="1" applyAlignment="1">
      <alignment horizontal="center"/>
    </xf>
    <xf numFmtId="0" fontId="32" fillId="2" borderId="119" xfId="2" applyFont="1" applyFill="1" applyBorder="1" applyAlignment="1">
      <alignment horizontal="center"/>
    </xf>
    <xf numFmtId="0" fontId="30" fillId="2" borderId="82" xfId="2" applyFont="1" applyFill="1" applyBorder="1"/>
    <xf numFmtId="0" fontId="30" fillId="2" borderId="110" xfId="2" applyFont="1" applyFill="1" applyBorder="1" applyAlignment="1">
      <alignment horizontal="left"/>
    </xf>
    <xf numFmtId="0" fontId="30" fillId="2" borderId="82" xfId="2" applyFont="1" applyFill="1" applyBorder="1" applyAlignment="1">
      <alignment horizontal="left"/>
    </xf>
    <xf numFmtId="1" fontId="32" fillId="2" borderId="70" xfId="2" applyNumberFormat="1" applyFont="1" applyFill="1" applyBorder="1" applyAlignment="1">
      <alignment horizontal="center"/>
    </xf>
    <xf numFmtId="0" fontId="32" fillId="2" borderId="120" xfId="2" applyFont="1" applyFill="1" applyBorder="1" applyAlignment="1">
      <alignment horizontal="center"/>
    </xf>
    <xf numFmtId="0" fontId="41" fillId="0" borderId="0" xfId="2" quotePrefix="1" applyFont="1" applyAlignment="1">
      <alignment horizontal="left"/>
    </xf>
    <xf numFmtId="0" fontId="30" fillId="2" borderId="0" xfId="2" applyFont="1" applyFill="1"/>
    <xf numFmtId="0" fontId="30" fillId="2" borderId="93" xfId="2" applyFont="1" applyFill="1" applyBorder="1" applyAlignment="1">
      <alignment horizontal="left"/>
    </xf>
    <xf numFmtId="0" fontId="30" fillId="2" borderId="78" xfId="2" applyFont="1" applyFill="1" applyBorder="1" applyAlignment="1">
      <alignment horizontal="left"/>
    </xf>
    <xf numFmtId="0" fontId="30" fillId="2" borderId="16" xfId="2" applyFont="1" applyFill="1" applyBorder="1"/>
    <xf numFmtId="0" fontId="30" fillId="2" borderId="114" xfId="2" applyFont="1" applyFill="1" applyBorder="1" applyAlignment="1">
      <alignment horizontal="left"/>
    </xf>
    <xf numFmtId="0" fontId="30" fillId="2" borderId="106" xfId="2" applyFont="1" applyFill="1" applyBorder="1" applyAlignment="1">
      <alignment horizontal="left"/>
    </xf>
    <xf numFmtId="1" fontId="32" fillId="2" borderId="87" xfId="2" applyNumberFormat="1" applyFont="1" applyFill="1" applyBorder="1" applyAlignment="1">
      <alignment horizontal="center"/>
    </xf>
    <xf numFmtId="0" fontId="32" fillId="2" borderId="121" xfId="2" applyFont="1" applyFill="1" applyBorder="1" applyAlignment="1">
      <alignment horizontal="center"/>
    </xf>
    <xf numFmtId="0" fontId="21" fillId="2" borderId="89" xfId="2" applyFont="1" applyFill="1" applyBorder="1" applyAlignment="1">
      <alignment horizontal="left"/>
    </xf>
    <xf numFmtId="0" fontId="21" fillId="2" borderId="90" xfId="2" applyFont="1" applyFill="1" applyBorder="1" applyAlignment="1">
      <alignment horizontal="left"/>
    </xf>
    <xf numFmtId="0" fontId="21" fillId="2" borderId="91" xfId="2" applyFont="1" applyFill="1" applyBorder="1" applyAlignment="1">
      <alignment horizontal="left"/>
    </xf>
    <xf numFmtId="0" fontId="23" fillId="2" borderId="19" xfId="2" applyFont="1" applyFill="1" applyBorder="1"/>
    <xf numFmtId="0" fontId="27" fillId="2" borderId="81" xfId="2" applyFont="1" applyFill="1" applyBorder="1" applyAlignment="1">
      <alignment horizontal="left"/>
    </xf>
    <xf numFmtId="0" fontId="27" fillId="2" borderId="92" xfId="2" applyFont="1" applyFill="1" applyBorder="1" applyAlignment="1">
      <alignment horizontal="left"/>
    </xf>
    <xf numFmtId="0" fontId="23" fillId="2" borderId="77" xfId="2" applyFont="1" applyFill="1" applyBorder="1" applyAlignment="1">
      <alignment horizontal="left"/>
    </xf>
    <xf numFmtId="0" fontId="23" fillId="2" borderId="83" xfId="2" applyFont="1" applyFill="1" applyBorder="1" applyAlignment="1">
      <alignment horizontal="left"/>
    </xf>
    <xf numFmtId="0" fontId="42" fillId="0" borderId="0" xfId="2" applyFont="1"/>
    <xf numFmtId="0" fontId="30" fillId="0" borderId="122" xfId="2" applyFont="1" applyBorder="1"/>
    <xf numFmtId="0" fontId="30" fillId="2" borderId="125" xfId="2" applyFont="1" applyFill="1" applyBorder="1"/>
    <xf numFmtId="0" fontId="43" fillId="2" borderId="126" xfId="2" applyFont="1" applyFill="1" applyBorder="1" applyAlignment="1">
      <alignment horizontal="center"/>
    </xf>
    <xf numFmtId="0" fontId="23" fillId="2" borderId="30" xfId="2" applyFont="1" applyFill="1" applyBorder="1"/>
    <xf numFmtId="0" fontId="30" fillId="2" borderId="127" xfId="2" applyFont="1" applyFill="1" applyBorder="1"/>
    <xf numFmtId="0" fontId="30" fillId="2" borderId="58" xfId="2" applyFont="1" applyFill="1" applyBorder="1"/>
    <xf numFmtId="14" fontId="25" fillId="2" borderId="130" xfId="2" applyNumberFormat="1" applyFont="1" applyFill="1" applyBorder="1" applyAlignment="1">
      <alignment horizontal="center"/>
    </xf>
    <xf numFmtId="0" fontId="23" fillId="0" borderId="58" xfId="2" applyFont="1" applyBorder="1"/>
    <xf numFmtId="0" fontId="23" fillId="2" borderId="131" xfId="2" applyFont="1" applyFill="1" applyBorder="1" applyAlignment="1">
      <alignment horizontal="left"/>
    </xf>
    <xf numFmtId="0" fontId="23" fillId="2" borderId="132" xfId="2" applyFont="1" applyFill="1" applyBorder="1" applyAlignment="1">
      <alignment horizontal="left"/>
    </xf>
    <xf numFmtId="0" fontId="23" fillId="0" borderId="0" xfId="2" applyFont="1"/>
    <xf numFmtId="0" fontId="1" fillId="0" borderId="41" xfId="3" applyBorder="1"/>
    <xf numFmtId="0" fontId="1" fillId="0" borderId="28" xfId="3" applyBorder="1"/>
    <xf numFmtId="0" fontId="1" fillId="0" borderId="32" xfId="3" applyBorder="1"/>
    <xf numFmtId="0" fontId="1" fillId="0" borderId="32" xfId="3" applyBorder="1" applyAlignment="1">
      <alignment horizontal="center"/>
    </xf>
    <xf numFmtId="0" fontId="46" fillId="0" borderId="32" xfId="3" applyFont="1" applyBorder="1" applyAlignment="1">
      <alignment horizontal="center"/>
    </xf>
    <xf numFmtId="0" fontId="1" fillId="0" borderId="0" xfId="3"/>
    <xf numFmtId="0" fontId="47" fillId="0" borderId="133" xfId="3" applyFont="1" applyBorder="1" applyAlignment="1">
      <alignment horizontal="center"/>
    </xf>
    <xf numFmtId="0" fontId="1" fillId="0" borderId="133" xfId="3" applyBorder="1" applyAlignment="1">
      <alignment horizontal="center"/>
    </xf>
    <xf numFmtId="0" fontId="46" fillId="0" borderId="133" xfId="3" applyFont="1" applyBorder="1" applyAlignment="1">
      <alignment horizontal="center"/>
    </xf>
    <xf numFmtId="0" fontId="47" fillId="0" borderId="30" xfId="3" applyFont="1" applyBorder="1" applyAlignment="1">
      <alignment horizontal="center"/>
    </xf>
    <xf numFmtId="0" fontId="47" fillId="0" borderId="0" xfId="3" applyFont="1" applyAlignment="1">
      <alignment horizontal="center"/>
    </xf>
    <xf numFmtId="0" fontId="1" fillId="0" borderId="30" xfId="3" applyBorder="1"/>
    <xf numFmtId="0" fontId="48" fillId="0" borderId="0" xfId="3" applyFont="1"/>
    <xf numFmtId="0" fontId="1" fillId="0" borderId="133" xfId="3" applyBorder="1"/>
    <xf numFmtId="0" fontId="46" fillId="0" borderId="0" xfId="3" applyFont="1"/>
    <xf numFmtId="0" fontId="46" fillId="0" borderId="133" xfId="3" applyFont="1" applyBorder="1"/>
    <xf numFmtId="169" fontId="1" fillId="0" borderId="31" xfId="3" applyNumberFormat="1" applyBorder="1"/>
    <xf numFmtId="49" fontId="1" fillId="0" borderId="6" xfId="3" applyNumberFormat="1" applyBorder="1" applyAlignment="1">
      <alignment horizontal="center"/>
    </xf>
    <xf numFmtId="49" fontId="1" fillId="0" borderId="6" xfId="3" applyNumberFormat="1" applyBorder="1"/>
    <xf numFmtId="49" fontId="46" fillId="0" borderId="6" xfId="3" applyNumberFormat="1" applyFont="1" applyBorder="1"/>
    <xf numFmtId="170" fontId="46" fillId="0" borderId="6" xfId="3" applyNumberFormat="1" applyFont="1" applyBorder="1"/>
    <xf numFmtId="0" fontId="1" fillId="0" borderId="6" xfId="3" applyBorder="1"/>
    <xf numFmtId="0" fontId="1" fillId="0" borderId="5" xfId="3" applyBorder="1"/>
    <xf numFmtId="170" fontId="1" fillId="0" borderId="6" xfId="3" applyNumberFormat="1" applyBorder="1"/>
    <xf numFmtId="0" fontId="1" fillId="0" borderId="6" xfId="3" applyBorder="1" applyAlignment="1">
      <alignment horizontal="center"/>
    </xf>
    <xf numFmtId="169" fontId="1" fillId="0" borderId="52" xfId="3" applyNumberFormat="1" applyBorder="1"/>
    <xf numFmtId="49" fontId="1" fillId="0" borderId="53" xfId="3" applyNumberFormat="1" applyBorder="1"/>
    <xf numFmtId="170" fontId="1" fillId="0" borderId="53" xfId="3" applyNumberFormat="1" applyBorder="1"/>
    <xf numFmtId="0" fontId="1" fillId="0" borderId="53" xfId="3" applyBorder="1"/>
    <xf numFmtId="0" fontId="1" fillId="0" borderId="134" xfId="3" applyBorder="1"/>
    <xf numFmtId="0" fontId="46" fillId="0" borderId="135" xfId="3" applyFont="1" applyBorder="1" applyAlignment="1">
      <alignment horizontal="center"/>
    </xf>
    <xf numFmtId="0" fontId="46" fillId="0" borderId="136" xfId="3" applyFont="1" applyBorder="1" applyAlignment="1">
      <alignment horizontal="center"/>
    </xf>
    <xf numFmtId="49" fontId="46" fillId="0" borderId="47" xfId="3" applyNumberFormat="1" applyFont="1" applyBorder="1" applyAlignment="1">
      <alignment horizontal="center"/>
    </xf>
    <xf numFmtId="0" fontId="1" fillId="0" borderId="66" xfId="3" applyBorder="1" applyAlignment="1">
      <alignment horizontal="left"/>
    </xf>
    <xf numFmtId="49" fontId="1" fillId="0" borderId="31" xfId="3" applyNumberFormat="1" applyBorder="1"/>
    <xf numFmtId="0" fontId="1" fillId="0" borderId="7" xfId="3" applyBorder="1" applyAlignment="1">
      <alignment horizontal="left"/>
    </xf>
    <xf numFmtId="49" fontId="1" fillId="0" borderId="43" xfId="3" applyNumberFormat="1" applyBorder="1"/>
    <xf numFmtId="0" fontId="1" fillId="0" borderId="3" xfId="3" applyBorder="1" applyAlignment="1">
      <alignment horizontal="left"/>
    </xf>
    <xf numFmtId="0" fontId="49" fillId="0" borderId="0" xfId="1" applyFont="1"/>
    <xf numFmtId="0" fontId="50" fillId="0" borderId="57" xfId="1" applyFont="1" applyBorder="1" applyAlignment="1">
      <alignment horizontal="right"/>
    </xf>
    <xf numFmtId="0" fontId="50" fillId="0" borderId="38" xfId="1" applyFont="1" applyBorder="1" applyAlignment="1">
      <alignment horizontal="right"/>
    </xf>
    <xf numFmtId="0" fontId="50" fillId="0" borderId="109" xfId="1" applyFont="1" applyBorder="1" applyAlignment="1">
      <alignment horizontal="center"/>
    </xf>
    <xf numFmtId="0" fontId="24" fillId="0" borderId="21" xfId="1" applyFont="1" applyBorder="1" applyAlignment="1">
      <alignment horizontal="center"/>
    </xf>
    <xf numFmtId="0" fontId="50" fillId="0" borderId="23" xfId="1" applyFont="1" applyBorder="1" applyAlignment="1">
      <alignment horizontal="center"/>
    </xf>
    <xf numFmtId="0" fontId="24" fillId="0" borderId="21" xfId="1" applyFont="1" applyBorder="1"/>
    <xf numFmtId="0" fontId="1" fillId="0" borderId="63" xfId="1" applyBorder="1"/>
    <xf numFmtId="0" fontId="24" fillId="0" borderId="39" xfId="1" applyFont="1" applyBorder="1" applyAlignment="1">
      <alignment horizontal="center"/>
    </xf>
    <xf numFmtId="0" fontId="49" fillId="0" borderId="61" xfId="1" applyFont="1" applyBorder="1" applyAlignment="1">
      <alignment horizontal="center"/>
    </xf>
    <xf numFmtId="0" fontId="24" fillId="0" borderId="39" xfId="1" applyFont="1" applyBorder="1"/>
    <xf numFmtId="0" fontId="50" fillId="0" borderId="109" xfId="1" applyFont="1" applyBorder="1" applyAlignment="1">
      <alignment horizontal="right"/>
    </xf>
    <xf numFmtId="0" fontId="24" fillId="0" borderId="54" xfId="1" applyFont="1" applyBorder="1" applyAlignment="1">
      <alignment horizontal="center"/>
    </xf>
    <xf numFmtId="0" fontId="50" fillId="0" borderId="63" xfId="1" applyFont="1" applyBorder="1" applyAlignment="1">
      <alignment horizontal="right"/>
    </xf>
    <xf numFmtId="0" fontId="24" fillId="0" borderId="40" xfId="1" applyFont="1" applyBorder="1" applyAlignment="1">
      <alignment horizontal="center"/>
    </xf>
    <xf numFmtId="0" fontId="24" fillId="0" borderId="46" xfId="1" applyFont="1" applyBorder="1" applyAlignment="1">
      <alignment horizontal="center"/>
    </xf>
    <xf numFmtId="0" fontId="49" fillId="0" borderId="0" xfId="1" applyFont="1" applyAlignment="1">
      <alignment horizontal="center"/>
    </xf>
    <xf numFmtId="171" fontId="52" fillId="0" borderId="41" xfId="4" applyFont="1" applyBorder="1" applyAlignment="1">
      <alignment horizontal="centerContinuous"/>
    </xf>
    <xf numFmtId="171" fontId="52" fillId="0" borderId="28" xfId="4" applyFont="1" applyBorder="1" applyAlignment="1">
      <alignment horizontal="centerContinuous"/>
    </xf>
    <xf numFmtId="171" fontId="53" fillId="0" borderId="25" xfId="4" applyFont="1" applyBorder="1" applyAlignment="1">
      <alignment horizontal="left"/>
    </xf>
    <xf numFmtId="171" fontId="54" fillId="0" borderId="66" xfId="4" applyFont="1" applyBorder="1"/>
    <xf numFmtId="171" fontId="53" fillId="0" borderId="26" xfId="4" applyFont="1" applyBorder="1" applyAlignment="1">
      <alignment horizontal="centerContinuous"/>
    </xf>
    <xf numFmtId="171" fontId="54" fillId="0" borderId="27" xfId="4" applyFont="1" applyBorder="1" applyAlignment="1">
      <alignment horizontal="centerContinuous"/>
    </xf>
    <xf numFmtId="171" fontId="55" fillId="0" borderId="0" xfId="4" applyFont="1"/>
    <xf numFmtId="171" fontId="51" fillId="0" borderId="0" xfId="4"/>
    <xf numFmtId="171" fontId="52" fillId="0" borderId="30" xfId="4" applyFont="1" applyBorder="1" applyAlignment="1">
      <alignment horizontal="centerContinuous"/>
    </xf>
    <xf numFmtId="171" fontId="52" fillId="0" borderId="0" xfId="4" applyFont="1" applyAlignment="1">
      <alignment horizontal="centerContinuous"/>
    </xf>
    <xf numFmtId="171" fontId="53" fillId="0" borderId="115" xfId="4" applyFont="1" applyBorder="1" applyAlignment="1">
      <alignment horizontal="left"/>
    </xf>
    <xf numFmtId="171" fontId="54" fillId="0" borderId="11" xfId="4" applyFont="1" applyBorder="1"/>
    <xf numFmtId="171" fontId="53" fillId="0" borderId="16" xfId="4" applyFont="1" applyBorder="1" applyAlignment="1">
      <alignment horizontal="centerContinuous"/>
    </xf>
    <xf numFmtId="171" fontId="54" fillId="0" borderId="37" xfId="4" applyFont="1" applyBorder="1" applyAlignment="1">
      <alignment horizontal="centerContinuous"/>
    </xf>
    <xf numFmtId="171" fontId="54" fillId="0" borderId="30" xfId="4" applyFont="1" applyBorder="1" applyAlignment="1">
      <alignment horizontal="centerContinuous"/>
    </xf>
    <xf numFmtId="171" fontId="54" fillId="0" borderId="0" xfId="4" applyFont="1" applyAlignment="1">
      <alignment horizontal="centerContinuous"/>
    </xf>
    <xf numFmtId="171" fontId="53" fillId="0" borderId="16" xfId="4" quotePrefix="1" applyFont="1" applyBorder="1" applyAlignment="1">
      <alignment horizontal="centerContinuous"/>
    </xf>
    <xf numFmtId="171" fontId="56" fillId="0" borderId="30" xfId="4" applyFont="1" applyBorder="1" applyAlignment="1">
      <alignment horizontal="centerContinuous"/>
    </xf>
    <xf numFmtId="171" fontId="55" fillId="0" borderId="30" xfId="4" applyFont="1" applyBorder="1" applyAlignment="1">
      <alignment horizontal="centerContinuous"/>
    </xf>
    <xf numFmtId="171" fontId="55" fillId="0" borderId="63" xfId="4" applyFont="1" applyBorder="1" applyAlignment="1">
      <alignment horizontal="centerContinuous"/>
    </xf>
    <xf numFmtId="171" fontId="54" fillId="0" borderId="58" xfId="4" applyFont="1" applyBorder="1" applyAlignment="1">
      <alignment horizontal="centerContinuous"/>
    </xf>
    <xf numFmtId="171" fontId="53" fillId="0" borderId="63" xfId="4" applyFont="1" applyBorder="1" applyAlignment="1">
      <alignment horizontal="left"/>
    </xf>
    <xf numFmtId="171" fontId="54" fillId="0" borderId="39" xfId="4" applyFont="1" applyBorder="1"/>
    <xf numFmtId="171" fontId="57" fillId="0" borderId="58" xfId="4" applyFont="1" applyBorder="1" applyAlignment="1">
      <alignment horizontal="centerContinuous"/>
    </xf>
    <xf numFmtId="171" fontId="54" fillId="0" borderId="40" xfId="4" applyFont="1" applyBorder="1" applyAlignment="1">
      <alignment horizontal="centerContinuous"/>
    </xf>
    <xf numFmtId="171" fontId="55" fillId="0" borderId="0" xfId="4" applyFont="1" applyAlignment="1">
      <alignment horizontal="centerContinuous"/>
    </xf>
    <xf numFmtId="171" fontId="53" fillId="0" borderId="0" xfId="4" applyFont="1" applyAlignment="1">
      <alignment horizontal="left"/>
    </xf>
    <xf numFmtId="171" fontId="54" fillId="0" borderId="0" xfId="4" applyFont="1"/>
    <xf numFmtId="171" fontId="53" fillId="0" borderId="0" xfId="4" applyFont="1" applyAlignment="1">
      <alignment horizontal="centerContinuous"/>
    </xf>
    <xf numFmtId="171" fontId="58" fillId="0" borderId="0" xfId="4" applyFont="1"/>
    <xf numFmtId="171" fontId="58" fillId="0" borderId="0" xfId="4" applyFont="1" applyAlignment="1">
      <alignment horizontal="right"/>
    </xf>
    <xf numFmtId="171" fontId="58" fillId="0" borderId="0" xfId="4" applyFont="1" applyAlignment="1" applyProtection="1">
      <alignment horizontal="left"/>
      <protection locked="0"/>
    </xf>
    <xf numFmtId="171" fontId="58" fillId="0" borderId="0" xfId="4" applyFont="1" applyAlignment="1">
      <alignment horizontal="centerContinuous"/>
    </xf>
    <xf numFmtId="171" fontId="58" fillId="0" borderId="0" xfId="4" applyFont="1" applyAlignment="1">
      <alignment horizontal="left"/>
    </xf>
    <xf numFmtId="49" fontId="58" fillId="0" borderId="0" xfId="4" quotePrefix="1" applyNumberFormat="1" applyFont="1" applyAlignment="1" applyProtection="1">
      <alignment horizontal="left"/>
      <protection locked="0"/>
    </xf>
    <xf numFmtId="171" fontId="59" fillId="0" borderId="139" xfId="4" applyFont="1" applyBorder="1" applyAlignment="1">
      <alignment horizontal="centerContinuous"/>
    </xf>
    <xf numFmtId="171" fontId="55" fillId="0" borderId="140" xfId="4" applyFont="1" applyBorder="1" applyAlignment="1">
      <alignment horizontal="centerContinuous"/>
    </xf>
    <xf numFmtId="171" fontId="55" fillId="0" borderId="141" xfId="4" applyFont="1" applyBorder="1" applyAlignment="1">
      <alignment horizontal="centerContinuous"/>
    </xf>
    <xf numFmtId="171" fontId="58" fillId="0" borderId="30" xfId="4" applyFont="1" applyBorder="1"/>
    <xf numFmtId="171" fontId="58" fillId="0" borderId="0" xfId="4" applyFont="1" applyAlignment="1" applyProtection="1">
      <alignment horizontal="center"/>
      <protection locked="0"/>
    </xf>
    <xf numFmtId="171" fontId="58" fillId="0" borderId="36" xfId="4" applyFont="1" applyBorder="1" applyAlignment="1" applyProtection="1">
      <alignment horizontal="center"/>
      <protection locked="0"/>
    </xf>
    <xf numFmtId="171" fontId="58" fillId="0" borderId="0" xfId="4" applyFont="1" applyAlignment="1">
      <alignment horizontal="center"/>
    </xf>
    <xf numFmtId="49" fontId="58" fillId="0" borderId="0" xfId="4" applyNumberFormat="1" applyFont="1" applyAlignment="1">
      <alignment horizontal="center"/>
    </xf>
    <xf numFmtId="171" fontId="58" fillId="0" borderId="0" xfId="4" quotePrefix="1" applyFont="1" applyAlignment="1">
      <alignment horizontal="right"/>
    </xf>
    <xf numFmtId="171" fontId="58" fillId="0" borderId="0" xfId="4" quotePrefix="1" applyFont="1" applyAlignment="1" applyProtection="1">
      <alignment horizontal="center"/>
      <protection locked="0"/>
    </xf>
    <xf numFmtId="171" fontId="58" fillId="0" borderId="36" xfId="4" applyFont="1" applyBorder="1"/>
    <xf numFmtId="171" fontId="58" fillId="0" borderId="63" xfId="4" applyFont="1" applyBorder="1"/>
    <xf numFmtId="171" fontId="58" fillId="0" borderId="58" xfId="4" applyFont="1" applyBorder="1" applyAlignment="1">
      <alignment horizontal="right"/>
    </xf>
    <xf numFmtId="164" fontId="58" fillId="0" borderId="58" xfId="4" quotePrefix="1" applyNumberFormat="1" applyFont="1" applyBorder="1" applyAlignment="1" applyProtection="1">
      <alignment horizontal="center"/>
      <protection locked="0"/>
    </xf>
    <xf numFmtId="171" fontId="58" fillId="0" borderId="58" xfId="4" applyFont="1" applyBorder="1"/>
    <xf numFmtId="164" fontId="58" fillId="0" borderId="58" xfId="4" applyNumberFormat="1" applyFont="1" applyBorder="1"/>
    <xf numFmtId="171" fontId="58" fillId="0" borderId="40" xfId="4" applyFont="1" applyBorder="1"/>
    <xf numFmtId="171" fontId="60" fillId="0" borderId="30" xfId="4" quotePrefix="1" applyFont="1" applyBorder="1" applyAlignment="1">
      <alignment horizontal="left"/>
    </xf>
    <xf numFmtId="171" fontId="54" fillId="0" borderId="0" xfId="4" quotePrefix="1" applyFont="1" applyAlignment="1">
      <alignment horizontal="right"/>
    </xf>
    <xf numFmtId="171" fontId="54" fillId="0" borderId="18" xfId="4" applyFont="1" applyBorder="1"/>
    <xf numFmtId="171" fontId="60" fillId="0" borderId="0" xfId="4" applyFont="1" applyAlignment="1">
      <alignment horizontal="left"/>
    </xf>
    <xf numFmtId="171" fontId="54" fillId="0" borderId="0" xfId="4" applyFont="1" applyAlignment="1">
      <alignment horizontal="right"/>
    </xf>
    <xf numFmtId="171" fontId="54" fillId="0" borderId="18" xfId="4" applyFont="1" applyBorder="1" applyAlignment="1">
      <alignment horizontal="right"/>
    </xf>
    <xf numFmtId="171" fontId="60" fillId="0" borderId="0" xfId="4" quotePrefix="1" applyFont="1" applyAlignment="1">
      <alignment horizontal="left"/>
    </xf>
    <xf numFmtId="171" fontId="54" fillId="0" borderId="36" xfId="4" applyFont="1" applyBorder="1"/>
    <xf numFmtId="171" fontId="51" fillId="0" borderId="30" xfId="4" applyBorder="1"/>
    <xf numFmtId="171" fontId="58" fillId="0" borderId="18" xfId="4" applyFont="1" applyBorder="1" applyAlignment="1" applyProtection="1">
      <alignment horizontal="center"/>
      <protection locked="0"/>
    </xf>
    <xf numFmtId="1" fontId="58" fillId="0" borderId="18" xfId="4" applyNumberFormat="1" applyFont="1" applyBorder="1" applyAlignment="1">
      <alignment horizontal="center"/>
    </xf>
    <xf numFmtId="171" fontId="58" fillId="0" borderId="18" xfId="4" applyFont="1" applyBorder="1"/>
    <xf numFmtId="171" fontId="58" fillId="0" borderId="39" xfId="4" applyFont="1" applyBorder="1"/>
    <xf numFmtId="171" fontId="58" fillId="0" borderId="39" xfId="4" applyFont="1" applyBorder="1" applyAlignment="1">
      <alignment horizontal="left"/>
    </xf>
    <xf numFmtId="171" fontId="59" fillId="0" borderId="142" xfId="4" applyFont="1" applyBorder="1" applyAlignment="1">
      <alignment horizontal="centerContinuous"/>
    </xf>
    <xf numFmtId="171" fontId="55" fillId="0" borderId="143" xfId="4" applyFont="1" applyBorder="1" applyAlignment="1">
      <alignment horizontal="centerContinuous"/>
    </xf>
    <xf numFmtId="171" fontId="51" fillId="0" borderId="144" xfId="4" applyBorder="1"/>
    <xf numFmtId="171" fontId="55" fillId="0" borderId="145" xfId="4" applyFont="1" applyBorder="1" applyAlignment="1">
      <alignment horizontal="centerContinuous"/>
    </xf>
    <xf numFmtId="171" fontId="60" fillId="0" borderId="30" xfId="4" applyFont="1" applyBorder="1" applyAlignment="1">
      <alignment horizontal="left"/>
    </xf>
    <xf numFmtId="171" fontId="51" fillId="0" borderId="18" xfId="4" applyBorder="1"/>
    <xf numFmtId="164" fontId="58" fillId="0" borderId="0" xfId="4" applyNumberFormat="1" applyFont="1" applyAlignment="1" applyProtection="1">
      <alignment horizontal="center"/>
      <protection locked="0"/>
    </xf>
    <xf numFmtId="171" fontId="58" fillId="0" borderId="30" xfId="4" applyFont="1" applyBorder="1" applyAlignment="1">
      <alignment horizontal="left"/>
    </xf>
    <xf numFmtId="171" fontId="51" fillId="0" borderId="39" xfId="4" applyBorder="1"/>
    <xf numFmtId="171" fontId="55" fillId="0" borderId="0" xfId="4" applyFont="1" applyAlignment="1">
      <alignment horizontal="left"/>
    </xf>
    <xf numFmtId="171" fontId="55" fillId="0" borderId="142" xfId="4" applyFont="1" applyBorder="1"/>
    <xf numFmtId="171" fontId="54" fillId="0" borderId="143" xfId="4" applyFont="1" applyBorder="1" applyAlignment="1">
      <alignment horizontal="left"/>
    </xf>
    <xf numFmtId="171" fontId="54" fillId="0" borderId="145" xfId="4" applyFont="1" applyBorder="1" applyAlignment="1">
      <alignment horizontal="left"/>
    </xf>
    <xf numFmtId="171" fontId="58" fillId="0" borderId="30" xfId="5" quotePrefix="1" applyFont="1" applyBorder="1" applyAlignment="1">
      <alignment horizontal="left"/>
    </xf>
    <xf numFmtId="171" fontId="58" fillId="0" borderId="36" xfId="4" applyFont="1" applyBorder="1" applyAlignment="1">
      <alignment horizontal="left"/>
    </xf>
    <xf numFmtId="171" fontId="58" fillId="0" borderId="30" xfId="5" applyFont="1" applyBorder="1" applyAlignment="1">
      <alignment horizontal="left"/>
    </xf>
    <xf numFmtId="171" fontId="61" fillId="0" borderId="146" xfId="5" applyFont="1" applyBorder="1"/>
    <xf numFmtId="171" fontId="58" fillId="0" borderId="0" xfId="4" quotePrefix="1" applyFont="1" applyAlignment="1">
      <alignment horizontal="left"/>
    </xf>
    <xf numFmtId="171" fontId="58" fillId="0" borderId="147" xfId="5" quotePrefix="1" applyFont="1" applyBorder="1" applyAlignment="1">
      <alignment horizontal="left"/>
    </xf>
    <xf numFmtId="171" fontId="58" fillId="0" borderId="148" xfId="5" quotePrefix="1" applyFont="1" applyBorder="1" applyAlignment="1">
      <alignment horizontal="left"/>
    </xf>
    <xf numFmtId="171" fontId="58" fillId="0" borderId="63" xfId="5" applyFont="1" applyBorder="1" applyAlignment="1">
      <alignment horizontal="left"/>
    </xf>
    <xf numFmtId="171" fontId="58" fillId="0" borderId="58" xfId="4" applyFont="1" applyBorder="1" applyAlignment="1">
      <alignment horizontal="left"/>
    </xf>
    <xf numFmtId="171" fontId="58" fillId="0" borderId="40" xfId="4" applyFont="1" applyBorder="1" applyAlignment="1">
      <alignment horizontal="left"/>
    </xf>
    <xf numFmtId="171" fontId="54" fillId="0" borderId="0" xfId="4" applyFont="1" applyAlignment="1">
      <alignment horizontal="left"/>
    </xf>
    <xf numFmtId="171" fontId="62" fillId="0" borderId="0" xfId="4" applyFont="1" applyAlignment="1">
      <alignment horizontal="right"/>
    </xf>
    <xf numFmtId="171" fontId="51" fillId="0" borderId="0" xfId="4" applyAlignment="1">
      <alignment horizontal="right"/>
    </xf>
    <xf numFmtId="0" fontId="10" fillId="0" borderId="0" xfId="1" applyFont="1" applyAlignment="1">
      <alignment horizontal="right"/>
    </xf>
    <xf numFmtId="0" fontId="17" fillId="0" borderId="0" xfId="1" applyFont="1"/>
    <xf numFmtId="0" fontId="64" fillId="0" borderId="53" xfId="1" applyFont="1" applyBorder="1" applyAlignment="1">
      <alignment horizontal="center"/>
    </xf>
    <xf numFmtId="0" fontId="64" fillId="0" borderId="10" xfId="1" applyFont="1" applyBorder="1" applyAlignment="1">
      <alignment horizontal="center"/>
    </xf>
    <xf numFmtId="0" fontId="49" fillId="0" borderId="6" xfId="1" applyFont="1" applyBorder="1" applyAlignment="1">
      <alignment horizontal="center"/>
    </xf>
    <xf numFmtId="0" fontId="49" fillId="0" borderId="22" xfId="1" applyFont="1" applyBorder="1" applyAlignment="1">
      <alignment horizontal="center"/>
    </xf>
    <xf numFmtId="0" fontId="64" fillId="0" borderId="6" xfId="1" applyFont="1" applyBorder="1" applyAlignment="1">
      <alignment horizontal="right"/>
    </xf>
    <xf numFmtId="0" fontId="64" fillId="0" borderId="6" xfId="1" applyFont="1" applyBorder="1" applyAlignment="1">
      <alignment horizontal="center"/>
    </xf>
    <xf numFmtId="0" fontId="49" fillId="0" borderId="20" xfId="1" applyFont="1" applyBorder="1" applyAlignment="1">
      <alignment horizontal="center"/>
    </xf>
    <xf numFmtId="0" fontId="49" fillId="0" borderId="7" xfId="1" quotePrefix="1" applyFont="1" applyBorder="1" applyAlignment="1">
      <alignment horizontal="center"/>
    </xf>
    <xf numFmtId="0" fontId="49" fillId="0" borderId="7" xfId="1" applyFont="1" applyBorder="1" applyAlignment="1">
      <alignment horizontal="center"/>
    </xf>
    <xf numFmtId="0" fontId="64" fillId="0" borderId="0" xfId="1" applyFont="1" applyAlignment="1">
      <alignment horizontal="right"/>
    </xf>
    <xf numFmtId="0" fontId="65" fillId="0" borderId="0" xfId="1" applyFont="1"/>
    <xf numFmtId="0" fontId="66" fillId="0" borderId="0" xfId="1" applyFont="1"/>
    <xf numFmtId="1" fontId="2" fillId="2" borderId="6" xfId="1" applyNumberFormat="1" applyFont="1" applyFill="1" applyBorder="1" applyAlignment="1">
      <alignment horizontal="center"/>
    </xf>
    <xf numFmtId="2" fontId="2" fillId="2" borderId="6" xfId="1" applyNumberFormat="1" applyFont="1" applyFill="1" applyBorder="1" applyAlignment="1">
      <alignment horizontal="center"/>
    </xf>
    <xf numFmtId="0" fontId="2" fillId="2" borderId="6" xfId="1" applyFont="1" applyFill="1" applyBorder="1" applyAlignment="1">
      <alignment horizontal="center"/>
    </xf>
    <xf numFmtId="0" fontId="12" fillId="0" borderId="32" xfId="1" applyFont="1" applyBorder="1" applyAlignment="1">
      <alignment horizontal="center"/>
    </xf>
    <xf numFmtId="1" fontId="2" fillId="0" borderId="14" xfId="1" applyNumberFormat="1" applyFont="1" applyBorder="1" applyAlignment="1">
      <alignment horizontal="center"/>
    </xf>
    <xf numFmtId="0" fontId="2" fillId="3" borderId="0" xfId="1" applyFont="1" applyFill="1"/>
    <xf numFmtId="0" fontId="2" fillId="0" borderId="6" xfId="1" applyFont="1" applyBorder="1" applyAlignment="1">
      <alignment horizontal="centerContinuous"/>
    </xf>
    <xf numFmtId="166" fontId="2" fillId="4" borderId="6" xfId="1" applyNumberFormat="1" applyFont="1" applyFill="1" applyBorder="1" applyAlignment="1">
      <alignment horizontal="center"/>
    </xf>
    <xf numFmtId="0" fontId="3" fillId="0" borderId="38" xfId="1" applyFont="1" applyBorder="1" applyAlignment="1">
      <alignment horizontal="right"/>
    </xf>
    <xf numFmtId="172" fontId="2" fillId="0" borderId="6" xfId="1" applyNumberFormat="1" applyFont="1" applyBorder="1" applyAlignment="1">
      <alignment horizontal="center"/>
    </xf>
    <xf numFmtId="164" fontId="1" fillId="0" borderId="0" xfId="1" applyNumberFormat="1"/>
    <xf numFmtId="2" fontId="1" fillId="0" borderId="6" xfId="1" applyNumberFormat="1" applyBorder="1" applyAlignment="1">
      <alignment horizontal="center"/>
    </xf>
    <xf numFmtId="164" fontId="1" fillId="0" borderId="5" xfId="1" applyNumberFormat="1" applyBorder="1" applyAlignment="1">
      <alignment horizontal="center"/>
    </xf>
    <xf numFmtId="164" fontId="1" fillId="0" borderId="6" xfId="1" applyNumberFormat="1" applyBorder="1" applyAlignment="1">
      <alignment horizontal="center"/>
    </xf>
    <xf numFmtId="167" fontId="2" fillId="0" borderId="0" xfId="1" applyNumberFormat="1" applyFont="1" applyAlignment="1">
      <alignment horizontal="center"/>
    </xf>
    <xf numFmtId="165" fontId="1" fillId="0" borderId="2" xfId="1" applyNumberFormat="1" applyBorder="1" applyAlignment="1">
      <alignment horizontal="center"/>
    </xf>
    <xf numFmtId="2" fontId="1" fillId="0" borderId="2" xfId="1" applyNumberFormat="1" applyBorder="1" applyAlignment="1">
      <alignment horizontal="center"/>
    </xf>
    <xf numFmtId="164" fontId="1" fillId="0" borderId="1" xfId="1" applyNumberFormat="1" applyBorder="1" applyAlignment="1">
      <alignment horizontal="center"/>
    </xf>
    <xf numFmtId="2" fontId="67" fillId="0" borderId="6" xfId="1" applyNumberFormat="1" applyFont="1" applyBorder="1" applyAlignment="1">
      <alignment horizontal="center"/>
    </xf>
    <xf numFmtId="2" fontId="67" fillId="0" borderId="5" xfId="1" applyNumberFormat="1" applyFont="1" applyBorder="1" applyAlignment="1">
      <alignment horizontal="center"/>
    </xf>
    <xf numFmtId="0" fontId="68" fillId="0" borderId="0" xfId="1" applyFont="1"/>
    <xf numFmtId="165" fontId="67" fillId="0" borderId="6" xfId="1" applyNumberFormat="1" applyFont="1" applyBorder="1" applyAlignment="1">
      <alignment horizontal="center"/>
    </xf>
    <xf numFmtId="165" fontId="67" fillId="0" borderId="5" xfId="1" applyNumberFormat="1" applyFont="1" applyBorder="1" applyAlignment="1">
      <alignment horizontal="center"/>
    </xf>
    <xf numFmtId="167" fontId="1" fillId="0" borderId="0" xfId="1" applyNumberFormat="1"/>
    <xf numFmtId="167" fontId="67" fillId="0" borderId="6" xfId="1" applyNumberFormat="1" applyFont="1" applyBorder="1" applyAlignment="1">
      <alignment horizontal="center"/>
    </xf>
    <xf numFmtId="167" fontId="67" fillId="0" borderId="5" xfId="1" applyNumberFormat="1" applyFont="1" applyBorder="1" applyAlignment="1">
      <alignment horizontal="center"/>
    </xf>
    <xf numFmtId="164" fontId="67" fillId="0" borderId="6" xfId="1" applyNumberFormat="1" applyFont="1" applyBorder="1" applyAlignment="1">
      <alignment horizontal="center"/>
    </xf>
    <xf numFmtId="164" fontId="67" fillId="0" borderId="5" xfId="1" applyNumberFormat="1" applyFont="1" applyBorder="1" applyAlignment="1">
      <alignment horizontal="center"/>
    </xf>
    <xf numFmtId="165" fontId="67" fillId="0" borderId="2" xfId="1" applyNumberFormat="1" applyFont="1" applyBorder="1" applyAlignment="1">
      <alignment horizontal="center"/>
    </xf>
    <xf numFmtId="165" fontId="69" fillId="0" borderId="45" xfId="1" applyNumberFormat="1" applyFont="1" applyBorder="1" applyAlignment="1">
      <alignment horizontal="center"/>
    </xf>
    <xf numFmtId="165" fontId="69" fillId="0" borderId="137" xfId="1" applyNumberFormat="1" applyFont="1" applyBorder="1" applyAlignment="1">
      <alignment horizontal="center"/>
    </xf>
    <xf numFmtId="165" fontId="69" fillId="0" borderId="46" xfId="1" applyNumberFormat="1" applyFont="1" applyBorder="1" applyAlignment="1">
      <alignment horizontal="center"/>
    </xf>
    <xf numFmtId="0" fontId="3" fillId="0" borderId="6" xfId="1" applyFont="1" applyBorder="1"/>
    <xf numFmtId="0" fontId="1" fillId="0" borderId="0" xfId="1" applyAlignment="1">
      <alignment horizontal="right"/>
    </xf>
    <xf numFmtId="164" fontId="1" fillId="0" borderId="0" xfId="1" applyNumberFormat="1" applyAlignment="1">
      <alignment horizontal="left"/>
    </xf>
    <xf numFmtId="2" fontId="1" fillId="0" borderId="0" xfId="1" applyNumberFormat="1" applyAlignment="1">
      <alignment horizontal="left"/>
    </xf>
    <xf numFmtId="0" fontId="3" fillId="0" borderId="2" xfId="1" applyFont="1" applyBorder="1"/>
    <xf numFmtId="0" fontId="1" fillId="0" borderId="0" xfId="1" applyAlignment="1">
      <alignment horizontal="left"/>
    </xf>
    <xf numFmtId="1" fontId="1" fillId="0" borderId="0" xfId="1" applyNumberFormat="1" applyAlignment="1">
      <alignment horizontal="left"/>
    </xf>
    <xf numFmtId="0" fontId="71" fillId="5" borderId="0" xfId="1" applyFont="1" applyFill="1"/>
    <xf numFmtId="0" fontId="15" fillId="5" borderId="0" xfId="1" applyFont="1" applyFill="1"/>
    <xf numFmtId="0" fontId="17" fillId="0" borderId="0" xfId="2" applyFont="1" applyAlignment="1">
      <alignment horizontal="center"/>
    </xf>
    <xf numFmtId="0" fontId="20" fillId="2" borderId="0" xfId="2" applyFont="1" applyFill="1" applyAlignment="1">
      <alignment horizontal="center"/>
    </xf>
    <xf numFmtId="0" fontId="22" fillId="2" borderId="58" xfId="2" applyFont="1" applyFill="1" applyBorder="1" applyAlignment="1">
      <alignment horizontal="center"/>
    </xf>
    <xf numFmtId="0" fontId="28" fillId="2" borderId="25" xfId="2" applyFont="1" applyFill="1" applyBorder="1" applyAlignment="1">
      <alignment horizontal="left"/>
    </xf>
    <xf numFmtId="0" fontId="28" fillId="2" borderId="26" xfId="2" applyFont="1" applyFill="1" applyBorder="1" applyAlignment="1">
      <alignment horizontal="left"/>
    </xf>
    <xf numFmtId="0" fontId="30" fillId="0" borderId="69" xfId="2" applyFont="1" applyBorder="1" applyAlignment="1">
      <alignment horizontal="left"/>
    </xf>
    <xf numFmtId="0" fontId="30" fillId="0" borderId="70" xfId="2" applyFont="1" applyBorder="1" applyAlignment="1">
      <alignment horizontal="left"/>
    </xf>
    <xf numFmtId="0" fontId="31" fillId="2" borderId="71" xfId="2" applyFont="1" applyFill="1" applyBorder="1" applyAlignment="1">
      <alignment horizontal="center"/>
    </xf>
    <xf numFmtId="0" fontId="31" fillId="2" borderId="67" xfId="2" applyFont="1" applyFill="1" applyBorder="1" applyAlignment="1">
      <alignment horizontal="center"/>
    </xf>
    <xf numFmtId="0" fontId="21" fillId="2" borderId="23" xfId="2" applyFont="1" applyFill="1" applyBorder="1" applyAlignment="1">
      <alignment horizontal="left"/>
    </xf>
    <xf numFmtId="0" fontId="21" fillId="2" borderId="22" xfId="2" applyFont="1" applyFill="1" applyBorder="1" applyAlignment="1">
      <alignment horizontal="left"/>
    </xf>
    <xf numFmtId="0" fontId="21" fillId="2" borderId="54" xfId="2" applyFont="1" applyFill="1" applyBorder="1" applyAlignment="1">
      <alignment horizontal="left"/>
    </xf>
    <xf numFmtId="0" fontId="21" fillId="0" borderId="89" xfId="2" applyFont="1" applyBorder="1" applyAlignment="1">
      <alignment horizontal="left"/>
    </xf>
    <xf numFmtId="0" fontId="21" fillId="0" borderId="90" xfId="2" applyFont="1" applyBorder="1" applyAlignment="1">
      <alignment horizontal="left"/>
    </xf>
    <xf numFmtId="0" fontId="21" fillId="0" borderId="91" xfId="2" applyFont="1" applyBorder="1" applyAlignment="1">
      <alignment horizontal="left"/>
    </xf>
    <xf numFmtId="0" fontId="30" fillId="0" borderId="72" xfId="2" applyFont="1" applyBorder="1" applyAlignment="1">
      <alignment horizontal="left"/>
    </xf>
    <xf numFmtId="0" fontId="30" fillId="0" borderId="73" xfId="2" applyFont="1" applyBorder="1" applyAlignment="1">
      <alignment horizontal="left"/>
    </xf>
    <xf numFmtId="2" fontId="32" fillId="0" borderId="74" xfId="2" applyNumberFormat="1" applyFont="1" applyBorder="1" applyAlignment="1">
      <alignment horizontal="center"/>
    </xf>
    <xf numFmtId="2" fontId="32" fillId="0" borderId="75" xfId="2" applyNumberFormat="1" applyFont="1" applyBorder="1" applyAlignment="1">
      <alignment horizontal="center"/>
    </xf>
    <xf numFmtId="0" fontId="32" fillId="0" borderId="74" xfId="2" applyFont="1" applyBorder="1" applyAlignment="1">
      <alignment horizontal="center"/>
    </xf>
    <xf numFmtId="0" fontId="32" fillId="0" borderId="75" xfId="2" applyFont="1" applyBorder="1" applyAlignment="1">
      <alignment horizontal="center"/>
    </xf>
    <xf numFmtId="0" fontId="30" fillId="0" borderId="84" xfId="2" applyFont="1" applyBorder="1" applyAlignment="1">
      <alignment horizontal="left"/>
    </xf>
    <xf numFmtId="0" fontId="30" fillId="0" borderId="77" xfId="2" applyFont="1" applyBorder="1" applyAlignment="1">
      <alignment horizontal="left"/>
    </xf>
    <xf numFmtId="0" fontId="30" fillId="0" borderId="78" xfId="2" applyFont="1" applyBorder="1" applyAlignment="1">
      <alignment horizontal="left"/>
    </xf>
    <xf numFmtId="164" fontId="32" fillId="2" borderId="74" xfId="2" applyNumberFormat="1" applyFont="1" applyFill="1" applyBorder="1" applyAlignment="1">
      <alignment horizontal="center"/>
    </xf>
    <xf numFmtId="164" fontId="32" fillId="2" borderId="75" xfId="2" applyNumberFormat="1" applyFont="1" applyFill="1" applyBorder="1" applyAlignment="1">
      <alignment horizontal="center"/>
    </xf>
    <xf numFmtId="164" fontId="32" fillId="0" borderId="74" xfId="2" applyNumberFormat="1" applyFont="1" applyBorder="1" applyAlignment="1">
      <alignment horizontal="center"/>
    </xf>
    <xf numFmtId="164" fontId="32" fillId="0" borderId="75" xfId="2" applyNumberFormat="1" applyFont="1" applyBorder="1" applyAlignment="1">
      <alignment horizontal="center"/>
    </xf>
    <xf numFmtId="1" fontId="32" fillId="2" borderId="74" xfId="2" applyNumberFormat="1" applyFont="1" applyFill="1" applyBorder="1" applyAlignment="1">
      <alignment horizontal="center"/>
    </xf>
    <xf numFmtId="1" fontId="32" fillId="2" borderId="75" xfId="2" applyNumberFormat="1" applyFont="1" applyFill="1" applyBorder="1" applyAlignment="1">
      <alignment horizontal="center"/>
    </xf>
    <xf numFmtId="0" fontId="30" fillId="2" borderId="84" xfId="2" applyFont="1" applyFill="1" applyBorder="1" applyAlignment="1">
      <alignment horizontal="left"/>
    </xf>
    <xf numFmtId="0" fontId="30" fillId="2" borderId="77" xfId="2" applyFont="1" applyFill="1" applyBorder="1" applyAlignment="1">
      <alignment horizontal="left"/>
    </xf>
    <xf numFmtId="0" fontId="30" fillId="2" borderId="78" xfId="2" applyFont="1" applyFill="1" applyBorder="1" applyAlignment="1">
      <alignment horizontal="left"/>
    </xf>
    <xf numFmtId="2" fontId="32" fillId="2" borderId="74" xfId="2" applyNumberFormat="1" applyFont="1" applyFill="1" applyBorder="1" applyAlignment="1">
      <alignment horizontal="center"/>
    </xf>
    <xf numFmtId="2" fontId="32" fillId="2" borderId="75" xfId="2" applyNumberFormat="1" applyFont="1" applyFill="1" applyBorder="1" applyAlignment="1">
      <alignment horizontal="center"/>
    </xf>
    <xf numFmtId="0" fontId="30" fillId="2" borderId="84" xfId="2" quotePrefix="1" applyFont="1" applyFill="1" applyBorder="1" applyAlignment="1">
      <alignment horizontal="left"/>
    </xf>
    <xf numFmtId="0" fontId="30" fillId="2" borderId="77" xfId="2" quotePrefix="1" applyFont="1" applyFill="1" applyBorder="1" applyAlignment="1">
      <alignment horizontal="left"/>
    </xf>
    <xf numFmtId="0" fontId="30" fillId="2" borderId="78" xfId="2" quotePrefix="1" applyFont="1" applyFill="1" applyBorder="1" applyAlignment="1">
      <alignment horizontal="left"/>
    </xf>
    <xf numFmtId="0" fontId="32" fillId="2" borderId="74" xfId="2" applyFont="1" applyFill="1" applyBorder="1" applyAlignment="1">
      <alignment horizontal="center"/>
    </xf>
    <xf numFmtId="0" fontId="32" fillId="2" borderId="75" xfId="2" applyFont="1" applyFill="1" applyBorder="1" applyAlignment="1">
      <alignment horizontal="center"/>
    </xf>
    <xf numFmtId="0" fontId="30" fillId="2" borderId="94" xfId="2" applyFont="1" applyFill="1" applyBorder="1" applyAlignment="1">
      <alignment horizontal="center"/>
    </xf>
    <xf numFmtId="0" fontId="30" fillId="2" borderId="95" xfId="2" applyFont="1" applyFill="1" applyBorder="1" applyAlignment="1">
      <alignment horizontal="center"/>
    </xf>
    <xf numFmtId="0" fontId="30" fillId="2" borderId="19" xfId="2" applyFont="1" applyFill="1" applyBorder="1" applyAlignment="1">
      <alignment horizontal="center"/>
    </xf>
    <xf numFmtId="0" fontId="30" fillId="2" borderId="0" xfId="2" applyFont="1" applyFill="1" applyAlignment="1">
      <alignment horizontal="center"/>
    </xf>
    <xf numFmtId="0" fontId="30" fillId="2" borderId="17" xfId="2" applyFont="1" applyFill="1" applyBorder="1" applyAlignment="1">
      <alignment horizontal="center"/>
    </xf>
    <xf numFmtId="0" fontId="30" fillId="2" borderId="16" xfId="2" applyFont="1" applyFill="1" applyBorder="1" applyAlignment="1">
      <alignment horizontal="center"/>
    </xf>
    <xf numFmtId="0" fontId="30" fillId="2" borderId="96" xfId="2" applyFont="1" applyFill="1" applyBorder="1" applyAlignment="1">
      <alignment horizontal="left"/>
    </xf>
    <xf numFmtId="0" fontId="30" fillId="2" borderId="97" xfId="2" applyFont="1" applyFill="1" applyBorder="1" applyAlignment="1">
      <alignment horizontal="left"/>
    </xf>
    <xf numFmtId="0" fontId="30" fillId="2" borderId="98" xfId="2" applyFont="1" applyFill="1" applyBorder="1" applyAlignment="1">
      <alignment horizontal="left"/>
    </xf>
    <xf numFmtId="0" fontId="32" fillId="2" borderId="99" xfId="2" applyFont="1" applyFill="1" applyBorder="1" applyAlignment="1">
      <alignment horizontal="center"/>
    </xf>
    <xf numFmtId="0" fontId="32" fillId="0" borderId="99" xfId="2" applyFont="1" applyBorder="1" applyAlignment="1">
      <alignment horizontal="center"/>
    </xf>
    <xf numFmtId="168" fontId="32" fillId="2" borderId="74" xfId="2" applyNumberFormat="1" applyFont="1" applyFill="1" applyBorder="1" applyAlignment="1">
      <alignment horizontal="center"/>
    </xf>
    <xf numFmtId="168" fontId="32" fillId="2" borderId="75" xfId="2" applyNumberFormat="1" applyFont="1" applyFill="1" applyBorder="1" applyAlignment="1">
      <alignment horizontal="center"/>
    </xf>
    <xf numFmtId="1" fontId="32" fillId="2" borderId="107" xfId="2" applyNumberFormat="1" applyFont="1" applyFill="1" applyBorder="1" applyAlignment="1">
      <alignment horizontal="center"/>
    </xf>
    <xf numFmtId="1" fontId="32" fillId="2" borderId="108" xfId="2" applyNumberFormat="1" applyFont="1" applyFill="1" applyBorder="1" applyAlignment="1">
      <alignment horizontal="center"/>
    </xf>
    <xf numFmtId="0" fontId="27" fillId="0" borderId="114" xfId="2" applyFont="1" applyBorder="1" applyAlignment="1">
      <alignment horizontal="left"/>
    </xf>
    <xf numFmtId="0" fontId="27" fillId="0" borderId="86" xfId="2" applyFont="1" applyBorder="1" applyAlignment="1">
      <alignment horizontal="left"/>
    </xf>
    <xf numFmtId="0" fontId="21" fillId="0" borderId="109" xfId="2" applyFont="1" applyBorder="1" applyAlignment="1">
      <alignment horizontal="left"/>
    </xf>
    <xf numFmtId="0" fontId="21" fillId="0" borderId="22" xfId="2" applyFont="1" applyBorder="1" applyAlignment="1">
      <alignment horizontal="left"/>
    </xf>
    <xf numFmtId="14" fontId="25" fillId="2" borderId="128" xfId="2" applyNumberFormat="1" applyFont="1" applyFill="1" applyBorder="1" applyAlignment="1">
      <alignment horizontal="center"/>
    </xf>
    <xf numFmtId="14" fontId="25" fillId="2" borderId="129" xfId="2" applyNumberFormat="1" applyFont="1" applyFill="1" applyBorder="1" applyAlignment="1">
      <alignment horizontal="center"/>
    </xf>
    <xf numFmtId="0" fontId="27" fillId="0" borderId="30" xfId="2" applyFont="1" applyBorder="1" applyAlignment="1">
      <alignment horizontal="center"/>
    </xf>
    <xf numFmtId="0" fontId="27" fillId="0" borderId="0" xfId="2" applyFont="1" applyAlignment="1">
      <alignment horizontal="center"/>
    </xf>
    <xf numFmtId="0" fontId="27" fillId="0" borderId="18" xfId="2" applyFont="1" applyBorder="1" applyAlignment="1">
      <alignment horizontal="center"/>
    </xf>
    <xf numFmtId="0" fontId="27" fillId="0" borderId="115" xfId="2" applyFont="1" applyBorder="1" applyAlignment="1">
      <alignment horizontal="center"/>
    </xf>
    <xf numFmtId="0" fontId="27" fillId="0" borderId="16" xfId="2" applyFont="1" applyBorder="1" applyAlignment="1">
      <alignment horizontal="center"/>
    </xf>
    <xf numFmtId="0" fontId="27" fillId="0" borderId="11" xfId="2" applyFont="1" applyBorder="1" applyAlignment="1">
      <alignment horizontal="center"/>
    </xf>
    <xf numFmtId="0" fontId="21" fillId="0" borderId="21" xfId="2" applyFont="1" applyBorder="1" applyAlignment="1">
      <alignment horizontal="left"/>
    </xf>
    <xf numFmtId="0" fontId="27" fillId="0" borderId="63" xfId="2" applyFont="1" applyBorder="1" applyAlignment="1">
      <alignment horizontal="center"/>
    </xf>
    <xf numFmtId="0" fontId="27" fillId="0" borderId="58" xfId="2" applyFont="1" applyBorder="1" applyAlignment="1">
      <alignment horizontal="center"/>
    </xf>
    <xf numFmtId="0" fontId="27" fillId="0" borderId="39" xfId="2" applyFont="1" applyBorder="1" applyAlignment="1">
      <alignment horizontal="center"/>
    </xf>
    <xf numFmtId="0" fontId="43" fillId="2" borderId="123" xfId="2" applyFont="1" applyFill="1" applyBorder="1" applyAlignment="1">
      <alignment horizontal="center"/>
    </xf>
    <xf numFmtId="0" fontId="43" fillId="2" borderId="124" xfId="2" applyFont="1" applyFill="1" applyBorder="1" applyAlignment="1">
      <alignment horizontal="center"/>
    </xf>
    <xf numFmtId="0" fontId="1" fillId="0" borderId="56" xfId="3" applyBorder="1" applyAlignment="1">
      <alignment horizontal="left"/>
    </xf>
    <xf numFmtId="0" fontId="1" fillId="0" borderId="26" xfId="3" applyBorder="1" applyAlignment="1">
      <alignment horizontal="left"/>
    </xf>
    <xf numFmtId="169" fontId="1" fillId="0" borderId="56" xfId="3" applyNumberFormat="1" applyBorder="1" applyAlignment="1">
      <alignment horizontal="center"/>
    </xf>
    <xf numFmtId="169" fontId="1" fillId="0" borderId="26" xfId="3" applyNumberFormat="1" applyBorder="1" applyAlignment="1">
      <alignment horizontal="center"/>
    </xf>
    <xf numFmtId="169" fontId="1" fillId="0" borderId="66" xfId="3" applyNumberFormat="1" applyBorder="1" applyAlignment="1">
      <alignment horizontal="center"/>
    </xf>
    <xf numFmtId="49" fontId="1" fillId="0" borderId="56" xfId="3" applyNumberFormat="1" applyBorder="1" applyAlignment="1">
      <alignment horizontal="center"/>
    </xf>
    <xf numFmtId="49" fontId="1" fillId="0" borderId="26" xfId="3" applyNumberFormat="1" applyBorder="1" applyAlignment="1">
      <alignment horizontal="center"/>
    </xf>
    <xf numFmtId="49" fontId="1" fillId="0" borderId="27" xfId="3" applyNumberFormat="1" applyBorder="1" applyAlignment="1">
      <alignment horizontal="center"/>
    </xf>
    <xf numFmtId="0" fontId="47" fillId="0" borderId="30" xfId="3" applyFont="1" applyBorder="1" applyAlignment="1">
      <alignment horizontal="center"/>
    </xf>
    <xf numFmtId="0" fontId="47" fillId="0" borderId="0" xfId="3" applyFont="1" applyAlignment="1">
      <alignment horizontal="center"/>
    </xf>
    <xf numFmtId="0" fontId="47" fillId="0" borderId="65" xfId="3" applyFont="1" applyBorder="1" applyAlignment="1">
      <alignment horizontal="center"/>
    </xf>
    <xf numFmtId="0" fontId="46" fillId="0" borderId="44" xfId="3" applyFont="1" applyBorder="1" applyAlignment="1">
      <alignment horizontal="center"/>
    </xf>
    <xf numFmtId="0" fontId="46" fillId="0" borderId="28" xfId="3" applyFont="1" applyBorder="1" applyAlignment="1">
      <alignment horizontal="center"/>
    </xf>
    <xf numFmtId="0" fontId="46" fillId="0" borderId="136" xfId="3" applyFont="1" applyBorder="1" applyAlignment="1">
      <alignment horizontal="center"/>
    </xf>
    <xf numFmtId="0" fontId="46" fillId="0" borderId="29" xfId="3" applyFont="1" applyBorder="1" applyAlignment="1">
      <alignment horizontal="center"/>
    </xf>
    <xf numFmtId="0" fontId="1" fillId="0" borderId="15" xfId="3" applyBorder="1" applyAlignment="1">
      <alignment horizontal="left"/>
    </xf>
    <xf numFmtId="0" fontId="1" fillId="0" borderId="20" xfId="3" applyBorder="1" applyAlignment="1">
      <alignment horizontal="left"/>
    </xf>
    <xf numFmtId="169" fontId="1" fillId="0" borderId="15" xfId="3" applyNumberFormat="1" applyBorder="1" applyAlignment="1">
      <alignment horizontal="center"/>
    </xf>
    <xf numFmtId="169" fontId="1" fillId="0" borderId="20" xfId="3" applyNumberFormat="1" applyBorder="1" applyAlignment="1">
      <alignment horizontal="center"/>
    </xf>
    <xf numFmtId="169" fontId="1" fillId="0" borderId="7" xfId="3" applyNumberFormat="1" applyBorder="1" applyAlignment="1">
      <alignment horizontal="center"/>
    </xf>
    <xf numFmtId="49" fontId="1" fillId="0" borderId="15" xfId="3" applyNumberFormat="1" applyBorder="1" applyAlignment="1">
      <alignment horizontal="center"/>
    </xf>
    <xf numFmtId="49" fontId="1" fillId="0" borderId="20" xfId="3" applyNumberFormat="1" applyBorder="1" applyAlignment="1">
      <alignment horizontal="center"/>
    </xf>
    <xf numFmtId="49" fontId="1" fillId="0" borderId="33" xfId="3" applyNumberFormat="1" applyBorder="1" applyAlignment="1">
      <alignment horizontal="center"/>
    </xf>
    <xf numFmtId="0" fontId="1" fillId="0" borderId="45" xfId="3" applyBorder="1" applyAlignment="1">
      <alignment horizontal="left"/>
    </xf>
    <xf numFmtId="0" fontId="1" fillId="0" borderId="137" xfId="3" applyBorder="1" applyAlignment="1">
      <alignment horizontal="left"/>
    </xf>
    <xf numFmtId="169" fontId="1" fillId="0" borderId="45" xfId="3" applyNumberFormat="1" applyBorder="1" applyAlignment="1">
      <alignment horizontal="center"/>
    </xf>
    <xf numFmtId="169" fontId="1" fillId="0" borderId="137" xfId="3" applyNumberFormat="1" applyBorder="1" applyAlignment="1">
      <alignment horizontal="center"/>
    </xf>
    <xf numFmtId="169" fontId="1" fillId="0" borderId="3" xfId="3" applyNumberFormat="1" applyBorder="1" applyAlignment="1">
      <alignment horizontal="center"/>
    </xf>
    <xf numFmtId="49" fontId="1" fillId="0" borderId="45" xfId="3" applyNumberFormat="1" applyBorder="1" applyAlignment="1">
      <alignment horizontal="center"/>
    </xf>
    <xf numFmtId="49" fontId="1" fillId="0" borderId="137" xfId="3" applyNumberFormat="1" applyBorder="1" applyAlignment="1">
      <alignment horizontal="center"/>
    </xf>
    <xf numFmtId="49" fontId="1" fillId="0" borderId="46" xfId="3" applyNumberFormat="1" applyBorder="1" applyAlignment="1">
      <alignment horizontal="center"/>
    </xf>
    <xf numFmtId="0" fontId="17" fillId="0" borderId="0" xfId="1" applyFont="1" applyAlignment="1">
      <alignment horizontal="center"/>
    </xf>
    <xf numFmtId="0" fontId="10" fillId="0" borderId="0" xfId="1" applyFont="1" applyAlignment="1">
      <alignment horizontal="center"/>
    </xf>
    <xf numFmtId="0" fontId="5" fillId="0" borderId="25" xfId="1" applyFont="1" applyBorder="1" applyAlignment="1">
      <alignment horizontal="left"/>
    </xf>
    <xf numFmtId="0" fontId="5" fillId="0" borderId="26" xfId="1" applyFont="1" applyBorder="1" applyAlignment="1">
      <alignment horizontal="left"/>
    </xf>
    <xf numFmtId="0" fontId="5" fillId="0" borderId="27" xfId="1" applyFont="1" applyBorder="1" applyAlignment="1">
      <alignment horizontal="left"/>
    </xf>
    <xf numFmtId="0" fontId="24" fillId="0" borderId="23" xfId="1" applyFont="1" applyBorder="1" applyAlignment="1">
      <alignment horizontal="center"/>
    </xf>
    <xf numFmtId="0" fontId="24" fillId="0" borderId="54" xfId="1" applyFont="1" applyBorder="1" applyAlignment="1">
      <alignment horizontal="center"/>
    </xf>
    <xf numFmtId="0" fontId="50" fillId="0" borderId="109" xfId="1" applyFont="1" applyBorder="1" applyAlignment="1">
      <alignment horizontal="center"/>
    </xf>
    <xf numFmtId="0" fontId="50" fillId="0" borderId="22" xfId="1" applyFont="1" applyBorder="1" applyAlignment="1">
      <alignment horizontal="center"/>
    </xf>
    <xf numFmtId="0" fontId="50" fillId="0" borderId="54" xfId="1" applyFont="1" applyBorder="1" applyAlignment="1">
      <alignment horizontal="center"/>
    </xf>
    <xf numFmtId="0" fontId="12" fillId="0" borderId="138" xfId="1" applyFont="1" applyBorder="1" applyAlignment="1">
      <alignment horizontal="right"/>
    </xf>
    <xf numFmtId="0" fontId="12" fillId="0" borderId="137" xfId="1" applyFont="1" applyBorder="1" applyAlignment="1">
      <alignment horizontal="right"/>
    </xf>
    <xf numFmtId="0" fontId="24" fillId="0" borderId="137" xfId="1" applyFont="1" applyBorder="1" applyAlignment="1">
      <alignment horizontal="center"/>
    </xf>
    <xf numFmtId="0" fontId="24" fillId="0" borderId="60" xfId="1" applyFont="1" applyBorder="1" applyAlignment="1">
      <alignment horizontal="center"/>
    </xf>
    <xf numFmtId="0" fontId="24" fillId="0" borderId="62" xfId="1" applyFont="1" applyBorder="1" applyAlignment="1">
      <alignment horizontal="center"/>
    </xf>
    <xf numFmtId="0" fontId="24" fillId="0" borderId="63" xfId="1" applyFont="1" applyBorder="1" applyAlignment="1">
      <alignment horizontal="center"/>
    </xf>
    <xf numFmtId="0" fontId="24" fillId="0" borderId="58" xfId="1" applyFont="1" applyBorder="1" applyAlignment="1">
      <alignment horizontal="center"/>
    </xf>
    <xf numFmtId="0" fontId="24" fillId="0" borderId="40" xfId="1" applyFont="1" applyBorder="1" applyAlignment="1">
      <alignment horizontal="center"/>
    </xf>
    <xf numFmtId="0" fontId="50" fillId="0" borderId="23" xfId="1" applyFont="1" applyBorder="1" applyAlignment="1">
      <alignment horizontal="center"/>
    </xf>
    <xf numFmtId="0" fontId="1" fillId="0" borderId="54" xfId="1" applyBorder="1" applyAlignment="1">
      <alignment horizontal="center"/>
    </xf>
    <xf numFmtId="0" fontId="24" fillId="0" borderId="61" xfId="1" applyFont="1" applyBorder="1" applyAlignment="1">
      <alignment horizontal="center"/>
    </xf>
    <xf numFmtId="0" fontId="24" fillId="0" borderId="22" xfId="1" applyFont="1" applyBorder="1" applyAlignment="1">
      <alignment horizontal="center"/>
    </xf>
    <xf numFmtId="0" fontId="50" fillId="0" borderId="109" xfId="1" applyFont="1" applyBorder="1" applyAlignment="1">
      <alignment horizontal="right"/>
    </xf>
    <xf numFmtId="0" fontId="50" fillId="0" borderId="22" xfId="1" applyFont="1" applyBorder="1" applyAlignment="1">
      <alignment horizontal="right"/>
    </xf>
    <xf numFmtId="0" fontId="50" fillId="0" borderId="63" xfId="1" applyFont="1" applyBorder="1" applyAlignment="1">
      <alignment horizontal="right"/>
    </xf>
    <xf numFmtId="0" fontId="50" fillId="0" borderId="58" xfId="1" applyFont="1" applyBorder="1" applyAlignment="1">
      <alignment horizontal="right"/>
    </xf>
    <xf numFmtId="171" fontId="63" fillId="0" borderId="149" xfId="4" applyFont="1" applyBorder="1" applyAlignment="1" applyProtection="1">
      <alignment horizontal="center"/>
      <protection locked="0"/>
    </xf>
    <xf numFmtId="14" fontId="16" fillId="0" borderId="149" xfId="4" quotePrefix="1" applyNumberFormat="1" applyFont="1" applyBorder="1" applyAlignment="1" applyProtection="1">
      <alignment horizontal="center"/>
      <protection locked="0"/>
    </xf>
    <xf numFmtId="0" fontId="4" fillId="0" borderId="15" xfId="1" applyFont="1" applyBorder="1" applyAlignment="1">
      <alignment horizontal="center"/>
    </xf>
    <xf numFmtId="0" fontId="4" fillId="0" borderId="20" xfId="1" applyFont="1" applyBorder="1" applyAlignment="1">
      <alignment horizontal="center"/>
    </xf>
    <xf numFmtId="0" fontId="4" fillId="0" borderId="7" xfId="1" applyFont="1" applyBorder="1" applyAlignment="1">
      <alignment horizontal="center"/>
    </xf>
    <xf numFmtId="0" fontId="8" fillId="0" borderId="19" xfId="1" applyFont="1" applyBorder="1" applyAlignment="1">
      <alignment horizontal="center"/>
    </xf>
    <xf numFmtId="0" fontId="8" fillId="0" borderId="0" xfId="1" applyFont="1" applyAlignment="1">
      <alignment horizontal="center"/>
    </xf>
    <xf numFmtId="0" fontId="8" fillId="0" borderId="18" xfId="1" applyFont="1" applyBorder="1" applyAlignment="1">
      <alignment horizontal="center"/>
    </xf>
    <xf numFmtId="0" fontId="7" fillId="0" borderId="19" xfId="1" applyFont="1" applyBorder="1" applyAlignment="1">
      <alignment horizontal="center"/>
    </xf>
    <xf numFmtId="0" fontId="7" fillId="0" borderId="0" xfId="1" applyFont="1" applyAlignment="1">
      <alignment horizontal="center"/>
    </xf>
    <xf numFmtId="0" fontId="7" fillId="0" borderId="18" xfId="1" applyFont="1" applyBorder="1" applyAlignment="1">
      <alignment horizontal="center"/>
    </xf>
    <xf numFmtId="0" fontId="49" fillId="0" borderId="6" xfId="1" applyFont="1" applyBorder="1" applyAlignment="1">
      <alignment horizontal="center"/>
    </xf>
    <xf numFmtId="0" fontId="50" fillId="0" borderId="15" xfId="1" applyFont="1" applyBorder="1" applyAlignment="1">
      <alignment horizontal="center"/>
    </xf>
    <xf numFmtId="0" fontId="24" fillId="0" borderId="20" xfId="1" applyFont="1" applyBorder="1" applyAlignment="1">
      <alignment horizontal="center"/>
    </xf>
    <xf numFmtId="0" fontId="24" fillId="0" borderId="7" xfId="1" applyFont="1" applyBorder="1" applyAlignment="1">
      <alignment horizontal="center"/>
    </xf>
    <xf numFmtId="0" fontId="64" fillId="0" borderId="6" xfId="1" applyFont="1" applyBorder="1" applyAlignment="1">
      <alignment horizontal="center"/>
    </xf>
    <xf numFmtId="0" fontId="24" fillId="0" borderId="15" xfId="1" applyFont="1" applyBorder="1" applyAlignment="1">
      <alignment horizontal="center"/>
    </xf>
    <xf numFmtId="0" fontId="49" fillId="0" borderId="15" xfId="1" applyFont="1" applyBorder="1" applyAlignment="1">
      <alignment horizontal="right"/>
    </xf>
    <xf numFmtId="0" fontId="49" fillId="0" borderId="20" xfId="1" applyFont="1" applyBorder="1" applyAlignment="1">
      <alignment horizontal="right"/>
    </xf>
    <xf numFmtId="0" fontId="24" fillId="0" borderId="0" xfId="1" applyFont="1" applyAlignment="1">
      <alignment horizontal="center"/>
    </xf>
    <xf numFmtId="0" fontId="64" fillId="0" borderId="0" xfId="1" applyFont="1" applyAlignment="1">
      <alignment horizontal="right"/>
    </xf>
  </cellXfs>
  <cellStyles count="6">
    <cellStyle name="Normal" xfId="0" builtinId="0"/>
    <cellStyle name="Normal 2" xfId="4" xr:uid="{00000000-0005-0000-0000-000001000000}"/>
    <cellStyle name="Normal 3" xfId="1" xr:uid="{00000000-0005-0000-0000-000002000000}"/>
    <cellStyle name="Normal 4" xfId="5" xr:uid="{00000000-0005-0000-0000-000003000000}"/>
    <cellStyle name="Normal_OPTEST" xfId="2" xr:uid="{00000000-0005-0000-0000-000004000000}"/>
    <cellStyle name="Normal_PROJ_REV_HIST"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(DesignSheet!$B$59:$B$68,DesignSheet!$E$59:$E$62)</c:f>
              <c:numCache>
                <c:formatCode>0.0</c:formatCode>
                <c:ptCount val="14"/>
                <c:pt idx="0">
                  <c:v>0</c:v>
                </c:pt>
                <c:pt idx="1">
                  <c:v>103.53000254319832</c:v>
                </c:pt>
                <c:pt idx="2">
                  <c:v>323.91075175065947</c:v>
                </c:pt>
                <c:pt idx="3">
                  <c:v>317.5298605584797</c:v>
                </c:pt>
                <c:pt idx="4">
                  <c:v>267.32121446613894</c:v>
                </c:pt>
                <c:pt idx="5">
                  <c:v>228.52543540419083</c:v>
                </c:pt>
                <c:pt idx="6">
                  <c:v>184.5251364323891</c:v>
                </c:pt>
                <c:pt idx="7">
                  <c:v>164.68851069545426</c:v>
                </c:pt>
                <c:pt idx="8">
                  <c:v>156.17564932135727</c:v>
                </c:pt>
                <c:pt idx="9">
                  <c:v>153.43172510884835</c:v>
                </c:pt>
                <c:pt idx="10">
                  <c:v>153.71271262530632</c:v>
                </c:pt>
                <c:pt idx="11">
                  <c:v>155.85154047702466</c:v>
                </c:pt>
                <c:pt idx="12">
                  <c:v>159.18559442197531</c:v>
                </c:pt>
                <c:pt idx="13">
                  <c:v>163.38955563361941</c:v>
                </c:pt>
              </c:numCache>
            </c:numRef>
          </c:yVal>
          <c:smooth val="1"/>
          <c:extLst>
            <c:ext xmlns:c16="http://schemas.microsoft.com/office/drawing/2014/chart" uri="{C3380CC4-5D6E-409C-BE32-E72D297353CC}">
              <c16:uniqueId val="{00000000-5C57-4417-9313-5892F7D0C3CD}"/>
            </c:ext>
          </c:extLst>
        </c:ser>
        <c:dLbls>
          <c:showLegendKey val="0"/>
          <c:showVal val="0"/>
          <c:showCatName val="0"/>
          <c:showSerName val="0"/>
          <c:showPercent val="0"/>
          <c:showBubbleSize val="0"/>
        </c:dLbls>
        <c:axId val="712786360"/>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(DesignSheet!$C$59:$C$68,DesignSheet!$F$59:$F$62)</c:f>
              <c:numCache>
                <c:formatCode>0.0</c:formatCode>
                <c:ptCount val="14"/>
                <c:pt idx="0">
                  <c:v>0</c:v>
                </c:pt>
                <c:pt idx="1">
                  <c:v>87.450714111328125</c:v>
                </c:pt>
                <c:pt idx="2">
                  <c:v>329.43780517578125</c:v>
                </c:pt>
                <c:pt idx="3">
                  <c:v>455.50881958007813</c:v>
                </c:pt>
                <c:pt idx="4">
                  <c:v>503.23696899414063</c:v>
                </c:pt>
                <c:pt idx="5">
                  <c:v>525.52020263671875</c:v>
                </c:pt>
                <c:pt idx="6">
                  <c:v>546.5946044921875</c:v>
                </c:pt>
                <c:pt idx="7">
                  <c:v>557.8023681640625</c:v>
                </c:pt>
                <c:pt idx="8">
                  <c:v>565.897705078125</c:v>
                </c:pt>
                <c:pt idx="9">
                  <c:v>572.64288330078125</c:v>
                </c:pt>
                <c:pt idx="10">
                  <c:v>578.36260986328125</c:v>
                </c:pt>
                <c:pt idx="11">
                  <c:v>583.5220947265625</c:v>
                </c:pt>
                <c:pt idx="12">
                  <c:v>588.22052001953125</c:v>
                </c:pt>
                <c:pt idx="13">
                  <c:v>592.5045166015625</c:v>
                </c:pt>
              </c:numCache>
            </c:numRef>
          </c:yVal>
          <c:smooth val="1"/>
          <c:extLst>
            <c:ext xmlns:c16="http://schemas.microsoft.com/office/drawing/2014/chart" uri="{C3380CC4-5D6E-409C-BE32-E72D297353CC}">
              <c16:uniqueId val="{00000001-5C57-4417-9313-5892F7D0C3CD}"/>
            </c:ext>
          </c:extLst>
        </c:ser>
        <c:dLbls>
          <c:showLegendKey val="0"/>
          <c:showVal val="0"/>
          <c:showCatName val="0"/>
          <c:showSerName val="0"/>
          <c:showPercent val="0"/>
          <c:showBubbleSize val="0"/>
        </c:dLbls>
        <c:axId val="3"/>
        <c:axId val="4"/>
      </c:scatterChart>
      <c:valAx>
        <c:axId val="712786360"/>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712786360"/>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40218931250759871"/>
          <c:y val="3.0674886569411381E-2"/>
        </c:manualLayout>
      </c:layout>
      <c:overlay val="0"/>
      <c:spPr>
        <a:noFill/>
        <a:ln w="25400">
          <a:noFill/>
        </a:ln>
      </c:spPr>
    </c:title>
    <c:autoTitleDeleted val="0"/>
    <c:plotArea>
      <c:layout>
        <c:manualLayout>
          <c:layoutTarget val="inner"/>
          <c:xMode val="edge"/>
          <c:yMode val="edge"/>
          <c:x val="0.13816710231862137"/>
          <c:y val="0.14263806351514263"/>
          <c:w val="0.72503528939474582"/>
          <c:h val="0.6365031866535934"/>
        </c:manualLayout>
      </c:layout>
      <c:scatterChart>
        <c:scatterStyle val="smoothMarker"/>
        <c:varyColors val="0"/>
        <c:ser>
          <c:idx val="0"/>
          <c:order val="0"/>
          <c:tx>
            <c:v>Torque</c:v>
          </c:tx>
          <c:spPr>
            <a:ln w="25400">
              <a:solidFill>
                <a:srgbClr val="000000"/>
              </a:solidFill>
              <a:prstDash val="solid"/>
            </a:ln>
          </c:spPr>
          <c:marker>
            <c:symbol val="none"/>
          </c:marker>
          <c:xVal>
            <c:numRef>
              <c:f>STCurve!$A$54:$A$67</c:f>
              <c:numCache>
                <c:formatCode>0.0</c:formatCode>
                <c:ptCount val="14"/>
                <c:pt idx="0">
                  <c:v>100</c:v>
                </c:pt>
                <c:pt idx="1">
                  <c:v>99.780000001192093</c:v>
                </c:pt>
                <c:pt idx="2">
                  <c:v>98.900000005960464</c:v>
                </c:pt>
                <c:pt idx="3">
                  <c:v>93.466666340827942</c:v>
                </c:pt>
                <c:pt idx="4">
                  <c:v>88.033332675695419</c:v>
                </c:pt>
                <c:pt idx="5">
                  <c:v>82.599999010562897</c:v>
                </c:pt>
                <c:pt idx="6">
                  <c:v>71.733331680297852</c:v>
                </c:pt>
                <c:pt idx="7">
                  <c:v>60.866665840148926</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80.860024837683923</c:v>
                </c:pt>
                <c:pt idx="2">
                  <c:v>255</c:v>
                </c:pt>
                <c:pt idx="3">
                  <c:v>164.03672425138836</c:v>
                </c:pt>
                <c:pt idx="4">
                  <c:v>120.32320348897613</c:v>
                </c:pt>
                <c:pt idx="5">
                  <c:v>96.275754400289969</c:v>
                </c:pt>
                <c:pt idx="6">
                  <c:v>79.420712361271498</c:v>
                </c:pt>
                <c:pt idx="7">
                  <c:v>72.805962081017242</c:v>
                </c:pt>
                <c:pt idx="8">
                  <c:v>70</c:v>
                </c:pt>
                <c:pt idx="9">
                  <c:v>72.466424189652656</c:v>
                </c:pt>
                <c:pt idx="10">
                  <c:v>77.111075346371933</c:v>
                </c:pt>
                <c:pt idx="11">
                  <c:v>85.179590327373006</c:v>
                </c:pt>
                <c:pt idx="12">
                  <c:v>98.536627795191947</c:v>
                </c:pt>
                <c:pt idx="13">
                  <c:v>120</c:v>
                </c:pt>
              </c:numCache>
            </c:numRef>
          </c:yVal>
          <c:smooth val="1"/>
          <c:extLst>
            <c:ext xmlns:c16="http://schemas.microsoft.com/office/drawing/2014/chart" uri="{C3380CC4-5D6E-409C-BE32-E72D297353CC}">
              <c16:uniqueId val="{00000000-FCE7-4E07-985C-8D436BC9A126}"/>
            </c:ext>
          </c:extLst>
        </c:ser>
        <c:dLbls>
          <c:showLegendKey val="0"/>
          <c:showVal val="0"/>
          <c:showCatName val="0"/>
          <c:showSerName val="0"/>
          <c:showPercent val="0"/>
          <c:showBubbleSize val="0"/>
        </c:dLbls>
        <c:axId val="780249472"/>
        <c:axId val="1"/>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99.780000001192093</c:v>
                </c:pt>
                <c:pt idx="2">
                  <c:v>98.900000005960464</c:v>
                </c:pt>
                <c:pt idx="3">
                  <c:v>93.466666340827942</c:v>
                </c:pt>
                <c:pt idx="4">
                  <c:v>88.033332675695419</c:v>
                </c:pt>
                <c:pt idx="5">
                  <c:v>82.599999010562897</c:v>
                </c:pt>
                <c:pt idx="6">
                  <c:v>71.733331680297852</c:v>
                </c:pt>
                <c:pt idx="7">
                  <c:v>60.866665840148926</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0.25882440805435181</c:v>
                </c:pt>
                <c:pt idx="1">
                  <c:v>86.287925720214844</c:v>
                </c:pt>
                <c:pt idx="2">
                  <c:v>326.34963989257813</c:v>
                </c:pt>
                <c:pt idx="3">
                  <c:v>451.32635498046875</c:v>
                </c:pt>
                <c:pt idx="4">
                  <c:v>498.27145385742188</c:v>
                </c:pt>
                <c:pt idx="5">
                  <c:v>520.034912109375</c:v>
                </c:pt>
                <c:pt idx="6">
                  <c:v>540.5369873046875</c:v>
                </c:pt>
                <c:pt idx="7">
                  <c:v>551.46868896484375</c:v>
                </c:pt>
                <c:pt idx="8">
                  <c:v>559.4217529296875</c:v>
                </c:pt>
                <c:pt idx="9">
                  <c:v>566.096923828125</c:v>
                </c:pt>
                <c:pt idx="10">
                  <c:v>571.765380859375</c:v>
                </c:pt>
                <c:pt idx="11">
                  <c:v>576.8970947265625</c:v>
                </c:pt>
                <c:pt idx="12">
                  <c:v>581.58404541015625</c:v>
                </c:pt>
                <c:pt idx="13">
                  <c:v>585.86956787109375</c:v>
                </c:pt>
              </c:numCache>
            </c:numRef>
          </c:yVal>
          <c:smooth val="1"/>
          <c:extLst>
            <c:ext xmlns:c16="http://schemas.microsoft.com/office/drawing/2014/chart" uri="{C3380CC4-5D6E-409C-BE32-E72D297353CC}">
              <c16:uniqueId val="{00000002-FCE7-4E07-985C-8D436BC9A126}"/>
            </c:ext>
          </c:extLst>
        </c:ser>
        <c:dLbls>
          <c:showLegendKey val="0"/>
          <c:showVal val="0"/>
          <c:showCatName val="0"/>
          <c:showSerName val="0"/>
          <c:showPercent val="0"/>
          <c:showBubbleSize val="0"/>
        </c:dLbls>
        <c:axId val="3"/>
        <c:axId val="4"/>
      </c:scatterChart>
      <c:valAx>
        <c:axId val="780249472"/>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5704567072167753"/>
              <c:y val="0.8450922704429388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3.4199761133400557E-2"/>
              <c:y val="0.3067484587682353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780249472"/>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76202736238355"/>
              <c:y val="0.3036810514964699"/>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24076644710964265"/>
          <c:y val="0.94171804105882118"/>
          <c:w val="0.52394065523825872"/>
          <c:h val="3.9877311847646979E-2"/>
        </c:manualLayout>
      </c:layout>
      <c:overlay val="0"/>
      <c:spPr>
        <a:solidFill>
          <a:srgbClr val="FFFFFF"/>
        </a:solidFill>
        <a:ln w="25400">
          <a:noFill/>
        </a:ln>
      </c:spPr>
      <c:txPr>
        <a:bodyPr/>
        <a:lstStyle/>
        <a:p>
          <a:pPr>
            <a:defRPr sz="92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05590125808387"/>
          <c:y val="2.2673073962076268E-2"/>
          <c:w val="0.83248769653058363"/>
          <c:h val="0.87351000738104356"/>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585.86956521739125</c:v>
                </c:pt>
                <c:pt idx="1">
                  <c:v>493.92223913043472</c:v>
                </c:pt>
                <c:pt idx="2">
                  <c:v>401.94732608695654</c:v>
                </c:pt>
                <c:pt idx="3">
                  <c:v>310</c:v>
                </c:pt>
              </c:numCache>
            </c:numRef>
          </c:xVal>
          <c:yVal>
            <c:numRef>
              <c:f>Thermdam!$B$68:$B$71</c:f>
              <c:numCache>
                <c:formatCode>0.00</c:formatCode>
                <c:ptCount val="4"/>
                <c:pt idx="0">
                  <c:v>24.9</c:v>
                </c:pt>
                <c:pt idx="1">
                  <c:v>35.033543032672767</c:v>
                </c:pt>
                <c:pt idx="2">
                  <c:v>52.900884680737903</c:v>
                </c:pt>
                <c:pt idx="3">
                  <c:v>88.936049650942508</c:v>
                </c:pt>
              </c:numCache>
            </c:numRef>
          </c:yVal>
          <c:smooth val="1"/>
          <c:extLst>
            <c:ext xmlns:c16="http://schemas.microsoft.com/office/drawing/2014/chart" uri="{C3380CC4-5D6E-409C-BE32-E72D297353CC}">
              <c16:uniqueId val="{00000000-BF99-46D6-937F-11B305990456}"/>
            </c:ext>
          </c:extLst>
        </c:ser>
        <c:ser>
          <c:idx val="1"/>
          <c:order val="1"/>
          <c:tx>
            <c:v>Hot Stall</c:v>
          </c:tx>
          <c:spPr>
            <a:ln w="25400">
              <a:solidFill>
                <a:srgbClr val="996666"/>
              </a:solidFill>
              <a:prstDash val="solid"/>
            </a:ln>
          </c:spPr>
          <c:marker>
            <c:symbol val="none"/>
          </c:marker>
          <c:xVal>
            <c:numRef>
              <c:f>Thermdam!$A$68:$A$71</c:f>
              <c:numCache>
                <c:formatCode>0</c:formatCode>
                <c:ptCount val="4"/>
                <c:pt idx="0">
                  <c:v>585.86956521739125</c:v>
                </c:pt>
                <c:pt idx="1">
                  <c:v>493.92223913043472</c:v>
                </c:pt>
                <c:pt idx="2">
                  <c:v>401.94732608695654</c:v>
                </c:pt>
                <c:pt idx="3">
                  <c:v>310</c:v>
                </c:pt>
              </c:numCache>
            </c:numRef>
          </c:xVal>
          <c:yVal>
            <c:numRef>
              <c:f>Thermdam!$C$68:$C$71</c:f>
              <c:numCache>
                <c:formatCode>0.00</c:formatCode>
                <c:ptCount val="4"/>
                <c:pt idx="0">
                  <c:v>16.600000000000001</c:v>
                </c:pt>
                <c:pt idx="1">
                  <c:v>23.355695355115181</c:v>
                </c:pt>
                <c:pt idx="2">
                  <c:v>35.267256453825276</c:v>
                </c:pt>
                <c:pt idx="3">
                  <c:v>59.290699767295017</c:v>
                </c:pt>
              </c:numCache>
            </c:numRef>
          </c:yVal>
          <c:smooth val="1"/>
          <c:extLst>
            <c:ext xmlns:c16="http://schemas.microsoft.com/office/drawing/2014/chart" uri="{C3380CC4-5D6E-409C-BE32-E72D297353CC}">
              <c16:uniqueId val="{00000001-BF99-46D6-937F-11B305990456}"/>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210</c:v>
                </c:pt>
                <c:pt idx="1">
                  <c:v>110</c:v>
                </c:pt>
                <c:pt idx="2">
                  <c:v>255</c:v>
                </c:pt>
                <c:pt idx="3" formatCode="General">
                  <c:v>180</c:v>
                </c:pt>
                <c:pt idx="4" formatCode="General">
                  <c:v>120</c:v>
                </c:pt>
                <c:pt idx="5" formatCode="General">
                  <c:v>110</c:v>
                </c:pt>
                <c:pt idx="6" formatCode="General">
                  <c:v>110</c:v>
                </c:pt>
                <c:pt idx="7" formatCode="General">
                  <c:v>110</c:v>
                </c:pt>
              </c:numCache>
            </c:numRef>
          </c:xVal>
          <c:yVal>
            <c:numRef>
              <c:f>Thermdam!$C$72:$C$79</c:f>
              <c:numCache>
                <c:formatCode>0.00</c:formatCode>
                <c:ptCount val="8"/>
                <c:pt idx="2">
                  <c:v>87.625317149358722</c:v>
                </c:pt>
                <c:pt idx="3">
                  <c:v>175.85914344558796</c:v>
                </c:pt>
                <c:pt idx="4">
                  <c:v>395.68307275257297</c:v>
                </c:pt>
                <c:pt idx="5" formatCode="0">
                  <c:v>800</c:v>
                </c:pt>
                <c:pt idx="6" formatCode="0">
                  <c:v>1600</c:v>
                </c:pt>
                <c:pt idx="7" formatCode="General">
                  <c:v>10000</c:v>
                </c:pt>
              </c:numCache>
            </c:numRef>
          </c:yVal>
          <c:smooth val="1"/>
          <c:extLst>
            <c:ext xmlns:c16="http://schemas.microsoft.com/office/drawing/2014/chart" uri="{C3380CC4-5D6E-409C-BE32-E72D297353CC}">
              <c16:uniqueId val="{00000002-BF99-46D6-937F-11B305990456}"/>
            </c:ext>
          </c:extLst>
        </c:ser>
        <c:dLbls>
          <c:showLegendKey val="0"/>
          <c:showVal val="0"/>
          <c:showCatName val="0"/>
          <c:showSerName val="0"/>
          <c:showPercent val="0"/>
          <c:showBubbleSize val="0"/>
        </c:dLbls>
        <c:axId val="780252096"/>
        <c:axId val="1"/>
      </c:scatterChart>
      <c:valAx>
        <c:axId val="78025209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75"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116763059484823"/>
              <c:y val="0.94749579704225761"/>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75"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680198161070574E-2"/>
              <c:y val="0.3758957603158471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78025209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4000V'!$B$54:$B$59</c:f>
              <c:numCache>
                <c:formatCode>0.0</c:formatCode>
                <c:ptCount val="6"/>
                <c:pt idx="1">
                  <c:v>90.2</c:v>
                </c:pt>
                <c:pt idx="2">
                  <c:v>93.5</c:v>
                </c:pt>
                <c:pt idx="3">
                  <c:v>94.3</c:v>
                </c:pt>
                <c:pt idx="4">
                  <c:v>94.5</c:v>
                </c:pt>
                <c:pt idx="5">
                  <c:v>94.4</c:v>
                </c:pt>
              </c:numCache>
            </c:numRef>
          </c:yVal>
          <c:smooth val="1"/>
          <c:extLst>
            <c:ext xmlns:c16="http://schemas.microsoft.com/office/drawing/2014/chart" uri="{C3380CC4-5D6E-409C-BE32-E72D297353CC}">
              <c16:uniqueId val="{00000000-6154-4C4D-BD66-5E5A5696C4A0}"/>
            </c:ext>
          </c:extLst>
        </c:ser>
        <c:ser>
          <c:idx val="1"/>
          <c:order val="1"/>
          <c:spPr>
            <a:ln w="25400">
              <a:solidFill>
                <a:srgbClr val="000000"/>
              </a:solidFill>
              <a:prstDash val="solid"/>
            </a:ln>
          </c:spPr>
          <c:marker>
            <c:symbol val="none"/>
          </c:marker>
          <c:xVal>
            <c:numRef>
              <c:f>'Performance 4000V'!$A$55:$A$59</c:f>
              <c:numCache>
                <c:formatCode>0.0</c:formatCode>
                <c:ptCount val="5"/>
                <c:pt idx="0">
                  <c:v>25</c:v>
                </c:pt>
                <c:pt idx="1">
                  <c:v>50</c:v>
                </c:pt>
                <c:pt idx="2">
                  <c:v>75</c:v>
                </c:pt>
                <c:pt idx="3">
                  <c:v>100</c:v>
                </c:pt>
                <c:pt idx="4">
                  <c:v>125</c:v>
                </c:pt>
              </c:numCache>
            </c:numRef>
          </c:xVal>
          <c:yVal>
            <c:numRef>
              <c:f>'Performance 4000V'!$C$55:$C$59</c:f>
              <c:numCache>
                <c:formatCode>0.0</c:formatCode>
                <c:ptCount val="5"/>
                <c:pt idx="0">
                  <c:v>59.7</c:v>
                </c:pt>
                <c:pt idx="1">
                  <c:v>78.7</c:v>
                </c:pt>
                <c:pt idx="2">
                  <c:v>84.8</c:v>
                </c:pt>
                <c:pt idx="3">
                  <c:v>87.1</c:v>
                </c:pt>
                <c:pt idx="4">
                  <c:v>87.8</c:v>
                </c:pt>
              </c:numCache>
            </c:numRef>
          </c:yVal>
          <c:smooth val="1"/>
          <c:extLst>
            <c:ext xmlns:c16="http://schemas.microsoft.com/office/drawing/2014/chart" uri="{C3380CC4-5D6E-409C-BE32-E72D297353CC}">
              <c16:uniqueId val="{00000001-6154-4C4D-BD66-5E5A5696C4A0}"/>
            </c:ext>
          </c:extLst>
        </c:ser>
        <c:ser>
          <c:idx val="3"/>
          <c:order val="3"/>
          <c:spPr>
            <a:ln w="25400">
              <a:solidFill>
                <a:srgbClr val="3333CC"/>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4000V'!$E$54:$E$59</c:f>
              <c:numCache>
                <c:formatCode>0.0</c:formatCode>
                <c:ptCount val="6"/>
                <c:pt idx="0">
                  <c:v>100</c:v>
                </c:pt>
                <c:pt idx="1">
                  <c:v>79.55494564642072</c:v>
                </c:pt>
                <c:pt idx="2">
                  <c:v>71.545911948158619</c:v>
                </c:pt>
                <c:pt idx="3">
                  <c:v>63.328295411007915</c:v>
                </c:pt>
                <c:pt idx="4">
                  <c:v>54.935467885818824</c:v>
                </c:pt>
                <c:pt idx="5">
                  <c:v>46.42615547668327</c:v>
                </c:pt>
              </c:numCache>
            </c:numRef>
          </c:yVal>
          <c:smooth val="1"/>
          <c:extLst>
            <c:ext xmlns:c16="http://schemas.microsoft.com/office/drawing/2014/chart" uri="{C3380CC4-5D6E-409C-BE32-E72D297353CC}">
              <c16:uniqueId val="{00000002-6154-4C4D-BD66-5E5A5696C4A0}"/>
            </c:ext>
          </c:extLst>
        </c:ser>
        <c:ser>
          <c:idx val="4"/>
          <c:order val="4"/>
          <c:spPr>
            <a:ln w="25400">
              <a:solidFill>
                <a:srgbClr val="339933"/>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4000V'!$F$54:$F$59</c:f>
              <c:numCache>
                <c:formatCode>0.0</c:formatCode>
                <c:ptCount val="6"/>
                <c:pt idx="0">
                  <c:v>0.6399285714285714</c:v>
                </c:pt>
                <c:pt idx="1">
                  <c:v>10.371960561595683</c:v>
                </c:pt>
                <c:pt idx="2">
                  <c:v>20.017785245833117</c:v>
                </c:pt>
                <c:pt idx="3">
                  <c:v>29.770102084593209</c:v>
                </c:pt>
                <c:pt idx="4">
                  <c:v>39.633748249247724</c:v>
                </c:pt>
                <c:pt idx="5">
                  <c:v>49.613831321350077</c:v>
                </c:pt>
              </c:numCache>
            </c:numRef>
          </c:yVal>
          <c:smooth val="1"/>
          <c:extLst>
            <c:ext xmlns:c16="http://schemas.microsoft.com/office/drawing/2014/chart" uri="{C3380CC4-5D6E-409C-BE32-E72D297353CC}">
              <c16:uniqueId val="{00000003-6154-4C4D-BD66-5E5A5696C4A0}"/>
            </c:ext>
          </c:extLst>
        </c:ser>
        <c:dLbls>
          <c:showLegendKey val="0"/>
          <c:showVal val="0"/>
          <c:showCatName val="0"/>
          <c:showSerName val="0"/>
          <c:showPercent val="0"/>
          <c:showBubbleSize val="0"/>
        </c:dLbls>
        <c:axId val="270359552"/>
        <c:axId val="270361728"/>
      </c:scatterChart>
      <c:scatterChart>
        <c:scatterStyle val="lineMarker"/>
        <c:varyColors val="0"/>
        <c:ser>
          <c:idx val="2"/>
          <c:order val="2"/>
          <c:spPr>
            <a:ln w="25400">
              <a:solidFill>
                <a:srgbClr val="333300"/>
              </a:solidFill>
              <a:prstDash val="solid"/>
            </a:ln>
          </c:spPr>
          <c:marker>
            <c:symbol val="none"/>
          </c:marker>
          <c:xVal>
            <c:numRef>
              <c:f>'Performance 4000V'!$A$54:$A$59</c:f>
              <c:numCache>
                <c:formatCode>0.0</c:formatCode>
                <c:ptCount val="6"/>
                <c:pt idx="0">
                  <c:v>0</c:v>
                </c:pt>
                <c:pt idx="1">
                  <c:v>25</c:v>
                </c:pt>
                <c:pt idx="2">
                  <c:v>50</c:v>
                </c:pt>
                <c:pt idx="3">
                  <c:v>75</c:v>
                </c:pt>
                <c:pt idx="4">
                  <c:v>100</c:v>
                </c:pt>
                <c:pt idx="5">
                  <c:v>125</c:v>
                </c:pt>
              </c:numCache>
            </c:numRef>
          </c:xVal>
          <c:yVal>
            <c:numRef>
              <c:f>'Performance 4000V'!$D$54:$D$59</c:f>
              <c:numCache>
                <c:formatCode>0.0</c:formatCode>
                <c:ptCount val="6"/>
                <c:pt idx="0">
                  <c:v>24.752413465659288</c:v>
                </c:pt>
                <c:pt idx="1">
                  <c:v>35</c:v>
                </c:pt>
                <c:pt idx="2">
                  <c:v>51.2</c:v>
                </c:pt>
                <c:pt idx="3">
                  <c:v>70.599999999999994</c:v>
                </c:pt>
                <c:pt idx="4">
                  <c:v>92</c:v>
                </c:pt>
                <c:pt idx="5">
                  <c:v>113.6</c:v>
                </c:pt>
              </c:numCache>
            </c:numRef>
          </c:yVal>
          <c:smooth val="1"/>
          <c:extLst>
            <c:ext xmlns:c16="http://schemas.microsoft.com/office/drawing/2014/chart" uri="{C3380CC4-5D6E-409C-BE32-E72D297353CC}">
              <c16:uniqueId val="{00000004-6154-4C4D-BD66-5E5A5696C4A0}"/>
            </c:ext>
          </c:extLst>
        </c:ser>
        <c:dLbls>
          <c:showLegendKey val="0"/>
          <c:showVal val="0"/>
          <c:showCatName val="0"/>
          <c:showSerName val="0"/>
          <c:showPercent val="0"/>
          <c:showBubbleSize val="0"/>
        </c:dLbls>
        <c:axId val="270363648"/>
        <c:axId val="270369536"/>
      </c:scatterChart>
      <c:valAx>
        <c:axId val="270359552"/>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70361728"/>
        <c:crossesAt val="0"/>
        <c:crossBetween val="midCat"/>
        <c:majorUnit val="25"/>
        <c:minorUnit val="12.5"/>
      </c:valAx>
      <c:valAx>
        <c:axId val="270361728"/>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70359552"/>
        <c:crosses val="autoZero"/>
        <c:crossBetween val="midCat"/>
        <c:majorUnit val="10"/>
        <c:minorUnit val="5"/>
      </c:valAx>
      <c:valAx>
        <c:axId val="270363648"/>
        <c:scaling>
          <c:orientation val="minMax"/>
        </c:scaling>
        <c:delete val="1"/>
        <c:axPos val="b"/>
        <c:numFmt formatCode="0.0" sourceLinked="1"/>
        <c:majorTickMark val="out"/>
        <c:minorTickMark val="none"/>
        <c:tickLblPos val="nextTo"/>
        <c:crossAx val="270369536"/>
        <c:crosses val="autoZero"/>
        <c:crossBetween val="midCat"/>
      </c:valAx>
      <c:valAx>
        <c:axId val="270369536"/>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270363648"/>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2300V'!$B$54:$B$59</c:f>
              <c:numCache>
                <c:formatCode>0.0</c:formatCode>
                <c:ptCount val="6"/>
                <c:pt idx="1">
                  <c:v>90.2</c:v>
                </c:pt>
                <c:pt idx="2">
                  <c:v>93.5</c:v>
                </c:pt>
                <c:pt idx="3">
                  <c:v>94.3</c:v>
                </c:pt>
                <c:pt idx="4">
                  <c:v>94.5</c:v>
                </c:pt>
                <c:pt idx="5">
                  <c:v>94.4</c:v>
                </c:pt>
              </c:numCache>
            </c:numRef>
          </c:yVal>
          <c:smooth val="1"/>
          <c:extLst>
            <c:ext xmlns:c16="http://schemas.microsoft.com/office/drawing/2014/chart" uri="{C3380CC4-5D6E-409C-BE32-E72D297353CC}">
              <c16:uniqueId val="{00000000-048F-47AD-88A7-85FAA94F263A}"/>
            </c:ext>
          </c:extLst>
        </c:ser>
        <c:ser>
          <c:idx val="1"/>
          <c:order val="1"/>
          <c:spPr>
            <a:ln w="25400">
              <a:solidFill>
                <a:srgbClr val="000000"/>
              </a:solidFill>
              <a:prstDash val="solid"/>
            </a:ln>
          </c:spPr>
          <c:marker>
            <c:symbol val="none"/>
          </c:marker>
          <c:xVal>
            <c:numRef>
              <c:f>'Performance 2300V'!$A$55:$A$59</c:f>
              <c:numCache>
                <c:formatCode>0.0</c:formatCode>
                <c:ptCount val="5"/>
                <c:pt idx="0">
                  <c:v>25</c:v>
                </c:pt>
                <c:pt idx="1">
                  <c:v>50</c:v>
                </c:pt>
                <c:pt idx="2">
                  <c:v>75</c:v>
                </c:pt>
                <c:pt idx="3">
                  <c:v>100</c:v>
                </c:pt>
                <c:pt idx="4">
                  <c:v>125</c:v>
                </c:pt>
              </c:numCache>
            </c:numRef>
          </c:xVal>
          <c:yVal>
            <c:numRef>
              <c:f>'Performance 2300V'!$C$55:$C$59</c:f>
              <c:numCache>
                <c:formatCode>0.0</c:formatCode>
                <c:ptCount val="5"/>
                <c:pt idx="0">
                  <c:v>59.7</c:v>
                </c:pt>
                <c:pt idx="1">
                  <c:v>78.7</c:v>
                </c:pt>
                <c:pt idx="2">
                  <c:v>84.8</c:v>
                </c:pt>
                <c:pt idx="3">
                  <c:v>87.1</c:v>
                </c:pt>
                <c:pt idx="4">
                  <c:v>87.8</c:v>
                </c:pt>
              </c:numCache>
            </c:numRef>
          </c:yVal>
          <c:smooth val="1"/>
          <c:extLst>
            <c:ext xmlns:c16="http://schemas.microsoft.com/office/drawing/2014/chart" uri="{C3380CC4-5D6E-409C-BE32-E72D297353CC}">
              <c16:uniqueId val="{00000001-048F-47AD-88A7-85FAA94F263A}"/>
            </c:ext>
          </c:extLst>
        </c:ser>
        <c:ser>
          <c:idx val="3"/>
          <c:order val="3"/>
          <c:spPr>
            <a:ln w="25400">
              <a:solidFill>
                <a:srgbClr val="3333CC"/>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2300V'!$E$54:$E$59</c:f>
              <c:numCache>
                <c:formatCode>0.0</c:formatCode>
                <c:ptCount val="6"/>
                <c:pt idx="0">
                  <c:v>100</c:v>
                </c:pt>
                <c:pt idx="1">
                  <c:v>79.55494564642072</c:v>
                </c:pt>
                <c:pt idx="2">
                  <c:v>71.545911948158619</c:v>
                </c:pt>
                <c:pt idx="3">
                  <c:v>63.328295411007915</c:v>
                </c:pt>
                <c:pt idx="4">
                  <c:v>54.935467885818824</c:v>
                </c:pt>
                <c:pt idx="5">
                  <c:v>46.42615547668327</c:v>
                </c:pt>
              </c:numCache>
            </c:numRef>
          </c:yVal>
          <c:smooth val="1"/>
          <c:extLst>
            <c:ext xmlns:c16="http://schemas.microsoft.com/office/drawing/2014/chart" uri="{C3380CC4-5D6E-409C-BE32-E72D297353CC}">
              <c16:uniqueId val="{00000002-048F-47AD-88A7-85FAA94F263A}"/>
            </c:ext>
          </c:extLst>
        </c:ser>
        <c:ser>
          <c:idx val="4"/>
          <c:order val="4"/>
          <c:spPr>
            <a:ln w="25400">
              <a:solidFill>
                <a:srgbClr val="339933"/>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2300V'!$F$54:$F$59</c:f>
              <c:numCache>
                <c:formatCode>0.0</c:formatCode>
                <c:ptCount val="6"/>
                <c:pt idx="0">
                  <c:v>0.6399285714285714</c:v>
                </c:pt>
                <c:pt idx="1">
                  <c:v>10.371960561595683</c:v>
                </c:pt>
                <c:pt idx="2">
                  <c:v>20.017785245833117</c:v>
                </c:pt>
                <c:pt idx="3">
                  <c:v>29.770102084593209</c:v>
                </c:pt>
                <c:pt idx="4">
                  <c:v>39.633748249247724</c:v>
                </c:pt>
                <c:pt idx="5">
                  <c:v>49.613831321350077</c:v>
                </c:pt>
              </c:numCache>
            </c:numRef>
          </c:yVal>
          <c:smooth val="1"/>
          <c:extLst>
            <c:ext xmlns:c16="http://schemas.microsoft.com/office/drawing/2014/chart" uri="{C3380CC4-5D6E-409C-BE32-E72D297353CC}">
              <c16:uniqueId val="{00000003-048F-47AD-88A7-85FAA94F263A}"/>
            </c:ext>
          </c:extLst>
        </c:ser>
        <c:dLbls>
          <c:showLegendKey val="0"/>
          <c:showVal val="0"/>
          <c:showCatName val="0"/>
          <c:showSerName val="0"/>
          <c:showPercent val="0"/>
          <c:showBubbleSize val="0"/>
        </c:dLbls>
        <c:axId val="270359552"/>
        <c:axId val="270361728"/>
      </c:scatterChart>
      <c:scatterChart>
        <c:scatterStyle val="lineMarker"/>
        <c:varyColors val="0"/>
        <c:ser>
          <c:idx val="2"/>
          <c:order val="2"/>
          <c:spPr>
            <a:ln w="25400">
              <a:solidFill>
                <a:srgbClr val="333300"/>
              </a:solidFill>
              <a:prstDash val="solid"/>
            </a:ln>
          </c:spPr>
          <c:marker>
            <c:symbol val="none"/>
          </c:marker>
          <c:xVal>
            <c:numRef>
              <c:f>'Performance 2300V'!$A$54:$A$59</c:f>
              <c:numCache>
                <c:formatCode>0.0</c:formatCode>
                <c:ptCount val="6"/>
                <c:pt idx="0">
                  <c:v>0</c:v>
                </c:pt>
                <c:pt idx="1">
                  <c:v>25</c:v>
                </c:pt>
                <c:pt idx="2">
                  <c:v>50</c:v>
                </c:pt>
                <c:pt idx="3">
                  <c:v>75</c:v>
                </c:pt>
                <c:pt idx="4">
                  <c:v>100</c:v>
                </c:pt>
                <c:pt idx="5">
                  <c:v>125</c:v>
                </c:pt>
              </c:numCache>
            </c:numRef>
          </c:xVal>
          <c:yVal>
            <c:numRef>
              <c:f>'Performance 2300V'!$D$54:$D$59</c:f>
              <c:numCache>
                <c:formatCode>0.0</c:formatCode>
                <c:ptCount val="6"/>
                <c:pt idx="0">
                  <c:v>42.872437732473919</c:v>
                </c:pt>
                <c:pt idx="1">
                  <c:v>60.621778264910702</c:v>
                </c:pt>
                <c:pt idx="2">
                  <c:v>88.681001347526518</c:v>
                </c:pt>
                <c:pt idx="3">
                  <c:v>122.28278701436273</c:v>
                </c:pt>
                <c:pt idx="4">
                  <c:v>159</c:v>
                </c:pt>
                <c:pt idx="5">
                  <c:v>196.76097173982444</c:v>
                </c:pt>
              </c:numCache>
            </c:numRef>
          </c:yVal>
          <c:smooth val="1"/>
          <c:extLst>
            <c:ext xmlns:c16="http://schemas.microsoft.com/office/drawing/2014/chart" uri="{C3380CC4-5D6E-409C-BE32-E72D297353CC}">
              <c16:uniqueId val="{00000004-048F-47AD-88A7-85FAA94F263A}"/>
            </c:ext>
          </c:extLst>
        </c:ser>
        <c:dLbls>
          <c:showLegendKey val="0"/>
          <c:showVal val="0"/>
          <c:showCatName val="0"/>
          <c:showSerName val="0"/>
          <c:showPercent val="0"/>
          <c:showBubbleSize val="0"/>
        </c:dLbls>
        <c:axId val="270363648"/>
        <c:axId val="270369536"/>
      </c:scatterChart>
      <c:valAx>
        <c:axId val="270359552"/>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7433922958"/>
              <c:y val="0.920456247884573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70361728"/>
        <c:crossesAt val="0"/>
        <c:crossBetween val="midCat"/>
        <c:majorUnit val="25"/>
        <c:minorUnit val="12.5"/>
      </c:valAx>
      <c:valAx>
        <c:axId val="270361728"/>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257086145"/>
              <c:y val="0.2556822910790480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270359552"/>
        <c:crosses val="autoZero"/>
        <c:crossBetween val="midCat"/>
        <c:majorUnit val="10"/>
        <c:minorUnit val="5"/>
      </c:valAx>
      <c:valAx>
        <c:axId val="270363648"/>
        <c:scaling>
          <c:orientation val="minMax"/>
        </c:scaling>
        <c:delete val="1"/>
        <c:axPos val="b"/>
        <c:numFmt formatCode="0.0" sourceLinked="1"/>
        <c:majorTickMark val="out"/>
        <c:minorTickMark val="none"/>
        <c:tickLblPos val="nextTo"/>
        <c:crossAx val="270369536"/>
        <c:crosses val="autoZero"/>
        <c:crossBetween val="midCat"/>
      </c:valAx>
      <c:valAx>
        <c:axId val="270369536"/>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9839979769"/>
              <c:y val="0.32007634957303055"/>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270363648"/>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7620</xdr:colOff>
      <xdr:row>56</xdr:row>
      <xdr:rowOff>7620</xdr:rowOff>
    </xdr:from>
    <xdr:to>
      <xdr:col>9</xdr:col>
      <xdr:colOff>838200</xdr:colOff>
      <xdr:row>67</xdr:row>
      <xdr:rowOff>182880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160020</xdr:colOff>
      <xdr:row>43</xdr:row>
      <xdr:rowOff>0</xdr:rowOff>
    </xdr:from>
    <xdr:to>
      <xdr:col>9</xdr:col>
      <xdr:colOff>373380</xdr:colOff>
      <xdr:row>43</xdr:row>
      <xdr:rowOff>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5669280" y="9883140"/>
          <a:ext cx="21336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22860</xdr:colOff>
      <xdr:row>43</xdr:row>
      <xdr:rowOff>0</xdr:rowOff>
    </xdr:from>
    <xdr:to>
      <xdr:col>9</xdr:col>
      <xdr:colOff>342900</xdr:colOff>
      <xdr:row>43</xdr:row>
      <xdr:rowOff>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5532120" y="9883140"/>
          <a:ext cx="32004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30480</xdr:colOff>
      <xdr:row>43</xdr:row>
      <xdr:rowOff>0</xdr:rowOff>
    </xdr:from>
    <xdr:to>
      <xdr:col>9</xdr:col>
      <xdr:colOff>350520</xdr:colOff>
      <xdr:row>43</xdr:row>
      <xdr:rowOff>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5539740" y="9883140"/>
          <a:ext cx="32004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0</xdr:colOff>
      <xdr:row>43</xdr:row>
      <xdr:rowOff>0</xdr:rowOff>
    </xdr:from>
    <xdr:to>
      <xdr:col>9</xdr:col>
      <xdr:colOff>419100</xdr:colOff>
      <xdr:row>43</xdr:row>
      <xdr:rowOff>0</xdr:rowOff>
    </xdr:to>
    <xdr:sp macro="" textlink="">
      <xdr:nvSpPr>
        <xdr:cNvPr id="5" name="Rectangle 4">
          <a:extLst>
            <a:ext uri="{FF2B5EF4-FFF2-40B4-BE49-F238E27FC236}">
              <a16:creationId xmlns:a16="http://schemas.microsoft.com/office/drawing/2014/main" id="{00000000-0008-0000-0100-000005000000}"/>
            </a:ext>
          </a:extLst>
        </xdr:cNvPr>
        <xdr:cNvSpPr>
          <a:spLocks noChangeArrowheads="1"/>
        </xdr:cNvSpPr>
      </xdr:nvSpPr>
      <xdr:spPr bwMode="auto">
        <a:xfrm>
          <a:off x="5509260" y="9883140"/>
          <a:ext cx="4191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144780</xdr:colOff>
      <xdr:row>43</xdr:row>
      <xdr:rowOff>0</xdr:rowOff>
    </xdr:from>
    <xdr:to>
      <xdr:col>9</xdr:col>
      <xdr:colOff>373380</xdr:colOff>
      <xdr:row>43</xdr:row>
      <xdr:rowOff>0</xdr:rowOff>
    </xdr:to>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bwMode="auto">
        <a:xfrm>
          <a:off x="5654040" y="9883140"/>
          <a:ext cx="2286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807720</xdr:colOff>
      <xdr:row>28</xdr:row>
      <xdr:rowOff>190500</xdr:rowOff>
    </xdr:from>
    <xdr:to>
      <xdr:col>4</xdr:col>
      <xdr:colOff>556260</xdr:colOff>
      <xdr:row>29</xdr:row>
      <xdr:rowOff>137160</xdr:rowOff>
    </xdr:to>
    <xdr:sp macro="" textlink="">
      <xdr:nvSpPr>
        <xdr:cNvPr id="7" name="Text 219">
          <a:extLst>
            <a:ext uri="{FF2B5EF4-FFF2-40B4-BE49-F238E27FC236}">
              <a16:creationId xmlns:a16="http://schemas.microsoft.com/office/drawing/2014/main" id="{00000000-0008-0000-0100-000007000000}"/>
            </a:ext>
          </a:extLst>
        </xdr:cNvPr>
        <xdr:cNvSpPr txBox="1">
          <a:spLocks noChangeArrowheads="1"/>
        </xdr:cNvSpPr>
      </xdr:nvSpPr>
      <xdr:spPr bwMode="auto">
        <a:xfrm>
          <a:off x="2545080" y="6644640"/>
          <a:ext cx="632460" cy="17526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36576" bIns="0" anchor="t" upright="1"/>
        <a:lstStyle/>
        <a:p>
          <a:pPr algn="ctr" rtl="0">
            <a:defRPr sz="1000"/>
          </a:pPr>
          <a:r>
            <a:rPr lang="en-US" sz="1000" b="0" i="0" u="none" strike="noStrike" baseline="0">
              <a:solidFill>
                <a:srgbClr val="000000"/>
              </a:solidFill>
              <a:latin typeface="Times New Roman"/>
              <a:cs typeface="Times New Roman"/>
            </a:rPr>
            <a:t>311-R111</a:t>
          </a:r>
        </a:p>
      </xdr:txBody>
    </xdr:sp>
    <xdr:clientData/>
  </xdr:twoCellAnchor>
  <xdr:twoCellAnchor>
    <xdr:from>
      <xdr:col>3</xdr:col>
      <xdr:colOff>807720</xdr:colOff>
      <xdr:row>34</xdr:row>
      <xdr:rowOff>198120</xdr:rowOff>
    </xdr:from>
    <xdr:to>
      <xdr:col>4</xdr:col>
      <xdr:colOff>563880</xdr:colOff>
      <xdr:row>35</xdr:row>
      <xdr:rowOff>144780</xdr:rowOff>
    </xdr:to>
    <xdr:sp macro="" textlink="">
      <xdr:nvSpPr>
        <xdr:cNvPr id="8" name="Text 219">
          <a:extLst>
            <a:ext uri="{FF2B5EF4-FFF2-40B4-BE49-F238E27FC236}">
              <a16:creationId xmlns:a16="http://schemas.microsoft.com/office/drawing/2014/main" id="{00000000-0008-0000-0100-000008000000}"/>
            </a:ext>
          </a:extLst>
        </xdr:cNvPr>
        <xdr:cNvSpPr txBox="1">
          <a:spLocks noChangeArrowheads="1"/>
        </xdr:cNvSpPr>
      </xdr:nvSpPr>
      <xdr:spPr bwMode="auto">
        <a:xfrm>
          <a:off x="2545080" y="8023860"/>
          <a:ext cx="640080" cy="17526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36576" bIns="0" anchor="t" upright="1"/>
        <a:lstStyle/>
        <a:p>
          <a:pPr algn="ctr" rtl="0">
            <a:defRPr sz="1000"/>
          </a:pPr>
          <a:r>
            <a:rPr lang="en-US" sz="1000" b="0" i="0" u="none" strike="noStrike" baseline="0">
              <a:solidFill>
                <a:srgbClr val="000000"/>
              </a:solidFill>
              <a:latin typeface="Times New Roman"/>
              <a:cs typeface="Times New Roman"/>
            </a:rPr>
            <a:t>411-R111</a:t>
          </a:r>
        </a:p>
      </xdr:txBody>
    </xdr:sp>
    <xdr:clientData/>
  </xdr:twoCellAnchor>
  <xdr:twoCellAnchor>
    <xdr:from>
      <xdr:col>3</xdr:col>
      <xdr:colOff>777240</xdr:colOff>
      <xdr:row>40</xdr:row>
      <xdr:rowOff>106680</xdr:rowOff>
    </xdr:from>
    <xdr:to>
      <xdr:col>4</xdr:col>
      <xdr:colOff>792480</xdr:colOff>
      <xdr:row>41</xdr:row>
      <xdr:rowOff>38100</xdr:rowOff>
    </xdr:to>
    <xdr:sp macro="" textlink="">
      <xdr:nvSpPr>
        <xdr:cNvPr id="9" name="Text 219">
          <a:extLst>
            <a:ext uri="{FF2B5EF4-FFF2-40B4-BE49-F238E27FC236}">
              <a16:creationId xmlns:a16="http://schemas.microsoft.com/office/drawing/2014/main" id="{00000000-0008-0000-0100-000009000000}"/>
            </a:ext>
          </a:extLst>
        </xdr:cNvPr>
        <xdr:cNvSpPr txBox="1">
          <a:spLocks noChangeArrowheads="1"/>
        </xdr:cNvSpPr>
      </xdr:nvSpPr>
      <xdr:spPr bwMode="auto">
        <a:xfrm>
          <a:off x="2514600" y="9304020"/>
          <a:ext cx="899160" cy="160020"/>
        </a:xfrm>
        <a:prstGeom prst="rect">
          <a:avLst/>
        </a:prstGeom>
        <a:solidFill>
          <a:srgbClr xmlns:mc="http://schemas.openxmlformats.org/markup-compatibility/2006" xmlns:a14="http://schemas.microsoft.com/office/drawing/2010/main" val="FFFFFF" mc:Ignorable="a14" a14:legacySpreadsheetColorIndex="9"/>
        </a:solidFill>
        <a:ln w="1">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36576" tIns="27432" rIns="36576" bIns="0" anchor="t" upright="1"/>
        <a:lstStyle/>
        <a:p>
          <a:pPr algn="ctr" rtl="0">
            <a:defRPr sz="1000"/>
          </a:pPr>
          <a:r>
            <a:rPr lang="en-US" sz="1000" b="0" i="0" u="none" strike="noStrike" baseline="0">
              <a:solidFill>
                <a:srgbClr val="000000"/>
              </a:solidFill>
              <a:latin typeface="Times New Roman"/>
              <a:cs typeface="Times New Roman"/>
            </a:rPr>
            <a:t>340-NT&amp;NB</a:t>
          </a:r>
        </a:p>
      </xdr:txBody>
    </xdr:sp>
    <xdr:clientData/>
  </xdr:twoCellAnchor>
  <xdr:twoCellAnchor>
    <xdr:from>
      <xdr:col>3</xdr:col>
      <xdr:colOff>205740</xdr:colOff>
      <xdr:row>29</xdr:row>
      <xdr:rowOff>83820</xdr:rowOff>
    </xdr:from>
    <xdr:to>
      <xdr:col>3</xdr:col>
      <xdr:colOff>472440</xdr:colOff>
      <xdr:row>29</xdr:row>
      <xdr:rowOff>205740</xdr:rowOff>
    </xdr:to>
    <xdr:sp macro="" textlink="">
      <xdr:nvSpPr>
        <xdr:cNvPr id="10" name="Depth">
          <a:extLst>
            <a:ext uri="{FF2B5EF4-FFF2-40B4-BE49-F238E27FC236}">
              <a16:creationId xmlns:a16="http://schemas.microsoft.com/office/drawing/2014/main" id="{00000000-0008-0000-0100-00000A000000}"/>
            </a:ext>
          </a:extLst>
        </xdr:cNvPr>
        <xdr:cNvSpPr txBox="1">
          <a:spLocks noChangeArrowheads="1"/>
        </xdr:cNvSpPr>
      </xdr:nvSpPr>
      <xdr:spPr bwMode="auto">
        <a:xfrm>
          <a:off x="1943100" y="6766560"/>
          <a:ext cx="266700" cy="1219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57.0</a:t>
          </a:r>
        </a:p>
      </xdr:txBody>
    </xdr:sp>
    <xdr:clientData/>
  </xdr:twoCellAnchor>
  <xdr:twoCellAnchor>
    <xdr:from>
      <xdr:col>1</xdr:col>
      <xdr:colOff>99060</xdr:colOff>
      <xdr:row>31</xdr:row>
      <xdr:rowOff>0</xdr:rowOff>
    </xdr:from>
    <xdr:to>
      <xdr:col>2</xdr:col>
      <xdr:colOff>76200</xdr:colOff>
      <xdr:row>31</xdr:row>
      <xdr:rowOff>106680</xdr:rowOff>
    </xdr:to>
    <xdr:sp macro="" textlink="">
      <xdr:nvSpPr>
        <xdr:cNvPr id="11" name="Tip">
          <a:extLst>
            <a:ext uri="{FF2B5EF4-FFF2-40B4-BE49-F238E27FC236}">
              <a16:creationId xmlns:a16="http://schemas.microsoft.com/office/drawing/2014/main" id="{00000000-0008-0000-0100-00000B000000}"/>
            </a:ext>
          </a:extLst>
        </xdr:cNvPr>
        <xdr:cNvSpPr txBox="1">
          <a:spLocks noChangeArrowheads="1"/>
        </xdr:cNvSpPr>
      </xdr:nvSpPr>
      <xdr:spPr bwMode="auto">
        <a:xfrm>
          <a:off x="929640" y="7139940"/>
          <a:ext cx="396240" cy="1066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220980</xdr:colOff>
      <xdr:row>26</xdr:row>
      <xdr:rowOff>198120</xdr:rowOff>
    </xdr:from>
    <xdr:to>
      <xdr:col>3</xdr:col>
      <xdr:colOff>45720</xdr:colOff>
      <xdr:row>27</xdr:row>
      <xdr:rowOff>68580</xdr:rowOff>
    </xdr:to>
    <xdr:sp macro="" textlink="">
      <xdr:nvSpPr>
        <xdr:cNvPr id="12" name="Width">
          <a:extLst>
            <a:ext uri="{FF2B5EF4-FFF2-40B4-BE49-F238E27FC236}">
              <a16:creationId xmlns:a16="http://schemas.microsoft.com/office/drawing/2014/main" id="{00000000-0008-0000-0100-00000C000000}"/>
            </a:ext>
          </a:extLst>
        </xdr:cNvPr>
        <xdr:cNvSpPr txBox="1">
          <a:spLocks noChangeArrowheads="1"/>
        </xdr:cNvSpPr>
      </xdr:nvSpPr>
      <xdr:spPr bwMode="auto">
        <a:xfrm>
          <a:off x="1470660" y="6195060"/>
          <a:ext cx="312420" cy="9906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14.0</a:t>
          </a:r>
        </a:p>
      </xdr:txBody>
    </xdr:sp>
    <xdr:clientData/>
  </xdr:twoCellAnchor>
  <xdr:twoCellAnchor>
    <xdr:from>
      <xdr:col>1</xdr:col>
      <xdr:colOff>396240</xdr:colOff>
      <xdr:row>27</xdr:row>
      <xdr:rowOff>60960</xdr:rowOff>
    </xdr:from>
    <xdr:to>
      <xdr:col>3</xdr:col>
      <xdr:colOff>464820</xdr:colOff>
      <xdr:row>31</xdr:row>
      <xdr:rowOff>220980</xdr:rowOff>
    </xdr:to>
    <xdr:grpSp>
      <xdr:nvGrpSpPr>
        <xdr:cNvPr id="13" name="Group 12">
          <a:extLst>
            <a:ext uri="{FF2B5EF4-FFF2-40B4-BE49-F238E27FC236}">
              <a16:creationId xmlns:a16="http://schemas.microsoft.com/office/drawing/2014/main" id="{00000000-0008-0000-0100-00000D000000}"/>
            </a:ext>
          </a:extLst>
        </xdr:cNvPr>
        <xdr:cNvGrpSpPr>
          <a:grpSpLocks/>
        </xdr:cNvGrpSpPr>
      </xdr:nvGrpSpPr>
      <xdr:grpSpPr bwMode="auto">
        <a:xfrm>
          <a:off x="1263015" y="6299835"/>
          <a:ext cx="1011555" cy="1074420"/>
          <a:chOff x="126" y="661"/>
          <a:chExt cx="99" cy="113"/>
        </a:xfrm>
      </xdr:grpSpPr>
      <xdr:sp macro="" textlink="">
        <xdr:nvSpPr>
          <xdr:cNvPr id="14" name="Line 13">
            <a:extLst>
              <a:ext uri="{FF2B5EF4-FFF2-40B4-BE49-F238E27FC236}">
                <a16:creationId xmlns:a16="http://schemas.microsoft.com/office/drawing/2014/main" id="{00000000-0008-0000-0100-00000E000000}"/>
              </a:ext>
            </a:extLst>
          </xdr:cNvPr>
          <xdr:cNvSpPr>
            <a:spLocks noChangeShapeType="1"/>
          </xdr:cNvSpPr>
        </xdr:nvSpPr>
        <xdr:spPr bwMode="auto">
          <a:xfrm flipH="1">
            <a:off x="190" y="675"/>
            <a:ext cx="1"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0100-00000F000000}"/>
              </a:ext>
            </a:extLst>
          </xdr:cNvPr>
          <xdr:cNvSpPr>
            <a:spLocks noChangeShapeType="1"/>
          </xdr:cNvSpPr>
        </xdr:nvSpPr>
        <xdr:spPr bwMode="auto">
          <a:xfrm flipH="1">
            <a:off x="142" y="676"/>
            <a:ext cx="49"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0100-000010000000}"/>
              </a:ext>
            </a:extLst>
          </xdr:cNvPr>
          <xdr:cNvSpPr>
            <a:spLocks noChangeShapeType="1"/>
          </xdr:cNvSpPr>
        </xdr:nvSpPr>
        <xdr:spPr bwMode="auto">
          <a:xfrm>
            <a:off x="191" y="675"/>
            <a:ext cx="0" cy="72"/>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00000000-0008-0000-0100-000011000000}"/>
              </a:ext>
            </a:extLst>
          </xdr:cNvPr>
          <xdr:cNvSpPr>
            <a:spLocks noChangeShapeType="1"/>
          </xdr:cNvSpPr>
        </xdr:nvSpPr>
        <xdr:spPr bwMode="auto">
          <a:xfrm>
            <a:off x="144" y="676"/>
            <a:ext cx="0" cy="72"/>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8" name="Line 17">
            <a:extLst>
              <a:ext uri="{FF2B5EF4-FFF2-40B4-BE49-F238E27FC236}">
                <a16:creationId xmlns:a16="http://schemas.microsoft.com/office/drawing/2014/main" id="{00000000-0008-0000-0100-000012000000}"/>
              </a:ext>
            </a:extLst>
          </xdr:cNvPr>
          <xdr:cNvSpPr>
            <a:spLocks noChangeShapeType="1"/>
          </xdr:cNvSpPr>
        </xdr:nvSpPr>
        <xdr:spPr bwMode="auto">
          <a:xfrm>
            <a:off x="138" y="748"/>
            <a:ext cx="0" cy="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9" name="Line 18">
            <a:extLst>
              <a:ext uri="{FF2B5EF4-FFF2-40B4-BE49-F238E27FC236}">
                <a16:creationId xmlns:a16="http://schemas.microsoft.com/office/drawing/2014/main" id="{00000000-0008-0000-0100-000013000000}"/>
              </a:ext>
            </a:extLst>
          </xdr:cNvPr>
          <xdr:cNvSpPr>
            <a:spLocks noChangeShapeType="1"/>
          </xdr:cNvSpPr>
        </xdr:nvSpPr>
        <xdr:spPr bwMode="auto">
          <a:xfrm flipH="1">
            <a:off x="198" y="753"/>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0" name="Line 19">
            <a:extLst>
              <a:ext uri="{FF2B5EF4-FFF2-40B4-BE49-F238E27FC236}">
                <a16:creationId xmlns:a16="http://schemas.microsoft.com/office/drawing/2014/main" id="{00000000-0008-0000-0100-000014000000}"/>
              </a:ext>
            </a:extLst>
          </xdr:cNvPr>
          <xdr:cNvSpPr>
            <a:spLocks noChangeShapeType="1"/>
          </xdr:cNvSpPr>
        </xdr:nvSpPr>
        <xdr:spPr bwMode="auto">
          <a:xfrm>
            <a:off x="138" y="754"/>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1" name="Line 20">
            <a:extLst>
              <a:ext uri="{FF2B5EF4-FFF2-40B4-BE49-F238E27FC236}">
                <a16:creationId xmlns:a16="http://schemas.microsoft.com/office/drawing/2014/main" id="{00000000-0008-0000-0100-000015000000}"/>
              </a:ext>
            </a:extLst>
          </xdr:cNvPr>
          <xdr:cNvSpPr>
            <a:spLocks noChangeShapeType="1"/>
          </xdr:cNvSpPr>
        </xdr:nvSpPr>
        <xdr:spPr bwMode="auto">
          <a:xfrm>
            <a:off x="190" y="753"/>
            <a:ext cx="0" cy="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2" name="Line 21">
            <a:extLst>
              <a:ext uri="{FF2B5EF4-FFF2-40B4-BE49-F238E27FC236}">
                <a16:creationId xmlns:a16="http://schemas.microsoft.com/office/drawing/2014/main" id="{00000000-0008-0000-0100-000016000000}"/>
              </a:ext>
            </a:extLst>
          </xdr:cNvPr>
          <xdr:cNvSpPr>
            <a:spLocks noChangeShapeType="1"/>
          </xdr:cNvSpPr>
        </xdr:nvSpPr>
        <xdr:spPr bwMode="auto">
          <a:xfrm>
            <a:off x="145" y="755"/>
            <a:ext cx="0" cy="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3" name="Line 22">
            <a:extLst>
              <a:ext uri="{FF2B5EF4-FFF2-40B4-BE49-F238E27FC236}">
                <a16:creationId xmlns:a16="http://schemas.microsoft.com/office/drawing/2014/main" id="{00000000-0008-0000-0100-000017000000}"/>
              </a:ext>
            </a:extLst>
          </xdr:cNvPr>
          <xdr:cNvSpPr>
            <a:spLocks noChangeShapeType="1"/>
          </xdr:cNvSpPr>
        </xdr:nvSpPr>
        <xdr:spPr bwMode="auto">
          <a:xfrm>
            <a:off x="190" y="763"/>
            <a:ext cx="13"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4" name="Line 23">
            <a:extLst>
              <a:ext uri="{FF2B5EF4-FFF2-40B4-BE49-F238E27FC236}">
                <a16:creationId xmlns:a16="http://schemas.microsoft.com/office/drawing/2014/main" id="{00000000-0008-0000-0100-000018000000}"/>
              </a:ext>
            </a:extLst>
          </xdr:cNvPr>
          <xdr:cNvSpPr>
            <a:spLocks noChangeShapeType="1"/>
          </xdr:cNvSpPr>
        </xdr:nvSpPr>
        <xdr:spPr bwMode="auto">
          <a:xfrm flipH="1">
            <a:off x="129" y="763"/>
            <a:ext cx="1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5" name="Line 24">
            <a:extLst>
              <a:ext uri="{FF2B5EF4-FFF2-40B4-BE49-F238E27FC236}">
                <a16:creationId xmlns:a16="http://schemas.microsoft.com/office/drawing/2014/main" id="{00000000-0008-0000-0100-000019000000}"/>
              </a:ext>
            </a:extLst>
          </xdr:cNvPr>
          <xdr:cNvSpPr>
            <a:spLocks noChangeShapeType="1"/>
          </xdr:cNvSpPr>
        </xdr:nvSpPr>
        <xdr:spPr bwMode="auto">
          <a:xfrm>
            <a:off x="198" y="677"/>
            <a:ext cx="2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26" name="Line 25">
            <a:extLst>
              <a:ext uri="{FF2B5EF4-FFF2-40B4-BE49-F238E27FC236}">
                <a16:creationId xmlns:a16="http://schemas.microsoft.com/office/drawing/2014/main" id="{00000000-0008-0000-0100-00001A000000}"/>
              </a:ext>
            </a:extLst>
          </xdr:cNvPr>
          <xdr:cNvSpPr>
            <a:spLocks noChangeShapeType="1"/>
          </xdr:cNvSpPr>
        </xdr:nvSpPr>
        <xdr:spPr bwMode="auto">
          <a:xfrm flipV="1">
            <a:off x="208" y="678"/>
            <a:ext cx="0" cy="3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med" len="sm"/>
          </a:ln>
          <a:extLst>
            <a:ext uri="{909E8E84-426E-40DD-AFC4-6F175D3DCCD1}">
              <a14:hiddenFill xmlns:a14="http://schemas.microsoft.com/office/drawing/2010/main">
                <a:noFill/>
              </a14:hiddenFill>
            </a:ext>
          </a:extLst>
        </xdr:spPr>
      </xdr:sp>
      <xdr:sp macro="" textlink="">
        <xdr:nvSpPr>
          <xdr:cNvPr id="27" name="Line 26">
            <a:extLst>
              <a:ext uri="{FF2B5EF4-FFF2-40B4-BE49-F238E27FC236}">
                <a16:creationId xmlns:a16="http://schemas.microsoft.com/office/drawing/2014/main" id="{00000000-0008-0000-0100-00001B000000}"/>
              </a:ext>
            </a:extLst>
          </xdr:cNvPr>
          <xdr:cNvSpPr>
            <a:spLocks noChangeShapeType="1"/>
          </xdr:cNvSpPr>
        </xdr:nvSpPr>
        <xdr:spPr bwMode="auto">
          <a:xfrm>
            <a:off x="208" y="732"/>
            <a:ext cx="0" cy="2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med" len="sm"/>
          </a:ln>
          <a:extLst>
            <a:ext uri="{909E8E84-426E-40DD-AFC4-6F175D3DCCD1}">
              <a14:hiddenFill xmlns:a14="http://schemas.microsoft.com/office/drawing/2010/main">
                <a:noFill/>
              </a14:hiddenFill>
            </a:ext>
          </a:extLst>
        </xdr:spPr>
      </xdr:sp>
      <xdr:sp macro="" textlink="">
        <xdr:nvSpPr>
          <xdr:cNvPr id="28" name="Line 27">
            <a:extLst>
              <a:ext uri="{FF2B5EF4-FFF2-40B4-BE49-F238E27FC236}">
                <a16:creationId xmlns:a16="http://schemas.microsoft.com/office/drawing/2014/main" id="{00000000-0008-0000-0100-00001C000000}"/>
              </a:ext>
            </a:extLst>
          </xdr:cNvPr>
          <xdr:cNvSpPr>
            <a:spLocks noChangeShapeType="1"/>
          </xdr:cNvSpPr>
        </xdr:nvSpPr>
        <xdr:spPr bwMode="auto">
          <a:xfrm flipV="1">
            <a:off x="132" y="764"/>
            <a:ext cx="0" cy="1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29" name="Line 28">
            <a:extLst>
              <a:ext uri="{FF2B5EF4-FFF2-40B4-BE49-F238E27FC236}">
                <a16:creationId xmlns:a16="http://schemas.microsoft.com/office/drawing/2014/main" id="{00000000-0008-0000-0100-00001D000000}"/>
              </a:ext>
            </a:extLst>
          </xdr:cNvPr>
          <xdr:cNvSpPr>
            <a:spLocks noChangeShapeType="1"/>
          </xdr:cNvSpPr>
        </xdr:nvSpPr>
        <xdr:spPr bwMode="auto">
          <a:xfrm>
            <a:off x="130" y="738"/>
            <a:ext cx="0" cy="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30" name="Line 29">
            <a:extLst>
              <a:ext uri="{FF2B5EF4-FFF2-40B4-BE49-F238E27FC236}">
                <a16:creationId xmlns:a16="http://schemas.microsoft.com/office/drawing/2014/main" id="{00000000-0008-0000-0100-00001E000000}"/>
              </a:ext>
            </a:extLst>
          </xdr:cNvPr>
          <xdr:cNvSpPr>
            <a:spLocks noChangeShapeType="1"/>
          </xdr:cNvSpPr>
        </xdr:nvSpPr>
        <xdr:spPr bwMode="auto">
          <a:xfrm>
            <a:off x="126" y="748"/>
            <a:ext cx="1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31" name="Line 30">
            <a:extLst>
              <a:ext uri="{FF2B5EF4-FFF2-40B4-BE49-F238E27FC236}">
                <a16:creationId xmlns:a16="http://schemas.microsoft.com/office/drawing/2014/main" id="{00000000-0008-0000-0100-00001F000000}"/>
              </a:ext>
            </a:extLst>
          </xdr:cNvPr>
          <xdr:cNvSpPr>
            <a:spLocks noChangeShapeType="1"/>
          </xdr:cNvSpPr>
        </xdr:nvSpPr>
        <xdr:spPr bwMode="auto">
          <a:xfrm flipV="1">
            <a:off x="191" y="661"/>
            <a:ext cx="0" cy="1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2" name="Line 31">
            <a:extLst>
              <a:ext uri="{FF2B5EF4-FFF2-40B4-BE49-F238E27FC236}">
                <a16:creationId xmlns:a16="http://schemas.microsoft.com/office/drawing/2014/main" id="{00000000-0008-0000-0100-000020000000}"/>
              </a:ext>
            </a:extLst>
          </xdr:cNvPr>
          <xdr:cNvSpPr>
            <a:spLocks noChangeShapeType="1"/>
          </xdr:cNvSpPr>
        </xdr:nvSpPr>
        <xdr:spPr bwMode="auto">
          <a:xfrm flipV="1">
            <a:off x="143" y="662"/>
            <a:ext cx="0" cy="9"/>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3" name="Line 32">
            <a:extLst>
              <a:ext uri="{FF2B5EF4-FFF2-40B4-BE49-F238E27FC236}">
                <a16:creationId xmlns:a16="http://schemas.microsoft.com/office/drawing/2014/main" id="{00000000-0008-0000-0100-000021000000}"/>
              </a:ext>
            </a:extLst>
          </xdr:cNvPr>
          <xdr:cNvSpPr>
            <a:spLocks noChangeShapeType="1"/>
          </xdr:cNvSpPr>
        </xdr:nvSpPr>
        <xdr:spPr bwMode="auto">
          <a:xfrm>
            <a:off x="152" y="667"/>
            <a:ext cx="3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34" name="Line 33">
            <a:extLst>
              <a:ext uri="{FF2B5EF4-FFF2-40B4-BE49-F238E27FC236}">
                <a16:creationId xmlns:a16="http://schemas.microsoft.com/office/drawing/2014/main" id="{00000000-0008-0000-0100-000022000000}"/>
              </a:ext>
            </a:extLst>
          </xdr:cNvPr>
          <xdr:cNvSpPr>
            <a:spLocks noChangeShapeType="1"/>
          </xdr:cNvSpPr>
        </xdr:nvSpPr>
        <xdr:spPr bwMode="auto">
          <a:xfrm flipH="1">
            <a:off x="147" y="667"/>
            <a:ext cx="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type="arrow" w="sm" len="sm"/>
          </a:ln>
          <a:extLst>
            <a:ext uri="{909E8E84-426E-40DD-AFC4-6F175D3DCCD1}">
              <a14:hiddenFill xmlns:a14="http://schemas.microsoft.com/office/drawing/2010/main">
                <a:noFill/>
              </a14:hiddenFill>
            </a:ext>
          </a:extLst>
        </xdr:spPr>
      </xdr:sp>
      <xdr:sp macro="" textlink="">
        <xdr:nvSpPr>
          <xdr:cNvPr id="35" name="Line 34">
            <a:extLst>
              <a:ext uri="{FF2B5EF4-FFF2-40B4-BE49-F238E27FC236}">
                <a16:creationId xmlns:a16="http://schemas.microsoft.com/office/drawing/2014/main" id="{00000000-0008-0000-0100-000023000000}"/>
              </a:ext>
            </a:extLst>
          </xdr:cNvPr>
          <xdr:cNvSpPr>
            <a:spLocks noChangeShapeType="1"/>
          </xdr:cNvSpPr>
        </xdr:nvSpPr>
        <xdr:spPr bwMode="auto">
          <a:xfrm>
            <a:off x="138" y="748"/>
            <a:ext cx="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00000000-0008-0000-0100-000024000000}"/>
              </a:ext>
            </a:extLst>
          </xdr:cNvPr>
          <xdr:cNvSpPr>
            <a:spLocks noChangeShapeType="1"/>
          </xdr:cNvSpPr>
        </xdr:nvSpPr>
        <xdr:spPr bwMode="auto">
          <a:xfrm>
            <a:off x="190" y="754"/>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00000000-0008-0000-0100-000025000000}"/>
              </a:ext>
            </a:extLst>
          </xdr:cNvPr>
          <xdr:cNvSpPr>
            <a:spLocks noChangeShapeType="1"/>
          </xdr:cNvSpPr>
        </xdr:nvSpPr>
        <xdr:spPr bwMode="auto">
          <a:xfrm flipV="1">
            <a:off x="198" y="746"/>
            <a:ext cx="0" cy="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00000000-0008-0000-0100-000026000000}"/>
              </a:ext>
            </a:extLst>
          </xdr:cNvPr>
          <xdr:cNvSpPr>
            <a:spLocks noChangeShapeType="1"/>
          </xdr:cNvSpPr>
        </xdr:nvSpPr>
        <xdr:spPr bwMode="auto">
          <a:xfrm>
            <a:off x="191" y="747"/>
            <a:ext cx="7"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449580</xdr:colOff>
      <xdr:row>42</xdr:row>
      <xdr:rowOff>182880</xdr:rowOff>
    </xdr:from>
    <xdr:to>
      <xdr:col>3</xdr:col>
      <xdr:colOff>312420</xdr:colOff>
      <xdr:row>43</xdr:row>
      <xdr:rowOff>68580</xdr:rowOff>
    </xdr:to>
    <xdr:sp macro="" textlink="">
      <xdr:nvSpPr>
        <xdr:cNvPr id="39" name="Area">
          <a:extLst>
            <a:ext uri="{FF2B5EF4-FFF2-40B4-BE49-F238E27FC236}">
              <a16:creationId xmlns:a16="http://schemas.microsoft.com/office/drawing/2014/main" id="{00000000-0008-0000-0100-000027000000}"/>
            </a:ext>
          </a:extLst>
        </xdr:cNvPr>
        <xdr:cNvSpPr txBox="1">
          <a:spLocks noChangeArrowheads="1"/>
        </xdr:cNvSpPr>
      </xdr:nvSpPr>
      <xdr:spPr bwMode="auto">
        <a:xfrm>
          <a:off x="1699260" y="9837420"/>
          <a:ext cx="350520" cy="114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2800.0</a:t>
          </a:r>
        </a:p>
      </xdr:txBody>
    </xdr:sp>
    <xdr:clientData/>
  </xdr:twoCellAnchor>
  <xdr:twoCellAnchor>
    <xdr:from>
      <xdr:col>1</xdr:col>
      <xdr:colOff>266700</xdr:colOff>
      <xdr:row>40</xdr:row>
      <xdr:rowOff>198120</xdr:rowOff>
    </xdr:from>
    <xdr:to>
      <xdr:col>2</xdr:col>
      <xdr:colOff>251460</xdr:colOff>
      <xdr:row>41</xdr:row>
      <xdr:rowOff>106680</xdr:rowOff>
    </xdr:to>
    <xdr:sp macro="" textlink="">
      <xdr:nvSpPr>
        <xdr:cNvPr id="40" name="OD">
          <a:extLst>
            <a:ext uri="{FF2B5EF4-FFF2-40B4-BE49-F238E27FC236}">
              <a16:creationId xmlns:a16="http://schemas.microsoft.com/office/drawing/2014/main" id="{00000000-0008-0000-0100-000028000000}"/>
            </a:ext>
          </a:extLst>
        </xdr:cNvPr>
        <xdr:cNvSpPr txBox="1">
          <a:spLocks noChangeArrowheads="1"/>
        </xdr:cNvSpPr>
      </xdr:nvSpPr>
      <xdr:spPr bwMode="auto">
        <a:xfrm>
          <a:off x="1097280" y="9395460"/>
          <a:ext cx="403860" cy="13716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332.2</a:t>
          </a:r>
        </a:p>
      </xdr:txBody>
    </xdr:sp>
    <xdr:clientData/>
  </xdr:twoCellAnchor>
  <xdr:twoCellAnchor>
    <xdr:from>
      <xdr:col>2</xdr:col>
      <xdr:colOff>68580</xdr:colOff>
      <xdr:row>40</xdr:row>
      <xdr:rowOff>60960</xdr:rowOff>
    </xdr:from>
    <xdr:to>
      <xdr:col>2</xdr:col>
      <xdr:colOff>350520</xdr:colOff>
      <xdr:row>40</xdr:row>
      <xdr:rowOff>152400</xdr:rowOff>
    </xdr:to>
    <xdr:sp macro="" textlink="">
      <xdr:nvSpPr>
        <xdr:cNvPr id="41" name="Height">
          <a:extLst>
            <a:ext uri="{FF2B5EF4-FFF2-40B4-BE49-F238E27FC236}">
              <a16:creationId xmlns:a16="http://schemas.microsoft.com/office/drawing/2014/main" id="{00000000-0008-0000-0100-000029000000}"/>
            </a:ext>
          </a:extLst>
        </xdr:cNvPr>
        <xdr:cNvSpPr txBox="1">
          <a:spLocks noChangeArrowheads="1"/>
        </xdr:cNvSpPr>
      </xdr:nvSpPr>
      <xdr:spPr bwMode="auto">
        <a:xfrm>
          <a:off x="1318260" y="9258300"/>
          <a:ext cx="281940" cy="914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43.0</a:t>
          </a:r>
        </a:p>
      </xdr:txBody>
    </xdr:sp>
    <xdr:clientData/>
  </xdr:twoCellAnchor>
  <xdr:twoCellAnchor>
    <xdr:from>
      <xdr:col>2</xdr:col>
      <xdr:colOff>358140</xdr:colOff>
      <xdr:row>40</xdr:row>
      <xdr:rowOff>60960</xdr:rowOff>
    </xdr:from>
    <xdr:to>
      <xdr:col>3</xdr:col>
      <xdr:colOff>182880</xdr:colOff>
      <xdr:row>40</xdr:row>
      <xdr:rowOff>182880</xdr:rowOff>
    </xdr:to>
    <xdr:sp macro="" textlink="">
      <xdr:nvSpPr>
        <xdr:cNvPr id="42" name="Thickness">
          <a:extLst>
            <a:ext uri="{FF2B5EF4-FFF2-40B4-BE49-F238E27FC236}">
              <a16:creationId xmlns:a16="http://schemas.microsoft.com/office/drawing/2014/main" id="{00000000-0008-0000-0100-00002A000000}"/>
            </a:ext>
          </a:extLst>
        </xdr:cNvPr>
        <xdr:cNvSpPr txBox="1">
          <a:spLocks noChangeArrowheads="1"/>
        </xdr:cNvSpPr>
      </xdr:nvSpPr>
      <xdr:spPr bwMode="auto">
        <a:xfrm>
          <a:off x="1607820" y="9258300"/>
          <a:ext cx="312420" cy="1219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70.0</a:t>
          </a:r>
        </a:p>
      </xdr:txBody>
    </xdr:sp>
    <xdr:clientData/>
  </xdr:twoCellAnchor>
  <xdr:twoCellAnchor>
    <xdr:from>
      <xdr:col>1</xdr:col>
      <xdr:colOff>304800</xdr:colOff>
      <xdr:row>42</xdr:row>
      <xdr:rowOff>0</xdr:rowOff>
    </xdr:from>
    <xdr:to>
      <xdr:col>2</xdr:col>
      <xdr:colOff>198120</xdr:colOff>
      <xdr:row>42</xdr:row>
      <xdr:rowOff>121920</xdr:rowOff>
    </xdr:to>
    <xdr:sp macro="" textlink="">
      <xdr:nvSpPr>
        <xdr:cNvPr id="43" name="ID">
          <a:extLst>
            <a:ext uri="{FF2B5EF4-FFF2-40B4-BE49-F238E27FC236}">
              <a16:creationId xmlns:a16="http://schemas.microsoft.com/office/drawing/2014/main" id="{00000000-0008-0000-0100-00002B000000}"/>
            </a:ext>
          </a:extLst>
        </xdr:cNvPr>
        <xdr:cNvSpPr txBox="1">
          <a:spLocks noChangeArrowheads="1"/>
        </xdr:cNvSpPr>
      </xdr:nvSpPr>
      <xdr:spPr bwMode="auto">
        <a:xfrm>
          <a:off x="1135380" y="9654540"/>
          <a:ext cx="312420" cy="1219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246.2</a:t>
          </a:r>
        </a:p>
      </xdr:txBody>
    </xdr:sp>
    <xdr:clientData/>
  </xdr:twoCellAnchor>
  <xdr:twoCellAnchor>
    <xdr:from>
      <xdr:col>3</xdr:col>
      <xdr:colOff>137160</xdr:colOff>
      <xdr:row>32</xdr:row>
      <xdr:rowOff>83820</xdr:rowOff>
    </xdr:from>
    <xdr:to>
      <xdr:col>3</xdr:col>
      <xdr:colOff>396240</xdr:colOff>
      <xdr:row>32</xdr:row>
      <xdr:rowOff>198120</xdr:rowOff>
    </xdr:to>
    <xdr:sp macro="" textlink="">
      <xdr:nvSpPr>
        <xdr:cNvPr id="44" name="Tip2">
          <a:extLst>
            <a:ext uri="{FF2B5EF4-FFF2-40B4-BE49-F238E27FC236}">
              <a16:creationId xmlns:a16="http://schemas.microsoft.com/office/drawing/2014/main" id="{00000000-0008-0000-0100-00002C000000}"/>
            </a:ext>
          </a:extLst>
        </xdr:cNvPr>
        <xdr:cNvSpPr txBox="1">
          <a:spLocks noChangeArrowheads="1"/>
        </xdr:cNvSpPr>
      </xdr:nvSpPr>
      <xdr:spPr bwMode="auto">
        <a:xfrm>
          <a:off x="1874520" y="7452360"/>
          <a:ext cx="259080" cy="114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1.00</a:t>
          </a:r>
        </a:p>
      </xdr:txBody>
    </xdr:sp>
    <xdr:clientData/>
  </xdr:twoCellAnchor>
  <xdr:twoCellAnchor>
    <xdr:from>
      <xdr:col>3</xdr:col>
      <xdr:colOff>213360</xdr:colOff>
      <xdr:row>35</xdr:row>
      <xdr:rowOff>45720</xdr:rowOff>
    </xdr:from>
    <xdr:to>
      <xdr:col>3</xdr:col>
      <xdr:colOff>495300</xdr:colOff>
      <xdr:row>35</xdr:row>
      <xdr:rowOff>160020</xdr:rowOff>
    </xdr:to>
    <xdr:sp macro="" textlink="">
      <xdr:nvSpPr>
        <xdr:cNvPr id="45" name="Depth2">
          <a:extLst>
            <a:ext uri="{FF2B5EF4-FFF2-40B4-BE49-F238E27FC236}">
              <a16:creationId xmlns:a16="http://schemas.microsoft.com/office/drawing/2014/main" id="{00000000-0008-0000-0100-00002D000000}"/>
            </a:ext>
          </a:extLst>
        </xdr:cNvPr>
        <xdr:cNvSpPr txBox="1">
          <a:spLocks noChangeArrowheads="1"/>
        </xdr:cNvSpPr>
      </xdr:nvSpPr>
      <xdr:spPr bwMode="auto">
        <a:xfrm>
          <a:off x="1950720" y="8100060"/>
          <a:ext cx="281940" cy="114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35.00</a:t>
          </a:r>
        </a:p>
      </xdr:txBody>
    </xdr:sp>
    <xdr:clientData/>
  </xdr:twoCellAnchor>
  <xdr:twoCellAnchor>
    <xdr:from>
      <xdr:col>2</xdr:col>
      <xdr:colOff>419100</xdr:colOff>
      <xdr:row>33</xdr:row>
      <xdr:rowOff>144780</xdr:rowOff>
    </xdr:from>
    <xdr:to>
      <xdr:col>3</xdr:col>
      <xdr:colOff>175260</xdr:colOff>
      <xdr:row>34</xdr:row>
      <xdr:rowOff>7620</xdr:rowOff>
    </xdr:to>
    <xdr:sp macro="" textlink="">
      <xdr:nvSpPr>
        <xdr:cNvPr id="46" name="Hat Depth">
          <a:extLst>
            <a:ext uri="{FF2B5EF4-FFF2-40B4-BE49-F238E27FC236}">
              <a16:creationId xmlns:a16="http://schemas.microsoft.com/office/drawing/2014/main" id="{00000000-0008-0000-0100-00002E000000}"/>
            </a:ext>
          </a:extLst>
        </xdr:cNvPr>
        <xdr:cNvSpPr txBox="1">
          <a:spLocks noChangeArrowheads="1"/>
        </xdr:cNvSpPr>
      </xdr:nvSpPr>
      <xdr:spPr bwMode="auto">
        <a:xfrm>
          <a:off x="1668780" y="7741920"/>
          <a:ext cx="243840" cy="914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2.0</a:t>
          </a:r>
        </a:p>
      </xdr:txBody>
    </xdr:sp>
    <xdr:clientData/>
  </xdr:twoCellAnchor>
  <xdr:twoCellAnchor>
    <xdr:from>
      <xdr:col>2</xdr:col>
      <xdr:colOff>403860</xdr:colOff>
      <xdr:row>34</xdr:row>
      <xdr:rowOff>38100</xdr:rowOff>
    </xdr:from>
    <xdr:to>
      <xdr:col>3</xdr:col>
      <xdr:colOff>182880</xdr:colOff>
      <xdr:row>34</xdr:row>
      <xdr:rowOff>160020</xdr:rowOff>
    </xdr:to>
    <xdr:sp macro="" textlink="">
      <xdr:nvSpPr>
        <xdr:cNvPr id="47" name="Up Bar Depth">
          <a:extLst>
            <a:ext uri="{FF2B5EF4-FFF2-40B4-BE49-F238E27FC236}">
              <a16:creationId xmlns:a16="http://schemas.microsoft.com/office/drawing/2014/main" id="{00000000-0008-0000-0100-00002F000000}"/>
            </a:ext>
          </a:extLst>
        </xdr:cNvPr>
        <xdr:cNvSpPr txBox="1">
          <a:spLocks noChangeArrowheads="1"/>
        </xdr:cNvSpPr>
      </xdr:nvSpPr>
      <xdr:spPr bwMode="auto">
        <a:xfrm>
          <a:off x="1653540" y="7863840"/>
          <a:ext cx="266700" cy="1219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10.0</a:t>
          </a:r>
        </a:p>
      </xdr:txBody>
    </xdr:sp>
    <xdr:clientData/>
  </xdr:twoCellAnchor>
  <xdr:twoCellAnchor>
    <xdr:from>
      <xdr:col>1</xdr:col>
      <xdr:colOff>358140</xdr:colOff>
      <xdr:row>34</xdr:row>
      <xdr:rowOff>22860</xdr:rowOff>
    </xdr:from>
    <xdr:to>
      <xdr:col>2</xdr:col>
      <xdr:colOff>144780</xdr:colOff>
      <xdr:row>34</xdr:row>
      <xdr:rowOff>175260</xdr:rowOff>
    </xdr:to>
    <xdr:sp macro="" textlink="">
      <xdr:nvSpPr>
        <xdr:cNvPr id="48" name="Up Bar Width">
          <a:extLst>
            <a:ext uri="{FF2B5EF4-FFF2-40B4-BE49-F238E27FC236}">
              <a16:creationId xmlns:a16="http://schemas.microsoft.com/office/drawing/2014/main" id="{00000000-0008-0000-0100-000030000000}"/>
            </a:ext>
          </a:extLst>
        </xdr:cNvPr>
        <xdr:cNvSpPr txBox="1">
          <a:spLocks noChangeArrowheads="1"/>
        </xdr:cNvSpPr>
      </xdr:nvSpPr>
      <xdr:spPr bwMode="auto">
        <a:xfrm>
          <a:off x="1188720" y="7848600"/>
          <a:ext cx="205740"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7.0</a:t>
          </a:r>
        </a:p>
      </xdr:txBody>
    </xdr:sp>
    <xdr:clientData/>
  </xdr:twoCellAnchor>
  <xdr:twoCellAnchor>
    <xdr:from>
      <xdr:col>2</xdr:col>
      <xdr:colOff>175260</xdr:colOff>
      <xdr:row>35</xdr:row>
      <xdr:rowOff>83820</xdr:rowOff>
    </xdr:from>
    <xdr:to>
      <xdr:col>2</xdr:col>
      <xdr:colOff>480060</xdr:colOff>
      <xdr:row>35</xdr:row>
      <xdr:rowOff>190500</xdr:rowOff>
    </xdr:to>
    <xdr:sp macro="" textlink="">
      <xdr:nvSpPr>
        <xdr:cNvPr id="49" name="Width2">
          <a:extLst>
            <a:ext uri="{FF2B5EF4-FFF2-40B4-BE49-F238E27FC236}">
              <a16:creationId xmlns:a16="http://schemas.microsoft.com/office/drawing/2014/main" id="{00000000-0008-0000-0100-000031000000}"/>
            </a:ext>
          </a:extLst>
        </xdr:cNvPr>
        <xdr:cNvSpPr txBox="1">
          <a:spLocks noChangeArrowheads="1"/>
        </xdr:cNvSpPr>
      </xdr:nvSpPr>
      <xdr:spPr bwMode="auto">
        <a:xfrm>
          <a:off x="1424940" y="8138160"/>
          <a:ext cx="304800" cy="1066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17.51</a:t>
          </a:r>
        </a:p>
      </xdr:txBody>
    </xdr:sp>
    <xdr:clientData/>
  </xdr:twoCellAnchor>
  <xdr:twoCellAnchor>
    <xdr:from>
      <xdr:col>3</xdr:col>
      <xdr:colOff>60960</xdr:colOff>
      <xdr:row>36</xdr:row>
      <xdr:rowOff>22860</xdr:rowOff>
    </xdr:from>
    <xdr:to>
      <xdr:col>3</xdr:col>
      <xdr:colOff>365760</xdr:colOff>
      <xdr:row>36</xdr:row>
      <xdr:rowOff>144780</xdr:rowOff>
    </xdr:to>
    <xdr:sp macro="" textlink="">
      <xdr:nvSpPr>
        <xdr:cNvPr id="50" name="Low Bar Depth">
          <a:extLst>
            <a:ext uri="{FF2B5EF4-FFF2-40B4-BE49-F238E27FC236}">
              <a16:creationId xmlns:a16="http://schemas.microsoft.com/office/drawing/2014/main" id="{00000000-0008-0000-0100-000032000000}"/>
            </a:ext>
          </a:extLst>
        </xdr:cNvPr>
        <xdr:cNvSpPr txBox="1">
          <a:spLocks noChangeArrowheads="1"/>
        </xdr:cNvSpPr>
      </xdr:nvSpPr>
      <xdr:spPr bwMode="auto">
        <a:xfrm>
          <a:off x="1798320" y="8305800"/>
          <a:ext cx="304800" cy="1219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22.00</a:t>
          </a:r>
        </a:p>
      </xdr:txBody>
    </xdr:sp>
    <xdr:clientData/>
  </xdr:twoCellAnchor>
  <xdr:twoCellAnchor>
    <xdr:from>
      <xdr:col>2</xdr:col>
      <xdr:colOff>198120</xdr:colOff>
      <xdr:row>36</xdr:row>
      <xdr:rowOff>152400</xdr:rowOff>
    </xdr:from>
    <xdr:to>
      <xdr:col>2</xdr:col>
      <xdr:colOff>426720</xdr:colOff>
      <xdr:row>37</xdr:row>
      <xdr:rowOff>30480</xdr:rowOff>
    </xdr:to>
    <xdr:sp macro="" textlink="">
      <xdr:nvSpPr>
        <xdr:cNvPr id="51" name="Width3">
          <a:extLst>
            <a:ext uri="{FF2B5EF4-FFF2-40B4-BE49-F238E27FC236}">
              <a16:creationId xmlns:a16="http://schemas.microsoft.com/office/drawing/2014/main" id="{00000000-0008-0000-0100-000033000000}"/>
            </a:ext>
          </a:extLst>
        </xdr:cNvPr>
        <xdr:cNvSpPr txBox="1">
          <a:spLocks noChangeArrowheads="1"/>
        </xdr:cNvSpPr>
      </xdr:nvSpPr>
      <xdr:spPr bwMode="auto">
        <a:xfrm>
          <a:off x="1447800" y="8435340"/>
          <a:ext cx="228600" cy="1066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80"/>
              </a:solidFill>
              <a:latin typeface="Univers (W1)"/>
            </a:rPr>
            <a:t>13.43</a:t>
          </a:r>
        </a:p>
      </xdr:txBody>
    </xdr:sp>
    <xdr:clientData/>
  </xdr:twoCellAnchor>
  <xdr:twoCellAnchor>
    <xdr:from>
      <xdr:col>1</xdr:col>
      <xdr:colOff>167640</xdr:colOff>
      <xdr:row>39</xdr:row>
      <xdr:rowOff>91440</xdr:rowOff>
    </xdr:from>
    <xdr:to>
      <xdr:col>3</xdr:col>
      <xdr:colOff>563880</xdr:colOff>
      <xdr:row>43</xdr:row>
      <xdr:rowOff>68580</xdr:rowOff>
    </xdr:to>
    <xdr:grpSp>
      <xdr:nvGrpSpPr>
        <xdr:cNvPr id="52" name="Group 51">
          <a:extLst>
            <a:ext uri="{FF2B5EF4-FFF2-40B4-BE49-F238E27FC236}">
              <a16:creationId xmlns:a16="http://schemas.microsoft.com/office/drawing/2014/main" id="{00000000-0008-0000-0100-000034000000}"/>
            </a:ext>
          </a:extLst>
        </xdr:cNvPr>
        <xdr:cNvGrpSpPr>
          <a:grpSpLocks/>
        </xdr:cNvGrpSpPr>
      </xdr:nvGrpSpPr>
      <xdr:grpSpPr bwMode="auto">
        <a:xfrm>
          <a:off x="1034415" y="9073515"/>
          <a:ext cx="1339215" cy="891540"/>
          <a:chOff x="102" y="929"/>
          <a:chExt cx="133" cy="93"/>
        </a:xfrm>
      </xdr:grpSpPr>
      <xdr:sp macro="" textlink="">
        <xdr:nvSpPr>
          <xdr:cNvPr id="53" name="Line 52">
            <a:extLst>
              <a:ext uri="{FF2B5EF4-FFF2-40B4-BE49-F238E27FC236}">
                <a16:creationId xmlns:a16="http://schemas.microsoft.com/office/drawing/2014/main" id="{00000000-0008-0000-0100-000035000000}"/>
              </a:ext>
            </a:extLst>
          </xdr:cNvPr>
          <xdr:cNvSpPr>
            <a:spLocks noChangeShapeType="1"/>
          </xdr:cNvSpPr>
        </xdr:nvSpPr>
        <xdr:spPr bwMode="auto">
          <a:xfrm flipH="1" flipV="1">
            <a:off x="151" y="989"/>
            <a:ext cx="0" cy="1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54" name="Line 53">
            <a:extLst>
              <a:ext uri="{FF2B5EF4-FFF2-40B4-BE49-F238E27FC236}">
                <a16:creationId xmlns:a16="http://schemas.microsoft.com/office/drawing/2014/main" id="{00000000-0008-0000-0100-000036000000}"/>
              </a:ext>
            </a:extLst>
          </xdr:cNvPr>
          <xdr:cNvSpPr>
            <a:spLocks noChangeShapeType="1"/>
          </xdr:cNvSpPr>
        </xdr:nvSpPr>
        <xdr:spPr bwMode="auto">
          <a:xfrm flipV="1">
            <a:off x="135" y="929"/>
            <a:ext cx="28"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5" name="Line 54">
            <a:extLst>
              <a:ext uri="{FF2B5EF4-FFF2-40B4-BE49-F238E27FC236}">
                <a16:creationId xmlns:a16="http://schemas.microsoft.com/office/drawing/2014/main" id="{00000000-0008-0000-0100-000037000000}"/>
              </a:ext>
            </a:extLst>
          </xdr:cNvPr>
          <xdr:cNvSpPr>
            <a:spLocks noChangeShapeType="1"/>
          </xdr:cNvSpPr>
        </xdr:nvSpPr>
        <xdr:spPr bwMode="auto">
          <a:xfrm>
            <a:off x="163" y="929"/>
            <a:ext cx="0" cy="77"/>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6" name="Line 55">
            <a:extLst>
              <a:ext uri="{FF2B5EF4-FFF2-40B4-BE49-F238E27FC236}">
                <a16:creationId xmlns:a16="http://schemas.microsoft.com/office/drawing/2014/main" id="{00000000-0008-0000-0100-000038000000}"/>
              </a:ext>
            </a:extLst>
          </xdr:cNvPr>
          <xdr:cNvSpPr>
            <a:spLocks noChangeShapeType="1"/>
          </xdr:cNvSpPr>
        </xdr:nvSpPr>
        <xdr:spPr bwMode="auto">
          <a:xfrm flipV="1">
            <a:off x="163" y="934"/>
            <a:ext cx="72"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7" name="Line 56">
            <a:extLst>
              <a:ext uri="{FF2B5EF4-FFF2-40B4-BE49-F238E27FC236}">
                <a16:creationId xmlns:a16="http://schemas.microsoft.com/office/drawing/2014/main" id="{00000000-0008-0000-0100-000039000000}"/>
              </a:ext>
            </a:extLst>
          </xdr:cNvPr>
          <xdr:cNvSpPr>
            <a:spLocks noChangeShapeType="1"/>
          </xdr:cNvSpPr>
        </xdr:nvSpPr>
        <xdr:spPr bwMode="auto">
          <a:xfrm flipH="1">
            <a:off x="235" y="934"/>
            <a:ext cx="0" cy="4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8" name="Line 57">
            <a:extLst>
              <a:ext uri="{FF2B5EF4-FFF2-40B4-BE49-F238E27FC236}">
                <a16:creationId xmlns:a16="http://schemas.microsoft.com/office/drawing/2014/main" id="{00000000-0008-0000-0100-00003A000000}"/>
              </a:ext>
            </a:extLst>
          </xdr:cNvPr>
          <xdr:cNvSpPr>
            <a:spLocks noChangeShapeType="1"/>
          </xdr:cNvSpPr>
        </xdr:nvSpPr>
        <xdr:spPr bwMode="auto">
          <a:xfrm flipV="1">
            <a:off x="163" y="975"/>
            <a:ext cx="72" cy="13"/>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59" name="Line 58">
            <a:extLst>
              <a:ext uri="{FF2B5EF4-FFF2-40B4-BE49-F238E27FC236}">
                <a16:creationId xmlns:a16="http://schemas.microsoft.com/office/drawing/2014/main" id="{00000000-0008-0000-0100-00003B000000}"/>
              </a:ext>
            </a:extLst>
          </xdr:cNvPr>
          <xdr:cNvSpPr>
            <a:spLocks noChangeShapeType="1"/>
          </xdr:cNvSpPr>
        </xdr:nvSpPr>
        <xdr:spPr bwMode="auto">
          <a:xfrm>
            <a:off x="191" y="934"/>
            <a:ext cx="0" cy="4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60" name="Line 59">
            <a:extLst>
              <a:ext uri="{FF2B5EF4-FFF2-40B4-BE49-F238E27FC236}">
                <a16:creationId xmlns:a16="http://schemas.microsoft.com/office/drawing/2014/main" id="{00000000-0008-0000-0100-00003C000000}"/>
              </a:ext>
            </a:extLst>
          </xdr:cNvPr>
          <xdr:cNvSpPr>
            <a:spLocks noChangeShapeType="1"/>
          </xdr:cNvSpPr>
        </xdr:nvSpPr>
        <xdr:spPr bwMode="auto">
          <a:xfrm flipH="1">
            <a:off x="130" y="934"/>
            <a:ext cx="3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1" name="Line 60">
            <a:extLst>
              <a:ext uri="{FF2B5EF4-FFF2-40B4-BE49-F238E27FC236}">
                <a16:creationId xmlns:a16="http://schemas.microsoft.com/office/drawing/2014/main" id="{00000000-0008-0000-0100-00003D000000}"/>
              </a:ext>
            </a:extLst>
          </xdr:cNvPr>
          <xdr:cNvSpPr>
            <a:spLocks noChangeShapeType="1"/>
          </xdr:cNvSpPr>
        </xdr:nvSpPr>
        <xdr:spPr bwMode="auto">
          <a:xfrm flipH="1" flipV="1">
            <a:off x="142" y="988"/>
            <a:ext cx="2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62" name="Line 61">
            <a:extLst>
              <a:ext uri="{FF2B5EF4-FFF2-40B4-BE49-F238E27FC236}">
                <a16:creationId xmlns:a16="http://schemas.microsoft.com/office/drawing/2014/main" id="{00000000-0008-0000-0100-00003E000000}"/>
              </a:ext>
            </a:extLst>
          </xdr:cNvPr>
          <xdr:cNvSpPr>
            <a:spLocks noChangeShapeType="1"/>
          </xdr:cNvSpPr>
        </xdr:nvSpPr>
        <xdr:spPr bwMode="auto">
          <a:xfrm flipV="1">
            <a:off x="145" y="934"/>
            <a:ext cx="0" cy="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63" name="Line 62">
            <a:extLst>
              <a:ext uri="{FF2B5EF4-FFF2-40B4-BE49-F238E27FC236}">
                <a16:creationId xmlns:a16="http://schemas.microsoft.com/office/drawing/2014/main" id="{00000000-0008-0000-0100-00003F000000}"/>
              </a:ext>
            </a:extLst>
          </xdr:cNvPr>
          <xdr:cNvSpPr>
            <a:spLocks noChangeShapeType="1"/>
          </xdr:cNvSpPr>
        </xdr:nvSpPr>
        <xdr:spPr bwMode="auto">
          <a:xfrm flipH="1">
            <a:off x="145" y="962"/>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63">
            <a:extLst>
              <a:ext uri="{FF2B5EF4-FFF2-40B4-BE49-F238E27FC236}">
                <a16:creationId xmlns:a16="http://schemas.microsoft.com/office/drawing/2014/main" id="{00000000-0008-0000-0100-000040000000}"/>
              </a:ext>
            </a:extLst>
          </xdr:cNvPr>
          <xdr:cNvSpPr>
            <a:spLocks noChangeShapeType="1"/>
          </xdr:cNvSpPr>
        </xdr:nvSpPr>
        <xdr:spPr bwMode="auto">
          <a:xfrm flipH="1" flipV="1">
            <a:off x="132" y="935"/>
            <a:ext cx="0" cy="2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64">
            <a:extLst>
              <a:ext uri="{FF2B5EF4-FFF2-40B4-BE49-F238E27FC236}">
                <a16:creationId xmlns:a16="http://schemas.microsoft.com/office/drawing/2014/main" id="{00000000-0008-0000-0100-000041000000}"/>
              </a:ext>
            </a:extLst>
          </xdr:cNvPr>
          <xdr:cNvSpPr>
            <a:spLocks noChangeShapeType="1"/>
          </xdr:cNvSpPr>
        </xdr:nvSpPr>
        <xdr:spPr bwMode="auto">
          <a:xfrm>
            <a:off x="163" y="966"/>
            <a:ext cx="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66" name="Text 1067">
            <a:extLst>
              <a:ext uri="{FF2B5EF4-FFF2-40B4-BE49-F238E27FC236}">
                <a16:creationId xmlns:a16="http://schemas.microsoft.com/office/drawing/2014/main" id="{00000000-0008-0000-0100-000042000000}"/>
              </a:ext>
            </a:extLst>
          </xdr:cNvPr>
          <xdr:cNvSpPr txBox="1">
            <a:spLocks noChangeArrowheads="1"/>
          </xdr:cNvSpPr>
        </xdr:nvSpPr>
        <xdr:spPr bwMode="auto">
          <a:xfrm>
            <a:off x="190" y="996"/>
            <a:ext cx="22" cy="12"/>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en-US"/>
          </a:p>
        </xdr:txBody>
      </xdr:sp>
      <xdr:sp macro="" textlink="">
        <xdr:nvSpPr>
          <xdr:cNvPr id="67" name="Text 1068">
            <a:extLst>
              <a:ext uri="{FF2B5EF4-FFF2-40B4-BE49-F238E27FC236}">
                <a16:creationId xmlns:a16="http://schemas.microsoft.com/office/drawing/2014/main" id="{00000000-0008-0000-0100-000043000000}"/>
              </a:ext>
            </a:extLst>
          </xdr:cNvPr>
          <xdr:cNvSpPr txBox="1">
            <a:spLocks noChangeArrowheads="1"/>
          </xdr:cNvSpPr>
        </xdr:nvSpPr>
        <xdr:spPr bwMode="auto">
          <a:xfrm>
            <a:off x="121" y="1009"/>
            <a:ext cx="52" cy="12"/>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68" name="Text 1069">
            <a:extLst>
              <a:ext uri="{FF2B5EF4-FFF2-40B4-BE49-F238E27FC236}">
                <a16:creationId xmlns:a16="http://schemas.microsoft.com/office/drawing/2014/main" id="{00000000-0008-0000-0100-000044000000}"/>
              </a:ext>
            </a:extLst>
          </xdr:cNvPr>
          <xdr:cNvSpPr txBox="1">
            <a:spLocks noChangeArrowheads="1"/>
          </xdr:cNvSpPr>
        </xdr:nvSpPr>
        <xdr:spPr bwMode="auto">
          <a:xfrm>
            <a:off x="204" y="1008"/>
            <a:ext cx="31" cy="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69" name="Line 68">
            <a:extLst>
              <a:ext uri="{FF2B5EF4-FFF2-40B4-BE49-F238E27FC236}">
                <a16:creationId xmlns:a16="http://schemas.microsoft.com/office/drawing/2014/main" id="{00000000-0008-0000-0100-000045000000}"/>
              </a:ext>
            </a:extLst>
          </xdr:cNvPr>
          <xdr:cNvSpPr>
            <a:spLocks noChangeShapeType="1"/>
          </xdr:cNvSpPr>
        </xdr:nvSpPr>
        <xdr:spPr bwMode="auto">
          <a:xfrm flipV="1">
            <a:off x="135" y="929"/>
            <a:ext cx="28"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0" name="Line 69">
            <a:extLst>
              <a:ext uri="{FF2B5EF4-FFF2-40B4-BE49-F238E27FC236}">
                <a16:creationId xmlns:a16="http://schemas.microsoft.com/office/drawing/2014/main" id="{00000000-0008-0000-0100-000046000000}"/>
              </a:ext>
            </a:extLst>
          </xdr:cNvPr>
          <xdr:cNvSpPr>
            <a:spLocks noChangeShapeType="1"/>
          </xdr:cNvSpPr>
        </xdr:nvSpPr>
        <xdr:spPr bwMode="auto">
          <a:xfrm>
            <a:off x="163" y="929"/>
            <a:ext cx="0" cy="77"/>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1" name="Line 70">
            <a:extLst>
              <a:ext uri="{FF2B5EF4-FFF2-40B4-BE49-F238E27FC236}">
                <a16:creationId xmlns:a16="http://schemas.microsoft.com/office/drawing/2014/main" id="{00000000-0008-0000-0100-000047000000}"/>
              </a:ext>
            </a:extLst>
          </xdr:cNvPr>
          <xdr:cNvSpPr>
            <a:spLocks noChangeShapeType="1"/>
          </xdr:cNvSpPr>
        </xdr:nvSpPr>
        <xdr:spPr bwMode="auto">
          <a:xfrm flipV="1">
            <a:off x="163" y="934"/>
            <a:ext cx="72"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2" name="Line 71">
            <a:extLst>
              <a:ext uri="{FF2B5EF4-FFF2-40B4-BE49-F238E27FC236}">
                <a16:creationId xmlns:a16="http://schemas.microsoft.com/office/drawing/2014/main" id="{00000000-0008-0000-0100-000048000000}"/>
              </a:ext>
            </a:extLst>
          </xdr:cNvPr>
          <xdr:cNvSpPr>
            <a:spLocks noChangeShapeType="1"/>
          </xdr:cNvSpPr>
        </xdr:nvSpPr>
        <xdr:spPr bwMode="auto">
          <a:xfrm flipH="1">
            <a:off x="235" y="934"/>
            <a:ext cx="0" cy="4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3" name="Line 72">
            <a:extLst>
              <a:ext uri="{FF2B5EF4-FFF2-40B4-BE49-F238E27FC236}">
                <a16:creationId xmlns:a16="http://schemas.microsoft.com/office/drawing/2014/main" id="{00000000-0008-0000-0100-000049000000}"/>
              </a:ext>
            </a:extLst>
          </xdr:cNvPr>
          <xdr:cNvSpPr>
            <a:spLocks noChangeShapeType="1"/>
          </xdr:cNvSpPr>
        </xdr:nvSpPr>
        <xdr:spPr bwMode="auto">
          <a:xfrm flipV="1">
            <a:off x="163" y="975"/>
            <a:ext cx="72" cy="13"/>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4" name="Line 73">
            <a:extLst>
              <a:ext uri="{FF2B5EF4-FFF2-40B4-BE49-F238E27FC236}">
                <a16:creationId xmlns:a16="http://schemas.microsoft.com/office/drawing/2014/main" id="{00000000-0008-0000-0100-00004A000000}"/>
              </a:ext>
            </a:extLst>
          </xdr:cNvPr>
          <xdr:cNvSpPr>
            <a:spLocks noChangeShapeType="1"/>
          </xdr:cNvSpPr>
        </xdr:nvSpPr>
        <xdr:spPr bwMode="auto">
          <a:xfrm>
            <a:off x="191" y="934"/>
            <a:ext cx="0" cy="48"/>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75" name="Line 74">
            <a:extLst>
              <a:ext uri="{FF2B5EF4-FFF2-40B4-BE49-F238E27FC236}">
                <a16:creationId xmlns:a16="http://schemas.microsoft.com/office/drawing/2014/main" id="{00000000-0008-0000-0100-00004B000000}"/>
              </a:ext>
            </a:extLst>
          </xdr:cNvPr>
          <xdr:cNvSpPr>
            <a:spLocks noChangeShapeType="1"/>
          </xdr:cNvSpPr>
        </xdr:nvSpPr>
        <xdr:spPr bwMode="auto">
          <a:xfrm flipH="1">
            <a:off x="130" y="934"/>
            <a:ext cx="3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6" name="Line 75">
            <a:extLst>
              <a:ext uri="{FF2B5EF4-FFF2-40B4-BE49-F238E27FC236}">
                <a16:creationId xmlns:a16="http://schemas.microsoft.com/office/drawing/2014/main" id="{00000000-0008-0000-0100-00004C000000}"/>
              </a:ext>
            </a:extLst>
          </xdr:cNvPr>
          <xdr:cNvSpPr>
            <a:spLocks noChangeShapeType="1"/>
          </xdr:cNvSpPr>
        </xdr:nvSpPr>
        <xdr:spPr bwMode="auto">
          <a:xfrm flipH="1" flipV="1">
            <a:off x="142" y="988"/>
            <a:ext cx="2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7" name="Line 76">
            <a:extLst>
              <a:ext uri="{FF2B5EF4-FFF2-40B4-BE49-F238E27FC236}">
                <a16:creationId xmlns:a16="http://schemas.microsoft.com/office/drawing/2014/main" id="{00000000-0008-0000-0100-00004D000000}"/>
              </a:ext>
            </a:extLst>
          </xdr:cNvPr>
          <xdr:cNvSpPr>
            <a:spLocks noChangeShapeType="1"/>
          </xdr:cNvSpPr>
        </xdr:nvSpPr>
        <xdr:spPr bwMode="auto">
          <a:xfrm flipV="1">
            <a:off x="145" y="934"/>
            <a:ext cx="0" cy="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78" name="Line 77">
            <a:extLst>
              <a:ext uri="{FF2B5EF4-FFF2-40B4-BE49-F238E27FC236}">
                <a16:creationId xmlns:a16="http://schemas.microsoft.com/office/drawing/2014/main" id="{00000000-0008-0000-0100-00004E000000}"/>
              </a:ext>
            </a:extLst>
          </xdr:cNvPr>
          <xdr:cNvSpPr>
            <a:spLocks noChangeShapeType="1"/>
          </xdr:cNvSpPr>
        </xdr:nvSpPr>
        <xdr:spPr bwMode="auto">
          <a:xfrm flipH="1">
            <a:off x="145" y="962"/>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79" name="Line 78">
            <a:extLst>
              <a:ext uri="{FF2B5EF4-FFF2-40B4-BE49-F238E27FC236}">
                <a16:creationId xmlns:a16="http://schemas.microsoft.com/office/drawing/2014/main" id="{00000000-0008-0000-0100-00004F000000}"/>
              </a:ext>
            </a:extLst>
          </xdr:cNvPr>
          <xdr:cNvSpPr>
            <a:spLocks noChangeShapeType="1"/>
          </xdr:cNvSpPr>
        </xdr:nvSpPr>
        <xdr:spPr bwMode="auto">
          <a:xfrm flipH="1" flipV="1">
            <a:off x="132" y="935"/>
            <a:ext cx="0" cy="2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80" name="Line 79">
            <a:extLst>
              <a:ext uri="{FF2B5EF4-FFF2-40B4-BE49-F238E27FC236}">
                <a16:creationId xmlns:a16="http://schemas.microsoft.com/office/drawing/2014/main" id="{00000000-0008-0000-0100-000050000000}"/>
              </a:ext>
            </a:extLst>
          </xdr:cNvPr>
          <xdr:cNvSpPr>
            <a:spLocks noChangeShapeType="1"/>
          </xdr:cNvSpPr>
        </xdr:nvSpPr>
        <xdr:spPr bwMode="auto">
          <a:xfrm>
            <a:off x="163" y="966"/>
            <a:ext cx="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81" name="Text 1067">
            <a:extLst>
              <a:ext uri="{FF2B5EF4-FFF2-40B4-BE49-F238E27FC236}">
                <a16:creationId xmlns:a16="http://schemas.microsoft.com/office/drawing/2014/main" id="{00000000-0008-0000-0100-000051000000}"/>
              </a:ext>
            </a:extLst>
          </xdr:cNvPr>
          <xdr:cNvSpPr txBox="1">
            <a:spLocks noChangeArrowheads="1"/>
          </xdr:cNvSpPr>
        </xdr:nvSpPr>
        <xdr:spPr bwMode="auto">
          <a:xfrm>
            <a:off x="190" y="996"/>
            <a:ext cx="22" cy="12"/>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en-US"/>
          </a:p>
        </xdr:txBody>
      </xdr:sp>
      <xdr:sp macro="" textlink="">
        <xdr:nvSpPr>
          <xdr:cNvPr id="82" name="Text 1068">
            <a:extLst>
              <a:ext uri="{FF2B5EF4-FFF2-40B4-BE49-F238E27FC236}">
                <a16:creationId xmlns:a16="http://schemas.microsoft.com/office/drawing/2014/main" id="{00000000-0008-0000-0100-000052000000}"/>
              </a:ext>
            </a:extLst>
          </xdr:cNvPr>
          <xdr:cNvSpPr txBox="1">
            <a:spLocks noChangeArrowheads="1"/>
          </xdr:cNvSpPr>
        </xdr:nvSpPr>
        <xdr:spPr bwMode="auto">
          <a:xfrm>
            <a:off x="121" y="1009"/>
            <a:ext cx="52" cy="12"/>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Section</a:t>
            </a:r>
          </a:p>
        </xdr:txBody>
      </xdr:sp>
      <xdr:sp macro="" textlink="">
        <xdr:nvSpPr>
          <xdr:cNvPr id="83" name="Text 1069">
            <a:extLst>
              <a:ext uri="{FF2B5EF4-FFF2-40B4-BE49-F238E27FC236}">
                <a16:creationId xmlns:a16="http://schemas.microsoft.com/office/drawing/2014/main" id="{00000000-0008-0000-0100-000053000000}"/>
              </a:ext>
            </a:extLst>
          </xdr:cNvPr>
          <xdr:cNvSpPr txBox="1">
            <a:spLocks noChangeArrowheads="1"/>
          </xdr:cNvSpPr>
        </xdr:nvSpPr>
        <xdr:spPr bwMode="auto">
          <a:xfrm>
            <a:off x="204" y="1008"/>
            <a:ext cx="31" cy="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mm</a:t>
            </a:r>
            <a:r>
              <a:rPr lang="en-US" sz="600" b="1" i="0" u="none" strike="noStrike" baseline="30000">
                <a:solidFill>
                  <a:srgbClr val="000000"/>
                </a:solidFill>
                <a:latin typeface="Univers (W1)"/>
              </a:rPr>
              <a:t>2</a:t>
            </a:r>
          </a:p>
        </xdr:txBody>
      </xdr:sp>
      <xdr:sp macro="" textlink="">
        <xdr:nvSpPr>
          <xdr:cNvPr id="84" name="Text 1071">
            <a:extLst>
              <a:ext uri="{FF2B5EF4-FFF2-40B4-BE49-F238E27FC236}">
                <a16:creationId xmlns:a16="http://schemas.microsoft.com/office/drawing/2014/main" id="{00000000-0008-0000-0100-000054000000}"/>
              </a:ext>
            </a:extLst>
          </xdr:cNvPr>
          <xdr:cNvSpPr txBox="1">
            <a:spLocks noChangeArrowheads="1"/>
          </xdr:cNvSpPr>
        </xdr:nvSpPr>
        <xdr:spPr bwMode="auto">
          <a:xfrm>
            <a:off x="102" y="963"/>
            <a:ext cx="16" cy="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2860" rIns="45720" bIns="0" anchor="t" upright="1"/>
          <a:lstStyle/>
          <a:p>
            <a:pPr algn="ctr" rtl="0">
              <a:defRPr sz="1000"/>
            </a:pPr>
            <a:r>
              <a:rPr lang="en-US" sz="600" b="1" i="0" u="none" strike="noStrike" baseline="0">
                <a:solidFill>
                  <a:srgbClr val="000000"/>
                </a:solidFill>
                <a:latin typeface="WP Greek Century"/>
              </a:rPr>
              <a:t>M</a:t>
            </a:r>
          </a:p>
        </xdr:txBody>
      </xdr:sp>
      <xdr:sp macro="" textlink="">
        <xdr:nvSpPr>
          <xdr:cNvPr id="85" name="Text 1071">
            <a:extLst>
              <a:ext uri="{FF2B5EF4-FFF2-40B4-BE49-F238E27FC236}">
                <a16:creationId xmlns:a16="http://schemas.microsoft.com/office/drawing/2014/main" id="{00000000-0008-0000-0100-000055000000}"/>
              </a:ext>
            </a:extLst>
          </xdr:cNvPr>
          <xdr:cNvSpPr txBox="1">
            <a:spLocks noChangeArrowheads="1"/>
          </xdr:cNvSpPr>
        </xdr:nvSpPr>
        <xdr:spPr bwMode="auto">
          <a:xfrm>
            <a:off x="102" y="991"/>
            <a:ext cx="16" cy="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2860" rIns="45720" bIns="0" anchor="t" upright="1"/>
          <a:lstStyle/>
          <a:p>
            <a:pPr algn="ctr" rtl="0">
              <a:defRPr sz="1000"/>
            </a:pPr>
            <a:r>
              <a:rPr lang="en-US" sz="600" b="1" i="0" u="none" strike="noStrike" baseline="0">
                <a:solidFill>
                  <a:srgbClr val="000000"/>
                </a:solidFill>
                <a:latin typeface="WP Greek Century"/>
              </a:rPr>
              <a:t>M</a:t>
            </a:r>
          </a:p>
        </xdr:txBody>
      </xdr:sp>
    </xdr:grpSp>
    <xdr:clientData/>
  </xdr:twoCellAnchor>
  <xdr:twoCellAnchor>
    <xdr:from>
      <xdr:col>9</xdr:col>
      <xdr:colOff>160020</xdr:colOff>
      <xdr:row>44</xdr:row>
      <xdr:rowOff>0</xdr:rowOff>
    </xdr:from>
    <xdr:to>
      <xdr:col>9</xdr:col>
      <xdr:colOff>373380</xdr:colOff>
      <xdr:row>44</xdr:row>
      <xdr:rowOff>0</xdr:rowOff>
    </xdr:to>
    <xdr:sp macro="" textlink="">
      <xdr:nvSpPr>
        <xdr:cNvPr id="86" name="Rectangle 85">
          <a:extLst>
            <a:ext uri="{FF2B5EF4-FFF2-40B4-BE49-F238E27FC236}">
              <a16:creationId xmlns:a16="http://schemas.microsoft.com/office/drawing/2014/main" id="{00000000-0008-0000-0100-000056000000}"/>
            </a:ext>
          </a:extLst>
        </xdr:cNvPr>
        <xdr:cNvSpPr>
          <a:spLocks noChangeArrowheads="1"/>
        </xdr:cNvSpPr>
      </xdr:nvSpPr>
      <xdr:spPr bwMode="auto">
        <a:xfrm>
          <a:off x="5669280" y="10096500"/>
          <a:ext cx="21336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22860</xdr:colOff>
      <xdr:row>44</xdr:row>
      <xdr:rowOff>0</xdr:rowOff>
    </xdr:from>
    <xdr:to>
      <xdr:col>9</xdr:col>
      <xdr:colOff>342900</xdr:colOff>
      <xdr:row>44</xdr:row>
      <xdr:rowOff>0</xdr:rowOff>
    </xdr:to>
    <xdr:sp macro="" textlink="">
      <xdr:nvSpPr>
        <xdr:cNvPr id="87" name="Rectangle 86">
          <a:extLst>
            <a:ext uri="{FF2B5EF4-FFF2-40B4-BE49-F238E27FC236}">
              <a16:creationId xmlns:a16="http://schemas.microsoft.com/office/drawing/2014/main" id="{00000000-0008-0000-0100-000057000000}"/>
            </a:ext>
          </a:extLst>
        </xdr:cNvPr>
        <xdr:cNvSpPr>
          <a:spLocks noChangeArrowheads="1"/>
        </xdr:cNvSpPr>
      </xdr:nvSpPr>
      <xdr:spPr bwMode="auto">
        <a:xfrm>
          <a:off x="5532120" y="10096500"/>
          <a:ext cx="32004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30480</xdr:colOff>
      <xdr:row>44</xdr:row>
      <xdr:rowOff>0</xdr:rowOff>
    </xdr:from>
    <xdr:to>
      <xdr:col>9</xdr:col>
      <xdr:colOff>350520</xdr:colOff>
      <xdr:row>44</xdr:row>
      <xdr:rowOff>0</xdr:rowOff>
    </xdr:to>
    <xdr:sp macro="" textlink="">
      <xdr:nvSpPr>
        <xdr:cNvPr id="88" name="Rectangle 87">
          <a:extLst>
            <a:ext uri="{FF2B5EF4-FFF2-40B4-BE49-F238E27FC236}">
              <a16:creationId xmlns:a16="http://schemas.microsoft.com/office/drawing/2014/main" id="{00000000-0008-0000-0100-000058000000}"/>
            </a:ext>
          </a:extLst>
        </xdr:cNvPr>
        <xdr:cNvSpPr>
          <a:spLocks noChangeArrowheads="1"/>
        </xdr:cNvSpPr>
      </xdr:nvSpPr>
      <xdr:spPr bwMode="auto">
        <a:xfrm>
          <a:off x="5539740" y="10096500"/>
          <a:ext cx="32004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0</xdr:colOff>
      <xdr:row>44</xdr:row>
      <xdr:rowOff>0</xdr:rowOff>
    </xdr:from>
    <xdr:to>
      <xdr:col>9</xdr:col>
      <xdr:colOff>419100</xdr:colOff>
      <xdr:row>44</xdr:row>
      <xdr:rowOff>0</xdr:rowOff>
    </xdr:to>
    <xdr:sp macro="" textlink="">
      <xdr:nvSpPr>
        <xdr:cNvPr id="89" name="Rectangle 88">
          <a:extLst>
            <a:ext uri="{FF2B5EF4-FFF2-40B4-BE49-F238E27FC236}">
              <a16:creationId xmlns:a16="http://schemas.microsoft.com/office/drawing/2014/main" id="{00000000-0008-0000-0100-000059000000}"/>
            </a:ext>
          </a:extLst>
        </xdr:cNvPr>
        <xdr:cNvSpPr>
          <a:spLocks noChangeArrowheads="1"/>
        </xdr:cNvSpPr>
      </xdr:nvSpPr>
      <xdr:spPr bwMode="auto">
        <a:xfrm>
          <a:off x="5509260" y="10096500"/>
          <a:ext cx="4191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144780</xdr:colOff>
      <xdr:row>44</xdr:row>
      <xdr:rowOff>0</xdr:rowOff>
    </xdr:from>
    <xdr:to>
      <xdr:col>9</xdr:col>
      <xdr:colOff>373380</xdr:colOff>
      <xdr:row>44</xdr:row>
      <xdr:rowOff>0</xdr:rowOff>
    </xdr:to>
    <xdr:sp macro="" textlink="">
      <xdr:nvSpPr>
        <xdr:cNvPr id="90" name="Rectangle 89">
          <a:extLst>
            <a:ext uri="{FF2B5EF4-FFF2-40B4-BE49-F238E27FC236}">
              <a16:creationId xmlns:a16="http://schemas.microsoft.com/office/drawing/2014/main" id="{00000000-0008-0000-0100-00005A000000}"/>
            </a:ext>
          </a:extLst>
        </xdr:cNvPr>
        <xdr:cNvSpPr>
          <a:spLocks noChangeArrowheads="1"/>
        </xdr:cNvSpPr>
      </xdr:nvSpPr>
      <xdr:spPr bwMode="auto">
        <a:xfrm>
          <a:off x="5654040" y="10096500"/>
          <a:ext cx="2286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388620</xdr:colOff>
      <xdr:row>32</xdr:row>
      <xdr:rowOff>182880</xdr:rowOff>
    </xdr:from>
    <xdr:to>
      <xdr:col>3</xdr:col>
      <xdr:colOff>335280</xdr:colOff>
      <xdr:row>37</xdr:row>
      <xdr:rowOff>152400</xdr:rowOff>
    </xdr:to>
    <xdr:grpSp>
      <xdr:nvGrpSpPr>
        <xdr:cNvPr id="91" name="Group 90">
          <a:extLst>
            <a:ext uri="{FF2B5EF4-FFF2-40B4-BE49-F238E27FC236}">
              <a16:creationId xmlns:a16="http://schemas.microsoft.com/office/drawing/2014/main" id="{00000000-0008-0000-0100-00005B000000}"/>
            </a:ext>
          </a:extLst>
        </xdr:cNvPr>
        <xdr:cNvGrpSpPr>
          <a:grpSpLocks/>
        </xdr:cNvGrpSpPr>
      </xdr:nvGrpSpPr>
      <xdr:grpSpPr bwMode="auto">
        <a:xfrm>
          <a:off x="1255395" y="7564755"/>
          <a:ext cx="889635" cy="1112520"/>
          <a:chOff x="774" y="670"/>
          <a:chExt cx="87" cy="117"/>
        </a:xfrm>
      </xdr:grpSpPr>
      <xdr:grpSp>
        <xdr:nvGrpSpPr>
          <xdr:cNvPr id="92" name="Group 91">
            <a:extLst>
              <a:ext uri="{FF2B5EF4-FFF2-40B4-BE49-F238E27FC236}">
                <a16:creationId xmlns:a16="http://schemas.microsoft.com/office/drawing/2014/main" id="{00000000-0008-0000-0100-00005C000000}"/>
              </a:ext>
            </a:extLst>
          </xdr:cNvPr>
          <xdr:cNvGrpSpPr>
            <a:grpSpLocks/>
          </xdr:cNvGrpSpPr>
        </xdr:nvGrpSpPr>
        <xdr:grpSpPr bwMode="auto">
          <a:xfrm>
            <a:off x="774" y="670"/>
            <a:ext cx="87" cy="117"/>
            <a:chOff x="774" y="670"/>
            <a:chExt cx="87" cy="117"/>
          </a:xfrm>
        </xdr:grpSpPr>
        <xdr:sp macro="" textlink="">
          <xdr:nvSpPr>
            <xdr:cNvPr id="94" name="Line 92">
              <a:extLst>
                <a:ext uri="{FF2B5EF4-FFF2-40B4-BE49-F238E27FC236}">
                  <a16:creationId xmlns:a16="http://schemas.microsoft.com/office/drawing/2014/main" id="{00000000-0008-0000-0100-00005E000000}"/>
                </a:ext>
              </a:extLst>
            </xdr:cNvPr>
            <xdr:cNvSpPr>
              <a:spLocks noChangeShapeType="1"/>
            </xdr:cNvSpPr>
          </xdr:nvSpPr>
          <xdr:spPr bwMode="auto">
            <a:xfrm flipH="1">
              <a:off x="798" y="688"/>
              <a:ext cx="10" cy="11"/>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5" name="Line 93">
              <a:extLst>
                <a:ext uri="{FF2B5EF4-FFF2-40B4-BE49-F238E27FC236}">
                  <a16:creationId xmlns:a16="http://schemas.microsoft.com/office/drawing/2014/main" id="{00000000-0008-0000-0100-00005F000000}"/>
                </a:ext>
              </a:extLst>
            </xdr:cNvPr>
            <xdr:cNvSpPr>
              <a:spLocks noChangeShapeType="1"/>
            </xdr:cNvSpPr>
          </xdr:nvSpPr>
          <xdr:spPr bwMode="auto">
            <a:xfrm>
              <a:off x="808" y="688"/>
              <a:ext cx="12" cy="13"/>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6" name="Line 94">
              <a:extLst>
                <a:ext uri="{FF2B5EF4-FFF2-40B4-BE49-F238E27FC236}">
                  <a16:creationId xmlns:a16="http://schemas.microsoft.com/office/drawing/2014/main" id="{00000000-0008-0000-0100-000060000000}"/>
                </a:ext>
              </a:extLst>
            </xdr:cNvPr>
            <xdr:cNvSpPr>
              <a:spLocks noChangeShapeType="1"/>
            </xdr:cNvSpPr>
          </xdr:nvSpPr>
          <xdr:spPr bwMode="auto">
            <a:xfrm flipH="1">
              <a:off x="798" y="699"/>
              <a:ext cx="0" cy="22"/>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7" name="Line 95">
              <a:extLst>
                <a:ext uri="{FF2B5EF4-FFF2-40B4-BE49-F238E27FC236}">
                  <a16:creationId xmlns:a16="http://schemas.microsoft.com/office/drawing/2014/main" id="{00000000-0008-0000-0100-000061000000}"/>
                </a:ext>
              </a:extLst>
            </xdr:cNvPr>
            <xdr:cNvSpPr>
              <a:spLocks noChangeShapeType="1"/>
            </xdr:cNvSpPr>
          </xdr:nvSpPr>
          <xdr:spPr bwMode="auto">
            <a:xfrm>
              <a:off x="820" y="701"/>
              <a:ext cx="0" cy="2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8" name="Line 96">
              <a:extLst>
                <a:ext uri="{FF2B5EF4-FFF2-40B4-BE49-F238E27FC236}">
                  <a16:creationId xmlns:a16="http://schemas.microsoft.com/office/drawing/2014/main" id="{00000000-0008-0000-0100-000062000000}"/>
                </a:ext>
              </a:extLst>
            </xdr:cNvPr>
            <xdr:cNvSpPr>
              <a:spLocks noChangeShapeType="1"/>
            </xdr:cNvSpPr>
          </xdr:nvSpPr>
          <xdr:spPr bwMode="auto">
            <a:xfrm flipH="1" flipV="1">
              <a:off x="785" y="721"/>
              <a:ext cx="13"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99" name="Line 97">
              <a:extLst>
                <a:ext uri="{FF2B5EF4-FFF2-40B4-BE49-F238E27FC236}">
                  <a16:creationId xmlns:a16="http://schemas.microsoft.com/office/drawing/2014/main" id="{00000000-0008-0000-0100-000063000000}"/>
                </a:ext>
              </a:extLst>
            </xdr:cNvPr>
            <xdr:cNvSpPr>
              <a:spLocks noChangeShapeType="1"/>
            </xdr:cNvSpPr>
          </xdr:nvSpPr>
          <xdr:spPr bwMode="auto">
            <a:xfrm>
              <a:off x="820" y="721"/>
              <a:ext cx="12"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00" name="Line 98">
              <a:extLst>
                <a:ext uri="{FF2B5EF4-FFF2-40B4-BE49-F238E27FC236}">
                  <a16:creationId xmlns:a16="http://schemas.microsoft.com/office/drawing/2014/main" id="{00000000-0008-0000-0100-000064000000}"/>
                </a:ext>
              </a:extLst>
            </xdr:cNvPr>
            <xdr:cNvSpPr>
              <a:spLocks noChangeShapeType="1"/>
            </xdr:cNvSpPr>
          </xdr:nvSpPr>
          <xdr:spPr bwMode="auto">
            <a:xfrm>
              <a:off x="792" y="787"/>
              <a:ext cx="32"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01" name="Line 99">
              <a:extLst>
                <a:ext uri="{FF2B5EF4-FFF2-40B4-BE49-F238E27FC236}">
                  <a16:creationId xmlns:a16="http://schemas.microsoft.com/office/drawing/2014/main" id="{00000000-0008-0000-0100-000065000000}"/>
                </a:ext>
              </a:extLst>
            </xdr:cNvPr>
            <xdr:cNvSpPr>
              <a:spLocks noChangeShapeType="1"/>
            </xdr:cNvSpPr>
          </xdr:nvSpPr>
          <xdr:spPr bwMode="auto">
            <a:xfrm>
              <a:off x="785" y="721"/>
              <a:ext cx="7" cy="6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02" name="Line 100">
              <a:extLst>
                <a:ext uri="{FF2B5EF4-FFF2-40B4-BE49-F238E27FC236}">
                  <a16:creationId xmlns:a16="http://schemas.microsoft.com/office/drawing/2014/main" id="{00000000-0008-0000-0100-000066000000}"/>
                </a:ext>
              </a:extLst>
            </xdr:cNvPr>
            <xdr:cNvSpPr>
              <a:spLocks noChangeShapeType="1"/>
            </xdr:cNvSpPr>
          </xdr:nvSpPr>
          <xdr:spPr bwMode="auto">
            <a:xfrm flipH="1">
              <a:off x="824" y="721"/>
              <a:ext cx="8" cy="66"/>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03" name="Line 101">
              <a:extLst>
                <a:ext uri="{FF2B5EF4-FFF2-40B4-BE49-F238E27FC236}">
                  <a16:creationId xmlns:a16="http://schemas.microsoft.com/office/drawing/2014/main" id="{00000000-0008-0000-0100-000067000000}"/>
                </a:ext>
              </a:extLst>
            </xdr:cNvPr>
            <xdr:cNvSpPr>
              <a:spLocks noChangeShapeType="1"/>
            </xdr:cNvSpPr>
          </xdr:nvSpPr>
          <xdr:spPr bwMode="auto">
            <a:xfrm>
              <a:off x="774" y="684"/>
              <a:ext cx="86"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sp macro="" textlink="">
          <xdr:nvSpPr>
            <xdr:cNvPr id="104" name="Line 102">
              <a:extLst>
                <a:ext uri="{FF2B5EF4-FFF2-40B4-BE49-F238E27FC236}">
                  <a16:creationId xmlns:a16="http://schemas.microsoft.com/office/drawing/2014/main" id="{00000000-0008-0000-0100-000068000000}"/>
                </a:ext>
              </a:extLst>
            </xdr:cNvPr>
            <xdr:cNvSpPr>
              <a:spLocks noChangeShapeType="1"/>
            </xdr:cNvSpPr>
          </xdr:nvSpPr>
          <xdr:spPr bwMode="auto">
            <a:xfrm>
              <a:off x="798" y="711"/>
              <a:ext cx="22"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05" name="Line 103">
              <a:extLst>
                <a:ext uri="{FF2B5EF4-FFF2-40B4-BE49-F238E27FC236}">
                  <a16:creationId xmlns:a16="http://schemas.microsoft.com/office/drawing/2014/main" id="{00000000-0008-0000-0100-000069000000}"/>
                </a:ext>
              </a:extLst>
            </xdr:cNvPr>
            <xdr:cNvSpPr>
              <a:spLocks noChangeShapeType="1"/>
            </xdr:cNvSpPr>
          </xdr:nvSpPr>
          <xdr:spPr bwMode="auto">
            <a:xfrm flipH="1">
              <a:off x="785" y="721"/>
              <a:ext cx="0" cy="2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 name="Line 104">
              <a:extLst>
                <a:ext uri="{FF2B5EF4-FFF2-40B4-BE49-F238E27FC236}">
                  <a16:creationId xmlns:a16="http://schemas.microsoft.com/office/drawing/2014/main" id="{00000000-0008-0000-0100-00006A000000}"/>
                </a:ext>
              </a:extLst>
            </xdr:cNvPr>
            <xdr:cNvSpPr>
              <a:spLocks noChangeShapeType="1"/>
            </xdr:cNvSpPr>
          </xdr:nvSpPr>
          <xdr:spPr bwMode="auto">
            <a:xfrm>
              <a:off x="832" y="722"/>
              <a:ext cx="0" cy="2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 name="Line 105">
              <a:extLst>
                <a:ext uri="{FF2B5EF4-FFF2-40B4-BE49-F238E27FC236}">
                  <a16:creationId xmlns:a16="http://schemas.microsoft.com/office/drawing/2014/main" id="{00000000-0008-0000-0100-00006B000000}"/>
                </a:ext>
              </a:extLst>
            </xdr:cNvPr>
            <xdr:cNvSpPr>
              <a:spLocks noChangeShapeType="1"/>
            </xdr:cNvSpPr>
          </xdr:nvSpPr>
          <xdr:spPr bwMode="auto">
            <a:xfrm flipH="1">
              <a:off x="785" y="739"/>
              <a:ext cx="1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08" name="Line 106">
              <a:extLst>
                <a:ext uri="{FF2B5EF4-FFF2-40B4-BE49-F238E27FC236}">
                  <a16:creationId xmlns:a16="http://schemas.microsoft.com/office/drawing/2014/main" id="{00000000-0008-0000-0100-00006C000000}"/>
                </a:ext>
              </a:extLst>
            </xdr:cNvPr>
            <xdr:cNvSpPr>
              <a:spLocks noChangeShapeType="1"/>
            </xdr:cNvSpPr>
          </xdr:nvSpPr>
          <xdr:spPr bwMode="auto">
            <a:xfrm>
              <a:off x="823" y="739"/>
              <a:ext cx="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09" name="Line 107">
              <a:extLst>
                <a:ext uri="{FF2B5EF4-FFF2-40B4-BE49-F238E27FC236}">
                  <a16:creationId xmlns:a16="http://schemas.microsoft.com/office/drawing/2014/main" id="{00000000-0008-0000-0100-00006D000000}"/>
                </a:ext>
              </a:extLst>
            </xdr:cNvPr>
            <xdr:cNvSpPr>
              <a:spLocks noChangeShapeType="1"/>
            </xdr:cNvSpPr>
          </xdr:nvSpPr>
          <xdr:spPr bwMode="auto">
            <a:xfrm>
              <a:off x="792" y="711"/>
              <a:ext cx="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 name="Line 108">
              <a:extLst>
                <a:ext uri="{FF2B5EF4-FFF2-40B4-BE49-F238E27FC236}">
                  <a16:creationId xmlns:a16="http://schemas.microsoft.com/office/drawing/2014/main" id="{00000000-0008-0000-0100-00006E000000}"/>
                </a:ext>
              </a:extLst>
            </xdr:cNvPr>
            <xdr:cNvSpPr>
              <a:spLocks noChangeShapeType="1"/>
            </xdr:cNvSpPr>
          </xdr:nvSpPr>
          <xdr:spPr bwMode="auto">
            <a:xfrm>
              <a:off x="832" y="721"/>
              <a:ext cx="1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1" name="Line 109">
              <a:extLst>
                <a:ext uri="{FF2B5EF4-FFF2-40B4-BE49-F238E27FC236}">
                  <a16:creationId xmlns:a16="http://schemas.microsoft.com/office/drawing/2014/main" id="{00000000-0008-0000-0100-00006F000000}"/>
                </a:ext>
              </a:extLst>
            </xdr:cNvPr>
            <xdr:cNvSpPr>
              <a:spLocks noChangeShapeType="1"/>
            </xdr:cNvSpPr>
          </xdr:nvSpPr>
          <xdr:spPr bwMode="auto">
            <a:xfrm>
              <a:off x="820" y="701"/>
              <a:ext cx="2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 name="Line 110">
              <a:extLst>
                <a:ext uri="{FF2B5EF4-FFF2-40B4-BE49-F238E27FC236}">
                  <a16:creationId xmlns:a16="http://schemas.microsoft.com/office/drawing/2014/main" id="{00000000-0008-0000-0100-000070000000}"/>
                </a:ext>
              </a:extLst>
            </xdr:cNvPr>
            <xdr:cNvSpPr>
              <a:spLocks noChangeShapeType="1"/>
            </xdr:cNvSpPr>
          </xdr:nvSpPr>
          <xdr:spPr bwMode="auto">
            <a:xfrm flipV="1">
              <a:off x="824" y="787"/>
              <a:ext cx="3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 name="Line 111">
              <a:extLst>
                <a:ext uri="{FF2B5EF4-FFF2-40B4-BE49-F238E27FC236}">
                  <a16:creationId xmlns:a16="http://schemas.microsoft.com/office/drawing/2014/main" id="{00000000-0008-0000-0100-000071000000}"/>
                </a:ext>
              </a:extLst>
            </xdr:cNvPr>
            <xdr:cNvSpPr>
              <a:spLocks noChangeShapeType="1"/>
            </xdr:cNvSpPr>
          </xdr:nvSpPr>
          <xdr:spPr bwMode="auto">
            <a:xfrm>
              <a:off x="808" y="688"/>
              <a:ext cx="38"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4" name="Line 112">
              <a:extLst>
                <a:ext uri="{FF2B5EF4-FFF2-40B4-BE49-F238E27FC236}">
                  <a16:creationId xmlns:a16="http://schemas.microsoft.com/office/drawing/2014/main" id="{00000000-0008-0000-0100-000072000000}"/>
                </a:ext>
              </a:extLst>
            </xdr:cNvPr>
            <xdr:cNvSpPr>
              <a:spLocks noChangeShapeType="1"/>
            </xdr:cNvSpPr>
          </xdr:nvSpPr>
          <xdr:spPr bwMode="auto">
            <a:xfrm flipV="1">
              <a:off x="843" y="721"/>
              <a:ext cx="0" cy="2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15" name="Line 113">
              <a:extLst>
                <a:ext uri="{FF2B5EF4-FFF2-40B4-BE49-F238E27FC236}">
                  <a16:creationId xmlns:a16="http://schemas.microsoft.com/office/drawing/2014/main" id="{00000000-0008-0000-0100-000073000000}"/>
                </a:ext>
              </a:extLst>
            </xdr:cNvPr>
            <xdr:cNvSpPr>
              <a:spLocks noChangeShapeType="1"/>
            </xdr:cNvSpPr>
          </xdr:nvSpPr>
          <xdr:spPr bwMode="auto">
            <a:xfrm>
              <a:off x="843" y="763"/>
              <a:ext cx="0"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16" name="Line 114">
              <a:extLst>
                <a:ext uri="{FF2B5EF4-FFF2-40B4-BE49-F238E27FC236}">
                  <a16:creationId xmlns:a16="http://schemas.microsoft.com/office/drawing/2014/main" id="{00000000-0008-0000-0100-000074000000}"/>
                </a:ext>
              </a:extLst>
            </xdr:cNvPr>
            <xdr:cNvSpPr>
              <a:spLocks noChangeShapeType="1"/>
            </xdr:cNvSpPr>
          </xdr:nvSpPr>
          <xdr:spPr bwMode="auto">
            <a:xfrm flipH="1">
              <a:off x="843" y="670"/>
              <a:ext cx="0" cy="1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17" name="Line 115">
              <a:extLst>
                <a:ext uri="{FF2B5EF4-FFF2-40B4-BE49-F238E27FC236}">
                  <a16:creationId xmlns:a16="http://schemas.microsoft.com/office/drawing/2014/main" id="{00000000-0008-0000-0100-000075000000}"/>
                </a:ext>
              </a:extLst>
            </xdr:cNvPr>
            <xdr:cNvSpPr>
              <a:spLocks noChangeShapeType="1"/>
            </xdr:cNvSpPr>
          </xdr:nvSpPr>
          <xdr:spPr bwMode="auto">
            <a:xfrm>
              <a:off x="843" y="683"/>
              <a:ext cx="0" cy="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8" name="Line 116">
              <a:extLst>
                <a:ext uri="{FF2B5EF4-FFF2-40B4-BE49-F238E27FC236}">
                  <a16:creationId xmlns:a16="http://schemas.microsoft.com/office/drawing/2014/main" id="{00000000-0008-0000-0100-000076000000}"/>
                </a:ext>
              </a:extLst>
            </xdr:cNvPr>
            <xdr:cNvSpPr>
              <a:spLocks noChangeShapeType="1"/>
            </xdr:cNvSpPr>
          </xdr:nvSpPr>
          <xdr:spPr bwMode="auto">
            <a:xfrm>
              <a:off x="843" y="701"/>
              <a:ext cx="0"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119" name="Line 117">
              <a:extLst>
                <a:ext uri="{FF2B5EF4-FFF2-40B4-BE49-F238E27FC236}">
                  <a16:creationId xmlns:a16="http://schemas.microsoft.com/office/drawing/2014/main" id="{00000000-0008-0000-0100-000077000000}"/>
                </a:ext>
              </a:extLst>
            </xdr:cNvPr>
            <xdr:cNvSpPr>
              <a:spLocks noChangeShapeType="1"/>
            </xdr:cNvSpPr>
          </xdr:nvSpPr>
          <xdr:spPr bwMode="auto">
            <a:xfrm flipV="1">
              <a:off x="792" y="763"/>
              <a:ext cx="0"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0" name="Line 118">
              <a:extLst>
                <a:ext uri="{FF2B5EF4-FFF2-40B4-BE49-F238E27FC236}">
                  <a16:creationId xmlns:a16="http://schemas.microsoft.com/office/drawing/2014/main" id="{00000000-0008-0000-0100-000078000000}"/>
                </a:ext>
              </a:extLst>
            </xdr:cNvPr>
            <xdr:cNvSpPr>
              <a:spLocks noChangeShapeType="1"/>
            </xdr:cNvSpPr>
          </xdr:nvSpPr>
          <xdr:spPr bwMode="auto">
            <a:xfrm flipV="1">
              <a:off x="824" y="763"/>
              <a:ext cx="0"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1" name="Line 119">
              <a:extLst>
                <a:ext uri="{FF2B5EF4-FFF2-40B4-BE49-F238E27FC236}">
                  <a16:creationId xmlns:a16="http://schemas.microsoft.com/office/drawing/2014/main" id="{00000000-0008-0000-0100-000079000000}"/>
                </a:ext>
              </a:extLst>
            </xdr:cNvPr>
            <xdr:cNvSpPr>
              <a:spLocks noChangeShapeType="1"/>
            </xdr:cNvSpPr>
          </xdr:nvSpPr>
          <xdr:spPr bwMode="auto">
            <a:xfrm flipH="1">
              <a:off x="792" y="774"/>
              <a:ext cx="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22" name="Line 120">
              <a:extLst>
                <a:ext uri="{FF2B5EF4-FFF2-40B4-BE49-F238E27FC236}">
                  <a16:creationId xmlns:a16="http://schemas.microsoft.com/office/drawing/2014/main" id="{00000000-0008-0000-0100-00007A000000}"/>
                </a:ext>
              </a:extLst>
            </xdr:cNvPr>
            <xdr:cNvSpPr>
              <a:spLocks noChangeShapeType="1"/>
            </xdr:cNvSpPr>
          </xdr:nvSpPr>
          <xdr:spPr bwMode="auto">
            <a:xfrm>
              <a:off x="817" y="774"/>
              <a:ext cx="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23" name="Line 121">
              <a:extLst>
                <a:ext uri="{FF2B5EF4-FFF2-40B4-BE49-F238E27FC236}">
                  <a16:creationId xmlns:a16="http://schemas.microsoft.com/office/drawing/2014/main" id="{00000000-0008-0000-0100-00007B000000}"/>
                </a:ext>
              </a:extLst>
            </xdr:cNvPr>
            <xdr:cNvSpPr>
              <a:spLocks noChangeShapeType="1"/>
            </xdr:cNvSpPr>
          </xdr:nvSpPr>
          <xdr:spPr bwMode="auto">
            <a:xfrm flipV="1">
              <a:off x="857" y="684"/>
              <a:ext cx="0" cy="4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sp macro="" textlink="">
          <xdr:nvSpPr>
            <xdr:cNvPr id="124" name="Line 122">
              <a:extLst>
                <a:ext uri="{FF2B5EF4-FFF2-40B4-BE49-F238E27FC236}">
                  <a16:creationId xmlns:a16="http://schemas.microsoft.com/office/drawing/2014/main" id="{00000000-0008-0000-0100-00007C000000}"/>
                </a:ext>
              </a:extLst>
            </xdr:cNvPr>
            <xdr:cNvSpPr>
              <a:spLocks noChangeShapeType="1"/>
            </xdr:cNvSpPr>
          </xdr:nvSpPr>
          <xdr:spPr bwMode="auto">
            <a:xfrm>
              <a:off x="857" y="743"/>
              <a:ext cx="0" cy="4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grpSp>
      <xdr:sp macro="" textlink="">
        <xdr:nvSpPr>
          <xdr:cNvPr id="93" name="Line 123">
            <a:extLst>
              <a:ext uri="{FF2B5EF4-FFF2-40B4-BE49-F238E27FC236}">
                <a16:creationId xmlns:a16="http://schemas.microsoft.com/office/drawing/2014/main" id="{00000000-0008-0000-0100-00005D000000}"/>
              </a:ext>
            </a:extLst>
          </xdr:cNvPr>
          <xdr:cNvSpPr>
            <a:spLocks noChangeShapeType="1"/>
          </xdr:cNvSpPr>
        </xdr:nvSpPr>
        <xdr:spPr bwMode="auto">
          <a:xfrm flipV="1">
            <a:off x="843" y="687"/>
            <a:ext cx="0" cy="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a:off x="624840" y="1272540"/>
          <a:ext cx="992124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403860</xdr:colOff>
      <xdr:row>9</xdr:row>
      <xdr:rowOff>7620</xdr:rowOff>
    </xdr:to>
    <xdr:sp macro="" textlink="">
      <xdr:nvSpPr>
        <xdr:cNvPr id="3" name="Line 2">
          <a:extLst>
            <a:ext uri="{FF2B5EF4-FFF2-40B4-BE49-F238E27FC236}">
              <a16:creationId xmlns:a16="http://schemas.microsoft.com/office/drawing/2014/main" id="{00000000-0008-0000-0200-000003000000}"/>
            </a:ext>
          </a:extLst>
        </xdr:cNvPr>
        <xdr:cNvSpPr>
          <a:spLocks noChangeShapeType="1"/>
        </xdr:cNvSpPr>
      </xdr:nvSpPr>
      <xdr:spPr bwMode="auto">
        <a:xfrm flipV="1">
          <a:off x="624840" y="1440180"/>
          <a:ext cx="11887200" cy="762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00000000-0008-0000-0200-000004000000}"/>
            </a:ext>
          </a:extLst>
        </xdr:cNvPr>
        <xdr:cNvSpPr>
          <a:spLocks noChangeShapeType="1"/>
        </xdr:cNvSpPr>
      </xdr:nvSpPr>
      <xdr:spPr bwMode="auto">
        <a:xfrm flipV="1">
          <a:off x="11856720" y="480060"/>
          <a:ext cx="0" cy="16002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00000000-0008-0000-0200-000005000000}"/>
            </a:ext>
          </a:extLst>
        </xdr:cNvPr>
        <xdr:cNvSpPr>
          <a:spLocks noChangeShapeType="1"/>
        </xdr:cNvSpPr>
      </xdr:nvSpPr>
      <xdr:spPr bwMode="auto">
        <a:xfrm flipV="1">
          <a:off x="11856720" y="480060"/>
          <a:ext cx="0" cy="16002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7620</xdr:rowOff>
    </xdr:from>
    <xdr:to>
      <xdr:col>1</xdr:col>
      <xdr:colOff>0</xdr:colOff>
      <xdr:row>7</xdr:row>
      <xdr:rowOff>152400</xdr:rowOff>
    </xdr:to>
    <xdr:sp macro="" textlink="">
      <xdr:nvSpPr>
        <xdr:cNvPr id="6" name="Line 5">
          <a:extLst>
            <a:ext uri="{FF2B5EF4-FFF2-40B4-BE49-F238E27FC236}">
              <a16:creationId xmlns:a16="http://schemas.microsoft.com/office/drawing/2014/main" id="{00000000-0008-0000-0200-000006000000}"/>
            </a:ext>
          </a:extLst>
        </xdr:cNvPr>
        <xdr:cNvSpPr>
          <a:spLocks noChangeShapeType="1"/>
        </xdr:cNvSpPr>
      </xdr:nvSpPr>
      <xdr:spPr bwMode="auto">
        <a:xfrm flipH="1">
          <a:off x="624840" y="487680"/>
          <a:ext cx="0" cy="77724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822960</xdr:colOff>
      <xdr:row>15</xdr:row>
      <xdr:rowOff>160020</xdr:rowOff>
    </xdr:from>
    <xdr:to>
      <xdr:col>5</xdr:col>
      <xdr:colOff>678180</xdr:colOff>
      <xdr:row>36</xdr:row>
      <xdr:rowOff>167640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11</xdr:row>
      <xdr:rowOff>0</xdr:rowOff>
    </xdr:from>
    <xdr:to>
      <xdr:col>5</xdr:col>
      <xdr:colOff>609600</xdr:colOff>
      <xdr:row>38</xdr:row>
      <xdr:rowOff>7620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0.62155</cdr:x>
      <cdr:y>0.60448</cdr:y>
    </cdr:from>
    <cdr:to>
      <cdr:x>0.85214</cdr:x>
      <cdr:y>0.62586</cdr:y>
    </cdr:to>
    <cdr:sp macro="" textlink="">
      <cdr:nvSpPr>
        <cdr:cNvPr id="7169" name="Hot Stall"/>
        <cdr:cNvSpPr txBox="1">
          <a:spLocks xmlns:a="http://schemas.openxmlformats.org/drawingml/2006/main" noChangeArrowheads="1"/>
        </cdr:cNvSpPr>
      </cdr:nvSpPr>
      <cdr:spPr bwMode="auto">
        <a:xfrm xmlns:a="http://schemas.openxmlformats.org/drawingml/2006/main">
          <a:off x="3734356" y="3861991"/>
          <a:ext cx="1386316" cy="13673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0.60829</cdr:x>
      <cdr:y>0.54425</cdr:y>
    </cdr:from>
    <cdr:to>
      <cdr:x>0.88333</cdr:x>
      <cdr:y>0.57055</cdr:y>
    </cdr:to>
    <cdr:sp macro="" textlink="">
      <cdr:nvSpPr>
        <cdr:cNvPr id="7170" name="Cold Stall"/>
        <cdr:cNvSpPr txBox="1">
          <a:spLocks xmlns:a="http://schemas.openxmlformats.org/drawingml/2006/main" noChangeArrowheads="1"/>
        </cdr:cNvSpPr>
      </cdr:nvSpPr>
      <cdr:spPr bwMode="auto">
        <a:xfrm xmlns:a="http://schemas.openxmlformats.org/drawingml/2006/main">
          <a:off x="3654631" y="3476943"/>
          <a:ext cx="1653540" cy="168163"/>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0.29397</cdr:x>
      <cdr:y>0.36283</cdr:y>
    </cdr:from>
    <cdr:to>
      <cdr:x>0.61075</cdr:x>
      <cdr:y>0.39036</cdr:y>
    </cdr:to>
    <cdr:sp macro="" textlink="">
      <cdr:nvSpPr>
        <cdr:cNvPr id="7172" name="Running"/>
        <cdr:cNvSpPr txBox="1">
          <a:spLocks xmlns:a="http://schemas.openxmlformats.org/drawingml/2006/main" noChangeArrowheads="1"/>
        </cdr:cNvSpPr>
      </cdr:nvSpPr>
      <cdr:spPr bwMode="auto">
        <a:xfrm xmlns:a="http://schemas.openxmlformats.org/drawingml/2006/main">
          <a:off x="1764871" y="2317083"/>
          <a:ext cx="1904524" cy="17602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628650</xdr:colOff>
      <xdr:row>16</xdr:row>
      <xdr:rowOff>66675</xdr:rowOff>
    </xdr:from>
    <xdr:to>
      <xdr:col>0</xdr:col>
      <xdr:colOff>1104900</xdr:colOff>
      <xdr:row>17</xdr:row>
      <xdr:rowOff>0</xdr:rowOff>
    </xdr:to>
    <xdr:sp macro="" textlink="">
      <xdr:nvSpPr>
        <xdr:cNvPr id="3" name="RPM11">
          <a:extLst>
            <a:ext uri="{FF2B5EF4-FFF2-40B4-BE49-F238E27FC236}">
              <a16:creationId xmlns:a16="http://schemas.microsoft.com/office/drawing/2014/main" id="{00000000-0008-0000-0700-000003000000}"/>
            </a:ext>
          </a:extLst>
        </xdr:cNvPr>
        <xdr:cNvSpPr txBox="1">
          <a:spLocks noChangeArrowheads="1"/>
        </xdr:cNvSpPr>
      </xdr:nvSpPr>
      <xdr:spPr bwMode="auto">
        <a:xfrm>
          <a:off x="621030" y="2748915"/>
          <a:ext cx="3810" cy="10096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619125</xdr:colOff>
      <xdr:row>18</xdr:row>
      <xdr:rowOff>9525</xdr:rowOff>
    </xdr:from>
    <xdr:to>
      <xdr:col>0</xdr:col>
      <xdr:colOff>1095375</xdr:colOff>
      <xdr:row>18</xdr:row>
      <xdr:rowOff>180975</xdr:rowOff>
    </xdr:to>
    <xdr:sp macro="" textlink="">
      <xdr:nvSpPr>
        <xdr:cNvPr id="4" name="RPM10">
          <a:extLst>
            <a:ext uri="{FF2B5EF4-FFF2-40B4-BE49-F238E27FC236}">
              <a16:creationId xmlns:a16="http://schemas.microsoft.com/office/drawing/2014/main" id="{00000000-0008-0000-0700-000004000000}"/>
            </a:ext>
          </a:extLst>
        </xdr:cNvPr>
        <xdr:cNvSpPr txBox="1">
          <a:spLocks noChangeArrowheads="1"/>
        </xdr:cNvSpPr>
      </xdr:nvSpPr>
      <xdr:spPr bwMode="auto">
        <a:xfrm>
          <a:off x="619125" y="3027045"/>
          <a:ext cx="3810" cy="15621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3590</a:t>
          </a:r>
        </a:p>
      </xdr:txBody>
    </xdr:sp>
    <xdr:clientData/>
  </xdr:twoCellAnchor>
  <xdr:twoCellAnchor>
    <xdr:from>
      <xdr:col>0</xdr:col>
      <xdr:colOff>609600</xdr:colOff>
      <xdr:row>19</xdr:row>
      <xdr:rowOff>180975</xdr:rowOff>
    </xdr:from>
    <xdr:to>
      <xdr:col>0</xdr:col>
      <xdr:colOff>1085850</xdr:colOff>
      <xdr:row>20</xdr:row>
      <xdr:rowOff>114300</xdr:rowOff>
    </xdr:to>
    <xdr:sp macro="" textlink="">
      <xdr:nvSpPr>
        <xdr:cNvPr id="5" name="RPM9">
          <a:extLst>
            <a:ext uri="{FF2B5EF4-FFF2-40B4-BE49-F238E27FC236}">
              <a16:creationId xmlns:a16="http://schemas.microsoft.com/office/drawing/2014/main" id="{00000000-0008-0000-0700-000005000000}"/>
            </a:ext>
          </a:extLst>
        </xdr:cNvPr>
        <xdr:cNvSpPr txBox="1">
          <a:spLocks noChangeArrowheads="1"/>
        </xdr:cNvSpPr>
      </xdr:nvSpPr>
      <xdr:spPr bwMode="auto">
        <a:xfrm>
          <a:off x="609600" y="3350895"/>
          <a:ext cx="11430" cy="11620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3580</a:t>
          </a:r>
        </a:p>
      </xdr:txBody>
    </xdr:sp>
    <xdr:clientData/>
  </xdr:twoCellAnchor>
  <xdr:twoCellAnchor>
    <xdr:from>
      <xdr:col>0</xdr:col>
      <xdr:colOff>609600</xdr:colOff>
      <xdr:row>21</xdr:row>
      <xdr:rowOff>114300</xdr:rowOff>
    </xdr:from>
    <xdr:to>
      <xdr:col>0</xdr:col>
      <xdr:colOff>1085850</xdr:colOff>
      <xdr:row>22</xdr:row>
      <xdr:rowOff>47625</xdr:rowOff>
    </xdr:to>
    <xdr:sp macro="" textlink="">
      <xdr:nvSpPr>
        <xdr:cNvPr id="6" name="RPM8">
          <a:extLst>
            <a:ext uri="{FF2B5EF4-FFF2-40B4-BE49-F238E27FC236}">
              <a16:creationId xmlns:a16="http://schemas.microsoft.com/office/drawing/2014/main" id="{00000000-0008-0000-0700-000006000000}"/>
            </a:ext>
          </a:extLst>
        </xdr:cNvPr>
        <xdr:cNvSpPr txBox="1">
          <a:spLocks noChangeArrowheads="1"/>
        </xdr:cNvSpPr>
      </xdr:nvSpPr>
      <xdr:spPr bwMode="auto">
        <a:xfrm>
          <a:off x="609600" y="3634740"/>
          <a:ext cx="11430" cy="10096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3570</a:t>
          </a:r>
        </a:p>
      </xdr:txBody>
    </xdr:sp>
    <xdr:clientData/>
  </xdr:twoCellAnchor>
  <xdr:twoCellAnchor>
    <xdr:from>
      <xdr:col>0</xdr:col>
      <xdr:colOff>619125</xdr:colOff>
      <xdr:row>23</xdr:row>
      <xdr:rowOff>47625</xdr:rowOff>
    </xdr:from>
    <xdr:to>
      <xdr:col>0</xdr:col>
      <xdr:colOff>1095375</xdr:colOff>
      <xdr:row>23</xdr:row>
      <xdr:rowOff>219075</xdr:rowOff>
    </xdr:to>
    <xdr:sp macro="" textlink="">
      <xdr:nvSpPr>
        <xdr:cNvPr id="7" name="RPM7">
          <a:extLst>
            <a:ext uri="{FF2B5EF4-FFF2-40B4-BE49-F238E27FC236}">
              <a16:creationId xmlns:a16="http://schemas.microsoft.com/office/drawing/2014/main" id="{00000000-0008-0000-0700-000007000000}"/>
            </a:ext>
          </a:extLst>
        </xdr:cNvPr>
        <xdr:cNvSpPr txBox="1">
          <a:spLocks noChangeArrowheads="1"/>
        </xdr:cNvSpPr>
      </xdr:nvSpPr>
      <xdr:spPr bwMode="auto">
        <a:xfrm>
          <a:off x="619125" y="3903345"/>
          <a:ext cx="3810" cy="11811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3560</a:t>
          </a:r>
        </a:p>
      </xdr:txBody>
    </xdr:sp>
    <xdr:clientData/>
  </xdr:twoCellAnchor>
  <xdr:twoCellAnchor>
    <xdr:from>
      <xdr:col>0</xdr:col>
      <xdr:colOff>619125</xdr:colOff>
      <xdr:row>24</xdr:row>
      <xdr:rowOff>219075</xdr:rowOff>
    </xdr:from>
    <xdr:to>
      <xdr:col>0</xdr:col>
      <xdr:colOff>1095375</xdr:colOff>
      <xdr:row>25</xdr:row>
      <xdr:rowOff>152400</xdr:rowOff>
    </xdr:to>
    <xdr:sp macro="" textlink="">
      <xdr:nvSpPr>
        <xdr:cNvPr id="8" name="RPM6">
          <a:extLst>
            <a:ext uri="{FF2B5EF4-FFF2-40B4-BE49-F238E27FC236}">
              <a16:creationId xmlns:a16="http://schemas.microsoft.com/office/drawing/2014/main" id="{00000000-0008-0000-0700-000008000000}"/>
            </a:ext>
          </a:extLst>
        </xdr:cNvPr>
        <xdr:cNvSpPr txBox="1">
          <a:spLocks noChangeArrowheads="1"/>
        </xdr:cNvSpPr>
      </xdr:nvSpPr>
      <xdr:spPr bwMode="auto">
        <a:xfrm>
          <a:off x="619125" y="4189095"/>
          <a:ext cx="3810" cy="15430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3550</a:t>
          </a:r>
        </a:p>
      </xdr:txBody>
    </xdr:sp>
    <xdr:clientData/>
  </xdr:twoCellAnchor>
  <xdr:twoCellAnchor>
    <xdr:from>
      <xdr:col>0</xdr:col>
      <xdr:colOff>609600</xdr:colOff>
      <xdr:row>26</xdr:row>
      <xdr:rowOff>152400</xdr:rowOff>
    </xdr:from>
    <xdr:to>
      <xdr:col>0</xdr:col>
      <xdr:colOff>1085850</xdr:colOff>
      <xdr:row>27</xdr:row>
      <xdr:rowOff>85725</xdr:rowOff>
    </xdr:to>
    <xdr:sp macro="" textlink="">
      <xdr:nvSpPr>
        <xdr:cNvPr id="9" name="RPM5">
          <a:extLst>
            <a:ext uri="{FF2B5EF4-FFF2-40B4-BE49-F238E27FC236}">
              <a16:creationId xmlns:a16="http://schemas.microsoft.com/office/drawing/2014/main" id="{00000000-0008-0000-0700-000009000000}"/>
            </a:ext>
          </a:extLst>
        </xdr:cNvPr>
        <xdr:cNvSpPr txBox="1">
          <a:spLocks noChangeArrowheads="1"/>
        </xdr:cNvSpPr>
      </xdr:nvSpPr>
      <xdr:spPr bwMode="auto">
        <a:xfrm>
          <a:off x="609600" y="4511040"/>
          <a:ext cx="11430" cy="10096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3540</a:t>
          </a:r>
        </a:p>
      </xdr:txBody>
    </xdr:sp>
    <xdr:clientData/>
  </xdr:twoCellAnchor>
  <xdr:twoCellAnchor>
    <xdr:from>
      <xdr:col>0</xdr:col>
      <xdr:colOff>600075</xdr:colOff>
      <xdr:row>28</xdr:row>
      <xdr:rowOff>85725</xdr:rowOff>
    </xdr:from>
    <xdr:to>
      <xdr:col>0</xdr:col>
      <xdr:colOff>1076325</xdr:colOff>
      <xdr:row>29</xdr:row>
      <xdr:rowOff>19050</xdr:rowOff>
    </xdr:to>
    <xdr:sp macro="" textlink="">
      <xdr:nvSpPr>
        <xdr:cNvPr id="10" name="RPM4">
          <a:extLst>
            <a:ext uri="{FF2B5EF4-FFF2-40B4-BE49-F238E27FC236}">
              <a16:creationId xmlns:a16="http://schemas.microsoft.com/office/drawing/2014/main" id="{00000000-0008-0000-0700-00000A000000}"/>
            </a:ext>
          </a:extLst>
        </xdr:cNvPr>
        <xdr:cNvSpPr txBox="1">
          <a:spLocks noChangeArrowheads="1"/>
        </xdr:cNvSpPr>
      </xdr:nvSpPr>
      <xdr:spPr bwMode="auto">
        <a:xfrm>
          <a:off x="600075" y="4779645"/>
          <a:ext cx="26670" cy="10096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3530</a:t>
          </a:r>
        </a:p>
      </xdr:txBody>
    </xdr:sp>
    <xdr:clientData/>
  </xdr:twoCellAnchor>
  <xdr:twoCellAnchor>
    <xdr:from>
      <xdr:col>0</xdr:col>
      <xdr:colOff>600075</xdr:colOff>
      <xdr:row>30</xdr:row>
      <xdr:rowOff>28575</xdr:rowOff>
    </xdr:from>
    <xdr:to>
      <xdr:col>0</xdr:col>
      <xdr:colOff>1076325</xdr:colOff>
      <xdr:row>30</xdr:row>
      <xdr:rowOff>200025</xdr:rowOff>
    </xdr:to>
    <xdr:sp macro="" textlink="">
      <xdr:nvSpPr>
        <xdr:cNvPr id="11" name="RPM3">
          <a:extLst>
            <a:ext uri="{FF2B5EF4-FFF2-40B4-BE49-F238E27FC236}">
              <a16:creationId xmlns:a16="http://schemas.microsoft.com/office/drawing/2014/main" id="{00000000-0008-0000-0700-00000B000000}"/>
            </a:ext>
          </a:extLst>
        </xdr:cNvPr>
        <xdr:cNvSpPr txBox="1">
          <a:spLocks noChangeArrowheads="1"/>
        </xdr:cNvSpPr>
      </xdr:nvSpPr>
      <xdr:spPr bwMode="auto">
        <a:xfrm>
          <a:off x="600075" y="5057775"/>
          <a:ext cx="26670" cy="14097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3520</a:t>
          </a:r>
        </a:p>
      </xdr:txBody>
    </xdr:sp>
    <xdr:clientData/>
  </xdr:twoCellAnchor>
  <xdr:twoCellAnchor>
    <xdr:from>
      <xdr:col>0</xdr:col>
      <xdr:colOff>600075</xdr:colOff>
      <xdr:row>31</xdr:row>
      <xdr:rowOff>200025</xdr:rowOff>
    </xdr:from>
    <xdr:to>
      <xdr:col>0</xdr:col>
      <xdr:colOff>1076325</xdr:colOff>
      <xdr:row>32</xdr:row>
      <xdr:rowOff>133350</xdr:rowOff>
    </xdr:to>
    <xdr:sp macro="" textlink="">
      <xdr:nvSpPr>
        <xdr:cNvPr id="12" name="RPM2">
          <a:extLst>
            <a:ext uri="{FF2B5EF4-FFF2-40B4-BE49-F238E27FC236}">
              <a16:creationId xmlns:a16="http://schemas.microsoft.com/office/drawing/2014/main" id="{00000000-0008-0000-0700-00000C000000}"/>
            </a:ext>
          </a:extLst>
        </xdr:cNvPr>
        <xdr:cNvSpPr txBox="1">
          <a:spLocks noChangeArrowheads="1"/>
        </xdr:cNvSpPr>
      </xdr:nvSpPr>
      <xdr:spPr bwMode="auto">
        <a:xfrm>
          <a:off x="600075" y="5366385"/>
          <a:ext cx="26670" cy="1314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3510</a:t>
          </a:r>
        </a:p>
      </xdr:txBody>
    </xdr:sp>
    <xdr:clientData/>
  </xdr:twoCellAnchor>
  <xdr:twoCellAnchor>
    <xdr:from>
      <xdr:col>0</xdr:col>
      <xdr:colOff>609600</xdr:colOff>
      <xdr:row>33</xdr:row>
      <xdr:rowOff>133350</xdr:rowOff>
    </xdr:from>
    <xdr:to>
      <xdr:col>0</xdr:col>
      <xdr:colOff>1085850</xdr:colOff>
      <xdr:row>34</xdr:row>
      <xdr:rowOff>66675</xdr:rowOff>
    </xdr:to>
    <xdr:sp macro="" textlink="">
      <xdr:nvSpPr>
        <xdr:cNvPr id="13" name="RPM1">
          <a:extLst>
            <a:ext uri="{FF2B5EF4-FFF2-40B4-BE49-F238E27FC236}">
              <a16:creationId xmlns:a16="http://schemas.microsoft.com/office/drawing/2014/main" id="{00000000-0008-0000-0700-00000D000000}"/>
            </a:ext>
          </a:extLst>
        </xdr:cNvPr>
        <xdr:cNvSpPr txBox="1">
          <a:spLocks noChangeArrowheads="1"/>
        </xdr:cNvSpPr>
      </xdr:nvSpPr>
      <xdr:spPr bwMode="auto">
        <a:xfrm>
          <a:off x="609600" y="5665470"/>
          <a:ext cx="11430" cy="10096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3500</a:t>
          </a:r>
        </a:p>
      </xdr:txBody>
    </xdr:sp>
    <xdr:clientData/>
  </xdr:twoCellAnchor>
  <xdr:twoCellAnchor>
    <xdr:from>
      <xdr:col>0</xdr:col>
      <xdr:colOff>390525</xdr:colOff>
      <xdr:row>24</xdr:row>
      <xdr:rowOff>104775</xdr:rowOff>
    </xdr:from>
    <xdr:to>
      <xdr:col>0</xdr:col>
      <xdr:colOff>600075</xdr:colOff>
      <xdr:row>26</xdr:row>
      <xdr:rowOff>209550</xdr:rowOff>
    </xdr:to>
    <xdr:sp macro="" textlink="">
      <xdr:nvSpPr>
        <xdr:cNvPr id="14" name="RPM">
          <a:extLst>
            <a:ext uri="{FF2B5EF4-FFF2-40B4-BE49-F238E27FC236}">
              <a16:creationId xmlns:a16="http://schemas.microsoft.com/office/drawing/2014/main" id="{00000000-0008-0000-0700-00000E000000}"/>
            </a:ext>
          </a:extLst>
        </xdr:cNvPr>
        <xdr:cNvSpPr txBox="1">
          <a:spLocks noChangeArrowheads="1"/>
        </xdr:cNvSpPr>
      </xdr:nvSpPr>
      <xdr:spPr bwMode="auto">
        <a:xfrm>
          <a:off x="390525" y="4128135"/>
          <a:ext cx="209550" cy="39433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57150</xdr:rowOff>
    </xdr:from>
    <xdr:to>
      <xdr:col>5</xdr:col>
      <xdr:colOff>819150</xdr:colOff>
      <xdr:row>17</xdr:row>
      <xdr:rowOff>38100</xdr:rowOff>
    </xdr:to>
    <xdr:sp macro="" textlink="">
      <xdr:nvSpPr>
        <xdr:cNvPr id="15" name="Watts11">
          <a:extLst>
            <a:ext uri="{FF2B5EF4-FFF2-40B4-BE49-F238E27FC236}">
              <a16:creationId xmlns:a16="http://schemas.microsoft.com/office/drawing/2014/main" id="{00000000-0008-0000-0700-00000F000000}"/>
            </a:ext>
          </a:extLst>
        </xdr:cNvPr>
        <xdr:cNvSpPr txBox="1">
          <a:spLocks noChangeArrowheads="1"/>
        </xdr:cNvSpPr>
      </xdr:nvSpPr>
      <xdr:spPr bwMode="auto">
        <a:xfrm>
          <a:off x="3476624" y="2739390"/>
          <a:ext cx="268606" cy="14859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1400</a:t>
          </a:r>
        </a:p>
      </xdr:txBody>
    </xdr:sp>
    <xdr:clientData/>
  </xdr:twoCellAnchor>
  <xdr:twoCellAnchor>
    <xdr:from>
      <xdr:col>5</xdr:col>
      <xdr:colOff>381000</xdr:colOff>
      <xdr:row>25</xdr:row>
      <xdr:rowOff>0</xdr:rowOff>
    </xdr:from>
    <xdr:to>
      <xdr:col>5</xdr:col>
      <xdr:colOff>851209</xdr:colOff>
      <xdr:row>25</xdr:row>
      <xdr:rowOff>200025</xdr:rowOff>
    </xdr:to>
    <xdr:sp macro="" textlink="">
      <xdr:nvSpPr>
        <xdr:cNvPr id="16" name="Watts6">
          <a:extLst>
            <a:ext uri="{FF2B5EF4-FFF2-40B4-BE49-F238E27FC236}">
              <a16:creationId xmlns:a16="http://schemas.microsoft.com/office/drawing/2014/main" id="{00000000-0008-0000-0700-000010000000}"/>
            </a:ext>
          </a:extLst>
        </xdr:cNvPr>
        <xdr:cNvSpPr txBox="1">
          <a:spLocks noChangeArrowheads="1"/>
        </xdr:cNvSpPr>
      </xdr:nvSpPr>
      <xdr:spPr bwMode="auto">
        <a:xfrm>
          <a:off x="3505200" y="4191000"/>
          <a:ext cx="241609"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700</a:t>
          </a:r>
        </a:p>
      </xdr:txBody>
    </xdr:sp>
    <xdr:clientData/>
  </xdr:twoCellAnchor>
  <xdr:twoCellAnchor>
    <xdr:from>
      <xdr:col>5</xdr:col>
      <xdr:colOff>371474</xdr:colOff>
      <xdr:row>26</xdr:row>
      <xdr:rowOff>180975</xdr:rowOff>
    </xdr:from>
    <xdr:to>
      <xdr:col>5</xdr:col>
      <xdr:colOff>788250</xdr:colOff>
      <xdr:row>27</xdr:row>
      <xdr:rowOff>133350</xdr:rowOff>
    </xdr:to>
    <xdr:sp macro="" textlink="">
      <xdr:nvSpPr>
        <xdr:cNvPr id="17" name="Watts5">
          <a:extLst>
            <a:ext uri="{FF2B5EF4-FFF2-40B4-BE49-F238E27FC236}">
              <a16:creationId xmlns:a16="http://schemas.microsoft.com/office/drawing/2014/main" id="{00000000-0008-0000-0700-000011000000}"/>
            </a:ext>
          </a:extLst>
        </xdr:cNvPr>
        <xdr:cNvSpPr txBox="1">
          <a:spLocks noChangeArrowheads="1"/>
        </xdr:cNvSpPr>
      </xdr:nvSpPr>
      <xdr:spPr bwMode="auto">
        <a:xfrm>
          <a:off x="3495674" y="4524375"/>
          <a:ext cx="256756" cy="13525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560</a:t>
          </a:r>
        </a:p>
      </xdr:txBody>
    </xdr:sp>
    <xdr:clientData/>
  </xdr:twoCellAnchor>
  <xdr:twoCellAnchor>
    <xdr:from>
      <xdr:col>5</xdr:col>
      <xdr:colOff>380999</xdr:colOff>
      <xdr:row>28</xdr:row>
      <xdr:rowOff>114300</xdr:rowOff>
    </xdr:from>
    <xdr:to>
      <xdr:col>5</xdr:col>
      <xdr:colOff>797775</xdr:colOff>
      <xdr:row>29</xdr:row>
      <xdr:rowOff>66675</xdr:rowOff>
    </xdr:to>
    <xdr:sp macro="" textlink="">
      <xdr:nvSpPr>
        <xdr:cNvPr id="18" name="Watts4">
          <a:extLst>
            <a:ext uri="{FF2B5EF4-FFF2-40B4-BE49-F238E27FC236}">
              <a16:creationId xmlns:a16="http://schemas.microsoft.com/office/drawing/2014/main" id="{00000000-0008-0000-0700-000012000000}"/>
            </a:ext>
          </a:extLst>
        </xdr:cNvPr>
        <xdr:cNvSpPr txBox="1">
          <a:spLocks noChangeArrowheads="1"/>
        </xdr:cNvSpPr>
      </xdr:nvSpPr>
      <xdr:spPr bwMode="auto">
        <a:xfrm>
          <a:off x="3505199" y="4808220"/>
          <a:ext cx="241516" cy="1200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420</a:t>
          </a:r>
        </a:p>
      </xdr:txBody>
    </xdr:sp>
    <xdr:clientData/>
  </xdr:twoCellAnchor>
  <xdr:twoCellAnchor>
    <xdr:from>
      <xdr:col>5</xdr:col>
      <xdr:colOff>371474</xdr:colOff>
      <xdr:row>30</xdr:row>
      <xdr:rowOff>38100</xdr:rowOff>
    </xdr:from>
    <xdr:to>
      <xdr:col>5</xdr:col>
      <xdr:colOff>788250</xdr:colOff>
      <xdr:row>30</xdr:row>
      <xdr:rowOff>228600</xdr:rowOff>
    </xdr:to>
    <xdr:sp macro="" textlink="">
      <xdr:nvSpPr>
        <xdr:cNvPr id="19" name="Watts3">
          <a:extLst>
            <a:ext uri="{FF2B5EF4-FFF2-40B4-BE49-F238E27FC236}">
              <a16:creationId xmlns:a16="http://schemas.microsoft.com/office/drawing/2014/main" id="{00000000-0008-0000-0700-000013000000}"/>
            </a:ext>
          </a:extLst>
        </xdr:cNvPr>
        <xdr:cNvSpPr txBox="1">
          <a:spLocks noChangeArrowheads="1"/>
        </xdr:cNvSpPr>
      </xdr:nvSpPr>
      <xdr:spPr bwMode="auto">
        <a:xfrm>
          <a:off x="3495674" y="5067300"/>
          <a:ext cx="256756" cy="1295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280</a:t>
          </a:r>
        </a:p>
      </xdr:txBody>
    </xdr:sp>
    <xdr:clientData/>
  </xdr:twoCellAnchor>
  <xdr:twoCellAnchor>
    <xdr:from>
      <xdr:col>5</xdr:col>
      <xdr:colOff>371474</xdr:colOff>
      <xdr:row>31</xdr:row>
      <xdr:rowOff>219075</xdr:rowOff>
    </xdr:from>
    <xdr:to>
      <xdr:col>5</xdr:col>
      <xdr:colOff>788250</xdr:colOff>
      <xdr:row>32</xdr:row>
      <xdr:rowOff>171450</xdr:rowOff>
    </xdr:to>
    <xdr:sp macro="" textlink="">
      <xdr:nvSpPr>
        <xdr:cNvPr id="20" name="Watts2">
          <a:extLst>
            <a:ext uri="{FF2B5EF4-FFF2-40B4-BE49-F238E27FC236}">
              <a16:creationId xmlns:a16="http://schemas.microsoft.com/office/drawing/2014/main" id="{00000000-0008-0000-0700-000014000000}"/>
            </a:ext>
          </a:extLst>
        </xdr:cNvPr>
        <xdr:cNvSpPr txBox="1">
          <a:spLocks noChangeArrowheads="1"/>
        </xdr:cNvSpPr>
      </xdr:nvSpPr>
      <xdr:spPr bwMode="auto">
        <a:xfrm>
          <a:off x="3495674" y="5362575"/>
          <a:ext cx="256756" cy="16573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140</a:t>
          </a:r>
        </a:p>
      </xdr:txBody>
    </xdr:sp>
    <xdr:clientData/>
  </xdr:twoCellAnchor>
  <xdr:twoCellAnchor>
    <xdr:from>
      <xdr:col>5</xdr:col>
      <xdr:colOff>733425</xdr:colOff>
      <xdr:row>23</xdr:row>
      <xdr:rowOff>9525</xdr:rowOff>
    </xdr:from>
    <xdr:to>
      <xdr:col>5</xdr:col>
      <xdr:colOff>952500</xdr:colOff>
      <xdr:row>28</xdr:row>
      <xdr:rowOff>142875</xdr:rowOff>
    </xdr:to>
    <xdr:sp macro="" textlink="">
      <xdr:nvSpPr>
        <xdr:cNvPr id="21" name="Input Watts">
          <a:extLst>
            <a:ext uri="{FF2B5EF4-FFF2-40B4-BE49-F238E27FC236}">
              <a16:creationId xmlns:a16="http://schemas.microsoft.com/office/drawing/2014/main" id="{00000000-0008-0000-0700-000015000000}"/>
            </a:ext>
          </a:extLst>
        </xdr:cNvPr>
        <xdr:cNvSpPr txBox="1">
          <a:spLocks noChangeArrowheads="1"/>
        </xdr:cNvSpPr>
      </xdr:nvSpPr>
      <xdr:spPr bwMode="auto">
        <a:xfrm>
          <a:off x="3750945" y="3865245"/>
          <a:ext cx="0" cy="971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66675</xdr:rowOff>
    </xdr:from>
    <xdr:to>
      <xdr:col>5</xdr:col>
      <xdr:colOff>788250</xdr:colOff>
      <xdr:row>24</xdr:row>
      <xdr:rowOff>19050</xdr:rowOff>
    </xdr:to>
    <xdr:sp macro="" textlink="">
      <xdr:nvSpPr>
        <xdr:cNvPr id="22" name="Watts7">
          <a:extLst>
            <a:ext uri="{FF2B5EF4-FFF2-40B4-BE49-F238E27FC236}">
              <a16:creationId xmlns:a16="http://schemas.microsoft.com/office/drawing/2014/main" id="{00000000-0008-0000-0700-000016000000}"/>
            </a:ext>
          </a:extLst>
        </xdr:cNvPr>
        <xdr:cNvSpPr txBox="1">
          <a:spLocks noChangeArrowheads="1"/>
        </xdr:cNvSpPr>
      </xdr:nvSpPr>
      <xdr:spPr bwMode="auto">
        <a:xfrm>
          <a:off x="3495674" y="3922395"/>
          <a:ext cx="256756" cy="1200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840</a:t>
          </a:r>
        </a:p>
      </xdr:txBody>
    </xdr:sp>
    <xdr:clientData/>
  </xdr:twoCellAnchor>
  <xdr:twoCellAnchor>
    <xdr:from>
      <xdr:col>5</xdr:col>
      <xdr:colOff>371474</xdr:colOff>
      <xdr:row>21</xdr:row>
      <xdr:rowOff>133350</xdr:rowOff>
    </xdr:from>
    <xdr:to>
      <xdr:col>5</xdr:col>
      <xdr:colOff>788250</xdr:colOff>
      <xdr:row>22</xdr:row>
      <xdr:rowOff>85725</xdr:rowOff>
    </xdr:to>
    <xdr:sp macro="" textlink="">
      <xdr:nvSpPr>
        <xdr:cNvPr id="23" name="Watts8">
          <a:extLst>
            <a:ext uri="{FF2B5EF4-FFF2-40B4-BE49-F238E27FC236}">
              <a16:creationId xmlns:a16="http://schemas.microsoft.com/office/drawing/2014/main" id="{00000000-0008-0000-0700-000017000000}"/>
            </a:ext>
          </a:extLst>
        </xdr:cNvPr>
        <xdr:cNvSpPr txBox="1">
          <a:spLocks noChangeArrowheads="1"/>
        </xdr:cNvSpPr>
      </xdr:nvSpPr>
      <xdr:spPr bwMode="auto">
        <a:xfrm>
          <a:off x="3495674" y="3653790"/>
          <a:ext cx="256756" cy="1200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980</a:t>
          </a:r>
        </a:p>
      </xdr:txBody>
    </xdr:sp>
    <xdr:clientData/>
  </xdr:twoCellAnchor>
  <xdr:twoCellAnchor>
    <xdr:from>
      <xdr:col>5</xdr:col>
      <xdr:colOff>361949</xdr:colOff>
      <xdr:row>19</xdr:row>
      <xdr:rowOff>171450</xdr:rowOff>
    </xdr:from>
    <xdr:to>
      <xdr:col>5</xdr:col>
      <xdr:colOff>828675</xdr:colOff>
      <xdr:row>20</xdr:row>
      <xdr:rowOff>152400</xdr:rowOff>
    </xdr:to>
    <xdr:sp macro="" textlink="">
      <xdr:nvSpPr>
        <xdr:cNvPr id="24" name="Watts9">
          <a:extLst>
            <a:ext uri="{FF2B5EF4-FFF2-40B4-BE49-F238E27FC236}">
              <a16:creationId xmlns:a16="http://schemas.microsoft.com/office/drawing/2014/main" id="{00000000-0008-0000-0700-000018000000}"/>
            </a:ext>
          </a:extLst>
        </xdr:cNvPr>
        <xdr:cNvSpPr txBox="1">
          <a:spLocks noChangeArrowheads="1"/>
        </xdr:cNvSpPr>
      </xdr:nvSpPr>
      <xdr:spPr bwMode="auto">
        <a:xfrm>
          <a:off x="3486149" y="3348990"/>
          <a:ext cx="260986" cy="15621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1120</a:t>
          </a:r>
        </a:p>
      </xdr:txBody>
    </xdr:sp>
    <xdr:clientData/>
  </xdr:twoCellAnchor>
  <xdr:twoCellAnchor>
    <xdr:from>
      <xdr:col>5</xdr:col>
      <xdr:colOff>361949</xdr:colOff>
      <xdr:row>18</xdr:row>
      <xdr:rowOff>0</xdr:rowOff>
    </xdr:from>
    <xdr:to>
      <xdr:col>5</xdr:col>
      <xdr:colOff>828675</xdr:colOff>
      <xdr:row>18</xdr:row>
      <xdr:rowOff>219075</xdr:rowOff>
    </xdr:to>
    <xdr:sp macro="" textlink="">
      <xdr:nvSpPr>
        <xdr:cNvPr id="25" name="Watts10">
          <a:extLst>
            <a:ext uri="{FF2B5EF4-FFF2-40B4-BE49-F238E27FC236}">
              <a16:creationId xmlns:a16="http://schemas.microsoft.com/office/drawing/2014/main" id="{00000000-0008-0000-0700-000019000000}"/>
            </a:ext>
          </a:extLst>
        </xdr:cNvPr>
        <xdr:cNvSpPr txBox="1">
          <a:spLocks noChangeArrowheads="1"/>
        </xdr:cNvSpPr>
      </xdr:nvSpPr>
      <xdr:spPr bwMode="auto">
        <a:xfrm>
          <a:off x="3486149" y="3017520"/>
          <a:ext cx="260986" cy="16573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1260</a:t>
          </a:r>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00000000-0008-0000-0700-00001A000000}"/>
            </a:ext>
          </a:extLst>
        </xdr:cNvPr>
        <xdr:cNvSpPr txBox="1">
          <a:spLocks noChangeArrowheads="1"/>
        </xdr:cNvSpPr>
      </xdr:nvSpPr>
      <xdr:spPr bwMode="auto">
        <a:xfrm>
          <a:off x="1870710" y="2868930"/>
          <a:ext cx="89535"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904875</xdr:colOff>
      <xdr:row>19</xdr:row>
      <xdr:rowOff>133350</xdr:rowOff>
    </xdr:from>
    <xdr:to>
      <xdr:col>4</xdr:col>
      <xdr:colOff>123825</xdr:colOff>
      <xdr:row>20</xdr:row>
      <xdr:rowOff>66675</xdr:rowOff>
    </xdr:to>
    <xdr:sp macro="" textlink="" fLocksText="0">
      <xdr:nvSpPr>
        <xdr:cNvPr id="27" name="Text Box 27">
          <a:extLst>
            <a:ext uri="{FF2B5EF4-FFF2-40B4-BE49-F238E27FC236}">
              <a16:creationId xmlns:a16="http://schemas.microsoft.com/office/drawing/2014/main" id="{00000000-0008-0000-0700-00001B000000}"/>
            </a:ext>
          </a:extLst>
        </xdr:cNvPr>
        <xdr:cNvSpPr txBox="1">
          <a:spLocks noChangeArrowheads="1"/>
        </xdr:cNvSpPr>
      </xdr:nvSpPr>
      <xdr:spPr bwMode="auto">
        <a:xfrm>
          <a:off x="2497455" y="3318510"/>
          <a:ext cx="125730" cy="1009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3</xdr:col>
      <xdr:colOff>495300</xdr:colOff>
      <xdr:row>22</xdr:row>
      <xdr:rowOff>38100</xdr:rowOff>
    </xdr:from>
    <xdr:to>
      <xdr:col>3</xdr:col>
      <xdr:colOff>838200</xdr:colOff>
      <xdr:row>22</xdr:row>
      <xdr:rowOff>180975</xdr:rowOff>
    </xdr:to>
    <xdr:sp macro="" textlink="" fLocksText="0">
      <xdr:nvSpPr>
        <xdr:cNvPr id="28" name="Speed">
          <a:extLst>
            <a:ext uri="{FF2B5EF4-FFF2-40B4-BE49-F238E27FC236}">
              <a16:creationId xmlns:a16="http://schemas.microsoft.com/office/drawing/2014/main" id="{00000000-0008-0000-0700-00001C000000}"/>
            </a:ext>
          </a:extLst>
        </xdr:cNvPr>
        <xdr:cNvSpPr txBox="1">
          <a:spLocks noChangeArrowheads="1"/>
        </xdr:cNvSpPr>
      </xdr:nvSpPr>
      <xdr:spPr bwMode="auto">
        <a:xfrm>
          <a:off x="2369820" y="3726180"/>
          <a:ext cx="129540" cy="12763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1076325</xdr:colOff>
      <xdr:row>29</xdr:row>
      <xdr:rowOff>200025</xdr:rowOff>
    </xdr:from>
    <xdr:to>
      <xdr:col>2</xdr:col>
      <xdr:colOff>400050</xdr:colOff>
      <xdr:row>30</xdr:row>
      <xdr:rowOff>114300</xdr:rowOff>
    </xdr:to>
    <xdr:sp macro="" textlink="" fLocksText="0">
      <xdr:nvSpPr>
        <xdr:cNvPr id="29" name="Amps">
          <a:extLst>
            <a:ext uri="{FF2B5EF4-FFF2-40B4-BE49-F238E27FC236}">
              <a16:creationId xmlns:a16="http://schemas.microsoft.com/office/drawing/2014/main" id="{00000000-0008-0000-0700-00001D000000}"/>
            </a:ext>
          </a:extLst>
        </xdr:cNvPr>
        <xdr:cNvSpPr txBox="1">
          <a:spLocks noChangeArrowheads="1"/>
        </xdr:cNvSpPr>
      </xdr:nvSpPr>
      <xdr:spPr bwMode="auto">
        <a:xfrm>
          <a:off x="1251585" y="5031105"/>
          <a:ext cx="398145" cy="1123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504825</xdr:colOff>
      <xdr:row>31</xdr:row>
      <xdr:rowOff>161925</xdr:rowOff>
    </xdr:from>
    <xdr:to>
      <xdr:col>2</xdr:col>
      <xdr:colOff>1009650</xdr:colOff>
      <xdr:row>32</xdr:row>
      <xdr:rowOff>76200</xdr:rowOff>
    </xdr:to>
    <xdr:sp macro="" textlink="" fLocksText="0">
      <xdr:nvSpPr>
        <xdr:cNvPr id="30" name="Watts">
          <a:extLst>
            <a:ext uri="{FF2B5EF4-FFF2-40B4-BE49-F238E27FC236}">
              <a16:creationId xmlns:a16="http://schemas.microsoft.com/office/drawing/2014/main" id="{00000000-0008-0000-0700-00001E000000}"/>
            </a:ext>
          </a:extLst>
        </xdr:cNvPr>
        <xdr:cNvSpPr txBox="1">
          <a:spLocks noChangeArrowheads="1"/>
        </xdr:cNvSpPr>
      </xdr:nvSpPr>
      <xdr:spPr bwMode="auto">
        <a:xfrm>
          <a:off x="1754505" y="5358765"/>
          <a:ext cx="116205" cy="8191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361949</xdr:colOff>
      <xdr:row>33</xdr:row>
      <xdr:rowOff>142875</xdr:rowOff>
    </xdr:from>
    <xdr:to>
      <xdr:col>5</xdr:col>
      <xdr:colOff>800098</xdr:colOff>
      <xdr:row>34</xdr:row>
      <xdr:rowOff>104775</xdr:rowOff>
    </xdr:to>
    <xdr:sp macro="" textlink="">
      <xdr:nvSpPr>
        <xdr:cNvPr id="31" name="Watts1">
          <a:extLst>
            <a:ext uri="{FF2B5EF4-FFF2-40B4-BE49-F238E27FC236}">
              <a16:creationId xmlns:a16="http://schemas.microsoft.com/office/drawing/2014/main" id="{00000000-0008-0000-0700-00001F000000}"/>
            </a:ext>
          </a:extLst>
        </xdr:cNvPr>
        <xdr:cNvSpPr txBox="1">
          <a:spLocks noChangeArrowheads="1"/>
        </xdr:cNvSpPr>
      </xdr:nvSpPr>
      <xdr:spPr bwMode="auto">
        <a:xfrm>
          <a:off x="3486149" y="5674995"/>
          <a:ext cx="262889" cy="12954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628650</xdr:colOff>
      <xdr:row>16</xdr:row>
      <xdr:rowOff>66675</xdr:rowOff>
    </xdr:from>
    <xdr:to>
      <xdr:col>0</xdr:col>
      <xdr:colOff>1104900</xdr:colOff>
      <xdr:row>17</xdr:row>
      <xdr:rowOff>0</xdr:rowOff>
    </xdr:to>
    <xdr:sp macro="" textlink="">
      <xdr:nvSpPr>
        <xdr:cNvPr id="3" name="RPM11">
          <a:extLst>
            <a:ext uri="{FF2B5EF4-FFF2-40B4-BE49-F238E27FC236}">
              <a16:creationId xmlns:a16="http://schemas.microsoft.com/office/drawing/2014/main" id="{00000000-0008-0000-0800-000003000000}"/>
            </a:ext>
          </a:extLst>
        </xdr:cNvPr>
        <xdr:cNvSpPr txBox="1">
          <a:spLocks noChangeArrowheads="1"/>
        </xdr:cNvSpPr>
      </xdr:nvSpPr>
      <xdr:spPr bwMode="auto">
        <a:xfrm>
          <a:off x="628650" y="3937635"/>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619125</xdr:colOff>
      <xdr:row>18</xdr:row>
      <xdr:rowOff>9525</xdr:rowOff>
    </xdr:from>
    <xdr:to>
      <xdr:col>0</xdr:col>
      <xdr:colOff>1095375</xdr:colOff>
      <xdr:row>18</xdr:row>
      <xdr:rowOff>180975</xdr:rowOff>
    </xdr:to>
    <xdr:sp macro="" textlink="">
      <xdr:nvSpPr>
        <xdr:cNvPr id="4" name="RPM10">
          <a:extLst>
            <a:ext uri="{FF2B5EF4-FFF2-40B4-BE49-F238E27FC236}">
              <a16:creationId xmlns:a16="http://schemas.microsoft.com/office/drawing/2014/main" id="{00000000-0008-0000-0800-000004000000}"/>
            </a:ext>
          </a:extLst>
        </xdr:cNvPr>
        <xdr:cNvSpPr txBox="1">
          <a:spLocks noChangeArrowheads="1"/>
        </xdr:cNvSpPr>
      </xdr:nvSpPr>
      <xdr:spPr bwMode="auto">
        <a:xfrm>
          <a:off x="619125" y="43529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3590</a:t>
          </a:r>
        </a:p>
      </xdr:txBody>
    </xdr:sp>
    <xdr:clientData/>
  </xdr:twoCellAnchor>
  <xdr:twoCellAnchor>
    <xdr:from>
      <xdr:col>0</xdr:col>
      <xdr:colOff>609600</xdr:colOff>
      <xdr:row>19</xdr:row>
      <xdr:rowOff>180975</xdr:rowOff>
    </xdr:from>
    <xdr:to>
      <xdr:col>0</xdr:col>
      <xdr:colOff>1085850</xdr:colOff>
      <xdr:row>20</xdr:row>
      <xdr:rowOff>114300</xdr:rowOff>
    </xdr:to>
    <xdr:sp macro="" textlink="">
      <xdr:nvSpPr>
        <xdr:cNvPr id="5" name="RPM9">
          <a:extLst>
            <a:ext uri="{FF2B5EF4-FFF2-40B4-BE49-F238E27FC236}">
              <a16:creationId xmlns:a16="http://schemas.microsoft.com/office/drawing/2014/main" id="{00000000-0008-0000-0800-000005000000}"/>
            </a:ext>
          </a:extLst>
        </xdr:cNvPr>
        <xdr:cNvSpPr txBox="1">
          <a:spLocks noChangeArrowheads="1"/>
        </xdr:cNvSpPr>
      </xdr:nvSpPr>
      <xdr:spPr bwMode="auto">
        <a:xfrm>
          <a:off x="609600" y="4760595"/>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3580</a:t>
          </a:r>
        </a:p>
      </xdr:txBody>
    </xdr:sp>
    <xdr:clientData/>
  </xdr:twoCellAnchor>
  <xdr:twoCellAnchor>
    <xdr:from>
      <xdr:col>0</xdr:col>
      <xdr:colOff>609600</xdr:colOff>
      <xdr:row>21</xdr:row>
      <xdr:rowOff>114300</xdr:rowOff>
    </xdr:from>
    <xdr:to>
      <xdr:col>0</xdr:col>
      <xdr:colOff>1085850</xdr:colOff>
      <xdr:row>22</xdr:row>
      <xdr:rowOff>47625</xdr:rowOff>
    </xdr:to>
    <xdr:sp macro="" textlink="">
      <xdr:nvSpPr>
        <xdr:cNvPr id="6" name="RPM8">
          <a:extLst>
            <a:ext uri="{FF2B5EF4-FFF2-40B4-BE49-F238E27FC236}">
              <a16:creationId xmlns:a16="http://schemas.microsoft.com/office/drawing/2014/main" id="{00000000-0008-0000-0800-000006000000}"/>
            </a:ext>
          </a:extLst>
        </xdr:cNvPr>
        <xdr:cNvSpPr txBox="1">
          <a:spLocks noChangeArrowheads="1"/>
        </xdr:cNvSpPr>
      </xdr:nvSpPr>
      <xdr:spPr bwMode="auto">
        <a:xfrm>
          <a:off x="609600" y="5166360"/>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3570</a:t>
          </a:r>
        </a:p>
      </xdr:txBody>
    </xdr:sp>
    <xdr:clientData/>
  </xdr:twoCellAnchor>
  <xdr:twoCellAnchor>
    <xdr:from>
      <xdr:col>0</xdr:col>
      <xdr:colOff>619125</xdr:colOff>
      <xdr:row>23</xdr:row>
      <xdr:rowOff>47625</xdr:rowOff>
    </xdr:from>
    <xdr:to>
      <xdr:col>0</xdr:col>
      <xdr:colOff>1095375</xdr:colOff>
      <xdr:row>23</xdr:row>
      <xdr:rowOff>219075</xdr:rowOff>
    </xdr:to>
    <xdr:sp macro="" textlink="">
      <xdr:nvSpPr>
        <xdr:cNvPr id="7" name="RPM7">
          <a:extLst>
            <a:ext uri="{FF2B5EF4-FFF2-40B4-BE49-F238E27FC236}">
              <a16:creationId xmlns:a16="http://schemas.microsoft.com/office/drawing/2014/main" id="{00000000-0008-0000-0800-000007000000}"/>
            </a:ext>
          </a:extLst>
        </xdr:cNvPr>
        <xdr:cNvSpPr txBox="1">
          <a:spLocks noChangeArrowheads="1"/>
        </xdr:cNvSpPr>
      </xdr:nvSpPr>
      <xdr:spPr bwMode="auto">
        <a:xfrm>
          <a:off x="619125" y="557212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3560</a:t>
          </a:r>
        </a:p>
      </xdr:txBody>
    </xdr:sp>
    <xdr:clientData/>
  </xdr:twoCellAnchor>
  <xdr:twoCellAnchor>
    <xdr:from>
      <xdr:col>0</xdr:col>
      <xdr:colOff>619125</xdr:colOff>
      <xdr:row>24</xdr:row>
      <xdr:rowOff>219075</xdr:rowOff>
    </xdr:from>
    <xdr:to>
      <xdr:col>0</xdr:col>
      <xdr:colOff>1095375</xdr:colOff>
      <xdr:row>25</xdr:row>
      <xdr:rowOff>152400</xdr:rowOff>
    </xdr:to>
    <xdr:sp macro="" textlink="">
      <xdr:nvSpPr>
        <xdr:cNvPr id="8" name="RPM6">
          <a:extLst>
            <a:ext uri="{FF2B5EF4-FFF2-40B4-BE49-F238E27FC236}">
              <a16:creationId xmlns:a16="http://schemas.microsoft.com/office/drawing/2014/main" id="{00000000-0008-0000-0800-000008000000}"/>
            </a:ext>
          </a:extLst>
        </xdr:cNvPr>
        <xdr:cNvSpPr txBox="1">
          <a:spLocks noChangeArrowheads="1"/>
        </xdr:cNvSpPr>
      </xdr:nvSpPr>
      <xdr:spPr bwMode="auto">
        <a:xfrm>
          <a:off x="619125" y="5979795"/>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3550</a:t>
          </a:r>
        </a:p>
      </xdr:txBody>
    </xdr:sp>
    <xdr:clientData/>
  </xdr:twoCellAnchor>
  <xdr:twoCellAnchor>
    <xdr:from>
      <xdr:col>0</xdr:col>
      <xdr:colOff>609600</xdr:colOff>
      <xdr:row>26</xdr:row>
      <xdr:rowOff>152400</xdr:rowOff>
    </xdr:from>
    <xdr:to>
      <xdr:col>0</xdr:col>
      <xdr:colOff>1085850</xdr:colOff>
      <xdr:row>27</xdr:row>
      <xdr:rowOff>85725</xdr:rowOff>
    </xdr:to>
    <xdr:sp macro="" textlink="">
      <xdr:nvSpPr>
        <xdr:cNvPr id="9" name="RPM5">
          <a:extLst>
            <a:ext uri="{FF2B5EF4-FFF2-40B4-BE49-F238E27FC236}">
              <a16:creationId xmlns:a16="http://schemas.microsoft.com/office/drawing/2014/main" id="{00000000-0008-0000-0800-000009000000}"/>
            </a:ext>
          </a:extLst>
        </xdr:cNvPr>
        <xdr:cNvSpPr txBox="1">
          <a:spLocks noChangeArrowheads="1"/>
        </xdr:cNvSpPr>
      </xdr:nvSpPr>
      <xdr:spPr bwMode="auto">
        <a:xfrm>
          <a:off x="609600" y="6385560"/>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3540</a:t>
          </a:r>
        </a:p>
      </xdr:txBody>
    </xdr:sp>
    <xdr:clientData/>
  </xdr:twoCellAnchor>
  <xdr:twoCellAnchor>
    <xdr:from>
      <xdr:col>0</xdr:col>
      <xdr:colOff>600075</xdr:colOff>
      <xdr:row>28</xdr:row>
      <xdr:rowOff>85725</xdr:rowOff>
    </xdr:from>
    <xdr:to>
      <xdr:col>0</xdr:col>
      <xdr:colOff>1076325</xdr:colOff>
      <xdr:row>29</xdr:row>
      <xdr:rowOff>19050</xdr:rowOff>
    </xdr:to>
    <xdr:sp macro="" textlink="">
      <xdr:nvSpPr>
        <xdr:cNvPr id="10" name="RPM4">
          <a:extLst>
            <a:ext uri="{FF2B5EF4-FFF2-40B4-BE49-F238E27FC236}">
              <a16:creationId xmlns:a16="http://schemas.microsoft.com/office/drawing/2014/main" id="{00000000-0008-0000-0800-00000A000000}"/>
            </a:ext>
          </a:extLst>
        </xdr:cNvPr>
        <xdr:cNvSpPr txBox="1">
          <a:spLocks noChangeArrowheads="1"/>
        </xdr:cNvSpPr>
      </xdr:nvSpPr>
      <xdr:spPr bwMode="auto">
        <a:xfrm>
          <a:off x="600075" y="6791325"/>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3530</a:t>
          </a:r>
        </a:p>
      </xdr:txBody>
    </xdr:sp>
    <xdr:clientData/>
  </xdr:twoCellAnchor>
  <xdr:twoCellAnchor>
    <xdr:from>
      <xdr:col>0</xdr:col>
      <xdr:colOff>600075</xdr:colOff>
      <xdr:row>30</xdr:row>
      <xdr:rowOff>28575</xdr:rowOff>
    </xdr:from>
    <xdr:to>
      <xdr:col>0</xdr:col>
      <xdr:colOff>1076325</xdr:colOff>
      <xdr:row>30</xdr:row>
      <xdr:rowOff>200025</xdr:rowOff>
    </xdr:to>
    <xdr:sp macro="" textlink="">
      <xdr:nvSpPr>
        <xdr:cNvPr id="11" name="RPM3">
          <a:extLst>
            <a:ext uri="{FF2B5EF4-FFF2-40B4-BE49-F238E27FC236}">
              <a16:creationId xmlns:a16="http://schemas.microsoft.com/office/drawing/2014/main" id="{00000000-0008-0000-0800-00000B000000}"/>
            </a:ext>
          </a:extLst>
        </xdr:cNvPr>
        <xdr:cNvSpPr txBox="1">
          <a:spLocks noChangeArrowheads="1"/>
        </xdr:cNvSpPr>
      </xdr:nvSpPr>
      <xdr:spPr bwMode="auto">
        <a:xfrm>
          <a:off x="600075" y="7206615"/>
          <a:ext cx="476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3520</a:t>
          </a:r>
        </a:p>
      </xdr:txBody>
    </xdr:sp>
    <xdr:clientData/>
  </xdr:twoCellAnchor>
  <xdr:twoCellAnchor>
    <xdr:from>
      <xdr:col>0</xdr:col>
      <xdr:colOff>600075</xdr:colOff>
      <xdr:row>31</xdr:row>
      <xdr:rowOff>200025</xdr:rowOff>
    </xdr:from>
    <xdr:to>
      <xdr:col>0</xdr:col>
      <xdr:colOff>1076325</xdr:colOff>
      <xdr:row>32</xdr:row>
      <xdr:rowOff>133350</xdr:rowOff>
    </xdr:to>
    <xdr:sp macro="" textlink="">
      <xdr:nvSpPr>
        <xdr:cNvPr id="12" name="RPM2">
          <a:extLst>
            <a:ext uri="{FF2B5EF4-FFF2-40B4-BE49-F238E27FC236}">
              <a16:creationId xmlns:a16="http://schemas.microsoft.com/office/drawing/2014/main" id="{00000000-0008-0000-0800-00000C000000}"/>
            </a:ext>
          </a:extLst>
        </xdr:cNvPr>
        <xdr:cNvSpPr txBox="1">
          <a:spLocks noChangeArrowheads="1"/>
        </xdr:cNvSpPr>
      </xdr:nvSpPr>
      <xdr:spPr bwMode="auto">
        <a:xfrm>
          <a:off x="600075" y="7614285"/>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3510</a:t>
          </a:r>
        </a:p>
      </xdr:txBody>
    </xdr:sp>
    <xdr:clientData/>
  </xdr:twoCellAnchor>
  <xdr:twoCellAnchor>
    <xdr:from>
      <xdr:col>0</xdr:col>
      <xdr:colOff>609600</xdr:colOff>
      <xdr:row>33</xdr:row>
      <xdr:rowOff>133350</xdr:rowOff>
    </xdr:from>
    <xdr:to>
      <xdr:col>0</xdr:col>
      <xdr:colOff>1085850</xdr:colOff>
      <xdr:row>34</xdr:row>
      <xdr:rowOff>66675</xdr:rowOff>
    </xdr:to>
    <xdr:sp macro="" textlink="">
      <xdr:nvSpPr>
        <xdr:cNvPr id="13" name="RPM1">
          <a:extLst>
            <a:ext uri="{FF2B5EF4-FFF2-40B4-BE49-F238E27FC236}">
              <a16:creationId xmlns:a16="http://schemas.microsoft.com/office/drawing/2014/main" id="{00000000-0008-0000-0800-00000D000000}"/>
            </a:ext>
          </a:extLst>
        </xdr:cNvPr>
        <xdr:cNvSpPr txBox="1">
          <a:spLocks noChangeArrowheads="1"/>
        </xdr:cNvSpPr>
      </xdr:nvSpPr>
      <xdr:spPr bwMode="auto">
        <a:xfrm>
          <a:off x="609600" y="8020050"/>
          <a:ext cx="476250" cy="16954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3500</a:t>
          </a:r>
        </a:p>
      </xdr:txBody>
    </xdr:sp>
    <xdr:clientData/>
  </xdr:twoCellAnchor>
  <xdr:twoCellAnchor>
    <xdr:from>
      <xdr:col>0</xdr:col>
      <xdr:colOff>390525</xdr:colOff>
      <xdr:row>24</xdr:row>
      <xdr:rowOff>104775</xdr:rowOff>
    </xdr:from>
    <xdr:to>
      <xdr:col>0</xdr:col>
      <xdr:colOff>600075</xdr:colOff>
      <xdr:row>26</xdr:row>
      <xdr:rowOff>209550</xdr:rowOff>
    </xdr:to>
    <xdr:sp macro="" textlink="">
      <xdr:nvSpPr>
        <xdr:cNvPr id="14" name="RPM">
          <a:extLst>
            <a:ext uri="{FF2B5EF4-FFF2-40B4-BE49-F238E27FC236}">
              <a16:creationId xmlns:a16="http://schemas.microsoft.com/office/drawing/2014/main" id="{00000000-0008-0000-0800-00000E000000}"/>
            </a:ext>
          </a:extLst>
        </xdr:cNvPr>
        <xdr:cNvSpPr txBox="1">
          <a:spLocks noChangeArrowheads="1"/>
        </xdr:cNvSpPr>
      </xdr:nvSpPr>
      <xdr:spPr bwMode="auto">
        <a:xfrm>
          <a:off x="390525" y="5865495"/>
          <a:ext cx="209550" cy="57721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57150</xdr:rowOff>
    </xdr:from>
    <xdr:to>
      <xdr:col>5</xdr:col>
      <xdr:colOff>819150</xdr:colOff>
      <xdr:row>17</xdr:row>
      <xdr:rowOff>38100</xdr:rowOff>
    </xdr:to>
    <xdr:sp macro="" textlink="">
      <xdr:nvSpPr>
        <xdr:cNvPr id="15" name="Watts11">
          <a:extLst>
            <a:ext uri="{FF2B5EF4-FFF2-40B4-BE49-F238E27FC236}">
              <a16:creationId xmlns:a16="http://schemas.microsoft.com/office/drawing/2014/main" id="{00000000-0008-0000-0800-00000F000000}"/>
            </a:ext>
          </a:extLst>
        </xdr:cNvPr>
        <xdr:cNvSpPr txBox="1">
          <a:spLocks noChangeArrowheads="1"/>
        </xdr:cNvSpPr>
      </xdr:nvSpPr>
      <xdr:spPr bwMode="auto">
        <a:xfrm>
          <a:off x="6067424" y="3928110"/>
          <a:ext cx="466726" cy="21717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1400</a:t>
          </a:r>
        </a:p>
      </xdr:txBody>
    </xdr:sp>
    <xdr:clientData/>
  </xdr:twoCellAnchor>
  <xdr:twoCellAnchor>
    <xdr:from>
      <xdr:col>5</xdr:col>
      <xdr:colOff>381000</xdr:colOff>
      <xdr:row>25</xdr:row>
      <xdr:rowOff>0</xdr:rowOff>
    </xdr:from>
    <xdr:to>
      <xdr:col>5</xdr:col>
      <xdr:colOff>851209</xdr:colOff>
      <xdr:row>25</xdr:row>
      <xdr:rowOff>200025</xdr:rowOff>
    </xdr:to>
    <xdr:sp macro="" textlink="">
      <xdr:nvSpPr>
        <xdr:cNvPr id="16" name="Watts6">
          <a:extLst>
            <a:ext uri="{FF2B5EF4-FFF2-40B4-BE49-F238E27FC236}">
              <a16:creationId xmlns:a16="http://schemas.microsoft.com/office/drawing/2014/main" id="{00000000-0008-0000-0800-000010000000}"/>
            </a:ext>
          </a:extLst>
        </xdr:cNvPr>
        <xdr:cNvSpPr txBox="1">
          <a:spLocks noChangeArrowheads="1"/>
        </xdr:cNvSpPr>
      </xdr:nvSpPr>
      <xdr:spPr bwMode="auto">
        <a:xfrm>
          <a:off x="6096000" y="5996940"/>
          <a:ext cx="47020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700</a:t>
          </a:r>
        </a:p>
      </xdr:txBody>
    </xdr:sp>
    <xdr:clientData/>
  </xdr:twoCellAnchor>
  <xdr:twoCellAnchor>
    <xdr:from>
      <xdr:col>5</xdr:col>
      <xdr:colOff>371474</xdr:colOff>
      <xdr:row>26</xdr:row>
      <xdr:rowOff>180975</xdr:rowOff>
    </xdr:from>
    <xdr:to>
      <xdr:col>5</xdr:col>
      <xdr:colOff>788250</xdr:colOff>
      <xdr:row>27</xdr:row>
      <xdr:rowOff>133350</xdr:rowOff>
    </xdr:to>
    <xdr:sp macro="" textlink="">
      <xdr:nvSpPr>
        <xdr:cNvPr id="17" name="Watts5">
          <a:extLst>
            <a:ext uri="{FF2B5EF4-FFF2-40B4-BE49-F238E27FC236}">
              <a16:creationId xmlns:a16="http://schemas.microsoft.com/office/drawing/2014/main" id="{00000000-0008-0000-0800-000011000000}"/>
            </a:ext>
          </a:extLst>
        </xdr:cNvPr>
        <xdr:cNvSpPr txBox="1">
          <a:spLocks noChangeArrowheads="1"/>
        </xdr:cNvSpPr>
      </xdr:nvSpPr>
      <xdr:spPr bwMode="auto">
        <a:xfrm>
          <a:off x="6086474" y="6414135"/>
          <a:ext cx="416776" cy="1885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560</a:t>
          </a:r>
        </a:p>
      </xdr:txBody>
    </xdr:sp>
    <xdr:clientData/>
  </xdr:twoCellAnchor>
  <xdr:twoCellAnchor>
    <xdr:from>
      <xdr:col>5</xdr:col>
      <xdr:colOff>380999</xdr:colOff>
      <xdr:row>28</xdr:row>
      <xdr:rowOff>114300</xdr:rowOff>
    </xdr:from>
    <xdr:to>
      <xdr:col>5</xdr:col>
      <xdr:colOff>797775</xdr:colOff>
      <xdr:row>29</xdr:row>
      <xdr:rowOff>66675</xdr:rowOff>
    </xdr:to>
    <xdr:sp macro="" textlink="">
      <xdr:nvSpPr>
        <xdr:cNvPr id="18" name="Watts4">
          <a:extLst>
            <a:ext uri="{FF2B5EF4-FFF2-40B4-BE49-F238E27FC236}">
              <a16:creationId xmlns:a16="http://schemas.microsoft.com/office/drawing/2014/main" id="{00000000-0008-0000-0800-000012000000}"/>
            </a:ext>
          </a:extLst>
        </xdr:cNvPr>
        <xdr:cNvSpPr txBox="1">
          <a:spLocks noChangeArrowheads="1"/>
        </xdr:cNvSpPr>
      </xdr:nvSpPr>
      <xdr:spPr bwMode="auto">
        <a:xfrm>
          <a:off x="6095999" y="6819900"/>
          <a:ext cx="416776" cy="1885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420</a:t>
          </a:r>
        </a:p>
      </xdr:txBody>
    </xdr:sp>
    <xdr:clientData/>
  </xdr:twoCellAnchor>
  <xdr:twoCellAnchor>
    <xdr:from>
      <xdr:col>5</xdr:col>
      <xdr:colOff>371474</xdr:colOff>
      <xdr:row>30</xdr:row>
      <xdr:rowOff>38100</xdr:rowOff>
    </xdr:from>
    <xdr:to>
      <xdr:col>5</xdr:col>
      <xdr:colOff>788250</xdr:colOff>
      <xdr:row>30</xdr:row>
      <xdr:rowOff>228600</xdr:rowOff>
    </xdr:to>
    <xdr:sp macro="" textlink="">
      <xdr:nvSpPr>
        <xdr:cNvPr id="19" name="Watts3">
          <a:extLst>
            <a:ext uri="{FF2B5EF4-FFF2-40B4-BE49-F238E27FC236}">
              <a16:creationId xmlns:a16="http://schemas.microsoft.com/office/drawing/2014/main" id="{00000000-0008-0000-0800-000013000000}"/>
            </a:ext>
          </a:extLst>
        </xdr:cNvPr>
        <xdr:cNvSpPr txBox="1">
          <a:spLocks noChangeArrowheads="1"/>
        </xdr:cNvSpPr>
      </xdr:nvSpPr>
      <xdr:spPr bwMode="auto">
        <a:xfrm>
          <a:off x="6086474" y="7216140"/>
          <a:ext cx="416776"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280</a:t>
          </a:r>
        </a:p>
      </xdr:txBody>
    </xdr:sp>
    <xdr:clientData/>
  </xdr:twoCellAnchor>
  <xdr:twoCellAnchor>
    <xdr:from>
      <xdr:col>5</xdr:col>
      <xdr:colOff>371474</xdr:colOff>
      <xdr:row>31</xdr:row>
      <xdr:rowOff>219075</xdr:rowOff>
    </xdr:from>
    <xdr:to>
      <xdr:col>5</xdr:col>
      <xdr:colOff>788250</xdr:colOff>
      <xdr:row>32</xdr:row>
      <xdr:rowOff>171450</xdr:rowOff>
    </xdr:to>
    <xdr:sp macro="" textlink="">
      <xdr:nvSpPr>
        <xdr:cNvPr id="20" name="Watts2">
          <a:extLst>
            <a:ext uri="{FF2B5EF4-FFF2-40B4-BE49-F238E27FC236}">
              <a16:creationId xmlns:a16="http://schemas.microsoft.com/office/drawing/2014/main" id="{00000000-0008-0000-0800-000014000000}"/>
            </a:ext>
          </a:extLst>
        </xdr:cNvPr>
        <xdr:cNvSpPr txBox="1">
          <a:spLocks noChangeArrowheads="1"/>
        </xdr:cNvSpPr>
      </xdr:nvSpPr>
      <xdr:spPr bwMode="auto">
        <a:xfrm>
          <a:off x="6086474" y="7633335"/>
          <a:ext cx="416776" cy="1885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140</a:t>
          </a:r>
        </a:p>
      </xdr:txBody>
    </xdr:sp>
    <xdr:clientData/>
  </xdr:twoCellAnchor>
  <xdr:twoCellAnchor>
    <xdr:from>
      <xdr:col>5</xdr:col>
      <xdr:colOff>733425</xdr:colOff>
      <xdr:row>23</xdr:row>
      <xdr:rowOff>9525</xdr:rowOff>
    </xdr:from>
    <xdr:to>
      <xdr:col>5</xdr:col>
      <xdr:colOff>952500</xdr:colOff>
      <xdr:row>28</xdr:row>
      <xdr:rowOff>142875</xdr:rowOff>
    </xdr:to>
    <xdr:sp macro="" textlink="">
      <xdr:nvSpPr>
        <xdr:cNvPr id="21" name="Input Watts">
          <a:extLst>
            <a:ext uri="{FF2B5EF4-FFF2-40B4-BE49-F238E27FC236}">
              <a16:creationId xmlns:a16="http://schemas.microsoft.com/office/drawing/2014/main" id="{00000000-0008-0000-0800-000015000000}"/>
            </a:ext>
          </a:extLst>
        </xdr:cNvPr>
        <xdr:cNvSpPr txBox="1">
          <a:spLocks noChangeArrowheads="1"/>
        </xdr:cNvSpPr>
      </xdr:nvSpPr>
      <xdr:spPr bwMode="auto">
        <a:xfrm>
          <a:off x="6448425" y="5534025"/>
          <a:ext cx="219075" cy="1314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66675</xdr:rowOff>
    </xdr:from>
    <xdr:to>
      <xdr:col>5</xdr:col>
      <xdr:colOff>788250</xdr:colOff>
      <xdr:row>24</xdr:row>
      <xdr:rowOff>19050</xdr:rowOff>
    </xdr:to>
    <xdr:sp macro="" textlink="">
      <xdr:nvSpPr>
        <xdr:cNvPr id="22" name="Watts7">
          <a:extLst>
            <a:ext uri="{FF2B5EF4-FFF2-40B4-BE49-F238E27FC236}">
              <a16:creationId xmlns:a16="http://schemas.microsoft.com/office/drawing/2014/main" id="{00000000-0008-0000-0800-000016000000}"/>
            </a:ext>
          </a:extLst>
        </xdr:cNvPr>
        <xdr:cNvSpPr txBox="1">
          <a:spLocks noChangeArrowheads="1"/>
        </xdr:cNvSpPr>
      </xdr:nvSpPr>
      <xdr:spPr bwMode="auto">
        <a:xfrm>
          <a:off x="6086474" y="5591175"/>
          <a:ext cx="416776" cy="1885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840</a:t>
          </a:r>
        </a:p>
      </xdr:txBody>
    </xdr:sp>
    <xdr:clientData/>
  </xdr:twoCellAnchor>
  <xdr:twoCellAnchor>
    <xdr:from>
      <xdr:col>5</xdr:col>
      <xdr:colOff>371474</xdr:colOff>
      <xdr:row>21</xdr:row>
      <xdr:rowOff>133350</xdr:rowOff>
    </xdr:from>
    <xdr:to>
      <xdr:col>5</xdr:col>
      <xdr:colOff>788250</xdr:colOff>
      <xdr:row>22</xdr:row>
      <xdr:rowOff>85725</xdr:rowOff>
    </xdr:to>
    <xdr:sp macro="" textlink="">
      <xdr:nvSpPr>
        <xdr:cNvPr id="23" name="Watts8">
          <a:extLst>
            <a:ext uri="{FF2B5EF4-FFF2-40B4-BE49-F238E27FC236}">
              <a16:creationId xmlns:a16="http://schemas.microsoft.com/office/drawing/2014/main" id="{00000000-0008-0000-0800-000017000000}"/>
            </a:ext>
          </a:extLst>
        </xdr:cNvPr>
        <xdr:cNvSpPr txBox="1">
          <a:spLocks noChangeArrowheads="1"/>
        </xdr:cNvSpPr>
      </xdr:nvSpPr>
      <xdr:spPr bwMode="auto">
        <a:xfrm>
          <a:off x="6086474" y="5185410"/>
          <a:ext cx="416776" cy="1885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980</a:t>
          </a:r>
        </a:p>
      </xdr:txBody>
    </xdr:sp>
    <xdr:clientData/>
  </xdr:twoCellAnchor>
  <xdr:twoCellAnchor>
    <xdr:from>
      <xdr:col>5</xdr:col>
      <xdr:colOff>361949</xdr:colOff>
      <xdr:row>19</xdr:row>
      <xdr:rowOff>171450</xdr:rowOff>
    </xdr:from>
    <xdr:to>
      <xdr:col>5</xdr:col>
      <xdr:colOff>828675</xdr:colOff>
      <xdr:row>20</xdr:row>
      <xdr:rowOff>152400</xdr:rowOff>
    </xdr:to>
    <xdr:sp macro="" textlink="">
      <xdr:nvSpPr>
        <xdr:cNvPr id="24" name="Watts9">
          <a:extLst>
            <a:ext uri="{FF2B5EF4-FFF2-40B4-BE49-F238E27FC236}">
              <a16:creationId xmlns:a16="http://schemas.microsoft.com/office/drawing/2014/main" id="{00000000-0008-0000-0800-000018000000}"/>
            </a:ext>
          </a:extLst>
        </xdr:cNvPr>
        <xdr:cNvSpPr txBox="1">
          <a:spLocks noChangeArrowheads="1"/>
        </xdr:cNvSpPr>
      </xdr:nvSpPr>
      <xdr:spPr bwMode="auto">
        <a:xfrm>
          <a:off x="6076949" y="4751070"/>
          <a:ext cx="466726" cy="21717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1120</a:t>
          </a:r>
        </a:p>
      </xdr:txBody>
    </xdr:sp>
    <xdr:clientData/>
  </xdr:twoCellAnchor>
  <xdr:twoCellAnchor>
    <xdr:from>
      <xdr:col>5</xdr:col>
      <xdr:colOff>361949</xdr:colOff>
      <xdr:row>18</xdr:row>
      <xdr:rowOff>0</xdr:rowOff>
    </xdr:from>
    <xdr:to>
      <xdr:col>5</xdr:col>
      <xdr:colOff>828675</xdr:colOff>
      <xdr:row>18</xdr:row>
      <xdr:rowOff>219075</xdr:rowOff>
    </xdr:to>
    <xdr:sp macro="" textlink="">
      <xdr:nvSpPr>
        <xdr:cNvPr id="25" name="Watts10">
          <a:extLst>
            <a:ext uri="{FF2B5EF4-FFF2-40B4-BE49-F238E27FC236}">
              <a16:creationId xmlns:a16="http://schemas.microsoft.com/office/drawing/2014/main" id="{00000000-0008-0000-0800-000019000000}"/>
            </a:ext>
          </a:extLst>
        </xdr:cNvPr>
        <xdr:cNvSpPr txBox="1">
          <a:spLocks noChangeArrowheads="1"/>
        </xdr:cNvSpPr>
      </xdr:nvSpPr>
      <xdr:spPr bwMode="auto">
        <a:xfrm>
          <a:off x="6076949" y="4343400"/>
          <a:ext cx="466726"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1260</a:t>
          </a:r>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00000000-0008-0000-0800-00001A000000}"/>
            </a:ext>
          </a:extLst>
        </xdr:cNvPr>
        <xdr:cNvSpPr txBox="1">
          <a:spLocks noChangeArrowheads="1"/>
        </xdr:cNvSpPr>
      </xdr:nvSpPr>
      <xdr:spPr bwMode="auto">
        <a:xfrm>
          <a:off x="3143250" y="4126230"/>
          <a:ext cx="371475"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904875</xdr:colOff>
      <xdr:row>19</xdr:row>
      <xdr:rowOff>133350</xdr:rowOff>
    </xdr:from>
    <xdr:to>
      <xdr:col>4</xdr:col>
      <xdr:colOff>123825</xdr:colOff>
      <xdr:row>20</xdr:row>
      <xdr:rowOff>66675</xdr:rowOff>
    </xdr:to>
    <xdr:sp macro="" textlink="" fLocksText="0">
      <xdr:nvSpPr>
        <xdr:cNvPr id="27" name="Text Box 27">
          <a:extLst>
            <a:ext uri="{FF2B5EF4-FFF2-40B4-BE49-F238E27FC236}">
              <a16:creationId xmlns:a16="http://schemas.microsoft.com/office/drawing/2014/main" id="{00000000-0008-0000-0800-00001B000000}"/>
            </a:ext>
          </a:extLst>
        </xdr:cNvPr>
        <xdr:cNvSpPr txBox="1">
          <a:spLocks noChangeArrowheads="1"/>
        </xdr:cNvSpPr>
      </xdr:nvSpPr>
      <xdr:spPr bwMode="auto">
        <a:xfrm>
          <a:off x="4333875" y="4712970"/>
          <a:ext cx="361950" cy="1695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3</xdr:col>
      <xdr:colOff>99060</xdr:colOff>
      <xdr:row>21</xdr:row>
      <xdr:rowOff>190500</xdr:rowOff>
    </xdr:from>
    <xdr:to>
      <xdr:col>3</xdr:col>
      <xdr:colOff>441960</xdr:colOff>
      <xdr:row>22</xdr:row>
      <xdr:rowOff>97155</xdr:rowOff>
    </xdr:to>
    <xdr:sp macro="" textlink="" fLocksText="0">
      <xdr:nvSpPr>
        <xdr:cNvPr id="28" name="Speed">
          <a:extLst>
            <a:ext uri="{FF2B5EF4-FFF2-40B4-BE49-F238E27FC236}">
              <a16:creationId xmlns:a16="http://schemas.microsoft.com/office/drawing/2014/main" id="{00000000-0008-0000-0800-00001C000000}"/>
            </a:ext>
          </a:extLst>
        </xdr:cNvPr>
        <xdr:cNvSpPr txBox="1">
          <a:spLocks noChangeArrowheads="1"/>
        </xdr:cNvSpPr>
      </xdr:nvSpPr>
      <xdr:spPr bwMode="auto">
        <a:xfrm>
          <a:off x="3528060" y="524256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1076325</xdr:colOff>
      <xdr:row>29</xdr:row>
      <xdr:rowOff>200025</xdr:rowOff>
    </xdr:from>
    <xdr:to>
      <xdr:col>2</xdr:col>
      <xdr:colOff>400050</xdr:colOff>
      <xdr:row>30</xdr:row>
      <xdr:rowOff>114300</xdr:rowOff>
    </xdr:to>
    <xdr:sp macro="" textlink="" fLocksText="0">
      <xdr:nvSpPr>
        <xdr:cNvPr id="29" name="Amps">
          <a:extLst>
            <a:ext uri="{FF2B5EF4-FFF2-40B4-BE49-F238E27FC236}">
              <a16:creationId xmlns:a16="http://schemas.microsoft.com/office/drawing/2014/main" id="{00000000-0008-0000-0800-00001D000000}"/>
            </a:ext>
          </a:extLst>
        </xdr:cNvPr>
        <xdr:cNvSpPr txBox="1">
          <a:spLocks noChangeArrowheads="1"/>
        </xdr:cNvSpPr>
      </xdr:nvSpPr>
      <xdr:spPr bwMode="auto">
        <a:xfrm>
          <a:off x="2219325" y="7141845"/>
          <a:ext cx="466725" cy="1504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504825</xdr:colOff>
      <xdr:row>31</xdr:row>
      <xdr:rowOff>161925</xdr:rowOff>
    </xdr:from>
    <xdr:to>
      <xdr:col>2</xdr:col>
      <xdr:colOff>1009650</xdr:colOff>
      <xdr:row>32</xdr:row>
      <xdr:rowOff>76200</xdr:rowOff>
    </xdr:to>
    <xdr:sp macro="" textlink="" fLocksText="0">
      <xdr:nvSpPr>
        <xdr:cNvPr id="30" name="Watts">
          <a:extLst>
            <a:ext uri="{FF2B5EF4-FFF2-40B4-BE49-F238E27FC236}">
              <a16:creationId xmlns:a16="http://schemas.microsoft.com/office/drawing/2014/main" id="{00000000-0008-0000-0800-00001E000000}"/>
            </a:ext>
          </a:extLst>
        </xdr:cNvPr>
        <xdr:cNvSpPr txBox="1">
          <a:spLocks noChangeArrowheads="1"/>
        </xdr:cNvSpPr>
      </xdr:nvSpPr>
      <xdr:spPr bwMode="auto">
        <a:xfrm>
          <a:off x="2790825" y="7576185"/>
          <a:ext cx="504825" cy="1504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361949</xdr:colOff>
      <xdr:row>33</xdr:row>
      <xdr:rowOff>142875</xdr:rowOff>
    </xdr:from>
    <xdr:to>
      <xdr:col>5</xdr:col>
      <xdr:colOff>800098</xdr:colOff>
      <xdr:row>34</xdr:row>
      <xdr:rowOff>104775</xdr:rowOff>
    </xdr:to>
    <xdr:sp macro="" textlink="">
      <xdr:nvSpPr>
        <xdr:cNvPr id="31" name="Watts1">
          <a:extLst>
            <a:ext uri="{FF2B5EF4-FFF2-40B4-BE49-F238E27FC236}">
              <a16:creationId xmlns:a16="http://schemas.microsoft.com/office/drawing/2014/main" id="{00000000-0008-0000-0800-00001F000000}"/>
            </a:ext>
          </a:extLst>
        </xdr:cNvPr>
        <xdr:cNvSpPr txBox="1">
          <a:spLocks noChangeArrowheads="1"/>
        </xdr:cNvSpPr>
      </xdr:nvSpPr>
      <xdr:spPr bwMode="auto">
        <a:xfrm>
          <a:off x="6076949" y="8029575"/>
          <a:ext cx="438149" cy="1981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71"/>
  <sheetViews>
    <sheetView topLeftCell="A13" zoomScale="95" workbookViewId="0"/>
  </sheetViews>
  <sheetFormatPr defaultRowHeight="12.75"/>
  <cols>
    <col min="1" max="6" width="9.19921875" style="1" customWidth="1"/>
    <col min="7" max="7" width="9.296875" style="1" customWidth="1"/>
    <col min="8" max="8" width="9.5" style="1" customWidth="1"/>
    <col min="9" max="10" width="9.19921875" style="1" customWidth="1"/>
    <col min="11" max="11" width="8.69921875" style="1"/>
    <col min="12" max="12" width="10.09765625" style="1" bestFit="1" customWidth="1"/>
    <col min="13" max="13" width="6.69921875" style="1" bestFit="1" customWidth="1"/>
    <col min="14" max="256" width="8.69921875" style="1"/>
    <col min="257" max="262" width="9.19921875" style="1" customWidth="1"/>
    <col min="263" max="263" width="9.296875" style="1" customWidth="1"/>
    <col min="264" max="264" width="9.5" style="1" customWidth="1"/>
    <col min="265" max="266" width="9.19921875" style="1" customWidth="1"/>
    <col min="267" max="267" width="8.69921875" style="1"/>
    <col min="268" max="268" width="10.09765625" style="1" bestFit="1" customWidth="1"/>
    <col min="269" max="269" width="6.69921875" style="1" bestFit="1" customWidth="1"/>
    <col min="270" max="512" width="8.69921875" style="1"/>
    <col min="513" max="518" width="9.19921875" style="1" customWidth="1"/>
    <col min="519" max="519" width="9.296875" style="1" customWidth="1"/>
    <col min="520" max="520" width="9.5" style="1" customWidth="1"/>
    <col min="521" max="522" width="9.19921875" style="1" customWidth="1"/>
    <col min="523" max="523" width="8.69921875" style="1"/>
    <col min="524" max="524" width="10.09765625" style="1" bestFit="1" customWidth="1"/>
    <col min="525" max="525" width="6.69921875" style="1" bestFit="1" customWidth="1"/>
    <col min="526" max="768" width="8.69921875" style="1"/>
    <col min="769" max="774" width="9.19921875" style="1" customWidth="1"/>
    <col min="775" max="775" width="9.296875" style="1" customWidth="1"/>
    <col min="776" max="776" width="9.5" style="1" customWidth="1"/>
    <col min="777" max="778" width="9.19921875" style="1" customWidth="1"/>
    <col min="779" max="779" width="8.69921875" style="1"/>
    <col min="780" max="780" width="10.09765625" style="1" bestFit="1" customWidth="1"/>
    <col min="781" max="781" width="6.69921875" style="1" bestFit="1" customWidth="1"/>
    <col min="782" max="1024" width="8.69921875" style="1"/>
    <col min="1025" max="1030" width="9.19921875" style="1" customWidth="1"/>
    <col min="1031" max="1031" width="9.296875" style="1" customWidth="1"/>
    <col min="1032" max="1032" width="9.5" style="1" customWidth="1"/>
    <col min="1033" max="1034" width="9.19921875" style="1" customWidth="1"/>
    <col min="1035" max="1035" width="8.69921875" style="1"/>
    <col min="1036" max="1036" width="10.09765625" style="1" bestFit="1" customWidth="1"/>
    <col min="1037" max="1037" width="6.69921875" style="1" bestFit="1" customWidth="1"/>
    <col min="1038" max="1280" width="8.69921875" style="1"/>
    <col min="1281" max="1286" width="9.19921875" style="1" customWidth="1"/>
    <col min="1287" max="1287" width="9.296875" style="1" customWidth="1"/>
    <col min="1288" max="1288" width="9.5" style="1" customWidth="1"/>
    <col min="1289" max="1290" width="9.19921875" style="1" customWidth="1"/>
    <col min="1291" max="1291" width="8.69921875" style="1"/>
    <col min="1292" max="1292" width="10.09765625" style="1" bestFit="1" customWidth="1"/>
    <col min="1293" max="1293" width="6.69921875" style="1" bestFit="1" customWidth="1"/>
    <col min="1294" max="1536" width="8.69921875" style="1"/>
    <col min="1537" max="1542" width="9.19921875" style="1" customWidth="1"/>
    <col min="1543" max="1543" width="9.296875" style="1" customWidth="1"/>
    <col min="1544" max="1544" width="9.5" style="1" customWidth="1"/>
    <col min="1545" max="1546" width="9.19921875" style="1" customWidth="1"/>
    <col min="1547" max="1547" width="8.69921875" style="1"/>
    <col min="1548" max="1548" width="10.09765625" style="1" bestFit="1" customWidth="1"/>
    <col min="1549" max="1549" width="6.69921875" style="1" bestFit="1" customWidth="1"/>
    <col min="1550" max="1792" width="8.69921875" style="1"/>
    <col min="1793" max="1798" width="9.19921875" style="1" customWidth="1"/>
    <col min="1799" max="1799" width="9.296875" style="1" customWidth="1"/>
    <col min="1800" max="1800" width="9.5" style="1" customWidth="1"/>
    <col min="1801" max="1802" width="9.19921875" style="1" customWidth="1"/>
    <col min="1803" max="1803" width="8.69921875" style="1"/>
    <col min="1804" max="1804" width="10.09765625" style="1" bestFit="1" customWidth="1"/>
    <col min="1805" max="1805" width="6.69921875" style="1" bestFit="1" customWidth="1"/>
    <col min="1806" max="2048" width="8.69921875" style="1"/>
    <col min="2049" max="2054" width="9.19921875" style="1" customWidth="1"/>
    <col min="2055" max="2055" width="9.296875" style="1" customWidth="1"/>
    <col min="2056" max="2056" width="9.5" style="1" customWidth="1"/>
    <col min="2057" max="2058" width="9.19921875" style="1" customWidth="1"/>
    <col min="2059" max="2059" width="8.69921875" style="1"/>
    <col min="2060" max="2060" width="10.09765625" style="1" bestFit="1" customWidth="1"/>
    <col min="2061" max="2061" width="6.69921875" style="1" bestFit="1" customWidth="1"/>
    <col min="2062" max="2304" width="8.69921875" style="1"/>
    <col min="2305" max="2310" width="9.19921875" style="1" customWidth="1"/>
    <col min="2311" max="2311" width="9.296875" style="1" customWidth="1"/>
    <col min="2312" max="2312" width="9.5" style="1" customWidth="1"/>
    <col min="2313" max="2314" width="9.19921875" style="1" customWidth="1"/>
    <col min="2315" max="2315" width="8.69921875" style="1"/>
    <col min="2316" max="2316" width="10.09765625" style="1" bestFit="1" customWidth="1"/>
    <col min="2317" max="2317" width="6.69921875" style="1" bestFit="1" customWidth="1"/>
    <col min="2318" max="2560" width="8.69921875" style="1"/>
    <col min="2561" max="2566" width="9.19921875" style="1" customWidth="1"/>
    <col min="2567" max="2567" width="9.296875" style="1" customWidth="1"/>
    <col min="2568" max="2568" width="9.5" style="1" customWidth="1"/>
    <col min="2569" max="2570" width="9.19921875" style="1" customWidth="1"/>
    <col min="2571" max="2571" width="8.69921875" style="1"/>
    <col min="2572" max="2572" width="10.09765625" style="1" bestFit="1" customWidth="1"/>
    <col min="2573" max="2573" width="6.69921875" style="1" bestFit="1" customWidth="1"/>
    <col min="2574" max="2816" width="8.69921875" style="1"/>
    <col min="2817" max="2822" width="9.19921875" style="1" customWidth="1"/>
    <col min="2823" max="2823" width="9.296875" style="1" customWidth="1"/>
    <col min="2824" max="2824" width="9.5" style="1" customWidth="1"/>
    <col min="2825" max="2826" width="9.19921875" style="1" customWidth="1"/>
    <col min="2827" max="2827" width="8.69921875" style="1"/>
    <col min="2828" max="2828" width="10.09765625" style="1" bestFit="1" customWidth="1"/>
    <col min="2829" max="2829" width="6.69921875" style="1" bestFit="1" customWidth="1"/>
    <col min="2830" max="3072" width="8.69921875" style="1"/>
    <col min="3073" max="3078" width="9.19921875" style="1" customWidth="1"/>
    <col min="3079" max="3079" width="9.296875" style="1" customWidth="1"/>
    <col min="3080" max="3080" width="9.5" style="1" customWidth="1"/>
    <col min="3081" max="3082" width="9.19921875" style="1" customWidth="1"/>
    <col min="3083" max="3083" width="8.69921875" style="1"/>
    <col min="3084" max="3084" width="10.09765625" style="1" bestFit="1" customWidth="1"/>
    <col min="3085" max="3085" width="6.69921875" style="1" bestFit="1" customWidth="1"/>
    <col min="3086" max="3328" width="8.69921875" style="1"/>
    <col min="3329" max="3334" width="9.19921875" style="1" customWidth="1"/>
    <col min="3335" max="3335" width="9.296875" style="1" customWidth="1"/>
    <col min="3336" max="3336" width="9.5" style="1" customWidth="1"/>
    <col min="3337" max="3338" width="9.19921875" style="1" customWidth="1"/>
    <col min="3339" max="3339" width="8.69921875" style="1"/>
    <col min="3340" max="3340" width="10.09765625" style="1" bestFit="1" customWidth="1"/>
    <col min="3341" max="3341" width="6.69921875" style="1" bestFit="1" customWidth="1"/>
    <col min="3342" max="3584" width="8.69921875" style="1"/>
    <col min="3585" max="3590" width="9.19921875" style="1" customWidth="1"/>
    <col min="3591" max="3591" width="9.296875" style="1" customWidth="1"/>
    <col min="3592" max="3592" width="9.5" style="1" customWidth="1"/>
    <col min="3593" max="3594" width="9.19921875" style="1" customWidth="1"/>
    <col min="3595" max="3595" width="8.69921875" style="1"/>
    <col min="3596" max="3596" width="10.09765625" style="1" bestFit="1" customWidth="1"/>
    <col min="3597" max="3597" width="6.69921875" style="1" bestFit="1" customWidth="1"/>
    <col min="3598" max="3840" width="8.69921875" style="1"/>
    <col min="3841" max="3846" width="9.19921875" style="1" customWidth="1"/>
    <col min="3847" max="3847" width="9.296875" style="1" customWidth="1"/>
    <col min="3848" max="3848" width="9.5" style="1" customWidth="1"/>
    <col min="3849" max="3850" width="9.19921875" style="1" customWidth="1"/>
    <col min="3851" max="3851" width="8.69921875" style="1"/>
    <col min="3852" max="3852" width="10.09765625" style="1" bestFit="1" customWidth="1"/>
    <col min="3853" max="3853" width="6.69921875" style="1" bestFit="1" customWidth="1"/>
    <col min="3854" max="4096" width="8.69921875" style="1"/>
    <col min="4097" max="4102" width="9.19921875" style="1" customWidth="1"/>
    <col min="4103" max="4103" width="9.296875" style="1" customWidth="1"/>
    <col min="4104" max="4104" width="9.5" style="1" customWidth="1"/>
    <col min="4105" max="4106" width="9.19921875" style="1" customWidth="1"/>
    <col min="4107" max="4107" width="8.69921875" style="1"/>
    <col min="4108" max="4108" width="10.09765625" style="1" bestFit="1" customWidth="1"/>
    <col min="4109" max="4109" width="6.69921875" style="1" bestFit="1" customWidth="1"/>
    <col min="4110" max="4352" width="8.69921875" style="1"/>
    <col min="4353" max="4358" width="9.19921875" style="1" customWidth="1"/>
    <col min="4359" max="4359" width="9.296875" style="1" customWidth="1"/>
    <col min="4360" max="4360" width="9.5" style="1" customWidth="1"/>
    <col min="4361" max="4362" width="9.19921875" style="1" customWidth="1"/>
    <col min="4363" max="4363" width="8.69921875" style="1"/>
    <col min="4364" max="4364" width="10.09765625" style="1" bestFit="1" customWidth="1"/>
    <col min="4365" max="4365" width="6.69921875" style="1" bestFit="1" customWidth="1"/>
    <col min="4366" max="4608" width="8.69921875" style="1"/>
    <col min="4609" max="4614" width="9.19921875" style="1" customWidth="1"/>
    <col min="4615" max="4615" width="9.296875" style="1" customWidth="1"/>
    <col min="4616" max="4616" width="9.5" style="1" customWidth="1"/>
    <col min="4617" max="4618" width="9.19921875" style="1" customWidth="1"/>
    <col min="4619" max="4619" width="8.69921875" style="1"/>
    <col min="4620" max="4620" width="10.09765625" style="1" bestFit="1" customWidth="1"/>
    <col min="4621" max="4621" width="6.69921875" style="1" bestFit="1" customWidth="1"/>
    <col min="4622" max="4864" width="8.69921875" style="1"/>
    <col min="4865" max="4870" width="9.19921875" style="1" customWidth="1"/>
    <col min="4871" max="4871" width="9.296875" style="1" customWidth="1"/>
    <col min="4872" max="4872" width="9.5" style="1" customWidth="1"/>
    <col min="4873" max="4874" width="9.19921875" style="1" customWidth="1"/>
    <col min="4875" max="4875" width="8.69921875" style="1"/>
    <col min="4876" max="4876" width="10.09765625" style="1" bestFit="1" customWidth="1"/>
    <col min="4877" max="4877" width="6.69921875" style="1" bestFit="1" customWidth="1"/>
    <col min="4878" max="5120" width="8.69921875" style="1"/>
    <col min="5121" max="5126" width="9.19921875" style="1" customWidth="1"/>
    <col min="5127" max="5127" width="9.296875" style="1" customWidth="1"/>
    <col min="5128" max="5128" width="9.5" style="1" customWidth="1"/>
    <col min="5129" max="5130" width="9.19921875" style="1" customWidth="1"/>
    <col min="5131" max="5131" width="8.69921875" style="1"/>
    <col min="5132" max="5132" width="10.09765625" style="1" bestFit="1" customWidth="1"/>
    <col min="5133" max="5133" width="6.69921875" style="1" bestFit="1" customWidth="1"/>
    <col min="5134" max="5376" width="8.69921875" style="1"/>
    <col min="5377" max="5382" width="9.19921875" style="1" customWidth="1"/>
    <col min="5383" max="5383" width="9.296875" style="1" customWidth="1"/>
    <col min="5384" max="5384" width="9.5" style="1" customWidth="1"/>
    <col min="5385" max="5386" width="9.19921875" style="1" customWidth="1"/>
    <col min="5387" max="5387" width="8.69921875" style="1"/>
    <col min="5388" max="5388" width="10.09765625" style="1" bestFit="1" customWidth="1"/>
    <col min="5389" max="5389" width="6.69921875" style="1" bestFit="1" customWidth="1"/>
    <col min="5390" max="5632" width="8.69921875" style="1"/>
    <col min="5633" max="5638" width="9.19921875" style="1" customWidth="1"/>
    <col min="5639" max="5639" width="9.296875" style="1" customWidth="1"/>
    <col min="5640" max="5640" width="9.5" style="1" customWidth="1"/>
    <col min="5641" max="5642" width="9.19921875" style="1" customWidth="1"/>
    <col min="5643" max="5643" width="8.69921875" style="1"/>
    <col min="5644" max="5644" width="10.09765625" style="1" bestFit="1" customWidth="1"/>
    <col min="5645" max="5645" width="6.69921875" style="1" bestFit="1" customWidth="1"/>
    <col min="5646" max="5888" width="8.69921875" style="1"/>
    <col min="5889" max="5894" width="9.19921875" style="1" customWidth="1"/>
    <col min="5895" max="5895" width="9.296875" style="1" customWidth="1"/>
    <col min="5896" max="5896" width="9.5" style="1" customWidth="1"/>
    <col min="5897" max="5898" width="9.19921875" style="1" customWidth="1"/>
    <col min="5899" max="5899" width="8.69921875" style="1"/>
    <col min="5900" max="5900" width="10.09765625" style="1" bestFit="1" customWidth="1"/>
    <col min="5901" max="5901" width="6.69921875" style="1" bestFit="1" customWidth="1"/>
    <col min="5902" max="6144" width="8.69921875" style="1"/>
    <col min="6145" max="6150" width="9.19921875" style="1" customWidth="1"/>
    <col min="6151" max="6151" width="9.296875" style="1" customWidth="1"/>
    <col min="6152" max="6152" width="9.5" style="1" customWidth="1"/>
    <col min="6153" max="6154" width="9.19921875" style="1" customWidth="1"/>
    <col min="6155" max="6155" width="8.69921875" style="1"/>
    <col min="6156" max="6156" width="10.09765625" style="1" bestFit="1" customWidth="1"/>
    <col min="6157" max="6157" width="6.69921875" style="1" bestFit="1" customWidth="1"/>
    <col min="6158" max="6400" width="8.69921875" style="1"/>
    <col min="6401" max="6406" width="9.19921875" style="1" customWidth="1"/>
    <col min="6407" max="6407" width="9.296875" style="1" customWidth="1"/>
    <col min="6408" max="6408" width="9.5" style="1" customWidth="1"/>
    <col min="6409" max="6410" width="9.19921875" style="1" customWidth="1"/>
    <col min="6411" max="6411" width="8.69921875" style="1"/>
    <col min="6412" max="6412" width="10.09765625" style="1" bestFit="1" customWidth="1"/>
    <col min="6413" max="6413" width="6.69921875" style="1" bestFit="1" customWidth="1"/>
    <col min="6414" max="6656" width="8.69921875" style="1"/>
    <col min="6657" max="6662" width="9.19921875" style="1" customWidth="1"/>
    <col min="6663" max="6663" width="9.296875" style="1" customWidth="1"/>
    <col min="6664" max="6664" width="9.5" style="1" customWidth="1"/>
    <col min="6665" max="6666" width="9.19921875" style="1" customWidth="1"/>
    <col min="6667" max="6667" width="8.69921875" style="1"/>
    <col min="6668" max="6668" width="10.09765625" style="1" bestFit="1" customWidth="1"/>
    <col min="6669" max="6669" width="6.69921875" style="1" bestFit="1" customWidth="1"/>
    <col min="6670" max="6912" width="8.69921875" style="1"/>
    <col min="6913" max="6918" width="9.19921875" style="1" customWidth="1"/>
    <col min="6919" max="6919" width="9.296875" style="1" customWidth="1"/>
    <col min="6920" max="6920" width="9.5" style="1" customWidth="1"/>
    <col min="6921" max="6922" width="9.19921875" style="1" customWidth="1"/>
    <col min="6923" max="6923" width="8.69921875" style="1"/>
    <col min="6924" max="6924" width="10.09765625" style="1" bestFit="1" customWidth="1"/>
    <col min="6925" max="6925" width="6.69921875" style="1" bestFit="1" customWidth="1"/>
    <col min="6926" max="7168" width="8.69921875" style="1"/>
    <col min="7169" max="7174" width="9.19921875" style="1" customWidth="1"/>
    <col min="7175" max="7175" width="9.296875" style="1" customWidth="1"/>
    <col min="7176" max="7176" width="9.5" style="1" customWidth="1"/>
    <col min="7177" max="7178" width="9.19921875" style="1" customWidth="1"/>
    <col min="7179" max="7179" width="8.69921875" style="1"/>
    <col min="7180" max="7180" width="10.09765625" style="1" bestFit="1" customWidth="1"/>
    <col min="7181" max="7181" width="6.69921875" style="1" bestFit="1" customWidth="1"/>
    <col min="7182" max="7424" width="8.69921875" style="1"/>
    <col min="7425" max="7430" width="9.19921875" style="1" customWidth="1"/>
    <col min="7431" max="7431" width="9.296875" style="1" customWidth="1"/>
    <col min="7432" max="7432" width="9.5" style="1" customWidth="1"/>
    <col min="7433" max="7434" width="9.19921875" style="1" customWidth="1"/>
    <col min="7435" max="7435" width="8.69921875" style="1"/>
    <col min="7436" max="7436" width="10.09765625" style="1" bestFit="1" customWidth="1"/>
    <col min="7437" max="7437" width="6.69921875" style="1" bestFit="1" customWidth="1"/>
    <col min="7438" max="7680" width="8.69921875" style="1"/>
    <col min="7681" max="7686" width="9.19921875" style="1" customWidth="1"/>
    <col min="7687" max="7687" width="9.296875" style="1" customWidth="1"/>
    <col min="7688" max="7688" width="9.5" style="1" customWidth="1"/>
    <col min="7689" max="7690" width="9.19921875" style="1" customWidth="1"/>
    <col min="7691" max="7691" width="8.69921875" style="1"/>
    <col min="7692" max="7692" width="10.09765625" style="1" bestFit="1" customWidth="1"/>
    <col min="7693" max="7693" width="6.69921875" style="1" bestFit="1" customWidth="1"/>
    <col min="7694" max="7936" width="8.69921875" style="1"/>
    <col min="7937" max="7942" width="9.19921875" style="1" customWidth="1"/>
    <col min="7943" max="7943" width="9.296875" style="1" customWidth="1"/>
    <col min="7944" max="7944" width="9.5" style="1" customWidth="1"/>
    <col min="7945" max="7946" width="9.19921875" style="1" customWidth="1"/>
    <col min="7947" max="7947" width="8.69921875" style="1"/>
    <col min="7948" max="7948" width="10.09765625" style="1" bestFit="1" customWidth="1"/>
    <col min="7949" max="7949" width="6.69921875" style="1" bestFit="1" customWidth="1"/>
    <col min="7950" max="8192" width="8.69921875" style="1"/>
    <col min="8193" max="8198" width="9.19921875" style="1" customWidth="1"/>
    <col min="8199" max="8199" width="9.296875" style="1" customWidth="1"/>
    <col min="8200" max="8200" width="9.5" style="1" customWidth="1"/>
    <col min="8201" max="8202" width="9.19921875" style="1" customWidth="1"/>
    <col min="8203" max="8203" width="8.69921875" style="1"/>
    <col min="8204" max="8204" width="10.09765625" style="1" bestFit="1" customWidth="1"/>
    <col min="8205" max="8205" width="6.69921875" style="1" bestFit="1" customWidth="1"/>
    <col min="8206" max="8448" width="8.69921875" style="1"/>
    <col min="8449" max="8454" width="9.19921875" style="1" customWidth="1"/>
    <col min="8455" max="8455" width="9.296875" style="1" customWidth="1"/>
    <col min="8456" max="8456" width="9.5" style="1" customWidth="1"/>
    <col min="8457" max="8458" width="9.19921875" style="1" customWidth="1"/>
    <col min="8459" max="8459" width="8.69921875" style="1"/>
    <col min="8460" max="8460" width="10.09765625" style="1" bestFit="1" customWidth="1"/>
    <col min="8461" max="8461" width="6.69921875" style="1" bestFit="1" customWidth="1"/>
    <col min="8462" max="8704" width="8.69921875" style="1"/>
    <col min="8705" max="8710" width="9.19921875" style="1" customWidth="1"/>
    <col min="8711" max="8711" width="9.296875" style="1" customWidth="1"/>
    <col min="8712" max="8712" width="9.5" style="1" customWidth="1"/>
    <col min="8713" max="8714" width="9.19921875" style="1" customWidth="1"/>
    <col min="8715" max="8715" width="8.69921875" style="1"/>
    <col min="8716" max="8716" width="10.09765625" style="1" bestFit="1" customWidth="1"/>
    <col min="8717" max="8717" width="6.69921875" style="1" bestFit="1" customWidth="1"/>
    <col min="8718" max="8960" width="8.69921875" style="1"/>
    <col min="8961" max="8966" width="9.19921875" style="1" customWidth="1"/>
    <col min="8967" max="8967" width="9.296875" style="1" customWidth="1"/>
    <col min="8968" max="8968" width="9.5" style="1" customWidth="1"/>
    <col min="8969" max="8970" width="9.19921875" style="1" customWidth="1"/>
    <col min="8971" max="8971" width="8.69921875" style="1"/>
    <col min="8972" max="8972" width="10.09765625" style="1" bestFit="1" customWidth="1"/>
    <col min="8973" max="8973" width="6.69921875" style="1" bestFit="1" customWidth="1"/>
    <col min="8974" max="9216" width="8.69921875" style="1"/>
    <col min="9217" max="9222" width="9.19921875" style="1" customWidth="1"/>
    <col min="9223" max="9223" width="9.296875" style="1" customWidth="1"/>
    <col min="9224" max="9224" width="9.5" style="1" customWidth="1"/>
    <col min="9225" max="9226" width="9.19921875" style="1" customWidth="1"/>
    <col min="9227" max="9227" width="8.69921875" style="1"/>
    <col min="9228" max="9228" width="10.09765625" style="1" bestFit="1" customWidth="1"/>
    <col min="9229" max="9229" width="6.69921875" style="1" bestFit="1" customWidth="1"/>
    <col min="9230" max="9472" width="8.69921875" style="1"/>
    <col min="9473" max="9478" width="9.19921875" style="1" customWidth="1"/>
    <col min="9479" max="9479" width="9.296875" style="1" customWidth="1"/>
    <col min="9480" max="9480" width="9.5" style="1" customWidth="1"/>
    <col min="9481" max="9482" width="9.19921875" style="1" customWidth="1"/>
    <col min="9483" max="9483" width="8.69921875" style="1"/>
    <col min="9484" max="9484" width="10.09765625" style="1" bestFit="1" customWidth="1"/>
    <col min="9485" max="9485" width="6.69921875" style="1" bestFit="1" customWidth="1"/>
    <col min="9486" max="9728" width="8.69921875" style="1"/>
    <col min="9729" max="9734" width="9.19921875" style="1" customWidth="1"/>
    <col min="9735" max="9735" width="9.296875" style="1" customWidth="1"/>
    <col min="9736" max="9736" width="9.5" style="1" customWidth="1"/>
    <col min="9737" max="9738" width="9.19921875" style="1" customWidth="1"/>
    <col min="9739" max="9739" width="8.69921875" style="1"/>
    <col min="9740" max="9740" width="10.09765625" style="1" bestFit="1" customWidth="1"/>
    <col min="9741" max="9741" width="6.69921875" style="1" bestFit="1" customWidth="1"/>
    <col min="9742" max="9984" width="8.69921875" style="1"/>
    <col min="9985" max="9990" width="9.19921875" style="1" customWidth="1"/>
    <col min="9991" max="9991" width="9.296875" style="1" customWidth="1"/>
    <col min="9992" max="9992" width="9.5" style="1" customWidth="1"/>
    <col min="9993" max="9994" width="9.19921875" style="1" customWidth="1"/>
    <col min="9995" max="9995" width="8.69921875" style="1"/>
    <col min="9996" max="9996" width="10.09765625" style="1" bestFit="1" customWidth="1"/>
    <col min="9997" max="9997" width="6.69921875" style="1" bestFit="1" customWidth="1"/>
    <col min="9998" max="10240" width="8.69921875" style="1"/>
    <col min="10241" max="10246" width="9.19921875" style="1" customWidth="1"/>
    <col min="10247" max="10247" width="9.296875" style="1" customWidth="1"/>
    <col min="10248" max="10248" width="9.5" style="1" customWidth="1"/>
    <col min="10249" max="10250" width="9.19921875" style="1" customWidth="1"/>
    <col min="10251" max="10251" width="8.69921875" style="1"/>
    <col min="10252" max="10252" width="10.09765625" style="1" bestFit="1" customWidth="1"/>
    <col min="10253" max="10253" width="6.69921875" style="1" bestFit="1" customWidth="1"/>
    <col min="10254" max="10496" width="8.69921875" style="1"/>
    <col min="10497" max="10502" width="9.19921875" style="1" customWidth="1"/>
    <col min="10503" max="10503" width="9.296875" style="1" customWidth="1"/>
    <col min="10504" max="10504" width="9.5" style="1" customWidth="1"/>
    <col min="10505" max="10506" width="9.19921875" style="1" customWidth="1"/>
    <col min="10507" max="10507" width="8.69921875" style="1"/>
    <col min="10508" max="10508" width="10.09765625" style="1" bestFit="1" customWidth="1"/>
    <col min="10509" max="10509" width="6.69921875" style="1" bestFit="1" customWidth="1"/>
    <col min="10510" max="10752" width="8.69921875" style="1"/>
    <col min="10753" max="10758" width="9.19921875" style="1" customWidth="1"/>
    <col min="10759" max="10759" width="9.296875" style="1" customWidth="1"/>
    <col min="10760" max="10760" width="9.5" style="1" customWidth="1"/>
    <col min="10761" max="10762" width="9.19921875" style="1" customWidth="1"/>
    <col min="10763" max="10763" width="8.69921875" style="1"/>
    <col min="10764" max="10764" width="10.09765625" style="1" bestFit="1" customWidth="1"/>
    <col min="10765" max="10765" width="6.69921875" style="1" bestFit="1" customWidth="1"/>
    <col min="10766" max="11008" width="8.69921875" style="1"/>
    <col min="11009" max="11014" width="9.19921875" style="1" customWidth="1"/>
    <col min="11015" max="11015" width="9.296875" style="1" customWidth="1"/>
    <col min="11016" max="11016" width="9.5" style="1" customWidth="1"/>
    <col min="11017" max="11018" width="9.19921875" style="1" customWidth="1"/>
    <col min="11019" max="11019" width="8.69921875" style="1"/>
    <col min="11020" max="11020" width="10.09765625" style="1" bestFit="1" customWidth="1"/>
    <col min="11021" max="11021" width="6.69921875" style="1" bestFit="1" customWidth="1"/>
    <col min="11022" max="11264" width="8.69921875" style="1"/>
    <col min="11265" max="11270" width="9.19921875" style="1" customWidth="1"/>
    <col min="11271" max="11271" width="9.296875" style="1" customWidth="1"/>
    <col min="11272" max="11272" width="9.5" style="1" customWidth="1"/>
    <col min="11273" max="11274" width="9.19921875" style="1" customWidth="1"/>
    <col min="11275" max="11275" width="8.69921875" style="1"/>
    <col min="11276" max="11276" width="10.09765625" style="1" bestFit="1" customWidth="1"/>
    <col min="11277" max="11277" width="6.69921875" style="1" bestFit="1" customWidth="1"/>
    <col min="11278" max="11520" width="8.69921875" style="1"/>
    <col min="11521" max="11526" width="9.19921875" style="1" customWidth="1"/>
    <col min="11527" max="11527" width="9.296875" style="1" customWidth="1"/>
    <col min="11528" max="11528" width="9.5" style="1" customWidth="1"/>
    <col min="11529" max="11530" width="9.19921875" style="1" customWidth="1"/>
    <col min="11531" max="11531" width="8.69921875" style="1"/>
    <col min="11532" max="11532" width="10.09765625" style="1" bestFit="1" customWidth="1"/>
    <col min="11533" max="11533" width="6.69921875" style="1" bestFit="1" customWidth="1"/>
    <col min="11534" max="11776" width="8.69921875" style="1"/>
    <col min="11777" max="11782" width="9.19921875" style="1" customWidth="1"/>
    <col min="11783" max="11783" width="9.296875" style="1" customWidth="1"/>
    <col min="11784" max="11784" width="9.5" style="1" customWidth="1"/>
    <col min="11785" max="11786" width="9.19921875" style="1" customWidth="1"/>
    <col min="11787" max="11787" width="8.69921875" style="1"/>
    <col min="11788" max="11788" width="10.09765625" style="1" bestFit="1" customWidth="1"/>
    <col min="11789" max="11789" width="6.69921875" style="1" bestFit="1" customWidth="1"/>
    <col min="11790" max="12032" width="8.69921875" style="1"/>
    <col min="12033" max="12038" width="9.19921875" style="1" customWidth="1"/>
    <col min="12039" max="12039" width="9.296875" style="1" customWidth="1"/>
    <col min="12040" max="12040" width="9.5" style="1" customWidth="1"/>
    <col min="12041" max="12042" width="9.19921875" style="1" customWidth="1"/>
    <col min="12043" max="12043" width="8.69921875" style="1"/>
    <col min="12044" max="12044" width="10.09765625" style="1" bestFit="1" customWidth="1"/>
    <col min="12045" max="12045" width="6.69921875" style="1" bestFit="1" customWidth="1"/>
    <col min="12046" max="12288" width="8.69921875" style="1"/>
    <col min="12289" max="12294" width="9.19921875" style="1" customWidth="1"/>
    <col min="12295" max="12295" width="9.296875" style="1" customWidth="1"/>
    <col min="12296" max="12296" width="9.5" style="1" customWidth="1"/>
    <col min="12297" max="12298" width="9.19921875" style="1" customWidth="1"/>
    <col min="12299" max="12299" width="8.69921875" style="1"/>
    <col min="12300" max="12300" width="10.09765625" style="1" bestFit="1" customWidth="1"/>
    <col min="12301" max="12301" width="6.69921875" style="1" bestFit="1" customWidth="1"/>
    <col min="12302" max="12544" width="8.69921875" style="1"/>
    <col min="12545" max="12550" width="9.19921875" style="1" customWidth="1"/>
    <col min="12551" max="12551" width="9.296875" style="1" customWidth="1"/>
    <col min="12552" max="12552" width="9.5" style="1" customWidth="1"/>
    <col min="12553" max="12554" width="9.19921875" style="1" customWidth="1"/>
    <col min="12555" max="12555" width="8.69921875" style="1"/>
    <col min="12556" max="12556" width="10.09765625" style="1" bestFit="1" customWidth="1"/>
    <col min="12557" max="12557" width="6.69921875" style="1" bestFit="1" customWidth="1"/>
    <col min="12558" max="12800" width="8.69921875" style="1"/>
    <col min="12801" max="12806" width="9.19921875" style="1" customWidth="1"/>
    <col min="12807" max="12807" width="9.296875" style="1" customWidth="1"/>
    <col min="12808" max="12808" width="9.5" style="1" customWidth="1"/>
    <col min="12809" max="12810" width="9.19921875" style="1" customWidth="1"/>
    <col min="12811" max="12811" width="8.69921875" style="1"/>
    <col min="12812" max="12812" width="10.09765625" style="1" bestFit="1" customWidth="1"/>
    <col min="12813" max="12813" width="6.69921875" style="1" bestFit="1" customWidth="1"/>
    <col min="12814" max="13056" width="8.69921875" style="1"/>
    <col min="13057" max="13062" width="9.19921875" style="1" customWidth="1"/>
    <col min="13063" max="13063" width="9.296875" style="1" customWidth="1"/>
    <col min="13064" max="13064" width="9.5" style="1" customWidth="1"/>
    <col min="13065" max="13066" width="9.19921875" style="1" customWidth="1"/>
    <col min="13067" max="13067" width="8.69921875" style="1"/>
    <col min="13068" max="13068" width="10.09765625" style="1" bestFit="1" customWidth="1"/>
    <col min="13069" max="13069" width="6.69921875" style="1" bestFit="1" customWidth="1"/>
    <col min="13070" max="13312" width="8.69921875" style="1"/>
    <col min="13313" max="13318" width="9.19921875" style="1" customWidth="1"/>
    <col min="13319" max="13319" width="9.296875" style="1" customWidth="1"/>
    <col min="13320" max="13320" width="9.5" style="1" customWidth="1"/>
    <col min="13321" max="13322" width="9.19921875" style="1" customWidth="1"/>
    <col min="13323" max="13323" width="8.69921875" style="1"/>
    <col min="13324" max="13324" width="10.09765625" style="1" bestFit="1" customWidth="1"/>
    <col min="13325" max="13325" width="6.69921875" style="1" bestFit="1" customWidth="1"/>
    <col min="13326" max="13568" width="8.69921875" style="1"/>
    <col min="13569" max="13574" width="9.19921875" style="1" customWidth="1"/>
    <col min="13575" max="13575" width="9.296875" style="1" customWidth="1"/>
    <col min="13576" max="13576" width="9.5" style="1" customWidth="1"/>
    <col min="13577" max="13578" width="9.19921875" style="1" customWidth="1"/>
    <col min="13579" max="13579" width="8.69921875" style="1"/>
    <col min="13580" max="13580" width="10.09765625" style="1" bestFit="1" customWidth="1"/>
    <col min="13581" max="13581" width="6.69921875" style="1" bestFit="1" customWidth="1"/>
    <col min="13582" max="13824" width="8.69921875" style="1"/>
    <col min="13825" max="13830" width="9.19921875" style="1" customWidth="1"/>
    <col min="13831" max="13831" width="9.296875" style="1" customWidth="1"/>
    <col min="13832" max="13832" width="9.5" style="1" customWidth="1"/>
    <col min="13833" max="13834" width="9.19921875" style="1" customWidth="1"/>
    <col min="13835" max="13835" width="8.69921875" style="1"/>
    <col min="13836" max="13836" width="10.09765625" style="1" bestFit="1" customWidth="1"/>
    <col min="13837" max="13837" width="6.69921875" style="1" bestFit="1" customWidth="1"/>
    <col min="13838" max="14080" width="8.69921875" style="1"/>
    <col min="14081" max="14086" width="9.19921875" style="1" customWidth="1"/>
    <col min="14087" max="14087" width="9.296875" style="1" customWidth="1"/>
    <col min="14088" max="14088" width="9.5" style="1" customWidth="1"/>
    <col min="14089" max="14090" width="9.19921875" style="1" customWidth="1"/>
    <col min="14091" max="14091" width="8.69921875" style="1"/>
    <col min="14092" max="14092" width="10.09765625" style="1" bestFit="1" customWidth="1"/>
    <col min="14093" max="14093" width="6.69921875" style="1" bestFit="1" customWidth="1"/>
    <col min="14094" max="14336" width="8.69921875" style="1"/>
    <col min="14337" max="14342" width="9.19921875" style="1" customWidth="1"/>
    <col min="14343" max="14343" width="9.296875" style="1" customWidth="1"/>
    <col min="14344" max="14344" width="9.5" style="1" customWidth="1"/>
    <col min="14345" max="14346" width="9.19921875" style="1" customWidth="1"/>
    <col min="14347" max="14347" width="8.69921875" style="1"/>
    <col min="14348" max="14348" width="10.09765625" style="1" bestFit="1" customWidth="1"/>
    <col min="14349" max="14349" width="6.69921875" style="1" bestFit="1" customWidth="1"/>
    <col min="14350" max="14592" width="8.69921875" style="1"/>
    <col min="14593" max="14598" width="9.19921875" style="1" customWidth="1"/>
    <col min="14599" max="14599" width="9.296875" style="1" customWidth="1"/>
    <col min="14600" max="14600" width="9.5" style="1" customWidth="1"/>
    <col min="14601" max="14602" width="9.19921875" style="1" customWidth="1"/>
    <col min="14603" max="14603" width="8.69921875" style="1"/>
    <col min="14604" max="14604" width="10.09765625" style="1" bestFit="1" customWidth="1"/>
    <col min="14605" max="14605" width="6.69921875" style="1" bestFit="1" customWidth="1"/>
    <col min="14606" max="14848" width="8.69921875" style="1"/>
    <col min="14849" max="14854" width="9.19921875" style="1" customWidth="1"/>
    <col min="14855" max="14855" width="9.296875" style="1" customWidth="1"/>
    <col min="14856" max="14856" width="9.5" style="1" customWidth="1"/>
    <col min="14857" max="14858" width="9.19921875" style="1" customWidth="1"/>
    <col min="14859" max="14859" width="8.69921875" style="1"/>
    <col min="14860" max="14860" width="10.09765625" style="1" bestFit="1" customWidth="1"/>
    <col min="14861" max="14861" width="6.69921875" style="1" bestFit="1" customWidth="1"/>
    <col min="14862" max="15104" width="8.69921875" style="1"/>
    <col min="15105" max="15110" width="9.19921875" style="1" customWidth="1"/>
    <col min="15111" max="15111" width="9.296875" style="1" customWidth="1"/>
    <col min="15112" max="15112" width="9.5" style="1" customWidth="1"/>
    <col min="15113" max="15114" width="9.19921875" style="1" customWidth="1"/>
    <col min="15115" max="15115" width="8.69921875" style="1"/>
    <col min="15116" max="15116" width="10.09765625" style="1" bestFit="1" customWidth="1"/>
    <col min="15117" max="15117" width="6.69921875" style="1" bestFit="1" customWidth="1"/>
    <col min="15118" max="15360" width="8.69921875" style="1"/>
    <col min="15361" max="15366" width="9.19921875" style="1" customWidth="1"/>
    <col min="15367" max="15367" width="9.296875" style="1" customWidth="1"/>
    <col min="15368" max="15368" width="9.5" style="1" customWidth="1"/>
    <col min="15369" max="15370" width="9.19921875" style="1" customWidth="1"/>
    <col min="15371" max="15371" width="8.69921875" style="1"/>
    <col min="15372" max="15372" width="10.09765625" style="1" bestFit="1" customWidth="1"/>
    <col min="15373" max="15373" width="6.69921875" style="1" bestFit="1" customWidth="1"/>
    <col min="15374" max="15616" width="8.69921875" style="1"/>
    <col min="15617" max="15622" width="9.19921875" style="1" customWidth="1"/>
    <col min="15623" max="15623" width="9.296875" style="1" customWidth="1"/>
    <col min="15624" max="15624" width="9.5" style="1" customWidth="1"/>
    <col min="15625" max="15626" width="9.19921875" style="1" customWidth="1"/>
    <col min="15627" max="15627" width="8.69921875" style="1"/>
    <col min="15628" max="15628" width="10.09765625" style="1" bestFit="1" customWidth="1"/>
    <col min="15629" max="15629" width="6.69921875" style="1" bestFit="1" customWidth="1"/>
    <col min="15630" max="15872" width="8.69921875" style="1"/>
    <col min="15873" max="15878" width="9.19921875" style="1" customWidth="1"/>
    <col min="15879" max="15879" width="9.296875" style="1" customWidth="1"/>
    <col min="15880" max="15880" width="9.5" style="1" customWidth="1"/>
    <col min="15881" max="15882" width="9.19921875" style="1" customWidth="1"/>
    <col min="15883" max="15883" width="8.69921875" style="1"/>
    <col min="15884" max="15884" width="10.09765625" style="1" bestFit="1" customWidth="1"/>
    <col min="15885" max="15885" width="6.69921875" style="1" bestFit="1" customWidth="1"/>
    <col min="15886" max="16128" width="8.69921875" style="1"/>
    <col min="16129" max="16134" width="9.19921875" style="1" customWidth="1"/>
    <col min="16135" max="16135" width="9.296875" style="1" customWidth="1"/>
    <col min="16136" max="16136" width="9.5" style="1" customWidth="1"/>
    <col min="16137" max="16138" width="9.19921875" style="1" customWidth="1"/>
    <col min="16139" max="16139" width="8.69921875" style="1"/>
    <col min="16140" max="16140" width="10.09765625" style="1" bestFit="1" customWidth="1"/>
    <col min="16141" max="16141" width="6.69921875" style="1" bestFit="1" customWidth="1"/>
    <col min="16142" max="16384" width="8.69921875" style="1"/>
  </cols>
  <sheetData>
    <row r="1" spans="1:10" ht="18.75">
      <c r="A1" s="42" t="s">
        <v>38</v>
      </c>
      <c r="B1" s="43"/>
      <c r="C1" s="43"/>
      <c r="D1" s="43"/>
      <c r="E1" s="43"/>
      <c r="F1" s="43"/>
      <c r="G1" s="43"/>
      <c r="H1" s="43"/>
      <c r="I1" s="44" t="s">
        <v>39</v>
      </c>
      <c r="J1" s="44" t="s">
        <v>40</v>
      </c>
    </row>
    <row r="2" spans="1:10" ht="18.75">
      <c r="A2" s="42" t="s">
        <v>41</v>
      </c>
      <c r="B2" s="43"/>
      <c r="C2" s="43"/>
      <c r="D2" s="43"/>
      <c r="E2" s="43"/>
      <c r="F2" s="43"/>
      <c r="G2" s="43"/>
      <c r="H2" s="43"/>
      <c r="I2" s="43"/>
      <c r="J2" s="45" t="s">
        <v>42</v>
      </c>
    </row>
    <row r="3" spans="1:10" ht="15" customHeight="1" thickBot="1">
      <c r="A3" s="46" t="s">
        <v>19</v>
      </c>
      <c r="B3" s="47" t="s">
        <v>677</v>
      </c>
      <c r="C3" s="48"/>
      <c r="D3" s="46"/>
      <c r="E3" s="48"/>
      <c r="F3" s="48"/>
      <c r="G3" s="46" t="s">
        <v>22</v>
      </c>
      <c r="H3" s="49">
        <v>44670</v>
      </c>
      <c r="I3" s="46" t="s">
        <v>43</v>
      </c>
      <c r="J3" s="50">
        <v>0.35722222222222227</v>
      </c>
    </row>
    <row r="4" spans="1:10" ht="15" customHeight="1" thickBot="1">
      <c r="A4" s="51" t="s">
        <v>44</v>
      </c>
      <c r="B4" s="51" t="s">
        <v>45</v>
      </c>
      <c r="C4" s="51" t="s">
        <v>1</v>
      </c>
      <c r="D4" s="51" t="s">
        <v>46</v>
      </c>
      <c r="E4" s="490" t="s">
        <v>47</v>
      </c>
      <c r="F4" s="51" t="s">
        <v>48</v>
      </c>
      <c r="G4" s="51" t="s">
        <v>49</v>
      </c>
      <c r="H4" s="51" t="s">
        <v>50</v>
      </c>
      <c r="I4" s="51" t="s">
        <v>51</v>
      </c>
      <c r="J4" s="51" t="s">
        <v>52</v>
      </c>
    </row>
    <row r="5" spans="1:10" ht="15" customHeight="1" thickBot="1">
      <c r="A5" s="52">
        <v>2</v>
      </c>
      <c r="B5" s="53">
        <v>700.00001636331262</v>
      </c>
      <c r="C5" s="54">
        <v>3600</v>
      </c>
      <c r="D5" s="52" t="s">
        <v>53</v>
      </c>
      <c r="E5" s="491">
        <v>4000</v>
      </c>
      <c r="F5" s="54">
        <v>60</v>
      </c>
      <c r="G5" s="52">
        <v>105</v>
      </c>
      <c r="H5" s="55" t="s">
        <v>678</v>
      </c>
      <c r="I5" s="56" t="s">
        <v>54</v>
      </c>
      <c r="J5" s="52">
        <v>5012</v>
      </c>
    </row>
    <row r="6" spans="1:10" ht="15" customHeight="1" thickBot="1">
      <c r="A6" s="57" t="s">
        <v>55</v>
      </c>
      <c r="B6" s="58"/>
      <c r="C6" s="59"/>
      <c r="D6" s="60" t="s">
        <v>56</v>
      </c>
      <c r="E6" s="492"/>
      <c r="F6" s="62"/>
      <c r="G6" s="63"/>
      <c r="H6" s="64" t="s">
        <v>57</v>
      </c>
      <c r="I6" s="65"/>
      <c r="J6" s="66"/>
    </row>
    <row r="7" spans="1:10" ht="15" customHeight="1" thickBot="1">
      <c r="A7" s="67"/>
      <c r="B7" s="68" t="s">
        <v>58</v>
      </c>
      <c r="C7" s="69" t="s">
        <v>59</v>
      </c>
      <c r="D7" s="67"/>
      <c r="E7" s="493"/>
      <c r="F7" s="68" t="s">
        <v>60</v>
      </c>
      <c r="G7" s="69" t="s">
        <v>61</v>
      </c>
      <c r="H7" s="70" t="s">
        <v>62</v>
      </c>
      <c r="I7" s="71">
        <v>25.431919047619047</v>
      </c>
      <c r="J7" s="72" t="s">
        <v>63</v>
      </c>
    </row>
    <row r="8" spans="1:10" ht="15" customHeight="1">
      <c r="A8" s="70" t="s">
        <v>64</v>
      </c>
      <c r="B8" s="74">
        <v>2.9000000953674316</v>
      </c>
      <c r="C8" s="75"/>
      <c r="D8" s="73"/>
      <c r="E8" s="76"/>
      <c r="F8" s="68"/>
      <c r="G8" s="69"/>
      <c r="H8" s="70" t="s">
        <v>65</v>
      </c>
      <c r="I8" s="71">
        <v>30.879981688258507</v>
      </c>
      <c r="J8" s="77" t="s">
        <v>66</v>
      </c>
    </row>
    <row r="9" spans="1:10" ht="15" customHeight="1" thickBot="1">
      <c r="A9" s="70" t="s">
        <v>67</v>
      </c>
      <c r="B9" s="74">
        <v>0.93000000715255737</v>
      </c>
      <c r="C9" s="75"/>
      <c r="D9" s="70" t="s">
        <v>68</v>
      </c>
      <c r="E9" s="78" t="s">
        <v>69</v>
      </c>
      <c r="F9" s="79" t="s">
        <v>70</v>
      </c>
      <c r="G9" s="80"/>
      <c r="H9" s="70" t="s">
        <v>71</v>
      </c>
      <c r="I9" s="74">
        <v>28.155950367938779</v>
      </c>
      <c r="J9" s="81">
        <v>539.54892509415663</v>
      </c>
    </row>
    <row r="10" spans="1:10" ht="15" customHeight="1">
      <c r="A10" s="70" t="s">
        <v>72</v>
      </c>
      <c r="B10" s="74">
        <v>452</v>
      </c>
      <c r="C10" s="82">
        <v>452</v>
      </c>
      <c r="D10" s="73"/>
      <c r="E10" s="76"/>
      <c r="F10" s="83" t="s">
        <v>73</v>
      </c>
      <c r="G10" s="84" t="s">
        <v>74</v>
      </c>
      <c r="H10" s="70" t="s">
        <v>75</v>
      </c>
      <c r="I10" s="71">
        <v>18.247458461573483</v>
      </c>
      <c r="J10" s="77" t="s">
        <v>76</v>
      </c>
    </row>
    <row r="11" spans="1:10" ht="15" customHeight="1" thickBot="1">
      <c r="A11" s="70" t="s">
        <v>77</v>
      </c>
      <c r="B11" s="74">
        <v>590</v>
      </c>
      <c r="C11" s="82">
        <v>334.19999980926514</v>
      </c>
      <c r="D11" s="70" t="s">
        <v>78</v>
      </c>
      <c r="E11" s="71">
        <v>0.61898571428571425</v>
      </c>
      <c r="F11" s="85"/>
      <c r="G11" s="86" t="s">
        <v>79</v>
      </c>
      <c r="H11" s="70" t="s">
        <v>80</v>
      </c>
      <c r="I11" s="71">
        <v>30.879981688258507</v>
      </c>
      <c r="J11" s="81">
        <v>26267.149415306591</v>
      </c>
    </row>
    <row r="12" spans="1:10" ht="15" customHeight="1">
      <c r="A12" s="70" t="s">
        <v>81</v>
      </c>
      <c r="B12" s="74">
        <v>340</v>
      </c>
      <c r="C12" s="82">
        <v>155</v>
      </c>
      <c r="D12" s="70" t="s">
        <v>82</v>
      </c>
      <c r="E12" s="494" t="s">
        <v>83</v>
      </c>
      <c r="F12" s="87"/>
      <c r="G12" s="88" t="s">
        <v>84</v>
      </c>
      <c r="H12" s="70" t="s">
        <v>85</v>
      </c>
      <c r="I12" s="71">
        <v>1.3937239041357459</v>
      </c>
      <c r="J12" s="77" t="s">
        <v>86</v>
      </c>
    </row>
    <row r="13" spans="1:10" ht="15" customHeight="1" thickBot="1">
      <c r="A13" s="70" t="s">
        <v>87</v>
      </c>
      <c r="B13" s="74">
        <v>68</v>
      </c>
      <c r="C13" s="82">
        <v>54.599999904632568</v>
      </c>
      <c r="D13" s="70" t="s">
        <v>88</v>
      </c>
      <c r="E13" s="10">
        <v>18</v>
      </c>
      <c r="F13" s="87"/>
      <c r="G13" s="88" t="s">
        <v>89</v>
      </c>
      <c r="H13" s="70" t="s">
        <v>90</v>
      </c>
      <c r="I13" s="71">
        <v>1</v>
      </c>
      <c r="J13" s="81">
        <v>87.453346252441406</v>
      </c>
    </row>
    <row r="14" spans="1:10" ht="15" customHeight="1" thickBot="1">
      <c r="A14" s="495" t="s">
        <v>91</v>
      </c>
      <c r="B14" s="89">
        <v>353.39999389648438</v>
      </c>
      <c r="C14" s="90">
        <v>360.83999633789063</v>
      </c>
      <c r="D14" s="70" t="s">
        <v>92</v>
      </c>
      <c r="E14" s="76" t="s">
        <v>673</v>
      </c>
      <c r="F14" s="76"/>
      <c r="G14" s="88"/>
      <c r="H14" s="46" t="s">
        <v>93</v>
      </c>
      <c r="I14" s="71">
        <v>1.3937239041357459</v>
      </c>
      <c r="J14" s="77" t="s">
        <v>94</v>
      </c>
    </row>
    <row r="15" spans="1:10" ht="15" customHeight="1" thickBot="1">
      <c r="A15" s="91" t="s">
        <v>95</v>
      </c>
      <c r="B15" s="92"/>
      <c r="C15" s="93"/>
      <c r="D15" s="70" t="s">
        <v>96</v>
      </c>
      <c r="E15" s="76" t="s">
        <v>674</v>
      </c>
      <c r="F15" s="76"/>
      <c r="G15" s="88"/>
      <c r="H15" s="70" t="s">
        <v>97</v>
      </c>
      <c r="I15" s="71">
        <v>0.82618353059296434</v>
      </c>
      <c r="J15" s="81">
        <v>18.329117063492063</v>
      </c>
    </row>
    <row r="16" spans="1:10" ht="15" customHeight="1">
      <c r="A16" s="70" t="s">
        <v>98</v>
      </c>
      <c r="B16" s="76">
        <v>42</v>
      </c>
      <c r="C16" s="75">
        <v>34</v>
      </c>
      <c r="D16" s="70" t="s">
        <v>99</v>
      </c>
      <c r="E16" s="76">
        <v>1</v>
      </c>
      <c r="F16" s="76"/>
      <c r="G16" s="88"/>
      <c r="H16" s="70" t="s">
        <v>100</v>
      </c>
      <c r="I16" s="71">
        <v>0.9556462151235352</v>
      </c>
      <c r="J16" s="94" t="s">
        <v>101</v>
      </c>
    </row>
    <row r="17" spans="1:16" ht="15" customHeight="1" thickBot="1">
      <c r="A17" s="70" t="s">
        <v>102</v>
      </c>
      <c r="B17" s="76" t="s">
        <v>103</v>
      </c>
      <c r="C17" s="75" t="s">
        <v>104</v>
      </c>
      <c r="D17" s="46" t="s">
        <v>105</v>
      </c>
      <c r="E17" s="76" t="s">
        <v>106</v>
      </c>
      <c r="F17" s="76"/>
      <c r="G17" s="88"/>
      <c r="H17" s="70" t="s">
        <v>107</v>
      </c>
      <c r="I17" s="71">
        <v>0.78953916400856583</v>
      </c>
      <c r="J17" s="81">
        <v>618.97029067938911</v>
      </c>
    </row>
    <row r="18" spans="1:16" ht="15" customHeight="1">
      <c r="A18" s="70" t="s">
        <v>108</v>
      </c>
      <c r="B18" s="76" t="s">
        <v>83</v>
      </c>
      <c r="C18" s="82">
        <v>0</v>
      </c>
      <c r="D18" s="70" t="s">
        <v>109</v>
      </c>
      <c r="E18" s="95">
        <v>1042</v>
      </c>
      <c r="F18" s="10">
        <v>522</v>
      </c>
      <c r="G18" s="9"/>
      <c r="H18" s="91" t="s">
        <v>110</v>
      </c>
      <c r="I18" s="96" t="s">
        <v>111</v>
      </c>
      <c r="J18" s="97"/>
    </row>
    <row r="19" spans="1:16" ht="15" customHeight="1">
      <c r="A19" s="70" t="s">
        <v>112</v>
      </c>
      <c r="B19" s="74">
        <v>57</v>
      </c>
      <c r="C19" s="82">
        <v>35</v>
      </c>
      <c r="D19" s="70" t="s">
        <v>113</v>
      </c>
      <c r="E19" s="10">
        <v>252</v>
      </c>
      <c r="F19" s="76"/>
      <c r="G19" s="75"/>
      <c r="H19" s="98"/>
      <c r="I19" s="68" t="s">
        <v>114</v>
      </c>
      <c r="J19" s="99" t="s">
        <v>115</v>
      </c>
    </row>
    <row r="20" spans="1:16" ht="15" customHeight="1">
      <c r="A20" s="70" t="s">
        <v>116</v>
      </c>
      <c r="B20" s="74" t="s">
        <v>117</v>
      </c>
      <c r="C20" s="82"/>
      <c r="D20" s="70" t="s">
        <v>118</v>
      </c>
      <c r="E20" s="496">
        <v>0.23393301612265185</v>
      </c>
      <c r="F20" s="76"/>
      <c r="G20" s="75"/>
      <c r="H20" s="70" t="s">
        <v>119</v>
      </c>
      <c r="I20" s="71">
        <v>11.78604793548584</v>
      </c>
      <c r="J20" s="101">
        <v>11.78604793548584</v>
      </c>
    </row>
    <row r="21" spans="1:16" ht="15" customHeight="1">
      <c r="A21" s="70" t="s">
        <v>120</v>
      </c>
      <c r="B21" s="74">
        <v>14</v>
      </c>
      <c r="C21" s="82">
        <v>0</v>
      </c>
      <c r="D21" s="70" t="s">
        <v>121</v>
      </c>
      <c r="E21" s="100">
        <v>0.31206388594750611</v>
      </c>
      <c r="F21" s="100">
        <v>0.19034278392791748</v>
      </c>
      <c r="G21" s="102">
        <v>7.8464405380004126E-2</v>
      </c>
      <c r="H21" s="70" t="s">
        <v>122</v>
      </c>
      <c r="I21" s="71">
        <v>29.345664978027344</v>
      </c>
      <c r="J21" s="101">
        <v>14.921492576599121</v>
      </c>
    </row>
    <row r="22" spans="1:16" ht="15" customHeight="1">
      <c r="A22" s="70" t="s">
        <v>123</v>
      </c>
      <c r="B22" s="74">
        <v>2.8299999237060547</v>
      </c>
      <c r="C22" s="82">
        <v>1</v>
      </c>
      <c r="D22" s="70" t="s">
        <v>124</v>
      </c>
      <c r="E22" s="76" t="s">
        <v>125</v>
      </c>
      <c r="F22" s="76" t="s">
        <v>126</v>
      </c>
      <c r="G22" s="75" t="s">
        <v>126</v>
      </c>
      <c r="H22" s="70" t="s">
        <v>127</v>
      </c>
      <c r="I22" s="71">
        <v>7.0829815864562988</v>
      </c>
      <c r="J22" s="101">
        <v>6.3129973411560059</v>
      </c>
    </row>
    <row r="23" spans="1:16" ht="15" customHeight="1">
      <c r="A23" s="70" t="s">
        <v>128</v>
      </c>
      <c r="B23" s="74">
        <v>11.431919097900391</v>
      </c>
      <c r="C23" s="82">
        <v>11</v>
      </c>
      <c r="D23" s="70" t="s">
        <v>129</v>
      </c>
      <c r="E23" s="71">
        <v>1.7419999837875366</v>
      </c>
      <c r="F23" s="71">
        <v>3.25</v>
      </c>
      <c r="G23" s="101">
        <v>3.25</v>
      </c>
      <c r="H23" s="70" t="s">
        <v>130</v>
      </c>
      <c r="I23" s="71">
        <v>20.325075708117275</v>
      </c>
      <c r="J23" s="69" t="s">
        <v>131</v>
      </c>
    </row>
    <row r="24" spans="1:16" ht="15" customHeight="1">
      <c r="A24" s="70" t="s">
        <v>132</v>
      </c>
      <c r="B24" s="74">
        <v>0</v>
      </c>
      <c r="C24" s="82">
        <v>2</v>
      </c>
      <c r="D24" s="70" t="s">
        <v>133</v>
      </c>
      <c r="E24" s="71">
        <v>8.8900003433227539</v>
      </c>
      <c r="F24" s="71">
        <v>2.6700000762939453</v>
      </c>
      <c r="G24" s="101">
        <v>2.6700000762939453</v>
      </c>
      <c r="H24" s="70" t="s">
        <v>134</v>
      </c>
      <c r="I24" s="71">
        <v>5.8606569418680206</v>
      </c>
      <c r="J24" s="101">
        <v>5.27040075015704</v>
      </c>
    </row>
    <row r="25" spans="1:16" ht="15" customHeight="1">
      <c r="A25" s="70" t="s">
        <v>135</v>
      </c>
      <c r="B25" s="76" t="s">
        <v>83</v>
      </c>
      <c r="C25" s="82">
        <v>2</v>
      </c>
      <c r="D25" s="103" t="s">
        <v>136</v>
      </c>
      <c r="E25" s="78"/>
      <c r="F25" s="78"/>
      <c r="G25" s="104"/>
      <c r="H25" s="70" t="s">
        <v>137</v>
      </c>
      <c r="I25" s="71">
        <v>0.5808711051940918</v>
      </c>
      <c r="J25" s="101">
        <v>1.1448242664337158</v>
      </c>
    </row>
    <row r="26" spans="1:16" ht="15" customHeight="1">
      <c r="A26" s="70" t="s">
        <v>138</v>
      </c>
      <c r="B26" s="78" t="s">
        <v>139</v>
      </c>
      <c r="C26" s="104" t="s">
        <v>140</v>
      </c>
      <c r="D26" s="70" t="s">
        <v>141</v>
      </c>
      <c r="E26" s="74">
        <v>72.493425351335631</v>
      </c>
      <c r="F26" s="74">
        <v>17.127407770344792</v>
      </c>
      <c r="G26" s="82">
        <v>14.007364998670198</v>
      </c>
      <c r="H26" s="70" t="s">
        <v>142</v>
      </c>
      <c r="I26" s="71">
        <v>5.220588207244873</v>
      </c>
      <c r="J26" s="101">
        <v>4.1097278594970703</v>
      </c>
    </row>
    <row r="27" spans="1:16" ht="15" customHeight="1" thickBot="1">
      <c r="A27" s="70" t="s">
        <v>143</v>
      </c>
      <c r="B27" s="76" t="s">
        <v>144</v>
      </c>
      <c r="C27" s="75" t="s">
        <v>145</v>
      </c>
      <c r="D27" s="105" t="s">
        <v>146</v>
      </c>
      <c r="E27" s="106">
        <v>64.44211450991294</v>
      </c>
      <c r="F27" s="106" t="s">
        <v>83</v>
      </c>
      <c r="G27" s="107" t="s">
        <v>83</v>
      </c>
      <c r="H27" s="105" t="s">
        <v>147</v>
      </c>
      <c r="I27" s="108">
        <v>5.2528042793273926</v>
      </c>
      <c r="J27" s="109">
        <v>4.266202449798584</v>
      </c>
    </row>
    <row r="28" spans="1:16" ht="15" customHeight="1">
      <c r="A28" s="73" t="s">
        <v>148</v>
      </c>
      <c r="B28" s="48"/>
      <c r="C28" s="110"/>
      <c r="D28" s="91" t="s">
        <v>149</v>
      </c>
      <c r="E28" s="111"/>
      <c r="F28" s="112"/>
      <c r="G28" s="61"/>
      <c r="H28" s="63"/>
      <c r="I28" s="113" t="s">
        <v>150</v>
      </c>
      <c r="J28" s="63"/>
    </row>
    <row r="29" spans="1:16" ht="15" customHeight="1">
      <c r="A29" s="114"/>
      <c r="B29" s="115" t="s">
        <v>151</v>
      </c>
      <c r="C29" s="116">
        <v>33.987912486317896</v>
      </c>
      <c r="D29" s="114"/>
      <c r="E29" s="68" t="s">
        <v>152</v>
      </c>
      <c r="F29" s="68" t="s">
        <v>153</v>
      </c>
      <c r="G29" s="68" t="s">
        <v>154</v>
      </c>
      <c r="H29" s="69" t="s">
        <v>155</v>
      </c>
      <c r="I29" s="68" t="s">
        <v>156</v>
      </c>
      <c r="J29" s="69" t="s">
        <v>157</v>
      </c>
      <c r="M29" s="497" t="str">
        <f>RIGHT(F$41,SEARCH("/",F$41,1)-1)</f>
        <v xml:space="preserve"> 3551.4</v>
      </c>
      <c r="N29" s="1" t="s">
        <v>679</v>
      </c>
      <c r="P29" s="68" t="s">
        <v>680</v>
      </c>
    </row>
    <row r="30" spans="1:16" ht="15" customHeight="1" thickBot="1">
      <c r="A30" s="117"/>
      <c r="B30" s="118" t="s">
        <v>158</v>
      </c>
      <c r="C30" s="119">
        <v>33.99654522834512</v>
      </c>
      <c r="D30" s="70" t="s">
        <v>159</v>
      </c>
      <c r="E30" s="498">
        <v>46.338452500000002</v>
      </c>
      <c r="F30" s="498">
        <v>480.62399169921878</v>
      </c>
      <c r="G30" s="498">
        <v>18.131268987782786</v>
      </c>
      <c r="H30" s="499">
        <v>929.53908399402394</v>
      </c>
      <c r="I30" s="10">
        <v>39409.004030749304</v>
      </c>
      <c r="J30" s="9">
        <v>3666.1740802746958</v>
      </c>
      <c r="M30" s="497" t="str">
        <f>RIGHT(E$41,SEARCH("/",E$41,1)-1)</f>
        <v xml:space="preserve"> 3559.9</v>
      </c>
      <c r="N30" s="1" t="s">
        <v>681</v>
      </c>
      <c r="P30" s="500">
        <f>G30*6.4516</f>
        <v>116.97569500157942</v>
      </c>
    </row>
    <row r="31" spans="1:16" ht="15" customHeight="1">
      <c r="A31" s="57" t="s">
        <v>160</v>
      </c>
      <c r="B31" s="120"/>
      <c r="C31" s="121"/>
      <c r="D31" s="70" t="s">
        <v>161</v>
      </c>
      <c r="E31" s="498">
        <v>5.7</v>
      </c>
      <c r="F31" s="498">
        <v>848.40842927885126</v>
      </c>
      <c r="G31" s="498">
        <v>10.27137705702383</v>
      </c>
      <c r="H31" s="499">
        <v>14.827701900047844</v>
      </c>
      <c r="I31" s="10">
        <v>9671.8560937789043</v>
      </c>
      <c r="J31" s="9">
        <v>358.35396409250984</v>
      </c>
      <c r="M31" s="497" t="str">
        <f>RIGHT(D$41,SEARCH("/",D$41,1)-1)</f>
        <v xml:space="preserve"> 3568.3</v>
      </c>
      <c r="N31" s="1" t="s">
        <v>682</v>
      </c>
      <c r="P31" s="500">
        <f>G31*6.4516</f>
        <v>66.266816221094942</v>
      </c>
    </row>
    <row r="32" spans="1:16" ht="15" customHeight="1">
      <c r="A32" s="73" t="s">
        <v>162</v>
      </c>
      <c r="B32" s="71" t="s">
        <v>683</v>
      </c>
      <c r="C32" s="122"/>
      <c r="D32" s="70" t="s">
        <v>163</v>
      </c>
      <c r="E32" s="498">
        <v>20.750201935019732</v>
      </c>
      <c r="F32" s="498">
        <v>580.47127342063914</v>
      </c>
      <c r="G32" s="498">
        <v>15.012496353399341</v>
      </c>
      <c r="H32" s="499">
        <v>188.66037982100644</v>
      </c>
      <c r="I32" s="123" t="s">
        <v>164</v>
      </c>
      <c r="J32" s="9">
        <v>4024.5280443672054</v>
      </c>
      <c r="M32" s="497" t="str">
        <f>RIGHT(C$41,SEARCH("/",C$41,1)-1)</f>
        <v xml:space="preserve"> 3576.5</v>
      </c>
      <c r="N32" s="1" t="s">
        <v>684</v>
      </c>
      <c r="P32" s="500">
        <f>G32*6.4516</f>
        <v>96.85462147359118</v>
      </c>
    </row>
    <row r="33" spans="1:16" ht="15" customHeight="1">
      <c r="A33" s="73" t="s">
        <v>165</v>
      </c>
      <c r="B33" s="71" t="s">
        <v>685</v>
      </c>
      <c r="C33" s="124" t="s">
        <v>166</v>
      </c>
      <c r="D33" s="70" t="s">
        <v>161</v>
      </c>
      <c r="E33" s="498">
        <v>3.5</v>
      </c>
      <c r="F33" s="498">
        <v>674.77079315185551</v>
      </c>
      <c r="G33" s="498">
        <v>12.914493282638686</v>
      </c>
      <c r="H33" s="499">
        <v>17.61719217577253</v>
      </c>
      <c r="I33" s="123" t="s">
        <v>167</v>
      </c>
      <c r="J33" s="82" t="s">
        <v>168</v>
      </c>
      <c r="M33" s="497" t="str">
        <f>RIGHT(B$41,SEARCH("/",B$41,1)-1)</f>
        <v xml:space="preserve"> 3584.5</v>
      </c>
      <c r="N33" s="1" t="s">
        <v>686</v>
      </c>
      <c r="P33" s="500">
        <f>G33*6.4516</f>
        <v>83.319144862271742</v>
      </c>
    </row>
    <row r="34" spans="1:16" ht="15" customHeight="1" thickBot="1">
      <c r="A34" s="125" t="s">
        <v>169</v>
      </c>
      <c r="B34" s="108" t="s">
        <v>687</v>
      </c>
      <c r="C34" s="501">
        <v>8.7143228754804163</v>
      </c>
      <c r="D34" s="105" t="s">
        <v>64</v>
      </c>
      <c r="E34" s="502">
        <v>0.29000000953674315</v>
      </c>
      <c r="F34" s="503">
        <v>1471.4750503412859</v>
      </c>
      <c r="G34" s="503">
        <v>5.92216828512265</v>
      </c>
      <c r="H34" s="504">
        <v>1366.687616114584</v>
      </c>
      <c r="I34" s="123" t="s">
        <v>170</v>
      </c>
      <c r="J34" s="82">
        <v>6.0500001907348633</v>
      </c>
      <c r="P34" s="500">
        <f>G34*6.4516</f>
        <v>38.207460908297286</v>
      </c>
    </row>
    <row r="35" spans="1:16" ht="15" customHeight="1">
      <c r="A35" s="91" t="s">
        <v>171</v>
      </c>
      <c r="B35" s="62"/>
      <c r="C35" s="62"/>
      <c r="D35" s="126" t="s">
        <v>172</v>
      </c>
      <c r="E35" s="127" t="s">
        <v>688</v>
      </c>
      <c r="F35" s="63"/>
      <c r="G35" s="128" t="s">
        <v>173</v>
      </c>
      <c r="H35" s="129" t="s">
        <v>689</v>
      </c>
      <c r="I35" s="70" t="s">
        <v>174</v>
      </c>
      <c r="J35" s="9" t="s">
        <v>690</v>
      </c>
    </row>
    <row r="36" spans="1:16" ht="15" customHeight="1">
      <c r="A36" s="73" t="s">
        <v>175</v>
      </c>
      <c r="B36" s="68">
        <v>25</v>
      </c>
      <c r="C36" s="68">
        <v>50</v>
      </c>
      <c r="D36" s="68">
        <v>75</v>
      </c>
      <c r="E36" s="68">
        <v>100</v>
      </c>
      <c r="F36" s="69">
        <v>125</v>
      </c>
      <c r="G36" s="70" t="s">
        <v>176</v>
      </c>
      <c r="H36" s="9" t="s">
        <v>691</v>
      </c>
      <c r="I36" s="70" t="s">
        <v>177</v>
      </c>
      <c r="J36" s="9" t="s">
        <v>178</v>
      </c>
    </row>
    <row r="37" spans="1:16" ht="15" customHeight="1" thickBot="1">
      <c r="A37" s="70" t="s">
        <v>179</v>
      </c>
      <c r="B37" s="505" t="s">
        <v>692</v>
      </c>
      <c r="C37" s="505" t="s">
        <v>693</v>
      </c>
      <c r="D37" s="505" t="s">
        <v>694</v>
      </c>
      <c r="E37" s="505" t="s">
        <v>695</v>
      </c>
      <c r="F37" s="506" t="s">
        <v>696</v>
      </c>
      <c r="G37" s="70" t="s">
        <v>180</v>
      </c>
      <c r="H37" s="9" t="s">
        <v>697</v>
      </c>
      <c r="I37" s="105" t="s">
        <v>181</v>
      </c>
      <c r="J37" s="5" t="s">
        <v>182</v>
      </c>
      <c r="O37" s="507"/>
    </row>
    <row r="38" spans="1:16" ht="15" customHeight="1" thickBot="1">
      <c r="A38" s="70" t="s">
        <v>183</v>
      </c>
      <c r="B38" s="508" t="s">
        <v>698</v>
      </c>
      <c r="C38" s="508" t="s">
        <v>699</v>
      </c>
      <c r="D38" s="508" t="s">
        <v>700</v>
      </c>
      <c r="E38" s="508" t="s">
        <v>184</v>
      </c>
      <c r="F38" s="509" t="s">
        <v>701</v>
      </c>
      <c r="G38" s="125" t="s">
        <v>185</v>
      </c>
      <c r="H38" s="5" t="s">
        <v>186</v>
      </c>
      <c r="I38" s="130" t="s">
        <v>187</v>
      </c>
      <c r="J38" s="131">
        <v>9929.642578125</v>
      </c>
      <c r="L38" s="1" t="str">
        <f>LEFT(E38,SEARCH("/",E38,1)-1)</f>
        <v xml:space="preserve">0.959 </v>
      </c>
      <c r="M38" s="1" t="str">
        <f>RIGHT(E38,SEARCH("/",E38,1)-1)</f>
        <v xml:space="preserve"> 0.943</v>
      </c>
      <c r="N38" s="510">
        <f>M38/L38</f>
        <v>0.98331595411887385</v>
      </c>
      <c r="O38" s="507" t="s">
        <v>702</v>
      </c>
    </row>
    <row r="39" spans="1:16" ht="15" customHeight="1">
      <c r="A39" s="70" t="s">
        <v>188</v>
      </c>
      <c r="B39" s="508" t="s">
        <v>703</v>
      </c>
      <c r="C39" s="508" t="s">
        <v>704</v>
      </c>
      <c r="D39" s="508" t="s">
        <v>705</v>
      </c>
      <c r="E39" s="508" t="s">
        <v>706</v>
      </c>
      <c r="F39" s="509" t="s">
        <v>189</v>
      </c>
      <c r="G39" s="91" t="s">
        <v>190</v>
      </c>
      <c r="H39" s="62"/>
      <c r="I39" s="132" t="s">
        <v>191</v>
      </c>
      <c r="J39" s="133" t="s">
        <v>3</v>
      </c>
      <c r="L39" s="1" t="str">
        <f>LEFT(E39,SEARCH("/",E39,1)-1)</f>
        <v xml:space="preserve">0.899 </v>
      </c>
      <c r="M39" s="1" t="str">
        <f>RIGHT(E39,SEARCH("/",E39,1)-1)</f>
        <v xml:space="preserve"> 0.871</v>
      </c>
      <c r="N39" s="510">
        <f>M39/L39</f>
        <v>0.96885428253615125</v>
      </c>
      <c r="O39" s="507" t="s">
        <v>707</v>
      </c>
    </row>
    <row r="40" spans="1:16" ht="15" customHeight="1">
      <c r="A40" s="70" t="s">
        <v>191</v>
      </c>
      <c r="B40" s="511" t="s">
        <v>192</v>
      </c>
      <c r="C40" s="511" t="s">
        <v>193</v>
      </c>
      <c r="D40" s="511" t="s">
        <v>194</v>
      </c>
      <c r="E40" s="511" t="s">
        <v>54</v>
      </c>
      <c r="F40" s="512" t="s">
        <v>195</v>
      </c>
      <c r="G40" s="134" t="s">
        <v>196</v>
      </c>
      <c r="H40" s="135" t="s">
        <v>708</v>
      </c>
      <c r="I40" s="136"/>
      <c r="J40" s="137"/>
      <c r="L40" s="1" t="str">
        <f>LEFT(E37,SEARCH("/",E37,1)-1)</f>
        <v xml:space="preserve">87.45 </v>
      </c>
      <c r="M40" s="1" t="str">
        <f>RIGHT(E37,SEARCH("/",E37,1)-1)</f>
        <v xml:space="preserve"> 91.77</v>
      </c>
      <c r="N40" s="510">
        <f>M40/L40</f>
        <v>1.0493996569468267</v>
      </c>
      <c r="O40" s="507" t="s">
        <v>709</v>
      </c>
    </row>
    <row r="41" spans="1:16" ht="15" customHeight="1">
      <c r="A41" s="70" t="s">
        <v>1</v>
      </c>
      <c r="B41" s="513" t="s">
        <v>710</v>
      </c>
      <c r="C41" s="513" t="s">
        <v>711</v>
      </c>
      <c r="D41" s="513" t="s">
        <v>712</v>
      </c>
      <c r="E41" s="513" t="s">
        <v>678</v>
      </c>
      <c r="F41" s="514" t="s">
        <v>713</v>
      </c>
      <c r="G41" s="138" t="s">
        <v>197</v>
      </c>
      <c r="H41" s="15" t="s">
        <v>714</v>
      </c>
      <c r="I41" s="139"/>
      <c r="J41" s="140"/>
      <c r="L41" s="1" t="str">
        <f>LEFT(E41,SEARCH("/",E41,1)-1)</f>
        <v xml:space="preserve">3567.1 </v>
      </c>
      <c r="M41" s="1" t="str">
        <f>RIGHT(E41,SEARCH("/",E41,1)-1)</f>
        <v xml:space="preserve"> 3559.9</v>
      </c>
      <c r="N41" s="510">
        <f>M41/L41</f>
        <v>0.99798155364301544</v>
      </c>
      <c r="O41" s="507" t="s">
        <v>1</v>
      </c>
    </row>
    <row r="42" spans="1:16" ht="15" customHeight="1">
      <c r="A42" s="70" t="s">
        <v>198</v>
      </c>
      <c r="B42" s="508">
        <v>10.605109807308587</v>
      </c>
      <c r="C42" s="508">
        <v>9.4494351285306646</v>
      </c>
      <c r="D42" s="508">
        <v>8.8355974205899805</v>
      </c>
      <c r="E42" s="508">
        <v>8.4648373983110492</v>
      </c>
      <c r="F42" s="509">
        <v>8.2202327202318735</v>
      </c>
      <c r="G42" s="134" t="s">
        <v>199</v>
      </c>
      <c r="H42" s="135" t="s">
        <v>715</v>
      </c>
      <c r="I42" s="136"/>
      <c r="J42" s="141">
        <v>0.26835538085343014</v>
      </c>
    </row>
    <row r="43" spans="1:16" ht="15" customHeight="1" thickBot="1">
      <c r="A43" s="105" t="s">
        <v>200</v>
      </c>
      <c r="B43" s="515">
        <v>15.208735691363787</v>
      </c>
      <c r="C43" s="516"/>
      <c r="D43" s="517" t="s">
        <v>716</v>
      </c>
      <c r="E43" s="517"/>
      <c r="F43" s="518"/>
      <c r="G43" s="138" t="s">
        <v>197</v>
      </c>
      <c r="H43" s="15" t="s">
        <v>717</v>
      </c>
      <c r="I43" s="139"/>
      <c r="J43" s="140"/>
    </row>
    <row r="44" spans="1:16" ht="15" customHeight="1">
      <c r="A44" s="142" t="s">
        <v>201</v>
      </c>
      <c r="B44" s="143"/>
      <c r="C44" s="48"/>
      <c r="D44" s="48"/>
      <c r="E44" s="142" t="s">
        <v>202</v>
      </c>
      <c r="F44" s="144"/>
      <c r="G44" s="134" t="s">
        <v>203</v>
      </c>
      <c r="H44" s="145">
        <v>1367.0361694870339</v>
      </c>
      <c r="I44" s="146">
        <v>5.1398082919710916E-2</v>
      </c>
      <c r="J44" s="141">
        <v>0.61703909607987062</v>
      </c>
    </row>
    <row r="45" spans="1:16" ht="15" customHeight="1">
      <c r="A45" s="70" t="s">
        <v>204</v>
      </c>
      <c r="B45" s="71">
        <v>0.30295285582542419</v>
      </c>
      <c r="C45" s="519" t="s">
        <v>205</v>
      </c>
      <c r="D45" s="101">
        <v>1.1728720739483833E-2</v>
      </c>
      <c r="E45" s="70" t="s">
        <v>206</v>
      </c>
      <c r="F45" s="9">
        <v>316.3460086255738</v>
      </c>
      <c r="G45" s="147" t="s">
        <v>197</v>
      </c>
      <c r="H45" s="148" t="s">
        <v>718</v>
      </c>
      <c r="I45" s="149"/>
      <c r="J45" s="104"/>
    </row>
    <row r="46" spans="1:16" ht="15" customHeight="1">
      <c r="A46" s="70" t="s">
        <v>207</v>
      </c>
      <c r="B46" s="71">
        <v>0.17748287320137024</v>
      </c>
      <c r="C46" s="519" t="s">
        <v>208</v>
      </c>
      <c r="D46" s="101">
        <v>9.1385617852210999E-3</v>
      </c>
      <c r="E46" s="70" t="s">
        <v>209</v>
      </c>
      <c r="F46" s="9">
        <v>503.5174795110816</v>
      </c>
      <c r="G46" s="138" t="s">
        <v>2</v>
      </c>
      <c r="H46" s="150">
        <v>303.33182390859048</v>
      </c>
      <c r="I46" s="139"/>
      <c r="J46" s="140"/>
      <c r="L46" s="520" t="s">
        <v>719</v>
      </c>
      <c r="M46" s="521">
        <f>B5^0.95</f>
        <v>504.47906404005028</v>
      </c>
    </row>
    <row r="47" spans="1:16" ht="15" customHeight="1">
      <c r="A47" s="70" t="s">
        <v>210</v>
      </c>
      <c r="B47" s="71">
        <v>0.48043572902679443</v>
      </c>
      <c r="C47" s="519" t="s">
        <v>211</v>
      </c>
      <c r="D47" s="101">
        <v>5.7449252344667912E-3</v>
      </c>
      <c r="E47" s="70" t="s">
        <v>212</v>
      </c>
      <c r="F47" s="9">
        <v>185.1431492505364</v>
      </c>
      <c r="G47" s="151" t="s">
        <v>213</v>
      </c>
      <c r="H47" s="145">
        <v>1298.6794715027756</v>
      </c>
      <c r="I47" s="146">
        <v>4.868274175827219E-2</v>
      </c>
      <c r="J47" s="152">
        <v>0.63538696969193698</v>
      </c>
      <c r="L47" s="520" t="s">
        <v>720</v>
      </c>
      <c r="M47" s="521">
        <f>B5^1.5</f>
        <v>18520.259826850965</v>
      </c>
    </row>
    <row r="48" spans="1:16" ht="15" customHeight="1">
      <c r="A48" s="70" t="s">
        <v>214</v>
      </c>
      <c r="B48" s="71">
        <v>1.2741440907120705E-2</v>
      </c>
      <c r="C48" s="519" t="s">
        <v>164</v>
      </c>
      <c r="D48" s="101">
        <v>3.9353650063276291E-2</v>
      </c>
      <c r="E48" s="70" t="s">
        <v>215</v>
      </c>
      <c r="F48" s="9">
        <v>81.256786388011633</v>
      </c>
      <c r="G48" s="153" t="s">
        <v>197</v>
      </c>
      <c r="H48" s="148">
        <v>248.69387995875832</v>
      </c>
      <c r="I48" s="149"/>
      <c r="J48" s="104"/>
      <c r="L48" s="520" t="s">
        <v>721</v>
      </c>
      <c r="M48" s="522">
        <f>IF(A5="",0,(7200/(1000*A5))^2.4)</f>
        <v>21.633460842025631</v>
      </c>
    </row>
    <row r="49" spans="1:13" ht="15" customHeight="1" thickBot="1">
      <c r="A49" s="117"/>
      <c r="B49" s="154"/>
      <c r="C49" s="523" t="s">
        <v>4</v>
      </c>
      <c r="D49" s="109">
        <v>0.96064633131027222</v>
      </c>
      <c r="E49" s="105" t="s">
        <v>216</v>
      </c>
      <c r="F49" s="5">
        <v>197.11910367674295</v>
      </c>
      <c r="G49" s="155" t="s">
        <v>2</v>
      </c>
      <c r="H49" s="150">
        <v>295.00564514571857</v>
      </c>
      <c r="I49" s="139"/>
      <c r="J49" s="156"/>
      <c r="L49" s="520" t="s">
        <v>722</v>
      </c>
      <c r="M49" s="522">
        <f>IF(A5="",0,(7200/(1000*A5))^1.8)</f>
        <v>10.031006258647469</v>
      </c>
    </row>
    <row r="50" spans="1:13" ht="15" customHeight="1">
      <c r="A50" s="91" t="s">
        <v>217</v>
      </c>
      <c r="B50" s="62"/>
      <c r="C50" s="62"/>
      <c r="D50" s="62"/>
      <c r="E50" s="62"/>
      <c r="F50" s="63"/>
      <c r="G50" s="91" t="s">
        <v>218</v>
      </c>
      <c r="H50" s="62"/>
      <c r="I50" s="61"/>
      <c r="J50" s="121"/>
      <c r="L50" s="520" t="s">
        <v>359</v>
      </c>
      <c r="M50" s="524">
        <f>IF(A5=2,27,24)</f>
        <v>27</v>
      </c>
    </row>
    <row r="51" spans="1:13" ht="15" customHeight="1">
      <c r="A51" s="70" t="s">
        <v>219</v>
      </c>
      <c r="B51" s="76">
        <v>34</v>
      </c>
      <c r="C51" s="123" t="s">
        <v>220</v>
      </c>
      <c r="D51" s="74">
        <v>7</v>
      </c>
      <c r="E51" s="123" t="s">
        <v>221</v>
      </c>
      <c r="F51" s="82">
        <v>11</v>
      </c>
      <c r="G51" s="123" t="s">
        <v>222</v>
      </c>
      <c r="H51" s="100">
        <v>0.11254805525794501</v>
      </c>
      <c r="I51" s="157" t="s">
        <v>223</v>
      </c>
      <c r="J51" s="110"/>
      <c r="L51" s="520" t="s">
        <v>723</v>
      </c>
      <c r="M51" s="524">
        <v>6.8500000000000005E-2</v>
      </c>
    </row>
    <row r="52" spans="1:13" ht="15" customHeight="1">
      <c r="A52" s="70" t="s">
        <v>112</v>
      </c>
      <c r="B52" s="74">
        <v>35</v>
      </c>
      <c r="C52" s="123" t="s">
        <v>224</v>
      </c>
      <c r="D52" s="74">
        <v>8</v>
      </c>
      <c r="E52" s="123" t="s">
        <v>225</v>
      </c>
      <c r="F52" s="82">
        <v>0</v>
      </c>
      <c r="G52" s="123" t="s">
        <v>226</v>
      </c>
      <c r="H52" s="74">
        <v>43335.580270534978</v>
      </c>
      <c r="I52" s="158" t="s">
        <v>724</v>
      </c>
      <c r="J52" s="159"/>
      <c r="L52" s="520" t="s">
        <v>725</v>
      </c>
      <c r="M52" s="525">
        <f>F5</f>
        <v>60</v>
      </c>
    </row>
    <row r="53" spans="1:13" ht="15" customHeight="1">
      <c r="A53" s="70" t="s">
        <v>120</v>
      </c>
      <c r="B53" s="74">
        <v>0</v>
      </c>
      <c r="C53" s="123" t="s">
        <v>227</v>
      </c>
      <c r="D53" s="74">
        <v>17.511787414550781</v>
      </c>
      <c r="E53" s="123" t="s">
        <v>228</v>
      </c>
      <c r="F53" s="82">
        <v>0</v>
      </c>
      <c r="G53" s="123" t="s">
        <v>229</v>
      </c>
      <c r="H53" s="71">
        <v>19.360541416329689</v>
      </c>
      <c r="I53" s="157" t="s">
        <v>230</v>
      </c>
      <c r="J53" s="110"/>
      <c r="L53" s="520" t="s">
        <v>726</v>
      </c>
      <c r="M53" s="497">
        <f>IF(F5=60,M50*M46/M48-M51*M47/M49,IF(F5&lt;&gt;60,(60/M52)^2*(M50*M46/M48-M51*M47/M49),0))</f>
        <v>503.15183352839767</v>
      </c>
    </row>
    <row r="54" spans="1:13" ht="15" customHeight="1">
      <c r="A54" s="70" t="s">
        <v>123</v>
      </c>
      <c r="B54" s="74">
        <v>1</v>
      </c>
      <c r="C54" s="123" t="s">
        <v>231</v>
      </c>
      <c r="D54" s="74">
        <v>13.434589514283759</v>
      </c>
      <c r="E54" s="123" t="s">
        <v>228</v>
      </c>
      <c r="F54" s="82">
        <v>11</v>
      </c>
      <c r="G54" s="123" t="s">
        <v>232</v>
      </c>
      <c r="H54" s="10">
        <v>132278</v>
      </c>
      <c r="I54" s="160" t="s">
        <v>727</v>
      </c>
      <c r="J54" s="140" t="s">
        <v>233</v>
      </c>
    </row>
    <row r="55" spans="1:13" ht="15" customHeight="1">
      <c r="A55" s="70" t="s">
        <v>234</v>
      </c>
      <c r="B55" s="74">
        <v>7</v>
      </c>
      <c r="C55" s="123" t="s">
        <v>235</v>
      </c>
      <c r="D55" s="74">
        <v>22</v>
      </c>
      <c r="E55" s="123" t="s">
        <v>236</v>
      </c>
      <c r="F55" s="82">
        <v>0</v>
      </c>
      <c r="G55" s="123" t="s">
        <v>237</v>
      </c>
      <c r="H55" s="74">
        <v>1</v>
      </c>
      <c r="I55" s="157" t="s">
        <v>238</v>
      </c>
      <c r="J55" s="110"/>
    </row>
    <row r="56" spans="1:13" ht="15" customHeight="1" thickBot="1">
      <c r="A56" s="105" t="s">
        <v>239</v>
      </c>
      <c r="B56" s="106">
        <v>2</v>
      </c>
      <c r="C56" s="161" t="s">
        <v>240</v>
      </c>
      <c r="D56" s="106">
        <v>22.955984629434976</v>
      </c>
      <c r="E56" s="161" t="s">
        <v>241</v>
      </c>
      <c r="F56" s="107">
        <v>0</v>
      </c>
      <c r="G56" s="161" t="s">
        <v>242</v>
      </c>
      <c r="H56" s="108">
        <v>0.67847857142857138</v>
      </c>
      <c r="I56" s="162" t="s">
        <v>728</v>
      </c>
      <c r="J56" s="156" t="s">
        <v>243</v>
      </c>
    </row>
    <row r="57" spans="1:13" ht="15" customHeight="1">
      <c r="A57" s="57" t="s">
        <v>729</v>
      </c>
      <c r="B57" s="61"/>
      <c r="C57" s="61"/>
      <c r="D57" s="61"/>
      <c r="E57" s="61"/>
      <c r="F57" s="121"/>
      <c r="G57" s="163"/>
      <c r="H57" s="164"/>
      <c r="I57" s="164"/>
      <c r="J57" s="165"/>
    </row>
    <row r="58" spans="1:13" ht="15" customHeight="1">
      <c r="A58" s="166" t="s">
        <v>191</v>
      </c>
      <c r="B58" s="68" t="s">
        <v>244</v>
      </c>
      <c r="C58" s="69" t="s">
        <v>2</v>
      </c>
      <c r="D58" s="68" t="s">
        <v>191</v>
      </c>
      <c r="E58" s="68" t="s">
        <v>244</v>
      </c>
      <c r="F58" s="69" t="s">
        <v>2</v>
      </c>
      <c r="G58" s="167"/>
      <c r="H58" s="168"/>
      <c r="I58" s="168"/>
      <c r="J58" s="169"/>
    </row>
    <row r="59" spans="1:13" ht="15" customHeight="1">
      <c r="A59" s="170">
        <v>0</v>
      </c>
      <c r="B59" s="148">
        <v>0</v>
      </c>
      <c r="C59" s="171">
        <v>0</v>
      </c>
      <c r="D59" s="172">
        <v>0.7</v>
      </c>
      <c r="E59" s="148">
        <v>153.71271262530632</v>
      </c>
      <c r="F59" s="171">
        <v>578.36260986328125</v>
      </c>
      <c r="G59" s="167"/>
      <c r="H59" s="168"/>
      <c r="I59" s="168"/>
      <c r="J59" s="169"/>
    </row>
    <row r="60" spans="1:13" ht="15" customHeight="1">
      <c r="A60" s="173">
        <v>0.01</v>
      </c>
      <c r="B60" s="148">
        <v>103.53000254319832</v>
      </c>
      <c r="C60" s="171">
        <v>87.450714111328125</v>
      </c>
      <c r="D60" s="172">
        <v>0.8</v>
      </c>
      <c r="E60" s="148">
        <v>155.85154047702466</v>
      </c>
      <c r="F60" s="171">
        <v>583.5220947265625</v>
      </c>
      <c r="G60" s="167"/>
      <c r="H60" s="168"/>
      <c r="I60" s="168"/>
      <c r="J60" s="169"/>
    </row>
    <row r="61" spans="1:13" ht="15" customHeight="1">
      <c r="A61" s="173">
        <v>0.05</v>
      </c>
      <c r="B61" s="148">
        <v>323.91075175065947</v>
      </c>
      <c r="C61" s="171">
        <v>329.43780517578125</v>
      </c>
      <c r="D61" s="172">
        <v>0.9</v>
      </c>
      <c r="E61" s="148">
        <v>159.18559442197531</v>
      </c>
      <c r="F61" s="171">
        <v>588.22052001953125</v>
      </c>
      <c r="G61" s="167"/>
      <c r="H61" s="168"/>
      <c r="I61" s="168"/>
      <c r="J61" s="169"/>
    </row>
    <row r="62" spans="1:13" ht="15" customHeight="1">
      <c r="A62" s="170">
        <v>0.1</v>
      </c>
      <c r="B62" s="148">
        <v>317.5298605584797</v>
      </c>
      <c r="C62" s="171">
        <v>455.50881958007813</v>
      </c>
      <c r="D62" s="174">
        <v>1</v>
      </c>
      <c r="E62" s="148">
        <v>163.38955563361941</v>
      </c>
      <c r="F62" s="171">
        <v>592.5045166015625</v>
      </c>
      <c r="G62" s="167"/>
      <c r="H62" s="168"/>
      <c r="I62" s="168"/>
      <c r="J62" s="169"/>
    </row>
    <row r="63" spans="1:13" ht="15" customHeight="1">
      <c r="A63" s="170">
        <v>0.15</v>
      </c>
      <c r="B63" s="148">
        <v>267.32121446613894</v>
      </c>
      <c r="C63" s="171">
        <v>503.23696899414063</v>
      </c>
      <c r="D63" s="174"/>
      <c r="E63" s="148"/>
      <c r="F63" s="171"/>
      <c r="G63" s="167"/>
      <c r="H63" s="168"/>
      <c r="I63" s="168"/>
      <c r="J63" s="169"/>
    </row>
    <row r="64" spans="1:13" ht="15" customHeight="1">
      <c r="A64" s="170">
        <v>0.2</v>
      </c>
      <c r="B64" s="148">
        <v>228.52543540419083</v>
      </c>
      <c r="C64" s="171">
        <v>525.52020263671875</v>
      </c>
      <c r="D64" s="174"/>
      <c r="E64" s="148"/>
      <c r="F64" s="171"/>
      <c r="G64" s="167"/>
      <c r="H64" s="168"/>
      <c r="I64" s="168"/>
      <c r="J64" s="169"/>
    </row>
    <row r="65" spans="1:10" ht="15" customHeight="1">
      <c r="A65" s="170">
        <v>0.3</v>
      </c>
      <c r="B65" s="148">
        <v>184.5251364323891</v>
      </c>
      <c r="C65" s="171">
        <v>546.5946044921875</v>
      </c>
      <c r="D65" s="174"/>
      <c r="E65" s="148"/>
      <c r="F65" s="171"/>
      <c r="G65" s="167"/>
      <c r="H65" s="168"/>
      <c r="I65" s="168"/>
      <c r="J65" s="169"/>
    </row>
    <row r="66" spans="1:10" ht="15" customHeight="1">
      <c r="A66" s="170">
        <v>0.4</v>
      </c>
      <c r="B66" s="148">
        <v>164.68851069545426</v>
      </c>
      <c r="C66" s="171">
        <v>557.8023681640625</v>
      </c>
      <c r="D66" s="174"/>
      <c r="E66" s="148"/>
      <c r="F66" s="171"/>
      <c r="G66" s="167"/>
      <c r="H66" s="168"/>
      <c r="I66" s="168"/>
      <c r="J66" s="169"/>
    </row>
    <row r="67" spans="1:10" ht="15" customHeight="1">
      <c r="A67" s="170">
        <v>0.5</v>
      </c>
      <c r="B67" s="148">
        <v>156.17564932135727</v>
      </c>
      <c r="C67" s="171">
        <v>565.897705078125</v>
      </c>
      <c r="D67" s="174"/>
      <c r="E67" s="148"/>
      <c r="F67" s="171"/>
      <c r="G67" s="167"/>
      <c r="H67" s="168"/>
      <c r="I67" s="168"/>
      <c r="J67" s="169"/>
    </row>
    <row r="68" spans="1:10" ht="15" customHeight="1" thickBot="1">
      <c r="A68" s="177">
        <v>0.6</v>
      </c>
      <c r="B68" s="176">
        <v>153.43172510884835</v>
      </c>
      <c r="C68" s="178">
        <v>572.64288330078125</v>
      </c>
      <c r="D68" s="175"/>
      <c r="E68" s="176"/>
      <c r="F68" s="178"/>
      <c r="G68" s="179"/>
      <c r="H68" s="180"/>
      <c r="I68" s="180"/>
      <c r="J68" s="181"/>
    </row>
    <row r="69" spans="1:10" ht="15" customHeight="1">
      <c r="A69" s="526"/>
      <c r="B69" s="527"/>
      <c r="C69" s="168"/>
      <c r="D69" s="168"/>
      <c r="E69" s="168"/>
      <c r="F69" s="168"/>
      <c r="G69" s="168"/>
      <c r="H69" s="168"/>
      <c r="I69" s="168"/>
      <c r="J69" s="168"/>
    </row>
    <row r="70" spans="1:10" ht="15" customHeight="1">
      <c r="A70" s="168"/>
      <c r="B70" s="168"/>
      <c r="C70" s="168"/>
      <c r="D70" s="168"/>
      <c r="E70" s="168"/>
      <c r="F70" s="168"/>
      <c r="G70" s="168"/>
      <c r="H70" s="168"/>
      <c r="I70" s="168"/>
      <c r="J70" s="168"/>
    </row>
    <row r="71" spans="1:10">
      <c r="A71" s="48"/>
      <c r="B71" s="48"/>
      <c r="C71" s="48"/>
      <c r="D71" s="48"/>
      <c r="E71" s="48"/>
      <c r="F71" s="48"/>
      <c r="G71" s="48"/>
      <c r="H71" s="48"/>
      <c r="I71" s="48"/>
      <c r="J71" s="48"/>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53"/>
  <sheetViews>
    <sheetView tabSelected="1" workbookViewId="0">
      <selection activeCell="M15" sqref="M15"/>
    </sheetView>
  </sheetViews>
  <sheetFormatPr defaultColWidth="8.59765625" defaultRowHeight="15.75"/>
  <cols>
    <col min="1" max="1" width="9.09765625" style="325" customWidth="1"/>
    <col min="2" max="2" width="4.59765625" style="325" customWidth="1"/>
    <col min="3" max="3" width="5.296875" style="325" customWidth="1"/>
    <col min="4" max="4" width="9.69921875" style="325" customWidth="1"/>
    <col min="5" max="5" width="9.3984375" style="325" customWidth="1"/>
    <col min="6" max="6" width="7.09765625" style="325" customWidth="1"/>
    <col min="7" max="7" width="4.19921875" style="325" customWidth="1"/>
    <col min="8" max="8" width="5.8984375" style="325" customWidth="1"/>
    <col min="9" max="9" width="4.8984375" style="325" customWidth="1"/>
    <col min="10" max="11" width="9" style="325" customWidth="1"/>
    <col min="12" max="26" width="8.59765625" style="182"/>
    <col min="27" max="256" width="8.59765625" style="183"/>
    <col min="257" max="257" width="9.09765625" style="183" customWidth="1"/>
    <col min="258" max="258" width="4.59765625" style="183" customWidth="1"/>
    <col min="259" max="259" width="5.296875" style="183" customWidth="1"/>
    <col min="260" max="260" width="9.69921875" style="183" customWidth="1"/>
    <col min="261" max="261" width="9.3984375" style="183" customWidth="1"/>
    <col min="262" max="262" width="7.09765625" style="183" customWidth="1"/>
    <col min="263" max="263" width="4.19921875" style="183" customWidth="1"/>
    <col min="264" max="264" width="5.8984375" style="183" customWidth="1"/>
    <col min="265" max="265" width="4.8984375" style="183" customWidth="1"/>
    <col min="266" max="267" width="9" style="183" customWidth="1"/>
    <col min="268" max="512" width="8.59765625" style="183"/>
    <col min="513" max="513" width="9.09765625" style="183" customWidth="1"/>
    <col min="514" max="514" width="4.59765625" style="183" customWidth="1"/>
    <col min="515" max="515" width="5.296875" style="183" customWidth="1"/>
    <col min="516" max="516" width="9.69921875" style="183" customWidth="1"/>
    <col min="517" max="517" width="9.3984375" style="183" customWidth="1"/>
    <col min="518" max="518" width="7.09765625" style="183" customWidth="1"/>
    <col min="519" max="519" width="4.19921875" style="183" customWidth="1"/>
    <col min="520" max="520" width="5.8984375" style="183" customWidth="1"/>
    <col min="521" max="521" width="4.8984375" style="183" customWidth="1"/>
    <col min="522" max="523" width="9" style="183" customWidth="1"/>
    <col min="524" max="768" width="8.59765625" style="183"/>
    <col min="769" max="769" width="9.09765625" style="183" customWidth="1"/>
    <col min="770" max="770" width="4.59765625" style="183" customWidth="1"/>
    <col min="771" max="771" width="5.296875" style="183" customWidth="1"/>
    <col min="772" max="772" width="9.69921875" style="183" customWidth="1"/>
    <col min="773" max="773" width="9.3984375" style="183" customWidth="1"/>
    <col min="774" max="774" width="7.09765625" style="183" customWidth="1"/>
    <col min="775" max="775" width="4.19921875" style="183" customWidth="1"/>
    <col min="776" max="776" width="5.8984375" style="183" customWidth="1"/>
    <col min="777" max="777" width="4.8984375" style="183" customWidth="1"/>
    <col min="778" max="779" width="9" style="183" customWidth="1"/>
    <col min="780" max="1024" width="8.59765625" style="183"/>
    <col min="1025" max="1025" width="9.09765625" style="183" customWidth="1"/>
    <col min="1026" max="1026" width="4.59765625" style="183" customWidth="1"/>
    <col min="1027" max="1027" width="5.296875" style="183" customWidth="1"/>
    <col min="1028" max="1028" width="9.69921875" style="183" customWidth="1"/>
    <col min="1029" max="1029" width="9.3984375" style="183" customWidth="1"/>
    <col min="1030" max="1030" width="7.09765625" style="183" customWidth="1"/>
    <col min="1031" max="1031" width="4.19921875" style="183" customWidth="1"/>
    <col min="1032" max="1032" width="5.8984375" style="183" customWidth="1"/>
    <col min="1033" max="1033" width="4.8984375" style="183" customWidth="1"/>
    <col min="1034" max="1035" width="9" style="183" customWidth="1"/>
    <col min="1036" max="1280" width="8.59765625" style="183"/>
    <col min="1281" max="1281" width="9.09765625" style="183" customWidth="1"/>
    <col min="1282" max="1282" width="4.59765625" style="183" customWidth="1"/>
    <col min="1283" max="1283" width="5.296875" style="183" customWidth="1"/>
    <col min="1284" max="1284" width="9.69921875" style="183" customWidth="1"/>
    <col min="1285" max="1285" width="9.3984375" style="183" customWidth="1"/>
    <col min="1286" max="1286" width="7.09765625" style="183" customWidth="1"/>
    <col min="1287" max="1287" width="4.19921875" style="183" customWidth="1"/>
    <col min="1288" max="1288" width="5.8984375" style="183" customWidth="1"/>
    <col min="1289" max="1289" width="4.8984375" style="183" customWidth="1"/>
    <col min="1290" max="1291" width="9" style="183" customWidth="1"/>
    <col min="1292" max="1536" width="8.59765625" style="183"/>
    <col min="1537" max="1537" width="9.09765625" style="183" customWidth="1"/>
    <col min="1538" max="1538" width="4.59765625" style="183" customWidth="1"/>
    <col min="1539" max="1539" width="5.296875" style="183" customWidth="1"/>
    <col min="1540" max="1540" width="9.69921875" style="183" customWidth="1"/>
    <col min="1541" max="1541" width="9.3984375" style="183" customWidth="1"/>
    <col min="1542" max="1542" width="7.09765625" style="183" customWidth="1"/>
    <col min="1543" max="1543" width="4.19921875" style="183" customWidth="1"/>
    <col min="1544" max="1544" width="5.8984375" style="183" customWidth="1"/>
    <col min="1545" max="1545" width="4.8984375" style="183" customWidth="1"/>
    <col min="1546" max="1547" width="9" style="183" customWidth="1"/>
    <col min="1548" max="1792" width="8.59765625" style="183"/>
    <col min="1793" max="1793" width="9.09765625" style="183" customWidth="1"/>
    <col min="1794" max="1794" width="4.59765625" style="183" customWidth="1"/>
    <col min="1795" max="1795" width="5.296875" style="183" customWidth="1"/>
    <col min="1796" max="1796" width="9.69921875" style="183" customWidth="1"/>
    <col min="1797" max="1797" width="9.3984375" style="183" customWidth="1"/>
    <col min="1798" max="1798" width="7.09765625" style="183" customWidth="1"/>
    <col min="1799" max="1799" width="4.19921875" style="183" customWidth="1"/>
    <col min="1800" max="1800" width="5.8984375" style="183" customWidth="1"/>
    <col min="1801" max="1801" width="4.8984375" style="183" customWidth="1"/>
    <col min="1802" max="1803" width="9" style="183" customWidth="1"/>
    <col min="1804" max="2048" width="8.59765625" style="183"/>
    <col min="2049" max="2049" width="9.09765625" style="183" customWidth="1"/>
    <col min="2050" max="2050" width="4.59765625" style="183" customWidth="1"/>
    <col min="2051" max="2051" width="5.296875" style="183" customWidth="1"/>
    <col min="2052" max="2052" width="9.69921875" style="183" customWidth="1"/>
    <col min="2053" max="2053" width="9.3984375" style="183" customWidth="1"/>
    <col min="2054" max="2054" width="7.09765625" style="183" customWidth="1"/>
    <col min="2055" max="2055" width="4.19921875" style="183" customWidth="1"/>
    <col min="2056" max="2056" width="5.8984375" style="183" customWidth="1"/>
    <col min="2057" max="2057" width="4.8984375" style="183" customWidth="1"/>
    <col min="2058" max="2059" width="9" style="183" customWidth="1"/>
    <col min="2060" max="2304" width="8.59765625" style="183"/>
    <col min="2305" max="2305" width="9.09765625" style="183" customWidth="1"/>
    <col min="2306" max="2306" width="4.59765625" style="183" customWidth="1"/>
    <col min="2307" max="2307" width="5.296875" style="183" customWidth="1"/>
    <col min="2308" max="2308" width="9.69921875" style="183" customWidth="1"/>
    <col min="2309" max="2309" width="9.3984375" style="183" customWidth="1"/>
    <col min="2310" max="2310" width="7.09765625" style="183" customWidth="1"/>
    <col min="2311" max="2311" width="4.19921875" style="183" customWidth="1"/>
    <col min="2312" max="2312" width="5.8984375" style="183" customWidth="1"/>
    <col min="2313" max="2313" width="4.8984375" style="183" customWidth="1"/>
    <col min="2314" max="2315" width="9" style="183" customWidth="1"/>
    <col min="2316" max="2560" width="8.59765625" style="183"/>
    <col min="2561" max="2561" width="9.09765625" style="183" customWidth="1"/>
    <col min="2562" max="2562" width="4.59765625" style="183" customWidth="1"/>
    <col min="2563" max="2563" width="5.296875" style="183" customWidth="1"/>
    <col min="2564" max="2564" width="9.69921875" style="183" customWidth="1"/>
    <col min="2565" max="2565" width="9.3984375" style="183" customWidth="1"/>
    <col min="2566" max="2566" width="7.09765625" style="183" customWidth="1"/>
    <col min="2567" max="2567" width="4.19921875" style="183" customWidth="1"/>
    <col min="2568" max="2568" width="5.8984375" style="183" customWidth="1"/>
    <col min="2569" max="2569" width="4.8984375" style="183" customWidth="1"/>
    <col min="2570" max="2571" width="9" style="183" customWidth="1"/>
    <col min="2572" max="2816" width="8.59765625" style="183"/>
    <col min="2817" max="2817" width="9.09765625" style="183" customWidth="1"/>
    <col min="2818" max="2818" width="4.59765625" style="183" customWidth="1"/>
    <col min="2819" max="2819" width="5.296875" style="183" customWidth="1"/>
    <col min="2820" max="2820" width="9.69921875" style="183" customWidth="1"/>
    <col min="2821" max="2821" width="9.3984375" style="183" customWidth="1"/>
    <col min="2822" max="2822" width="7.09765625" style="183" customWidth="1"/>
    <col min="2823" max="2823" width="4.19921875" style="183" customWidth="1"/>
    <col min="2824" max="2824" width="5.8984375" style="183" customWidth="1"/>
    <col min="2825" max="2825" width="4.8984375" style="183" customWidth="1"/>
    <col min="2826" max="2827" width="9" style="183" customWidth="1"/>
    <col min="2828" max="3072" width="8.59765625" style="183"/>
    <col min="3073" max="3073" width="9.09765625" style="183" customWidth="1"/>
    <col min="3074" max="3074" width="4.59765625" style="183" customWidth="1"/>
    <col min="3075" max="3075" width="5.296875" style="183" customWidth="1"/>
    <col min="3076" max="3076" width="9.69921875" style="183" customWidth="1"/>
    <col min="3077" max="3077" width="9.3984375" style="183" customWidth="1"/>
    <col min="3078" max="3078" width="7.09765625" style="183" customWidth="1"/>
    <col min="3079" max="3079" width="4.19921875" style="183" customWidth="1"/>
    <col min="3080" max="3080" width="5.8984375" style="183" customWidth="1"/>
    <col min="3081" max="3081" width="4.8984375" style="183" customWidth="1"/>
    <col min="3082" max="3083" width="9" style="183" customWidth="1"/>
    <col min="3084" max="3328" width="8.59765625" style="183"/>
    <col min="3329" max="3329" width="9.09765625" style="183" customWidth="1"/>
    <col min="3330" max="3330" width="4.59765625" style="183" customWidth="1"/>
    <col min="3331" max="3331" width="5.296875" style="183" customWidth="1"/>
    <col min="3332" max="3332" width="9.69921875" style="183" customWidth="1"/>
    <col min="3333" max="3333" width="9.3984375" style="183" customWidth="1"/>
    <col min="3334" max="3334" width="7.09765625" style="183" customWidth="1"/>
    <col min="3335" max="3335" width="4.19921875" style="183" customWidth="1"/>
    <col min="3336" max="3336" width="5.8984375" style="183" customWidth="1"/>
    <col min="3337" max="3337" width="4.8984375" style="183" customWidth="1"/>
    <col min="3338" max="3339" width="9" style="183" customWidth="1"/>
    <col min="3340" max="3584" width="8.59765625" style="183"/>
    <col min="3585" max="3585" width="9.09765625" style="183" customWidth="1"/>
    <col min="3586" max="3586" width="4.59765625" style="183" customWidth="1"/>
    <col min="3587" max="3587" width="5.296875" style="183" customWidth="1"/>
    <col min="3588" max="3588" width="9.69921875" style="183" customWidth="1"/>
    <col min="3589" max="3589" width="9.3984375" style="183" customWidth="1"/>
    <col min="3590" max="3590" width="7.09765625" style="183" customWidth="1"/>
    <col min="3591" max="3591" width="4.19921875" style="183" customWidth="1"/>
    <col min="3592" max="3592" width="5.8984375" style="183" customWidth="1"/>
    <col min="3593" max="3593" width="4.8984375" style="183" customWidth="1"/>
    <col min="3594" max="3595" width="9" style="183" customWidth="1"/>
    <col min="3596" max="3840" width="8.59765625" style="183"/>
    <col min="3841" max="3841" width="9.09765625" style="183" customWidth="1"/>
    <col min="3842" max="3842" width="4.59765625" style="183" customWidth="1"/>
    <col min="3843" max="3843" width="5.296875" style="183" customWidth="1"/>
    <col min="3844" max="3844" width="9.69921875" style="183" customWidth="1"/>
    <col min="3845" max="3845" width="9.3984375" style="183" customWidth="1"/>
    <col min="3846" max="3846" width="7.09765625" style="183" customWidth="1"/>
    <col min="3847" max="3847" width="4.19921875" style="183" customWidth="1"/>
    <col min="3848" max="3848" width="5.8984375" style="183" customWidth="1"/>
    <col min="3849" max="3849" width="4.8984375" style="183" customWidth="1"/>
    <col min="3850" max="3851" width="9" style="183" customWidth="1"/>
    <col min="3852" max="4096" width="8.59765625" style="183"/>
    <col min="4097" max="4097" width="9.09765625" style="183" customWidth="1"/>
    <col min="4098" max="4098" width="4.59765625" style="183" customWidth="1"/>
    <col min="4099" max="4099" width="5.296875" style="183" customWidth="1"/>
    <col min="4100" max="4100" width="9.69921875" style="183" customWidth="1"/>
    <col min="4101" max="4101" width="9.3984375" style="183" customWidth="1"/>
    <col min="4102" max="4102" width="7.09765625" style="183" customWidth="1"/>
    <col min="4103" max="4103" width="4.19921875" style="183" customWidth="1"/>
    <col min="4104" max="4104" width="5.8984375" style="183" customWidth="1"/>
    <col min="4105" max="4105" width="4.8984375" style="183" customWidth="1"/>
    <col min="4106" max="4107" width="9" style="183" customWidth="1"/>
    <col min="4108" max="4352" width="8.59765625" style="183"/>
    <col min="4353" max="4353" width="9.09765625" style="183" customWidth="1"/>
    <col min="4354" max="4354" width="4.59765625" style="183" customWidth="1"/>
    <col min="4355" max="4355" width="5.296875" style="183" customWidth="1"/>
    <col min="4356" max="4356" width="9.69921875" style="183" customWidth="1"/>
    <col min="4357" max="4357" width="9.3984375" style="183" customWidth="1"/>
    <col min="4358" max="4358" width="7.09765625" style="183" customWidth="1"/>
    <col min="4359" max="4359" width="4.19921875" style="183" customWidth="1"/>
    <col min="4360" max="4360" width="5.8984375" style="183" customWidth="1"/>
    <col min="4361" max="4361" width="4.8984375" style="183" customWidth="1"/>
    <col min="4362" max="4363" width="9" style="183" customWidth="1"/>
    <col min="4364" max="4608" width="8.59765625" style="183"/>
    <col min="4609" max="4609" width="9.09765625" style="183" customWidth="1"/>
    <col min="4610" max="4610" width="4.59765625" style="183" customWidth="1"/>
    <col min="4611" max="4611" width="5.296875" style="183" customWidth="1"/>
    <col min="4612" max="4612" width="9.69921875" style="183" customWidth="1"/>
    <col min="4613" max="4613" width="9.3984375" style="183" customWidth="1"/>
    <col min="4614" max="4614" width="7.09765625" style="183" customWidth="1"/>
    <col min="4615" max="4615" width="4.19921875" style="183" customWidth="1"/>
    <col min="4616" max="4616" width="5.8984375" style="183" customWidth="1"/>
    <col min="4617" max="4617" width="4.8984375" style="183" customWidth="1"/>
    <col min="4618" max="4619" width="9" style="183" customWidth="1"/>
    <col min="4620" max="4864" width="8.59765625" style="183"/>
    <col min="4865" max="4865" width="9.09765625" style="183" customWidth="1"/>
    <col min="4866" max="4866" width="4.59765625" style="183" customWidth="1"/>
    <col min="4867" max="4867" width="5.296875" style="183" customWidth="1"/>
    <col min="4868" max="4868" width="9.69921875" style="183" customWidth="1"/>
    <col min="4869" max="4869" width="9.3984375" style="183" customWidth="1"/>
    <col min="4870" max="4870" width="7.09765625" style="183" customWidth="1"/>
    <col min="4871" max="4871" width="4.19921875" style="183" customWidth="1"/>
    <col min="4872" max="4872" width="5.8984375" style="183" customWidth="1"/>
    <col min="4873" max="4873" width="4.8984375" style="183" customWidth="1"/>
    <col min="4874" max="4875" width="9" style="183" customWidth="1"/>
    <col min="4876" max="5120" width="8.59765625" style="183"/>
    <col min="5121" max="5121" width="9.09765625" style="183" customWidth="1"/>
    <col min="5122" max="5122" width="4.59765625" style="183" customWidth="1"/>
    <col min="5123" max="5123" width="5.296875" style="183" customWidth="1"/>
    <col min="5124" max="5124" width="9.69921875" style="183" customWidth="1"/>
    <col min="5125" max="5125" width="9.3984375" style="183" customWidth="1"/>
    <col min="5126" max="5126" width="7.09765625" style="183" customWidth="1"/>
    <col min="5127" max="5127" width="4.19921875" style="183" customWidth="1"/>
    <col min="5128" max="5128" width="5.8984375" style="183" customWidth="1"/>
    <col min="5129" max="5129" width="4.8984375" style="183" customWidth="1"/>
    <col min="5130" max="5131" width="9" style="183" customWidth="1"/>
    <col min="5132" max="5376" width="8.59765625" style="183"/>
    <col min="5377" max="5377" width="9.09765625" style="183" customWidth="1"/>
    <col min="5378" max="5378" width="4.59765625" style="183" customWidth="1"/>
    <col min="5379" max="5379" width="5.296875" style="183" customWidth="1"/>
    <col min="5380" max="5380" width="9.69921875" style="183" customWidth="1"/>
    <col min="5381" max="5381" width="9.3984375" style="183" customWidth="1"/>
    <col min="5382" max="5382" width="7.09765625" style="183" customWidth="1"/>
    <col min="5383" max="5383" width="4.19921875" style="183" customWidth="1"/>
    <col min="5384" max="5384" width="5.8984375" style="183" customWidth="1"/>
    <col min="5385" max="5385" width="4.8984375" style="183" customWidth="1"/>
    <col min="5386" max="5387" width="9" style="183" customWidth="1"/>
    <col min="5388" max="5632" width="8.59765625" style="183"/>
    <col min="5633" max="5633" width="9.09765625" style="183" customWidth="1"/>
    <col min="5634" max="5634" width="4.59765625" style="183" customWidth="1"/>
    <col min="5635" max="5635" width="5.296875" style="183" customWidth="1"/>
    <col min="5636" max="5636" width="9.69921875" style="183" customWidth="1"/>
    <col min="5637" max="5637" width="9.3984375" style="183" customWidth="1"/>
    <col min="5638" max="5638" width="7.09765625" style="183" customWidth="1"/>
    <col min="5639" max="5639" width="4.19921875" style="183" customWidth="1"/>
    <col min="5640" max="5640" width="5.8984375" style="183" customWidth="1"/>
    <col min="5641" max="5641" width="4.8984375" style="183" customWidth="1"/>
    <col min="5642" max="5643" width="9" style="183" customWidth="1"/>
    <col min="5644" max="5888" width="8.59765625" style="183"/>
    <col min="5889" max="5889" width="9.09765625" style="183" customWidth="1"/>
    <col min="5890" max="5890" width="4.59765625" style="183" customWidth="1"/>
    <col min="5891" max="5891" width="5.296875" style="183" customWidth="1"/>
    <col min="5892" max="5892" width="9.69921875" style="183" customWidth="1"/>
    <col min="5893" max="5893" width="9.3984375" style="183" customWidth="1"/>
    <col min="5894" max="5894" width="7.09765625" style="183" customWidth="1"/>
    <col min="5895" max="5895" width="4.19921875" style="183" customWidth="1"/>
    <col min="5896" max="5896" width="5.8984375" style="183" customWidth="1"/>
    <col min="5897" max="5897" width="4.8984375" style="183" customWidth="1"/>
    <col min="5898" max="5899" width="9" style="183" customWidth="1"/>
    <col min="5900" max="6144" width="8.59765625" style="183"/>
    <col min="6145" max="6145" width="9.09765625" style="183" customWidth="1"/>
    <col min="6146" max="6146" width="4.59765625" style="183" customWidth="1"/>
    <col min="6147" max="6147" width="5.296875" style="183" customWidth="1"/>
    <col min="6148" max="6148" width="9.69921875" style="183" customWidth="1"/>
    <col min="6149" max="6149" width="9.3984375" style="183" customWidth="1"/>
    <col min="6150" max="6150" width="7.09765625" style="183" customWidth="1"/>
    <col min="6151" max="6151" width="4.19921875" style="183" customWidth="1"/>
    <col min="6152" max="6152" width="5.8984375" style="183" customWidth="1"/>
    <col min="6153" max="6153" width="4.8984375" style="183" customWidth="1"/>
    <col min="6154" max="6155" width="9" style="183" customWidth="1"/>
    <col min="6156" max="6400" width="8.59765625" style="183"/>
    <col min="6401" max="6401" width="9.09765625" style="183" customWidth="1"/>
    <col min="6402" max="6402" width="4.59765625" style="183" customWidth="1"/>
    <col min="6403" max="6403" width="5.296875" style="183" customWidth="1"/>
    <col min="6404" max="6404" width="9.69921875" style="183" customWidth="1"/>
    <col min="6405" max="6405" width="9.3984375" style="183" customWidth="1"/>
    <col min="6406" max="6406" width="7.09765625" style="183" customWidth="1"/>
    <col min="6407" max="6407" width="4.19921875" style="183" customWidth="1"/>
    <col min="6408" max="6408" width="5.8984375" style="183" customWidth="1"/>
    <col min="6409" max="6409" width="4.8984375" style="183" customWidth="1"/>
    <col min="6410" max="6411" width="9" style="183" customWidth="1"/>
    <col min="6412" max="6656" width="8.59765625" style="183"/>
    <col min="6657" max="6657" width="9.09765625" style="183" customWidth="1"/>
    <col min="6658" max="6658" width="4.59765625" style="183" customWidth="1"/>
    <col min="6659" max="6659" width="5.296875" style="183" customWidth="1"/>
    <col min="6660" max="6660" width="9.69921875" style="183" customWidth="1"/>
    <col min="6661" max="6661" width="9.3984375" style="183" customWidth="1"/>
    <col min="6662" max="6662" width="7.09765625" style="183" customWidth="1"/>
    <col min="6663" max="6663" width="4.19921875" style="183" customWidth="1"/>
    <col min="6664" max="6664" width="5.8984375" style="183" customWidth="1"/>
    <col min="6665" max="6665" width="4.8984375" style="183" customWidth="1"/>
    <col min="6666" max="6667" width="9" style="183" customWidth="1"/>
    <col min="6668" max="6912" width="8.59765625" style="183"/>
    <col min="6913" max="6913" width="9.09765625" style="183" customWidth="1"/>
    <col min="6914" max="6914" width="4.59765625" style="183" customWidth="1"/>
    <col min="6915" max="6915" width="5.296875" style="183" customWidth="1"/>
    <col min="6916" max="6916" width="9.69921875" style="183" customWidth="1"/>
    <col min="6917" max="6917" width="9.3984375" style="183" customWidth="1"/>
    <col min="6918" max="6918" width="7.09765625" style="183" customWidth="1"/>
    <col min="6919" max="6919" width="4.19921875" style="183" customWidth="1"/>
    <col min="6920" max="6920" width="5.8984375" style="183" customWidth="1"/>
    <col min="6921" max="6921" width="4.8984375" style="183" customWidth="1"/>
    <col min="6922" max="6923" width="9" style="183" customWidth="1"/>
    <col min="6924" max="7168" width="8.59765625" style="183"/>
    <col min="7169" max="7169" width="9.09765625" style="183" customWidth="1"/>
    <col min="7170" max="7170" width="4.59765625" style="183" customWidth="1"/>
    <col min="7171" max="7171" width="5.296875" style="183" customWidth="1"/>
    <col min="7172" max="7172" width="9.69921875" style="183" customWidth="1"/>
    <col min="7173" max="7173" width="9.3984375" style="183" customWidth="1"/>
    <col min="7174" max="7174" width="7.09765625" style="183" customWidth="1"/>
    <col min="7175" max="7175" width="4.19921875" style="183" customWidth="1"/>
    <col min="7176" max="7176" width="5.8984375" style="183" customWidth="1"/>
    <col min="7177" max="7177" width="4.8984375" style="183" customWidth="1"/>
    <col min="7178" max="7179" width="9" style="183" customWidth="1"/>
    <col min="7180" max="7424" width="8.59765625" style="183"/>
    <col min="7425" max="7425" width="9.09765625" style="183" customWidth="1"/>
    <col min="7426" max="7426" width="4.59765625" style="183" customWidth="1"/>
    <col min="7427" max="7427" width="5.296875" style="183" customWidth="1"/>
    <col min="7428" max="7428" width="9.69921875" style="183" customWidth="1"/>
    <col min="7429" max="7429" width="9.3984375" style="183" customWidth="1"/>
    <col min="7430" max="7430" width="7.09765625" style="183" customWidth="1"/>
    <col min="7431" max="7431" width="4.19921875" style="183" customWidth="1"/>
    <col min="7432" max="7432" width="5.8984375" style="183" customWidth="1"/>
    <col min="7433" max="7433" width="4.8984375" style="183" customWidth="1"/>
    <col min="7434" max="7435" width="9" style="183" customWidth="1"/>
    <col min="7436" max="7680" width="8.59765625" style="183"/>
    <col min="7681" max="7681" width="9.09765625" style="183" customWidth="1"/>
    <col min="7682" max="7682" width="4.59765625" style="183" customWidth="1"/>
    <col min="7683" max="7683" width="5.296875" style="183" customWidth="1"/>
    <col min="7684" max="7684" width="9.69921875" style="183" customWidth="1"/>
    <col min="7685" max="7685" width="9.3984375" style="183" customWidth="1"/>
    <col min="7686" max="7686" width="7.09765625" style="183" customWidth="1"/>
    <col min="7687" max="7687" width="4.19921875" style="183" customWidth="1"/>
    <col min="7688" max="7688" width="5.8984375" style="183" customWidth="1"/>
    <col min="7689" max="7689" width="4.8984375" style="183" customWidth="1"/>
    <col min="7690" max="7691" width="9" style="183" customWidth="1"/>
    <col min="7692" max="7936" width="8.59765625" style="183"/>
    <col min="7937" max="7937" width="9.09765625" style="183" customWidth="1"/>
    <col min="7938" max="7938" width="4.59765625" style="183" customWidth="1"/>
    <col min="7939" max="7939" width="5.296875" style="183" customWidth="1"/>
    <col min="7940" max="7940" width="9.69921875" style="183" customWidth="1"/>
    <col min="7941" max="7941" width="9.3984375" style="183" customWidth="1"/>
    <col min="7942" max="7942" width="7.09765625" style="183" customWidth="1"/>
    <col min="7943" max="7943" width="4.19921875" style="183" customWidth="1"/>
    <col min="7944" max="7944" width="5.8984375" style="183" customWidth="1"/>
    <col min="7945" max="7945" width="4.8984375" style="183" customWidth="1"/>
    <col min="7946" max="7947" width="9" style="183" customWidth="1"/>
    <col min="7948" max="8192" width="8.59765625" style="183"/>
    <col min="8193" max="8193" width="9.09765625" style="183" customWidth="1"/>
    <col min="8194" max="8194" width="4.59765625" style="183" customWidth="1"/>
    <col min="8195" max="8195" width="5.296875" style="183" customWidth="1"/>
    <col min="8196" max="8196" width="9.69921875" style="183" customWidth="1"/>
    <col min="8197" max="8197" width="9.3984375" style="183" customWidth="1"/>
    <col min="8198" max="8198" width="7.09765625" style="183" customWidth="1"/>
    <col min="8199" max="8199" width="4.19921875" style="183" customWidth="1"/>
    <col min="8200" max="8200" width="5.8984375" style="183" customWidth="1"/>
    <col min="8201" max="8201" width="4.8984375" style="183" customWidth="1"/>
    <col min="8202" max="8203" width="9" style="183" customWidth="1"/>
    <col min="8204" max="8448" width="8.59765625" style="183"/>
    <col min="8449" max="8449" width="9.09765625" style="183" customWidth="1"/>
    <col min="8450" max="8450" width="4.59765625" style="183" customWidth="1"/>
    <col min="8451" max="8451" width="5.296875" style="183" customWidth="1"/>
    <col min="8452" max="8452" width="9.69921875" style="183" customWidth="1"/>
    <col min="8453" max="8453" width="9.3984375" style="183" customWidth="1"/>
    <col min="8454" max="8454" width="7.09765625" style="183" customWidth="1"/>
    <col min="8455" max="8455" width="4.19921875" style="183" customWidth="1"/>
    <col min="8456" max="8456" width="5.8984375" style="183" customWidth="1"/>
    <col min="8457" max="8457" width="4.8984375" style="183" customWidth="1"/>
    <col min="8458" max="8459" width="9" style="183" customWidth="1"/>
    <col min="8460" max="8704" width="8.59765625" style="183"/>
    <col min="8705" max="8705" width="9.09765625" style="183" customWidth="1"/>
    <col min="8706" max="8706" width="4.59765625" style="183" customWidth="1"/>
    <col min="8707" max="8707" width="5.296875" style="183" customWidth="1"/>
    <col min="8708" max="8708" width="9.69921875" style="183" customWidth="1"/>
    <col min="8709" max="8709" width="9.3984375" style="183" customWidth="1"/>
    <col min="8710" max="8710" width="7.09765625" style="183" customWidth="1"/>
    <col min="8711" max="8711" width="4.19921875" style="183" customWidth="1"/>
    <col min="8712" max="8712" width="5.8984375" style="183" customWidth="1"/>
    <col min="8713" max="8713" width="4.8984375" style="183" customWidth="1"/>
    <col min="8714" max="8715" width="9" style="183" customWidth="1"/>
    <col min="8716" max="8960" width="8.59765625" style="183"/>
    <col min="8961" max="8961" width="9.09765625" style="183" customWidth="1"/>
    <col min="8962" max="8962" width="4.59765625" style="183" customWidth="1"/>
    <col min="8963" max="8963" width="5.296875" style="183" customWidth="1"/>
    <col min="8964" max="8964" width="9.69921875" style="183" customWidth="1"/>
    <col min="8965" max="8965" width="9.3984375" style="183" customWidth="1"/>
    <col min="8966" max="8966" width="7.09765625" style="183" customWidth="1"/>
    <col min="8967" max="8967" width="4.19921875" style="183" customWidth="1"/>
    <col min="8968" max="8968" width="5.8984375" style="183" customWidth="1"/>
    <col min="8969" max="8969" width="4.8984375" style="183" customWidth="1"/>
    <col min="8970" max="8971" width="9" style="183" customWidth="1"/>
    <col min="8972" max="9216" width="8.59765625" style="183"/>
    <col min="9217" max="9217" width="9.09765625" style="183" customWidth="1"/>
    <col min="9218" max="9218" width="4.59765625" style="183" customWidth="1"/>
    <col min="9219" max="9219" width="5.296875" style="183" customWidth="1"/>
    <col min="9220" max="9220" width="9.69921875" style="183" customWidth="1"/>
    <col min="9221" max="9221" width="9.3984375" style="183" customWidth="1"/>
    <col min="9222" max="9222" width="7.09765625" style="183" customWidth="1"/>
    <col min="9223" max="9223" width="4.19921875" style="183" customWidth="1"/>
    <col min="9224" max="9224" width="5.8984375" style="183" customWidth="1"/>
    <col min="9225" max="9225" width="4.8984375" style="183" customWidth="1"/>
    <col min="9226" max="9227" width="9" style="183" customWidth="1"/>
    <col min="9228" max="9472" width="8.59765625" style="183"/>
    <col min="9473" max="9473" width="9.09765625" style="183" customWidth="1"/>
    <col min="9474" max="9474" width="4.59765625" style="183" customWidth="1"/>
    <col min="9475" max="9475" width="5.296875" style="183" customWidth="1"/>
    <col min="9476" max="9476" width="9.69921875" style="183" customWidth="1"/>
    <col min="9477" max="9477" width="9.3984375" style="183" customWidth="1"/>
    <col min="9478" max="9478" width="7.09765625" style="183" customWidth="1"/>
    <col min="9479" max="9479" width="4.19921875" style="183" customWidth="1"/>
    <col min="9480" max="9480" width="5.8984375" style="183" customWidth="1"/>
    <col min="9481" max="9481" width="4.8984375" style="183" customWidth="1"/>
    <col min="9482" max="9483" width="9" style="183" customWidth="1"/>
    <col min="9484" max="9728" width="8.59765625" style="183"/>
    <col min="9729" max="9729" width="9.09765625" style="183" customWidth="1"/>
    <col min="9730" max="9730" width="4.59765625" style="183" customWidth="1"/>
    <col min="9731" max="9731" width="5.296875" style="183" customWidth="1"/>
    <col min="9732" max="9732" width="9.69921875" style="183" customWidth="1"/>
    <col min="9733" max="9733" width="9.3984375" style="183" customWidth="1"/>
    <col min="9734" max="9734" width="7.09765625" style="183" customWidth="1"/>
    <col min="9735" max="9735" width="4.19921875" style="183" customWidth="1"/>
    <col min="9736" max="9736" width="5.8984375" style="183" customWidth="1"/>
    <col min="9737" max="9737" width="4.8984375" style="183" customWidth="1"/>
    <col min="9738" max="9739" width="9" style="183" customWidth="1"/>
    <col min="9740" max="9984" width="8.59765625" style="183"/>
    <col min="9985" max="9985" width="9.09765625" style="183" customWidth="1"/>
    <col min="9986" max="9986" width="4.59765625" style="183" customWidth="1"/>
    <col min="9987" max="9987" width="5.296875" style="183" customWidth="1"/>
    <col min="9988" max="9988" width="9.69921875" style="183" customWidth="1"/>
    <col min="9989" max="9989" width="9.3984375" style="183" customWidth="1"/>
    <col min="9990" max="9990" width="7.09765625" style="183" customWidth="1"/>
    <col min="9991" max="9991" width="4.19921875" style="183" customWidth="1"/>
    <col min="9992" max="9992" width="5.8984375" style="183" customWidth="1"/>
    <col min="9993" max="9993" width="4.8984375" style="183" customWidth="1"/>
    <col min="9994" max="9995" width="9" style="183" customWidth="1"/>
    <col min="9996" max="10240" width="8.59765625" style="183"/>
    <col min="10241" max="10241" width="9.09765625" style="183" customWidth="1"/>
    <col min="10242" max="10242" width="4.59765625" style="183" customWidth="1"/>
    <col min="10243" max="10243" width="5.296875" style="183" customWidth="1"/>
    <col min="10244" max="10244" width="9.69921875" style="183" customWidth="1"/>
    <col min="10245" max="10245" width="9.3984375" style="183" customWidth="1"/>
    <col min="10246" max="10246" width="7.09765625" style="183" customWidth="1"/>
    <col min="10247" max="10247" width="4.19921875" style="183" customWidth="1"/>
    <col min="10248" max="10248" width="5.8984375" style="183" customWidth="1"/>
    <col min="10249" max="10249" width="4.8984375" style="183" customWidth="1"/>
    <col min="10250" max="10251" width="9" style="183" customWidth="1"/>
    <col min="10252" max="10496" width="8.59765625" style="183"/>
    <col min="10497" max="10497" width="9.09765625" style="183" customWidth="1"/>
    <col min="10498" max="10498" width="4.59765625" style="183" customWidth="1"/>
    <col min="10499" max="10499" width="5.296875" style="183" customWidth="1"/>
    <col min="10500" max="10500" width="9.69921875" style="183" customWidth="1"/>
    <col min="10501" max="10501" width="9.3984375" style="183" customWidth="1"/>
    <col min="10502" max="10502" width="7.09765625" style="183" customWidth="1"/>
    <col min="10503" max="10503" width="4.19921875" style="183" customWidth="1"/>
    <col min="10504" max="10504" width="5.8984375" style="183" customWidth="1"/>
    <col min="10505" max="10505" width="4.8984375" style="183" customWidth="1"/>
    <col min="10506" max="10507" width="9" style="183" customWidth="1"/>
    <col min="10508" max="10752" width="8.59765625" style="183"/>
    <col min="10753" max="10753" width="9.09765625" style="183" customWidth="1"/>
    <col min="10754" max="10754" width="4.59765625" style="183" customWidth="1"/>
    <col min="10755" max="10755" width="5.296875" style="183" customWidth="1"/>
    <col min="10756" max="10756" width="9.69921875" style="183" customWidth="1"/>
    <col min="10757" max="10757" width="9.3984375" style="183" customWidth="1"/>
    <col min="10758" max="10758" width="7.09765625" style="183" customWidth="1"/>
    <col min="10759" max="10759" width="4.19921875" style="183" customWidth="1"/>
    <col min="10760" max="10760" width="5.8984375" style="183" customWidth="1"/>
    <col min="10761" max="10761" width="4.8984375" style="183" customWidth="1"/>
    <col min="10762" max="10763" width="9" style="183" customWidth="1"/>
    <col min="10764" max="11008" width="8.59765625" style="183"/>
    <col min="11009" max="11009" width="9.09765625" style="183" customWidth="1"/>
    <col min="11010" max="11010" width="4.59765625" style="183" customWidth="1"/>
    <col min="11011" max="11011" width="5.296875" style="183" customWidth="1"/>
    <col min="11012" max="11012" width="9.69921875" style="183" customWidth="1"/>
    <col min="11013" max="11013" width="9.3984375" style="183" customWidth="1"/>
    <col min="11014" max="11014" width="7.09765625" style="183" customWidth="1"/>
    <col min="11015" max="11015" width="4.19921875" style="183" customWidth="1"/>
    <col min="11016" max="11016" width="5.8984375" style="183" customWidth="1"/>
    <col min="11017" max="11017" width="4.8984375" style="183" customWidth="1"/>
    <col min="11018" max="11019" width="9" style="183" customWidth="1"/>
    <col min="11020" max="11264" width="8.59765625" style="183"/>
    <col min="11265" max="11265" width="9.09765625" style="183" customWidth="1"/>
    <col min="11266" max="11266" width="4.59765625" style="183" customWidth="1"/>
    <col min="11267" max="11267" width="5.296875" style="183" customWidth="1"/>
    <col min="11268" max="11268" width="9.69921875" style="183" customWidth="1"/>
    <col min="11269" max="11269" width="9.3984375" style="183" customWidth="1"/>
    <col min="11270" max="11270" width="7.09765625" style="183" customWidth="1"/>
    <col min="11271" max="11271" width="4.19921875" style="183" customWidth="1"/>
    <col min="11272" max="11272" width="5.8984375" style="183" customWidth="1"/>
    <col min="11273" max="11273" width="4.8984375" style="183" customWidth="1"/>
    <col min="11274" max="11275" width="9" style="183" customWidth="1"/>
    <col min="11276" max="11520" width="8.59765625" style="183"/>
    <col min="11521" max="11521" width="9.09765625" style="183" customWidth="1"/>
    <col min="11522" max="11522" width="4.59765625" style="183" customWidth="1"/>
    <col min="11523" max="11523" width="5.296875" style="183" customWidth="1"/>
    <col min="11524" max="11524" width="9.69921875" style="183" customWidth="1"/>
    <col min="11525" max="11525" width="9.3984375" style="183" customWidth="1"/>
    <col min="11526" max="11526" width="7.09765625" style="183" customWidth="1"/>
    <col min="11527" max="11527" width="4.19921875" style="183" customWidth="1"/>
    <col min="11528" max="11528" width="5.8984375" style="183" customWidth="1"/>
    <col min="11529" max="11529" width="4.8984375" style="183" customWidth="1"/>
    <col min="11530" max="11531" width="9" style="183" customWidth="1"/>
    <col min="11532" max="11776" width="8.59765625" style="183"/>
    <col min="11777" max="11777" width="9.09765625" style="183" customWidth="1"/>
    <col min="11778" max="11778" width="4.59765625" style="183" customWidth="1"/>
    <col min="11779" max="11779" width="5.296875" style="183" customWidth="1"/>
    <col min="11780" max="11780" width="9.69921875" style="183" customWidth="1"/>
    <col min="11781" max="11781" width="9.3984375" style="183" customWidth="1"/>
    <col min="11782" max="11782" width="7.09765625" style="183" customWidth="1"/>
    <col min="11783" max="11783" width="4.19921875" style="183" customWidth="1"/>
    <col min="11784" max="11784" width="5.8984375" style="183" customWidth="1"/>
    <col min="11785" max="11785" width="4.8984375" style="183" customWidth="1"/>
    <col min="11786" max="11787" width="9" style="183" customWidth="1"/>
    <col min="11788" max="12032" width="8.59765625" style="183"/>
    <col min="12033" max="12033" width="9.09765625" style="183" customWidth="1"/>
    <col min="12034" max="12034" width="4.59765625" style="183" customWidth="1"/>
    <col min="12035" max="12035" width="5.296875" style="183" customWidth="1"/>
    <col min="12036" max="12036" width="9.69921875" style="183" customWidth="1"/>
    <col min="12037" max="12037" width="9.3984375" style="183" customWidth="1"/>
    <col min="12038" max="12038" width="7.09765625" style="183" customWidth="1"/>
    <col min="12039" max="12039" width="4.19921875" style="183" customWidth="1"/>
    <col min="12040" max="12040" width="5.8984375" style="183" customWidth="1"/>
    <col min="12041" max="12041" width="4.8984375" style="183" customWidth="1"/>
    <col min="12042" max="12043" width="9" style="183" customWidth="1"/>
    <col min="12044" max="12288" width="8.59765625" style="183"/>
    <col min="12289" max="12289" width="9.09765625" style="183" customWidth="1"/>
    <col min="12290" max="12290" width="4.59765625" style="183" customWidth="1"/>
    <col min="12291" max="12291" width="5.296875" style="183" customWidth="1"/>
    <col min="12292" max="12292" width="9.69921875" style="183" customWidth="1"/>
    <col min="12293" max="12293" width="9.3984375" style="183" customWidth="1"/>
    <col min="12294" max="12294" width="7.09765625" style="183" customWidth="1"/>
    <col min="12295" max="12295" width="4.19921875" style="183" customWidth="1"/>
    <col min="12296" max="12296" width="5.8984375" style="183" customWidth="1"/>
    <col min="12297" max="12297" width="4.8984375" style="183" customWidth="1"/>
    <col min="12298" max="12299" width="9" style="183" customWidth="1"/>
    <col min="12300" max="12544" width="8.59765625" style="183"/>
    <col min="12545" max="12545" width="9.09765625" style="183" customWidth="1"/>
    <col min="12546" max="12546" width="4.59765625" style="183" customWidth="1"/>
    <col min="12547" max="12547" width="5.296875" style="183" customWidth="1"/>
    <col min="12548" max="12548" width="9.69921875" style="183" customWidth="1"/>
    <col min="12549" max="12549" width="9.3984375" style="183" customWidth="1"/>
    <col min="12550" max="12550" width="7.09765625" style="183" customWidth="1"/>
    <col min="12551" max="12551" width="4.19921875" style="183" customWidth="1"/>
    <col min="12552" max="12552" width="5.8984375" style="183" customWidth="1"/>
    <col min="12553" max="12553" width="4.8984375" style="183" customWidth="1"/>
    <col min="12554" max="12555" width="9" style="183" customWidth="1"/>
    <col min="12556" max="12800" width="8.59765625" style="183"/>
    <col min="12801" max="12801" width="9.09765625" style="183" customWidth="1"/>
    <col min="12802" max="12802" width="4.59765625" style="183" customWidth="1"/>
    <col min="12803" max="12803" width="5.296875" style="183" customWidth="1"/>
    <col min="12804" max="12804" width="9.69921875" style="183" customWidth="1"/>
    <col min="12805" max="12805" width="9.3984375" style="183" customWidth="1"/>
    <col min="12806" max="12806" width="7.09765625" style="183" customWidth="1"/>
    <col min="12807" max="12807" width="4.19921875" style="183" customWidth="1"/>
    <col min="12808" max="12808" width="5.8984375" style="183" customWidth="1"/>
    <col min="12809" max="12809" width="4.8984375" style="183" customWidth="1"/>
    <col min="12810" max="12811" width="9" style="183" customWidth="1"/>
    <col min="12812" max="13056" width="8.59765625" style="183"/>
    <col min="13057" max="13057" width="9.09765625" style="183" customWidth="1"/>
    <col min="13058" max="13058" width="4.59765625" style="183" customWidth="1"/>
    <col min="13059" max="13059" width="5.296875" style="183" customWidth="1"/>
    <col min="13060" max="13060" width="9.69921875" style="183" customWidth="1"/>
    <col min="13061" max="13061" width="9.3984375" style="183" customWidth="1"/>
    <col min="13062" max="13062" width="7.09765625" style="183" customWidth="1"/>
    <col min="13063" max="13063" width="4.19921875" style="183" customWidth="1"/>
    <col min="13064" max="13064" width="5.8984375" style="183" customWidth="1"/>
    <col min="13065" max="13065" width="4.8984375" style="183" customWidth="1"/>
    <col min="13066" max="13067" width="9" style="183" customWidth="1"/>
    <col min="13068" max="13312" width="8.59765625" style="183"/>
    <col min="13313" max="13313" width="9.09765625" style="183" customWidth="1"/>
    <col min="13314" max="13314" width="4.59765625" style="183" customWidth="1"/>
    <col min="13315" max="13315" width="5.296875" style="183" customWidth="1"/>
    <col min="13316" max="13316" width="9.69921875" style="183" customWidth="1"/>
    <col min="13317" max="13317" width="9.3984375" style="183" customWidth="1"/>
    <col min="13318" max="13318" width="7.09765625" style="183" customWidth="1"/>
    <col min="13319" max="13319" width="4.19921875" style="183" customWidth="1"/>
    <col min="13320" max="13320" width="5.8984375" style="183" customWidth="1"/>
    <col min="13321" max="13321" width="4.8984375" style="183" customWidth="1"/>
    <col min="13322" max="13323" width="9" style="183" customWidth="1"/>
    <col min="13324" max="13568" width="8.59765625" style="183"/>
    <col min="13569" max="13569" width="9.09765625" style="183" customWidth="1"/>
    <col min="13570" max="13570" width="4.59765625" style="183" customWidth="1"/>
    <col min="13571" max="13571" width="5.296875" style="183" customWidth="1"/>
    <col min="13572" max="13572" width="9.69921875" style="183" customWidth="1"/>
    <col min="13573" max="13573" width="9.3984375" style="183" customWidth="1"/>
    <col min="13574" max="13574" width="7.09765625" style="183" customWidth="1"/>
    <col min="13575" max="13575" width="4.19921875" style="183" customWidth="1"/>
    <col min="13576" max="13576" width="5.8984375" style="183" customWidth="1"/>
    <col min="13577" max="13577" width="4.8984375" style="183" customWidth="1"/>
    <col min="13578" max="13579" width="9" style="183" customWidth="1"/>
    <col min="13580" max="13824" width="8.59765625" style="183"/>
    <col min="13825" max="13825" width="9.09765625" style="183" customWidth="1"/>
    <col min="13826" max="13826" width="4.59765625" style="183" customWidth="1"/>
    <col min="13827" max="13827" width="5.296875" style="183" customWidth="1"/>
    <col min="13828" max="13828" width="9.69921875" style="183" customWidth="1"/>
    <col min="13829" max="13829" width="9.3984375" style="183" customWidth="1"/>
    <col min="13830" max="13830" width="7.09765625" style="183" customWidth="1"/>
    <col min="13831" max="13831" width="4.19921875" style="183" customWidth="1"/>
    <col min="13832" max="13832" width="5.8984375" style="183" customWidth="1"/>
    <col min="13833" max="13833" width="4.8984375" style="183" customWidth="1"/>
    <col min="13834" max="13835" width="9" style="183" customWidth="1"/>
    <col min="13836" max="14080" width="8.59765625" style="183"/>
    <col min="14081" max="14081" width="9.09765625" style="183" customWidth="1"/>
    <col min="14082" max="14082" width="4.59765625" style="183" customWidth="1"/>
    <col min="14083" max="14083" width="5.296875" style="183" customWidth="1"/>
    <col min="14084" max="14084" width="9.69921875" style="183" customWidth="1"/>
    <col min="14085" max="14085" width="9.3984375" style="183" customWidth="1"/>
    <col min="14086" max="14086" width="7.09765625" style="183" customWidth="1"/>
    <col min="14087" max="14087" width="4.19921875" style="183" customWidth="1"/>
    <col min="14088" max="14088" width="5.8984375" style="183" customWidth="1"/>
    <col min="14089" max="14089" width="4.8984375" style="183" customWidth="1"/>
    <col min="14090" max="14091" width="9" style="183" customWidth="1"/>
    <col min="14092" max="14336" width="8.59765625" style="183"/>
    <col min="14337" max="14337" width="9.09765625" style="183" customWidth="1"/>
    <col min="14338" max="14338" width="4.59765625" style="183" customWidth="1"/>
    <col min="14339" max="14339" width="5.296875" style="183" customWidth="1"/>
    <col min="14340" max="14340" width="9.69921875" style="183" customWidth="1"/>
    <col min="14341" max="14341" width="9.3984375" style="183" customWidth="1"/>
    <col min="14342" max="14342" width="7.09765625" style="183" customWidth="1"/>
    <col min="14343" max="14343" width="4.19921875" style="183" customWidth="1"/>
    <col min="14344" max="14344" width="5.8984375" style="183" customWidth="1"/>
    <col min="14345" max="14345" width="4.8984375" style="183" customWidth="1"/>
    <col min="14346" max="14347" width="9" style="183" customWidth="1"/>
    <col min="14348" max="14592" width="8.59765625" style="183"/>
    <col min="14593" max="14593" width="9.09765625" style="183" customWidth="1"/>
    <col min="14594" max="14594" width="4.59765625" style="183" customWidth="1"/>
    <col min="14595" max="14595" width="5.296875" style="183" customWidth="1"/>
    <col min="14596" max="14596" width="9.69921875" style="183" customWidth="1"/>
    <col min="14597" max="14597" width="9.3984375" style="183" customWidth="1"/>
    <col min="14598" max="14598" width="7.09765625" style="183" customWidth="1"/>
    <col min="14599" max="14599" width="4.19921875" style="183" customWidth="1"/>
    <col min="14600" max="14600" width="5.8984375" style="183" customWidth="1"/>
    <col min="14601" max="14601" width="4.8984375" style="183" customWidth="1"/>
    <col min="14602" max="14603" width="9" style="183" customWidth="1"/>
    <col min="14604" max="14848" width="8.59765625" style="183"/>
    <col min="14849" max="14849" width="9.09765625" style="183" customWidth="1"/>
    <col min="14850" max="14850" width="4.59765625" style="183" customWidth="1"/>
    <col min="14851" max="14851" width="5.296875" style="183" customWidth="1"/>
    <col min="14852" max="14852" width="9.69921875" style="183" customWidth="1"/>
    <col min="14853" max="14853" width="9.3984375" style="183" customWidth="1"/>
    <col min="14854" max="14854" width="7.09765625" style="183" customWidth="1"/>
    <col min="14855" max="14855" width="4.19921875" style="183" customWidth="1"/>
    <col min="14856" max="14856" width="5.8984375" style="183" customWidth="1"/>
    <col min="14857" max="14857" width="4.8984375" style="183" customWidth="1"/>
    <col min="14858" max="14859" width="9" style="183" customWidth="1"/>
    <col min="14860" max="15104" width="8.59765625" style="183"/>
    <col min="15105" max="15105" width="9.09765625" style="183" customWidth="1"/>
    <col min="15106" max="15106" width="4.59765625" style="183" customWidth="1"/>
    <col min="15107" max="15107" width="5.296875" style="183" customWidth="1"/>
    <col min="15108" max="15108" width="9.69921875" style="183" customWidth="1"/>
    <col min="15109" max="15109" width="9.3984375" style="183" customWidth="1"/>
    <col min="15110" max="15110" width="7.09765625" style="183" customWidth="1"/>
    <col min="15111" max="15111" width="4.19921875" style="183" customWidth="1"/>
    <col min="15112" max="15112" width="5.8984375" style="183" customWidth="1"/>
    <col min="15113" max="15113" width="4.8984375" style="183" customWidth="1"/>
    <col min="15114" max="15115" width="9" style="183" customWidth="1"/>
    <col min="15116" max="15360" width="8.59765625" style="183"/>
    <col min="15361" max="15361" width="9.09765625" style="183" customWidth="1"/>
    <col min="15362" max="15362" width="4.59765625" style="183" customWidth="1"/>
    <col min="15363" max="15363" width="5.296875" style="183" customWidth="1"/>
    <col min="15364" max="15364" width="9.69921875" style="183" customWidth="1"/>
    <col min="15365" max="15365" width="9.3984375" style="183" customWidth="1"/>
    <col min="15366" max="15366" width="7.09765625" style="183" customWidth="1"/>
    <col min="15367" max="15367" width="4.19921875" style="183" customWidth="1"/>
    <col min="15368" max="15368" width="5.8984375" style="183" customWidth="1"/>
    <col min="15369" max="15369" width="4.8984375" style="183" customWidth="1"/>
    <col min="15370" max="15371" width="9" style="183" customWidth="1"/>
    <col min="15372" max="15616" width="8.59765625" style="183"/>
    <col min="15617" max="15617" width="9.09765625" style="183" customWidth="1"/>
    <col min="15618" max="15618" width="4.59765625" style="183" customWidth="1"/>
    <col min="15619" max="15619" width="5.296875" style="183" customWidth="1"/>
    <col min="15620" max="15620" width="9.69921875" style="183" customWidth="1"/>
    <col min="15621" max="15621" width="9.3984375" style="183" customWidth="1"/>
    <col min="15622" max="15622" width="7.09765625" style="183" customWidth="1"/>
    <col min="15623" max="15623" width="4.19921875" style="183" customWidth="1"/>
    <col min="15624" max="15624" width="5.8984375" style="183" customWidth="1"/>
    <col min="15625" max="15625" width="4.8984375" style="183" customWidth="1"/>
    <col min="15626" max="15627" width="9" style="183" customWidth="1"/>
    <col min="15628" max="15872" width="8.59765625" style="183"/>
    <col min="15873" max="15873" width="9.09765625" style="183" customWidth="1"/>
    <col min="15874" max="15874" width="4.59765625" style="183" customWidth="1"/>
    <col min="15875" max="15875" width="5.296875" style="183" customWidth="1"/>
    <col min="15876" max="15876" width="9.69921875" style="183" customWidth="1"/>
    <col min="15877" max="15877" width="9.3984375" style="183" customWidth="1"/>
    <col min="15878" max="15878" width="7.09765625" style="183" customWidth="1"/>
    <col min="15879" max="15879" width="4.19921875" style="183" customWidth="1"/>
    <col min="15880" max="15880" width="5.8984375" style="183" customWidth="1"/>
    <col min="15881" max="15881" width="4.8984375" style="183" customWidth="1"/>
    <col min="15882" max="15883" width="9" style="183" customWidth="1"/>
    <col min="15884" max="16128" width="8.59765625" style="183"/>
    <col min="16129" max="16129" width="9.09765625" style="183" customWidth="1"/>
    <col min="16130" max="16130" width="4.59765625" style="183" customWidth="1"/>
    <col min="16131" max="16131" width="5.296875" style="183" customWidth="1"/>
    <col min="16132" max="16132" width="9.69921875" style="183" customWidth="1"/>
    <col min="16133" max="16133" width="9.3984375" style="183" customWidth="1"/>
    <col min="16134" max="16134" width="7.09765625" style="183" customWidth="1"/>
    <col min="16135" max="16135" width="4.19921875" style="183" customWidth="1"/>
    <col min="16136" max="16136" width="5.8984375" style="183" customWidth="1"/>
    <col min="16137" max="16137" width="4.8984375" style="183" customWidth="1"/>
    <col min="16138" max="16139" width="9" style="183" customWidth="1"/>
    <col min="16140" max="16384" width="8.59765625" style="183"/>
  </cols>
  <sheetData>
    <row r="1" spans="1:26" ht="20.25" customHeight="1">
      <c r="A1" s="528" t="s">
        <v>37</v>
      </c>
      <c r="B1" s="528"/>
      <c r="C1" s="528"/>
      <c r="D1" s="528"/>
      <c r="E1" s="528"/>
      <c r="F1" s="528"/>
      <c r="G1" s="528"/>
      <c r="H1" s="528"/>
      <c r="I1" s="528"/>
      <c r="J1" s="528"/>
      <c r="K1" s="528"/>
    </row>
    <row r="2" spans="1:26" ht="20.25" customHeight="1">
      <c r="A2" s="529" t="s">
        <v>248</v>
      </c>
      <c r="B2" s="529"/>
      <c r="C2" s="529"/>
      <c r="D2" s="529"/>
      <c r="E2" s="529"/>
      <c r="F2" s="529"/>
      <c r="G2" s="529"/>
      <c r="H2" s="529"/>
      <c r="I2" s="529"/>
      <c r="J2" s="529"/>
      <c r="K2" s="529"/>
    </row>
    <row r="3" spans="1:26" ht="18.75" customHeight="1" thickBot="1">
      <c r="A3" s="184" t="s">
        <v>19</v>
      </c>
      <c r="B3" s="185" t="s">
        <v>249</v>
      </c>
      <c r="C3" s="186"/>
      <c r="D3" s="186"/>
      <c r="E3" s="186"/>
      <c r="F3" s="187"/>
      <c r="G3" s="186"/>
      <c r="H3" s="186"/>
      <c r="I3" s="184" t="s">
        <v>250</v>
      </c>
      <c r="J3" s="530" t="s">
        <v>251</v>
      </c>
      <c r="K3" s="530"/>
    </row>
    <row r="4" spans="1:26" s="196" customFormat="1" ht="18.399999999999999" customHeight="1" thickBot="1">
      <c r="A4" s="188" t="s">
        <v>252</v>
      </c>
      <c r="B4" s="189"/>
      <c r="C4" s="190"/>
      <c r="D4" s="190"/>
      <c r="E4" s="190"/>
      <c r="F4" s="190"/>
      <c r="G4" s="190"/>
      <c r="H4" s="190"/>
      <c r="I4" s="190"/>
      <c r="J4" s="190"/>
      <c r="K4" s="191"/>
      <c r="L4" s="192"/>
      <c r="M4" s="192"/>
      <c r="N4" s="192"/>
      <c r="O4" s="192"/>
      <c r="P4" s="192"/>
      <c r="Q4" s="193" t="s">
        <v>253</v>
      </c>
      <c r="R4" s="194"/>
      <c r="S4" s="192"/>
      <c r="T4" s="193" t="s">
        <v>254</v>
      </c>
      <c r="U4" s="195"/>
      <c r="V4" s="192"/>
      <c r="W4" s="192"/>
      <c r="X4" s="192"/>
      <c r="Y4" s="192"/>
      <c r="Z4" s="192"/>
    </row>
    <row r="5" spans="1:26" s="196" customFormat="1" ht="18.399999999999999" customHeight="1">
      <c r="A5" s="531" t="s">
        <v>255</v>
      </c>
      <c r="B5" s="532"/>
      <c r="C5" s="532"/>
      <c r="D5" s="197"/>
      <c r="E5" s="198"/>
      <c r="F5" s="199" t="s">
        <v>256</v>
      </c>
      <c r="G5" s="186"/>
      <c r="H5" s="186"/>
      <c r="I5" s="200"/>
      <c r="J5" s="201" t="s">
        <v>257</v>
      </c>
      <c r="K5" s="202" t="s">
        <v>258</v>
      </c>
      <c r="L5" s="192"/>
      <c r="M5" s="192"/>
      <c r="N5" s="192"/>
      <c r="O5" s="192"/>
      <c r="P5" s="192"/>
      <c r="Q5" s="203" t="s">
        <v>259</v>
      </c>
      <c r="R5" s="204"/>
      <c r="S5" s="192"/>
      <c r="T5" s="203" t="s">
        <v>260</v>
      </c>
      <c r="U5" s="205"/>
      <c r="V5" s="192"/>
      <c r="W5" s="192"/>
      <c r="X5" s="192"/>
      <c r="Y5" s="192"/>
      <c r="Z5" s="192"/>
    </row>
    <row r="6" spans="1:26" s="196" customFormat="1" ht="18.399999999999999" customHeight="1">
      <c r="A6" s="533" t="s">
        <v>124</v>
      </c>
      <c r="B6" s="534"/>
      <c r="C6" s="534"/>
      <c r="D6" s="535" t="s">
        <v>260</v>
      </c>
      <c r="E6" s="536"/>
      <c r="F6" s="537" t="s">
        <v>261</v>
      </c>
      <c r="G6" s="538"/>
      <c r="H6" s="538"/>
      <c r="I6" s="538"/>
      <c r="J6" s="538"/>
      <c r="K6" s="539"/>
      <c r="L6" s="192"/>
      <c r="M6" s="192"/>
      <c r="N6" s="192"/>
      <c r="O6" s="192"/>
      <c r="P6" s="192"/>
      <c r="Q6" s="203" t="s">
        <v>262</v>
      </c>
      <c r="R6" s="204"/>
      <c r="S6" s="192"/>
      <c r="T6" s="203" t="s">
        <v>263</v>
      </c>
      <c r="U6" s="205"/>
      <c r="V6" s="192"/>
      <c r="W6" s="192"/>
      <c r="X6" s="192"/>
      <c r="Y6" s="192"/>
      <c r="Z6" s="192"/>
    </row>
    <row r="7" spans="1:26" s="196" customFormat="1" ht="18.399999999999999" customHeight="1">
      <c r="A7" s="543" t="s">
        <v>64</v>
      </c>
      <c r="B7" s="544"/>
      <c r="C7" s="544"/>
      <c r="D7" s="545">
        <v>2.9000000953674299</v>
      </c>
      <c r="E7" s="546"/>
      <c r="F7" s="206" t="s">
        <v>264</v>
      </c>
      <c r="G7" s="207"/>
      <c r="H7" s="208"/>
      <c r="I7" s="209"/>
      <c r="J7" s="210" t="s">
        <v>265</v>
      </c>
      <c r="K7" s="211" t="s">
        <v>83</v>
      </c>
      <c r="L7" s="192"/>
      <c r="M7" s="192"/>
      <c r="N7" s="192"/>
      <c r="O7" s="192"/>
      <c r="P7" s="192"/>
      <c r="Q7" s="203" t="s">
        <v>266</v>
      </c>
      <c r="R7" s="204"/>
      <c r="S7" s="192"/>
      <c r="T7" s="203" t="s">
        <v>267</v>
      </c>
      <c r="U7" s="205"/>
      <c r="V7" s="192"/>
      <c r="W7" s="192"/>
      <c r="X7" s="192"/>
      <c r="Y7" s="192"/>
      <c r="Z7" s="192"/>
    </row>
    <row r="8" spans="1:26" s="196" customFormat="1" ht="18.399999999999999" customHeight="1">
      <c r="A8" s="543" t="s">
        <v>268</v>
      </c>
      <c r="B8" s="544"/>
      <c r="C8" s="544"/>
      <c r="D8" s="547">
        <v>452</v>
      </c>
      <c r="E8" s="548"/>
      <c r="F8" s="212" t="s">
        <v>269</v>
      </c>
      <c r="G8" s="213"/>
      <c r="H8" s="214"/>
      <c r="I8" s="215"/>
      <c r="J8" s="216">
        <v>8610</v>
      </c>
      <c r="K8" s="217" t="s">
        <v>83</v>
      </c>
      <c r="L8" s="192"/>
      <c r="M8" s="192"/>
      <c r="N8" s="192"/>
      <c r="O8" s="192"/>
      <c r="P8" s="192"/>
      <c r="Q8" s="203" t="s">
        <v>270</v>
      </c>
      <c r="R8" s="204"/>
      <c r="S8" s="192"/>
      <c r="T8" s="203" t="s">
        <v>271</v>
      </c>
      <c r="U8" s="205"/>
      <c r="V8" s="192"/>
      <c r="W8" s="192"/>
      <c r="X8" s="192"/>
      <c r="Y8" s="192"/>
      <c r="Z8" s="192"/>
    </row>
    <row r="9" spans="1:26" s="196" customFormat="1" ht="18.399999999999999" customHeight="1">
      <c r="A9" s="549" t="s">
        <v>272</v>
      </c>
      <c r="B9" s="550"/>
      <c r="C9" s="551"/>
      <c r="D9" s="547">
        <v>9</v>
      </c>
      <c r="E9" s="548"/>
      <c r="F9" s="206" t="s">
        <v>273</v>
      </c>
      <c r="G9" s="207"/>
      <c r="H9" s="218">
        <v>3</v>
      </c>
      <c r="I9" s="219" t="s">
        <v>274</v>
      </c>
      <c r="J9" s="220">
        <v>92</v>
      </c>
      <c r="K9" s="217" t="s">
        <v>83</v>
      </c>
      <c r="L9" s="192"/>
      <c r="M9" s="192"/>
      <c r="N9" s="192"/>
      <c r="O9" s="192"/>
      <c r="P9" s="192"/>
      <c r="Q9" s="203" t="s">
        <v>275</v>
      </c>
      <c r="R9" s="204"/>
      <c r="S9" s="192"/>
      <c r="T9" s="203" t="s">
        <v>276</v>
      </c>
      <c r="U9" s="205"/>
      <c r="V9" s="192"/>
      <c r="W9" s="192"/>
      <c r="X9" s="192"/>
      <c r="Y9" s="192"/>
      <c r="Z9" s="192"/>
    </row>
    <row r="10" spans="1:26" s="196" customFormat="1" ht="18.399999999999999" customHeight="1" thickBot="1">
      <c r="A10" s="549" t="s">
        <v>277</v>
      </c>
      <c r="B10" s="550"/>
      <c r="C10" s="551"/>
      <c r="D10" s="552" t="s">
        <v>673</v>
      </c>
      <c r="E10" s="553"/>
      <c r="F10" s="206" t="s">
        <v>278</v>
      </c>
      <c r="G10" s="207"/>
      <c r="H10" s="218">
        <v>3</v>
      </c>
      <c r="I10" s="219" t="s">
        <v>274</v>
      </c>
      <c r="J10" s="220">
        <v>929</v>
      </c>
      <c r="K10" s="217" t="s">
        <v>83</v>
      </c>
      <c r="L10" s="192"/>
      <c r="M10" s="192"/>
      <c r="N10" s="192"/>
      <c r="O10" s="192"/>
      <c r="P10" s="192"/>
      <c r="Q10" s="203" t="s">
        <v>279</v>
      </c>
      <c r="R10" s="204"/>
      <c r="S10" s="192"/>
      <c r="T10" s="221" t="s">
        <v>280</v>
      </c>
      <c r="U10" s="222"/>
      <c r="V10" s="192"/>
      <c r="W10" s="192"/>
      <c r="X10" s="192"/>
      <c r="Y10" s="192"/>
      <c r="Z10" s="192"/>
    </row>
    <row r="11" spans="1:26" s="196" customFormat="1" ht="18.399999999999999" customHeight="1" thickBot="1">
      <c r="A11" s="549" t="s">
        <v>281</v>
      </c>
      <c r="B11" s="550"/>
      <c r="C11" s="551"/>
      <c r="D11" s="552" t="s">
        <v>674</v>
      </c>
      <c r="E11" s="553"/>
      <c r="F11" s="223" t="s">
        <v>282</v>
      </c>
      <c r="G11" s="224"/>
      <c r="H11" s="225">
        <v>3</v>
      </c>
      <c r="I11" s="219" t="s">
        <v>274</v>
      </c>
      <c r="J11" s="226">
        <v>28135</v>
      </c>
      <c r="K11" s="227" t="s">
        <v>83</v>
      </c>
      <c r="L11" s="192"/>
      <c r="M11" s="192"/>
      <c r="N11" s="192"/>
      <c r="O11" s="192"/>
      <c r="P11" s="192"/>
      <c r="Q11" s="221" t="s">
        <v>283</v>
      </c>
      <c r="R11" s="228"/>
      <c r="S11" s="192"/>
      <c r="T11" s="192"/>
      <c r="U11" s="192"/>
      <c r="V11" s="192"/>
      <c r="W11" s="192"/>
      <c r="X11" s="192"/>
      <c r="Y11" s="192"/>
      <c r="Z11" s="192"/>
    </row>
    <row r="12" spans="1:26" s="196" customFormat="1" ht="18.399999999999999" customHeight="1">
      <c r="A12" s="229" t="s">
        <v>284</v>
      </c>
      <c r="C12" s="230"/>
      <c r="D12" s="554" t="s">
        <v>83</v>
      </c>
      <c r="E12" s="555"/>
      <c r="F12" s="540" t="s">
        <v>285</v>
      </c>
      <c r="G12" s="541"/>
      <c r="H12" s="541"/>
      <c r="I12" s="541"/>
      <c r="J12" s="541"/>
      <c r="K12" s="542"/>
      <c r="L12" s="192"/>
      <c r="M12" s="192"/>
      <c r="N12" s="192"/>
      <c r="O12" s="192"/>
      <c r="P12" s="192"/>
      <c r="Q12" s="192"/>
      <c r="R12" s="192"/>
      <c r="S12" s="192"/>
      <c r="T12" s="192"/>
      <c r="U12" s="192"/>
      <c r="V12" s="192"/>
      <c r="W12" s="192"/>
      <c r="X12" s="192"/>
      <c r="Y12" s="192"/>
      <c r="Z12" s="192"/>
    </row>
    <row r="13" spans="1:26" s="196" customFormat="1" ht="18.399999999999999" customHeight="1">
      <c r="A13" s="549" t="s">
        <v>105</v>
      </c>
      <c r="B13" s="550"/>
      <c r="C13" s="551"/>
      <c r="D13" s="556" t="s">
        <v>286</v>
      </c>
      <c r="E13" s="557"/>
      <c r="F13" s="231"/>
      <c r="G13" s="232" t="s">
        <v>287</v>
      </c>
      <c r="H13" s="233"/>
      <c r="I13" s="234" t="s">
        <v>288</v>
      </c>
      <c r="J13" s="235" t="s">
        <v>289</v>
      </c>
      <c r="K13" s="236" t="s">
        <v>83</v>
      </c>
      <c r="L13" s="192"/>
      <c r="M13" s="192"/>
      <c r="N13" s="192"/>
      <c r="O13" s="192"/>
      <c r="P13" s="192"/>
      <c r="Q13" s="192"/>
      <c r="R13" s="192"/>
      <c r="S13" s="192"/>
      <c r="T13" s="192"/>
      <c r="U13" s="192"/>
      <c r="V13" s="192"/>
      <c r="W13" s="192"/>
      <c r="X13" s="192"/>
      <c r="Y13" s="192"/>
      <c r="Z13" s="192"/>
    </row>
    <row r="14" spans="1:26" s="196" customFormat="1" ht="18.399999999999999" customHeight="1">
      <c r="A14" s="549" t="s">
        <v>109</v>
      </c>
      <c r="B14" s="550"/>
      <c r="C14" s="551"/>
      <c r="D14" s="554" t="s">
        <v>731</v>
      </c>
      <c r="E14" s="555"/>
      <c r="F14" s="231"/>
      <c r="G14" s="237" t="s">
        <v>52</v>
      </c>
      <c r="H14" s="238"/>
      <c r="I14" s="238"/>
      <c r="J14" s="220" t="s">
        <v>83</v>
      </c>
      <c r="K14" s="217" t="s">
        <v>83</v>
      </c>
      <c r="L14" s="192"/>
      <c r="M14" s="192"/>
      <c r="N14" s="192"/>
      <c r="O14" s="192"/>
      <c r="P14" s="192"/>
      <c r="Q14" s="192"/>
      <c r="R14" s="192"/>
      <c r="S14" s="192"/>
      <c r="T14" s="192"/>
      <c r="U14" s="192"/>
      <c r="V14" s="192"/>
      <c r="W14" s="192"/>
      <c r="X14" s="192"/>
      <c r="Y14" s="192"/>
      <c r="Z14" s="192"/>
    </row>
    <row r="15" spans="1:26" s="196" customFormat="1" ht="18.399999999999999" customHeight="1">
      <c r="A15" s="558" t="s">
        <v>290</v>
      </c>
      <c r="B15" s="559"/>
      <c r="C15" s="560"/>
      <c r="D15" s="561">
        <v>8.9647998809814453</v>
      </c>
      <c r="E15" s="562"/>
      <c r="F15" s="231"/>
      <c r="G15" s="237" t="s">
        <v>291</v>
      </c>
      <c r="H15" s="238"/>
      <c r="I15" s="238"/>
      <c r="J15" s="220" t="s">
        <v>83</v>
      </c>
      <c r="K15" s="217" t="s">
        <v>83</v>
      </c>
      <c r="L15" s="192"/>
      <c r="M15" s="192"/>
      <c r="N15" s="192"/>
      <c r="O15" s="192"/>
      <c r="P15" s="192"/>
      <c r="Q15" s="192"/>
      <c r="R15" s="192"/>
      <c r="S15" s="192"/>
      <c r="T15" s="192"/>
      <c r="U15" s="192"/>
      <c r="V15" s="192"/>
      <c r="W15" s="192"/>
      <c r="X15" s="192"/>
      <c r="Y15" s="192"/>
      <c r="Z15" s="192"/>
    </row>
    <row r="16" spans="1:26" s="196" customFormat="1" ht="18.399999999999999" customHeight="1">
      <c r="A16" s="563" t="s">
        <v>292</v>
      </c>
      <c r="B16" s="564"/>
      <c r="C16" s="565"/>
      <c r="D16" s="561">
        <v>3.236799955368042</v>
      </c>
      <c r="E16" s="562"/>
      <c r="F16" s="239"/>
      <c r="G16" s="240" t="s">
        <v>61</v>
      </c>
      <c r="H16" s="241"/>
      <c r="I16" s="241"/>
      <c r="J16" s="226" t="s">
        <v>83</v>
      </c>
      <c r="K16" s="227" t="s">
        <v>83</v>
      </c>
      <c r="L16" s="192"/>
      <c r="M16" s="192"/>
      <c r="N16" s="192"/>
      <c r="O16" s="192"/>
      <c r="P16" s="192"/>
      <c r="Q16" s="192"/>
      <c r="R16" s="192"/>
      <c r="S16" s="192"/>
      <c r="T16" s="192"/>
      <c r="U16" s="192"/>
      <c r="V16" s="192"/>
      <c r="W16" s="192"/>
      <c r="X16" s="192"/>
      <c r="Y16" s="192"/>
      <c r="Z16" s="192"/>
    </row>
    <row r="17" spans="1:26" s="196" customFormat="1" ht="18.399999999999999" customHeight="1">
      <c r="A17" s="242" t="s">
        <v>293</v>
      </c>
      <c r="B17" s="243"/>
      <c r="C17" s="244"/>
      <c r="D17" s="566" t="s">
        <v>294</v>
      </c>
      <c r="E17" s="567"/>
      <c r="F17" s="540" t="s">
        <v>295</v>
      </c>
      <c r="G17" s="541"/>
      <c r="H17" s="541"/>
      <c r="I17" s="541"/>
      <c r="J17" s="541"/>
      <c r="K17" s="542"/>
      <c r="L17" s="192"/>
      <c r="M17" s="192"/>
      <c r="N17" s="192"/>
      <c r="O17" s="192"/>
      <c r="P17" s="192"/>
      <c r="Q17" s="192"/>
      <c r="R17" s="192"/>
      <c r="S17" s="192"/>
      <c r="T17" s="192"/>
      <c r="U17" s="192"/>
      <c r="V17" s="192"/>
      <c r="W17" s="192"/>
      <c r="X17" s="192"/>
      <c r="Y17" s="192"/>
      <c r="Z17" s="192"/>
    </row>
    <row r="18" spans="1:26" s="196" customFormat="1" ht="18.399999999999999" customHeight="1">
      <c r="A18" s="245" t="s">
        <v>296</v>
      </c>
      <c r="B18" s="246"/>
      <c r="C18" s="244"/>
      <c r="D18" s="552" t="s">
        <v>83</v>
      </c>
      <c r="E18" s="553"/>
      <c r="F18" s="568"/>
      <c r="G18" s="569"/>
      <c r="H18" s="247" t="s">
        <v>297</v>
      </c>
      <c r="I18" s="248"/>
      <c r="J18" s="216" t="s">
        <v>298</v>
      </c>
      <c r="K18" s="217"/>
      <c r="L18" s="192"/>
      <c r="M18" s="192"/>
      <c r="N18" s="192"/>
      <c r="O18" s="192"/>
      <c r="P18" s="192"/>
      <c r="Q18" s="192"/>
      <c r="R18" s="192"/>
      <c r="S18" s="192"/>
      <c r="T18" s="192"/>
      <c r="U18" s="192"/>
      <c r="V18" s="192"/>
      <c r="W18" s="192"/>
      <c r="X18" s="192"/>
      <c r="Y18" s="192"/>
      <c r="Z18" s="192"/>
    </row>
    <row r="19" spans="1:26" s="196" customFormat="1" ht="18.399999999999999" customHeight="1">
      <c r="A19" s="574" t="s">
        <v>299</v>
      </c>
      <c r="B19" s="575"/>
      <c r="C19" s="576"/>
      <c r="D19" s="577" t="s">
        <v>83</v>
      </c>
      <c r="E19" s="567"/>
      <c r="F19" s="570"/>
      <c r="G19" s="571"/>
      <c r="H19" s="247" t="s">
        <v>1</v>
      </c>
      <c r="I19" s="209"/>
      <c r="J19" s="216">
        <v>3560</v>
      </c>
      <c r="K19" s="217"/>
      <c r="L19" s="192"/>
      <c r="M19" s="192"/>
      <c r="N19" s="192"/>
      <c r="O19" s="192"/>
      <c r="P19" s="192"/>
      <c r="Q19" s="192"/>
      <c r="R19" s="192"/>
      <c r="S19" s="192"/>
      <c r="T19" s="192"/>
      <c r="U19" s="192"/>
      <c r="V19" s="192"/>
      <c r="W19" s="192"/>
      <c r="X19" s="192"/>
      <c r="Y19" s="192"/>
      <c r="Z19" s="192"/>
    </row>
    <row r="20" spans="1:26" s="196" customFormat="1" ht="18.399999999999999" customHeight="1" thickBot="1">
      <c r="A20" s="249" t="s">
        <v>300</v>
      </c>
      <c r="C20" s="250"/>
      <c r="D20" s="578" t="s">
        <v>69</v>
      </c>
      <c r="E20" s="548"/>
      <c r="F20" s="570"/>
      <c r="G20" s="571"/>
      <c r="H20" s="247" t="s">
        <v>301</v>
      </c>
      <c r="I20" s="209"/>
      <c r="J20" s="220" t="s">
        <v>302</v>
      </c>
      <c r="K20" s="217"/>
      <c r="L20" s="192"/>
      <c r="M20" s="192"/>
      <c r="N20" s="192"/>
      <c r="O20" s="192"/>
      <c r="P20" s="192"/>
      <c r="Q20" s="192"/>
      <c r="R20" s="192"/>
      <c r="S20" s="192"/>
      <c r="T20" s="192"/>
      <c r="U20" s="192"/>
      <c r="V20" s="192"/>
      <c r="W20" s="192"/>
      <c r="X20" s="192"/>
      <c r="Y20" s="192"/>
      <c r="Z20" s="192"/>
    </row>
    <row r="21" spans="1:26" s="196" customFormat="1" ht="18.399999999999999" customHeight="1" thickBot="1">
      <c r="A21" s="558" t="s">
        <v>303</v>
      </c>
      <c r="B21" s="559"/>
      <c r="C21" s="560"/>
      <c r="D21" s="547" t="s">
        <v>304</v>
      </c>
      <c r="E21" s="548"/>
      <c r="F21" s="570"/>
      <c r="G21" s="571"/>
      <c r="H21" s="251" t="s">
        <v>305</v>
      </c>
      <c r="I21" s="209"/>
      <c r="J21" s="220">
        <v>1.1499999999999999</v>
      </c>
      <c r="K21" s="217"/>
      <c r="L21" s="192"/>
      <c r="M21" s="192"/>
      <c r="N21" s="192"/>
      <c r="O21" s="192"/>
      <c r="P21" s="192"/>
      <c r="Q21" s="193" t="s">
        <v>306</v>
      </c>
      <c r="R21" s="195"/>
      <c r="S21" s="192"/>
      <c r="T21" s="192"/>
      <c r="U21" s="192"/>
      <c r="V21" s="192"/>
      <c r="W21" s="192"/>
      <c r="X21" s="192"/>
      <c r="Y21" s="192"/>
      <c r="Z21" s="192"/>
    </row>
    <row r="22" spans="1:26" s="196" customFormat="1" ht="18.399999999999999" customHeight="1">
      <c r="A22" s="245" t="s">
        <v>307</v>
      </c>
      <c r="B22" s="252"/>
      <c r="C22" s="252"/>
      <c r="D22" s="579" t="s">
        <v>732</v>
      </c>
      <c r="E22" s="580"/>
      <c r="F22" s="570"/>
      <c r="G22" s="571"/>
      <c r="H22" s="247" t="s">
        <v>257</v>
      </c>
      <c r="I22" s="209"/>
      <c r="J22" s="220"/>
      <c r="K22" s="217"/>
      <c r="L22" s="192"/>
      <c r="M22" s="192"/>
      <c r="N22" s="192"/>
      <c r="O22" s="192"/>
      <c r="P22" s="192"/>
      <c r="Q22" s="203" t="s">
        <v>308</v>
      </c>
      <c r="R22" s="205"/>
      <c r="S22" s="192"/>
      <c r="T22" s="192"/>
      <c r="U22" s="192"/>
      <c r="V22" s="192"/>
      <c r="W22" s="192"/>
      <c r="X22" s="192"/>
      <c r="Y22" s="192"/>
      <c r="Z22" s="192"/>
    </row>
    <row r="23" spans="1:26" s="196" customFormat="1" ht="18.399999999999999" customHeight="1">
      <c r="A23" s="253" t="s">
        <v>309</v>
      </c>
      <c r="B23" s="254" t="s">
        <v>310</v>
      </c>
      <c r="C23" s="255"/>
      <c r="D23" s="556">
        <v>370</v>
      </c>
      <c r="E23" s="557"/>
      <c r="F23" s="570"/>
      <c r="G23" s="571"/>
      <c r="H23" s="256" t="s">
        <v>311</v>
      </c>
      <c r="I23" s="257"/>
      <c r="J23" s="258"/>
      <c r="K23" s="259"/>
      <c r="L23" s="192"/>
      <c r="Q23" s="203" t="s">
        <v>304</v>
      </c>
      <c r="R23" s="205"/>
      <c r="S23" s="192"/>
      <c r="T23" s="192"/>
      <c r="U23" s="192"/>
      <c r="V23" s="192"/>
      <c r="W23" s="192"/>
      <c r="X23" s="192"/>
      <c r="Y23" s="192"/>
      <c r="Z23" s="192"/>
    </row>
    <row r="24" spans="1:26" s="196" customFormat="1" ht="18.399999999999999" customHeight="1" thickBot="1">
      <c r="A24" s="260" t="s">
        <v>312</v>
      </c>
      <c r="B24" s="261" t="s">
        <v>313</v>
      </c>
      <c r="C24" s="262"/>
      <c r="D24" s="581" t="s">
        <v>83</v>
      </c>
      <c r="E24" s="582"/>
      <c r="F24" s="570"/>
      <c r="G24" s="571"/>
      <c r="H24" s="247" t="s">
        <v>314</v>
      </c>
      <c r="I24" s="230"/>
      <c r="J24" s="263"/>
      <c r="K24" s="264"/>
      <c r="Q24" s="265" t="s">
        <v>83</v>
      </c>
      <c r="R24" s="266"/>
      <c r="S24" s="192"/>
      <c r="T24" s="192"/>
      <c r="U24" s="192"/>
      <c r="V24" s="192"/>
      <c r="W24" s="192"/>
      <c r="X24" s="192"/>
      <c r="Y24" s="192"/>
      <c r="Z24" s="192"/>
    </row>
    <row r="25" spans="1:26" s="196" customFormat="1" ht="18.399999999999999" customHeight="1">
      <c r="A25" s="267" t="s">
        <v>315</v>
      </c>
      <c r="B25" s="268"/>
      <c r="C25" s="268"/>
      <c r="D25" s="269"/>
      <c r="E25" s="269" t="s">
        <v>316</v>
      </c>
      <c r="F25" s="570"/>
      <c r="G25" s="571"/>
      <c r="H25" s="247" t="s">
        <v>317</v>
      </c>
      <c r="I25" s="230"/>
      <c r="J25" s="270"/>
      <c r="K25" s="264"/>
      <c r="R25" s="192"/>
      <c r="S25" s="192"/>
      <c r="T25" s="192"/>
      <c r="U25" s="192"/>
      <c r="V25" s="192"/>
      <c r="W25" s="192"/>
      <c r="X25" s="192"/>
      <c r="Y25" s="192"/>
      <c r="Z25" s="192"/>
    </row>
    <row r="26" spans="1:26" s="196" customFormat="1" ht="18.399999999999999" customHeight="1">
      <c r="A26" s="271" t="s">
        <v>318</v>
      </c>
      <c r="B26" s="272"/>
      <c r="C26" s="273"/>
      <c r="D26" s="274" t="s">
        <v>319</v>
      </c>
      <c r="E26" s="274" t="s">
        <v>320</v>
      </c>
      <c r="F26" s="572"/>
      <c r="G26" s="573"/>
      <c r="H26" s="583"/>
      <c r="I26" s="584"/>
      <c r="J26" s="275"/>
      <c r="K26" s="276"/>
      <c r="R26" s="192"/>
      <c r="S26" s="192"/>
      <c r="T26" s="192"/>
      <c r="U26" s="192"/>
      <c r="V26" s="192"/>
      <c r="W26" s="192"/>
      <c r="X26" s="192"/>
      <c r="Y26" s="192"/>
      <c r="Z26" s="192"/>
    </row>
    <row r="27" spans="1:26" s="196" customFormat="1" ht="18.399999999999999" customHeight="1">
      <c r="A27" s="585" t="s">
        <v>321</v>
      </c>
      <c r="B27" s="586"/>
      <c r="C27" s="586"/>
      <c r="D27" s="586"/>
      <c r="E27" s="586"/>
      <c r="F27" s="537" t="s">
        <v>322</v>
      </c>
      <c r="G27" s="538"/>
      <c r="H27" s="538"/>
      <c r="I27" s="538"/>
      <c r="J27" s="538"/>
      <c r="K27" s="539"/>
      <c r="R27" s="192"/>
      <c r="S27" s="192"/>
      <c r="T27" s="192"/>
      <c r="U27" s="192"/>
      <c r="V27" s="192"/>
      <c r="W27" s="192"/>
      <c r="X27" s="192"/>
      <c r="Y27" s="192"/>
      <c r="Z27" s="192"/>
    </row>
    <row r="28" spans="1:26" s="196" customFormat="1" ht="18.399999999999999" customHeight="1">
      <c r="A28" s="589"/>
      <c r="B28" s="590"/>
      <c r="C28" s="590"/>
      <c r="D28" s="590"/>
      <c r="E28" s="591"/>
      <c r="F28" s="277"/>
      <c r="G28" s="278"/>
      <c r="H28" s="237" t="s">
        <v>323</v>
      </c>
      <c r="I28" s="279" t="s">
        <v>324</v>
      </c>
      <c r="J28" s="216" t="s">
        <v>325</v>
      </c>
      <c r="K28" s="211" t="s">
        <v>83</v>
      </c>
      <c r="R28" s="192"/>
      <c r="S28" s="192"/>
      <c r="T28" s="192"/>
      <c r="U28" s="192"/>
      <c r="V28" s="192"/>
      <c r="W28" s="192"/>
      <c r="X28" s="192"/>
      <c r="Y28" s="192"/>
      <c r="Z28" s="192"/>
    </row>
    <row r="29" spans="1:26" s="196" customFormat="1" ht="18.399999999999999" customHeight="1">
      <c r="A29" s="589"/>
      <c r="B29" s="590"/>
      <c r="C29" s="590"/>
      <c r="D29" s="590"/>
      <c r="E29" s="591"/>
      <c r="F29" s="280"/>
      <c r="G29" s="281"/>
      <c r="H29" s="237" t="s">
        <v>326</v>
      </c>
      <c r="I29" s="282">
        <v>60</v>
      </c>
      <c r="J29" s="216">
        <v>120</v>
      </c>
      <c r="K29" s="211" t="s">
        <v>83</v>
      </c>
      <c r="Q29" s="192"/>
      <c r="R29" s="192"/>
      <c r="S29" s="192"/>
      <c r="T29" s="192"/>
      <c r="U29" s="192"/>
      <c r="V29" s="192"/>
      <c r="W29" s="192"/>
      <c r="X29" s="192"/>
      <c r="Y29" s="192"/>
      <c r="Z29" s="192"/>
    </row>
    <row r="30" spans="1:26" s="196" customFormat="1" ht="18.399999999999999" customHeight="1">
      <c r="A30" s="589"/>
      <c r="B30" s="590"/>
      <c r="C30" s="590"/>
      <c r="D30" s="590"/>
      <c r="E30" s="591"/>
      <c r="F30" s="280"/>
      <c r="G30" s="281"/>
      <c r="H30" s="237" t="s">
        <v>327</v>
      </c>
      <c r="I30" s="282">
        <v>175</v>
      </c>
      <c r="J30" s="216">
        <v>255</v>
      </c>
      <c r="K30" s="211" t="s">
        <v>83</v>
      </c>
      <c r="L30" s="192"/>
      <c r="R30" s="192"/>
      <c r="S30" s="192"/>
      <c r="T30" s="192"/>
      <c r="U30" s="192"/>
      <c r="V30" s="192"/>
      <c r="W30" s="192"/>
      <c r="X30" s="192"/>
      <c r="Y30" s="192"/>
      <c r="Z30" s="192"/>
    </row>
    <row r="31" spans="1:26" s="196" customFormat="1" ht="18.399999999999999" customHeight="1">
      <c r="A31" s="589"/>
      <c r="B31" s="590"/>
      <c r="C31" s="590"/>
      <c r="D31" s="590"/>
      <c r="E31" s="591"/>
      <c r="F31" s="280"/>
      <c r="G31" s="281"/>
      <c r="H31" s="237" t="s">
        <v>328</v>
      </c>
      <c r="I31" s="238"/>
      <c r="J31" s="283">
        <v>1.1100000000000001</v>
      </c>
      <c r="K31" s="211" t="s">
        <v>83</v>
      </c>
      <c r="L31" s="192"/>
      <c r="R31" s="192"/>
      <c r="S31" s="192"/>
      <c r="T31" s="192"/>
      <c r="U31" s="192"/>
      <c r="V31" s="192"/>
      <c r="W31" s="192"/>
      <c r="X31" s="192"/>
      <c r="Y31" s="192"/>
      <c r="Z31" s="192"/>
    </row>
    <row r="32" spans="1:26" s="196" customFormat="1" ht="18.399999999999999" customHeight="1">
      <c r="A32" s="592"/>
      <c r="B32" s="593"/>
      <c r="C32" s="593"/>
      <c r="D32" s="593"/>
      <c r="E32" s="594"/>
      <c r="F32" s="280"/>
      <c r="G32" s="284" t="s">
        <v>329</v>
      </c>
      <c r="H32" s="237" t="s">
        <v>330</v>
      </c>
      <c r="I32" s="285"/>
      <c r="J32" s="210">
        <v>94.5</v>
      </c>
      <c r="K32" s="211" t="s">
        <v>83</v>
      </c>
      <c r="L32" s="192"/>
      <c r="R32" s="192"/>
      <c r="S32" s="192"/>
      <c r="T32" s="192"/>
      <c r="U32" s="192"/>
      <c r="V32" s="192"/>
      <c r="W32" s="192"/>
      <c r="X32" s="192"/>
      <c r="Y32" s="192"/>
      <c r="Z32" s="192"/>
    </row>
    <row r="33" spans="1:26" s="196" customFormat="1" ht="18.399999999999999" customHeight="1">
      <c r="A33" s="585" t="s">
        <v>331</v>
      </c>
      <c r="B33" s="586"/>
      <c r="C33" s="586"/>
      <c r="D33" s="586"/>
      <c r="E33" s="595"/>
      <c r="F33" s="286"/>
      <c r="G33" s="287"/>
      <c r="H33" s="288" t="s">
        <v>332</v>
      </c>
      <c r="I33" s="289"/>
      <c r="J33" s="290">
        <v>87.1</v>
      </c>
      <c r="K33" s="291" t="s">
        <v>83</v>
      </c>
      <c r="L33" s="192"/>
      <c r="R33" s="192"/>
      <c r="S33" s="192"/>
      <c r="T33" s="192"/>
      <c r="U33" s="192"/>
      <c r="V33" s="192"/>
      <c r="W33" s="192"/>
      <c r="X33" s="192"/>
      <c r="Y33" s="192"/>
      <c r="Z33" s="192"/>
    </row>
    <row r="34" spans="1:26" s="196" customFormat="1" ht="18.399999999999999" customHeight="1">
      <c r="A34" s="589"/>
      <c r="B34" s="590"/>
      <c r="C34" s="590"/>
      <c r="D34" s="590"/>
      <c r="E34" s="591"/>
      <c r="F34" s="212" t="s">
        <v>333</v>
      </c>
      <c r="G34" s="292"/>
      <c r="H34" s="293" t="s">
        <v>58</v>
      </c>
      <c r="I34" s="294"/>
      <c r="J34" s="295">
        <v>6316</v>
      </c>
      <c r="K34" s="296" t="s">
        <v>83</v>
      </c>
      <c r="L34" s="297"/>
      <c r="R34" s="192"/>
      <c r="S34" s="192"/>
      <c r="T34" s="192"/>
      <c r="U34" s="192"/>
      <c r="V34" s="192"/>
      <c r="W34" s="192"/>
      <c r="X34" s="192"/>
      <c r="Y34" s="192"/>
      <c r="Z34" s="192"/>
    </row>
    <row r="35" spans="1:26" s="196" customFormat="1" ht="18.399999999999999" customHeight="1">
      <c r="A35" s="589"/>
      <c r="B35" s="590"/>
      <c r="C35" s="590"/>
      <c r="D35" s="590"/>
      <c r="E35" s="591"/>
      <c r="F35" s="231"/>
      <c r="G35" s="298"/>
      <c r="H35" s="299" t="s">
        <v>59</v>
      </c>
      <c r="I35" s="300"/>
      <c r="J35" s="216">
        <v>5821</v>
      </c>
      <c r="K35" s="211" t="s">
        <v>83</v>
      </c>
      <c r="R35" s="192"/>
      <c r="S35" s="192"/>
      <c r="T35" s="192"/>
      <c r="U35" s="192"/>
      <c r="V35" s="192"/>
      <c r="W35" s="192"/>
      <c r="X35" s="192"/>
      <c r="Y35" s="192"/>
      <c r="Z35" s="192"/>
    </row>
    <row r="36" spans="1:26" s="196" customFormat="1" ht="18.399999999999999" customHeight="1">
      <c r="A36" s="589"/>
      <c r="B36" s="590"/>
      <c r="C36" s="590"/>
      <c r="D36" s="590"/>
      <c r="E36" s="591"/>
      <c r="F36" s="231"/>
      <c r="G36" s="298"/>
      <c r="H36" s="299" t="s">
        <v>334</v>
      </c>
      <c r="I36" s="300"/>
      <c r="J36" s="216">
        <v>5075</v>
      </c>
      <c r="K36" s="211" t="s">
        <v>83</v>
      </c>
      <c r="Q36" s="192"/>
      <c r="R36" s="192"/>
      <c r="S36" s="192"/>
      <c r="T36" s="192"/>
      <c r="U36" s="192"/>
      <c r="V36" s="192"/>
      <c r="W36" s="192"/>
      <c r="X36" s="192"/>
      <c r="Y36" s="192"/>
      <c r="Z36" s="192"/>
    </row>
    <row r="37" spans="1:26" s="196" customFormat="1" ht="18.399999999999999" customHeight="1">
      <c r="A37" s="589"/>
      <c r="B37" s="590"/>
      <c r="C37" s="590"/>
      <c r="D37" s="590"/>
      <c r="E37" s="591"/>
      <c r="F37" s="280"/>
      <c r="G37" s="298"/>
      <c r="H37" s="299" t="s">
        <v>335</v>
      </c>
      <c r="I37" s="300"/>
      <c r="J37" s="216">
        <v>3272</v>
      </c>
      <c r="K37" s="211" t="s">
        <v>83</v>
      </c>
      <c r="R37" s="192"/>
      <c r="S37" s="192"/>
      <c r="T37" s="192"/>
      <c r="U37" s="192"/>
      <c r="V37" s="192"/>
      <c r="W37" s="192"/>
      <c r="X37" s="192"/>
      <c r="Y37" s="192"/>
      <c r="Z37" s="192"/>
    </row>
    <row r="38" spans="1:26" s="196" customFormat="1" ht="18.399999999999999" customHeight="1">
      <c r="A38" s="592"/>
      <c r="B38" s="593"/>
      <c r="C38" s="593"/>
      <c r="D38" s="593"/>
      <c r="E38" s="594"/>
      <c r="F38" s="239"/>
      <c r="G38" s="301"/>
      <c r="H38" s="302" t="s">
        <v>336</v>
      </c>
      <c r="I38" s="303"/>
      <c r="J38" s="304">
        <v>9872</v>
      </c>
      <c r="K38" s="305" t="s">
        <v>83</v>
      </c>
      <c r="R38" s="192"/>
      <c r="S38" s="192"/>
      <c r="T38" s="192"/>
      <c r="U38" s="192"/>
      <c r="V38" s="192"/>
      <c r="W38" s="192"/>
      <c r="X38" s="192"/>
      <c r="Y38" s="192"/>
      <c r="Z38" s="192"/>
    </row>
    <row r="39" spans="1:26" s="196" customFormat="1" ht="18.399999999999999" customHeight="1">
      <c r="A39" s="585" t="s">
        <v>337</v>
      </c>
      <c r="B39" s="586"/>
      <c r="C39" s="586"/>
      <c r="D39" s="586"/>
      <c r="E39" s="586"/>
      <c r="F39" s="306" t="s">
        <v>338</v>
      </c>
      <c r="G39" s="307"/>
      <c r="H39" s="307"/>
      <c r="I39" s="307"/>
      <c r="J39" s="307"/>
      <c r="K39" s="308"/>
      <c r="R39" s="192"/>
      <c r="S39" s="192"/>
      <c r="T39" s="192"/>
      <c r="U39" s="192"/>
      <c r="V39" s="192"/>
      <c r="W39" s="192"/>
      <c r="X39" s="192"/>
      <c r="Y39" s="192"/>
      <c r="Z39" s="192"/>
    </row>
    <row r="40" spans="1:26" s="196" customFormat="1" ht="18.399999999999999" customHeight="1">
      <c r="A40" s="589"/>
      <c r="B40" s="590"/>
      <c r="C40" s="590"/>
      <c r="D40" s="590"/>
      <c r="E40" s="591"/>
      <c r="F40" s="309" t="s">
        <v>675</v>
      </c>
      <c r="G40" s="310"/>
      <c r="H40" s="310"/>
      <c r="I40" s="310"/>
      <c r="J40" s="310"/>
      <c r="K40" s="311"/>
      <c r="R40" s="192"/>
      <c r="S40" s="192"/>
      <c r="T40" s="192"/>
      <c r="U40" s="192"/>
      <c r="V40" s="192"/>
      <c r="W40" s="192"/>
      <c r="X40" s="192"/>
      <c r="Y40" s="192"/>
      <c r="Z40" s="192"/>
    </row>
    <row r="41" spans="1:26" s="196" customFormat="1" ht="18.399999999999999" customHeight="1">
      <c r="A41" s="589"/>
      <c r="B41" s="590"/>
      <c r="C41" s="590"/>
      <c r="D41" s="590"/>
      <c r="E41" s="591"/>
      <c r="F41" s="309"/>
      <c r="G41" s="312" t="s">
        <v>676</v>
      </c>
      <c r="H41" s="312"/>
      <c r="I41" s="312"/>
      <c r="J41" s="312"/>
      <c r="K41" s="313"/>
      <c r="L41" s="314"/>
      <c r="R41" s="192"/>
      <c r="S41" s="192"/>
      <c r="T41" s="192"/>
      <c r="U41" s="192"/>
      <c r="V41" s="192"/>
      <c r="W41" s="192"/>
      <c r="X41" s="192"/>
      <c r="Y41" s="192"/>
      <c r="Z41" s="192"/>
    </row>
    <row r="42" spans="1:26" s="196" customFormat="1" ht="18.399999999999999" customHeight="1">
      <c r="A42" s="589"/>
      <c r="B42" s="590"/>
      <c r="C42" s="590"/>
      <c r="D42" s="590"/>
      <c r="E42" s="591"/>
      <c r="F42" s="309"/>
      <c r="G42" s="312" t="s">
        <v>733</v>
      </c>
      <c r="H42" s="312"/>
      <c r="I42" s="312"/>
      <c r="J42" s="312"/>
      <c r="K42" s="313"/>
      <c r="L42" s="192"/>
      <c r="M42" s="192"/>
      <c r="N42" s="192"/>
      <c r="O42" s="192"/>
      <c r="P42" s="192"/>
      <c r="Q42" s="192"/>
      <c r="R42" s="192"/>
      <c r="S42" s="192"/>
      <c r="T42" s="192"/>
      <c r="U42" s="192"/>
      <c r="V42" s="192"/>
      <c r="W42" s="192"/>
      <c r="X42" s="192"/>
      <c r="Y42" s="192"/>
      <c r="Z42" s="192"/>
    </row>
    <row r="43" spans="1:26" s="196" customFormat="1" ht="18.399999999999999" customHeight="1">
      <c r="A43" s="589"/>
      <c r="B43" s="590"/>
      <c r="C43" s="590"/>
      <c r="D43" s="590"/>
      <c r="E43" s="591"/>
      <c r="F43" s="309"/>
      <c r="G43" s="312" t="s">
        <v>734</v>
      </c>
      <c r="H43" s="312"/>
      <c r="I43" s="312"/>
      <c r="J43" s="312"/>
      <c r="K43" s="313"/>
      <c r="L43" s="192"/>
      <c r="M43" s="192"/>
      <c r="N43" s="192"/>
      <c r="O43" s="192"/>
      <c r="P43" s="192"/>
      <c r="Q43" s="192"/>
      <c r="R43" s="192"/>
      <c r="S43" s="192"/>
      <c r="T43" s="192"/>
      <c r="U43" s="192"/>
      <c r="V43" s="192"/>
      <c r="W43" s="192"/>
      <c r="X43" s="192"/>
      <c r="Y43" s="192"/>
      <c r="Z43" s="192"/>
    </row>
    <row r="44" spans="1:26" s="196" customFormat="1" ht="17.100000000000001" customHeight="1" thickBot="1">
      <c r="A44" s="596"/>
      <c r="B44" s="597"/>
      <c r="C44" s="597"/>
      <c r="D44" s="597"/>
      <c r="E44" s="598"/>
      <c r="F44" s="309"/>
      <c r="G44" s="312" t="s">
        <v>730</v>
      </c>
      <c r="H44" s="312"/>
      <c r="I44" s="312"/>
      <c r="J44" s="312"/>
      <c r="K44" s="313"/>
      <c r="L44" s="192"/>
      <c r="M44" s="192"/>
      <c r="N44" s="192"/>
      <c r="O44" s="192"/>
      <c r="P44" s="192"/>
      <c r="Q44" s="192"/>
      <c r="R44" s="192"/>
      <c r="S44" s="192"/>
      <c r="T44" s="192"/>
      <c r="U44" s="192"/>
      <c r="V44" s="192"/>
      <c r="W44" s="192"/>
      <c r="X44" s="192"/>
      <c r="Y44" s="192"/>
      <c r="Z44" s="192"/>
    </row>
    <row r="45" spans="1:26" s="196" customFormat="1" ht="17.100000000000001" customHeight="1">
      <c r="A45" s="315" t="s">
        <v>339</v>
      </c>
      <c r="B45" s="599"/>
      <c r="C45" s="600"/>
      <c r="D45" s="316" t="s">
        <v>340</v>
      </c>
      <c r="E45" s="317" t="s">
        <v>341</v>
      </c>
      <c r="F45" s="318"/>
      <c r="G45" s="312" t="s">
        <v>342</v>
      </c>
      <c r="H45" s="312"/>
      <c r="I45" s="312"/>
      <c r="J45" s="312"/>
      <c r="K45" s="313"/>
      <c r="L45" s="192"/>
      <c r="M45" s="192"/>
      <c r="N45" s="192"/>
      <c r="O45" s="192"/>
      <c r="P45" s="192"/>
      <c r="Q45" s="192"/>
      <c r="R45" s="192"/>
      <c r="S45" s="192"/>
      <c r="T45" s="192"/>
      <c r="U45" s="192"/>
      <c r="V45" s="192"/>
      <c r="W45" s="192"/>
      <c r="X45" s="192"/>
      <c r="Y45" s="192"/>
      <c r="Z45" s="192"/>
    </row>
    <row r="46" spans="1:26" s="196" customFormat="1" ht="17.100000000000001" customHeight="1" thickBot="1">
      <c r="A46" s="319" t="s">
        <v>343</v>
      </c>
      <c r="B46" s="587"/>
      <c r="C46" s="588"/>
      <c r="D46" s="320" t="s">
        <v>343</v>
      </c>
      <c r="E46" s="321">
        <v>38163</v>
      </c>
      <c r="F46" s="322"/>
      <c r="G46" s="323" t="s">
        <v>344</v>
      </c>
      <c r="H46" s="323"/>
      <c r="I46" s="323"/>
      <c r="J46" s="323"/>
      <c r="K46" s="324"/>
      <c r="L46" s="192"/>
      <c r="M46" s="192"/>
      <c r="N46" s="192"/>
      <c r="O46" s="192"/>
      <c r="P46" s="192"/>
      <c r="Q46" s="192"/>
      <c r="R46" s="192"/>
      <c r="S46" s="192"/>
      <c r="T46" s="192"/>
      <c r="U46" s="192"/>
      <c r="V46" s="192"/>
      <c r="W46" s="192"/>
      <c r="X46" s="192"/>
      <c r="Y46" s="192"/>
      <c r="Z46" s="192"/>
    </row>
    <row r="47" spans="1:26" s="196" customFormat="1" ht="17.100000000000001" customHeight="1">
      <c r="F47" s="325"/>
      <c r="G47" s="192" t="s">
        <v>671</v>
      </c>
      <c r="H47" s="192"/>
      <c r="I47" s="192"/>
      <c r="J47" s="192"/>
      <c r="K47" s="192"/>
      <c r="L47" s="192"/>
      <c r="M47" s="192"/>
      <c r="N47" s="192"/>
      <c r="O47" s="192"/>
      <c r="P47" s="192"/>
      <c r="Q47" s="192"/>
      <c r="R47" s="192"/>
      <c r="S47" s="192"/>
      <c r="T47" s="192"/>
      <c r="U47" s="192"/>
    </row>
    <row r="48" spans="1:26" s="196" customFormat="1" ht="17.100000000000001" customHeight="1">
      <c r="F48" s="192"/>
      <c r="G48" s="192" t="s">
        <v>672</v>
      </c>
      <c r="H48" s="192"/>
      <c r="I48" s="192"/>
      <c r="J48" s="192"/>
      <c r="K48" s="192"/>
    </row>
    <row r="49" spans="2:26" ht="17.100000000000001" customHeight="1">
      <c r="F49" s="182"/>
      <c r="G49" s="182" t="s">
        <v>736</v>
      </c>
      <c r="H49" s="182"/>
      <c r="I49" s="182"/>
      <c r="J49" s="182"/>
      <c r="K49" s="182"/>
      <c r="L49" s="183"/>
      <c r="M49" s="183"/>
      <c r="N49" s="183"/>
      <c r="O49" s="183"/>
      <c r="P49" s="183"/>
      <c r="Q49" s="183"/>
      <c r="R49" s="183"/>
      <c r="S49" s="183"/>
      <c r="T49" s="183"/>
      <c r="U49" s="183"/>
      <c r="V49" s="183"/>
      <c r="W49" s="183"/>
      <c r="X49" s="183"/>
      <c r="Y49" s="183"/>
      <c r="Z49" s="183"/>
    </row>
    <row r="50" spans="2:26">
      <c r="F50" s="182"/>
      <c r="G50" s="182" t="s">
        <v>735</v>
      </c>
      <c r="H50" s="182"/>
      <c r="I50" s="182"/>
      <c r="J50" s="182"/>
      <c r="K50" s="182"/>
      <c r="L50" s="183"/>
      <c r="M50" s="183"/>
      <c r="N50" s="183"/>
      <c r="O50" s="183"/>
      <c r="P50" s="183"/>
      <c r="Q50" s="183"/>
      <c r="R50" s="183"/>
      <c r="S50" s="183"/>
      <c r="T50" s="183"/>
      <c r="U50" s="183"/>
      <c r="V50" s="183"/>
      <c r="W50" s="183"/>
      <c r="X50" s="183"/>
      <c r="Y50" s="183"/>
      <c r="Z50" s="183"/>
    </row>
    <row r="51" spans="2:26">
      <c r="F51" s="182"/>
      <c r="G51" s="182" t="s">
        <v>737</v>
      </c>
      <c r="H51" s="182"/>
      <c r="I51" s="182"/>
      <c r="J51" s="182"/>
      <c r="K51" s="182"/>
      <c r="L51" s="183"/>
      <c r="M51" s="183"/>
      <c r="N51" s="183"/>
      <c r="O51" s="183"/>
      <c r="P51" s="183"/>
      <c r="Q51" s="183"/>
      <c r="R51" s="183"/>
      <c r="S51" s="183"/>
      <c r="T51" s="183"/>
      <c r="U51" s="183"/>
      <c r="V51" s="183"/>
      <c r="W51" s="183"/>
      <c r="X51" s="183"/>
      <c r="Y51" s="183"/>
      <c r="Z51" s="183"/>
    </row>
    <row r="52" spans="2:26">
      <c r="B52" s="182"/>
      <c r="C52" s="182"/>
      <c r="D52" s="182"/>
      <c r="E52" s="182"/>
      <c r="F52" s="182"/>
      <c r="G52" s="182"/>
      <c r="H52" s="182"/>
      <c r="I52" s="182"/>
      <c r="J52" s="182"/>
      <c r="K52" s="182"/>
      <c r="Q52" s="183"/>
      <c r="R52" s="183"/>
      <c r="S52" s="183"/>
      <c r="T52" s="183"/>
      <c r="U52" s="183"/>
      <c r="V52" s="183"/>
      <c r="W52" s="183"/>
      <c r="X52" s="183"/>
      <c r="Y52" s="183"/>
      <c r="Z52" s="183"/>
    </row>
    <row r="53" spans="2:26">
      <c r="F53" s="182"/>
      <c r="G53" s="182"/>
      <c r="H53" s="182"/>
      <c r="I53" s="182"/>
      <c r="J53" s="182"/>
      <c r="K53" s="182"/>
      <c r="Q53" s="183"/>
      <c r="R53" s="183"/>
      <c r="S53" s="183"/>
      <c r="T53" s="183"/>
      <c r="U53" s="183"/>
      <c r="V53" s="183"/>
      <c r="W53" s="183"/>
      <c r="X53" s="183"/>
      <c r="Y53" s="183"/>
      <c r="Z53" s="183"/>
    </row>
  </sheetData>
  <mergeCells count="49">
    <mergeCell ref="A27:E27"/>
    <mergeCell ref="F27:K27"/>
    <mergeCell ref="B46:C46"/>
    <mergeCell ref="A28:E32"/>
    <mergeCell ref="A33:E33"/>
    <mergeCell ref="A34:E38"/>
    <mergeCell ref="A39:E39"/>
    <mergeCell ref="A40:E44"/>
    <mergeCell ref="B45:C4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13:C13"/>
    <mergeCell ref="D13:E13"/>
    <mergeCell ref="A14:C14"/>
    <mergeCell ref="D14:E14"/>
    <mergeCell ref="A15:C15"/>
    <mergeCell ref="D15:E15"/>
    <mergeCell ref="F12:K12"/>
    <mergeCell ref="A7:C7"/>
    <mergeCell ref="D7:E7"/>
    <mergeCell ref="A8:C8"/>
    <mergeCell ref="D8:E8"/>
    <mergeCell ref="A9:C9"/>
    <mergeCell ref="D9:E9"/>
    <mergeCell ref="A10:C10"/>
    <mergeCell ref="D10:E10"/>
    <mergeCell ref="A11:C11"/>
    <mergeCell ref="D11:E11"/>
    <mergeCell ref="D12:E12"/>
    <mergeCell ref="A1:K1"/>
    <mergeCell ref="A2:K2"/>
    <mergeCell ref="J3:K3"/>
    <mergeCell ref="A5:C5"/>
    <mergeCell ref="A6:C6"/>
    <mergeCell ref="D6:E6"/>
    <mergeCell ref="F6:K6"/>
  </mergeCells>
  <dataValidations count="3">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00000000-0002-0000-0100-000000000000}">
      <formula1>$T$5:$T$10</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00000000-0002-0000-0100-000001000000}">
      <formula1>$Q$22:$Q$24</formula1>
    </dataValidation>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0000000-0002-0000-0100-000002000000}">
      <formula1>$Q$5:$Q$11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9"/>
  <sheetViews>
    <sheetView zoomScale="75" zoomScaleNormal="75" workbookViewId="0">
      <selection activeCell="G27" sqref="G27"/>
    </sheetView>
  </sheetViews>
  <sheetFormatPr defaultColWidth="6.796875" defaultRowHeight="12.75"/>
  <cols>
    <col min="1" max="1" width="6.796875" style="331" customWidth="1"/>
    <col min="2" max="2" width="6.09765625" style="331" bestFit="1" customWidth="1"/>
    <col min="3" max="3" width="9.3984375" style="331" bestFit="1" customWidth="1"/>
    <col min="4" max="4" width="16" style="331" bestFit="1" customWidth="1"/>
    <col min="5" max="5" width="5.19921875" style="331" bestFit="1" customWidth="1"/>
    <col min="6" max="6" width="22.3984375" style="331" customWidth="1"/>
    <col min="7" max="7" width="49.3984375" style="331" customWidth="1"/>
    <col min="8" max="8" width="8.69921875" style="331" bestFit="1" customWidth="1"/>
    <col min="9" max="9" width="3.796875" style="331" bestFit="1" customWidth="1"/>
    <col min="10" max="10" width="1.69921875" style="331" bestFit="1" customWidth="1"/>
    <col min="11" max="12" width="1.69921875" style="331" customWidth="1"/>
    <col min="13" max="13" width="1.8984375" style="331" bestFit="1" customWidth="1"/>
    <col min="14" max="14" width="1.69921875" style="331" bestFit="1" customWidth="1"/>
    <col min="15" max="256" width="6.796875" style="331"/>
    <col min="257" max="257" width="6.796875" style="331" customWidth="1"/>
    <col min="258" max="258" width="6.09765625" style="331" bestFit="1" customWidth="1"/>
    <col min="259" max="259" width="9.3984375" style="331" bestFit="1" customWidth="1"/>
    <col min="260" max="260" width="16" style="331" bestFit="1" customWidth="1"/>
    <col min="261" max="261" width="5.19921875" style="331" bestFit="1" customWidth="1"/>
    <col min="262" max="262" width="22.3984375" style="331" customWidth="1"/>
    <col min="263" max="263" width="49.3984375" style="331" customWidth="1"/>
    <col min="264" max="264" width="8.69921875" style="331" bestFit="1" customWidth="1"/>
    <col min="265" max="265" width="3.796875" style="331" bestFit="1" customWidth="1"/>
    <col min="266" max="266" width="1.69921875" style="331" bestFit="1" customWidth="1"/>
    <col min="267" max="268" width="1.69921875" style="331" customWidth="1"/>
    <col min="269" max="269" width="1.8984375" style="331" bestFit="1" customWidth="1"/>
    <col min="270" max="270" width="1.69921875" style="331" bestFit="1" customWidth="1"/>
    <col min="271" max="512" width="6.796875" style="331"/>
    <col min="513" max="513" width="6.796875" style="331" customWidth="1"/>
    <col min="514" max="514" width="6.09765625" style="331" bestFit="1" customWidth="1"/>
    <col min="515" max="515" width="9.3984375" style="331" bestFit="1" customWidth="1"/>
    <col min="516" max="516" width="16" style="331" bestFit="1" customWidth="1"/>
    <col min="517" max="517" width="5.19921875" style="331" bestFit="1" customWidth="1"/>
    <col min="518" max="518" width="22.3984375" style="331" customWidth="1"/>
    <col min="519" max="519" width="49.3984375" style="331" customWidth="1"/>
    <col min="520" max="520" width="8.69921875" style="331" bestFit="1" customWidth="1"/>
    <col min="521" max="521" width="3.796875" style="331" bestFit="1" customWidth="1"/>
    <col min="522" max="522" width="1.69921875" style="331" bestFit="1" customWidth="1"/>
    <col min="523" max="524" width="1.69921875" style="331" customWidth="1"/>
    <col min="525" max="525" width="1.8984375" style="331" bestFit="1" customWidth="1"/>
    <col min="526" max="526" width="1.69921875" style="331" bestFit="1" customWidth="1"/>
    <col min="527" max="768" width="6.796875" style="331"/>
    <col min="769" max="769" width="6.796875" style="331" customWidth="1"/>
    <col min="770" max="770" width="6.09765625" style="331" bestFit="1" customWidth="1"/>
    <col min="771" max="771" width="9.3984375" style="331" bestFit="1" customWidth="1"/>
    <col min="772" max="772" width="16" style="331" bestFit="1" customWidth="1"/>
    <col min="773" max="773" width="5.19921875" style="331" bestFit="1" customWidth="1"/>
    <col min="774" max="774" width="22.3984375" style="331" customWidth="1"/>
    <col min="775" max="775" width="49.3984375" style="331" customWidth="1"/>
    <col min="776" max="776" width="8.69921875" style="331" bestFit="1" customWidth="1"/>
    <col min="777" max="777" width="3.796875" style="331" bestFit="1" customWidth="1"/>
    <col min="778" max="778" width="1.69921875" style="331" bestFit="1" customWidth="1"/>
    <col min="779" max="780" width="1.69921875" style="331" customWidth="1"/>
    <col min="781" max="781" width="1.8984375" style="331" bestFit="1" customWidth="1"/>
    <col min="782" max="782" width="1.69921875" style="331" bestFit="1" customWidth="1"/>
    <col min="783" max="1024" width="6.796875" style="331"/>
    <col min="1025" max="1025" width="6.796875" style="331" customWidth="1"/>
    <col min="1026" max="1026" width="6.09765625" style="331" bestFit="1" customWidth="1"/>
    <col min="1027" max="1027" width="9.3984375" style="331" bestFit="1" customWidth="1"/>
    <col min="1028" max="1028" width="16" style="331" bestFit="1" customWidth="1"/>
    <col min="1029" max="1029" width="5.19921875" style="331" bestFit="1" customWidth="1"/>
    <col min="1030" max="1030" width="22.3984375" style="331" customWidth="1"/>
    <col min="1031" max="1031" width="49.3984375" style="331" customWidth="1"/>
    <col min="1032" max="1032" width="8.69921875" style="331" bestFit="1" customWidth="1"/>
    <col min="1033" max="1033" width="3.796875" style="331" bestFit="1" customWidth="1"/>
    <col min="1034" max="1034" width="1.69921875" style="331" bestFit="1" customWidth="1"/>
    <col min="1035" max="1036" width="1.69921875" style="331" customWidth="1"/>
    <col min="1037" max="1037" width="1.8984375" style="331" bestFit="1" customWidth="1"/>
    <col min="1038" max="1038" width="1.69921875" style="331" bestFit="1" customWidth="1"/>
    <col min="1039" max="1280" width="6.796875" style="331"/>
    <col min="1281" max="1281" width="6.796875" style="331" customWidth="1"/>
    <col min="1282" max="1282" width="6.09765625" style="331" bestFit="1" customWidth="1"/>
    <col min="1283" max="1283" width="9.3984375" style="331" bestFit="1" customWidth="1"/>
    <col min="1284" max="1284" width="16" style="331" bestFit="1" customWidth="1"/>
    <col min="1285" max="1285" width="5.19921875" style="331" bestFit="1" customWidth="1"/>
    <col min="1286" max="1286" width="22.3984375" style="331" customWidth="1"/>
    <col min="1287" max="1287" width="49.3984375" style="331" customWidth="1"/>
    <col min="1288" max="1288" width="8.69921875" style="331" bestFit="1" customWidth="1"/>
    <col min="1289" max="1289" width="3.796875" style="331" bestFit="1" customWidth="1"/>
    <col min="1290" max="1290" width="1.69921875" style="331" bestFit="1" customWidth="1"/>
    <col min="1291" max="1292" width="1.69921875" style="331" customWidth="1"/>
    <col min="1293" max="1293" width="1.8984375" style="331" bestFit="1" customWidth="1"/>
    <col min="1294" max="1294" width="1.69921875" style="331" bestFit="1" customWidth="1"/>
    <col min="1295" max="1536" width="6.796875" style="331"/>
    <col min="1537" max="1537" width="6.796875" style="331" customWidth="1"/>
    <col min="1538" max="1538" width="6.09765625" style="331" bestFit="1" customWidth="1"/>
    <col min="1539" max="1539" width="9.3984375" style="331" bestFit="1" customWidth="1"/>
    <col min="1540" max="1540" width="16" style="331" bestFit="1" customWidth="1"/>
    <col min="1541" max="1541" width="5.19921875" style="331" bestFit="1" customWidth="1"/>
    <col min="1542" max="1542" width="22.3984375" style="331" customWidth="1"/>
    <col min="1543" max="1543" width="49.3984375" style="331" customWidth="1"/>
    <col min="1544" max="1544" width="8.69921875" style="331" bestFit="1" customWidth="1"/>
    <col min="1545" max="1545" width="3.796875" style="331" bestFit="1" customWidth="1"/>
    <col min="1546" max="1546" width="1.69921875" style="331" bestFit="1" customWidth="1"/>
    <col min="1547" max="1548" width="1.69921875" style="331" customWidth="1"/>
    <col min="1549" max="1549" width="1.8984375" style="331" bestFit="1" customWidth="1"/>
    <col min="1550" max="1550" width="1.69921875" style="331" bestFit="1" customWidth="1"/>
    <col min="1551" max="1792" width="6.796875" style="331"/>
    <col min="1793" max="1793" width="6.796875" style="331" customWidth="1"/>
    <col min="1794" max="1794" width="6.09765625" style="331" bestFit="1" customWidth="1"/>
    <col min="1795" max="1795" width="9.3984375" style="331" bestFit="1" customWidth="1"/>
    <col min="1796" max="1796" width="16" style="331" bestFit="1" customWidth="1"/>
    <col min="1797" max="1797" width="5.19921875" style="331" bestFit="1" customWidth="1"/>
    <col min="1798" max="1798" width="22.3984375" style="331" customWidth="1"/>
    <col min="1799" max="1799" width="49.3984375" style="331" customWidth="1"/>
    <col min="1800" max="1800" width="8.69921875" style="331" bestFit="1" customWidth="1"/>
    <col min="1801" max="1801" width="3.796875" style="331" bestFit="1" customWidth="1"/>
    <col min="1802" max="1802" width="1.69921875" style="331" bestFit="1" customWidth="1"/>
    <col min="1803" max="1804" width="1.69921875" style="331" customWidth="1"/>
    <col min="1805" max="1805" width="1.8984375" style="331" bestFit="1" customWidth="1"/>
    <col min="1806" max="1806" width="1.69921875" style="331" bestFit="1" customWidth="1"/>
    <col min="1807" max="2048" width="6.796875" style="331"/>
    <col min="2049" max="2049" width="6.796875" style="331" customWidth="1"/>
    <col min="2050" max="2050" width="6.09765625" style="331" bestFit="1" customWidth="1"/>
    <col min="2051" max="2051" width="9.3984375" style="331" bestFit="1" customWidth="1"/>
    <col min="2052" max="2052" width="16" style="331" bestFit="1" customWidth="1"/>
    <col min="2053" max="2053" width="5.19921875" style="331" bestFit="1" customWidth="1"/>
    <col min="2054" max="2054" width="22.3984375" style="331" customWidth="1"/>
    <col min="2055" max="2055" width="49.3984375" style="331" customWidth="1"/>
    <col min="2056" max="2056" width="8.69921875" style="331" bestFit="1" customWidth="1"/>
    <col min="2057" max="2057" width="3.796875" style="331" bestFit="1" customWidth="1"/>
    <col min="2058" max="2058" width="1.69921875" style="331" bestFit="1" customWidth="1"/>
    <col min="2059" max="2060" width="1.69921875" style="331" customWidth="1"/>
    <col min="2061" max="2061" width="1.8984375" style="331" bestFit="1" customWidth="1"/>
    <col min="2062" max="2062" width="1.69921875" style="331" bestFit="1" customWidth="1"/>
    <col min="2063" max="2304" width="6.796875" style="331"/>
    <col min="2305" max="2305" width="6.796875" style="331" customWidth="1"/>
    <col min="2306" max="2306" width="6.09765625" style="331" bestFit="1" customWidth="1"/>
    <col min="2307" max="2307" width="9.3984375" style="331" bestFit="1" customWidth="1"/>
    <col min="2308" max="2308" width="16" style="331" bestFit="1" customWidth="1"/>
    <col min="2309" max="2309" width="5.19921875" style="331" bestFit="1" customWidth="1"/>
    <col min="2310" max="2310" width="22.3984375" style="331" customWidth="1"/>
    <col min="2311" max="2311" width="49.3984375" style="331" customWidth="1"/>
    <col min="2312" max="2312" width="8.69921875" style="331" bestFit="1" customWidth="1"/>
    <col min="2313" max="2313" width="3.796875" style="331" bestFit="1" customWidth="1"/>
    <col min="2314" max="2314" width="1.69921875" style="331" bestFit="1" customWidth="1"/>
    <col min="2315" max="2316" width="1.69921875" style="331" customWidth="1"/>
    <col min="2317" max="2317" width="1.8984375" style="331" bestFit="1" customWidth="1"/>
    <col min="2318" max="2318" width="1.69921875" style="331" bestFit="1" customWidth="1"/>
    <col min="2319" max="2560" width="6.796875" style="331"/>
    <col min="2561" max="2561" width="6.796875" style="331" customWidth="1"/>
    <col min="2562" max="2562" width="6.09765625" style="331" bestFit="1" customWidth="1"/>
    <col min="2563" max="2563" width="9.3984375" style="331" bestFit="1" customWidth="1"/>
    <col min="2564" max="2564" width="16" style="331" bestFit="1" customWidth="1"/>
    <col min="2565" max="2565" width="5.19921875" style="331" bestFit="1" customWidth="1"/>
    <col min="2566" max="2566" width="22.3984375" style="331" customWidth="1"/>
    <col min="2567" max="2567" width="49.3984375" style="331" customWidth="1"/>
    <col min="2568" max="2568" width="8.69921875" style="331" bestFit="1" customWidth="1"/>
    <col min="2569" max="2569" width="3.796875" style="331" bestFit="1" customWidth="1"/>
    <col min="2570" max="2570" width="1.69921875" style="331" bestFit="1" customWidth="1"/>
    <col min="2571" max="2572" width="1.69921875" style="331" customWidth="1"/>
    <col min="2573" max="2573" width="1.8984375" style="331" bestFit="1" customWidth="1"/>
    <col min="2574" max="2574" width="1.69921875" style="331" bestFit="1" customWidth="1"/>
    <col min="2575" max="2816" width="6.796875" style="331"/>
    <col min="2817" max="2817" width="6.796875" style="331" customWidth="1"/>
    <col min="2818" max="2818" width="6.09765625" style="331" bestFit="1" customWidth="1"/>
    <col min="2819" max="2819" width="9.3984375" style="331" bestFit="1" customWidth="1"/>
    <col min="2820" max="2820" width="16" style="331" bestFit="1" customWidth="1"/>
    <col min="2821" max="2821" width="5.19921875" style="331" bestFit="1" customWidth="1"/>
    <col min="2822" max="2822" width="22.3984375" style="331" customWidth="1"/>
    <col min="2823" max="2823" width="49.3984375" style="331" customWidth="1"/>
    <col min="2824" max="2824" width="8.69921875" style="331" bestFit="1" customWidth="1"/>
    <col min="2825" max="2825" width="3.796875" style="331" bestFit="1" customWidth="1"/>
    <col min="2826" max="2826" width="1.69921875" style="331" bestFit="1" customWidth="1"/>
    <col min="2827" max="2828" width="1.69921875" style="331" customWidth="1"/>
    <col min="2829" max="2829" width="1.8984375" style="331" bestFit="1" customWidth="1"/>
    <col min="2830" max="2830" width="1.69921875" style="331" bestFit="1" customWidth="1"/>
    <col min="2831" max="3072" width="6.796875" style="331"/>
    <col min="3073" max="3073" width="6.796875" style="331" customWidth="1"/>
    <col min="3074" max="3074" width="6.09765625" style="331" bestFit="1" customWidth="1"/>
    <col min="3075" max="3075" width="9.3984375" style="331" bestFit="1" customWidth="1"/>
    <col min="3076" max="3076" width="16" style="331" bestFit="1" customWidth="1"/>
    <col min="3077" max="3077" width="5.19921875" style="331" bestFit="1" customWidth="1"/>
    <col min="3078" max="3078" width="22.3984375" style="331" customWidth="1"/>
    <col min="3079" max="3079" width="49.3984375" style="331" customWidth="1"/>
    <col min="3080" max="3080" width="8.69921875" style="331" bestFit="1" customWidth="1"/>
    <col min="3081" max="3081" width="3.796875" style="331" bestFit="1" customWidth="1"/>
    <col min="3082" max="3082" width="1.69921875" style="331" bestFit="1" customWidth="1"/>
    <col min="3083" max="3084" width="1.69921875" style="331" customWidth="1"/>
    <col min="3085" max="3085" width="1.8984375" style="331" bestFit="1" customWidth="1"/>
    <col min="3086" max="3086" width="1.69921875" style="331" bestFit="1" customWidth="1"/>
    <col min="3087" max="3328" width="6.796875" style="331"/>
    <col min="3329" max="3329" width="6.796875" style="331" customWidth="1"/>
    <col min="3330" max="3330" width="6.09765625" style="331" bestFit="1" customWidth="1"/>
    <col min="3331" max="3331" width="9.3984375" style="331" bestFit="1" customWidth="1"/>
    <col min="3332" max="3332" width="16" style="331" bestFit="1" customWidth="1"/>
    <col min="3333" max="3333" width="5.19921875" style="331" bestFit="1" customWidth="1"/>
    <col min="3334" max="3334" width="22.3984375" style="331" customWidth="1"/>
    <col min="3335" max="3335" width="49.3984375" style="331" customWidth="1"/>
    <col min="3336" max="3336" width="8.69921875" style="331" bestFit="1" customWidth="1"/>
    <col min="3337" max="3337" width="3.796875" style="331" bestFit="1" customWidth="1"/>
    <col min="3338" max="3338" width="1.69921875" style="331" bestFit="1" customWidth="1"/>
    <col min="3339" max="3340" width="1.69921875" style="331" customWidth="1"/>
    <col min="3341" max="3341" width="1.8984375" style="331" bestFit="1" customWidth="1"/>
    <col min="3342" max="3342" width="1.69921875" style="331" bestFit="1" customWidth="1"/>
    <col min="3343" max="3584" width="6.796875" style="331"/>
    <col min="3585" max="3585" width="6.796875" style="331" customWidth="1"/>
    <col min="3586" max="3586" width="6.09765625" style="331" bestFit="1" customWidth="1"/>
    <col min="3587" max="3587" width="9.3984375" style="331" bestFit="1" customWidth="1"/>
    <col min="3588" max="3588" width="16" style="331" bestFit="1" customWidth="1"/>
    <col min="3589" max="3589" width="5.19921875" style="331" bestFit="1" customWidth="1"/>
    <col min="3590" max="3590" width="22.3984375" style="331" customWidth="1"/>
    <col min="3591" max="3591" width="49.3984375" style="331" customWidth="1"/>
    <col min="3592" max="3592" width="8.69921875" style="331" bestFit="1" customWidth="1"/>
    <col min="3593" max="3593" width="3.796875" style="331" bestFit="1" customWidth="1"/>
    <col min="3594" max="3594" width="1.69921875" style="331" bestFit="1" customWidth="1"/>
    <col min="3595" max="3596" width="1.69921875" style="331" customWidth="1"/>
    <col min="3597" max="3597" width="1.8984375" style="331" bestFit="1" customWidth="1"/>
    <col min="3598" max="3598" width="1.69921875" style="331" bestFit="1" customWidth="1"/>
    <col min="3599" max="3840" width="6.796875" style="331"/>
    <col min="3841" max="3841" width="6.796875" style="331" customWidth="1"/>
    <col min="3842" max="3842" width="6.09765625" style="331" bestFit="1" customWidth="1"/>
    <col min="3843" max="3843" width="9.3984375" style="331" bestFit="1" customWidth="1"/>
    <col min="3844" max="3844" width="16" style="331" bestFit="1" customWidth="1"/>
    <col min="3845" max="3845" width="5.19921875" style="331" bestFit="1" customWidth="1"/>
    <col min="3846" max="3846" width="22.3984375" style="331" customWidth="1"/>
    <col min="3847" max="3847" width="49.3984375" style="331" customWidth="1"/>
    <col min="3848" max="3848" width="8.69921875" style="331" bestFit="1" customWidth="1"/>
    <col min="3849" max="3849" width="3.796875" style="331" bestFit="1" customWidth="1"/>
    <col min="3850" max="3850" width="1.69921875" style="331" bestFit="1" customWidth="1"/>
    <col min="3851" max="3852" width="1.69921875" style="331" customWidth="1"/>
    <col min="3853" max="3853" width="1.8984375" style="331" bestFit="1" customWidth="1"/>
    <col min="3854" max="3854" width="1.69921875" style="331" bestFit="1" customWidth="1"/>
    <col min="3855" max="4096" width="6.796875" style="331"/>
    <col min="4097" max="4097" width="6.796875" style="331" customWidth="1"/>
    <col min="4098" max="4098" width="6.09765625" style="331" bestFit="1" customWidth="1"/>
    <col min="4099" max="4099" width="9.3984375" style="331" bestFit="1" customWidth="1"/>
    <col min="4100" max="4100" width="16" style="331" bestFit="1" customWidth="1"/>
    <col min="4101" max="4101" width="5.19921875" style="331" bestFit="1" customWidth="1"/>
    <col min="4102" max="4102" width="22.3984375" style="331" customWidth="1"/>
    <col min="4103" max="4103" width="49.3984375" style="331" customWidth="1"/>
    <col min="4104" max="4104" width="8.69921875" style="331" bestFit="1" customWidth="1"/>
    <col min="4105" max="4105" width="3.796875" style="331" bestFit="1" customWidth="1"/>
    <col min="4106" max="4106" width="1.69921875" style="331" bestFit="1" customWidth="1"/>
    <col min="4107" max="4108" width="1.69921875" style="331" customWidth="1"/>
    <col min="4109" max="4109" width="1.8984375" style="331" bestFit="1" customWidth="1"/>
    <col min="4110" max="4110" width="1.69921875" style="331" bestFit="1" customWidth="1"/>
    <col min="4111" max="4352" width="6.796875" style="331"/>
    <col min="4353" max="4353" width="6.796875" style="331" customWidth="1"/>
    <col min="4354" max="4354" width="6.09765625" style="331" bestFit="1" customWidth="1"/>
    <col min="4355" max="4355" width="9.3984375" style="331" bestFit="1" customWidth="1"/>
    <col min="4356" max="4356" width="16" style="331" bestFit="1" customWidth="1"/>
    <col min="4357" max="4357" width="5.19921875" style="331" bestFit="1" customWidth="1"/>
    <col min="4358" max="4358" width="22.3984375" style="331" customWidth="1"/>
    <col min="4359" max="4359" width="49.3984375" style="331" customWidth="1"/>
    <col min="4360" max="4360" width="8.69921875" style="331" bestFit="1" customWidth="1"/>
    <col min="4361" max="4361" width="3.796875" style="331" bestFit="1" customWidth="1"/>
    <col min="4362" max="4362" width="1.69921875" style="331" bestFit="1" customWidth="1"/>
    <col min="4363" max="4364" width="1.69921875" style="331" customWidth="1"/>
    <col min="4365" max="4365" width="1.8984375" style="331" bestFit="1" customWidth="1"/>
    <col min="4366" max="4366" width="1.69921875" style="331" bestFit="1" customWidth="1"/>
    <col min="4367" max="4608" width="6.796875" style="331"/>
    <col min="4609" max="4609" width="6.796875" style="331" customWidth="1"/>
    <col min="4610" max="4610" width="6.09765625" style="331" bestFit="1" customWidth="1"/>
    <col min="4611" max="4611" width="9.3984375" style="331" bestFit="1" customWidth="1"/>
    <col min="4612" max="4612" width="16" style="331" bestFit="1" customWidth="1"/>
    <col min="4613" max="4613" width="5.19921875" style="331" bestFit="1" customWidth="1"/>
    <col min="4614" max="4614" width="22.3984375" style="331" customWidth="1"/>
    <col min="4615" max="4615" width="49.3984375" style="331" customWidth="1"/>
    <col min="4616" max="4616" width="8.69921875" style="331" bestFit="1" customWidth="1"/>
    <col min="4617" max="4617" width="3.796875" style="331" bestFit="1" customWidth="1"/>
    <col min="4618" max="4618" width="1.69921875" style="331" bestFit="1" customWidth="1"/>
    <col min="4619" max="4620" width="1.69921875" style="331" customWidth="1"/>
    <col min="4621" max="4621" width="1.8984375" style="331" bestFit="1" customWidth="1"/>
    <col min="4622" max="4622" width="1.69921875" style="331" bestFit="1" customWidth="1"/>
    <col min="4623" max="4864" width="6.796875" style="331"/>
    <col min="4865" max="4865" width="6.796875" style="331" customWidth="1"/>
    <col min="4866" max="4866" width="6.09765625" style="331" bestFit="1" customWidth="1"/>
    <col min="4867" max="4867" width="9.3984375" style="331" bestFit="1" customWidth="1"/>
    <col min="4868" max="4868" width="16" style="331" bestFit="1" customWidth="1"/>
    <col min="4869" max="4869" width="5.19921875" style="331" bestFit="1" customWidth="1"/>
    <col min="4870" max="4870" width="22.3984375" style="331" customWidth="1"/>
    <col min="4871" max="4871" width="49.3984375" style="331" customWidth="1"/>
    <col min="4872" max="4872" width="8.69921875" style="331" bestFit="1" customWidth="1"/>
    <col min="4873" max="4873" width="3.796875" style="331" bestFit="1" customWidth="1"/>
    <col min="4874" max="4874" width="1.69921875" style="331" bestFit="1" customWidth="1"/>
    <col min="4875" max="4876" width="1.69921875" style="331" customWidth="1"/>
    <col min="4877" max="4877" width="1.8984375" style="331" bestFit="1" customWidth="1"/>
    <col min="4878" max="4878" width="1.69921875" style="331" bestFit="1" customWidth="1"/>
    <col min="4879" max="5120" width="6.796875" style="331"/>
    <col min="5121" max="5121" width="6.796875" style="331" customWidth="1"/>
    <col min="5122" max="5122" width="6.09765625" style="331" bestFit="1" customWidth="1"/>
    <col min="5123" max="5123" width="9.3984375" style="331" bestFit="1" customWidth="1"/>
    <col min="5124" max="5124" width="16" style="331" bestFit="1" customWidth="1"/>
    <col min="5125" max="5125" width="5.19921875" style="331" bestFit="1" customWidth="1"/>
    <col min="5126" max="5126" width="22.3984375" style="331" customWidth="1"/>
    <col min="5127" max="5127" width="49.3984375" style="331" customWidth="1"/>
    <col min="5128" max="5128" width="8.69921875" style="331" bestFit="1" customWidth="1"/>
    <col min="5129" max="5129" width="3.796875" style="331" bestFit="1" customWidth="1"/>
    <col min="5130" max="5130" width="1.69921875" style="331" bestFit="1" customWidth="1"/>
    <col min="5131" max="5132" width="1.69921875" style="331" customWidth="1"/>
    <col min="5133" max="5133" width="1.8984375" style="331" bestFit="1" customWidth="1"/>
    <col min="5134" max="5134" width="1.69921875" style="331" bestFit="1" customWidth="1"/>
    <col min="5135" max="5376" width="6.796875" style="331"/>
    <col min="5377" max="5377" width="6.796875" style="331" customWidth="1"/>
    <col min="5378" max="5378" width="6.09765625" style="331" bestFit="1" customWidth="1"/>
    <col min="5379" max="5379" width="9.3984375" style="331" bestFit="1" customWidth="1"/>
    <col min="5380" max="5380" width="16" style="331" bestFit="1" customWidth="1"/>
    <col min="5381" max="5381" width="5.19921875" style="331" bestFit="1" customWidth="1"/>
    <col min="5382" max="5382" width="22.3984375" style="331" customWidth="1"/>
    <col min="5383" max="5383" width="49.3984375" style="331" customWidth="1"/>
    <col min="5384" max="5384" width="8.69921875" style="331" bestFit="1" customWidth="1"/>
    <col min="5385" max="5385" width="3.796875" style="331" bestFit="1" customWidth="1"/>
    <col min="5386" max="5386" width="1.69921875" style="331" bestFit="1" customWidth="1"/>
    <col min="5387" max="5388" width="1.69921875" style="331" customWidth="1"/>
    <col min="5389" max="5389" width="1.8984375" style="331" bestFit="1" customWidth="1"/>
    <col min="5390" max="5390" width="1.69921875" style="331" bestFit="1" customWidth="1"/>
    <col min="5391" max="5632" width="6.796875" style="331"/>
    <col min="5633" max="5633" width="6.796875" style="331" customWidth="1"/>
    <col min="5634" max="5634" width="6.09765625" style="331" bestFit="1" customWidth="1"/>
    <col min="5635" max="5635" width="9.3984375" style="331" bestFit="1" customWidth="1"/>
    <col min="5636" max="5636" width="16" style="331" bestFit="1" customWidth="1"/>
    <col min="5637" max="5637" width="5.19921875" style="331" bestFit="1" customWidth="1"/>
    <col min="5638" max="5638" width="22.3984375" style="331" customWidth="1"/>
    <col min="5639" max="5639" width="49.3984375" style="331" customWidth="1"/>
    <col min="5640" max="5640" width="8.69921875" style="331" bestFit="1" customWidth="1"/>
    <col min="5641" max="5641" width="3.796875" style="331" bestFit="1" customWidth="1"/>
    <col min="5642" max="5642" width="1.69921875" style="331" bestFit="1" customWidth="1"/>
    <col min="5643" max="5644" width="1.69921875" style="331" customWidth="1"/>
    <col min="5645" max="5645" width="1.8984375" style="331" bestFit="1" customWidth="1"/>
    <col min="5646" max="5646" width="1.69921875" style="331" bestFit="1" customWidth="1"/>
    <col min="5647" max="5888" width="6.796875" style="331"/>
    <col min="5889" max="5889" width="6.796875" style="331" customWidth="1"/>
    <col min="5890" max="5890" width="6.09765625" style="331" bestFit="1" customWidth="1"/>
    <col min="5891" max="5891" width="9.3984375" style="331" bestFit="1" customWidth="1"/>
    <col min="5892" max="5892" width="16" style="331" bestFit="1" customWidth="1"/>
    <col min="5893" max="5893" width="5.19921875" style="331" bestFit="1" customWidth="1"/>
    <col min="5894" max="5894" width="22.3984375" style="331" customWidth="1"/>
    <col min="5895" max="5895" width="49.3984375" style="331" customWidth="1"/>
    <col min="5896" max="5896" width="8.69921875" style="331" bestFit="1" customWidth="1"/>
    <col min="5897" max="5897" width="3.796875" style="331" bestFit="1" customWidth="1"/>
    <col min="5898" max="5898" width="1.69921875" style="331" bestFit="1" customWidth="1"/>
    <col min="5899" max="5900" width="1.69921875" style="331" customWidth="1"/>
    <col min="5901" max="5901" width="1.8984375" style="331" bestFit="1" customWidth="1"/>
    <col min="5902" max="5902" width="1.69921875" style="331" bestFit="1" customWidth="1"/>
    <col min="5903" max="6144" width="6.796875" style="331"/>
    <col min="6145" max="6145" width="6.796875" style="331" customWidth="1"/>
    <col min="6146" max="6146" width="6.09765625" style="331" bestFit="1" customWidth="1"/>
    <col min="6147" max="6147" width="9.3984375" style="331" bestFit="1" customWidth="1"/>
    <col min="6148" max="6148" width="16" style="331" bestFit="1" customWidth="1"/>
    <col min="6149" max="6149" width="5.19921875" style="331" bestFit="1" customWidth="1"/>
    <col min="6150" max="6150" width="22.3984375" style="331" customWidth="1"/>
    <col min="6151" max="6151" width="49.3984375" style="331" customWidth="1"/>
    <col min="6152" max="6152" width="8.69921875" style="331" bestFit="1" customWidth="1"/>
    <col min="6153" max="6153" width="3.796875" style="331" bestFit="1" customWidth="1"/>
    <col min="6154" max="6154" width="1.69921875" style="331" bestFit="1" customWidth="1"/>
    <col min="6155" max="6156" width="1.69921875" style="331" customWidth="1"/>
    <col min="6157" max="6157" width="1.8984375" style="331" bestFit="1" customWidth="1"/>
    <col min="6158" max="6158" width="1.69921875" style="331" bestFit="1" customWidth="1"/>
    <col min="6159" max="6400" width="6.796875" style="331"/>
    <col min="6401" max="6401" width="6.796875" style="331" customWidth="1"/>
    <col min="6402" max="6402" width="6.09765625" style="331" bestFit="1" customWidth="1"/>
    <col min="6403" max="6403" width="9.3984375" style="331" bestFit="1" customWidth="1"/>
    <col min="6404" max="6404" width="16" style="331" bestFit="1" customWidth="1"/>
    <col min="6405" max="6405" width="5.19921875" style="331" bestFit="1" customWidth="1"/>
    <col min="6406" max="6406" width="22.3984375" style="331" customWidth="1"/>
    <col min="6407" max="6407" width="49.3984375" style="331" customWidth="1"/>
    <col min="6408" max="6408" width="8.69921875" style="331" bestFit="1" customWidth="1"/>
    <col min="6409" max="6409" width="3.796875" style="331" bestFit="1" customWidth="1"/>
    <col min="6410" max="6410" width="1.69921875" style="331" bestFit="1" customWidth="1"/>
    <col min="6411" max="6412" width="1.69921875" style="331" customWidth="1"/>
    <col min="6413" max="6413" width="1.8984375" style="331" bestFit="1" customWidth="1"/>
    <col min="6414" max="6414" width="1.69921875" style="331" bestFit="1" customWidth="1"/>
    <col min="6415" max="6656" width="6.796875" style="331"/>
    <col min="6657" max="6657" width="6.796875" style="331" customWidth="1"/>
    <col min="6658" max="6658" width="6.09765625" style="331" bestFit="1" customWidth="1"/>
    <col min="6659" max="6659" width="9.3984375" style="331" bestFit="1" customWidth="1"/>
    <col min="6660" max="6660" width="16" style="331" bestFit="1" customWidth="1"/>
    <col min="6661" max="6661" width="5.19921875" style="331" bestFit="1" customWidth="1"/>
    <col min="6662" max="6662" width="22.3984375" style="331" customWidth="1"/>
    <col min="6663" max="6663" width="49.3984375" style="331" customWidth="1"/>
    <col min="6664" max="6664" width="8.69921875" style="331" bestFit="1" customWidth="1"/>
    <col min="6665" max="6665" width="3.796875" style="331" bestFit="1" customWidth="1"/>
    <col min="6666" max="6666" width="1.69921875" style="331" bestFit="1" customWidth="1"/>
    <col min="6667" max="6668" width="1.69921875" style="331" customWidth="1"/>
    <col min="6669" max="6669" width="1.8984375" style="331" bestFit="1" customWidth="1"/>
    <col min="6670" max="6670" width="1.69921875" style="331" bestFit="1" customWidth="1"/>
    <col min="6671" max="6912" width="6.796875" style="331"/>
    <col min="6913" max="6913" width="6.796875" style="331" customWidth="1"/>
    <col min="6914" max="6914" width="6.09765625" style="331" bestFit="1" customWidth="1"/>
    <col min="6915" max="6915" width="9.3984375" style="331" bestFit="1" customWidth="1"/>
    <col min="6916" max="6916" width="16" style="331" bestFit="1" customWidth="1"/>
    <col min="6917" max="6917" width="5.19921875" style="331" bestFit="1" customWidth="1"/>
    <col min="6918" max="6918" width="22.3984375" style="331" customWidth="1"/>
    <col min="6919" max="6919" width="49.3984375" style="331" customWidth="1"/>
    <col min="6920" max="6920" width="8.69921875" style="331" bestFit="1" customWidth="1"/>
    <col min="6921" max="6921" width="3.796875" style="331" bestFit="1" customWidth="1"/>
    <col min="6922" max="6922" width="1.69921875" style="331" bestFit="1" customWidth="1"/>
    <col min="6923" max="6924" width="1.69921875" style="331" customWidth="1"/>
    <col min="6925" max="6925" width="1.8984375" style="331" bestFit="1" customWidth="1"/>
    <col min="6926" max="6926" width="1.69921875" style="331" bestFit="1" customWidth="1"/>
    <col min="6927" max="7168" width="6.796875" style="331"/>
    <col min="7169" max="7169" width="6.796875" style="331" customWidth="1"/>
    <col min="7170" max="7170" width="6.09765625" style="331" bestFit="1" customWidth="1"/>
    <col min="7171" max="7171" width="9.3984375" style="331" bestFit="1" customWidth="1"/>
    <col min="7172" max="7172" width="16" style="331" bestFit="1" customWidth="1"/>
    <col min="7173" max="7173" width="5.19921875" style="331" bestFit="1" customWidth="1"/>
    <col min="7174" max="7174" width="22.3984375" style="331" customWidth="1"/>
    <col min="7175" max="7175" width="49.3984375" style="331" customWidth="1"/>
    <col min="7176" max="7176" width="8.69921875" style="331" bestFit="1" customWidth="1"/>
    <col min="7177" max="7177" width="3.796875" style="331" bestFit="1" customWidth="1"/>
    <col min="7178" max="7178" width="1.69921875" style="331" bestFit="1" customWidth="1"/>
    <col min="7179" max="7180" width="1.69921875" style="331" customWidth="1"/>
    <col min="7181" max="7181" width="1.8984375" style="331" bestFit="1" customWidth="1"/>
    <col min="7182" max="7182" width="1.69921875" style="331" bestFit="1" customWidth="1"/>
    <col min="7183" max="7424" width="6.796875" style="331"/>
    <col min="7425" max="7425" width="6.796875" style="331" customWidth="1"/>
    <col min="7426" max="7426" width="6.09765625" style="331" bestFit="1" customWidth="1"/>
    <col min="7427" max="7427" width="9.3984375" style="331" bestFit="1" customWidth="1"/>
    <col min="7428" max="7428" width="16" style="331" bestFit="1" customWidth="1"/>
    <col min="7429" max="7429" width="5.19921875" style="331" bestFit="1" customWidth="1"/>
    <col min="7430" max="7430" width="22.3984375" style="331" customWidth="1"/>
    <col min="7431" max="7431" width="49.3984375" style="331" customWidth="1"/>
    <col min="7432" max="7432" width="8.69921875" style="331" bestFit="1" customWidth="1"/>
    <col min="7433" max="7433" width="3.796875" style="331" bestFit="1" customWidth="1"/>
    <col min="7434" max="7434" width="1.69921875" style="331" bestFit="1" customWidth="1"/>
    <col min="7435" max="7436" width="1.69921875" style="331" customWidth="1"/>
    <col min="7437" max="7437" width="1.8984375" style="331" bestFit="1" customWidth="1"/>
    <col min="7438" max="7438" width="1.69921875" style="331" bestFit="1" customWidth="1"/>
    <col min="7439" max="7680" width="6.796875" style="331"/>
    <col min="7681" max="7681" width="6.796875" style="331" customWidth="1"/>
    <col min="7682" max="7682" width="6.09765625" style="331" bestFit="1" customWidth="1"/>
    <col min="7683" max="7683" width="9.3984375" style="331" bestFit="1" customWidth="1"/>
    <col min="7684" max="7684" width="16" style="331" bestFit="1" customWidth="1"/>
    <col min="7685" max="7685" width="5.19921875" style="331" bestFit="1" customWidth="1"/>
    <col min="7686" max="7686" width="22.3984375" style="331" customWidth="1"/>
    <col min="7687" max="7687" width="49.3984375" style="331" customWidth="1"/>
    <col min="7688" max="7688" width="8.69921875" style="331" bestFit="1" customWidth="1"/>
    <col min="7689" max="7689" width="3.796875" style="331" bestFit="1" customWidth="1"/>
    <col min="7690" max="7690" width="1.69921875" style="331" bestFit="1" customWidth="1"/>
    <col min="7691" max="7692" width="1.69921875" style="331" customWidth="1"/>
    <col min="7693" max="7693" width="1.8984375" style="331" bestFit="1" customWidth="1"/>
    <col min="7694" max="7694" width="1.69921875" style="331" bestFit="1" customWidth="1"/>
    <col min="7695" max="7936" width="6.796875" style="331"/>
    <col min="7937" max="7937" width="6.796875" style="331" customWidth="1"/>
    <col min="7938" max="7938" width="6.09765625" style="331" bestFit="1" customWidth="1"/>
    <col min="7939" max="7939" width="9.3984375" style="331" bestFit="1" customWidth="1"/>
    <col min="7940" max="7940" width="16" style="331" bestFit="1" customWidth="1"/>
    <col min="7941" max="7941" width="5.19921875" style="331" bestFit="1" customWidth="1"/>
    <col min="7942" max="7942" width="22.3984375" style="331" customWidth="1"/>
    <col min="7943" max="7943" width="49.3984375" style="331" customWidth="1"/>
    <col min="7944" max="7944" width="8.69921875" style="331" bestFit="1" customWidth="1"/>
    <col min="7945" max="7945" width="3.796875" style="331" bestFit="1" customWidth="1"/>
    <col min="7946" max="7946" width="1.69921875" style="331" bestFit="1" customWidth="1"/>
    <col min="7947" max="7948" width="1.69921875" style="331" customWidth="1"/>
    <col min="7949" max="7949" width="1.8984375" style="331" bestFit="1" customWidth="1"/>
    <col min="7950" max="7950" width="1.69921875" style="331" bestFit="1" customWidth="1"/>
    <col min="7951" max="8192" width="6.796875" style="331"/>
    <col min="8193" max="8193" width="6.796875" style="331" customWidth="1"/>
    <col min="8194" max="8194" width="6.09765625" style="331" bestFit="1" customWidth="1"/>
    <col min="8195" max="8195" width="9.3984375" style="331" bestFit="1" customWidth="1"/>
    <col min="8196" max="8196" width="16" style="331" bestFit="1" customWidth="1"/>
    <col min="8197" max="8197" width="5.19921875" style="331" bestFit="1" customWidth="1"/>
    <col min="8198" max="8198" width="22.3984375" style="331" customWidth="1"/>
    <col min="8199" max="8199" width="49.3984375" style="331" customWidth="1"/>
    <col min="8200" max="8200" width="8.69921875" style="331" bestFit="1" customWidth="1"/>
    <col min="8201" max="8201" width="3.796875" style="331" bestFit="1" customWidth="1"/>
    <col min="8202" max="8202" width="1.69921875" style="331" bestFit="1" customWidth="1"/>
    <col min="8203" max="8204" width="1.69921875" style="331" customWidth="1"/>
    <col min="8205" max="8205" width="1.8984375" style="331" bestFit="1" customWidth="1"/>
    <col min="8206" max="8206" width="1.69921875" style="331" bestFit="1" customWidth="1"/>
    <col min="8207" max="8448" width="6.796875" style="331"/>
    <col min="8449" max="8449" width="6.796875" style="331" customWidth="1"/>
    <col min="8450" max="8450" width="6.09765625" style="331" bestFit="1" customWidth="1"/>
    <col min="8451" max="8451" width="9.3984375" style="331" bestFit="1" customWidth="1"/>
    <col min="8452" max="8452" width="16" style="331" bestFit="1" customWidth="1"/>
    <col min="8453" max="8453" width="5.19921875" style="331" bestFit="1" customWidth="1"/>
    <col min="8454" max="8454" width="22.3984375" style="331" customWidth="1"/>
    <col min="8455" max="8455" width="49.3984375" style="331" customWidth="1"/>
    <col min="8456" max="8456" width="8.69921875" style="331" bestFit="1" customWidth="1"/>
    <col min="8457" max="8457" width="3.796875" style="331" bestFit="1" customWidth="1"/>
    <col min="8458" max="8458" width="1.69921875" style="331" bestFit="1" customWidth="1"/>
    <col min="8459" max="8460" width="1.69921875" style="331" customWidth="1"/>
    <col min="8461" max="8461" width="1.8984375" style="331" bestFit="1" customWidth="1"/>
    <col min="8462" max="8462" width="1.69921875" style="331" bestFit="1" customWidth="1"/>
    <col min="8463" max="8704" width="6.796875" style="331"/>
    <col min="8705" max="8705" width="6.796875" style="331" customWidth="1"/>
    <col min="8706" max="8706" width="6.09765625" style="331" bestFit="1" customWidth="1"/>
    <col min="8707" max="8707" width="9.3984375" style="331" bestFit="1" customWidth="1"/>
    <col min="8708" max="8708" width="16" style="331" bestFit="1" customWidth="1"/>
    <col min="8709" max="8709" width="5.19921875" style="331" bestFit="1" customWidth="1"/>
    <col min="8710" max="8710" width="22.3984375" style="331" customWidth="1"/>
    <col min="8711" max="8711" width="49.3984375" style="331" customWidth="1"/>
    <col min="8712" max="8712" width="8.69921875" style="331" bestFit="1" customWidth="1"/>
    <col min="8713" max="8713" width="3.796875" style="331" bestFit="1" customWidth="1"/>
    <col min="8714" max="8714" width="1.69921875" style="331" bestFit="1" customWidth="1"/>
    <col min="8715" max="8716" width="1.69921875" style="331" customWidth="1"/>
    <col min="8717" max="8717" width="1.8984375" style="331" bestFit="1" customWidth="1"/>
    <col min="8718" max="8718" width="1.69921875" style="331" bestFit="1" customWidth="1"/>
    <col min="8719" max="8960" width="6.796875" style="331"/>
    <col min="8961" max="8961" width="6.796875" style="331" customWidth="1"/>
    <col min="8962" max="8962" width="6.09765625" style="331" bestFit="1" customWidth="1"/>
    <col min="8963" max="8963" width="9.3984375" style="331" bestFit="1" customWidth="1"/>
    <col min="8964" max="8964" width="16" style="331" bestFit="1" customWidth="1"/>
    <col min="8965" max="8965" width="5.19921875" style="331" bestFit="1" customWidth="1"/>
    <col min="8966" max="8966" width="22.3984375" style="331" customWidth="1"/>
    <col min="8967" max="8967" width="49.3984375" style="331" customWidth="1"/>
    <col min="8968" max="8968" width="8.69921875" style="331" bestFit="1" customWidth="1"/>
    <col min="8969" max="8969" width="3.796875" style="331" bestFit="1" customWidth="1"/>
    <col min="8970" max="8970" width="1.69921875" style="331" bestFit="1" customWidth="1"/>
    <col min="8971" max="8972" width="1.69921875" style="331" customWidth="1"/>
    <col min="8973" max="8973" width="1.8984375" style="331" bestFit="1" customWidth="1"/>
    <col min="8974" max="8974" width="1.69921875" style="331" bestFit="1" customWidth="1"/>
    <col min="8975" max="9216" width="6.796875" style="331"/>
    <col min="9217" max="9217" width="6.796875" style="331" customWidth="1"/>
    <col min="9218" max="9218" width="6.09765625" style="331" bestFit="1" customWidth="1"/>
    <col min="9219" max="9219" width="9.3984375" style="331" bestFit="1" customWidth="1"/>
    <col min="9220" max="9220" width="16" style="331" bestFit="1" customWidth="1"/>
    <col min="9221" max="9221" width="5.19921875" style="331" bestFit="1" customWidth="1"/>
    <col min="9222" max="9222" width="22.3984375" style="331" customWidth="1"/>
    <col min="9223" max="9223" width="49.3984375" style="331" customWidth="1"/>
    <col min="9224" max="9224" width="8.69921875" style="331" bestFit="1" customWidth="1"/>
    <col min="9225" max="9225" width="3.796875" style="331" bestFit="1" customWidth="1"/>
    <col min="9226" max="9226" width="1.69921875" style="331" bestFit="1" customWidth="1"/>
    <col min="9227" max="9228" width="1.69921875" style="331" customWidth="1"/>
    <col min="9229" max="9229" width="1.8984375" style="331" bestFit="1" customWidth="1"/>
    <col min="9230" max="9230" width="1.69921875" style="331" bestFit="1" customWidth="1"/>
    <col min="9231" max="9472" width="6.796875" style="331"/>
    <col min="9473" max="9473" width="6.796875" style="331" customWidth="1"/>
    <col min="9474" max="9474" width="6.09765625" style="331" bestFit="1" customWidth="1"/>
    <col min="9475" max="9475" width="9.3984375" style="331" bestFit="1" customWidth="1"/>
    <col min="9476" max="9476" width="16" style="331" bestFit="1" customWidth="1"/>
    <col min="9477" max="9477" width="5.19921875" style="331" bestFit="1" customWidth="1"/>
    <col min="9478" max="9478" width="22.3984375" style="331" customWidth="1"/>
    <col min="9479" max="9479" width="49.3984375" style="331" customWidth="1"/>
    <col min="9480" max="9480" width="8.69921875" style="331" bestFit="1" customWidth="1"/>
    <col min="9481" max="9481" width="3.796875" style="331" bestFit="1" customWidth="1"/>
    <col min="9482" max="9482" width="1.69921875" style="331" bestFit="1" customWidth="1"/>
    <col min="9483" max="9484" width="1.69921875" style="331" customWidth="1"/>
    <col min="9485" max="9485" width="1.8984375" style="331" bestFit="1" customWidth="1"/>
    <col min="9486" max="9486" width="1.69921875" style="331" bestFit="1" customWidth="1"/>
    <col min="9487" max="9728" width="6.796875" style="331"/>
    <col min="9729" max="9729" width="6.796875" style="331" customWidth="1"/>
    <col min="9730" max="9730" width="6.09765625" style="331" bestFit="1" customWidth="1"/>
    <col min="9731" max="9731" width="9.3984375" style="331" bestFit="1" customWidth="1"/>
    <col min="9732" max="9732" width="16" style="331" bestFit="1" customWidth="1"/>
    <col min="9733" max="9733" width="5.19921875" style="331" bestFit="1" customWidth="1"/>
    <col min="9734" max="9734" width="22.3984375" style="331" customWidth="1"/>
    <col min="9735" max="9735" width="49.3984375" style="331" customWidth="1"/>
    <col min="9736" max="9736" width="8.69921875" style="331" bestFit="1" customWidth="1"/>
    <col min="9737" max="9737" width="3.796875" style="331" bestFit="1" customWidth="1"/>
    <col min="9738" max="9738" width="1.69921875" style="331" bestFit="1" customWidth="1"/>
    <col min="9739" max="9740" width="1.69921875" style="331" customWidth="1"/>
    <col min="9741" max="9741" width="1.8984375" style="331" bestFit="1" customWidth="1"/>
    <col min="9742" max="9742" width="1.69921875" style="331" bestFit="1" customWidth="1"/>
    <col min="9743" max="9984" width="6.796875" style="331"/>
    <col min="9985" max="9985" width="6.796875" style="331" customWidth="1"/>
    <col min="9986" max="9986" width="6.09765625" style="331" bestFit="1" customWidth="1"/>
    <col min="9987" max="9987" width="9.3984375" style="331" bestFit="1" customWidth="1"/>
    <col min="9988" max="9988" width="16" style="331" bestFit="1" customWidth="1"/>
    <col min="9989" max="9989" width="5.19921875" style="331" bestFit="1" customWidth="1"/>
    <col min="9990" max="9990" width="22.3984375" style="331" customWidth="1"/>
    <col min="9991" max="9991" width="49.3984375" style="331" customWidth="1"/>
    <col min="9992" max="9992" width="8.69921875" style="331" bestFit="1" customWidth="1"/>
    <col min="9993" max="9993" width="3.796875" style="331" bestFit="1" customWidth="1"/>
    <col min="9994" max="9994" width="1.69921875" style="331" bestFit="1" customWidth="1"/>
    <col min="9995" max="9996" width="1.69921875" style="331" customWidth="1"/>
    <col min="9997" max="9997" width="1.8984375" style="331" bestFit="1" customWidth="1"/>
    <col min="9998" max="9998" width="1.69921875" style="331" bestFit="1" customWidth="1"/>
    <col min="9999" max="10240" width="6.796875" style="331"/>
    <col min="10241" max="10241" width="6.796875" style="331" customWidth="1"/>
    <col min="10242" max="10242" width="6.09765625" style="331" bestFit="1" customWidth="1"/>
    <col min="10243" max="10243" width="9.3984375" style="331" bestFit="1" customWidth="1"/>
    <col min="10244" max="10244" width="16" style="331" bestFit="1" customWidth="1"/>
    <col min="10245" max="10245" width="5.19921875" style="331" bestFit="1" customWidth="1"/>
    <col min="10246" max="10246" width="22.3984375" style="331" customWidth="1"/>
    <col min="10247" max="10247" width="49.3984375" style="331" customWidth="1"/>
    <col min="10248" max="10248" width="8.69921875" style="331" bestFit="1" customWidth="1"/>
    <col min="10249" max="10249" width="3.796875" style="331" bestFit="1" customWidth="1"/>
    <col min="10250" max="10250" width="1.69921875" style="331" bestFit="1" customWidth="1"/>
    <col min="10251" max="10252" width="1.69921875" style="331" customWidth="1"/>
    <col min="10253" max="10253" width="1.8984375" style="331" bestFit="1" customWidth="1"/>
    <col min="10254" max="10254" width="1.69921875" style="331" bestFit="1" customWidth="1"/>
    <col min="10255" max="10496" width="6.796875" style="331"/>
    <col min="10497" max="10497" width="6.796875" style="331" customWidth="1"/>
    <col min="10498" max="10498" width="6.09765625" style="331" bestFit="1" customWidth="1"/>
    <col min="10499" max="10499" width="9.3984375" style="331" bestFit="1" customWidth="1"/>
    <col min="10500" max="10500" width="16" style="331" bestFit="1" customWidth="1"/>
    <col min="10501" max="10501" width="5.19921875" style="331" bestFit="1" customWidth="1"/>
    <col min="10502" max="10502" width="22.3984375" style="331" customWidth="1"/>
    <col min="10503" max="10503" width="49.3984375" style="331" customWidth="1"/>
    <col min="10504" max="10504" width="8.69921875" style="331" bestFit="1" customWidth="1"/>
    <col min="10505" max="10505" width="3.796875" style="331" bestFit="1" customWidth="1"/>
    <col min="10506" max="10506" width="1.69921875" style="331" bestFit="1" customWidth="1"/>
    <col min="10507" max="10508" width="1.69921875" style="331" customWidth="1"/>
    <col min="10509" max="10509" width="1.8984375" style="331" bestFit="1" customWidth="1"/>
    <col min="10510" max="10510" width="1.69921875" style="331" bestFit="1" customWidth="1"/>
    <col min="10511" max="10752" width="6.796875" style="331"/>
    <col min="10753" max="10753" width="6.796875" style="331" customWidth="1"/>
    <col min="10754" max="10754" width="6.09765625" style="331" bestFit="1" customWidth="1"/>
    <col min="10755" max="10755" width="9.3984375" style="331" bestFit="1" customWidth="1"/>
    <col min="10756" max="10756" width="16" style="331" bestFit="1" customWidth="1"/>
    <col min="10757" max="10757" width="5.19921875" style="331" bestFit="1" customWidth="1"/>
    <col min="10758" max="10758" width="22.3984375" style="331" customWidth="1"/>
    <col min="10759" max="10759" width="49.3984375" style="331" customWidth="1"/>
    <col min="10760" max="10760" width="8.69921875" style="331" bestFit="1" customWidth="1"/>
    <col min="10761" max="10761" width="3.796875" style="331" bestFit="1" customWidth="1"/>
    <col min="10762" max="10762" width="1.69921875" style="331" bestFit="1" customWidth="1"/>
    <col min="10763" max="10764" width="1.69921875" style="331" customWidth="1"/>
    <col min="10765" max="10765" width="1.8984375" style="331" bestFit="1" customWidth="1"/>
    <col min="10766" max="10766" width="1.69921875" style="331" bestFit="1" customWidth="1"/>
    <col min="10767" max="11008" width="6.796875" style="331"/>
    <col min="11009" max="11009" width="6.796875" style="331" customWidth="1"/>
    <col min="11010" max="11010" width="6.09765625" style="331" bestFit="1" customWidth="1"/>
    <col min="11011" max="11011" width="9.3984375" style="331" bestFit="1" customWidth="1"/>
    <col min="11012" max="11012" width="16" style="331" bestFit="1" customWidth="1"/>
    <col min="11013" max="11013" width="5.19921875" style="331" bestFit="1" customWidth="1"/>
    <col min="11014" max="11014" width="22.3984375" style="331" customWidth="1"/>
    <col min="11015" max="11015" width="49.3984375" style="331" customWidth="1"/>
    <col min="11016" max="11016" width="8.69921875" style="331" bestFit="1" customWidth="1"/>
    <col min="11017" max="11017" width="3.796875" style="331" bestFit="1" customWidth="1"/>
    <col min="11018" max="11018" width="1.69921875" style="331" bestFit="1" customWidth="1"/>
    <col min="11019" max="11020" width="1.69921875" style="331" customWidth="1"/>
    <col min="11021" max="11021" width="1.8984375" style="331" bestFit="1" customWidth="1"/>
    <col min="11022" max="11022" width="1.69921875" style="331" bestFit="1" customWidth="1"/>
    <col min="11023" max="11264" width="6.796875" style="331"/>
    <col min="11265" max="11265" width="6.796875" style="331" customWidth="1"/>
    <col min="11266" max="11266" width="6.09765625" style="331" bestFit="1" customWidth="1"/>
    <col min="11267" max="11267" width="9.3984375" style="331" bestFit="1" customWidth="1"/>
    <col min="11268" max="11268" width="16" style="331" bestFit="1" customWidth="1"/>
    <col min="11269" max="11269" width="5.19921875" style="331" bestFit="1" customWidth="1"/>
    <col min="11270" max="11270" width="22.3984375" style="331" customWidth="1"/>
    <col min="11271" max="11271" width="49.3984375" style="331" customWidth="1"/>
    <col min="11272" max="11272" width="8.69921875" style="331" bestFit="1" customWidth="1"/>
    <col min="11273" max="11273" width="3.796875" style="331" bestFit="1" customWidth="1"/>
    <col min="11274" max="11274" width="1.69921875" style="331" bestFit="1" customWidth="1"/>
    <col min="11275" max="11276" width="1.69921875" style="331" customWidth="1"/>
    <col min="11277" max="11277" width="1.8984375" style="331" bestFit="1" customWidth="1"/>
    <col min="11278" max="11278" width="1.69921875" style="331" bestFit="1" customWidth="1"/>
    <col min="11279" max="11520" width="6.796875" style="331"/>
    <col min="11521" max="11521" width="6.796875" style="331" customWidth="1"/>
    <col min="11522" max="11522" width="6.09765625" style="331" bestFit="1" customWidth="1"/>
    <col min="11523" max="11523" width="9.3984375" style="331" bestFit="1" customWidth="1"/>
    <col min="11524" max="11524" width="16" style="331" bestFit="1" customWidth="1"/>
    <col min="11525" max="11525" width="5.19921875" style="331" bestFit="1" customWidth="1"/>
    <col min="11526" max="11526" width="22.3984375" style="331" customWidth="1"/>
    <col min="11527" max="11527" width="49.3984375" style="331" customWidth="1"/>
    <col min="11528" max="11528" width="8.69921875" style="331" bestFit="1" customWidth="1"/>
    <col min="11529" max="11529" width="3.796875" style="331" bestFit="1" customWidth="1"/>
    <col min="11530" max="11530" width="1.69921875" style="331" bestFit="1" customWidth="1"/>
    <col min="11531" max="11532" width="1.69921875" style="331" customWidth="1"/>
    <col min="11533" max="11533" width="1.8984375" style="331" bestFit="1" customWidth="1"/>
    <col min="11534" max="11534" width="1.69921875" style="331" bestFit="1" customWidth="1"/>
    <col min="11535" max="11776" width="6.796875" style="331"/>
    <col min="11777" max="11777" width="6.796875" style="331" customWidth="1"/>
    <col min="11778" max="11778" width="6.09765625" style="331" bestFit="1" customWidth="1"/>
    <col min="11779" max="11779" width="9.3984375" style="331" bestFit="1" customWidth="1"/>
    <col min="11780" max="11780" width="16" style="331" bestFit="1" customWidth="1"/>
    <col min="11781" max="11781" width="5.19921875" style="331" bestFit="1" customWidth="1"/>
    <col min="11782" max="11782" width="22.3984375" style="331" customWidth="1"/>
    <col min="11783" max="11783" width="49.3984375" style="331" customWidth="1"/>
    <col min="11784" max="11784" width="8.69921875" style="331" bestFit="1" customWidth="1"/>
    <col min="11785" max="11785" width="3.796875" style="331" bestFit="1" customWidth="1"/>
    <col min="11786" max="11786" width="1.69921875" style="331" bestFit="1" customWidth="1"/>
    <col min="11787" max="11788" width="1.69921875" style="331" customWidth="1"/>
    <col min="11789" max="11789" width="1.8984375" style="331" bestFit="1" customWidth="1"/>
    <col min="11790" max="11790" width="1.69921875" style="331" bestFit="1" customWidth="1"/>
    <col min="11791" max="12032" width="6.796875" style="331"/>
    <col min="12033" max="12033" width="6.796875" style="331" customWidth="1"/>
    <col min="12034" max="12034" width="6.09765625" style="331" bestFit="1" customWidth="1"/>
    <col min="12035" max="12035" width="9.3984375" style="331" bestFit="1" customWidth="1"/>
    <col min="12036" max="12036" width="16" style="331" bestFit="1" customWidth="1"/>
    <col min="12037" max="12037" width="5.19921875" style="331" bestFit="1" customWidth="1"/>
    <col min="12038" max="12038" width="22.3984375" style="331" customWidth="1"/>
    <col min="12039" max="12039" width="49.3984375" style="331" customWidth="1"/>
    <col min="12040" max="12040" width="8.69921875" style="331" bestFit="1" customWidth="1"/>
    <col min="12041" max="12041" width="3.796875" style="331" bestFit="1" customWidth="1"/>
    <col min="12042" max="12042" width="1.69921875" style="331" bestFit="1" customWidth="1"/>
    <col min="12043" max="12044" width="1.69921875" style="331" customWidth="1"/>
    <col min="12045" max="12045" width="1.8984375" style="331" bestFit="1" customWidth="1"/>
    <col min="12046" max="12046" width="1.69921875" style="331" bestFit="1" customWidth="1"/>
    <col min="12047" max="12288" width="6.796875" style="331"/>
    <col min="12289" max="12289" width="6.796875" style="331" customWidth="1"/>
    <col min="12290" max="12290" width="6.09765625" style="331" bestFit="1" customWidth="1"/>
    <col min="12291" max="12291" width="9.3984375" style="331" bestFit="1" customWidth="1"/>
    <col min="12292" max="12292" width="16" style="331" bestFit="1" customWidth="1"/>
    <col min="12293" max="12293" width="5.19921875" style="331" bestFit="1" customWidth="1"/>
    <col min="12294" max="12294" width="22.3984375" style="331" customWidth="1"/>
    <col min="12295" max="12295" width="49.3984375" style="331" customWidth="1"/>
    <col min="12296" max="12296" width="8.69921875" style="331" bestFit="1" customWidth="1"/>
    <col min="12297" max="12297" width="3.796875" style="331" bestFit="1" customWidth="1"/>
    <col min="12298" max="12298" width="1.69921875" style="331" bestFit="1" customWidth="1"/>
    <col min="12299" max="12300" width="1.69921875" style="331" customWidth="1"/>
    <col min="12301" max="12301" width="1.8984375" style="331" bestFit="1" customWidth="1"/>
    <col min="12302" max="12302" width="1.69921875" style="331" bestFit="1" customWidth="1"/>
    <col min="12303" max="12544" width="6.796875" style="331"/>
    <col min="12545" max="12545" width="6.796875" style="331" customWidth="1"/>
    <col min="12546" max="12546" width="6.09765625" style="331" bestFit="1" customWidth="1"/>
    <col min="12547" max="12547" width="9.3984375" style="331" bestFit="1" customWidth="1"/>
    <col min="12548" max="12548" width="16" style="331" bestFit="1" customWidth="1"/>
    <col min="12549" max="12549" width="5.19921875" style="331" bestFit="1" customWidth="1"/>
    <col min="12550" max="12550" width="22.3984375" style="331" customWidth="1"/>
    <col min="12551" max="12551" width="49.3984375" style="331" customWidth="1"/>
    <col min="12552" max="12552" width="8.69921875" style="331" bestFit="1" customWidth="1"/>
    <col min="12553" max="12553" width="3.796875" style="331" bestFit="1" customWidth="1"/>
    <col min="12554" max="12554" width="1.69921875" style="331" bestFit="1" customWidth="1"/>
    <col min="12555" max="12556" width="1.69921875" style="331" customWidth="1"/>
    <col min="12557" max="12557" width="1.8984375" style="331" bestFit="1" customWidth="1"/>
    <col min="12558" max="12558" width="1.69921875" style="331" bestFit="1" customWidth="1"/>
    <col min="12559" max="12800" width="6.796875" style="331"/>
    <col min="12801" max="12801" width="6.796875" style="331" customWidth="1"/>
    <col min="12802" max="12802" width="6.09765625" style="331" bestFit="1" customWidth="1"/>
    <col min="12803" max="12803" width="9.3984375" style="331" bestFit="1" customWidth="1"/>
    <col min="12804" max="12804" width="16" style="331" bestFit="1" customWidth="1"/>
    <col min="12805" max="12805" width="5.19921875" style="331" bestFit="1" customWidth="1"/>
    <col min="12806" max="12806" width="22.3984375" style="331" customWidth="1"/>
    <col min="12807" max="12807" width="49.3984375" style="331" customWidth="1"/>
    <col min="12808" max="12808" width="8.69921875" style="331" bestFit="1" customWidth="1"/>
    <col min="12809" max="12809" width="3.796875" style="331" bestFit="1" customWidth="1"/>
    <col min="12810" max="12810" width="1.69921875" style="331" bestFit="1" customWidth="1"/>
    <col min="12811" max="12812" width="1.69921875" style="331" customWidth="1"/>
    <col min="12813" max="12813" width="1.8984375" style="331" bestFit="1" customWidth="1"/>
    <col min="12814" max="12814" width="1.69921875" style="331" bestFit="1" customWidth="1"/>
    <col min="12815" max="13056" width="6.796875" style="331"/>
    <col min="13057" max="13057" width="6.796875" style="331" customWidth="1"/>
    <col min="13058" max="13058" width="6.09765625" style="331" bestFit="1" customWidth="1"/>
    <col min="13059" max="13059" width="9.3984375" style="331" bestFit="1" customWidth="1"/>
    <col min="13060" max="13060" width="16" style="331" bestFit="1" customWidth="1"/>
    <col min="13061" max="13061" width="5.19921875" style="331" bestFit="1" customWidth="1"/>
    <col min="13062" max="13062" width="22.3984375" style="331" customWidth="1"/>
    <col min="13063" max="13063" width="49.3984375" style="331" customWidth="1"/>
    <col min="13064" max="13064" width="8.69921875" style="331" bestFit="1" customWidth="1"/>
    <col min="13065" max="13065" width="3.796875" style="331" bestFit="1" customWidth="1"/>
    <col min="13066" max="13066" width="1.69921875" style="331" bestFit="1" customWidth="1"/>
    <col min="13067" max="13068" width="1.69921875" style="331" customWidth="1"/>
    <col min="13069" max="13069" width="1.8984375" style="331" bestFit="1" customWidth="1"/>
    <col min="13070" max="13070" width="1.69921875" style="331" bestFit="1" customWidth="1"/>
    <col min="13071" max="13312" width="6.796875" style="331"/>
    <col min="13313" max="13313" width="6.796875" style="331" customWidth="1"/>
    <col min="13314" max="13314" width="6.09765625" style="331" bestFit="1" customWidth="1"/>
    <col min="13315" max="13315" width="9.3984375" style="331" bestFit="1" customWidth="1"/>
    <col min="13316" max="13316" width="16" style="331" bestFit="1" customWidth="1"/>
    <col min="13317" max="13317" width="5.19921875" style="331" bestFit="1" customWidth="1"/>
    <col min="13318" max="13318" width="22.3984375" style="331" customWidth="1"/>
    <col min="13319" max="13319" width="49.3984375" style="331" customWidth="1"/>
    <col min="13320" max="13320" width="8.69921875" style="331" bestFit="1" customWidth="1"/>
    <col min="13321" max="13321" width="3.796875" style="331" bestFit="1" customWidth="1"/>
    <col min="13322" max="13322" width="1.69921875" style="331" bestFit="1" customWidth="1"/>
    <col min="13323" max="13324" width="1.69921875" style="331" customWidth="1"/>
    <col min="13325" max="13325" width="1.8984375" style="331" bestFit="1" customWidth="1"/>
    <col min="13326" max="13326" width="1.69921875" style="331" bestFit="1" customWidth="1"/>
    <col min="13327" max="13568" width="6.796875" style="331"/>
    <col min="13569" max="13569" width="6.796875" style="331" customWidth="1"/>
    <col min="13570" max="13570" width="6.09765625" style="331" bestFit="1" customWidth="1"/>
    <col min="13571" max="13571" width="9.3984375" style="331" bestFit="1" customWidth="1"/>
    <col min="13572" max="13572" width="16" style="331" bestFit="1" customWidth="1"/>
    <col min="13573" max="13573" width="5.19921875" style="331" bestFit="1" customWidth="1"/>
    <col min="13574" max="13574" width="22.3984375" style="331" customWidth="1"/>
    <col min="13575" max="13575" width="49.3984375" style="331" customWidth="1"/>
    <col min="13576" max="13576" width="8.69921875" style="331" bestFit="1" customWidth="1"/>
    <col min="13577" max="13577" width="3.796875" style="331" bestFit="1" customWidth="1"/>
    <col min="13578" max="13578" width="1.69921875" style="331" bestFit="1" customWidth="1"/>
    <col min="13579" max="13580" width="1.69921875" style="331" customWidth="1"/>
    <col min="13581" max="13581" width="1.8984375" style="331" bestFit="1" customWidth="1"/>
    <col min="13582" max="13582" width="1.69921875" style="331" bestFit="1" customWidth="1"/>
    <col min="13583" max="13824" width="6.796875" style="331"/>
    <col min="13825" max="13825" width="6.796875" style="331" customWidth="1"/>
    <col min="13826" max="13826" width="6.09765625" style="331" bestFit="1" customWidth="1"/>
    <col min="13827" max="13827" width="9.3984375" style="331" bestFit="1" customWidth="1"/>
    <col min="13828" max="13828" width="16" style="331" bestFit="1" customWidth="1"/>
    <col min="13829" max="13829" width="5.19921875" style="331" bestFit="1" customWidth="1"/>
    <col min="13830" max="13830" width="22.3984375" style="331" customWidth="1"/>
    <col min="13831" max="13831" width="49.3984375" style="331" customWidth="1"/>
    <col min="13832" max="13832" width="8.69921875" style="331" bestFit="1" customWidth="1"/>
    <col min="13833" max="13833" width="3.796875" style="331" bestFit="1" customWidth="1"/>
    <col min="13834" max="13834" width="1.69921875" style="331" bestFit="1" customWidth="1"/>
    <col min="13835" max="13836" width="1.69921875" style="331" customWidth="1"/>
    <col min="13837" max="13837" width="1.8984375" style="331" bestFit="1" customWidth="1"/>
    <col min="13838" max="13838" width="1.69921875" style="331" bestFit="1" customWidth="1"/>
    <col min="13839" max="14080" width="6.796875" style="331"/>
    <col min="14081" max="14081" width="6.796875" style="331" customWidth="1"/>
    <col min="14082" max="14082" width="6.09765625" style="331" bestFit="1" customWidth="1"/>
    <col min="14083" max="14083" width="9.3984375" style="331" bestFit="1" customWidth="1"/>
    <col min="14084" max="14084" width="16" style="331" bestFit="1" customWidth="1"/>
    <col min="14085" max="14085" width="5.19921875" style="331" bestFit="1" customWidth="1"/>
    <col min="14086" max="14086" width="22.3984375" style="331" customWidth="1"/>
    <col min="14087" max="14087" width="49.3984375" style="331" customWidth="1"/>
    <col min="14088" max="14088" width="8.69921875" style="331" bestFit="1" customWidth="1"/>
    <col min="14089" max="14089" width="3.796875" style="331" bestFit="1" customWidth="1"/>
    <col min="14090" max="14090" width="1.69921875" style="331" bestFit="1" customWidth="1"/>
    <col min="14091" max="14092" width="1.69921875" style="331" customWidth="1"/>
    <col min="14093" max="14093" width="1.8984375" style="331" bestFit="1" customWidth="1"/>
    <col min="14094" max="14094" width="1.69921875" style="331" bestFit="1" customWidth="1"/>
    <col min="14095" max="14336" width="6.796875" style="331"/>
    <col min="14337" max="14337" width="6.796875" style="331" customWidth="1"/>
    <col min="14338" max="14338" width="6.09765625" style="331" bestFit="1" customWidth="1"/>
    <col min="14339" max="14339" width="9.3984375" style="331" bestFit="1" customWidth="1"/>
    <col min="14340" max="14340" width="16" style="331" bestFit="1" customWidth="1"/>
    <col min="14341" max="14341" width="5.19921875" style="331" bestFit="1" customWidth="1"/>
    <col min="14342" max="14342" width="22.3984375" style="331" customWidth="1"/>
    <col min="14343" max="14343" width="49.3984375" style="331" customWidth="1"/>
    <col min="14344" max="14344" width="8.69921875" style="331" bestFit="1" customWidth="1"/>
    <col min="14345" max="14345" width="3.796875" style="331" bestFit="1" customWidth="1"/>
    <col min="14346" max="14346" width="1.69921875" style="331" bestFit="1" customWidth="1"/>
    <col min="14347" max="14348" width="1.69921875" style="331" customWidth="1"/>
    <col min="14349" max="14349" width="1.8984375" style="331" bestFit="1" customWidth="1"/>
    <col min="14350" max="14350" width="1.69921875" style="331" bestFit="1" customWidth="1"/>
    <col min="14351" max="14592" width="6.796875" style="331"/>
    <col min="14593" max="14593" width="6.796875" style="331" customWidth="1"/>
    <col min="14594" max="14594" width="6.09765625" style="331" bestFit="1" customWidth="1"/>
    <col min="14595" max="14595" width="9.3984375" style="331" bestFit="1" customWidth="1"/>
    <col min="14596" max="14596" width="16" style="331" bestFit="1" customWidth="1"/>
    <col min="14597" max="14597" width="5.19921875" style="331" bestFit="1" customWidth="1"/>
    <col min="14598" max="14598" width="22.3984375" style="331" customWidth="1"/>
    <col min="14599" max="14599" width="49.3984375" style="331" customWidth="1"/>
    <col min="14600" max="14600" width="8.69921875" style="331" bestFit="1" customWidth="1"/>
    <col min="14601" max="14601" width="3.796875" style="331" bestFit="1" customWidth="1"/>
    <col min="14602" max="14602" width="1.69921875" style="331" bestFit="1" customWidth="1"/>
    <col min="14603" max="14604" width="1.69921875" style="331" customWidth="1"/>
    <col min="14605" max="14605" width="1.8984375" style="331" bestFit="1" customWidth="1"/>
    <col min="14606" max="14606" width="1.69921875" style="331" bestFit="1" customWidth="1"/>
    <col min="14607" max="14848" width="6.796875" style="331"/>
    <col min="14849" max="14849" width="6.796875" style="331" customWidth="1"/>
    <col min="14850" max="14850" width="6.09765625" style="331" bestFit="1" customWidth="1"/>
    <col min="14851" max="14851" width="9.3984375" style="331" bestFit="1" customWidth="1"/>
    <col min="14852" max="14852" width="16" style="331" bestFit="1" customWidth="1"/>
    <col min="14853" max="14853" width="5.19921875" style="331" bestFit="1" customWidth="1"/>
    <col min="14854" max="14854" width="22.3984375" style="331" customWidth="1"/>
    <col min="14855" max="14855" width="49.3984375" style="331" customWidth="1"/>
    <col min="14856" max="14856" width="8.69921875" style="331" bestFit="1" customWidth="1"/>
    <col min="14857" max="14857" width="3.796875" style="331" bestFit="1" customWidth="1"/>
    <col min="14858" max="14858" width="1.69921875" style="331" bestFit="1" customWidth="1"/>
    <col min="14859" max="14860" width="1.69921875" style="331" customWidth="1"/>
    <col min="14861" max="14861" width="1.8984375" style="331" bestFit="1" customWidth="1"/>
    <col min="14862" max="14862" width="1.69921875" style="331" bestFit="1" customWidth="1"/>
    <col min="14863" max="15104" width="6.796875" style="331"/>
    <col min="15105" max="15105" width="6.796875" style="331" customWidth="1"/>
    <col min="15106" max="15106" width="6.09765625" style="331" bestFit="1" customWidth="1"/>
    <col min="15107" max="15107" width="9.3984375" style="331" bestFit="1" customWidth="1"/>
    <col min="15108" max="15108" width="16" style="331" bestFit="1" customWidth="1"/>
    <col min="15109" max="15109" width="5.19921875" style="331" bestFit="1" customWidth="1"/>
    <col min="15110" max="15110" width="22.3984375" style="331" customWidth="1"/>
    <col min="15111" max="15111" width="49.3984375" style="331" customWidth="1"/>
    <col min="15112" max="15112" width="8.69921875" style="331" bestFit="1" customWidth="1"/>
    <col min="15113" max="15113" width="3.796875" style="331" bestFit="1" customWidth="1"/>
    <col min="15114" max="15114" width="1.69921875" style="331" bestFit="1" customWidth="1"/>
    <col min="15115" max="15116" width="1.69921875" style="331" customWidth="1"/>
    <col min="15117" max="15117" width="1.8984375" style="331" bestFit="1" customWidth="1"/>
    <col min="15118" max="15118" width="1.69921875" style="331" bestFit="1" customWidth="1"/>
    <col min="15119" max="15360" width="6.796875" style="331"/>
    <col min="15361" max="15361" width="6.796875" style="331" customWidth="1"/>
    <col min="15362" max="15362" width="6.09765625" style="331" bestFit="1" customWidth="1"/>
    <col min="15363" max="15363" width="9.3984375" style="331" bestFit="1" customWidth="1"/>
    <col min="15364" max="15364" width="16" style="331" bestFit="1" customWidth="1"/>
    <col min="15365" max="15365" width="5.19921875" style="331" bestFit="1" customWidth="1"/>
    <col min="15366" max="15366" width="22.3984375" style="331" customWidth="1"/>
    <col min="15367" max="15367" width="49.3984375" style="331" customWidth="1"/>
    <col min="15368" max="15368" width="8.69921875" style="331" bestFit="1" customWidth="1"/>
    <col min="15369" max="15369" width="3.796875" style="331" bestFit="1" customWidth="1"/>
    <col min="15370" max="15370" width="1.69921875" style="331" bestFit="1" customWidth="1"/>
    <col min="15371" max="15372" width="1.69921875" style="331" customWidth="1"/>
    <col min="15373" max="15373" width="1.8984375" style="331" bestFit="1" customWidth="1"/>
    <col min="15374" max="15374" width="1.69921875" style="331" bestFit="1" customWidth="1"/>
    <col min="15375" max="15616" width="6.796875" style="331"/>
    <col min="15617" max="15617" width="6.796875" style="331" customWidth="1"/>
    <col min="15618" max="15618" width="6.09765625" style="331" bestFit="1" customWidth="1"/>
    <col min="15619" max="15619" width="9.3984375" style="331" bestFit="1" customWidth="1"/>
    <col min="15620" max="15620" width="16" style="331" bestFit="1" customWidth="1"/>
    <col min="15621" max="15621" width="5.19921875" style="331" bestFit="1" customWidth="1"/>
    <col min="15622" max="15622" width="22.3984375" style="331" customWidth="1"/>
    <col min="15623" max="15623" width="49.3984375" style="331" customWidth="1"/>
    <col min="15624" max="15624" width="8.69921875" style="331" bestFit="1" customWidth="1"/>
    <col min="15625" max="15625" width="3.796875" style="331" bestFit="1" customWidth="1"/>
    <col min="15626" max="15626" width="1.69921875" style="331" bestFit="1" customWidth="1"/>
    <col min="15627" max="15628" width="1.69921875" style="331" customWidth="1"/>
    <col min="15629" max="15629" width="1.8984375" style="331" bestFit="1" customWidth="1"/>
    <col min="15630" max="15630" width="1.69921875" style="331" bestFit="1" customWidth="1"/>
    <col min="15631" max="15872" width="6.796875" style="331"/>
    <col min="15873" max="15873" width="6.796875" style="331" customWidth="1"/>
    <col min="15874" max="15874" width="6.09765625" style="331" bestFit="1" customWidth="1"/>
    <col min="15875" max="15875" width="9.3984375" style="331" bestFit="1" customWidth="1"/>
    <col min="15876" max="15876" width="16" style="331" bestFit="1" customWidth="1"/>
    <col min="15877" max="15877" width="5.19921875" style="331" bestFit="1" customWidth="1"/>
    <col min="15878" max="15878" width="22.3984375" style="331" customWidth="1"/>
    <col min="15879" max="15879" width="49.3984375" style="331" customWidth="1"/>
    <col min="15880" max="15880" width="8.69921875" style="331" bestFit="1" customWidth="1"/>
    <col min="15881" max="15881" width="3.796875" style="331" bestFit="1" customWidth="1"/>
    <col min="15882" max="15882" width="1.69921875" style="331" bestFit="1" customWidth="1"/>
    <col min="15883" max="15884" width="1.69921875" style="331" customWidth="1"/>
    <col min="15885" max="15885" width="1.8984375" style="331" bestFit="1" customWidth="1"/>
    <col min="15886" max="15886" width="1.69921875" style="331" bestFit="1" customWidth="1"/>
    <col min="15887" max="16128" width="6.796875" style="331"/>
    <col min="16129" max="16129" width="6.796875" style="331" customWidth="1"/>
    <col min="16130" max="16130" width="6.09765625" style="331" bestFit="1" customWidth="1"/>
    <col min="16131" max="16131" width="9.3984375" style="331" bestFit="1" customWidth="1"/>
    <col min="16132" max="16132" width="16" style="331" bestFit="1" customWidth="1"/>
    <col min="16133" max="16133" width="5.19921875" style="331" bestFit="1" customWidth="1"/>
    <col min="16134" max="16134" width="22.3984375" style="331" customWidth="1"/>
    <col min="16135" max="16135" width="49.3984375" style="331" customWidth="1"/>
    <col min="16136" max="16136" width="8.69921875" style="331" bestFit="1" customWidth="1"/>
    <col min="16137" max="16137" width="3.796875" style="331" bestFit="1" customWidth="1"/>
    <col min="16138" max="16138" width="1.69921875" style="331" bestFit="1" customWidth="1"/>
    <col min="16139" max="16140" width="1.69921875" style="331" customWidth="1"/>
    <col min="16141" max="16141" width="1.8984375" style="331" bestFit="1" customWidth="1"/>
    <col min="16142" max="16142" width="1.69921875" style="331" bestFit="1" customWidth="1"/>
    <col min="16143" max="16384" width="6.796875" style="331"/>
  </cols>
  <sheetData>
    <row r="1" spans="2:14" ht="12.75" customHeight="1">
      <c r="B1" s="326"/>
      <c r="C1" s="327"/>
      <c r="D1" s="327"/>
      <c r="E1" s="327"/>
      <c r="F1" s="327"/>
      <c r="G1" s="327"/>
      <c r="H1" s="328"/>
      <c r="I1" s="329"/>
      <c r="J1" s="330" t="s">
        <v>345</v>
      </c>
      <c r="K1" s="330" t="s">
        <v>346</v>
      </c>
      <c r="L1" s="330" t="s">
        <v>347</v>
      </c>
      <c r="M1" s="330" t="s">
        <v>346</v>
      </c>
      <c r="N1" s="330"/>
    </row>
    <row r="2" spans="2:14" ht="12.75" customHeight="1">
      <c r="B2" s="609" t="s">
        <v>348</v>
      </c>
      <c r="C2" s="610"/>
      <c r="D2" s="610"/>
      <c r="E2" s="610"/>
      <c r="F2" s="610"/>
      <c r="G2" s="610"/>
      <c r="H2" s="332"/>
      <c r="I2" s="333"/>
      <c r="J2" s="334" t="s">
        <v>349</v>
      </c>
      <c r="K2" s="334" t="s">
        <v>350</v>
      </c>
      <c r="L2" s="334" t="s">
        <v>351</v>
      </c>
      <c r="M2" s="334" t="s">
        <v>352</v>
      </c>
      <c r="N2" s="334" t="s">
        <v>353</v>
      </c>
    </row>
    <row r="3" spans="2:14" ht="12.75" customHeight="1">
      <c r="B3" s="609"/>
      <c r="C3" s="610"/>
      <c r="D3" s="610"/>
      <c r="E3" s="610"/>
      <c r="F3" s="610"/>
      <c r="G3" s="610"/>
      <c r="H3" s="332"/>
      <c r="I3" s="333"/>
      <c r="J3" s="334" t="s">
        <v>354</v>
      </c>
      <c r="K3" s="334"/>
      <c r="L3" s="334" t="s">
        <v>355</v>
      </c>
      <c r="M3" s="334" t="s">
        <v>345</v>
      </c>
      <c r="N3" s="334"/>
    </row>
    <row r="4" spans="2:14" ht="12.75" customHeight="1">
      <c r="B4" s="609"/>
      <c r="C4" s="610"/>
      <c r="D4" s="610"/>
      <c r="E4" s="610"/>
      <c r="F4" s="610"/>
      <c r="G4" s="610"/>
      <c r="H4" s="332"/>
      <c r="I4" s="333"/>
      <c r="J4" s="334" t="s">
        <v>302</v>
      </c>
      <c r="K4" s="334"/>
      <c r="L4" s="334" t="s">
        <v>351</v>
      </c>
      <c r="M4" s="334" t="s">
        <v>349</v>
      </c>
      <c r="N4" s="334"/>
    </row>
    <row r="5" spans="2:14" ht="12.75" customHeight="1">
      <c r="B5" s="335"/>
      <c r="C5" s="336"/>
      <c r="D5" s="336"/>
      <c r="E5" s="336"/>
      <c r="F5" s="336"/>
      <c r="G5" s="336"/>
      <c r="H5" s="332"/>
      <c r="I5" s="333"/>
      <c r="J5" s="334"/>
      <c r="K5" s="334" t="s">
        <v>356</v>
      </c>
      <c r="L5" s="334" t="s">
        <v>346</v>
      </c>
      <c r="M5" s="334"/>
      <c r="N5" s="334" t="s">
        <v>351</v>
      </c>
    </row>
    <row r="6" spans="2:14" ht="12" customHeight="1">
      <c r="B6" s="337"/>
      <c r="C6" s="338"/>
      <c r="D6" s="338"/>
      <c r="F6" s="338"/>
      <c r="H6" s="339"/>
      <c r="I6" s="333"/>
      <c r="J6" s="334" t="s">
        <v>350</v>
      </c>
      <c r="K6" s="334" t="s">
        <v>357</v>
      </c>
      <c r="L6" s="334"/>
      <c r="M6" s="334" t="s">
        <v>346</v>
      </c>
      <c r="N6" s="334" t="s">
        <v>358</v>
      </c>
    </row>
    <row r="7" spans="2:14" ht="12.75" customHeight="1">
      <c r="B7" s="337"/>
      <c r="D7" s="340"/>
      <c r="H7" s="339"/>
      <c r="I7" s="333"/>
      <c r="J7" s="334" t="s">
        <v>359</v>
      </c>
      <c r="K7" s="334" t="s">
        <v>354</v>
      </c>
      <c r="L7" s="334" t="s">
        <v>354</v>
      </c>
      <c r="M7" s="334" t="s">
        <v>349</v>
      </c>
      <c r="N7" s="334" t="s">
        <v>360</v>
      </c>
    </row>
    <row r="8" spans="2:14" ht="12.75" customHeight="1">
      <c r="B8" s="337"/>
      <c r="G8" s="340"/>
      <c r="H8" s="341"/>
      <c r="I8" s="334" t="s">
        <v>360</v>
      </c>
      <c r="J8" s="334" t="s">
        <v>346</v>
      </c>
      <c r="K8" s="334" t="s">
        <v>361</v>
      </c>
      <c r="L8" s="334" t="s">
        <v>349</v>
      </c>
      <c r="M8" s="334" t="s">
        <v>360</v>
      </c>
      <c r="N8" s="334" t="s">
        <v>357</v>
      </c>
    </row>
    <row r="9" spans="2:14">
      <c r="B9" s="334" t="s">
        <v>362</v>
      </c>
      <c r="C9" s="341" t="s">
        <v>9</v>
      </c>
      <c r="D9" s="341" t="s">
        <v>363</v>
      </c>
      <c r="E9" s="341" t="s">
        <v>364</v>
      </c>
      <c r="F9" s="334" t="s">
        <v>365</v>
      </c>
      <c r="G9" s="334" t="s">
        <v>366</v>
      </c>
      <c r="H9" s="334" t="s">
        <v>367</v>
      </c>
      <c r="I9" s="334" t="s">
        <v>302</v>
      </c>
      <c r="J9" s="334" t="s">
        <v>359</v>
      </c>
      <c r="K9" s="334" t="s">
        <v>349</v>
      </c>
      <c r="L9" s="334" t="s">
        <v>361</v>
      </c>
      <c r="M9" s="334" t="s">
        <v>346</v>
      </c>
      <c r="N9" s="334" t="s">
        <v>347</v>
      </c>
    </row>
    <row r="10" spans="2:14" ht="15" customHeight="1">
      <c r="B10" s="342"/>
      <c r="C10" s="343"/>
      <c r="D10" s="343"/>
      <c r="E10" s="343"/>
      <c r="F10" s="344"/>
      <c r="G10" s="345"/>
      <c r="H10" s="345"/>
      <c r="I10" s="346"/>
      <c r="J10" s="347"/>
      <c r="K10" s="347"/>
      <c r="L10" s="347"/>
      <c r="M10" s="347"/>
      <c r="N10" s="348"/>
    </row>
    <row r="11" spans="2:14" ht="15" customHeight="1">
      <c r="B11" s="342"/>
      <c r="C11" s="344"/>
      <c r="D11" s="344"/>
      <c r="E11" s="344"/>
      <c r="F11" s="344"/>
      <c r="G11" s="344"/>
      <c r="H11" s="344"/>
      <c r="I11" s="349"/>
      <c r="J11" s="347"/>
      <c r="K11" s="347"/>
      <c r="L11" s="347"/>
      <c r="M11" s="347"/>
      <c r="N11" s="348"/>
    </row>
    <row r="12" spans="2:14" ht="15" customHeight="1">
      <c r="B12" s="342"/>
      <c r="C12" s="344"/>
      <c r="D12" s="344"/>
      <c r="E12" s="344"/>
      <c r="F12" s="344"/>
      <c r="G12" s="344"/>
      <c r="H12" s="344"/>
      <c r="I12" s="349"/>
      <c r="J12" s="350"/>
      <c r="K12" s="347"/>
      <c r="L12" s="347"/>
      <c r="M12" s="347"/>
      <c r="N12" s="348"/>
    </row>
    <row r="13" spans="2:14" ht="15" customHeight="1">
      <c r="B13" s="342"/>
      <c r="C13" s="344"/>
      <c r="D13" s="344"/>
      <c r="E13" s="344"/>
      <c r="F13" s="344"/>
      <c r="G13" s="344"/>
      <c r="H13" s="344"/>
      <c r="I13" s="349"/>
      <c r="J13" s="347"/>
      <c r="K13" s="347"/>
      <c r="L13" s="347"/>
      <c r="M13" s="347"/>
      <c r="N13" s="348"/>
    </row>
    <row r="14" spans="2:14" ht="15" customHeight="1">
      <c r="B14" s="342"/>
      <c r="C14" s="344"/>
      <c r="D14" s="344"/>
      <c r="E14" s="344"/>
      <c r="F14" s="344"/>
      <c r="G14" s="344"/>
      <c r="H14" s="344"/>
      <c r="I14" s="349"/>
      <c r="J14" s="347"/>
      <c r="K14" s="347"/>
      <c r="L14" s="347"/>
      <c r="M14" s="347"/>
      <c r="N14" s="348"/>
    </row>
    <row r="15" spans="2:14" ht="15" customHeight="1">
      <c r="B15" s="342"/>
      <c r="C15" s="344"/>
      <c r="D15" s="344"/>
      <c r="E15" s="344"/>
      <c r="F15" s="344"/>
      <c r="G15" s="344"/>
      <c r="H15" s="344"/>
      <c r="I15" s="349"/>
      <c r="J15" s="347"/>
      <c r="K15" s="347"/>
      <c r="L15" s="347"/>
      <c r="M15" s="347"/>
      <c r="N15" s="348"/>
    </row>
    <row r="16" spans="2:14" ht="15" customHeight="1">
      <c r="B16" s="342"/>
      <c r="C16" s="344"/>
      <c r="D16" s="344"/>
      <c r="E16" s="344"/>
      <c r="F16" s="344"/>
      <c r="G16" s="344"/>
      <c r="H16" s="344"/>
      <c r="I16" s="349"/>
      <c r="J16" s="347"/>
      <c r="K16" s="347"/>
      <c r="L16" s="347"/>
      <c r="M16" s="347"/>
      <c r="N16" s="348"/>
    </row>
    <row r="17" spans="2:14" ht="15" customHeight="1">
      <c r="B17" s="342"/>
      <c r="C17" s="344"/>
      <c r="D17" s="344"/>
      <c r="E17" s="344"/>
      <c r="F17" s="344"/>
      <c r="G17" s="344"/>
      <c r="H17" s="344"/>
      <c r="I17" s="349"/>
      <c r="J17" s="347"/>
      <c r="K17" s="347"/>
      <c r="L17" s="347"/>
      <c r="M17" s="347"/>
      <c r="N17" s="348"/>
    </row>
    <row r="18" spans="2:14" ht="15" customHeight="1">
      <c r="B18" s="342"/>
      <c r="C18" s="344"/>
      <c r="D18" s="344"/>
      <c r="E18" s="344"/>
      <c r="F18" s="344"/>
      <c r="G18" s="344"/>
      <c r="H18" s="344"/>
      <c r="I18" s="349"/>
      <c r="J18" s="347"/>
      <c r="K18" s="347"/>
      <c r="L18" s="347"/>
      <c r="M18" s="347"/>
      <c r="N18" s="348"/>
    </row>
    <row r="19" spans="2:14" ht="15" customHeight="1">
      <c r="B19" s="342"/>
      <c r="C19" s="344"/>
      <c r="D19" s="344"/>
      <c r="E19" s="344"/>
      <c r="F19" s="344"/>
      <c r="G19" s="344"/>
      <c r="H19" s="344"/>
      <c r="I19" s="349"/>
      <c r="J19" s="347"/>
      <c r="K19" s="347"/>
      <c r="L19" s="347"/>
      <c r="M19" s="347"/>
      <c r="N19" s="348"/>
    </row>
    <row r="20" spans="2:14" ht="15" customHeight="1">
      <c r="B20" s="342"/>
      <c r="C20" s="344"/>
      <c r="D20" s="344"/>
      <c r="E20" s="344"/>
      <c r="F20" s="344"/>
      <c r="G20" s="344"/>
      <c r="H20" s="344"/>
      <c r="I20" s="349"/>
      <c r="J20" s="347"/>
      <c r="K20" s="347"/>
      <c r="L20" s="347"/>
      <c r="M20" s="347"/>
      <c r="N20" s="348"/>
    </row>
    <row r="21" spans="2:14" ht="15" customHeight="1">
      <c r="B21" s="342"/>
      <c r="C21" s="344"/>
      <c r="D21" s="344"/>
      <c r="E21" s="344"/>
      <c r="F21" s="344"/>
      <c r="G21" s="344"/>
      <c r="H21" s="344"/>
      <c r="I21" s="349"/>
      <c r="J21" s="347"/>
      <c r="K21" s="347"/>
      <c r="L21" s="347"/>
      <c r="M21" s="347"/>
      <c r="N21" s="348"/>
    </row>
    <row r="22" spans="2:14" ht="15" customHeight="1">
      <c r="B22" s="342"/>
      <c r="C22" s="344"/>
      <c r="D22" s="344"/>
      <c r="E22" s="344"/>
      <c r="F22" s="344"/>
      <c r="G22" s="344"/>
      <c r="H22" s="344"/>
      <c r="I22" s="349"/>
      <c r="J22" s="347"/>
      <c r="K22" s="347"/>
      <c r="L22" s="347"/>
      <c r="M22" s="347"/>
      <c r="N22" s="348"/>
    </row>
    <row r="23" spans="2:14" ht="15" customHeight="1">
      <c r="B23" s="342"/>
      <c r="C23" s="344"/>
      <c r="D23" s="344"/>
      <c r="E23" s="344"/>
      <c r="F23" s="344"/>
      <c r="G23" s="344"/>
      <c r="H23" s="344"/>
      <c r="I23" s="349"/>
      <c r="J23" s="347"/>
      <c r="K23" s="347"/>
      <c r="L23" s="347"/>
      <c r="M23" s="347"/>
      <c r="N23" s="348"/>
    </row>
    <row r="24" spans="2:14" ht="15" customHeight="1">
      <c r="B24" s="342"/>
      <c r="C24" s="344"/>
      <c r="D24" s="344"/>
      <c r="E24" s="344"/>
      <c r="F24" s="344"/>
      <c r="G24" s="344"/>
      <c r="H24" s="344"/>
      <c r="I24" s="349"/>
      <c r="J24" s="347"/>
      <c r="K24" s="347"/>
      <c r="L24" s="347"/>
      <c r="M24" s="347"/>
      <c r="N24" s="348"/>
    </row>
    <row r="25" spans="2:14" ht="15" customHeight="1">
      <c r="B25" s="342"/>
      <c r="C25" s="344"/>
      <c r="D25" s="344"/>
      <c r="E25" s="344"/>
      <c r="F25" s="344"/>
      <c r="G25" s="344"/>
      <c r="H25" s="344"/>
      <c r="I25" s="349"/>
      <c r="J25" s="347"/>
      <c r="K25" s="347"/>
      <c r="L25" s="347"/>
      <c r="M25" s="347"/>
      <c r="N25" s="348"/>
    </row>
    <row r="26" spans="2:14" ht="15" customHeight="1">
      <c r="B26" s="342"/>
      <c r="C26" s="344"/>
      <c r="D26" s="344"/>
      <c r="E26" s="344"/>
      <c r="F26" s="344"/>
      <c r="G26" s="344"/>
      <c r="H26" s="344"/>
      <c r="I26" s="349"/>
      <c r="J26" s="347"/>
      <c r="K26" s="347"/>
      <c r="L26" s="347"/>
      <c r="M26" s="347"/>
      <c r="N26" s="348"/>
    </row>
    <row r="27" spans="2:14" ht="15" customHeight="1">
      <c r="B27" s="342"/>
      <c r="C27" s="344"/>
      <c r="D27" s="344"/>
      <c r="E27" s="344"/>
      <c r="F27" s="344"/>
      <c r="G27" s="344"/>
      <c r="H27" s="344"/>
      <c r="I27" s="349"/>
      <c r="J27" s="347"/>
      <c r="K27" s="347"/>
      <c r="L27" s="347"/>
      <c r="M27" s="347"/>
      <c r="N27" s="348"/>
    </row>
    <row r="28" spans="2:14" ht="15" customHeight="1">
      <c r="B28" s="342"/>
      <c r="C28" s="344"/>
      <c r="D28" s="344"/>
      <c r="E28" s="344"/>
      <c r="F28" s="344"/>
      <c r="G28" s="344"/>
      <c r="H28" s="344"/>
      <c r="I28" s="349"/>
      <c r="J28" s="347"/>
      <c r="K28" s="347"/>
      <c r="L28" s="347"/>
      <c r="M28" s="347"/>
      <c r="N28" s="348"/>
    </row>
    <row r="29" spans="2:14" ht="15" customHeight="1">
      <c r="B29" s="342"/>
      <c r="C29" s="344"/>
      <c r="D29" s="344"/>
      <c r="E29" s="344"/>
      <c r="F29" s="344"/>
      <c r="G29" s="344"/>
      <c r="H29" s="344"/>
      <c r="I29" s="349"/>
      <c r="J29" s="347"/>
      <c r="K29" s="347"/>
      <c r="L29" s="347"/>
      <c r="M29" s="347"/>
      <c r="N29" s="348"/>
    </row>
    <row r="30" spans="2:14" ht="15" customHeight="1">
      <c r="B30" s="342"/>
      <c r="C30" s="344"/>
      <c r="D30" s="344"/>
      <c r="E30" s="344"/>
      <c r="F30" s="344"/>
      <c r="G30" s="344"/>
      <c r="H30" s="344"/>
      <c r="I30" s="349"/>
      <c r="J30" s="347"/>
      <c r="K30" s="347"/>
      <c r="L30" s="347"/>
      <c r="M30" s="347"/>
      <c r="N30" s="348"/>
    </row>
    <row r="31" spans="2:14" ht="15" customHeight="1">
      <c r="B31" s="342"/>
      <c r="C31" s="344"/>
      <c r="D31" s="344"/>
      <c r="E31" s="344"/>
      <c r="F31" s="344"/>
      <c r="G31" s="344"/>
      <c r="H31" s="344"/>
      <c r="I31" s="349"/>
      <c r="J31" s="347"/>
      <c r="K31" s="347"/>
      <c r="L31" s="347"/>
      <c r="M31" s="347"/>
      <c r="N31" s="348"/>
    </row>
    <row r="32" spans="2:14" ht="15" customHeight="1">
      <c r="B32" s="342"/>
      <c r="C32" s="344"/>
      <c r="D32" s="344"/>
      <c r="E32" s="344"/>
      <c r="F32" s="344"/>
      <c r="G32" s="344"/>
      <c r="H32" s="344"/>
      <c r="I32" s="349"/>
      <c r="J32" s="347"/>
      <c r="K32" s="347"/>
      <c r="L32" s="347"/>
      <c r="M32" s="347"/>
      <c r="N32" s="348"/>
    </row>
    <row r="33" spans="2:14" ht="15" customHeight="1">
      <c r="B33" s="342"/>
      <c r="C33" s="344"/>
      <c r="D33" s="344"/>
      <c r="E33" s="344"/>
      <c r="F33" s="344"/>
      <c r="G33" s="344"/>
      <c r="H33" s="344"/>
      <c r="I33" s="349"/>
      <c r="J33" s="347"/>
      <c r="K33" s="347"/>
      <c r="L33" s="347"/>
      <c r="M33" s="347"/>
      <c r="N33" s="348"/>
    </row>
    <row r="34" spans="2:14" ht="15" customHeight="1">
      <c r="B34" s="342"/>
      <c r="C34" s="344"/>
      <c r="D34" s="344"/>
      <c r="E34" s="344"/>
      <c r="F34" s="344"/>
      <c r="G34" s="344"/>
      <c r="H34" s="344"/>
      <c r="I34" s="349"/>
      <c r="J34" s="347"/>
      <c r="K34" s="347"/>
      <c r="L34" s="347"/>
      <c r="M34" s="347"/>
      <c r="N34" s="348"/>
    </row>
    <row r="35" spans="2:14" ht="15" customHeight="1">
      <c r="B35" s="342"/>
      <c r="C35" s="344"/>
      <c r="D35" s="344"/>
      <c r="E35" s="344"/>
      <c r="F35" s="344"/>
      <c r="G35" s="344"/>
      <c r="H35" s="344"/>
      <c r="I35" s="349"/>
      <c r="J35" s="347"/>
      <c r="K35" s="347"/>
      <c r="L35" s="347"/>
      <c r="M35" s="347"/>
      <c r="N35" s="348"/>
    </row>
    <row r="36" spans="2:14" ht="15" customHeight="1">
      <c r="B36" s="342"/>
      <c r="C36" s="344"/>
      <c r="D36" s="344"/>
      <c r="E36" s="344"/>
      <c r="F36" s="344"/>
      <c r="G36" s="344"/>
      <c r="H36" s="344"/>
      <c r="I36" s="349"/>
      <c r="J36" s="347"/>
      <c r="K36" s="347"/>
      <c r="L36" s="347"/>
      <c r="M36" s="347"/>
      <c r="N36" s="348"/>
    </row>
    <row r="37" spans="2:14" ht="15" customHeight="1">
      <c r="B37" s="342"/>
      <c r="C37" s="344"/>
      <c r="D37" s="344"/>
      <c r="E37" s="344"/>
      <c r="F37" s="344"/>
      <c r="G37" s="344"/>
      <c r="H37" s="344"/>
      <c r="I37" s="349"/>
      <c r="J37" s="347"/>
      <c r="K37" s="347"/>
      <c r="L37" s="347"/>
      <c r="M37" s="347"/>
      <c r="N37" s="348"/>
    </row>
    <row r="38" spans="2:14" ht="15" customHeight="1">
      <c r="B38" s="342"/>
      <c r="C38" s="344"/>
      <c r="D38" s="344"/>
      <c r="E38" s="344"/>
      <c r="F38" s="344"/>
      <c r="G38" s="344"/>
      <c r="H38" s="344"/>
      <c r="I38" s="349"/>
      <c r="J38" s="347"/>
      <c r="K38" s="347"/>
      <c r="L38" s="347"/>
      <c r="M38" s="347"/>
      <c r="N38" s="348"/>
    </row>
    <row r="39" spans="2:14" ht="15" customHeight="1">
      <c r="B39" s="342"/>
      <c r="C39" s="344"/>
      <c r="D39" s="344"/>
      <c r="E39" s="344"/>
      <c r="F39" s="344"/>
      <c r="G39" s="344"/>
      <c r="H39" s="344"/>
      <c r="I39" s="349"/>
      <c r="J39" s="347"/>
      <c r="K39" s="347"/>
      <c r="L39" s="347"/>
      <c r="M39" s="347"/>
      <c r="N39" s="348"/>
    </row>
    <row r="40" spans="2:14" ht="15" customHeight="1">
      <c r="B40" s="342"/>
      <c r="C40" s="344"/>
      <c r="D40" s="344"/>
      <c r="E40" s="344"/>
      <c r="F40" s="344"/>
      <c r="G40" s="344"/>
      <c r="H40" s="344"/>
      <c r="I40" s="349"/>
      <c r="J40" s="347"/>
      <c r="K40" s="347"/>
      <c r="L40" s="347"/>
      <c r="M40" s="347"/>
      <c r="N40" s="348"/>
    </row>
    <row r="41" spans="2:14" ht="15" customHeight="1">
      <c r="B41" s="342"/>
      <c r="C41" s="344"/>
      <c r="D41" s="344"/>
      <c r="E41" s="344"/>
      <c r="F41" s="344"/>
      <c r="G41" s="344"/>
      <c r="H41" s="344"/>
      <c r="I41" s="349"/>
      <c r="J41" s="347"/>
      <c r="K41" s="347"/>
      <c r="L41" s="347"/>
      <c r="M41" s="347"/>
      <c r="N41" s="348"/>
    </row>
    <row r="42" spans="2:14" ht="15" customHeight="1">
      <c r="B42" s="342"/>
      <c r="C42" s="344"/>
      <c r="D42" s="344"/>
      <c r="E42" s="344"/>
      <c r="F42" s="344"/>
      <c r="G42" s="344"/>
      <c r="H42" s="344"/>
      <c r="I42" s="349"/>
      <c r="J42" s="347"/>
      <c r="K42" s="347"/>
      <c r="L42" s="347"/>
      <c r="M42" s="347"/>
      <c r="N42" s="348"/>
    </row>
    <row r="43" spans="2:14" ht="15" customHeight="1">
      <c r="B43" s="342"/>
      <c r="C43" s="344"/>
      <c r="D43" s="344"/>
      <c r="E43" s="344"/>
      <c r="F43" s="344"/>
      <c r="G43" s="344"/>
      <c r="H43" s="344"/>
      <c r="I43" s="349"/>
      <c r="J43" s="347"/>
      <c r="K43" s="347"/>
      <c r="L43" s="347"/>
      <c r="M43" s="347"/>
      <c r="N43" s="348"/>
    </row>
    <row r="44" spans="2:14" ht="15" customHeight="1">
      <c r="B44" s="342"/>
      <c r="C44" s="344"/>
      <c r="D44" s="344"/>
      <c r="E44" s="344"/>
      <c r="F44" s="344"/>
      <c r="G44" s="344"/>
      <c r="H44" s="344"/>
      <c r="I44" s="349"/>
      <c r="J44" s="347"/>
      <c r="K44" s="347"/>
      <c r="L44" s="347"/>
      <c r="M44" s="347"/>
      <c r="N44" s="348"/>
    </row>
    <row r="45" spans="2:14" ht="15" customHeight="1">
      <c r="B45" s="342"/>
      <c r="C45" s="344"/>
      <c r="D45" s="344"/>
      <c r="E45" s="344"/>
      <c r="F45" s="344"/>
      <c r="G45" s="344"/>
      <c r="H45" s="344"/>
      <c r="I45" s="349"/>
      <c r="J45" s="347"/>
      <c r="K45" s="347"/>
      <c r="L45" s="347"/>
      <c r="M45" s="347"/>
      <c r="N45" s="348"/>
    </row>
    <row r="46" spans="2:14" ht="15" customHeight="1">
      <c r="B46" s="342"/>
      <c r="C46" s="344"/>
      <c r="D46" s="344"/>
      <c r="E46" s="344"/>
      <c r="F46" s="344"/>
      <c r="G46" s="344"/>
      <c r="H46" s="344"/>
      <c r="I46" s="349"/>
      <c r="J46" s="347"/>
      <c r="K46" s="347"/>
      <c r="L46" s="347"/>
      <c r="M46" s="347"/>
      <c r="N46" s="348"/>
    </row>
    <row r="47" spans="2:14" ht="15" customHeight="1">
      <c r="B47" s="342"/>
      <c r="C47" s="344"/>
      <c r="D47" s="344"/>
      <c r="E47" s="344"/>
      <c r="F47" s="344"/>
      <c r="G47" s="344"/>
      <c r="H47" s="344"/>
      <c r="I47" s="349"/>
      <c r="J47" s="347"/>
      <c r="K47" s="347"/>
      <c r="L47" s="347"/>
      <c r="M47" s="347"/>
      <c r="N47" s="348"/>
    </row>
    <row r="48" spans="2:14" ht="15" customHeight="1">
      <c r="B48" s="342"/>
      <c r="C48" s="344"/>
      <c r="D48" s="344"/>
      <c r="E48" s="344"/>
      <c r="F48" s="344"/>
      <c r="G48" s="344"/>
      <c r="H48" s="344"/>
      <c r="I48" s="349"/>
      <c r="J48" s="347"/>
      <c r="K48" s="347"/>
      <c r="L48" s="347"/>
      <c r="M48" s="347"/>
      <c r="N48" s="348"/>
    </row>
    <row r="49" spans="2:14" ht="15" customHeight="1">
      <c r="B49" s="342"/>
      <c r="C49" s="344"/>
      <c r="D49" s="344"/>
      <c r="E49" s="344"/>
      <c r="F49" s="344"/>
      <c r="G49" s="344"/>
      <c r="H49" s="344"/>
      <c r="I49" s="349"/>
      <c r="J49" s="347"/>
      <c r="K49" s="347"/>
      <c r="L49" s="347"/>
      <c r="M49" s="347"/>
      <c r="N49" s="348"/>
    </row>
    <row r="50" spans="2:14" ht="15" customHeight="1">
      <c r="B50" s="342"/>
      <c r="C50" s="344"/>
      <c r="D50" s="344"/>
      <c r="E50" s="344"/>
      <c r="F50" s="344"/>
      <c r="G50" s="344"/>
      <c r="H50" s="344"/>
      <c r="I50" s="349"/>
      <c r="J50" s="347"/>
      <c r="K50" s="347"/>
      <c r="L50" s="347"/>
      <c r="M50" s="347"/>
      <c r="N50" s="348"/>
    </row>
    <row r="51" spans="2:14" ht="15" customHeight="1">
      <c r="B51" s="342"/>
      <c r="C51" s="344"/>
      <c r="D51" s="344"/>
      <c r="E51" s="344"/>
      <c r="F51" s="344"/>
      <c r="G51" s="344"/>
      <c r="H51" s="344"/>
      <c r="I51" s="349"/>
      <c r="J51" s="347"/>
      <c r="K51" s="347"/>
      <c r="L51" s="347"/>
      <c r="M51" s="347"/>
      <c r="N51" s="348"/>
    </row>
    <row r="52" spans="2:14" ht="15" customHeight="1" thickBot="1">
      <c r="B52" s="351"/>
      <c r="C52" s="352"/>
      <c r="D52" s="352"/>
      <c r="E52" s="352"/>
      <c r="F52" s="352"/>
      <c r="G52" s="352"/>
      <c r="H52" s="352"/>
      <c r="I52" s="353"/>
      <c r="J52" s="354"/>
      <c r="K52" s="354"/>
      <c r="L52" s="354"/>
      <c r="M52" s="354"/>
      <c r="N52" s="355"/>
    </row>
    <row r="53" spans="2:14" ht="20.25" customHeight="1" thickBot="1">
      <c r="B53" s="611" t="s">
        <v>368</v>
      </c>
      <c r="C53" s="611"/>
      <c r="D53" s="611"/>
      <c r="E53" s="611"/>
      <c r="F53" s="611"/>
      <c r="G53" s="611"/>
      <c r="H53" s="611"/>
      <c r="I53" s="611"/>
      <c r="J53" s="611"/>
      <c r="K53" s="611"/>
      <c r="L53" s="611"/>
      <c r="M53" s="611"/>
      <c r="N53" s="611"/>
    </row>
    <row r="54" spans="2:14" ht="15" customHeight="1" thickBot="1">
      <c r="B54" s="356" t="s">
        <v>369</v>
      </c>
      <c r="C54" s="612" t="s">
        <v>366</v>
      </c>
      <c r="D54" s="613"/>
      <c r="E54" s="613"/>
      <c r="F54" s="613"/>
      <c r="G54" s="613"/>
      <c r="H54" s="357"/>
      <c r="I54" s="612" t="s">
        <v>362</v>
      </c>
      <c r="J54" s="613"/>
      <c r="K54" s="614"/>
      <c r="L54" s="612" t="s">
        <v>370</v>
      </c>
      <c r="M54" s="613"/>
      <c r="N54" s="615"/>
    </row>
    <row r="55" spans="2:14" ht="15" customHeight="1">
      <c r="B55" s="358"/>
      <c r="C55" s="601"/>
      <c r="D55" s="602"/>
      <c r="E55" s="602"/>
      <c r="F55" s="602"/>
      <c r="G55" s="602"/>
      <c r="H55" s="359"/>
      <c r="I55" s="603"/>
      <c r="J55" s="604"/>
      <c r="K55" s="605"/>
      <c r="L55" s="606"/>
      <c r="M55" s="607"/>
      <c r="N55" s="608"/>
    </row>
    <row r="56" spans="2:14" ht="15" customHeight="1">
      <c r="B56" s="360"/>
      <c r="C56" s="616"/>
      <c r="D56" s="617"/>
      <c r="E56" s="617"/>
      <c r="F56" s="617"/>
      <c r="G56" s="617"/>
      <c r="H56" s="361"/>
      <c r="I56" s="618"/>
      <c r="J56" s="619"/>
      <c r="K56" s="620"/>
      <c r="L56" s="621"/>
      <c r="M56" s="622"/>
      <c r="N56" s="623"/>
    </row>
    <row r="57" spans="2:14" ht="15" customHeight="1">
      <c r="B57" s="360"/>
      <c r="C57" s="616"/>
      <c r="D57" s="617"/>
      <c r="E57" s="617"/>
      <c r="F57" s="617"/>
      <c r="G57" s="617"/>
      <c r="H57" s="361"/>
      <c r="I57" s="618"/>
      <c r="J57" s="619"/>
      <c r="K57" s="620"/>
      <c r="L57" s="621"/>
      <c r="M57" s="622"/>
      <c r="N57" s="623"/>
    </row>
    <row r="58" spans="2:14" ht="15" customHeight="1">
      <c r="B58" s="360"/>
      <c r="C58" s="616"/>
      <c r="D58" s="617"/>
      <c r="E58" s="617"/>
      <c r="F58" s="617"/>
      <c r="G58" s="617"/>
      <c r="H58" s="361"/>
      <c r="I58" s="618"/>
      <c r="J58" s="619"/>
      <c r="K58" s="620"/>
      <c r="L58" s="621"/>
      <c r="M58" s="622"/>
      <c r="N58" s="623"/>
    </row>
    <row r="59" spans="2:14" ht="15" customHeight="1">
      <c r="B59" s="360"/>
      <c r="C59" s="616"/>
      <c r="D59" s="617"/>
      <c r="E59" s="617"/>
      <c r="F59" s="617"/>
      <c r="G59" s="617"/>
      <c r="H59" s="361"/>
      <c r="I59" s="618"/>
      <c r="J59" s="619"/>
      <c r="K59" s="620"/>
      <c r="L59" s="621"/>
      <c r="M59" s="622"/>
      <c r="N59" s="623"/>
    </row>
    <row r="60" spans="2:14" ht="15" customHeight="1">
      <c r="B60" s="360"/>
      <c r="C60" s="616"/>
      <c r="D60" s="617"/>
      <c r="E60" s="617"/>
      <c r="F60" s="617"/>
      <c r="G60" s="617"/>
      <c r="H60" s="361"/>
      <c r="I60" s="618"/>
      <c r="J60" s="619"/>
      <c r="K60" s="620"/>
      <c r="L60" s="621"/>
      <c r="M60" s="622"/>
      <c r="N60" s="623"/>
    </row>
    <row r="61" spans="2:14" ht="15" customHeight="1">
      <c r="B61" s="360"/>
      <c r="C61" s="616"/>
      <c r="D61" s="617"/>
      <c r="E61" s="617"/>
      <c r="F61" s="617"/>
      <c r="G61" s="617"/>
      <c r="H61" s="361"/>
      <c r="I61" s="618"/>
      <c r="J61" s="619"/>
      <c r="K61" s="620"/>
      <c r="L61" s="621"/>
      <c r="M61" s="622"/>
      <c r="N61" s="623"/>
    </row>
    <row r="62" spans="2:14" ht="15" customHeight="1">
      <c r="B62" s="360"/>
      <c r="C62" s="616"/>
      <c r="D62" s="617"/>
      <c r="E62" s="617"/>
      <c r="F62" s="617"/>
      <c r="G62" s="617"/>
      <c r="H62" s="361"/>
      <c r="I62" s="618"/>
      <c r="J62" s="619"/>
      <c r="K62" s="620"/>
      <c r="L62" s="621"/>
      <c r="M62" s="622"/>
      <c r="N62" s="623"/>
    </row>
    <row r="63" spans="2:14" ht="15" customHeight="1">
      <c r="B63" s="360"/>
      <c r="C63" s="616"/>
      <c r="D63" s="617"/>
      <c r="E63" s="617"/>
      <c r="F63" s="617"/>
      <c r="G63" s="617"/>
      <c r="H63" s="361"/>
      <c r="I63" s="618"/>
      <c r="J63" s="619"/>
      <c r="K63" s="620"/>
      <c r="L63" s="621"/>
      <c r="M63" s="622"/>
      <c r="N63" s="623"/>
    </row>
    <row r="64" spans="2:14" ht="15" customHeight="1">
      <c r="B64" s="360"/>
      <c r="C64" s="616"/>
      <c r="D64" s="617"/>
      <c r="E64" s="617"/>
      <c r="F64" s="617"/>
      <c r="G64" s="617"/>
      <c r="H64" s="361"/>
      <c r="I64" s="618"/>
      <c r="J64" s="619"/>
      <c r="K64" s="620"/>
      <c r="L64" s="621"/>
      <c r="M64" s="622"/>
      <c r="N64" s="623"/>
    </row>
    <row r="65" spans="2:14" ht="15" customHeight="1">
      <c r="B65" s="360"/>
      <c r="C65" s="616"/>
      <c r="D65" s="617"/>
      <c r="E65" s="617"/>
      <c r="F65" s="617"/>
      <c r="G65" s="617"/>
      <c r="H65" s="361"/>
      <c r="I65" s="618"/>
      <c r="J65" s="619"/>
      <c r="K65" s="620"/>
      <c r="L65" s="621"/>
      <c r="M65" s="622"/>
      <c r="N65" s="623"/>
    </row>
    <row r="66" spans="2:14" ht="15" customHeight="1">
      <c r="B66" s="360"/>
      <c r="C66" s="616"/>
      <c r="D66" s="617"/>
      <c r="E66" s="617"/>
      <c r="F66" s="617"/>
      <c r="G66" s="617"/>
      <c r="H66" s="361"/>
      <c r="I66" s="618"/>
      <c r="J66" s="619"/>
      <c r="K66" s="620"/>
      <c r="L66" s="621"/>
      <c r="M66" s="622"/>
      <c r="N66" s="623"/>
    </row>
    <row r="67" spans="2:14" ht="15" customHeight="1">
      <c r="B67" s="360"/>
      <c r="C67" s="616"/>
      <c r="D67" s="617"/>
      <c r="E67" s="617"/>
      <c r="F67" s="617"/>
      <c r="G67" s="617"/>
      <c r="H67" s="361"/>
      <c r="I67" s="618"/>
      <c r="J67" s="619"/>
      <c r="K67" s="620"/>
      <c r="L67" s="621"/>
      <c r="M67" s="622"/>
      <c r="N67" s="623"/>
    </row>
    <row r="68" spans="2:14" ht="15" customHeight="1">
      <c r="B68" s="360"/>
      <c r="C68" s="616"/>
      <c r="D68" s="617"/>
      <c r="E68" s="617"/>
      <c r="F68" s="617"/>
      <c r="G68" s="617"/>
      <c r="H68" s="361"/>
      <c r="I68" s="618"/>
      <c r="J68" s="619"/>
      <c r="K68" s="620"/>
      <c r="L68" s="621"/>
      <c r="M68" s="622"/>
      <c r="N68" s="623"/>
    </row>
    <row r="69" spans="2:14" ht="15" customHeight="1">
      <c r="B69" s="360"/>
      <c r="C69" s="616"/>
      <c r="D69" s="617"/>
      <c r="E69" s="617"/>
      <c r="F69" s="617"/>
      <c r="G69" s="617"/>
      <c r="H69" s="361"/>
      <c r="I69" s="618"/>
      <c r="J69" s="619"/>
      <c r="K69" s="620"/>
      <c r="L69" s="621"/>
      <c r="M69" s="622"/>
      <c r="N69" s="623"/>
    </row>
    <row r="70" spans="2:14" ht="15" customHeight="1">
      <c r="B70" s="360"/>
      <c r="C70" s="616"/>
      <c r="D70" s="617"/>
      <c r="E70" s="617"/>
      <c r="F70" s="617"/>
      <c r="G70" s="617"/>
      <c r="H70" s="361"/>
      <c r="I70" s="618"/>
      <c r="J70" s="619"/>
      <c r="K70" s="620"/>
      <c r="L70" s="621"/>
      <c r="M70" s="622"/>
      <c r="N70" s="623"/>
    </row>
    <row r="71" spans="2:14" ht="15" customHeight="1">
      <c r="B71" s="360"/>
      <c r="C71" s="616"/>
      <c r="D71" s="617"/>
      <c r="E71" s="617"/>
      <c r="F71" s="617"/>
      <c r="G71" s="617"/>
      <c r="H71" s="361"/>
      <c r="I71" s="618"/>
      <c r="J71" s="619"/>
      <c r="K71" s="620"/>
      <c r="L71" s="621"/>
      <c r="M71" s="622"/>
      <c r="N71" s="623"/>
    </row>
    <row r="72" spans="2:14">
      <c r="B72" s="360"/>
      <c r="C72" s="616"/>
      <c r="D72" s="617"/>
      <c r="E72" s="617"/>
      <c r="F72" s="617"/>
      <c r="G72" s="617"/>
      <c r="H72" s="361"/>
      <c r="I72" s="618"/>
      <c r="J72" s="619"/>
      <c r="K72" s="620"/>
      <c r="L72" s="621"/>
      <c r="M72" s="622"/>
      <c r="N72" s="623"/>
    </row>
    <row r="73" spans="2:14">
      <c r="B73" s="360"/>
      <c r="C73" s="616"/>
      <c r="D73" s="617"/>
      <c r="E73" s="617"/>
      <c r="F73" s="617"/>
      <c r="G73" s="617"/>
      <c r="H73" s="361"/>
      <c r="I73" s="618"/>
      <c r="J73" s="619"/>
      <c r="K73" s="620"/>
      <c r="L73" s="621"/>
      <c r="M73" s="622"/>
      <c r="N73" s="623"/>
    </row>
    <row r="74" spans="2:14">
      <c r="B74" s="360"/>
      <c r="C74" s="616"/>
      <c r="D74" s="617"/>
      <c r="E74" s="617"/>
      <c r="F74" s="617"/>
      <c r="G74" s="617"/>
      <c r="H74" s="361"/>
      <c r="I74" s="618"/>
      <c r="J74" s="619"/>
      <c r="K74" s="620"/>
      <c r="L74" s="621"/>
      <c r="M74" s="622"/>
      <c r="N74" s="623"/>
    </row>
    <row r="75" spans="2:14">
      <c r="B75" s="360"/>
      <c r="C75" s="616"/>
      <c r="D75" s="617"/>
      <c r="E75" s="617"/>
      <c r="F75" s="617"/>
      <c r="G75" s="617"/>
      <c r="H75" s="361"/>
      <c r="I75" s="618"/>
      <c r="J75" s="619"/>
      <c r="K75" s="620"/>
      <c r="L75" s="621"/>
      <c r="M75" s="622"/>
      <c r="N75" s="623"/>
    </row>
    <row r="76" spans="2:14">
      <c r="B76" s="360"/>
      <c r="C76" s="616"/>
      <c r="D76" s="617"/>
      <c r="E76" s="617"/>
      <c r="F76" s="617"/>
      <c r="G76" s="617"/>
      <c r="H76" s="361"/>
      <c r="I76" s="618"/>
      <c r="J76" s="619"/>
      <c r="K76" s="620"/>
      <c r="L76" s="621"/>
      <c r="M76" s="622"/>
      <c r="N76" s="623"/>
    </row>
    <row r="77" spans="2:14">
      <c r="B77" s="360"/>
      <c r="C77" s="616"/>
      <c r="D77" s="617"/>
      <c r="E77" s="617"/>
      <c r="F77" s="617"/>
      <c r="G77" s="617"/>
      <c r="H77" s="361"/>
      <c r="I77" s="618"/>
      <c r="J77" s="619"/>
      <c r="K77" s="620"/>
      <c r="L77" s="621"/>
      <c r="M77" s="622"/>
      <c r="N77" s="623"/>
    </row>
    <row r="78" spans="2:14">
      <c r="B78" s="360"/>
      <c r="C78" s="616"/>
      <c r="D78" s="617"/>
      <c r="E78" s="617"/>
      <c r="F78" s="617"/>
      <c r="G78" s="617"/>
      <c r="H78" s="361"/>
      <c r="I78" s="618"/>
      <c r="J78" s="619"/>
      <c r="K78" s="620"/>
      <c r="L78" s="621"/>
      <c r="M78" s="622"/>
      <c r="N78" s="623"/>
    </row>
    <row r="79" spans="2:14" ht="13.5" thickBot="1">
      <c r="B79" s="362"/>
      <c r="C79" s="624"/>
      <c r="D79" s="625"/>
      <c r="E79" s="625"/>
      <c r="F79" s="625"/>
      <c r="G79" s="625"/>
      <c r="H79" s="363"/>
      <c r="I79" s="626"/>
      <c r="J79" s="627"/>
      <c r="K79" s="628"/>
      <c r="L79" s="629"/>
      <c r="M79" s="630"/>
      <c r="N79" s="631"/>
    </row>
  </sheetData>
  <mergeCells count="80">
    <mergeCell ref="C78:G78"/>
    <mergeCell ref="I78:K78"/>
    <mergeCell ref="L78:N78"/>
    <mergeCell ref="C79:G79"/>
    <mergeCell ref="I79:K79"/>
    <mergeCell ref="L79:N79"/>
    <mergeCell ref="C76:G76"/>
    <mergeCell ref="I76:K76"/>
    <mergeCell ref="L76:N76"/>
    <mergeCell ref="C77:G77"/>
    <mergeCell ref="I77:K77"/>
    <mergeCell ref="L77:N77"/>
    <mergeCell ref="C74:G74"/>
    <mergeCell ref="I74:K74"/>
    <mergeCell ref="L74:N74"/>
    <mergeCell ref="C75:G75"/>
    <mergeCell ref="I75:K75"/>
    <mergeCell ref="L75:N75"/>
    <mergeCell ref="C72:G72"/>
    <mergeCell ref="I72:K72"/>
    <mergeCell ref="L72:N72"/>
    <mergeCell ref="C73:G73"/>
    <mergeCell ref="I73:K73"/>
    <mergeCell ref="L73:N73"/>
    <mergeCell ref="C70:G70"/>
    <mergeCell ref="I70:K70"/>
    <mergeCell ref="L70:N70"/>
    <mergeCell ref="C71:G71"/>
    <mergeCell ref="I71:K71"/>
    <mergeCell ref="L71:N71"/>
    <mergeCell ref="C68:G68"/>
    <mergeCell ref="I68:K68"/>
    <mergeCell ref="L68:N68"/>
    <mergeCell ref="C69:G69"/>
    <mergeCell ref="I69:K69"/>
    <mergeCell ref="L69:N69"/>
    <mergeCell ref="C66:G66"/>
    <mergeCell ref="I66:K66"/>
    <mergeCell ref="L66:N66"/>
    <mergeCell ref="C67:G67"/>
    <mergeCell ref="I67:K67"/>
    <mergeCell ref="L67:N67"/>
    <mergeCell ref="C64:G64"/>
    <mergeCell ref="I64:K64"/>
    <mergeCell ref="L64:N64"/>
    <mergeCell ref="C65:G65"/>
    <mergeCell ref="I65:K65"/>
    <mergeCell ref="L65:N65"/>
    <mergeCell ref="C62:G62"/>
    <mergeCell ref="I62:K62"/>
    <mergeCell ref="L62:N62"/>
    <mergeCell ref="C63:G63"/>
    <mergeCell ref="I63:K63"/>
    <mergeCell ref="L63:N63"/>
    <mergeCell ref="C60:G60"/>
    <mergeCell ref="I60:K60"/>
    <mergeCell ref="L60:N60"/>
    <mergeCell ref="C61:G61"/>
    <mergeCell ref="I61:K61"/>
    <mergeCell ref="L61:N61"/>
    <mergeCell ref="C58:G58"/>
    <mergeCell ref="I58:K58"/>
    <mergeCell ref="L58:N58"/>
    <mergeCell ref="C59:G59"/>
    <mergeCell ref="I59:K59"/>
    <mergeCell ref="L59:N59"/>
    <mergeCell ref="C56:G56"/>
    <mergeCell ref="I56:K56"/>
    <mergeCell ref="L56:N56"/>
    <mergeCell ref="C57:G57"/>
    <mergeCell ref="I57:K57"/>
    <mergeCell ref="L57:N57"/>
    <mergeCell ref="C55:G55"/>
    <mergeCell ref="I55:K55"/>
    <mergeCell ref="L55:N55"/>
    <mergeCell ref="B2:G4"/>
    <mergeCell ref="B53:N53"/>
    <mergeCell ref="C54:G54"/>
    <mergeCell ref="I54:K54"/>
    <mergeCell ref="L54:N54"/>
  </mergeCells>
  <printOptions horizontalCentered="1"/>
  <pageMargins left="0" right="0" top="0.5" bottom="0.5" header="0.5" footer="0.5"/>
  <pageSetup scale="53" orientation="portrait" horizont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workbookViewId="0">
      <selection activeCell="G27" sqref="G27"/>
    </sheetView>
  </sheetViews>
  <sheetFormatPr defaultRowHeight="12.75"/>
  <cols>
    <col min="1" max="6" width="11" style="1" customWidth="1"/>
    <col min="7" max="256" width="8.69921875" style="1"/>
    <col min="257" max="262" width="11" style="1" customWidth="1"/>
    <col min="263" max="512" width="8.69921875" style="1"/>
    <col min="513" max="518" width="11" style="1" customWidth="1"/>
    <col min="519" max="768" width="8.69921875" style="1"/>
    <col min="769" max="774" width="11" style="1" customWidth="1"/>
    <col min="775" max="1024" width="8.69921875" style="1"/>
    <col min="1025" max="1030" width="11" style="1" customWidth="1"/>
    <col min="1031" max="1280" width="8.69921875" style="1"/>
    <col min="1281" max="1286" width="11" style="1" customWidth="1"/>
    <col min="1287" max="1536" width="8.69921875" style="1"/>
    <col min="1537" max="1542" width="11" style="1" customWidth="1"/>
    <col min="1543" max="1792" width="8.69921875" style="1"/>
    <col min="1793" max="1798" width="11" style="1" customWidth="1"/>
    <col min="1799" max="2048" width="8.69921875" style="1"/>
    <col min="2049" max="2054" width="11" style="1" customWidth="1"/>
    <col min="2055" max="2304" width="8.69921875" style="1"/>
    <col min="2305" max="2310" width="11" style="1" customWidth="1"/>
    <col min="2311" max="2560" width="8.69921875" style="1"/>
    <col min="2561" max="2566" width="11" style="1" customWidth="1"/>
    <col min="2567" max="2816" width="8.69921875" style="1"/>
    <col min="2817" max="2822" width="11" style="1" customWidth="1"/>
    <col min="2823" max="3072" width="8.69921875" style="1"/>
    <col min="3073" max="3078" width="11" style="1" customWidth="1"/>
    <col min="3079" max="3328" width="8.69921875" style="1"/>
    <col min="3329" max="3334" width="11" style="1" customWidth="1"/>
    <col min="3335" max="3584" width="8.69921875" style="1"/>
    <col min="3585" max="3590" width="11" style="1" customWidth="1"/>
    <col min="3591" max="3840" width="8.69921875" style="1"/>
    <col min="3841" max="3846" width="11" style="1" customWidth="1"/>
    <col min="3847" max="4096" width="8.69921875" style="1"/>
    <col min="4097" max="4102" width="11" style="1" customWidth="1"/>
    <col min="4103" max="4352" width="8.69921875" style="1"/>
    <col min="4353" max="4358" width="11" style="1" customWidth="1"/>
    <col min="4359" max="4608" width="8.69921875" style="1"/>
    <col min="4609" max="4614" width="11" style="1" customWidth="1"/>
    <col min="4615" max="4864" width="8.69921875" style="1"/>
    <col min="4865" max="4870" width="11" style="1" customWidth="1"/>
    <col min="4871" max="5120" width="8.69921875" style="1"/>
    <col min="5121" max="5126" width="11" style="1" customWidth="1"/>
    <col min="5127" max="5376" width="8.69921875" style="1"/>
    <col min="5377" max="5382" width="11" style="1" customWidth="1"/>
    <col min="5383" max="5632" width="8.69921875" style="1"/>
    <col min="5633" max="5638" width="11" style="1" customWidth="1"/>
    <col min="5639" max="5888" width="8.69921875" style="1"/>
    <col min="5889" max="5894" width="11" style="1" customWidth="1"/>
    <col min="5895" max="6144" width="8.69921875" style="1"/>
    <col min="6145" max="6150" width="11" style="1" customWidth="1"/>
    <col min="6151" max="6400" width="8.69921875" style="1"/>
    <col min="6401" max="6406" width="11" style="1" customWidth="1"/>
    <col min="6407" max="6656" width="8.69921875" style="1"/>
    <col min="6657" max="6662" width="11" style="1" customWidth="1"/>
    <col min="6663" max="6912" width="8.69921875" style="1"/>
    <col min="6913" max="6918" width="11" style="1" customWidth="1"/>
    <col min="6919" max="7168" width="8.69921875" style="1"/>
    <col min="7169" max="7174" width="11" style="1" customWidth="1"/>
    <col min="7175" max="7424" width="8.69921875" style="1"/>
    <col min="7425" max="7430" width="11" style="1" customWidth="1"/>
    <col min="7431" max="7680" width="8.69921875" style="1"/>
    <col min="7681" max="7686" width="11" style="1" customWidth="1"/>
    <col min="7687" max="7936" width="8.69921875" style="1"/>
    <col min="7937" max="7942" width="11" style="1" customWidth="1"/>
    <col min="7943" max="8192" width="8.69921875" style="1"/>
    <col min="8193" max="8198" width="11" style="1" customWidth="1"/>
    <col min="8199" max="8448" width="8.69921875" style="1"/>
    <col min="8449" max="8454" width="11" style="1" customWidth="1"/>
    <col min="8455" max="8704" width="8.69921875" style="1"/>
    <col min="8705" max="8710" width="11" style="1" customWidth="1"/>
    <col min="8711" max="8960" width="8.69921875" style="1"/>
    <col min="8961" max="8966" width="11" style="1" customWidth="1"/>
    <col min="8967" max="9216" width="8.69921875" style="1"/>
    <col min="9217" max="9222" width="11" style="1" customWidth="1"/>
    <col min="9223" max="9472" width="8.69921875" style="1"/>
    <col min="9473" max="9478" width="11" style="1" customWidth="1"/>
    <col min="9479" max="9728" width="8.69921875" style="1"/>
    <col min="9729" max="9734" width="11" style="1" customWidth="1"/>
    <col min="9735" max="9984" width="8.69921875" style="1"/>
    <col min="9985" max="9990" width="11" style="1" customWidth="1"/>
    <col min="9991" max="10240" width="8.69921875" style="1"/>
    <col min="10241" max="10246" width="11" style="1" customWidth="1"/>
    <col min="10247" max="10496" width="8.69921875" style="1"/>
    <col min="10497" max="10502" width="11" style="1" customWidth="1"/>
    <col min="10503" max="10752" width="8.69921875" style="1"/>
    <col min="10753" max="10758" width="11" style="1" customWidth="1"/>
    <col min="10759" max="11008" width="8.69921875" style="1"/>
    <col min="11009" max="11014" width="11" style="1" customWidth="1"/>
    <col min="11015" max="11264" width="8.69921875" style="1"/>
    <col min="11265" max="11270" width="11" style="1" customWidth="1"/>
    <col min="11271" max="11520" width="8.69921875" style="1"/>
    <col min="11521" max="11526" width="11" style="1" customWidth="1"/>
    <col min="11527" max="11776" width="8.69921875" style="1"/>
    <col min="11777" max="11782" width="11" style="1" customWidth="1"/>
    <col min="11783" max="12032" width="8.69921875" style="1"/>
    <col min="12033" max="12038" width="11" style="1" customWidth="1"/>
    <col min="12039" max="12288" width="8.69921875" style="1"/>
    <col min="12289" max="12294" width="11" style="1" customWidth="1"/>
    <col min="12295" max="12544" width="8.69921875" style="1"/>
    <col min="12545" max="12550" width="11" style="1" customWidth="1"/>
    <col min="12551" max="12800" width="8.69921875" style="1"/>
    <col min="12801" max="12806" width="11" style="1" customWidth="1"/>
    <col min="12807" max="13056" width="8.69921875" style="1"/>
    <col min="13057" max="13062" width="11" style="1" customWidth="1"/>
    <col min="13063" max="13312" width="8.69921875" style="1"/>
    <col min="13313" max="13318" width="11" style="1" customWidth="1"/>
    <col min="13319" max="13568" width="8.69921875" style="1"/>
    <col min="13569" max="13574" width="11" style="1" customWidth="1"/>
    <col min="13575" max="13824" width="8.69921875" style="1"/>
    <col min="13825" max="13830" width="11" style="1" customWidth="1"/>
    <col min="13831" max="14080" width="8.69921875" style="1"/>
    <col min="14081" max="14086" width="11" style="1" customWidth="1"/>
    <col min="14087" max="14336" width="8.69921875" style="1"/>
    <col min="14337" max="14342" width="11" style="1" customWidth="1"/>
    <col min="14343" max="14592" width="8.69921875" style="1"/>
    <col min="14593" max="14598" width="11" style="1" customWidth="1"/>
    <col min="14599" max="14848" width="8.69921875" style="1"/>
    <col min="14849" max="14854" width="11" style="1" customWidth="1"/>
    <col min="14855" max="15104" width="8.69921875" style="1"/>
    <col min="15105" max="15110" width="11" style="1" customWidth="1"/>
    <col min="15111" max="15360" width="8.69921875" style="1"/>
    <col min="15361" max="15366" width="11" style="1" customWidth="1"/>
    <col min="15367" max="15616" width="8.69921875" style="1"/>
    <col min="15617" max="15622" width="11" style="1" customWidth="1"/>
    <col min="15623" max="15872" width="8.69921875" style="1"/>
    <col min="15873" max="15878" width="11" style="1" customWidth="1"/>
    <col min="15879" max="16128" width="8.69921875" style="1"/>
    <col min="16129" max="16134" width="11" style="1" customWidth="1"/>
    <col min="16135" max="16384" width="8.69921875" style="1"/>
  </cols>
  <sheetData>
    <row r="1" spans="1:7" ht="20.25">
      <c r="A1" s="632" t="s">
        <v>371</v>
      </c>
      <c r="B1" s="632"/>
      <c r="C1" s="632"/>
      <c r="D1" s="632"/>
      <c r="E1" s="632"/>
      <c r="F1" s="632"/>
    </row>
    <row r="2" spans="1:7" ht="19.5" thickBot="1">
      <c r="A2" s="364"/>
      <c r="B2" s="364"/>
      <c r="C2" s="633" t="s">
        <v>372</v>
      </c>
      <c r="D2" s="633"/>
      <c r="E2" s="364"/>
      <c r="F2" s="364"/>
      <c r="G2" s="364"/>
    </row>
    <row r="3" spans="1:7" ht="19.5">
      <c r="A3" s="634" t="s">
        <v>373</v>
      </c>
      <c r="B3" s="635"/>
      <c r="C3" s="636"/>
      <c r="D3" s="634" t="s">
        <v>374</v>
      </c>
      <c r="E3" s="635"/>
      <c r="F3" s="636"/>
      <c r="G3" s="364"/>
    </row>
    <row r="4" spans="1:7" ht="15.75">
      <c r="A4" s="365" t="s">
        <v>375</v>
      </c>
      <c r="B4" s="637" t="s">
        <v>376</v>
      </c>
      <c r="C4" s="638"/>
      <c r="D4" s="639" t="s">
        <v>377</v>
      </c>
      <c r="E4" s="640"/>
      <c r="F4" s="641"/>
      <c r="G4" s="364"/>
    </row>
    <row r="5" spans="1:7" ht="16.5" thickBot="1">
      <c r="A5" s="366" t="s">
        <v>378</v>
      </c>
      <c r="B5" s="645" t="s">
        <v>378</v>
      </c>
      <c r="C5" s="646"/>
      <c r="D5" s="647" t="s">
        <v>379</v>
      </c>
      <c r="E5" s="648"/>
      <c r="F5" s="649"/>
      <c r="G5" s="364"/>
    </row>
    <row r="6" spans="1:7" ht="19.5">
      <c r="A6" s="634" t="s">
        <v>380</v>
      </c>
      <c r="B6" s="635"/>
      <c r="C6" s="635"/>
      <c r="D6" s="635"/>
      <c r="E6" s="635"/>
      <c r="F6" s="636"/>
      <c r="G6" s="364"/>
    </row>
    <row r="7" spans="1:7" ht="15.75">
      <c r="A7" s="367" t="s">
        <v>381</v>
      </c>
      <c r="B7" s="368" t="s">
        <v>382</v>
      </c>
      <c r="C7" s="369" t="s">
        <v>383</v>
      </c>
      <c r="D7" s="370" t="s">
        <v>384</v>
      </c>
      <c r="E7" s="650" t="s">
        <v>385</v>
      </c>
      <c r="F7" s="651"/>
      <c r="G7" s="364"/>
    </row>
    <row r="8" spans="1:7" ht="16.5" thickBot="1">
      <c r="A8" s="371"/>
      <c r="B8" s="372" t="s">
        <v>378</v>
      </c>
      <c r="C8" s="373"/>
      <c r="D8" s="374" t="s">
        <v>378</v>
      </c>
      <c r="E8" s="652" t="s">
        <v>386</v>
      </c>
      <c r="F8" s="649"/>
      <c r="G8" s="364"/>
    </row>
    <row r="9" spans="1:7" ht="19.5">
      <c r="A9" s="634" t="s">
        <v>387</v>
      </c>
      <c r="B9" s="635"/>
      <c r="C9" s="636"/>
      <c r="D9" s="634" t="s">
        <v>388</v>
      </c>
      <c r="E9" s="635"/>
      <c r="F9" s="636"/>
      <c r="G9" s="364"/>
    </row>
    <row r="10" spans="1:7" ht="15.75">
      <c r="A10" s="375" t="s">
        <v>389</v>
      </c>
      <c r="B10" s="653" t="s">
        <v>390</v>
      </c>
      <c r="C10" s="638"/>
      <c r="D10" s="654" t="s">
        <v>391</v>
      </c>
      <c r="E10" s="655"/>
      <c r="F10" s="376" t="s">
        <v>392</v>
      </c>
      <c r="G10" s="364"/>
    </row>
    <row r="11" spans="1:7" ht="16.5" thickBot="1">
      <c r="A11" s="377" t="s">
        <v>393</v>
      </c>
      <c r="B11" s="648" t="s">
        <v>394</v>
      </c>
      <c r="C11" s="649"/>
      <c r="D11" s="656"/>
      <c r="E11" s="657"/>
      <c r="F11" s="378" t="s">
        <v>378</v>
      </c>
      <c r="G11" s="364"/>
    </row>
    <row r="12" spans="1:7" ht="19.5">
      <c r="A12" s="634" t="s">
        <v>395</v>
      </c>
      <c r="B12" s="635"/>
      <c r="C12" s="635"/>
      <c r="D12" s="635"/>
      <c r="E12" s="635"/>
      <c r="F12" s="636"/>
      <c r="G12" s="364"/>
    </row>
    <row r="13" spans="1:7" ht="16.5" thickBot="1">
      <c r="A13" s="642" t="s">
        <v>396</v>
      </c>
      <c r="B13" s="643"/>
      <c r="C13" s="644" t="s">
        <v>397</v>
      </c>
      <c r="D13" s="644"/>
      <c r="E13" s="644"/>
      <c r="F13" s="379"/>
      <c r="G13" s="364"/>
    </row>
    <row r="14" spans="1:7" ht="18.95" customHeight="1">
      <c r="A14" s="380"/>
      <c r="B14" s="380"/>
      <c r="C14" s="380"/>
      <c r="D14" s="380"/>
      <c r="E14" s="380"/>
      <c r="F14" s="380"/>
      <c r="G14" s="364"/>
    </row>
    <row r="15" spans="1:7" ht="15.75">
      <c r="G15" s="364"/>
    </row>
    <row r="16" spans="1:7" ht="15.75">
      <c r="G16" s="364"/>
    </row>
    <row r="17" spans="7:7" ht="15.75">
      <c r="G17" s="364"/>
    </row>
    <row r="18" spans="7:7" ht="15.75">
      <c r="G18" s="364"/>
    </row>
    <row r="19" spans="7:7" ht="15.75">
      <c r="G19" s="364"/>
    </row>
    <row r="20" spans="7:7" ht="15.75">
      <c r="G20" s="364"/>
    </row>
    <row r="21" spans="7:7" ht="15.75">
      <c r="G21" s="364"/>
    </row>
    <row r="22" spans="7:7" ht="15.75">
      <c r="G22" s="364"/>
    </row>
    <row r="23" spans="7:7" ht="15.75">
      <c r="G23" s="364"/>
    </row>
    <row r="24" spans="7:7" ht="15.75">
      <c r="G24" s="364"/>
    </row>
    <row r="25" spans="7:7" ht="15.75">
      <c r="G25" s="364"/>
    </row>
    <row r="26" spans="7:7" ht="15.75">
      <c r="G26" s="364"/>
    </row>
    <row r="27" spans="7:7" ht="18.95" customHeight="1">
      <c r="G27" s="364"/>
    </row>
    <row r="28" spans="7:7" ht="15.75">
      <c r="G28" s="364"/>
    </row>
    <row r="29" spans="7:7" ht="15.75">
      <c r="G29" s="364"/>
    </row>
    <row r="30" spans="7:7" ht="15.75">
      <c r="G30" s="364"/>
    </row>
    <row r="31" spans="7:7" ht="15.75">
      <c r="G31" s="364"/>
    </row>
  </sheetData>
  <mergeCells count="20">
    <mergeCell ref="A13:B13"/>
    <mergeCell ref="C13:E13"/>
    <mergeCell ref="B5:C5"/>
    <mergeCell ref="D5:F5"/>
    <mergeCell ref="A6:F6"/>
    <mergeCell ref="E7:F7"/>
    <mergeCell ref="E8:F8"/>
    <mergeCell ref="A9:C9"/>
    <mergeCell ref="D9:F9"/>
    <mergeCell ref="B10:C10"/>
    <mergeCell ref="D10:E10"/>
    <mergeCell ref="B11:C11"/>
    <mergeCell ref="D11:E11"/>
    <mergeCell ref="A12:F12"/>
    <mergeCell ref="A1:F1"/>
    <mergeCell ref="C2:D2"/>
    <mergeCell ref="A3:C3"/>
    <mergeCell ref="D3:F3"/>
    <mergeCell ref="B4:C4"/>
    <mergeCell ref="D4:F4"/>
  </mergeCells>
  <printOptions horizontalCentered="1"/>
  <pageMargins left="0.75" right="0.75" top="1" bottom="1" header="0.5" footer="0.5"/>
  <pageSetup orientation="portrait" horizontalDpi="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yncVertical="1" syncRef="A1" transitionEvaluation="1"/>
  <dimension ref="A1:N120"/>
  <sheetViews>
    <sheetView showGridLines="0" zoomScaleNormal="100" workbookViewId="0">
      <selection activeCell="F23" sqref="F23"/>
    </sheetView>
  </sheetViews>
  <sheetFormatPr defaultColWidth="9" defaultRowHeight="15.75"/>
  <cols>
    <col min="1" max="13" width="5" style="388" customWidth="1"/>
    <col min="14" max="14" width="5.09765625" style="388" customWidth="1"/>
    <col min="15" max="256" width="9" style="388"/>
    <col min="257" max="269" width="5" style="388" customWidth="1"/>
    <col min="270" max="270" width="5.09765625" style="388" customWidth="1"/>
    <col min="271" max="512" width="9" style="388"/>
    <col min="513" max="525" width="5" style="388" customWidth="1"/>
    <col min="526" max="526" width="5.09765625" style="388" customWidth="1"/>
    <col min="527" max="768" width="9" style="388"/>
    <col min="769" max="781" width="5" style="388" customWidth="1"/>
    <col min="782" max="782" width="5.09765625" style="388" customWidth="1"/>
    <col min="783" max="1024" width="9" style="388"/>
    <col min="1025" max="1037" width="5" style="388" customWidth="1"/>
    <col min="1038" max="1038" width="5.09765625" style="388" customWidth="1"/>
    <col min="1039" max="1280" width="9" style="388"/>
    <col min="1281" max="1293" width="5" style="388" customWidth="1"/>
    <col min="1294" max="1294" width="5.09765625" style="388" customWidth="1"/>
    <col min="1295" max="1536" width="9" style="388"/>
    <col min="1537" max="1549" width="5" style="388" customWidth="1"/>
    <col min="1550" max="1550" width="5.09765625" style="388" customWidth="1"/>
    <col min="1551" max="1792" width="9" style="388"/>
    <col min="1793" max="1805" width="5" style="388" customWidth="1"/>
    <col min="1806" max="1806" width="5.09765625" style="388" customWidth="1"/>
    <col min="1807" max="2048" width="9" style="388"/>
    <col min="2049" max="2061" width="5" style="388" customWidth="1"/>
    <col min="2062" max="2062" width="5.09765625" style="388" customWidth="1"/>
    <col min="2063" max="2304" width="9" style="388"/>
    <col min="2305" max="2317" width="5" style="388" customWidth="1"/>
    <col min="2318" max="2318" width="5.09765625" style="388" customWidth="1"/>
    <col min="2319" max="2560" width="9" style="388"/>
    <col min="2561" max="2573" width="5" style="388" customWidth="1"/>
    <col min="2574" max="2574" width="5.09765625" style="388" customWidth="1"/>
    <col min="2575" max="2816" width="9" style="388"/>
    <col min="2817" max="2829" width="5" style="388" customWidth="1"/>
    <col min="2830" max="2830" width="5.09765625" style="388" customWidth="1"/>
    <col min="2831" max="3072" width="9" style="388"/>
    <col min="3073" max="3085" width="5" style="388" customWidth="1"/>
    <col min="3086" max="3086" width="5.09765625" style="388" customWidth="1"/>
    <col min="3087" max="3328" width="9" style="388"/>
    <col min="3329" max="3341" width="5" style="388" customWidth="1"/>
    <col min="3342" max="3342" width="5.09765625" style="388" customWidth="1"/>
    <col min="3343" max="3584" width="9" style="388"/>
    <col min="3585" max="3597" width="5" style="388" customWidth="1"/>
    <col min="3598" max="3598" width="5.09765625" style="388" customWidth="1"/>
    <col min="3599" max="3840" width="9" style="388"/>
    <col min="3841" max="3853" width="5" style="388" customWidth="1"/>
    <col min="3854" max="3854" width="5.09765625" style="388" customWidth="1"/>
    <col min="3855" max="4096" width="9" style="388"/>
    <col min="4097" max="4109" width="5" style="388" customWidth="1"/>
    <col min="4110" max="4110" width="5.09765625" style="388" customWidth="1"/>
    <col min="4111" max="4352" width="9" style="388"/>
    <col min="4353" max="4365" width="5" style="388" customWidth="1"/>
    <col min="4366" max="4366" width="5.09765625" style="388" customWidth="1"/>
    <col min="4367" max="4608" width="9" style="388"/>
    <col min="4609" max="4621" width="5" style="388" customWidth="1"/>
    <col min="4622" max="4622" width="5.09765625" style="388" customWidth="1"/>
    <col min="4623" max="4864" width="9" style="388"/>
    <col min="4865" max="4877" width="5" style="388" customWidth="1"/>
    <col min="4878" max="4878" width="5.09765625" style="388" customWidth="1"/>
    <col min="4879" max="5120" width="9" style="388"/>
    <col min="5121" max="5133" width="5" style="388" customWidth="1"/>
    <col min="5134" max="5134" width="5.09765625" style="388" customWidth="1"/>
    <col min="5135" max="5376" width="9" style="388"/>
    <col min="5377" max="5389" width="5" style="388" customWidth="1"/>
    <col min="5390" max="5390" width="5.09765625" style="388" customWidth="1"/>
    <col min="5391" max="5632" width="9" style="388"/>
    <col min="5633" max="5645" width="5" style="388" customWidth="1"/>
    <col min="5646" max="5646" width="5.09765625" style="388" customWidth="1"/>
    <col min="5647" max="5888" width="9" style="388"/>
    <col min="5889" max="5901" width="5" style="388" customWidth="1"/>
    <col min="5902" max="5902" width="5.09765625" style="388" customWidth="1"/>
    <col min="5903" max="6144" width="9" style="388"/>
    <col min="6145" max="6157" width="5" style="388" customWidth="1"/>
    <col min="6158" max="6158" width="5.09765625" style="388" customWidth="1"/>
    <col min="6159" max="6400" width="9" style="388"/>
    <col min="6401" max="6413" width="5" style="388" customWidth="1"/>
    <col min="6414" max="6414" width="5.09765625" style="388" customWidth="1"/>
    <col min="6415" max="6656" width="9" style="388"/>
    <col min="6657" max="6669" width="5" style="388" customWidth="1"/>
    <col min="6670" max="6670" width="5.09765625" style="388" customWidth="1"/>
    <col min="6671" max="6912" width="9" style="388"/>
    <col min="6913" max="6925" width="5" style="388" customWidth="1"/>
    <col min="6926" max="6926" width="5.09765625" style="388" customWidth="1"/>
    <col min="6927" max="7168" width="9" style="388"/>
    <col min="7169" max="7181" width="5" style="388" customWidth="1"/>
    <col min="7182" max="7182" width="5.09765625" style="388" customWidth="1"/>
    <col min="7183" max="7424" width="9" style="388"/>
    <col min="7425" max="7437" width="5" style="388" customWidth="1"/>
    <col min="7438" max="7438" width="5.09765625" style="388" customWidth="1"/>
    <col min="7439" max="7680" width="9" style="388"/>
    <col min="7681" max="7693" width="5" style="388" customWidth="1"/>
    <col min="7694" max="7694" width="5.09765625" style="388" customWidth="1"/>
    <col min="7695" max="7936" width="9" style="388"/>
    <col min="7937" max="7949" width="5" style="388" customWidth="1"/>
    <col min="7950" max="7950" width="5.09765625" style="388" customWidth="1"/>
    <col min="7951" max="8192" width="9" style="388"/>
    <col min="8193" max="8205" width="5" style="388" customWidth="1"/>
    <col min="8206" max="8206" width="5.09765625" style="388" customWidth="1"/>
    <col min="8207" max="8448" width="9" style="388"/>
    <col min="8449" max="8461" width="5" style="388" customWidth="1"/>
    <col min="8462" max="8462" width="5.09765625" style="388" customWidth="1"/>
    <col min="8463" max="8704" width="9" style="388"/>
    <col min="8705" max="8717" width="5" style="388" customWidth="1"/>
    <col min="8718" max="8718" width="5.09765625" style="388" customWidth="1"/>
    <col min="8719" max="8960" width="9" style="388"/>
    <col min="8961" max="8973" width="5" style="388" customWidth="1"/>
    <col min="8974" max="8974" width="5.09765625" style="388" customWidth="1"/>
    <col min="8975" max="9216" width="9" style="388"/>
    <col min="9217" max="9229" width="5" style="388" customWidth="1"/>
    <col min="9230" max="9230" width="5.09765625" style="388" customWidth="1"/>
    <col min="9231" max="9472" width="9" style="388"/>
    <col min="9473" max="9485" width="5" style="388" customWidth="1"/>
    <col min="9486" max="9486" width="5.09765625" style="388" customWidth="1"/>
    <col min="9487" max="9728" width="9" style="388"/>
    <col min="9729" max="9741" width="5" style="388" customWidth="1"/>
    <col min="9742" max="9742" width="5.09765625" style="388" customWidth="1"/>
    <col min="9743" max="9984" width="9" style="388"/>
    <col min="9985" max="9997" width="5" style="388" customWidth="1"/>
    <col min="9998" max="9998" width="5.09765625" style="388" customWidth="1"/>
    <col min="9999" max="10240" width="9" style="388"/>
    <col min="10241" max="10253" width="5" style="388" customWidth="1"/>
    <col min="10254" max="10254" width="5.09765625" style="388" customWidth="1"/>
    <col min="10255" max="10496" width="9" style="388"/>
    <col min="10497" max="10509" width="5" style="388" customWidth="1"/>
    <col min="10510" max="10510" width="5.09765625" style="388" customWidth="1"/>
    <col min="10511" max="10752" width="9" style="388"/>
    <col min="10753" max="10765" width="5" style="388" customWidth="1"/>
    <col min="10766" max="10766" width="5.09765625" style="388" customWidth="1"/>
    <col min="10767" max="11008" width="9" style="388"/>
    <col min="11009" max="11021" width="5" style="388" customWidth="1"/>
    <col min="11022" max="11022" width="5.09765625" style="388" customWidth="1"/>
    <col min="11023" max="11264" width="9" style="388"/>
    <col min="11265" max="11277" width="5" style="388" customWidth="1"/>
    <col min="11278" max="11278" width="5.09765625" style="388" customWidth="1"/>
    <col min="11279" max="11520" width="9" style="388"/>
    <col min="11521" max="11533" width="5" style="388" customWidth="1"/>
    <col min="11534" max="11534" width="5.09765625" style="388" customWidth="1"/>
    <col min="11535" max="11776" width="9" style="388"/>
    <col min="11777" max="11789" width="5" style="388" customWidth="1"/>
    <col min="11790" max="11790" width="5.09765625" style="388" customWidth="1"/>
    <col min="11791" max="12032" width="9" style="388"/>
    <col min="12033" max="12045" width="5" style="388" customWidth="1"/>
    <col min="12046" max="12046" width="5.09765625" style="388" customWidth="1"/>
    <col min="12047" max="12288" width="9" style="388"/>
    <col min="12289" max="12301" width="5" style="388" customWidth="1"/>
    <col min="12302" max="12302" width="5.09765625" style="388" customWidth="1"/>
    <col min="12303" max="12544" width="9" style="388"/>
    <col min="12545" max="12557" width="5" style="388" customWidth="1"/>
    <col min="12558" max="12558" width="5.09765625" style="388" customWidth="1"/>
    <col min="12559" max="12800" width="9" style="388"/>
    <col min="12801" max="12813" width="5" style="388" customWidth="1"/>
    <col min="12814" max="12814" width="5.09765625" style="388" customWidth="1"/>
    <col min="12815" max="13056" width="9" style="388"/>
    <col min="13057" max="13069" width="5" style="388" customWidth="1"/>
    <col min="13070" max="13070" width="5.09765625" style="388" customWidth="1"/>
    <col min="13071" max="13312" width="9" style="388"/>
    <col min="13313" max="13325" width="5" style="388" customWidth="1"/>
    <col min="13326" max="13326" width="5.09765625" style="388" customWidth="1"/>
    <col min="13327" max="13568" width="9" style="388"/>
    <col min="13569" max="13581" width="5" style="388" customWidth="1"/>
    <col min="13582" max="13582" width="5.09765625" style="388" customWidth="1"/>
    <col min="13583" max="13824" width="9" style="388"/>
    <col min="13825" max="13837" width="5" style="388" customWidth="1"/>
    <col min="13838" max="13838" width="5.09765625" style="388" customWidth="1"/>
    <col min="13839" max="14080" width="9" style="388"/>
    <col min="14081" max="14093" width="5" style="388" customWidth="1"/>
    <col min="14094" max="14094" width="5.09765625" style="388" customWidth="1"/>
    <col min="14095" max="14336" width="9" style="388"/>
    <col min="14337" max="14349" width="5" style="388" customWidth="1"/>
    <col min="14350" max="14350" width="5.09765625" style="388" customWidth="1"/>
    <col min="14351" max="14592" width="9" style="388"/>
    <col min="14593" max="14605" width="5" style="388" customWidth="1"/>
    <col min="14606" max="14606" width="5.09765625" style="388" customWidth="1"/>
    <col min="14607" max="14848" width="9" style="388"/>
    <col min="14849" max="14861" width="5" style="388" customWidth="1"/>
    <col min="14862" max="14862" width="5.09765625" style="388" customWidth="1"/>
    <col min="14863" max="15104" width="9" style="388"/>
    <col min="15105" max="15117" width="5" style="388" customWidth="1"/>
    <col min="15118" max="15118" width="5.09765625" style="388" customWidth="1"/>
    <col min="15119" max="15360" width="9" style="388"/>
    <col min="15361" max="15373" width="5" style="388" customWidth="1"/>
    <col min="15374" max="15374" width="5.09765625" style="388" customWidth="1"/>
    <col min="15375" max="15616" width="9" style="388"/>
    <col min="15617" max="15629" width="5" style="388" customWidth="1"/>
    <col min="15630" max="15630" width="5.09765625" style="388" customWidth="1"/>
    <col min="15631" max="15872" width="9" style="388"/>
    <col min="15873" max="15885" width="5" style="388" customWidth="1"/>
    <col min="15886" max="15886" width="5.09765625" style="388" customWidth="1"/>
    <col min="15887" max="16128" width="9" style="388"/>
    <col min="16129" max="16141" width="5" style="388" customWidth="1"/>
    <col min="16142" max="16142" width="5.09765625" style="388" customWidth="1"/>
    <col min="16143" max="16384" width="9" style="388"/>
  </cols>
  <sheetData>
    <row r="1" spans="1:14" ht="17.100000000000001" customHeight="1">
      <c r="A1" s="381" t="s">
        <v>37</v>
      </c>
      <c r="B1" s="382"/>
      <c r="C1" s="382"/>
      <c r="D1" s="382"/>
      <c r="E1" s="382"/>
      <c r="F1" s="382"/>
      <c r="G1" s="382"/>
      <c r="H1" s="382"/>
      <c r="I1" s="382"/>
      <c r="J1" s="383" t="s">
        <v>398</v>
      </c>
      <c r="K1" s="384"/>
      <c r="L1" s="385" t="s">
        <v>399</v>
      </c>
      <c r="M1" s="386"/>
      <c r="N1" s="387"/>
    </row>
    <row r="2" spans="1:14" ht="17.100000000000001" customHeight="1">
      <c r="A2" s="389" t="s">
        <v>400</v>
      </c>
      <c r="B2" s="390"/>
      <c r="C2" s="390"/>
      <c r="D2" s="390"/>
      <c r="E2" s="390"/>
      <c r="F2" s="390"/>
      <c r="G2" s="390"/>
      <c r="H2" s="390"/>
      <c r="I2" s="390"/>
      <c r="J2" s="391" t="s">
        <v>401</v>
      </c>
      <c r="K2" s="392"/>
      <c r="L2" s="393" t="s">
        <v>402</v>
      </c>
      <c r="M2" s="394"/>
      <c r="N2" s="387"/>
    </row>
    <row r="3" spans="1:14" ht="15.95" customHeight="1">
      <c r="A3" s="395"/>
      <c r="B3" s="396"/>
      <c r="C3" s="396"/>
      <c r="D3" s="396"/>
      <c r="E3" s="396"/>
      <c r="F3" s="396"/>
      <c r="G3" s="396"/>
      <c r="H3" s="396"/>
      <c r="I3" s="396"/>
      <c r="J3" s="391" t="s">
        <v>403</v>
      </c>
      <c r="K3" s="392"/>
      <c r="L3" s="397" t="s">
        <v>404</v>
      </c>
      <c r="M3" s="394"/>
      <c r="N3" s="387"/>
    </row>
    <row r="4" spans="1:14" ht="15.95" customHeight="1">
      <c r="A4" s="398"/>
      <c r="B4" s="396"/>
      <c r="C4" s="396"/>
      <c r="D4" s="396"/>
      <c r="E4" s="396"/>
      <c r="F4" s="396"/>
      <c r="G4" s="396"/>
      <c r="H4" s="396"/>
      <c r="I4" s="396"/>
      <c r="J4" s="391" t="s">
        <v>405</v>
      </c>
      <c r="K4" s="392"/>
      <c r="L4" s="397" t="s">
        <v>406</v>
      </c>
      <c r="M4" s="394"/>
      <c r="N4" s="387"/>
    </row>
    <row r="5" spans="1:14" ht="15.95" customHeight="1">
      <c r="A5" s="395"/>
      <c r="B5" s="396"/>
      <c r="C5" s="396"/>
      <c r="D5" s="396"/>
      <c r="E5" s="396"/>
      <c r="F5" s="396"/>
      <c r="G5" s="396"/>
      <c r="H5" s="396"/>
      <c r="I5" s="396"/>
      <c r="J5" s="391" t="s">
        <v>407</v>
      </c>
      <c r="K5" s="392"/>
      <c r="L5" s="393">
        <v>2</v>
      </c>
      <c r="M5" s="394"/>
      <c r="N5" s="387"/>
    </row>
    <row r="6" spans="1:14" ht="15.95" customHeight="1">
      <c r="A6" s="399" t="s">
        <v>408</v>
      </c>
      <c r="B6" s="396"/>
      <c r="C6" s="396"/>
      <c r="D6" s="396"/>
      <c r="E6" s="396"/>
      <c r="F6" s="396"/>
      <c r="G6" s="396"/>
      <c r="H6" s="396"/>
      <c r="I6" s="396"/>
      <c r="J6" s="391" t="s">
        <v>409</v>
      </c>
      <c r="K6" s="392"/>
      <c r="L6" s="393" t="s">
        <v>410</v>
      </c>
      <c r="M6" s="394"/>
      <c r="N6" s="387"/>
    </row>
    <row r="7" spans="1:14" ht="15.95" customHeight="1" thickBot="1">
      <c r="A7" s="400" t="s">
        <v>411</v>
      </c>
      <c r="B7" s="401"/>
      <c r="C7" s="401"/>
      <c r="D7" s="401"/>
      <c r="E7" s="401"/>
      <c r="F7" s="401"/>
      <c r="G7" s="401"/>
      <c r="H7" s="401"/>
      <c r="I7" s="401"/>
      <c r="J7" s="402" t="s">
        <v>412</v>
      </c>
      <c r="K7" s="403"/>
      <c r="L7" s="404" t="s">
        <v>413</v>
      </c>
      <c r="M7" s="405"/>
      <c r="N7" s="387"/>
    </row>
    <row r="8" spans="1:14" ht="15.95" customHeight="1">
      <c r="A8" s="406"/>
      <c r="B8" s="396"/>
      <c r="C8" s="396"/>
      <c r="D8" s="396"/>
      <c r="E8" s="396"/>
      <c r="F8" s="396"/>
      <c r="G8" s="396"/>
      <c r="H8" s="396"/>
      <c r="I8" s="396"/>
      <c r="J8" s="396"/>
      <c r="K8" s="407"/>
      <c r="L8" s="408"/>
      <c r="M8" s="409"/>
      <c r="N8" s="396"/>
    </row>
    <row r="9" spans="1:14" ht="12" customHeight="1">
      <c r="A9" s="410"/>
      <c r="B9" s="411" t="s">
        <v>414</v>
      </c>
      <c r="C9" s="412" t="s">
        <v>83</v>
      </c>
      <c r="D9" s="413"/>
      <c r="E9" s="413"/>
      <c r="F9" s="413"/>
      <c r="G9" s="413"/>
      <c r="H9" s="413"/>
      <c r="I9" s="413"/>
      <c r="J9" s="413"/>
      <c r="K9" s="414"/>
      <c r="L9" s="410"/>
      <c r="M9" s="413"/>
      <c r="N9" s="396"/>
    </row>
    <row r="10" spans="1:14" ht="12" customHeight="1">
      <c r="A10" s="410"/>
      <c r="B10" s="411" t="s">
        <v>415</v>
      </c>
      <c r="C10" s="415" t="s">
        <v>83</v>
      </c>
      <c r="D10" s="410"/>
      <c r="E10" s="410"/>
      <c r="F10" s="410"/>
      <c r="G10" s="410"/>
      <c r="H10" s="410"/>
      <c r="I10" s="410"/>
      <c r="J10" s="410"/>
      <c r="K10" s="410"/>
      <c r="L10" s="410"/>
      <c r="M10" s="410"/>
      <c r="N10" s="408"/>
    </row>
    <row r="11" spans="1:14" ht="16.5" thickBot="1">
      <c r="A11" s="408"/>
      <c r="B11" s="408"/>
      <c r="C11" s="408"/>
      <c r="D11" s="408"/>
      <c r="E11" s="408"/>
      <c r="F11" s="408"/>
      <c r="G11" s="408"/>
      <c r="H11" s="408"/>
      <c r="I11" s="408"/>
      <c r="J11" s="408"/>
      <c r="K11" s="408"/>
      <c r="L11" s="408"/>
      <c r="M11" s="408"/>
      <c r="N11" s="408"/>
    </row>
    <row r="12" spans="1:14" ht="20.100000000000001" customHeight="1" thickBot="1">
      <c r="A12" s="416" t="s">
        <v>416</v>
      </c>
      <c r="B12" s="417"/>
      <c r="C12" s="417"/>
      <c r="D12" s="417"/>
      <c r="E12" s="417"/>
      <c r="F12" s="417"/>
      <c r="G12" s="417"/>
      <c r="H12" s="417"/>
      <c r="I12" s="417"/>
      <c r="J12" s="417"/>
      <c r="K12" s="417"/>
      <c r="L12" s="417"/>
      <c r="M12" s="418"/>
      <c r="N12" s="387"/>
    </row>
    <row r="13" spans="1:14" ht="12.95" customHeight="1" thickTop="1">
      <c r="A13" s="419"/>
      <c r="B13" s="411" t="s">
        <v>417</v>
      </c>
      <c r="C13" s="420">
        <v>700</v>
      </c>
      <c r="D13" s="410"/>
      <c r="E13" s="411" t="s">
        <v>418</v>
      </c>
      <c r="F13" s="420">
        <v>4000</v>
      </c>
      <c r="G13" s="410"/>
      <c r="H13" s="411" t="s">
        <v>419</v>
      </c>
      <c r="I13" s="420" t="s">
        <v>420</v>
      </c>
      <c r="J13" s="410"/>
      <c r="K13" s="410"/>
      <c r="L13" s="411" t="s">
        <v>421</v>
      </c>
      <c r="M13" s="421">
        <v>3600</v>
      </c>
      <c r="N13" s="387"/>
    </row>
    <row r="14" spans="1:14" ht="12.95" customHeight="1">
      <c r="A14" s="419"/>
      <c r="B14" s="411" t="s">
        <v>422</v>
      </c>
      <c r="C14" s="420" t="s">
        <v>667</v>
      </c>
      <c r="D14" s="410"/>
      <c r="E14" s="411" t="s">
        <v>423</v>
      </c>
      <c r="F14" s="422" t="s">
        <v>424</v>
      </c>
      <c r="G14" s="410"/>
      <c r="H14" s="411" t="s">
        <v>425</v>
      </c>
      <c r="I14" s="420">
        <v>92</v>
      </c>
      <c r="J14" s="410"/>
      <c r="K14" s="410"/>
      <c r="L14" s="411" t="s">
        <v>21</v>
      </c>
      <c r="M14" s="421">
        <v>3560</v>
      </c>
      <c r="N14" s="387"/>
    </row>
    <row r="15" spans="1:14" ht="12.95" customHeight="1">
      <c r="A15" s="419"/>
      <c r="B15" s="411" t="s">
        <v>426</v>
      </c>
      <c r="C15" s="420" t="s">
        <v>53</v>
      </c>
      <c r="D15" s="410"/>
      <c r="E15" s="411" t="s">
        <v>427</v>
      </c>
      <c r="F15" s="423">
        <v>1.1499999999999999</v>
      </c>
      <c r="G15" s="410"/>
      <c r="H15" s="411" t="s">
        <v>428</v>
      </c>
      <c r="I15" s="422" t="s">
        <v>83</v>
      </c>
      <c r="J15" s="410"/>
      <c r="K15" s="410"/>
      <c r="L15" s="411" t="s">
        <v>429</v>
      </c>
      <c r="M15" s="421" t="s">
        <v>302</v>
      </c>
      <c r="N15" s="387"/>
    </row>
    <row r="16" spans="1:14" ht="12.95" customHeight="1">
      <c r="A16" s="419"/>
      <c r="B16" s="411" t="s">
        <v>430</v>
      </c>
      <c r="C16" s="420" t="s">
        <v>431</v>
      </c>
      <c r="D16" s="410"/>
      <c r="E16" s="411" t="s">
        <v>432</v>
      </c>
      <c r="F16" s="420" t="s">
        <v>433</v>
      </c>
      <c r="G16" s="410"/>
      <c r="H16" s="424" t="s">
        <v>434</v>
      </c>
      <c r="I16" s="425" t="s">
        <v>302</v>
      </c>
      <c r="J16" s="410"/>
      <c r="K16" s="410"/>
      <c r="L16" s="411" t="s">
        <v>435</v>
      </c>
      <c r="M16" s="421" t="s">
        <v>436</v>
      </c>
      <c r="N16" s="387"/>
    </row>
    <row r="17" spans="1:14" ht="12.95" customHeight="1">
      <c r="A17" s="419"/>
      <c r="B17" s="411" t="s">
        <v>437</v>
      </c>
      <c r="C17" s="412" t="s">
        <v>251</v>
      </c>
      <c r="D17" s="410"/>
      <c r="E17" s="411"/>
      <c r="F17" s="422"/>
      <c r="G17" s="410"/>
      <c r="H17" s="411" t="s">
        <v>438</v>
      </c>
      <c r="I17" s="425" t="s">
        <v>83</v>
      </c>
      <c r="J17" s="410"/>
      <c r="K17" s="410"/>
      <c r="L17" s="411"/>
      <c r="M17" s="426"/>
      <c r="N17" s="387"/>
    </row>
    <row r="18" spans="1:14" ht="12.95" customHeight="1" thickBot="1">
      <c r="A18" s="427"/>
      <c r="B18" s="428" t="s">
        <v>439</v>
      </c>
      <c r="C18" s="429" t="s">
        <v>83</v>
      </c>
      <c r="D18" s="430"/>
      <c r="E18" s="428" t="s">
        <v>440</v>
      </c>
      <c r="F18" s="429" t="s">
        <v>83</v>
      </c>
      <c r="G18" s="431"/>
      <c r="H18" s="428" t="s">
        <v>441</v>
      </c>
      <c r="I18" s="429" t="s">
        <v>83</v>
      </c>
      <c r="J18" s="430"/>
      <c r="K18" s="430"/>
      <c r="L18" s="430"/>
      <c r="M18" s="432"/>
      <c r="N18" s="387"/>
    </row>
    <row r="19" spans="1:14" ht="16.5" thickBot="1">
      <c r="A19" s="387"/>
      <c r="B19" s="387"/>
      <c r="C19" s="387"/>
      <c r="D19" s="387"/>
      <c r="E19" s="387"/>
      <c r="F19" s="387"/>
      <c r="G19" s="387"/>
      <c r="H19" s="387"/>
      <c r="I19" s="387"/>
      <c r="J19" s="387"/>
      <c r="K19" s="387"/>
      <c r="L19" s="387"/>
      <c r="M19" s="387"/>
      <c r="N19" s="387"/>
    </row>
    <row r="20" spans="1:14" ht="20.100000000000001" customHeight="1" thickBot="1">
      <c r="A20" s="416"/>
      <c r="B20" s="417"/>
      <c r="C20" s="417"/>
      <c r="D20" s="417"/>
      <c r="E20" s="417"/>
      <c r="F20" s="417"/>
      <c r="G20" s="417"/>
      <c r="H20" s="417"/>
      <c r="I20" s="417"/>
      <c r="J20" s="417"/>
      <c r="K20" s="417"/>
      <c r="L20" s="417"/>
      <c r="M20" s="418"/>
    </row>
    <row r="21" spans="1:14" ht="15.95" customHeight="1" thickTop="1">
      <c r="A21" s="433" t="s">
        <v>442</v>
      </c>
      <c r="B21" s="434"/>
      <c r="C21" s="408"/>
      <c r="D21" s="435"/>
      <c r="E21" s="436" t="s">
        <v>443</v>
      </c>
      <c r="F21" s="437"/>
      <c r="G21" s="437"/>
      <c r="H21" s="438"/>
      <c r="I21" s="439" t="s">
        <v>444</v>
      </c>
      <c r="J21" s="437"/>
      <c r="K21" s="437"/>
      <c r="L21" s="408"/>
      <c r="M21" s="440"/>
    </row>
    <row r="22" spans="1:14" ht="15.95" customHeight="1">
      <c r="A22" s="441"/>
      <c r="B22" s="410"/>
      <c r="C22" s="411" t="s">
        <v>445</v>
      </c>
      <c r="D22" s="442">
        <v>539</v>
      </c>
      <c r="E22" s="411"/>
      <c r="G22" s="424" t="s">
        <v>446</v>
      </c>
      <c r="H22" s="443">
        <v>1033</v>
      </c>
      <c r="I22" s="411"/>
      <c r="J22" s="410"/>
      <c r="K22" s="411" t="s">
        <v>447</v>
      </c>
      <c r="L22" s="410" t="s">
        <v>448</v>
      </c>
      <c r="M22" s="426"/>
    </row>
    <row r="23" spans="1:14" ht="15.95" customHeight="1">
      <c r="A23" s="441"/>
      <c r="B23" s="411"/>
      <c r="C23" s="414"/>
      <c r="D23" s="444"/>
      <c r="E23" s="411"/>
      <c r="G23" s="411" t="s">
        <v>449</v>
      </c>
      <c r="H23" s="442">
        <v>120</v>
      </c>
      <c r="I23" s="410"/>
      <c r="J23" s="410"/>
      <c r="K23" s="411" t="s">
        <v>450</v>
      </c>
      <c r="L23" s="410" t="s">
        <v>448</v>
      </c>
      <c r="M23" s="426"/>
    </row>
    <row r="24" spans="1:14" ht="15.95" customHeight="1">
      <c r="A24" s="419"/>
      <c r="B24" s="411"/>
      <c r="C24" s="410"/>
      <c r="D24" s="444"/>
      <c r="E24" s="411"/>
      <c r="G24" s="424" t="s">
        <v>451</v>
      </c>
      <c r="H24" s="442">
        <v>255</v>
      </c>
      <c r="I24" s="410"/>
      <c r="J24" s="411"/>
      <c r="K24" s="410"/>
      <c r="L24" s="410"/>
      <c r="M24" s="426"/>
    </row>
    <row r="25" spans="1:14" ht="15.95" customHeight="1" thickBot="1">
      <c r="A25" s="427"/>
      <c r="B25" s="428"/>
      <c r="C25" s="430"/>
      <c r="D25" s="445"/>
      <c r="E25" s="428"/>
      <c r="F25" s="428"/>
      <c r="G25" s="428"/>
      <c r="H25" s="446"/>
      <c r="I25" s="430"/>
      <c r="J25" s="428"/>
      <c r="K25" s="430"/>
      <c r="L25" s="430"/>
      <c r="M25" s="432"/>
    </row>
    <row r="26" spans="1:14" ht="18.95" customHeight="1" thickBot="1">
      <c r="A26" s="406"/>
      <c r="B26" s="406"/>
      <c r="C26" s="406"/>
      <c r="D26" s="387"/>
      <c r="E26" s="387"/>
      <c r="F26" s="387"/>
      <c r="G26" s="387"/>
      <c r="H26" s="387"/>
      <c r="I26" s="387"/>
      <c r="J26" s="387"/>
      <c r="K26" s="387"/>
      <c r="L26" s="387"/>
      <c r="M26" s="387"/>
      <c r="N26" s="387"/>
    </row>
    <row r="27" spans="1:14" ht="20.100000000000001" customHeight="1" thickBot="1">
      <c r="A27" s="447"/>
      <c r="B27" s="448"/>
      <c r="C27" s="448"/>
      <c r="D27" s="448"/>
      <c r="E27" s="448"/>
      <c r="F27" s="448"/>
      <c r="G27" s="449"/>
      <c r="H27" s="448"/>
      <c r="I27" s="448"/>
      <c r="J27" s="448"/>
      <c r="K27" s="448"/>
      <c r="L27" s="448"/>
      <c r="M27" s="450"/>
    </row>
    <row r="28" spans="1:14" ht="15.95" customHeight="1" thickTop="1">
      <c r="A28" s="451" t="s">
        <v>452</v>
      </c>
      <c r="B28" s="434"/>
      <c r="C28" s="408"/>
      <c r="D28" s="408"/>
      <c r="E28" s="437"/>
      <c r="F28" s="437"/>
      <c r="G28" s="452"/>
      <c r="H28" s="436" t="s">
        <v>453</v>
      </c>
      <c r="I28" s="437"/>
      <c r="J28" s="437"/>
      <c r="K28" s="436"/>
      <c r="L28" s="437"/>
      <c r="M28" s="440"/>
    </row>
    <row r="29" spans="1:14" ht="15.95" customHeight="1">
      <c r="A29" s="419"/>
      <c r="B29" s="411"/>
      <c r="C29" s="411" t="s">
        <v>454</v>
      </c>
      <c r="D29" s="453">
        <v>94.5</v>
      </c>
      <c r="E29" s="411"/>
      <c r="F29" s="411"/>
      <c r="G29" s="452"/>
      <c r="H29" s="424"/>
      <c r="I29" s="411"/>
      <c r="J29" s="411" t="s">
        <v>454</v>
      </c>
      <c r="K29" s="453">
        <v>87.1</v>
      </c>
      <c r="L29" s="410"/>
      <c r="M29" s="426"/>
    </row>
    <row r="30" spans="1:14" ht="15.95" customHeight="1">
      <c r="A30" s="454"/>
      <c r="B30" s="410"/>
      <c r="C30" s="411" t="s">
        <v>455</v>
      </c>
      <c r="D30" s="453">
        <v>94.3</v>
      </c>
      <c r="E30" s="411"/>
      <c r="F30" s="411"/>
      <c r="G30" s="452"/>
      <c r="H30" s="411"/>
      <c r="I30" s="410"/>
      <c r="J30" s="411" t="s">
        <v>455</v>
      </c>
      <c r="K30" s="453">
        <v>84.8</v>
      </c>
      <c r="L30" s="410"/>
      <c r="M30" s="426"/>
    </row>
    <row r="31" spans="1:14" ht="15.95" customHeight="1">
      <c r="A31" s="419"/>
      <c r="B31" s="411"/>
      <c r="C31" s="411" t="s">
        <v>456</v>
      </c>
      <c r="D31" s="453">
        <v>93.5</v>
      </c>
      <c r="E31" s="411"/>
      <c r="F31" s="411"/>
      <c r="G31" s="452"/>
      <c r="H31" s="411"/>
      <c r="I31" s="410"/>
      <c r="J31" s="411" t="s">
        <v>456</v>
      </c>
      <c r="K31" s="453">
        <v>78.7</v>
      </c>
      <c r="L31" s="411"/>
      <c r="M31" s="426"/>
    </row>
    <row r="32" spans="1:14" ht="15.95" customHeight="1" thickBot="1">
      <c r="A32" s="427"/>
      <c r="B32" s="428"/>
      <c r="C32" s="430"/>
      <c r="D32" s="430"/>
      <c r="E32" s="428"/>
      <c r="F32" s="428"/>
      <c r="G32" s="455"/>
      <c r="H32" s="428"/>
      <c r="I32" s="430"/>
      <c r="J32" s="428"/>
      <c r="K32" s="430"/>
      <c r="L32" s="428"/>
      <c r="M32" s="432"/>
    </row>
    <row r="33" spans="1:14" ht="20.100000000000001" customHeight="1" thickBot="1">
      <c r="A33" s="456"/>
      <c r="B33" s="456"/>
      <c r="C33" s="456"/>
      <c r="D33" s="456"/>
      <c r="E33" s="456"/>
      <c r="F33" s="456"/>
      <c r="G33" s="456"/>
      <c r="H33" s="456"/>
      <c r="I33" s="456"/>
      <c r="J33" s="456"/>
      <c r="K33" s="456"/>
      <c r="L33" s="456"/>
      <c r="M33" s="456"/>
      <c r="N33" s="456"/>
    </row>
    <row r="34" spans="1:14" ht="20.100000000000001" customHeight="1" thickBot="1">
      <c r="A34" s="457"/>
      <c r="B34" s="458"/>
      <c r="C34" s="458"/>
      <c r="D34" s="458"/>
      <c r="E34" s="458"/>
      <c r="F34" s="458"/>
      <c r="G34" s="458"/>
      <c r="H34" s="458"/>
      <c r="I34" s="458"/>
      <c r="J34" s="458"/>
      <c r="K34" s="458"/>
      <c r="L34" s="458"/>
      <c r="M34" s="459"/>
    </row>
    <row r="35" spans="1:14" ht="15.95" customHeight="1" thickTop="1">
      <c r="A35" s="460" t="s">
        <v>457</v>
      </c>
      <c r="B35" s="414"/>
      <c r="C35" s="414"/>
      <c r="D35" s="414"/>
      <c r="E35" s="414"/>
      <c r="F35" s="414"/>
      <c r="G35" s="414"/>
      <c r="H35" s="414"/>
      <c r="I35" s="414"/>
      <c r="J35" s="414"/>
      <c r="K35" s="414"/>
      <c r="L35" s="414"/>
      <c r="M35" s="461"/>
    </row>
    <row r="36" spans="1:14" ht="15.95" customHeight="1">
      <c r="A36" s="462" t="s">
        <v>458</v>
      </c>
      <c r="B36" s="414"/>
      <c r="C36" s="414"/>
      <c r="D36" s="414"/>
      <c r="E36" s="414"/>
      <c r="F36" s="414"/>
      <c r="G36" s="414"/>
      <c r="H36" s="414"/>
      <c r="I36" s="414"/>
      <c r="J36" s="414"/>
      <c r="K36" s="414"/>
      <c r="L36" s="414"/>
      <c r="M36" s="461"/>
    </row>
    <row r="37" spans="1:14" ht="15.95" customHeight="1">
      <c r="A37" s="463" t="s">
        <v>459</v>
      </c>
      <c r="B37" s="414"/>
      <c r="C37" s="414"/>
      <c r="D37" s="414"/>
      <c r="E37" s="464"/>
      <c r="F37" s="414"/>
      <c r="G37" s="414"/>
      <c r="H37" s="414"/>
      <c r="I37" s="414"/>
      <c r="J37" s="414"/>
      <c r="K37" s="414"/>
      <c r="L37" s="414"/>
      <c r="M37" s="461"/>
    </row>
    <row r="38" spans="1:14" ht="15.95" customHeight="1">
      <c r="A38" s="465" t="s">
        <v>460</v>
      </c>
      <c r="B38" s="414"/>
      <c r="C38" s="414"/>
      <c r="D38" s="414"/>
      <c r="E38" s="414"/>
      <c r="F38" s="414"/>
      <c r="G38" s="414"/>
      <c r="H38" s="414"/>
      <c r="I38" s="414"/>
      <c r="J38" s="414"/>
      <c r="K38" s="414"/>
      <c r="L38" s="414"/>
      <c r="M38" s="461"/>
    </row>
    <row r="39" spans="1:14" ht="15.95" customHeight="1">
      <c r="A39" s="466" t="s">
        <v>461</v>
      </c>
      <c r="B39" s="414"/>
      <c r="C39" s="414"/>
      <c r="D39" s="414"/>
      <c r="E39" s="414"/>
      <c r="F39" s="414"/>
      <c r="G39" s="414"/>
      <c r="H39" s="414"/>
      <c r="I39" s="414"/>
      <c r="J39" s="414"/>
      <c r="K39" s="414"/>
      <c r="L39" s="414"/>
      <c r="M39" s="461"/>
    </row>
    <row r="40" spans="1:14" ht="15.95" customHeight="1" thickBot="1">
      <c r="A40" s="467" t="s">
        <v>462</v>
      </c>
      <c r="B40" s="468"/>
      <c r="C40" s="468"/>
      <c r="D40" s="468"/>
      <c r="E40" s="468"/>
      <c r="F40" s="468"/>
      <c r="G40" s="468"/>
      <c r="H40" s="468"/>
      <c r="I40" s="468"/>
      <c r="J40" s="468"/>
      <c r="K40" s="468"/>
      <c r="L40" s="468"/>
      <c r="M40" s="469"/>
    </row>
    <row r="41" spans="1:14" ht="15.95" customHeight="1"/>
    <row r="42" spans="1:14" ht="18">
      <c r="A42" s="470"/>
      <c r="B42" s="470"/>
      <c r="C42" s="470"/>
      <c r="D42" s="470"/>
      <c r="E42" s="470"/>
      <c r="F42" s="470"/>
      <c r="G42" s="470"/>
      <c r="H42" s="387"/>
      <c r="I42" s="387"/>
      <c r="J42" s="471" t="s">
        <v>463</v>
      </c>
      <c r="K42" s="658" t="s">
        <v>464</v>
      </c>
      <c r="L42" s="658"/>
      <c r="M42" s="658"/>
      <c r="N42" s="470"/>
    </row>
    <row r="43" spans="1:14" ht="7.5" customHeight="1">
      <c r="H43" s="387"/>
      <c r="I43" s="387"/>
      <c r="J43" s="387"/>
      <c r="K43" s="387"/>
      <c r="L43" s="387"/>
      <c r="M43" s="387"/>
    </row>
    <row r="44" spans="1:14" ht="16.5">
      <c r="H44" s="387"/>
      <c r="I44" s="387"/>
      <c r="J44" s="471" t="s">
        <v>465</v>
      </c>
      <c r="K44" s="659">
        <v>44669</v>
      </c>
      <c r="L44" s="659"/>
      <c r="M44" s="659"/>
    </row>
    <row r="59" spans="1:5">
      <c r="A59" s="388" t="s">
        <v>83</v>
      </c>
      <c r="B59" s="388" t="s">
        <v>466</v>
      </c>
      <c r="D59" s="388">
        <v>1</v>
      </c>
      <c r="E59" s="472" t="s">
        <v>83</v>
      </c>
    </row>
    <row r="60" spans="1:5">
      <c r="A60" s="388" t="s">
        <v>467</v>
      </c>
      <c r="B60" s="388" t="s">
        <v>468</v>
      </c>
      <c r="D60" s="388">
        <v>1.1499999999999999</v>
      </c>
      <c r="E60" s="472" t="s">
        <v>359</v>
      </c>
    </row>
    <row r="61" spans="1:5">
      <c r="A61" s="388" t="s">
        <v>469</v>
      </c>
      <c r="B61" s="388" t="s">
        <v>470</v>
      </c>
      <c r="E61" s="472" t="s">
        <v>471</v>
      </c>
    </row>
    <row r="62" spans="1:5">
      <c r="B62" s="388" t="s">
        <v>472</v>
      </c>
    </row>
    <row r="63" spans="1:5">
      <c r="B63" s="388" t="s">
        <v>473</v>
      </c>
    </row>
    <row r="64" spans="1:5">
      <c r="B64" s="388" t="s">
        <v>474</v>
      </c>
    </row>
    <row r="65" spans="2:2">
      <c r="B65" s="388" t="s">
        <v>475</v>
      </c>
    </row>
    <row r="66" spans="2:2">
      <c r="B66" s="388" t="s">
        <v>476</v>
      </c>
    </row>
    <row r="67" spans="2:2">
      <c r="B67" s="388" t="s">
        <v>477</v>
      </c>
    </row>
    <row r="68" spans="2:2">
      <c r="B68" s="388" t="s">
        <v>478</v>
      </c>
    </row>
    <row r="69" spans="2:2">
      <c r="B69" s="388" t="s">
        <v>479</v>
      </c>
    </row>
    <row r="70" spans="2:2">
      <c r="B70" s="388" t="s">
        <v>480</v>
      </c>
    </row>
    <row r="71" spans="2:2">
      <c r="B71" s="388" t="s">
        <v>481</v>
      </c>
    </row>
    <row r="72" spans="2:2">
      <c r="B72" s="388" t="s">
        <v>482</v>
      </c>
    </row>
    <row r="73" spans="2:2">
      <c r="B73" s="388" t="s">
        <v>483</v>
      </c>
    </row>
    <row r="74" spans="2:2">
      <c r="B74" s="388" t="s">
        <v>484</v>
      </c>
    </row>
    <row r="75" spans="2:2">
      <c r="B75" s="388" t="s">
        <v>485</v>
      </c>
    </row>
    <row r="76" spans="2:2">
      <c r="B76" s="388" t="s">
        <v>486</v>
      </c>
    </row>
    <row r="77" spans="2:2">
      <c r="B77" s="388" t="s">
        <v>487</v>
      </c>
    </row>
    <row r="78" spans="2:2">
      <c r="B78" s="388" t="s">
        <v>488</v>
      </c>
    </row>
    <row r="79" spans="2:2">
      <c r="B79" s="388" t="s">
        <v>489</v>
      </c>
    </row>
    <row r="80" spans="2:2">
      <c r="B80" s="388">
        <v>6312</v>
      </c>
    </row>
    <row r="81" spans="2:2">
      <c r="B81" s="388" t="s">
        <v>490</v>
      </c>
    </row>
    <row r="82" spans="2:2">
      <c r="B82" s="388" t="s">
        <v>491</v>
      </c>
    </row>
    <row r="83" spans="2:2">
      <c r="B83" s="388" t="s">
        <v>492</v>
      </c>
    </row>
    <row r="84" spans="2:2">
      <c r="B84" s="388" t="s">
        <v>493</v>
      </c>
    </row>
    <row r="85" spans="2:2">
      <c r="B85" s="388">
        <v>6313</v>
      </c>
    </row>
    <row r="86" spans="2:2">
      <c r="B86" s="388" t="s">
        <v>494</v>
      </c>
    </row>
    <row r="87" spans="2:2">
      <c r="B87" s="388" t="s">
        <v>495</v>
      </c>
    </row>
    <row r="88" spans="2:2">
      <c r="B88" s="388" t="s">
        <v>496</v>
      </c>
    </row>
    <row r="89" spans="2:2">
      <c r="B89" s="388">
        <v>6314</v>
      </c>
    </row>
    <row r="90" spans="2:2">
      <c r="B90" s="388" t="s">
        <v>497</v>
      </c>
    </row>
    <row r="91" spans="2:2">
      <c r="B91" s="388">
        <v>6317</v>
      </c>
    </row>
    <row r="92" spans="2:2">
      <c r="B92" s="388" t="s">
        <v>498</v>
      </c>
    </row>
    <row r="93" spans="2:2">
      <c r="B93" s="388">
        <v>6318</v>
      </c>
    </row>
    <row r="94" spans="2:2">
      <c r="B94" s="388" t="s">
        <v>499</v>
      </c>
    </row>
    <row r="95" spans="2:2">
      <c r="B95" s="388" t="s">
        <v>500</v>
      </c>
    </row>
    <row r="96" spans="2:2">
      <c r="B96" s="388" t="s">
        <v>501</v>
      </c>
    </row>
    <row r="97" spans="2:2">
      <c r="B97" s="388">
        <v>6320</v>
      </c>
    </row>
    <row r="98" spans="2:2">
      <c r="B98" s="388" t="s">
        <v>502</v>
      </c>
    </row>
    <row r="99" spans="2:2">
      <c r="B99" s="388" t="s">
        <v>503</v>
      </c>
    </row>
    <row r="100" spans="2:2">
      <c r="B100" s="388" t="s">
        <v>504</v>
      </c>
    </row>
    <row r="101" spans="2:2">
      <c r="B101" s="388" t="s">
        <v>505</v>
      </c>
    </row>
    <row r="102" spans="2:2">
      <c r="B102" s="388" t="s">
        <v>505</v>
      </c>
    </row>
    <row r="118" spans="2:2">
      <c r="B118" s="388" t="s">
        <v>506</v>
      </c>
    </row>
    <row r="120" spans="2:2">
      <c r="B120" s="388" t="s">
        <v>507</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67"/>
  <sheetViews>
    <sheetView topLeftCell="A17" zoomScale="75" workbookViewId="0">
      <selection activeCell="A39" sqref="A39:F43"/>
    </sheetView>
  </sheetViews>
  <sheetFormatPr defaultRowHeight="12.75"/>
  <cols>
    <col min="1" max="5" width="12.5" style="1" customWidth="1"/>
    <col min="6" max="6" width="14.19921875" style="1" customWidth="1"/>
    <col min="7" max="256" width="8.69921875" style="1"/>
    <col min="257" max="261" width="12.5" style="1" customWidth="1"/>
    <col min="262" max="262" width="14.19921875" style="1" customWidth="1"/>
    <col min="263" max="512" width="8.69921875" style="1"/>
    <col min="513" max="517" width="12.5" style="1" customWidth="1"/>
    <col min="518" max="518" width="14.19921875" style="1" customWidth="1"/>
    <col min="519" max="768" width="8.69921875" style="1"/>
    <col min="769" max="773" width="12.5" style="1" customWidth="1"/>
    <col min="774" max="774" width="14.19921875" style="1" customWidth="1"/>
    <col min="775" max="1024" width="8.69921875" style="1"/>
    <col min="1025" max="1029" width="12.5" style="1" customWidth="1"/>
    <col min="1030" max="1030" width="14.19921875" style="1" customWidth="1"/>
    <col min="1031" max="1280" width="8.69921875" style="1"/>
    <col min="1281" max="1285" width="12.5" style="1" customWidth="1"/>
    <col min="1286" max="1286" width="14.19921875" style="1" customWidth="1"/>
    <col min="1287" max="1536" width="8.69921875" style="1"/>
    <col min="1537" max="1541" width="12.5" style="1" customWidth="1"/>
    <col min="1542" max="1542" width="14.19921875" style="1" customWidth="1"/>
    <col min="1543" max="1792" width="8.69921875" style="1"/>
    <col min="1793" max="1797" width="12.5" style="1" customWidth="1"/>
    <col min="1798" max="1798" width="14.19921875" style="1" customWidth="1"/>
    <col min="1799" max="2048" width="8.69921875" style="1"/>
    <col min="2049" max="2053" width="12.5" style="1" customWidth="1"/>
    <col min="2054" max="2054" width="14.19921875" style="1" customWidth="1"/>
    <col min="2055" max="2304" width="8.69921875" style="1"/>
    <col min="2305" max="2309" width="12.5" style="1" customWidth="1"/>
    <col min="2310" max="2310" width="14.19921875" style="1" customWidth="1"/>
    <col min="2311" max="2560" width="8.69921875" style="1"/>
    <col min="2561" max="2565" width="12.5" style="1" customWidth="1"/>
    <col min="2566" max="2566" width="14.19921875" style="1" customWidth="1"/>
    <col min="2567" max="2816" width="8.69921875" style="1"/>
    <col min="2817" max="2821" width="12.5" style="1" customWidth="1"/>
    <col min="2822" max="2822" width="14.19921875" style="1" customWidth="1"/>
    <col min="2823" max="3072" width="8.69921875" style="1"/>
    <col min="3073" max="3077" width="12.5" style="1" customWidth="1"/>
    <col min="3078" max="3078" width="14.19921875" style="1" customWidth="1"/>
    <col min="3079" max="3328" width="8.69921875" style="1"/>
    <col min="3329" max="3333" width="12.5" style="1" customWidth="1"/>
    <col min="3334" max="3334" width="14.19921875" style="1" customWidth="1"/>
    <col min="3335" max="3584" width="8.69921875" style="1"/>
    <col min="3585" max="3589" width="12.5" style="1" customWidth="1"/>
    <col min="3590" max="3590" width="14.19921875" style="1" customWidth="1"/>
    <col min="3591" max="3840" width="8.69921875" style="1"/>
    <col min="3841" max="3845" width="12.5" style="1" customWidth="1"/>
    <col min="3846" max="3846" width="14.19921875" style="1" customWidth="1"/>
    <col min="3847" max="4096" width="8.69921875" style="1"/>
    <col min="4097" max="4101" width="12.5" style="1" customWidth="1"/>
    <col min="4102" max="4102" width="14.19921875" style="1" customWidth="1"/>
    <col min="4103" max="4352" width="8.69921875" style="1"/>
    <col min="4353" max="4357" width="12.5" style="1" customWidth="1"/>
    <col min="4358" max="4358" width="14.19921875" style="1" customWidth="1"/>
    <col min="4359" max="4608" width="8.69921875" style="1"/>
    <col min="4609" max="4613" width="12.5" style="1" customWidth="1"/>
    <col min="4614" max="4614" width="14.19921875" style="1" customWidth="1"/>
    <col min="4615" max="4864" width="8.69921875" style="1"/>
    <col min="4865" max="4869" width="12.5" style="1" customWidth="1"/>
    <col min="4870" max="4870" width="14.19921875" style="1" customWidth="1"/>
    <col min="4871" max="5120" width="8.69921875" style="1"/>
    <col min="5121" max="5125" width="12.5" style="1" customWidth="1"/>
    <col min="5126" max="5126" width="14.19921875" style="1" customWidth="1"/>
    <col min="5127" max="5376" width="8.69921875" style="1"/>
    <col min="5377" max="5381" width="12.5" style="1" customWidth="1"/>
    <col min="5382" max="5382" width="14.19921875" style="1" customWidth="1"/>
    <col min="5383" max="5632" width="8.69921875" style="1"/>
    <col min="5633" max="5637" width="12.5" style="1" customWidth="1"/>
    <col min="5638" max="5638" width="14.19921875" style="1" customWidth="1"/>
    <col min="5639" max="5888" width="8.69921875" style="1"/>
    <col min="5889" max="5893" width="12.5" style="1" customWidth="1"/>
    <col min="5894" max="5894" width="14.19921875" style="1" customWidth="1"/>
    <col min="5895" max="6144" width="8.69921875" style="1"/>
    <col min="6145" max="6149" width="12.5" style="1" customWidth="1"/>
    <col min="6150" max="6150" width="14.19921875" style="1" customWidth="1"/>
    <col min="6151" max="6400" width="8.69921875" style="1"/>
    <col min="6401" max="6405" width="12.5" style="1" customWidth="1"/>
    <col min="6406" max="6406" width="14.19921875" style="1" customWidth="1"/>
    <col min="6407" max="6656" width="8.69921875" style="1"/>
    <col min="6657" max="6661" width="12.5" style="1" customWidth="1"/>
    <col min="6662" max="6662" width="14.19921875" style="1" customWidth="1"/>
    <col min="6663" max="6912" width="8.69921875" style="1"/>
    <col min="6913" max="6917" width="12.5" style="1" customWidth="1"/>
    <col min="6918" max="6918" width="14.19921875" style="1" customWidth="1"/>
    <col min="6919" max="7168" width="8.69921875" style="1"/>
    <col min="7169" max="7173" width="12.5" style="1" customWidth="1"/>
    <col min="7174" max="7174" width="14.19921875" style="1" customWidth="1"/>
    <col min="7175" max="7424" width="8.69921875" style="1"/>
    <col min="7425" max="7429" width="12.5" style="1" customWidth="1"/>
    <col min="7430" max="7430" width="14.19921875" style="1" customWidth="1"/>
    <col min="7431" max="7680" width="8.69921875" style="1"/>
    <col min="7681" max="7685" width="12.5" style="1" customWidth="1"/>
    <col min="7686" max="7686" width="14.19921875" style="1" customWidth="1"/>
    <col min="7687" max="7936" width="8.69921875" style="1"/>
    <col min="7937" max="7941" width="12.5" style="1" customWidth="1"/>
    <col min="7942" max="7942" width="14.19921875" style="1" customWidth="1"/>
    <col min="7943" max="8192" width="8.69921875" style="1"/>
    <col min="8193" max="8197" width="12.5" style="1" customWidth="1"/>
    <col min="8198" max="8198" width="14.19921875" style="1" customWidth="1"/>
    <col min="8199" max="8448" width="8.69921875" style="1"/>
    <col min="8449" max="8453" width="12.5" style="1" customWidth="1"/>
    <col min="8454" max="8454" width="14.19921875" style="1" customWidth="1"/>
    <col min="8455" max="8704" width="8.69921875" style="1"/>
    <col min="8705" max="8709" width="12.5" style="1" customWidth="1"/>
    <col min="8710" max="8710" width="14.19921875" style="1" customWidth="1"/>
    <col min="8711" max="8960" width="8.69921875" style="1"/>
    <col min="8961" max="8965" width="12.5" style="1" customWidth="1"/>
    <col min="8966" max="8966" width="14.19921875" style="1" customWidth="1"/>
    <col min="8967" max="9216" width="8.69921875" style="1"/>
    <col min="9217" max="9221" width="12.5" style="1" customWidth="1"/>
    <col min="9222" max="9222" width="14.19921875" style="1" customWidth="1"/>
    <col min="9223" max="9472" width="8.69921875" style="1"/>
    <col min="9473" max="9477" width="12.5" style="1" customWidth="1"/>
    <col min="9478" max="9478" width="14.19921875" style="1" customWidth="1"/>
    <col min="9479" max="9728" width="8.69921875" style="1"/>
    <col min="9729" max="9733" width="12.5" style="1" customWidth="1"/>
    <col min="9734" max="9734" width="14.19921875" style="1" customWidth="1"/>
    <col min="9735" max="9984" width="8.69921875" style="1"/>
    <col min="9985" max="9989" width="12.5" style="1" customWidth="1"/>
    <col min="9990" max="9990" width="14.19921875" style="1" customWidth="1"/>
    <col min="9991" max="10240" width="8.69921875" style="1"/>
    <col min="10241" max="10245" width="12.5" style="1" customWidth="1"/>
    <col min="10246" max="10246" width="14.19921875" style="1" customWidth="1"/>
    <col min="10247" max="10496" width="8.69921875" style="1"/>
    <col min="10497" max="10501" width="12.5" style="1" customWidth="1"/>
    <col min="10502" max="10502" width="14.19921875" style="1" customWidth="1"/>
    <col min="10503" max="10752" width="8.69921875" style="1"/>
    <col min="10753" max="10757" width="12.5" style="1" customWidth="1"/>
    <col min="10758" max="10758" width="14.19921875" style="1" customWidth="1"/>
    <col min="10759" max="11008" width="8.69921875" style="1"/>
    <col min="11009" max="11013" width="12.5" style="1" customWidth="1"/>
    <col min="11014" max="11014" width="14.19921875" style="1" customWidth="1"/>
    <col min="11015" max="11264" width="8.69921875" style="1"/>
    <col min="11265" max="11269" width="12.5" style="1" customWidth="1"/>
    <col min="11270" max="11270" width="14.19921875" style="1" customWidth="1"/>
    <col min="11271" max="11520" width="8.69921875" style="1"/>
    <col min="11521" max="11525" width="12.5" style="1" customWidth="1"/>
    <col min="11526" max="11526" width="14.19921875" style="1" customWidth="1"/>
    <col min="11527" max="11776" width="8.69921875" style="1"/>
    <col min="11777" max="11781" width="12.5" style="1" customWidth="1"/>
    <col min="11782" max="11782" width="14.19921875" style="1" customWidth="1"/>
    <col min="11783" max="12032" width="8.69921875" style="1"/>
    <col min="12033" max="12037" width="12.5" style="1" customWidth="1"/>
    <col min="12038" max="12038" width="14.19921875" style="1" customWidth="1"/>
    <col min="12039" max="12288" width="8.69921875" style="1"/>
    <col min="12289" max="12293" width="12.5" style="1" customWidth="1"/>
    <col min="12294" max="12294" width="14.19921875" style="1" customWidth="1"/>
    <col min="12295" max="12544" width="8.69921875" style="1"/>
    <col min="12545" max="12549" width="12.5" style="1" customWidth="1"/>
    <col min="12550" max="12550" width="14.19921875" style="1" customWidth="1"/>
    <col min="12551" max="12800" width="8.69921875" style="1"/>
    <col min="12801" max="12805" width="12.5" style="1" customWidth="1"/>
    <col min="12806" max="12806" width="14.19921875" style="1" customWidth="1"/>
    <col min="12807" max="13056" width="8.69921875" style="1"/>
    <col min="13057" max="13061" width="12.5" style="1" customWidth="1"/>
    <col min="13062" max="13062" width="14.19921875" style="1" customWidth="1"/>
    <col min="13063" max="13312" width="8.69921875" style="1"/>
    <col min="13313" max="13317" width="12.5" style="1" customWidth="1"/>
    <col min="13318" max="13318" width="14.19921875" style="1" customWidth="1"/>
    <col min="13319" max="13568" width="8.69921875" style="1"/>
    <col min="13569" max="13573" width="12.5" style="1" customWidth="1"/>
    <col min="13574" max="13574" width="14.19921875" style="1" customWidth="1"/>
    <col min="13575" max="13824" width="8.69921875" style="1"/>
    <col min="13825" max="13829" width="12.5" style="1" customWidth="1"/>
    <col min="13830" max="13830" width="14.19921875" style="1" customWidth="1"/>
    <col min="13831" max="14080" width="8.69921875" style="1"/>
    <col min="14081" max="14085" width="12.5" style="1" customWidth="1"/>
    <col min="14086" max="14086" width="14.19921875" style="1" customWidth="1"/>
    <col min="14087" max="14336" width="8.69921875" style="1"/>
    <col min="14337" max="14341" width="12.5" style="1" customWidth="1"/>
    <col min="14342" max="14342" width="14.19921875" style="1" customWidth="1"/>
    <col min="14343" max="14592" width="8.69921875" style="1"/>
    <col min="14593" max="14597" width="12.5" style="1" customWidth="1"/>
    <col min="14598" max="14598" width="14.19921875" style="1" customWidth="1"/>
    <col min="14599" max="14848" width="8.69921875" style="1"/>
    <col min="14849" max="14853" width="12.5" style="1" customWidth="1"/>
    <col min="14854" max="14854" width="14.19921875" style="1" customWidth="1"/>
    <col min="14855" max="15104" width="8.69921875" style="1"/>
    <col min="15105" max="15109" width="12.5" style="1" customWidth="1"/>
    <col min="15110" max="15110" width="14.19921875" style="1" customWidth="1"/>
    <col min="15111" max="15360" width="8.69921875" style="1"/>
    <col min="15361" max="15365" width="12.5" style="1" customWidth="1"/>
    <col min="15366" max="15366" width="14.19921875" style="1" customWidth="1"/>
    <col min="15367" max="15616" width="8.69921875" style="1"/>
    <col min="15617" max="15621" width="12.5" style="1" customWidth="1"/>
    <col min="15622" max="15622" width="14.19921875" style="1" customWidth="1"/>
    <col min="15623" max="15872" width="8.69921875" style="1"/>
    <col min="15873" max="15877" width="12.5" style="1" customWidth="1"/>
    <col min="15878" max="15878" width="14.19921875" style="1" customWidth="1"/>
    <col min="15879" max="16128" width="8.69921875" style="1"/>
    <col min="16129" max="16133" width="12.5" style="1" customWidth="1"/>
    <col min="16134" max="16134" width="14.19921875" style="1" customWidth="1"/>
    <col min="16135" max="16384" width="8.69921875" style="1"/>
  </cols>
  <sheetData>
    <row r="1" spans="1:6" ht="18.95" customHeight="1">
      <c r="A1" s="41"/>
      <c r="B1" s="40"/>
      <c r="C1" s="40"/>
      <c r="D1" s="40"/>
      <c r="E1" s="40"/>
      <c r="F1" s="39"/>
    </row>
    <row r="2" spans="1:6" ht="26.1" customHeight="1">
      <c r="A2" s="38" t="s">
        <v>37</v>
      </c>
      <c r="B2" s="36"/>
      <c r="C2" s="36"/>
      <c r="D2" s="36"/>
      <c r="E2" s="36"/>
      <c r="F2" s="35"/>
    </row>
    <row r="3" spans="1:6" ht="18.95" customHeight="1">
      <c r="A3" s="37" t="s">
        <v>508</v>
      </c>
      <c r="B3" s="36"/>
      <c r="C3" s="36"/>
      <c r="D3" s="36"/>
      <c r="E3" s="36"/>
      <c r="F3" s="35"/>
    </row>
    <row r="4" spans="1:6" ht="18.95" customHeight="1">
      <c r="A4" s="25"/>
      <c r="B4" s="24"/>
      <c r="C4" s="24"/>
      <c r="D4" s="24"/>
      <c r="E4" s="24"/>
      <c r="F4" s="23"/>
    </row>
    <row r="5" spans="1:6" ht="18.95" customHeight="1">
      <c r="A5" s="25"/>
      <c r="B5" s="24"/>
      <c r="C5" s="24"/>
      <c r="D5" s="24"/>
      <c r="E5" s="24"/>
      <c r="F5" s="23"/>
    </row>
    <row r="6" spans="1:6" ht="18.95" customHeight="1">
      <c r="A6" s="33" t="s">
        <v>34</v>
      </c>
      <c r="B6" s="660" t="str">
        <f>'Performance Data Sheet'!C17</f>
        <v>7003WTAK11F-A</v>
      </c>
      <c r="C6" s="661"/>
      <c r="D6" s="662"/>
      <c r="E6" s="33" t="s">
        <v>33</v>
      </c>
      <c r="F6" s="32" t="str">
        <f>'Performance Data Sheet'!I14 &amp; " A"</f>
        <v>92 A</v>
      </c>
    </row>
    <row r="7" spans="1:6" ht="18.95" customHeight="1">
      <c r="A7" s="33" t="s">
        <v>32</v>
      </c>
      <c r="B7" s="32" t="str">
        <f>'Performance Data Sheet'!F14</f>
        <v>WP-II</v>
      </c>
      <c r="C7" s="33" t="s">
        <v>31</v>
      </c>
      <c r="D7" s="32" t="str">
        <f>'Performance Data Sheet'!F13 &amp; " V"</f>
        <v>4000 V</v>
      </c>
      <c r="E7" s="33" t="s">
        <v>30</v>
      </c>
      <c r="F7" s="32" t="str">
        <f>'Performance Data Sheet'!C14</f>
        <v>5012USS</v>
      </c>
    </row>
    <row r="8" spans="1:6" ht="18.95" customHeight="1">
      <c r="A8" s="33" t="s">
        <v>29</v>
      </c>
      <c r="B8" s="32">
        <v>2</v>
      </c>
      <c r="C8" s="33" t="s">
        <v>28</v>
      </c>
      <c r="D8" s="32" t="s">
        <v>27</v>
      </c>
      <c r="E8" s="33" t="s">
        <v>26</v>
      </c>
      <c r="F8" s="32" t="s">
        <v>302</v>
      </c>
    </row>
    <row r="9" spans="1:6" ht="18.95" customHeight="1">
      <c r="A9" s="33" t="s">
        <v>25</v>
      </c>
      <c r="B9" s="32">
        <v>700</v>
      </c>
      <c r="C9" s="33" t="s">
        <v>24</v>
      </c>
      <c r="D9" s="32" t="s">
        <v>23</v>
      </c>
      <c r="E9" s="33" t="s">
        <v>22</v>
      </c>
      <c r="F9" s="34">
        <f>'Performance Data Sheet'!K44</f>
        <v>44669</v>
      </c>
    </row>
    <row r="10" spans="1:6" ht="18.95" customHeight="1">
      <c r="A10" s="33" t="s">
        <v>21</v>
      </c>
      <c r="B10" s="32">
        <v>3560</v>
      </c>
      <c r="C10" s="33" t="s">
        <v>20</v>
      </c>
      <c r="D10" s="32" t="s">
        <v>12</v>
      </c>
      <c r="E10" s="33" t="s">
        <v>19</v>
      </c>
      <c r="F10" s="32" t="s">
        <v>249</v>
      </c>
    </row>
    <row r="11" spans="1:6" ht="18.95" customHeight="1">
      <c r="A11" s="25"/>
      <c r="B11" s="24"/>
      <c r="C11" s="24"/>
      <c r="D11" s="24"/>
      <c r="E11" s="24"/>
      <c r="F11" s="23"/>
    </row>
    <row r="12" spans="1:6" ht="18.95" customHeight="1">
      <c r="A12" s="25"/>
      <c r="B12" s="27" t="s">
        <v>18</v>
      </c>
      <c r="C12" s="30" t="str">
        <f>'Performance Data Sheet'!D22 &amp; " A"</f>
        <v>539 A</v>
      </c>
      <c r="D12" s="27" t="s">
        <v>17</v>
      </c>
      <c r="E12" s="30" t="s">
        <v>12</v>
      </c>
      <c r="F12" s="23"/>
    </row>
    <row r="13" spans="1:6" ht="18.95" customHeight="1">
      <c r="A13" s="25"/>
      <c r="B13" s="27" t="s">
        <v>16</v>
      </c>
      <c r="C13" s="31">
        <v>1.2</v>
      </c>
      <c r="D13" s="27" t="s">
        <v>15</v>
      </c>
      <c r="E13" s="30" t="s">
        <v>12</v>
      </c>
      <c r="F13" s="23"/>
    </row>
    <row r="14" spans="1:6" ht="18.95" customHeight="1">
      <c r="A14" s="25"/>
      <c r="B14" s="27" t="s">
        <v>14</v>
      </c>
      <c r="C14" s="31">
        <v>2.5499999999999998</v>
      </c>
      <c r="D14" s="27" t="s">
        <v>13</v>
      </c>
      <c r="E14" s="30" t="s">
        <v>12</v>
      </c>
      <c r="F14" s="23"/>
    </row>
    <row r="15" spans="1:6" ht="18.95" customHeight="1">
      <c r="A15" s="25"/>
      <c r="B15" s="27" t="s">
        <v>11</v>
      </c>
      <c r="C15" s="30" t="s">
        <v>509</v>
      </c>
      <c r="D15" s="24"/>
      <c r="E15" s="24"/>
      <c r="F15" s="23"/>
    </row>
    <row r="16" spans="1:6" ht="18.95" customHeight="1">
      <c r="A16" s="25"/>
      <c r="B16" s="24"/>
      <c r="C16" s="24"/>
      <c r="D16" s="24"/>
      <c r="E16" s="24"/>
      <c r="F16" s="23"/>
    </row>
    <row r="17" spans="1:6" ht="18.95" customHeight="1">
      <c r="A17" s="25"/>
      <c r="B17" s="24"/>
      <c r="C17" s="24"/>
      <c r="D17" s="24"/>
      <c r="E17" s="24"/>
      <c r="F17" s="23"/>
    </row>
    <row r="18" spans="1:6" ht="18.95" customHeight="1">
      <c r="A18" s="25"/>
      <c r="B18" s="24"/>
      <c r="C18" s="24"/>
      <c r="D18" s="24"/>
      <c r="E18" s="24"/>
      <c r="F18" s="23"/>
    </row>
    <row r="19" spans="1:6" ht="18.95" customHeight="1">
      <c r="A19" s="25"/>
      <c r="B19" s="24"/>
      <c r="C19" s="24"/>
      <c r="D19" s="24"/>
      <c r="E19" s="24"/>
      <c r="F19" s="23"/>
    </row>
    <row r="20" spans="1:6" ht="18.95" customHeight="1">
      <c r="A20" s="25"/>
      <c r="B20" s="24"/>
      <c r="C20" s="24"/>
      <c r="D20" s="24"/>
      <c r="E20" s="24"/>
      <c r="F20" s="23"/>
    </row>
    <row r="21" spans="1:6" ht="18.95" customHeight="1">
      <c r="A21" s="25"/>
      <c r="B21" s="24"/>
      <c r="C21" s="24"/>
      <c r="D21" s="24"/>
      <c r="E21" s="24"/>
      <c r="F21" s="23"/>
    </row>
    <row r="22" spans="1:6" ht="18.95" customHeight="1">
      <c r="A22" s="25"/>
      <c r="B22" s="24"/>
      <c r="C22" s="24"/>
      <c r="D22" s="24"/>
      <c r="E22" s="24"/>
      <c r="F22" s="23"/>
    </row>
    <row r="23" spans="1:6" ht="18.95" customHeight="1">
      <c r="A23" s="25"/>
      <c r="B23" s="24"/>
      <c r="C23" s="24"/>
      <c r="D23" s="24"/>
      <c r="E23" s="24"/>
      <c r="F23" s="23"/>
    </row>
    <row r="24" spans="1:6" ht="18.95" customHeight="1">
      <c r="A24" s="25"/>
      <c r="B24" s="24"/>
      <c r="C24" s="24"/>
      <c r="D24" s="24"/>
      <c r="E24" s="24"/>
      <c r="F24" s="23"/>
    </row>
    <row r="25" spans="1:6" ht="18.95" customHeight="1">
      <c r="A25" s="25"/>
      <c r="B25" s="24"/>
      <c r="C25" s="24"/>
      <c r="D25" s="24"/>
      <c r="E25" s="24"/>
      <c r="F25" s="23"/>
    </row>
    <row r="26" spans="1:6" ht="18.95" customHeight="1">
      <c r="A26" s="25"/>
      <c r="B26" s="24"/>
      <c r="C26" s="24"/>
      <c r="D26" s="24"/>
      <c r="E26" s="24"/>
      <c r="F26" s="23"/>
    </row>
    <row r="27" spans="1:6" ht="18.95" customHeight="1">
      <c r="A27" s="25"/>
      <c r="B27" s="24"/>
      <c r="C27" s="24"/>
      <c r="D27" s="24"/>
      <c r="E27" s="24"/>
      <c r="F27" s="23"/>
    </row>
    <row r="28" spans="1:6" ht="18.95" customHeight="1">
      <c r="A28" s="25"/>
      <c r="B28" s="24"/>
      <c r="C28" s="24"/>
      <c r="D28" s="24"/>
      <c r="E28" s="24"/>
      <c r="F28" s="23"/>
    </row>
    <row r="29" spans="1:6" ht="18.95" customHeight="1">
      <c r="A29" s="25"/>
      <c r="B29" s="24"/>
      <c r="C29" s="24"/>
      <c r="D29" s="24"/>
      <c r="E29" s="24"/>
      <c r="F29" s="23"/>
    </row>
    <row r="30" spans="1:6" ht="18.95" customHeight="1">
      <c r="A30" s="25"/>
      <c r="B30" s="24"/>
      <c r="C30" s="24"/>
      <c r="D30" s="24"/>
      <c r="E30" s="24"/>
      <c r="F30" s="23"/>
    </row>
    <row r="31" spans="1:6" ht="18.95" customHeight="1">
      <c r="A31" s="25"/>
      <c r="B31" s="24"/>
      <c r="C31" s="24"/>
      <c r="D31" s="24"/>
      <c r="E31" s="24"/>
      <c r="F31" s="23"/>
    </row>
    <row r="32" spans="1:6" ht="18.95" customHeight="1">
      <c r="A32" s="25"/>
      <c r="B32" s="24"/>
      <c r="C32" s="24"/>
      <c r="D32" s="24"/>
      <c r="E32" s="24"/>
      <c r="F32" s="23"/>
    </row>
    <row r="33" spans="1:6" ht="18.95" customHeight="1">
      <c r="A33" s="25"/>
      <c r="B33" s="24"/>
      <c r="C33" s="24"/>
      <c r="D33" s="24"/>
      <c r="E33" s="24"/>
      <c r="F33" s="23"/>
    </row>
    <row r="34" spans="1:6" ht="18.95" customHeight="1">
      <c r="A34" s="25"/>
      <c r="B34" s="24"/>
      <c r="C34" s="24"/>
      <c r="D34" s="24"/>
      <c r="E34" s="24"/>
      <c r="F34" s="23"/>
    </row>
    <row r="35" spans="1:6" ht="18.95" customHeight="1">
      <c r="A35" s="25"/>
      <c r="B35" s="24"/>
      <c r="C35" s="24"/>
      <c r="D35" s="24"/>
      <c r="E35" s="24"/>
      <c r="F35" s="23"/>
    </row>
    <row r="36" spans="1:6" ht="18.95" customHeight="1">
      <c r="A36" s="25"/>
      <c r="B36" s="24"/>
      <c r="C36" s="24"/>
      <c r="D36" s="24"/>
      <c r="E36" s="24"/>
      <c r="F36" s="23"/>
    </row>
    <row r="37" spans="1:6" ht="18.95" customHeight="1">
      <c r="A37" s="25"/>
      <c r="B37" s="24"/>
      <c r="C37" s="24"/>
      <c r="D37" s="24"/>
      <c r="E37" s="24"/>
      <c r="F37" s="23"/>
    </row>
    <row r="38" spans="1:6" ht="18.95" customHeight="1">
      <c r="A38" s="25"/>
      <c r="B38" s="24"/>
      <c r="C38" s="24"/>
      <c r="D38" s="24"/>
      <c r="E38" s="24"/>
      <c r="F38" s="23"/>
    </row>
    <row r="39" spans="1:6" ht="18.95" customHeight="1">
      <c r="A39" s="28" t="s">
        <v>10</v>
      </c>
      <c r="B39" s="21" t="s">
        <v>9</v>
      </c>
      <c r="C39" s="21">
        <f>'Performance Data Sheet'!J38</f>
        <v>0</v>
      </c>
      <c r="D39" s="24"/>
      <c r="E39" s="27" t="s">
        <v>8</v>
      </c>
      <c r="F39" s="26" t="str">
        <f>F10</f>
        <v>1T2700K_REV1</v>
      </c>
    </row>
    <row r="40" spans="1:6" ht="18.95" customHeight="1">
      <c r="A40" s="25"/>
      <c r="B40" s="21"/>
      <c r="C40" s="21"/>
      <c r="D40" s="24"/>
      <c r="E40" s="24"/>
      <c r="F40" s="23"/>
    </row>
    <row r="41" spans="1:6" ht="18.95" customHeight="1">
      <c r="A41" s="25"/>
      <c r="B41" s="21"/>
      <c r="C41" s="21"/>
      <c r="D41" s="24"/>
      <c r="E41" s="24"/>
      <c r="F41" s="23"/>
    </row>
    <row r="42" spans="1:6" ht="18.95" customHeight="1">
      <c r="A42" s="25"/>
      <c r="B42" s="24"/>
      <c r="C42" s="24"/>
      <c r="D42" s="24"/>
      <c r="E42" s="24"/>
      <c r="F42" s="23"/>
    </row>
    <row r="43" spans="1:6" ht="18.95" customHeight="1">
      <c r="A43" s="22"/>
      <c r="B43" s="21"/>
      <c r="C43" s="20" t="s">
        <v>7</v>
      </c>
      <c r="D43" s="19" t="str">
        <f>'Performance Data Sheet'!K42</f>
        <v>Jerry R</v>
      </c>
      <c r="E43" s="20" t="s">
        <v>6</v>
      </c>
      <c r="F43" s="19"/>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2" t="s">
        <v>5</v>
      </c>
      <c r="E53" s="2" t="s">
        <v>246</v>
      </c>
      <c r="F53" s="2" t="s">
        <v>247</v>
      </c>
      <c r="G53" s="2"/>
      <c r="H53" s="2"/>
      <c r="I53" s="2"/>
      <c r="J53" s="2"/>
      <c r="K53" s="2"/>
      <c r="L53" s="2"/>
    </row>
    <row r="54" spans="1:12" ht="15" customHeight="1">
      <c r="A54" s="4">
        <v>100</v>
      </c>
      <c r="B54" s="2">
        <v>0</v>
      </c>
      <c r="C54" s="2">
        <v>0.25882440805435181</v>
      </c>
      <c r="D54" s="2">
        <v>100</v>
      </c>
      <c r="E54" s="2">
        <v>0</v>
      </c>
      <c r="F54" s="2">
        <v>19.049476623535156</v>
      </c>
      <c r="G54" s="2"/>
      <c r="H54" s="2"/>
      <c r="I54" s="2"/>
      <c r="J54" s="2"/>
      <c r="K54" s="2"/>
      <c r="L54" s="2"/>
    </row>
    <row r="55" spans="1:12" ht="15" customHeight="1">
      <c r="A55" s="4">
        <v>99.780000001192093</v>
      </c>
      <c r="B55" s="2">
        <v>80.860024837683923</v>
      </c>
      <c r="C55" s="2">
        <v>86.287925720214844</v>
      </c>
      <c r="D55" s="2">
        <v>99.55999755859375</v>
      </c>
      <c r="E55" s="2">
        <v>51.750416581345064</v>
      </c>
      <c r="F55" s="2">
        <v>69.030342102050781</v>
      </c>
      <c r="G55" s="2"/>
      <c r="H55" s="2"/>
      <c r="I55" s="2"/>
      <c r="J55" s="2"/>
      <c r="K55" s="2"/>
      <c r="L55" s="2"/>
    </row>
    <row r="56" spans="1:12" ht="15" customHeight="1">
      <c r="A56" s="4">
        <v>98.900000005960464</v>
      </c>
      <c r="B56" s="2">
        <v>255</v>
      </c>
      <c r="C56" s="2">
        <v>326.34963989257813</v>
      </c>
      <c r="D56" s="2">
        <v>97.724998474121094</v>
      </c>
      <c r="E56" s="2">
        <v>163.20000486373905</v>
      </c>
      <c r="F56" s="2">
        <v>261.0797119140625</v>
      </c>
      <c r="G56" s="2"/>
      <c r="H56" s="2"/>
      <c r="I56" s="2"/>
      <c r="J56" s="2"/>
      <c r="K56" s="2"/>
      <c r="L56" s="2"/>
    </row>
    <row r="57" spans="1:12">
      <c r="A57" s="4">
        <v>93.466666340827942</v>
      </c>
      <c r="B57" s="2">
        <v>164.03672425138836</v>
      </c>
      <c r="C57" s="2">
        <v>451.32635498046875</v>
      </c>
      <c r="D57" s="2">
        <v>83.013336181640625</v>
      </c>
      <c r="E57" s="2">
        <v>104.98350898812731</v>
      </c>
      <c r="F57" s="2">
        <v>361.06109619140625</v>
      </c>
      <c r="G57" s="2"/>
      <c r="H57" s="2"/>
      <c r="I57" s="2"/>
      <c r="J57" s="2"/>
      <c r="K57" s="2"/>
      <c r="L57" s="2"/>
    </row>
    <row r="58" spans="1:12">
      <c r="A58" s="4">
        <v>88.033332675695419</v>
      </c>
      <c r="B58" s="2">
        <v>120.32320348897613</v>
      </c>
      <c r="C58" s="2">
        <v>498.27145385742188</v>
      </c>
      <c r="D58" s="2">
        <v>68.886665344238281</v>
      </c>
      <c r="E58" s="2">
        <v>77.006852880920505</v>
      </c>
      <c r="F58" s="2">
        <v>398.61715698242188</v>
      </c>
      <c r="G58" s="2"/>
      <c r="H58" s="2"/>
      <c r="I58" s="2"/>
      <c r="J58" s="2"/>
      <c r="K58" s="2"/>
      <c r="L58" s="2"/>
    </row>
    <row r="59" spans="1:12">
      <c r="A59" s="4">
        <v>82.599999010562897</v>
      </c>
      <c r="B59" s="2">
        <v>96.275754400289969</v>
      </c>
      <c r="C59" s="2">
        <v>520.034912109375</v>
      </c>
      <c r="D59" s="2">
        <v>55.719997406005859</v>
      </c>
      <c r="E59" s="2">
        <v>61.616486211314346</v>
      </c>
      <c r="F59" s="2">
        <v>416.02792358398438</v>
      </c>
      <c r="G59" s="2"/>
      <c r="H59" s="2"/>
      <c r="I59" s="2"/>
      <c r="J59" s="2"/>
      <c r="K59" s="2"/>
      <c r="L59" s="2"/>
    </row>
    <row r="60" spans="1:12">
      <c r="A60" s="4">
        <v>71.733331680297852</v>
      </c>
      <c r="B60" s="2">
        <v>79.420712361271498</v>
      </c>
      <c r="C60" s="2">
        <v>540.5369873046875</v>
      </c>
      <c r="D60" s="2">
        <v>35.946662902832031</v>
      </c>
      <c r="E60" s="2">
        <v>50.829259327329936</v>
      </c>
      <c r="F60" s="2">
        <v>432.42959594726563</v>
      </c>
      <c r="G60" s="2"/>
      <c r="H60" s="2"/>
      <c r="I60" s="2"/>
      <c r="J60" s="2"/>
      <c r="K60" s="2"/>
      <c r="L60" s="2"/>
    </row>
    <row r="61" spans="1:12">
      <c r="A61" s="4">
        <v>60.866665840148926</v>
      </c>
      <c r="B61" s="2">
        <v>72.805962081017242</v>
      </c>
      <c r="C61" s="2">
        <v>551.46868896484375</v>
      </c>
      <c r="D61" s="2">
        <v>22.953332901000977</v>
      </c>
      <c r="E61" s="2">
        <v>46.595816818351025</v>
      </c>
      <c r="F61" s="2">
        <v>441.17495727539063</v>
      </c>
      <c r="G61" s="2"/>
      <c r="H61" s="2"/>
      <c r="I61" s="2"/>
      <c r="J61" s="2"/>
      <c r="K61" s="2"/>
      <c r="L61" s="2"/>
    </row>
    <row r="62" spans="1:12">
      <c r="A62" s="4">
        <v>50</v>
      </c>
      <c r="B62" s="2">
        <v>70</v>
      </c>
      <c r="C62" s="2">
        <v>559.4217529296875</v>
      </c>
      <c r="D62" s="2">
        <v>14</v>
      </c>
      <c r="E62" s="2">
        <v>44.800001335144053</v>
      </c>
      <c r="F62" s="2">
        <v>447.53741455078125</v>
      </c>
      <c r="G62" s="2"/>
      <c r="H62" s="2"/>
      <c r="I62" s="2"/>
      <c r="J62" s="2"/>
      <c r="K62" s="2"/>
      <c r="L62" s="2"/>
    </row>
    <row r="63" spans="1:12">
      <c r="A63" s="4">
        <v>39.999997615814209</v>
      </c>
      <c r="B63" s="2">
        <v>72.466424189652656</v>
      </c>
      <c r="C63" s="2">
        <v>566.096923828125</v>
      </c>
      <c r="D63" s="2">
        <v>7.9999995231628418</v>
      </c>
      <c r="E63" s="2">
        <v>46.378512124374836</v>
      </c>
      <c r="F63" s="2">
        <v>452.87753295898438</v>
      </c>
      <c r="G63" s="2"/>
      <c r="H63" s="2"/>
      <c r="I63" s="2"/>
      <c r="J63" s="2"/>
      <c r="K63" s="2"/>
      <c r="L63" s="2"/>
    </row>
    <row r="64" spans="1:12">
      <c r="A64" s="4">
        <v>30.000001192092896</v>
      </c>
      <c r="B64" s="2">
        <v>77.111075346371933</v>
      </c>
      <c r="C64" s="2">
        <v>571.765380859375</v>
      </c>
      <c r="D64" s="2">
        <v>5.9999995231628418</v>
      </c>
      <c r="E64" s="2">
        <v>49.351090337964571</v>
      </c>
      <c r="F64" s="2">
        <v>457.41232299804688</v>
      </c>
      <c r="G64" s="2"/>
      <c r="H64" s="2"/>
      <c r="I64" s="2"/>
      <c r="J64" s="2"/>
      <c r="K64" s="2"/>
      <c r="L64" s="2"/>
    </row>
    <row r="65" spans="1:12">
      <c r="A65" s="4">
        <v>19.999998807907104</v>
      </c>
      <c r="B65" s="2">
        <v>85.179590327373006</v>
      </c>
      <c r="C65" s="2">
        <v>576.8970947265625</v>
      </c>
      <c r="D65" s="2">
        <v>8.0000009536743164</v>
      </c>
      <c r="E65" s="2">
        <v>54.514938148109223</v>
      </c>
      <c r="F65" s="2">
        <v>461.51766967773438</v>
      </c>
      <c r="G65" s="2"/>
      <c r="H65" s="2"/>
      <c r="I65" s="2"/>
      <c r="J65" s="2"/>
      <c r="K65" s="2"/>
      <c r="L65" s="2"/>
    </row>
    <row r="66" spans="1:12">
      <c r="A66" s="4">
        <v>10.000002384185791</v>
      </c>
      <c r="B66" s="2">
        <v>98.536627795191947</v>
      </c>
      <c r="C66" s="2">
        <v>581.58404541015625</v>
      </c>
      <c r="D66" s="2">
        <v>14.999996185302734</v>
      </c>
      <c r="E66" s="2">
        <v>63.063444262249554</v>
      </c>
      <c r="F66" s="2">
        <v>465.26724243164063</v>
      </c>
      <c r="G66" s="2"/>
      <c r="H66" s="2"/>
      <c r="I66" s="2"/>
      <c r="J66" s="2"/>
      <c r="K66" s="2"/>
      <c r="L66" s="2"/>
    </row>
    <row r="67" spans="1:12">
      <c r="A67" s="3">
        <v>0</v>
      </c>
      <c r="B67" s="2">
        <v>120</v>
      </c>
      <c r="C67" s="2">
        <v>585.86956787109375</v>
      </c>
      <c r="D67" s="2">
        <v>30</v>
      </c>
      <c r="E67" s="2">
        <v>76.800002288818376</v>
      </c>
      <c r="F67" s="2">
        <v>468.69564819335938</v>
      </c>
      <c r="G67" s="2"/>
      <c r="H67" s="2"/>
      <c r="I67" s="2"/>
      <c r="J67" s="2"/>
      <c r="K67" s="2"/>
      <c r="L67" s="2"/>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81"/>
  <sheetViews>
    <sheetView topLeftCell="A17" zoomScale="75" workbookViewId="0">
      <selection activeCell="A39" sqref="A39:F43"/>
    </sheetView>
  </sheetViews>
  <sheetFormatPr defaultRowHeight="12.75"/>
  <cols>
    <col min="1" max="5" width="12.5" style="1" customWidth="1"/>
    <col min="6" max="6" width="14.59765625" style="1" customWidth="1"/>
    <col min="7" max="256" width="8.69921875" style="1"/>
    <col min="257" max="261" width="12.5" style="1" customWidth="1"/>
    <col min="262" max="262" width="14.59765625" style="1" customWidth="1"/>
    <col min="263" max="512" width="8.69921875" style="1"/>
    <col min="513" max="517" width="12.5" style="1" customWidth="1"/>
    <col min="518" max="518" width="14.59765625" style="1" customWidth="1"/>
    <col min="519" max="768" width="8.69921875" style="1"/>
    <col min="769" max="773" width="12.5" style="1" customWidth="1"/>
    <col min="774" max="774" width="14.59765625" style="1" customWidth="1"/>
    <col min="775" max="1024" width="8.69921875" style="1"/>
    <col min="1025" max="1029" width="12.5" style="1" customWidth="1"/>
    <col min="1030" max="1030" width="14.59765625" style="1" customWidth="1"/>
    <col min="1031" max="1280" width="8.69921875" style="1"/>
    <col min="1281" max="1285" width="12.5" style="1" customWidth="1"/>
    <col min="1286" max="1286" width="14.59765625" style="1" customWidth="1"/>
    <col min="1287" max="1536" width="8.69921875" style="1"/>
    <col min="1537" max="1541" width="12.5" style="1" customWidth="1"/>
    <col min="1542" max="1542" width="14.59765625" style="1" customWidth="1"/>
    <col min="1543" max="1792" width="8.69921875" style="1"/>
    <col min="1793" max="1797" width="12.5" style="1" customWidth="1"/>
    <col min="1798" max="1798" width="14.59765625" style="1" customWidth="1"/>
    <col min="1799" max="2048" width="8.69921875" style="1"/>
    <col min="2049" max="2053" width="12.5" style="1" customWidth="1"/>
    <col min="2054" max="2054" width="14.59765625" style="1" customWidth="1"/>
    <col min="2055" max="2304" width="8.69921875" style="1"/>
    <col min="2305" max="2309" width="12.5" style="1" customWidth="1"/>
    <col min="2310" max="2310" width="14.59765625" style="1" customWidth="1"/>
    <col min="2311" max="2560" width="8.69921875" style="1"/>
    <col min="2561" max="2565" width="12.5" style="1" customWidth="1"/>
    <col min="2566" max="2566" width="14.59765625" style="1" customWidth="1"/>
    <col min="2567" max="2816" width="8.69921875" style="1"/>
    <col min="2817" max="2821" width="12.5" style="1" customWidth="1"/>
    <col min="2822" max="2822" width="14.59765625" style="1" customWidth="1"/>
    <col min="2823" max="3072" width="8.69921875" style="1"/>
    <col min="3073" max="3077" width="12.5" style="1" customWidth="1"/>
    <col min="3078" max="3078" width="14.59765625" style="1" customWidth="1"/>
    <col min="3079" max="3328" width="8.69921875" style="1"/>
    <col min="3329" max="3333" width="12.5" style="1" customWidth="1"/>
    <col min="3334" max="3334" width="14.59765625" style="1" customWidth="1"/>
    <col min="3335" max="3584" width="8.69921875" style="1"/>
    <col min="3585" max="3589" width="12.5" style="1" customWidth="1"/>
    <col min="3590" max="3590" width="14.59765625" style="1" customWidth="1"/>
    <col min="3591" max="3840" width="8.69921875" style="1"/>
    <col min="3841" max="3845" width="12.5" style="1" customWidth="1"/>
    <col min="3846" max="3846" width="14.59765625" style="1" customWidth="1"/>
    <col min="3847" max="4096" width="8.69921875" style="1"/>
    <col min="4097" max="4101" width="12.5" style="1" customWidth="1"/>
    <col min="4102" max="4102" width="14.59765625" style="1" customWidth="1"/>
    <col min="4103" max="4352" width="8.69921875" style="1"/>
    <col min="4353" max="4357" width="12.5" style="1" customWidth="1"/>
    <col min="4358" max="4358" width="14.59765625" style="1" customWidth="1"/>
    <col min="4359" max="4608" width="8.69921875" style="1"/>
    <col min="4609" max="4613" width="12.5" style="1" customWidth="1"/>
    <col min="4614" max="4614" width="14.59765625" style="1" customWidth="1"/>
    <col min="4615" max="4864" width="8.69921875" style="1"/>
    <col min="4865" max="4869" width="12.5" style="1" customWidth="1"/>
    <col min="4870" max="4870" width="14.59765625" style="1" customWidth="1"/>
    <col min="4871" max="5120" width="8.69921875" style="1"/>
    <col min="5121" max="5125" width="12.5" style="1" customWidth="1"/>
    <col min="5126" max="5126" width="14.59765625" style="1" customWidth="1"/>
    <col min="5127" max="5376" width="8.69921875" style="1"/>
    <col min="5377" max="5381" width="12.5" style="1" customWidth="1"/>
    <col min="5382" max="5382" width="14.59765625" style="1" customWidth="1"/>
    <col min="5383" max="5632" width="8.69921875" style="1"/>
    <col min="5633" max="5637" width="12.5" style="1" customWidth="1"/>
    <col min="5638" max="5638" width="14.59765625" style="1" customWidth="1"/>
    <col min="5639" max="5888" width="8.69921875" style="1"/>
    <col min="5889" max="5893" width="12.5" style="1" customWidth="1"/>
    <col min="5894" max="5894" width="14.59765625" style="1" customWidth="1"/>
    <col min="5895" max="6144" width="8.69921875" style="1"/>
    <col min="6145" max="6149" width="12.5" style="1" customWidth="1"/>
    <col min="6150" max="6150" width="14.59765625" style="1" customWidth="1"/>
    <col min="6151" max="6400" width="8.69921875" style="1"/>
    <col min="6401" max="6405" width="12.5" style="1" customWidth="1"/>
    <col min="6406" max="6406" width="14.59765625" style="1" customWidth="1"/>
    <col min="6407" max="6656" width="8.69921875" style="1"/>
    <col min="6657" max="6661" width="12.5" style="1" customWidth="1"/>
    <col min="6662" max="6662" width="14.59765625" style="1" customWidth="1"/>
    <col min="6663" max="6912" width="8.69921875" style="1"/>
    <col min="6913" max="6917" width="12.5" style="1" customWidth="1"/>
    <col min="6918" max="6918" width="14.59765625" style="1" customWidth="1"/>
    <col min="6919" max="7168" width="8.69921875" style="1"/>
    <col min="7169" max="7173" width="12.5" style="1" customWidth="1"/>
    <col min="7174" max="7174" width="14.59765625" style="1" customWidth="1"/>
    <col min="7175" max="7424" width="8.69921875" style="1"/>
    <col min="7425" max="7429" width="12.5" style="1" customWidth="1"/>
    <col min="7430" max="7430" width="14.59765625" style="1" customWidth="1"/>
    <col min="7431" max="7680" width="8.69921875" style="1"/>
    <col min="7681" max="7685" width="12.5" style="1" customWidth="1"/>
    <col min="7686" max="7686" width="14.59765625" style="1" customWidth="1"/>
    <col min="7687" max="7936" width="8.69921875" style="1"/>
    <col min="7937" max="7941" width="12.5" style="1" customWidth="1"/>
    <col min="7942" max="7942" width="14.59765625" style="1" customWidth="1"/>
    <col min="7943" max="8192" width="8.69921875" style="1"/>
    <col min="8193" max="8197" width="12.5" style="1" customWidth="1"/>
    <col min="8198" max="8198" width="14.59765625" style="1" customWidth="1"/>
    <col min="8199" max="8448" width="8.69921875" style="1"/>
    <col min="8449" max="8453" width="12.5" style="1" customWidth="1"/>
    <col min="8454" max="8454" width="14.59765625" style="1" customWidth="1"/>
    <col min="8455" max="8704" width="8.69921875" style="1"/>
    <col min="8705" max="8709" width="12.5" style="1" customWidth="1"/>
    <col min="8710" max="8710" width="14.59765625" style="1" customWidth="1"/>
    <col min="8711" max="8960" width="8.69921875" style="1"/>
    <col min="8961" max="8965" width="12.5" style="1" customWidth="1"/>
    <col min="8966" max="8966" width="14.59765625" style="1" customWidth="1"/>
    <col min="8967" max="9216" width="8.69921875" style="1"/>
    <col min="9217" max="9221" width="12.5" style="1" customWidth="1"/>
    <col min="9222" max="9222" width="14.59765625" style="1" customWidth="1"/>
    <col min="9223" max="9472" width="8.69921875" style="1"/>
    <col min="9473" max="9477" width="12.5" style="1" customWidth="1"/>
    <col min="9478" max="9478" width="14.59765625" style="1" customWidth="1"/>
    <col min="9479" max="9728" width="8.69921875" style="1"/>
    <col min="9729" max="9733" width="12.5" style="1" customWidth="1"/>
    <col min="9734" max="9734" width="14.59765625" style="1" customWidth="1"/>
    <col min="9735" max="9984" width="8.69921875" style="1"/>
    <col min="9985" max="9989" width="12.5" style="1" customWidth="1"/>
    <col min="9990" max="9990" width="14.59765625" style="1" customWidth="1"/>
    <col min="9991" max="10240" width="8.69921875" style="1"/>
    <col min="10241" max="10245" width="12.5" style="1" customWidth="1"/>
    <col min="10246" max="10246" width="14.59765625" style="1" customWidth="1"/>
    <col min="10247" max="10496" width="8.69921875" style="1"/>
    <col min="10497" max="10501" width="12.5" style="1" customWidth="1"/>
    <col min="10502" max="10502" width="14.59765625" style="1" customWidth="1"/>
    <col min="10503" max="10752" width="8.69921875" style="1"/>
    <col min="10753" max="10757" width="12.5" style="1" customWidth="1"/>
    <col min="10758" max="10758" width="14.59765625" style="1" customWidth="1"/>
    <col min="10759" max="11008" width="8.69921875" style="1"/>
    <col min="11009" max="11013" width="12.5" style="1" customWidth="1"/>
    <col min="11014" max="11014" width="14.59765625" style="1" customWidth="1"/>
    <col min="11015" max="11264" width="8.69921875" style="1"/>
    <col min="11265" max="11269" width="12.5" style="1" customWidth="1"/>
    <col min="11270" max="11270" width="14.59765625" style="1" customWidth="1"/>
    <col min="11271" max="11520" width="8.69921875" style="1"/>
    <col min="11521" max="11525" width="12.5" style="1" customWidth="1"/>
    <col min="11526" max="11526" width="14.59765625" style="1" customWidth="1"/>
    <col min="11527" max="11776" width="8.69921875" style="1"/>
    <col min="11777" max="11781" width="12.5" style="1" customWidth="1"/>
    <col min="11782" max="11782" width="14.59765625" style="1" customWidth="1"/>
    <col min="11783" max="12032" width="8.69921875" style="1"/>
    <col min="12033" max="12037" width="12.5" style="1" customWidth="1"/>
    <col min="12038" max="12038" width="14.59765625" style="1" customWidth="1"/>
    <col min="12039" max="12288" width="8.69921875" style="1"/>
    <col min="12289" max="12293" width="12.5" style="1" customWidth="1"/>
    <col min="12294" max="12294" width="14.59765625" style="1" customWidth="1"/>
    <col min="12295" max="12544" width="8.69921875" style="1"/>
    <col min="12545" max="12549" width="12.5" style="1" customWidth="1"/>
    <col min="12550" max="12550" width="14.59765625" style="1" customWidth="1"/>
    <col min="12551" max="12800" width="8.69921875" style="1"/>
    <col min="12801" max="12805" width="12.5" style="1" customWidth="1"/>
    <col min="12806" max="12806" width="14.59765625" style="1" customWidth="1"/>
    <col min="12807" max="13056" width="8.69921875" style="1"/>
    <col min="13057" max="13061" width="12.5" style="1" customWidth="1"/>
    <col min="13062" max="13062" width="14.59765625" style="1" customWidth="1"/>
    <col min="13063" max="13312" width="8.69921875" style="1"/>
    <col min="13313" max="13317" width="12.5" style="1" customWidth="1"/>
    <col min="13318" max="13318" width="14.59765625" style="1" customWidth="1"/>
    <col min="13319" max="13568" width="8.69921875" style="1"/>
    <col min="13569" max="13573" width="12.5" style="1" customWidth="1"/>
    <col min="13574" max="13574" width="14.59765625" style="1" customWidth="1"/>
    <col min="13575" max="13824" width="8.69921875" style="1"/>
    <col min="13825" max="13829" width="12.5" style="1" customWidth="1"/>
    <col min="13830" max="13830" width="14.59765625" style="1" customWidth="1"/>
    <col min="13831" max="14080" width="8.69921875" style="1"/>
    <col min="14081" max="14085" width="12.5" style="1" customWidth="1"/>
    <col min="14086" max="14086" width="14.59765625" style="1" customWidth="1"/>
    <col min="14087" max="14336" width="8.69921875" style="1"/>
    <col min="14337" max="14341" width="12.5" style="1" customWidth="1"/>
    <col min="14342" max="14342" width="14.59765625" style="1" customWidth="1"/>
    <col min="14343" max="14592" width="8.69921875" style="1"/>
    <col min="14593" max="14597" width="12.5" style="1" customWidth="1"/>
    <col min="14598" max="14598" width="14.59765625" style="1" customWidth="1"/>
    <col min="14599" max="14848" width="8.69921875" style="1"/>
    <col min="14849" max="14853" width="12.5" style="1" customWidth="1"/>
    <col min="14854" max="14854" width="14.59765625" style="1" customWidth="1"/>
    <col min="14855" max="15104" width="8.69921875" style="1"/>
    <col min="15105" max="15109" width="12.5" style="1" customWidth="1"/>
    <col min="15110" max="15110" width="14.59765625" style="1" customWidth="1"/>
    <col min="15111" max="15360" width="8.69921875" style="1"/>
    <col min="15361" max="15365" width="12.5" style="1" customWidth="1"/>
    <col min="15366" max="15366" width="14.59765625" style="1" customWidth="1"/>
    <col min="15367" max="15616" width="8.69921875" style="1"/>
    <col min="15617" max="15621" width="12.5" style="1" customWidth="1"/>
    <col min="15622" max="15622" width="14.59765625" style="1" customWidth="1"/>
    <col min="15623" max="15872" width="8.69921875" style="1"/>
    <col min="15873" max="15877" width="12.5" style="1" customWidth="1"/>
    <col min="15878" max="15878" width="14.59765625" style="1" customWidth="1"/>
    <col min="15879" max="16128" width="8.69921875" style="1"/>
    <col min="16129" max="16133" width="12.5" style="1" customWidth="1"/>
    <col min="16134" max="16134" width="14.59765625" style="1" customWidth="1"/>
    <col min="16135" max="16384" width="8.69921875" style="1"/>
  </cols>
  <sheetData>
    <row r="1" spans="1:6" ht="18.95" customHeight="1">
      <c r="A1" s="41"/>
      <c r="B1" s="40"/>
      <c r="C1" s="40"/>
      <c r="D1" s="40"/>
      <c r="E1" s="40"/>
      <c r="F1" s="39"/>
    </row>
    <row r="2" spans="1:6" ht="26.1" customHeight="1">
      <c r="A2" s="38" t="s">
        <v>37</v>
      </c>
      <c r="B2" s="36"/>
      <c r="C2" s="36"/>
      <c r="D2" s="36"/>
      <c r="E2" s="36"/>
      <c r="F2" s="35"/>
    </row>
    <row r="3" spans="1:6" ht="18.95" customHeight="1">
      <c r="A3" s="663" t="s">
        <v>661</v>
      </c>
      <c r="B3" s="664"/>
      <c r="C3" s="664"/>
      <c r="D3" s="664"/>
      <c r="E3" s="664"/>
      <c r="F3" s="665"/>
    </row>
    <row r="4" spans="1:6" ht="18.95" customHeight="1">
      <c r="A4" s="666" t="s">
        <v>35</v>
      </c>
      <c r="B4" s="667"/>
      <c r="C4" s="667"/>
      <c r="D4" s="667"/>
      <c r="E4" s="667"/>
      <c r="F4" s="668"/>
    </row>
    <row r="5" spans="1:6" ht="18.95" customHeight="1">
      <c r="A5" s="25"/>
      <c r="B5" s="24"/>
      <c r="C5" s="24"/>
      <c r="D5" s="24"/>
      <c r="E5" s="24"/>
      <c r="F5" s="23"/>
    </row>
    <row r="6" spans="1:6" ht="18.95" customHeight="1">
      <c r="A6" s="33" t="s">
        <v>34</v>
      </c>
      <c r="B6" s="660" t="str">
        <f>'Performance Data Sheet'!C17</f>
        <v>7003WTAK11F-A</v>
      </c>
      <c r="C6" s="661"/>
      <c r="D6" s="662"/>
      <c r="E6" s="33" t="s">
        <v>33</v>
      </c>
      <c r="F6" s="32" t="str">
        <f>'Performance Data Sheet'!I14 &amp; " A"</f>
        <v>92 A</v>
      </c>
    </row>
    <row r="7" spans="1:6" ht="18.95" customHeight="1">
      <c r="A7" s="33" t="s">
        <v>32</v>
      </c>
      <c r="B7" s="32" t="str">
        <f>'Performance Data Sheet'!F14</f>
        <v>WP-II</v>
      </c>
      <c r="C7" s="33" t="s">
        <v>31</v>
      </c>
      <c r="D7" s="32" t="str">
        <f>'Performance Data Sheet'!F13 &amp; " V"</f>
        <v>4000 V</v>
      </c>
      <c r="E7" s="33" t="s">
        <v>30</v>
      </c>
      <c r="F7" s="32" t="str">
        <f>'Performance Data Sheet'!C14</f>
        <v>5012USS</v>
      </c>
    </row>
    <row r="8" spans="1:6" ht="18.95" customHeight="1">
      <c r="A8" s="33" t="s">
        <v>29</v>
      </c>
      <c r="B8" s="32">
        <v>2</v>
      </c>
      <c r="C8" s="33" t="s">
        <v>28</v>
      </c>
      <c r="D8" s="32" t="s">
        <v>27</v>
      </c>
      <c r="E8" s="33" t="s">
        <v>26</v>
      </c>
      <c r="F8" s="32" t="s">
        <v>302</v>
      </c>
    </row>
    <row r="9" spans="1:6" ht="18.95" customHeight="1">
      <c r="A9" s="33" t="s">
        <v>25</v>
      </c>
      <c r="B9" s="32">
        <v>700</v>
      </c>
      <c r="C9" s="33" t="s">
        <v>24</v>
      </c>
      <c r="D9" s="32" t="s">
        <v>23</v>
      </c>
      <c r="E9" s="33" t="s">
        <v>22</v>
      </c>
      <c r="F9" s="34">
        <f>'Performance Data Sheet'!K44</f>
        <v>44669</v>
      </c>
    </row>
    <row r="10" spans="1:6" ht="18.95" customHeight="1">
      <c r="A10" s="33" t="s">
        <v>21</v>
      </c>
      <c r="B10" s="32">
        <v>3560</v>
      </c>
      <c r="C10" s="33" t="s">
        <v>20</v>
      </c>
      <c r="D10" s="32" t="s">
        <v>12</v>
      </c>
      <c r="E10" s="33" t="s">
        <v>19</v>
      </c>
      <c r="F10" s="32" t="s">
        <v>249</v>
      </c>
    </row>
    <row r="11" spans="1:6" ht="18.95" customHeight="1">
      <c r="A11" s="25"/>
      <c r="B11" s="24"/>
      <c r="C11" s="24"/>
      <c r="D11" s="24"/>
      <c r="E11" s="24"/>
      <c r="F11" s="23"/>
    </row>
    <row r="12" spans="1:6" ht="18.95" customHeight="1">
      <c r="A12" s="25"/>
      <c r="B12" s="27"/>
      <c r="C12" s="30"/>
      <c r="D12" s="27"/>
      <c r="E12" s="30"/>
      <c r="F12" s="23"/>
    </row>
    <row r="13" spans="1:6" ht="18.95" customHeight="1">
      <c r="A13" s="25"/>
      <c r="B13" s="27"/>
      <c r="C13" s="31"/>
      <c r="D13" s="27"/>
      <c r="E13" s="30"/>
      <c r="F13" s="23"/>
    </row>
    <row r="14" spans="1:6" ht="18.95" customHeight="1">
      <c r="A14" s="25"/>
      <c r="B14" s="27"/>
      <c r="C14" s="31"/>
      <c r="D14" s="27"/>
      <c r="E14" s="30"/>
      <c r="F14" s="23"/>
    </row>
    <row r="15" spans="1:6" ht="18.95" customHeight="1">
      <c r="A15" s="25"/>
      <c r="B15" s="27"/>
      <c r="C15" s="30"/>
      <c r="D15" s="24"/>
      <c r="E15" s="24"/>
      <c r="F15" s="23"/>
    </row>
    <row r="16" spans="1:6" ht="18.95" customHeight="1">
      <c r="A16" s="25"/>
      <c r="B16" s="24"/>
      <c r="C16" s="24"/>
      <c r="D16" s="24"/>
      <c r="E16" s="24"/>
      <c r="F16" s="23"/>
    </row>
    <row r="17" spans="1:6" ht="18.95" customHeight="1">
      <c r="A17" s="25"/>
      <c r="B17" s="24"/>
      <c r="C17" s="24"/>
      <c r="D17" s="24"/>
      <c r="E17" s="24"/>
      <c r="F17" s="23"/>
    </row>
    <row r="18" spans="1:6" ht="18.95" customHeight="1">
      <c r="A18" s="25"/>
      <c r="B18" s="24"/>
      <c r="C18" s="24"/>
      <c r="D18" s="24"/>
      <c r="E18" s="24"/>
      <c r="F18" s="23"/>
    </row>
    <row r="19" spans="1:6" ht="18.95" customHeight="1">
      <c r="A19" s="25"/>
      <c r="B19" s="24"/>
      <c r="C19" s="24"/>
      <c r="D19" s="24"/>
      <c r="E19" s="24"/>
      <c r="F19" s="23"/>
    </row>
    <row r="20" spans="1:6" ht="18.95" customHeight="1">
      <c r="A20" s="25"/>
      <c r="B20" s="24"/>
      <c r="C20" s="24"/>
      <c r="D20" s="24"/>
      <c r="E20" s="24"/>
      <c r="F20" s="23"/>
    </row>
    <row r="21" spans="1:6" ht="18.95" customHeight="1">
      <c r="A21" s="25"/>
      <c r="B21" s="24"/>
      <c r="C21" s="24"/>
      <c r="D21" s="24"/>
      <c r="E21" s="24"/>
      <c r="F21" s="23"/>
    </row>
    <row r="22" spans="1:6" ht="18.95" customHeight="1">
      <c r="A22" s="25"/>
      <c r="B22" s="24"/>
      <c r="C22" s="24"/>
      <c r="D22" s="24"/>
      <c r="E22" s="24"/>
      <c r="F22" s="23"/>
    </row>
    <row r="23" spans="1:6" ht="18.95" customHeight="1">
      <c r="A23" s="25"/>
      <c r="B23" s="24"/>
      <c r="C23" s="24"/>
      <c r="D23" s="24"/>
      <c r="E23" s="24"/>
      <c r="F23" s="23"/>
    </row>
    <row r="24" spans="1:6" ht="18.95" customHeight="1">
      <c r="A24" s="25"/>
      <c r="B24" s="24"/>
      <c r="C24" s="24"/>
      <c r="D24" s="24"/>
      <c r="E24" s="24"/>
      <c r="F24" s="23"/>
    </row>
    <row r="25" spans="1:6" ht="18.95" customHeight="1">
      <c r="A25" s="25"/>
      <c r="B25" s="24"/>
      <c r="C25" s="24"/>
      <c r="D25" s="24"/>
      <c r="E25" s="24"/>
      <c r="F25" s="23"/>
    </row>
    <row r="26" spans="1:6" ht="18.95" customHeight="1">
      <c r="A26" s="25"/>
      <c r="B26" s="24"/>
      <c r="C26" s="24"/>
      <c r="D26" s="24"/>
      <c r="E26" s="24"/>
      <c r="F26" s="23"/>
    </row>
    <row r="27" spans="1:6" ht="18.95" customHeight="1">
      <c r="A27" s="25"/>
      <c r="B27" s="24"/>
      <c r="C27" s="24"/>
      <c r="D27" s="24"/>
      <c r="E27" s="24"/>
      <c r="F27" s="23"/>
    </row>
    <row r="28" spans="1:6" ht="18.95" customHeight="1">
      <c r="A28" s="25"/>
      <c r="B28" s="24"/>
      <c r="C28" s="24"/>
      <c r="D28" s="24"/>
      <c r="E28" s="24"/>
      <c r="F28" s="23"/>
    </row>
    <row r="29" spans="1:6" ht="18.95" customHeight="1">
      <c r="A29" s="25"/>
      <c r="B29" s="24"/>
      <c r="C29" s="24"/>
      <c r="D29" s="24"/>
      <c r="E29" s="24"/>
      <c r="F29" s="23"/>
    </row>
    <row r="30" spans="1:6" ht="18.95" customHeight="1">
      <c r="A30" s="25"/>
      <c r="B30" s="24"/>
      <c r="C30" s="24"/>
      <c r="D30" s="24"/>
      <c r="E30" s="24"/>
      <c r="F30" s="23"/>
    </row>
    <row r="31" spans="1:6" ht="18.95" customHeight="1">
      <c r="A31" s="25"/>
      <c r="B31" s="24"/>
      <c r="C31" s="24"/>
      <c r="D31" s="24"/>
      <c r="E31" s="24"/>
      <c r="F31" s="23"/>
    </row>
    <row r="32" spans="1:6" ht="18.95" customHeight="1">
      <c r="A32" s="25"/>
      <c r="B32" s="24"/>
      <c r="C32" s="24"/>
      <c r="D32" s="24"/>
      <c r="E32" s="24"/>
      <c r="F32" s="23"/>
    </row>
    <row r="33" spans="1:6" ht="18.95" customHeight="1">
      <c r="A33" s="25"/>
      <c r="B33" s="24"/>
      <c r="C33" s="24"/>
      <c r="D33" s="24"/>
      <c r="E33" s="24"/>
      <c r="F33" s="23"/>
    </row>
    <row r="34" spans="1:6" ht="18.95" customHeight="1">
      <c r="A34" s="25"/>
      <c r="B34" s="24"/>
      <c r="C34" s="24"/>
      <c r="D34" s="24"/>
      <c r="E34" s="24"/>
      <c r="F34" s="23"/>
    </row>
    <row r="35" spans="1:6" ht="18.95" customHeight="1">
      <c r="A35" s="25"/>
      <c r="B35" s="24"/>
      <c r="C35" s="24"/>
      <c r="D35" s="24"/>
      <c r="E35" s="24"/>
      <c r="F35" s="23"/>
    </row>
    <row r="36" spans="1:6" ht="18.95" customHeight="1">
      <c r="A36" s="25"/>
      <c r="B36" s="24"/>
      <c r="C36" s="24"/>
      <c r="D36" s="24"/>
      <c r="E36" s="24"/>
      <c r="F36" s="23"/>
    </row>
    <row r="37" spans="1:6" ht="18.95" customHeight="1">
      <c r="A37" s="25"/>
      <c r="B37" s="24"/>
      <c r="C37" s="24"/>
      <c r="D37" s="24"/>
      <c r="E37" s="24"/>
      <c r="F37" s="23"/>
    </row>
    <row r="38" spans="1:6" ht="18.95" customHeight="1">
      <c r="A38" s="25"/>
      <c r="B38" s="24"/>
      <c r="C38" s="24"/>
      <c r="D38" s="24"/>
      <c r="E38" s="24"/>
      <c r="F38" s="23"/>
    </row>
    <row r="39" spans="1:6" ht="18.95" customHeight="1">
      <c r="A39" s="28" t="s">
        <v>10</v>
      </c>
      <c r="B39" s="21" t="s">
        <v>9</v>
      </c>
      <c r="C39" s="21">
        <f>'Performance Data Sheet'!J38</f>
        <v>0</v>
      </c>
      <c r="D39" s="24"/>
      <c r="E39" s="27" t="s">
        <v>8</v>
      </c>
      <c r="F39" s="26" t="str">
        <f>F10</f>
        <v>1T2700K_REV1</v>
      </c>
    </row>
    <row r="40" spans="1:6" ht="18.95" customHeight="1">
      <c r="A40" s="25"/>
      <c r="B40" s="21"/>
      <c r="C40" s="21"/>
      <c r="D40" s="24"/>
      <c r="E40" s="24"/>
      <c r="F40" s="23"/>
    </row>
    <row r="41" spans="1:6" ht="18.95" customHeight="1">
      <c r="A41" s="25"/>
      <c r="B41" s="21"/>
      <c r="C41" s="21"/>
      <c r="D41" s="24"/>
      <c r="E41" s="24"/>
      <c r="F41" s="23"/>
    </row>
    <row r="42" spans="1:6" ht="18.95" customHeight="1">
      <c r="A42" s="25"/>
      <c r="B42" s="24"/>
      <c r="C42" s="24"/>
      <c r="D42" s="24"/>
      <c r="E42" s="24"/>
      <c r="F42" s="23"/>
    </row>
    <row r="43" spans="1:6" ht="18.95" customHeight="1">
      <c r="A43" s="22"/>
      <c r="B43" s="21"/>
      <c r="C43" s="20" t="s">
        <v>7</v>
      </c>
      <c r="D43" s="19" t="str">
        <f>'Performance Data Sheet'!K42</f>
        <v>Jerry R</v>
      </c>
      <c r="E43" s="20" t="s">
        <v>6</v>
      </c>
      <c r="F43" s="19"/>
    </row>
    <row r="44" spans="1:6" ht="15" customHeight="1"/>
    <row r="45" spans="1:6" ht="15" customHeight="1"/>
    <row r="46" spans="1:6" ht="15" customHeight="1"/>
    <row r="47" spans="1:6" ht="15" customHeight="1"/>
    <row r="48" spans="1:6" ht="15" customHeight="1"/>
    <row r="49" spans="6:9" ht="15" customHeight="1"/>
    <row r="50" spans="6:9" ht="15" customHeight="1">
      <c r="F50" s="485" t="e">
        <f>5252.1*B50/D53</f>
        <v>#DIV/0!</v>
      </c>
      <c r="G50" s="485"/>
    </row>
    <row r="51" spans="6:9" ht="15" customHeight="1"/>
    <row r="52" spans="6:9" ht="15" customHeight="1"/>
    <row r="53" spans="6:9" ht="15" customHeight="1"/>
    <row r="54" spans="6:9" ht="15" customHeight="1"/>
    <row r="55" spans="6:9" ht="15" customHeight="1"/>
    <row r="56" spans="6:9" ht="15" customHeight="1"/>
    <row r="62" spans="6:9">
      <c r="I62" s="486"/>
    </row>
    <row r="63" spans="6:9">
      <c r="I63" s="1" t="s">
        <v>662</v>
      </c>
    </row>
    <row r="66" spans="1:6">
      <c r="D66" s="485" t="e">
        <f>D65/D64</f>
        <v>#DIV/0!</v>
      </c>
    </row>
    <row r="67" spans="1:6">
      <c r="A67" s="76" t="s">
        <v>245</v>
      </c>
      <c r="B67" s="76" t="s">
        <v>663</v>
      </c>
      <c r="C67" s="76" t="s">
        <v>664</v>
      </c>
      <c r="E67" s="76" t="s">
        <v>665</v>
      </c>
      <c r="F67" s="76" t="s">
        <v>666</v>
      </c>
    </row>
    <row r="68" spans="1:6">
      <c r="A68" s="487">
        <v>585.86956521739125</v>
      </c>
      <c r="B68" s="488">
        <v>24.9</v>
      </c>
      <c r="C68" s="488">
        <v>16.600000000000001</v>
      </c>
      <c r="E68" s="487">
        <f>A68</f>
        <v>585.86956521739125</v>
      </c>
      <c r="F68" s="488">
        <v>1E-4</v>
      </c>
    </row>
    <row r="69" spans="1:6">
      <c r="A69" s="487">
        <v>493.92223913043472</v>
      </c>
      <c r="B69" s="488">
        <f>((A68/A69)^2)*B68</f>
        <v>35.033543032672767</v>
      </c>
      <c r="C69" s="488">
        <f>((A68/A69)^2)*C68</f>
        <v>23.355695355115181</v>
      </c>
      <c r="E69" s="487">
        <v>466.95652173913044</v>
      </c>
      <c r="F69" s="488">
        <v>0.87800002098083496</v>
      </c>
    </row>
    <row r="70" spans="1:6">
      <c r="A70" s="487">
        <v>401.94732608695654</v>
      </c>
      <c r="B70" s="488">
        <f>((A68/A70)^2)*B68</f>
        <v>52.900884680737903</v>
      </c>
      <c r="C70" s="488">
        <f>((A68/A70)^2)*C68</f>
        <v>35.267256453825276</v>
      </c>
      <c r="E70" s="487">
        <v>463.36956521739131</v>
      </c>
      <c r="F70" s="488">
        <v>1.7580000162124634</v>
      </c>
    </row>
    <row r="71" spans="1:6">
      <c r="A71" s="487">
        <v>310</v>
      </c>
      <c r="B71" s="488">
        <f>((A68/A71)^2)*B68</f>
        <v>88.936049650942508</v>
      </c>
      <c r="C71" s="488">
        <f>((A68/A71)^2)*C68</f>
        <v>59.290699767295017</v>
      </c>
      <c r="E71" s="487">
        <v>459.45652173913044</v>
      </c>
      <c r="F71" s="488">
        <v>2.684999942779541</v>
      </c>
    </row>
    <row r="72" spans="1:6">
      <c r="A72" s="487">
        <f>A71-100</f>
        <v>210</v>
      </c>
      <c r="B72" s="488">
        <f>((A68/A72)^2)*B68</f>
        <v>193.80395400126022</v>
      </c>
      <c r="C72" s="488"/>
      <c r="E72" s="487">
        <v>455.10869565217394</v>
      </c>
      <c r="F72" s="488">
        <v>3.7029998302459717</v>
      </c>
    </row>
    <row r="73" spans="1:6">
      <c r="A73" s="487">
        <f>A72-100</f>
        <v>110</v>
      </c>
      <c r="B73" s="488">
        <f>((A68/A73)^2)*B68</f>
        <v>706.34333648393169</v>
      </c>
      <c r="C73" s="488"/>
      <c r="E73" s="487">
        <v>450.21739130434781</v>
      </c>
      <c r="F73" s="488">
        <v>4.9059996604919434</v>
      </c>
    </row>
    <row r="74" spans="1:6">
      <c r="A74" s="487">
        <v>255</v>
      </c>
      <c r="B74" s="488">
        <f>((A68/A74)^2)*B68</f>
        <v>131.43797572403807</v>
      </c>
      <c r="C74" s="488">
        <f>((A68/A74)^2)*C68</f>
        <v>87.625317149358722</v>
      </c>
      <c r="E74" s="487">
        <v>444.3478260869565</v>
      </c>
      <c r="F74" s="488">
        <v>6.5689997673034668</v>
      </c>
    </row>
    <row r="75" spans="1:6">
      <c r="A75" s="489">
        <v>180</v>
      </c>
      <c r="B75" s="488">
        <f>((A68/A75)^2)*B69</f>
        <v>371.14270298734806</v>
      </c>
      <c r="C75" s="488">
        <f>((A68/A75)^2)*C68</f>
        <v>175.85914344558796</v>
      </c>
      <c r="E75" s="487">
        <v>436.8478260869565</v>
      </c>
      <c r="F75" s="488">
        <v>8.9130001068115234</v>
      </c>
    </row>
    <row r="76" spans="1:6">
      <c r="A76" s="489">
        <v>120</v>
      </c>
      <c r="B76" s="488">
        <f>((A68/A76)^2)*B68</f>
        <v>593.52460912885942</v>
      </c>
      <c r="C76" s="488">
        <f>((A68/A76)^2)*C68</f>
        <v>395.68307275257297</v>
      </c>
      <c r="E76" s="487">
        <v>424.23913043478262</v>
      </c>
      <c r="F76" s="488">
        <v>13.26300048828125</v>
      </c>
    </row>
    <row r="77" spans="1:6">
      <c r="A77" s="489">
        <v>110</v>
      </c>
      <c r="B77" s="488"/>
      <c r="C77" s="487">
        <f>CEILING(C76*2,100)</f>
        <v>800</v>
      </c>
      <c r="E77" s="487">
        <v>407.28260869565219</v>
      </c>
      <c r="F77" s="488">
        <v>16.495000839233398</v>
      </c>
    </row>
    <row r="78" spans="1:6">
      <c r="A78" s="489">
        <v>110</v>
      </c>
      <c r="B78" s="488"/>
      <c r="C78" s="487">
        <f>2*C77</f>
        <v>1600</v>
      </c>
      <c r="E78" s="487">
        <v>379.89130434782606</v>
      </c>
      <c r="F78" s="488">
        <v>18.003000259399414</v>
      </c>
    </row>
    <row r="79" spans="1:6">
      <c r="A79" s="489">
        <v>110</v>
      </c>
      <c r="B79" s="489"/>
      <c r="C79" s="489">
        <v>10000</v>
      </c>
      <c r="E79" s="487">
        <v>311.08695652173913</v>
      </c>
      <c r="F79" s="488">
        <v>18.520999908447266</v>
      </c>
    </row>
    <row r="80" spans="1:6">
      <c r="E80" s="487">
        <v>0</v>
      </c>
      <c r="F80" s="488">
        <v>18.545000076293945</v>
      </c>
    </row>
    <row r="81" spans="5:6">
      <c r="E81" s="487"/>
      <c r="F81" s="488"/>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67"/>
  <sheetViews>
    <sheetView topLeftCell="A25" workbookViewId="0">
      <selection activeCell="H42" sqref="H42"/>
    </sheetView>
  </sheetViews>
  <sheetFormatPr defaultColWidth="6.796875" defaultRowHeight="12.75"/>
  <cols>
    <col min="1" max="6" width="12.5" style="1" customWidth="1"/>
    <col min="7" max="8" width="6.796875" style="1"/>
    <col min="9" max="13" width="10" style="1" bestFit="1" customWidth="1"/>
    <col min="14" max="16384" width="6.796875" style="1"/>
  </cols>
  <sheetData>
    <row r="1" spans="1:6" ht="18.95" customHeight="1">
      <c r="A1" s="41"/>
      <c r="B1" s="40"/>
      <c r="C1" s="40"/>
      <c r="D1" s="40"/>
      <c r="E1" s="40"/>
      <c r="F1" s="39"/>
    </row>
    <row r="2" spans="1:6" ht="26.1" customHeight="1">
      <c r="A2" s="38" t="s">
        <v>37</v>
      </c>
      <c r="B2" s="36"/>
      <c r="C2" s="36"/>
      <c r="D2" s="36"/>
      <c r="E2" s="36"/>
      <c r="F2" s="35"/>
    </row>
    <row r="3" spans="1:6" ht="18.95" customHeight="1">
      <c r="A3" s="37" t="s">
        <v>36</v>
      </c>
      <c r="B3" s="36"/>
      <c r="C3" s="36"/>
      <c r="D3" s="36"/>
      <c r="E3" s="36"/>
      <c r="F3" s="35"/>
    </row>
    <row r="4" spans="1:6" ht="18.95" customHeight="1">
      <c r="A4" s="666" t="s">
        <v>35</v>
      </c>
      <c r="B4" s="667"/>
      <c r="C4" s="667"/>
      <c r="D4" s="667"/>
      <c r="E4" s="667"/>
      <c r="F4" s="668"/>
    </row>
    <row r="5" spans="1:6" ht="18.95" customHeight="1">
      <c r="A5" s="25"/>
      <c r="B5" s="24"/>
      <c r="C5" s="24"/>
      <c r="D5" s="24"/>
      <c r="E5" s="24"/>
      <c r="F5" s="23"/>
    </row>
    <row r="6" spans="1:6" ht="18.95" customHeight="1">
      <c r="A6" s="33" t="s">
        <v>34</v>
      </c>
      <c r="B6" s="660" t="str">
        <f>'Performance Data Sheet'!C17</f>
        <v>7003WTAK11F-A</v>
      </c>
      <c r="C6" s="661"/>
      <c r="D6" s="662"/>
      <c r="E6" s="33" t="s">
        <v>33</v>
      </c>
      <c r="F6" s="32" t="str">
        <f>'Performance Data Sheet'!I14 &amp; " A"</f>
        <v>92 A</v>
      </c>
    </row>
    <row r="7" spans="1:6" ht="18.95" customHeight="1">
      <c r="A7" s="33" t="s">
        <v>32</v>
      </c>
      <c r="B7" s="32" t="str">
        <f>'Performance Data Sheet'!F14</f>
        <v>WP-II</v>
      </c>
      <c r="C7" s="33" t="s">
        <v>31</v>
      </c>
      <c r="D7" s="32" t="str">
        <f>'Performance Data Sheet'!F13 &amp; " V"</f>
        <v>4000 V</v>
      </c>
      <c r="E7" s="33" t="s">
        <v>30</v>
      </c>
      <c r="F7" s="32" t="str">
        <f>'Performance Data Sheet'!C14</f>
        <v>5012USS</v>
      </c>
    </row>
    <row r="8" spans="1:6" ht="18.95" customHeight="1">
      <c r="A8" s="33" t="s">
        <v>29</v>
      </c>
      <c r="B8" s="32">
        <v>2</v>
      </c>
      <c r="C8" s="33" t="s">
        <v>28</v>
      </c>
      <c r="D8" s="32" t="s">
        <v>27</v>
      </c>
      <c r="E8" s="33" t="s">
        <v>26</v>
      </c>
      <c r="F8" s="32" t="s">
        <v>302</v>
      </c>
    </row>
    <row r="9" spans="1:6" ht="18.95" customHeight="1">
      <c r="A9" s="33" t="s">
        <v>25</v>
      </c>
      <c r="B9" s="32">
        <v>700</v>
      </c>
      <c r="C9" s="33" t="s">
        <v>24</v>
      </c>
      <c r="D9" s="32" t="s">
        <v>23</v>
      </c>
      <c r="E9" s="33" t="s">
        <v>22</v>
      </c>
      <c r="F9" s="34">
        <f>'Performance Data Sheet'!K44</f>
        <v>44669</v>
      </c>
    </row>
    <row r="10" spans="1:6" ht="18.95" customHeight="1">
      <c r="A10" s="33" t="s">
        <v>21</v>
      </c>
      <c r="B10" s="32">
        <v>3560</v>
      </c>
      <c r="C10" s="33" t="s">
        <v>20</v>
      </c>
      <c r="D10" s="32" t="s">
        <v>12</v>
      </c>
      <c r="E10" s="33" t="s">
        <v>19</v>
      </c>
      <c r="F10" s="32" t="s">
        <v>249</v>
      </c>
    </row>
    <row r="11" spans="1:6" ht="18.95" customHeight="1">
      <c r="A11" s="25"/>
      <c r="B11" s="24"/>
      <c r="C11" s="24"/>
      <c r="D11" s="24"/>
      <c r="E11" s="24"/>
      <c r="F11" s="23"/>
    </row>
    <row r="12" spans="1:6" ht="18.95" customHeight="1">
      <c r="A12" s="25"/>
      <c r="B12" s="27" t="s">
        <v>18</v>
      </c>
      <c r="C12" s="30" t="str">
        <f>'Performance Data Sheet'!D22 &amp; " A"</f>
        <v>539 A</v>
      </c>
      <c r="D12" s="27" t="s">
        <v>17</v>
      </c>
      <c r="E12" s="30" t="s">
        <v>12</v>
      </c>
      <c r="F12" s="23"/>
    </row>
    <row r="13" spans="1:6" ht="18.95" customHeight="1">
      <c r="A13" s="25"/>
      <c r="B13" s="27" t="s">
        <v>16</v>
      </c>
      <c r="C13" s="31">
        <v>1.2</v>
      </c>
      <c r="D13" s="27" t="s">
        <v>15</v>
      </c>
      <c r="E13" s="30" t="s">
        <v>12</v>
      </c>
      <c r="F13" s="23"/>
    </row>
    <row r="14" spans="1:6" ht="18.95" customHeight="1">
      <c r="A14" s="25"/>
      <c r="B14" s="27" t="s">
        <v>14</v>
      </c>
      <c r="C14" s="31">
        <v>2.5499999999999998</v>
      </c>
      <c r="D14" s="27" t="s">
        <v>13</v>
      </c>
      <c r="E14" s="30" t="s">
        <v>12</v>
      </c>
      <c r="F14" s="23"/>
    </row>
    <row r="15" spans="1:6" ht="18.95" customHeight="1">
      <c r="A15" s="25"/>
      <c r="B15" s="27" t="s">
        <v>11</v>
      </c>
      <c r="C15" s="30" t="s">
        <v>509</v>
      </c>
      <c r="D15" s="24"/>
      <c r="E15" s="24"/>
      <c r="F15" s="23"/>
    </row>
    <row r="16" spans="1:6" ht="18.95" customHeight="1">
      <c r="A16" s="25"/>
      <c r="B16" s="24"/>
      <c r="C16" s="24"/>
      <c r="D16" s="24"/>
      <c r="E16" s="24"/>
      <c r="F16" s="23"/>
    </row>
    <row r="17" spans="1:8" ht="18.95" customHeight="1">
      <c r="A17" s="25"/>
      <c r="B17" s="24"/>
      <c r="C17" s="24"/>
      <c r="D17" s="24"/>
      <c r="E17" s="24"/>
      <c r="F17" s="23"/>
    </row>
    <row r="18" spans="1:8" ht="18.95" customHeight="1">
      <c r="A18" s="25"/>
      <c r="B18" s="24"/>
      <c r="C18" s="24"/>
      <c r="D18" s="24"/>
      <c r="E18" s="24"/>
      <c r="F18" s="23"/>
    </row>
    <row r="19" spans="1:8" ht="18.95" customHeight="1">
      <c r="A19" s="25"/>
      <c r="B19" s="24"/>
      <c r="C19" s="24"/>
      <c r="D19" s="24"/>
      <c r="E19" s="24"/>
      <c r="F19" s="23"/>
    </row>
    <row r="20" spans="1:8" ht="18.95" customHeight="1">
      <c r="A20" s="25"/>
      <c r="B20" s="24"/>
      <c r="C20" s="24"/>
      <c r="D20" s="24"/>
      <c r="E20" s="24"/>
      <c r="F20" s="23"/>
    </row>
    <row r="21" spans="1:8" ht="18.95" customHeight="1">
      <c r="A21" s="25"/>
      <c r="B21" s="24"/>
      <c r="C21" s="24"/>
      <c r="D21" s="24"/>
      <c r="E21" s="24"/>
      <c r="F21" s="23"/>
    </row>
    <row r="22" spans="1:8" ht="18.95" customHeight="1">
      <c r="A22" s="25"/>
      <c r="B22" s="24"/>
      <c r="C22" s="24"/>
      <c r="D22" s="24"/>
      <c r="E22" s="24"/>
      <c r="F22" s="23"/>
    </row>
    <row r="23" spans="1:8" ht="18.95" customHeight="1">
      <c r="A23" s="25"/>
      <c r="B23" s="24"/>
      <c r="C23" s="24"/>
      <c r="D23" s="24"/>
      <c r="E23" s="24"/>
      <c r="F23" s="23"/>
    </row>
    <row r="24" spans="1:8" ht="18.95" customHeight="1">
      <c r="A24" s="25"/>
      <c r="B24" s="24"/>
      <c r="C24" s="24"/>
      <c r="D24" s="24"/>
      <c r="E24" s="24"/>
      <c r="F24" s="23"/>
      <c r="H24" s="29"/>
    </row>
    <row r="25" spans="1:8" ht="18.95" customHeight="1">
      <c r="A25" s="25"/>
      <c r="B25" s="24"/>
      <c r="C25" s="24"/>
      <c r="D25" s="24"/>
      <c r="E25" s="24"/>
      <c r="F25" s="23"/>
    </row>
    <row r="26" spans="1:8" ht="18.95" customHeight="1">
      <c r="A26" s="25"/>
      <c r="B26" s="24"/>
      <c r="C26" s="24"/>
      <c r="D26" s="24"/>
      <c r="E26" s="24"/>
      <c r="F26" s="23"/>
    </row>
    <row r="27" spans="1:8" ht="18.95" customHeight="1">
      <c r="A27" s="25"/>
      <c r="B27" s="24"/>
      <c r="C27" s="24"/>
      <c r="D27" s="24"/>
      <c r="E27" s="24"/>
      <c r="F27" s="23"/>
    </row>
    <row r="28" spans="1:8" ht="18.95" customHeight="1">
      <c r="A28" s="25"/>
      <c r="B28" s="24"/>
      <c r="C28" s="24"/>
      <c r="D28" s="24"/>
      <c r="E28" s="24"/>
      <c r="F28" s="23"/>
    </row>
    <row r="29" spans="1:8" ht="18.95" customHeight="1">
      <c r="A29" s="25"/>
      <c r="B29" s="24"/>
      <c r="C29" s="24"/>
      <c r="D29" s="24"/>
      <c r="E29" s="24"/>
      <c r="F29" s="23"/>
    </row>
    <row r="30" spans="1:8" ht="18.95" customHeight="1">
      <c r="A30" s="25"/>
      <c r="B30" s="24"/>
      <c r="C30" s="24"/>
      <c r="D30" s="24"/>
      <c r="E30" s="24"/>
      <c r="F30" s="23"/>
    </row>
    <row r="31" spans="1:8" ht="18.95" customHeight="1">
      <c r="A31" s="25"/>
      <c r="B31" s="24"/>
      <c r="C31" s="24"/>
      <c r="D31" s="24"/>
      <c r="E31" s="24"/>
      <c r="F31" s="23"/>
    </row>
    <row r="32" spans="1:8" ht="18.95" customHeight="1">
      <c r="A32" s="25"/>
      <c r="B32" s="24"/>
      <c r="C32" s="24"/>
      <c r="D32" s="24"/>
      <c r="E32" s="24"/>
      <c r="F32" s="23"/>
    </row>
    <row r="33" spans="1:6" ht="18.95" customHeight="1">
      <c r="A33" s="25"/>
      <c r="B33" s="24"/>
      <c r="C33" s="24"/>
      <c r="D33" s="24"/>
      <c r="E33" s="24"/>
      <c r="F33" s="23"/>
    </row>
    <row r="34" spans="1:6" ht="18.95" customHeight="1">
      <c r="A34" s="25"/>
      <c r="B34" s="24"/>
      <c r="C34" s="24"/>
      <c r="D34" s="24"/>
      <c r="E34" s="24"/>
      <c r="F34" s="23"/>
    </row>
    <row r="35" spans="1:6" ht="18.95" customHeight="1">
      <c r="A35" s="25"/>
      <c r="B35" s="24"/>
      <c r="C35" s="24"/>
      <c r="D35" s="24"/>
      <c r="E35" s="24"/>
      <c r="F35" s="23"/>
    </row>
    <row r="36" spans="1:6" ht="18.95" customHeight="1">
      <c r="A36" s="25"/>
      <c r="B36" s="24"/>
      <c r="C36" s="24"/>
      <c r="D36" s="24"/>
      <c r="E36" s="24"/>
      <c r="F36" s="23"/>
    </row>
    <row r="37" spans="1:6" ht="18.95" customHeight="1">
      <c r="A37" s="25"/>
      <c r="B37" s="24"/>
      <c r="C37" s="24"/>
      <c r="D37" s="24"/>
      <c r="E37" s="24"/>
      <c r="F37" s="23"/>
    </row>
    <row r="38" spans="1:6" ht="18.95" customHeight="1">
      <c r="A38" s="25"/>
      <c r="B38" s="24"/>
      <c r="C38" s="24"/>
      <c r="D38" s="24"/>
      <c r="E38" s="24"/>
      <c r="F38" s="23"/>
    </row>
    <row r="39" spans="1:6" ht="18.95" customHeight="1">
      <c r="A39" s="28" t="s">
        <v>10</v>
      </c>
      <c r="B39" s="21" t="s">
        <v>9</v>
      </c>
      <c r="C39" s="21">
        <f>'Performance Data Sheet'!J38</f>
        <v>0</v>
      </c>
      <c r="D39" s="24"/>
      <c r="E39" s="27" t="s">
        <v>8</v>
      </c>
      <c r="F39" s="26" t="str">
        <f>F10</f>
        <v>1T2700K_REV1</v>
      </c>
    </row>
    <row r="40" spans="1:6" ht="18.95" customHeight="1">
      <c r="A40" s="25"/>
      <c r="B40" s="21"/>
      <c r="C40" s="21"/>
      <c r="D40" s="24"/>
      <c r="E40" s="24"/>
      <c r="F40" s="23"/>
    </row>
    <row r="41" spans="1:6" ht="18.95" customHeight="1">
      <c r="A41" s="25"/>
      <c r="B41" s="21"/>
      <c r="C41" s="21"/>
      <c r="D41" s="24"/>
      <c r="E41" s="24"/>
      <c r="F41" s="23"/>
    </row>
    <row r="42" spans="1:6" ht="18.95" customHeight="1">
      <c r="A42" s="25"/>
      <c r="B42" s="24"/>
      <c r="C42" s="24"/>
      <c r="D42" s="24"/>
      <c r="E42" s="24"/>
      <c r="F42" s="23"/>
    </row>
    <row r="43" spans="1:6" ht="18.95" customHeight="1">
      <c r="A43" s="22"/>
      <c r="B43" s="21"/>
      <c r="C43" s="20" t="s">
        <v>7</v>
      </c>
      <c r="D43" s="19" t="str">
        <f>'Performance Data Sheet'!K42</f>
        <v>Jerry R</v>
      </c>
      <c r="E43" s="20" t="s">
        <v>6</v>
      </c>
      <c r="F43" s="19"/>
    </row>
    <row r="44" spans="1:6" ht="15" customHeight="1"/>
    <row r="45" spans="1:6" ht="15" customHeight="1"/>
    <row r="46" spans="1:6" ht="15" customHeight="1"/>
    <row r="47" spans="1:6" ht="15" customHeight="1"/>
    <row r="48" spans="1:6" ht="15" customHeight="1"/>
    <row r="49" spans="1:14" ht="15" customHeight="1"/>
    <row r="50" spans="1:14" ht="15" customHeight="1">
      <c r="H50"/>
      <c r="I50"/>
      <c r="J50"/>
      <c r="K50"/>
      <c r="L50"/>
      <c r="M50"/>
      <c r="N50"/>
    </row>
    <row r="51" spans="1:14" ht="15" customHeight="1">
      <c r="H51"/>
      <c r="I51"/>
      <c r="J51"/>
      <c r="K51"/>
      <c r="L51"/>
      <c r="M51"/>
      <c r="N51"/>
    </row>
    <row r="52" spans="1:14" ht="15" customHeight="1" thickBot="1">
      <c r="H52"/>
      <c r="I52"/>
      <c r="J52"/>
      <c r="K52"/>
      <c r="L52"/>
      <c r="M52"/>
      <c r="N52"/>
    </row>
    <row r="53" spans="1:14" ht="15" customHeight="1" thickBot="1">
      <c r="A53" s="18" t="s">
        <v>5</v>
      </c>
      <c r="B53" s="18" t="s">
        <v>4</v>
      </c>
      <c r="C53" s="18" t="s">
        <v>3</v>
      </c>
      <c r="D53" s="18" t="s">
        <v>2</v>
      </c>
      <c r="E53" s="18" t="s">
        <v>1</v>
      </c>
      <c r="F53" s="17" t="s">
        <v>0</v>
      </c>
      <c r="H53"/>
      <c r="I53"/>
      <c r="J53"/>
      <c r="K53"/>
      <c r="L53"/>
      <c r="M53"/>
      <c r="N53"/>
    </row>
    <row r="54" spans="1:14" ht="15" customHeight="1">
      <c r="A54" s="16">
        <v>0</v>
      </c>
      <c r="B54" s="15"/>
      <c r="C54" s="14"/>
      <c r="D54" s="14">
        <v>24.752413465659288</v>
      </c>
      <c r="E54" s="14">
        <v>100</v>
      </c>
      <c r="F54" s="13">
        <f>8959/14000</f>
        <v>0.6399285714285714</v>
      </c>
      <c r="H54"/>
      <c r="I54"/>
      <c r="J54"/>
      <c r="K54"/>
      <c r="L54"/>
      <c r="M54"/>
      <c r="N54"/>
    </row>
    <row r="55" spans="1:14" ht="15" customHeight="1">
      <c r="A55" s="12">
        <v>25</v>
      </c>
      <c r="B55" s="11">
        <v>90.2</v>
      </c>
      <c r="C55" s="10">
        <v>59.7</v>
      </c>
      <c r="D55" s="10">
        <v>35</v>
      </c>
      <c r="E55" s="10">
        <v>79.55494564642072</v>
      </c>
      <c r="F55" s="9">
        <v>10.371960561595683</v>
      </c>
      <c r="H55"/>
      <c r="I55"/>
      <c r="J55"/>
      <c r="K55"/>
      <c r="L55"/>
      <c r="M55"/>
      <c r="N55"/>
    </row>
    <row r="56" spans="1:14" ht="15" customHeight="1">
      <c r="A56" s="12">
        <v>50</v>
      </c>
      <c r="B56" s="11">
        <v>93.5</v>
      </c>
      <c r="C56" s="10">
        <v>78.7</v>
      </c>
      <c r="D56" s="10">
        <v>51.2</v>
      </c>
      <c r="E56" s="10">
        <v>71.545911948158619</v>
      </c>
      <c r="F56" s="9">
        <v>20.017785245833117</v>
      </c>
      <c r="H56"/>
      <c r="I56"/>
      <c r="J56"/>
      <c r="K56"/>
      <c r="L56"/>
      <c r="M56"/>
      <c r="N56"/>
    </row>
    <row r="57" spans="1:14" ht="18.75">
      <c r="A57" s="12">
        <v>75</v>
      </c>
      <c r="B57" s="11">
        <v>94.3</v>
      </c>
      <c r="C57" s="10">
        <v>84.8</v>
      </c>
      <c r="D57" s="10">
        <v>70.599999999999994</v>
      </c>
      <c r="E57" s="10">
        <v>63.328295411007915</v>
      </c>
      <c r="F57" s="9">
        <v>29.770102084593209</v>
      </c>
      <c r="H57"/>
      <c r="I57"/>
      <c r="J57"/>
      <c r="K57"/>
      <c r="L57"/>
      <c r="M57"/>
      <c r="N57"/>
    </row>
    <row r="58" spans="1:14" ht="18.75">
      <c r="A58" s="12">
        <v>100</v>
      </c>
      <c r="B58" s="11">
        <v>94.5</v>
      </c>
      <c r="C58" s="10">
        <v>87.1</v>
      </c>
      <c r="D58" s="10">
        <v>92</v>
      </c>
      <c r="E58" s="10">
        <v>54.935467885818824</v>
      </c>
      <c r="F58" s="9">
        <v>39.633748249247724</v>
      </c>
      <c r="H58"/>
      <c r="I58"/>
      <c r="J58"/>
      <c r="K58"/>
      <c r="L58"/>
      <c r="M58"/>
      <c r="N58"/>
    </row>
    <row r="59" spans="1:14" ht="19.5" thickBot="1">
      <c r="A59" s="8">
        <v>125</v>
      </c>
      <c r="B59" s="7">
        <v>94.4</v>
      </c>
      <c r="C59" s="6">
        <v>87.8</v>
      </c>
      <c r="D59" s="6">
        <v>113.6</v>
      </c>
      <c r="E59" s="6">
        <v>46.42615547668327</v>
      </c>
      <c r="F59" s="5">
        <v>49.613831321350077</v>
      </c>
      <c r="H59"/>
      <c r="I59"/>
      <c r="J59"/>
      <c r="K59"/>
      <c r="L59"/>
      <c r="M59"/>
      <c r="N59"/>
    </row>
    <row r="60" spans="1:14" ht="18.75">
      <c r="A60" s="4"/>
      <c r="B60" s="2"/>
      <c r="C60" s="2"/>
      <c r="H60"/>
      <c r="I60"/>
      <c r="J60"/>
      <c r="K60"/>
      <c r="L60"/>
      <c r="M60"/>
      <c r="N60"/>
    </row>
    <row r="61" spans="1:14">
      <c r="A61" s="4"/>
      <c r="B61" s="2"/>
      <c r="C61" s="2"/>
    </row>
    <row r="62" spans="1:14">
      <c r="A62" s="4"/>
      <c r="B62" s="2"/>
      <c r="C62" s="2"/>
    </row>
    <row r="63" spans="1:14">
      <c r="A63" s="4"/>
      <c r="B63" s="2"/>
      <c r="C63" s="2"/>
    </row>
    <row r="64" spans="1:14">
      <c r="A64" s="4"/>
      <c r="B64" s="2"/>
      <c r="C64" s="2"/>
    </row>
    <row r="65" spans="1:3">
      <c r="A65" s="4"/>
      <c r="B65" s="2"/>
      <c r="C65" s="2"/>
    </row>
    <row r="66" spans="1:3">
      <c r="A66" s="4"/>
      <c r="B66" s="2"/>
      <c r="C66" s="2"/>
    </row>
    <row r="67" spans="1:3">
      <c r="A67" s="3"/>
      <c r="B67" s="2"/>
      <c r="C67" s="2"/>
    </row>
  </sheetData>
  <mergeCells count="2">
    <mergeCell ref="A4:F4"/>
    <mergeCell ref="B6:D6"/>
  </mergeCells>
  <printOptions horizontalCentered="1" verticalCentered="1"/>
  <pageMargins left="0.59055118110236204" right="0.59055118110236204" top="0.59055118110236204" bottom="0.59055118110236204" header="0" footer="0"/>
  <pageSetup scale="92" orientation="portrait"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67"/>
  <sheetViews>
    <sheetView workbookViewId="0">
      <selection activeCell="D13" sqref="D13"/>
    </sheetView>
  </sheetViews>
  <sheetFormatPr defaultColWidth="6.796875" defaultRowHeight="12.75"/>
  <cols>
    <col min="1" max="6" width="12.5" style="1" customWidth="1"/>
    <col min="7" max="8" width="6.796875" style="1"/>
    <col min="9" max="13" width="10" style="1" bestFit="1" customWidth="1"/>
    <col min="14" max="16384" width="6.796875" style="1"/>
  </cols>
  <sheetData>
    <row r="1" spans="1:6" ht="18.95" customHeight="1">
      <c r="A1" s="41"/>
      <c r="B1" s="40"/>
      <c r="C1" s="40"/>
      <c r="D1" s="40"/>
      <c r="E1" s="40"/>
      <c r="F1" s="39"/>
    </row>
    <row r="2" spans="1:6" ht="26.1" customHeight="1">
      <c r="A2" s="38" t="s">
        <v>37</v>
      </c>
      <c r="B2" s="36"/>
      <c r="C2" s="36"/>
      <c r="D2" s="36"/>
      <c r="E2" s="36"/>
      <c r="F2" s="35"/>
    </row>
    <row r="3" spans="1:6" ht="18.95" customHeight="1">
      <c r="A3" s="37" t="s">
        <v>36</v>
      </c>
      <c r="B3" s="36"/>
      <c r="C3" s="36"/>
      <c r="D3" s="36"/>
      <c r="E3" s="36"/>
      <c r="F3" s="35"/>
    </row>
    <row r="4" spans="1:6" ht="18.95" customHeight="1">
      <c r="A4" s="666" t="s">
        <v>35</v>
      </c>
      <c r="B4" s="667"/>
      <c r="C4" s="667"/>
      <c r="D4" s="667"/>
      <c r="E4" s="667"/>
      <c r="F4" s="668"/>
    </row>
    <row r="5" spans="1:6" ht="18.95" customHeight="1">
      <c r="A5" s="25"/>
      <c r="B5" s="24"/>
      <c r="C5" s="24"/>
      <c r="D5" s="24"/>
      <c r="E5" s="24"/>
      <c r="F5" s="23"/>
    </row>
    <row r="6" spans="1:6" ht="18.95" customHeight="1">
      <c r="A6" s="33" t="s">
        <v>34</v>
      </c>
      <c r="B6" s="660" t="str">
        <f>'Performance Data Sheet'!C17</f>
        <v>7003WTAK11F-A</v>
      </c>
      <c r="C6" s="661"/>
      <c r="D6" s="662"/>
      <c r="E6" s="33" t="s">
        <v>33</v>
      </c>
      <c r="F6" s="32" t="s">
        <v>669</v>
      </c>
    </row>
    <row r="7" spans="1:6" ht="18.95" customHeight="1">
      <c r="A7" s="33" t="s">
        <v>32</v>
      </c>
      <c r="B7" s="32" t="str">
        <f>'Performance Data Sheet'!F14</f>
        <v>WP-II</v>
      </c>
      <c r="C7" s="33" t="s">
        <v>31</v>
      </c>
      <c r="D7" s="32" t="s">
        <v>668</v>
      </c>
      <c r="E7" s="33" t="s">
        <v>30</v>
      </c>
      <c r="F7" s="32" t="str">
        <f>'Performance Data Sheet'!C14</f>
        <v>5012USS</v>
      </c>
    </row>
    <row r="8" spans="1:6" ht="18.95" customHeight="1">
      <c r="A8" s="33" t="s">
        <v>29</v>
      </c>
      <c r="B8" s="32">
        <v>2</v>
      </c>
      <c r="C8" s="33" t="s">
        <v>28</v>
      </c>
      <c r="D8" s="32" t="s">
        <v>27</v>
      </c>
      <c r="E8" s="33" t="s">
        <v>26</v>
      </c>
      <c r="F8" s="32" t="s">
        <v>302</v>
      </c>
    </row>
    <row r="9" spans="1:6" ht="18.95" customHeight="1">
      <c r="A9" s="33" t="s">
        <v>25</v>
      </c>
      <c r="B9" s="32">
        <v>700</v>
      </c>
      <c r="C9" s="33" t="s">
        <v>24</v>
      </c>
      <c r="D9" s="32" t="s">
        <v>23</v>
      </c>
      <c r="E9" s="33" t="s">
        <v>22</v>
      </c>
      <c r="F9" s="34">
        <f>'Performance Data Sheet'!K44</f>
        <v>44669</v>
      </c>
    </row>
    <row r="10" spans="1:6" ht="18.95" customHeight="1">
      <c r="A10" s="33" t="s">
        <v>21</v>
      </c>
      <c r="B10" s="32">
        <v>3560</v>
      </c>
      <c r="C10" s="33" t="s">
        <v>20</v>
      </c>
      <c r="D10" s="32" t="s">
        <v>12</v>
      </c>
      <c r="E10" s="33" t="s">
        <v>19</v>
      </c>
      <c r="F10" s="32" t="s">
        <v>249</v>
      </c>
    </row>
    <row r="11" spans="1:6" ht="18.95" customHeight="1">
      <c r="A11" s="25"/>
      <c r="B11" s="24"/>
      <c r="C11" s="24"/>
      <c r="D11" s="24"/>
      <c r="E11" s="24"/>
      <c r="F11" s="23"/>
    </row>
    <row r="12" spans="1:6" ht="18.95" customHeight="1">
      <c r="A12" s="25"/>
      <c r="B12" s="27" t="s">
        <v>18</v>
      </c>
      <c r="C12" s="30" t="s">
        <v>670</v>
      </c>
      <c r="D12" s="27" t="s">
        <v>17</v>
      </c>
      <c r="E12" s="30" t="s">
        <v>12</v>
      </c>
      <c r="F12" s="23"/>
    </row>
    <row r="13" spans="1:6" ht="18.95" customHeight="1">
      <c r="A13" s="25"/>
      <c r="B13" s="27" t="s">
        <v>16</v>
      </c>
      <c r="C13" s="31">
        <v>1.2</v>
      </c>
      <c r="D13" s="27" t="s">
        <v>15</v>
      </c>
      <c r="E13" s="30" t="s">
        <v>12</v>
      </c>
      <c r="F13" s="23"/>
    </row>
    <row r="14" spans="1:6" ht="18.95" customHeight="1">
      <c r="A14" s="25"/>
      <c r="B14" s="27" t="s">
        <v>14</v>
      </c>
      <c r="C14" s="31">
        <v>2.5499999999999998</v>
      </c>
      <c r="D14" s="27" t="s">
        <v>13</v>
      </c>
      <c r="E14" s="30" t="s">
        <v>12</v>
      </c>
      <c r="F14" s="23"/>
    </row>
    <row r="15" spans="1:6" ht="18.95" customHeight="1">
      <c r="A15" s="25"/>
      <c r="B15" s="27" t="s">
        <v>11</v>
      </c>
      <c r="C15" s="30" t="s">
        <v>509</v>
      </c>
      <c r="D15" s="24"/>
      <c r="E15" s="24"/>
      <c r="F15" s="23"/>
    </row>
    <row r="16" spans="1:6" ht="18.95" customHeight="1">
      <c r="A16" s="25"/>
      <c r="B16" s="24"/>
      <c r="C16" s="24"/>
      <c r="D16" s="24"/>
      <c r="E16" s="24"/>
      <c r="F16" s="23"/>
    </row>
    <row r="17" spans="1:8" ht="18.95" customHeight="1">
      <c r="A17" s="25"/>
      <c r="B17" s="24"/>
      <c r="C17" s="24"/>
      <c r="D17" s="24"/>
      <c r="E17" s="24"/>
      <c r="F17" s="23"/>
    </row>
    <row r="18" spans="1:8" ht="18.95" customHeight="1">
      <c r="A18" s="25"/>
      <c r="B18" s="24"/>
      <c r="C18" s="24"/>
      <c r="D18" s="24"/>
      <c r="E18" s="24"/>
      <c r="F18" s="23"/>
    </row>
    <row r="19" spans="1:8" ht="18.95" customHeight="1">
      <c r="A19" s="25"/>
      <c r="B19" s="24"/>
      <c r="C19" s="24"/>
      <c r="D19" s="24"/>
      <c r="E19" s="24"/>
      <c r="F19" s="23"/>
    </row>
    <row r="20" spans="1:8" ht="18.95" customHeight="1">
      <c r="A20" s="25"/>
      <c r="B20" s="24"/>
      <c r="C20" s="24"/>
      <c r="D20" s="24"/>
      <c r="E20" s="24"/>
      <c r="F20" s="23"/>
    </row>
    <row r="21" spans="1:8" ht="18.95" customHeight="1">
      <c r="A21" s="25"/>
      <c r="B21" s="24"/>
      <c r="C21" s="24"/>
      <c r="D21" s="24"/>
      <c r="E21" s="24"/>
      <c r="F21" s="23"/>
    </row>
    <row r="22" spans="1:8" ht="18.95" customHeight="1">
      <c r="A22" s="25"/>
      <c r="B22" s="24"/>
      <c r="C22" s="24"/>
      <c r="D22" s="24"/>
      <c r="E22" s="24"/>
      <c r="F22" s="23"/>
    </row>
    <row r="23" spans="1:8" ht="18.95" customHeight="1">
      <c r="A23" s="25"/>
      <c r="B23" s="24"/>
      <c r="C23" s="24"/>
      <c r="D23" s="24"/>
      <c r="E23" s="24"/>
      <c r="F23" s="23"/>
    </row>
    <row r="24" spans="1:8" ht="18.95" customHeight="1">
      <c r="A24" s="25"/>
      <c r="B24" s="24"/>
      <c r="C24" s="24"/>
      <c r="D24" s="24"/>
      <c r="E24" s="24"/>
      <c r="F24" s="23"/>
      <c r="H24" s="29"/>
    </row>
    <row r="25" spans="1:8" ht="18.95" customHeight="1">
      <c r="A25" s="25"/>
      <c r="B25" s="24"/>
      <c r="C25" s="24"/>
      <c r="D25" s="24"/>
      <c r="E25" s="24"/>
      <c r="F25" s="23"/>
    </row>
    <row r="26" spans="1:8" ht="18.95" customHeight="1">
      <c r="A26" s="25"/>
      <c r="B26" s="24"/>
      <c r="C26" s="24"/>
      <c r="D26" s="24"/>
      <c r="E26" s="24"/>
      <c r="F26" s="23"/>
    </row>
    <row r="27" spans="1:8" ht="18.95" customHeight="1">
      <c r="A27" s="25"/>
      <c r="B27" s="24"/>
      <c r="C27" s="24"/>
      <c r="D27" s="24"/>
      <c r="E27" s="24"/>
      <c r="F27" s="23"/>
    </row>
    <row r="28" spans="1:8" ht="18.95" customHeight="1">
      <c r="A28" s="25"/>
      <c r="B28" s="24"/>
      <c r="C28" s="24"/>
      <c r="D28" s="24"/>
      <c r="E28" s="24"/>
      <c r="F28" s="23"/>
    </row>
    <row r="29" spans="1:8" ht="18.95" customHeight="1">
      <c r="A29" s="25"/>
      <c r="B29" s="24"/>
      <c r="C29" s="24"/>
      <c r="D29" s="24"/>
      <c r="E29" s="24"/>
      <c r="F29" s="23"/>
    </row>
    <row r="30" spans="1:8" ht="18.95" customHeight="1">
      <c r="A30" s="25"/>
      <c r="B30" s="24"/>
      <c r="C30" s="24"/>
      <c r="D30" s="24"/>
      <c r="E30" s="24"/>
      <c r="F30" s="23"/>
    </row>
    <row r="31" spans="1:8" ht="18.95" customHeight="1">
      <c r="A31" s="25"/>
      <c r="B31" s="24"/>
      <c r="C31" s="24"/>
      <c r="D31" s="24"/>
      <c r="E31" s="24"/>
      <c r="F31" s="23"/>
    </row>
    <row r="32" spans="1:8" ht="18.95" customHeight="1">
      <c r="A32" s="25"/>
      <c r="B32" s="24"/>
      <c r="C32" s="24"/>
      <c r="D32" s="24"/>
      <c r="E32" s="24"/>
      <c r="F32" s="23"/>
    </row>
    <row r="33" spans="1:6" ht="18.95" customHeight="1">
      <c r="A33" s="25"/>
      <c r="B33" s="24"/>
      <c r="C33" s="24"/>
      <c r="D33" s="24"/>
      <c r="E33" s="24"/>
      <c r="F33" s="23"/>
    </row>
    <row r="34" spans="1:6" ht="18.95" customHeight="1">
      <c r="A34" s="25"/>
      <c r="B34" s="24"/>
      <c r="C34" s="24"/>
      <c r="D34" s="24"/>
      <c r="E34" s="24"/>
      <c r="F34" s="23"/>
    </row>
    <row r="35" spans="1:6" ht="18.95" customHeight="1">
      <c r="A35" s="25"/>
      <c r="B35" s="24"/>
      <c r="C35" s="24"/>
      <c r="D35" s="24"/>
      <c r="E35" s="24"/>
      <c r="F35" s="23"/>
    </row>
    <row r="36" spans="1:6" ht="18.95" customHeight="1">
      <c r="A36" s="25"/>
      <c r="B36" s="24"/>
      <c r="C36" s="24"/>
      <c r="D36" s="24"/>
      <c r="E36" s="24"/>
      <c r="F36" s="23"/>
    </row>
    <row r="37" spans="1:6" ht="18.95" customHeight="1">
      <c r="A37" s="25"/>
      <c r="B37" s="24"/>
      <c r="C37" s="24"/>
      <c r="D37" s="24"/>
      <c r="E37" s="24"/>
      <c r="F37" s="23"/>
    </row>
    <row r="38" spans="1:6" ht="18.95" customHeight="1">
      <c r="A38" s="25"/>
      <c r="B38" s="24"/>
      <c r="C38" s="24"/>
      <c r="D38" s="24"/>
      <c r="E38" s="24"/>
      <c r="F38" s="23"/>
    </row>
    <row r="39" spans="1:6" ht="18.95" customHeight="1">
      <c r="A39" s="28" t="s">
        <v>10</v>
      </c>
      <c r="B39" s="21" t="s">
        <v>9</v>
      </c>
      <c r="C39" s="21">
        <f>'Performance Data Sheet'!J38</f>
        <v>0</v>
      </c>
      <c r="D39" s="24"/>
      <c r="E39" s="27" t="s">
        <v>8</v>
      </c>
      <c r="F39" s="26" t="str">
        <f>F10</f>
        <v>1T2700K_REV1</v>
      </c>
    </row>
    <row r="40" spans="1:6" ht="18.95" customHeight="1">
      <c r="A40" s="25"/>
      <c r="B40" s="21"/>
      <c r="C40" s="21"/>
      <c r="D40" s="24"/>
      <c r="E40" s="24"/>
      <c r="F40" s="23"/>
    </row>
    <row r="41" spans="1:6" ht="18.95" customHeight="1">
      <c r="A41" s="25"/>
      <c r="B41" s="21"/>
      <c r="C41" s="21"/>
      <c r="D41" s="24"/>
      <c r="E41" s="24"/>
      <c r="F41" s="23"/>
    </row>
    <row r="42" spans="1:6" ht="18.95" customHeight="1">
      <c r="A42" s="25"/>
      <c r="B42" s="24"/>
      <c r="C42" s="24"/>
      <c r="D42" s="24"/>
      <c r="E42" s="24"/>
      <c r="F42" s="23"/>
    </row>
    <row r="43" spans="1:6" ht="18.95" customHeight="1">
      <c r="A43" s="22"/>
      <c r="B43" s="21"/>
      <c r="C43" s="20" t="s">
        <v>7</v>
      </c>
      <c r="D43" s="19" t="str">
        <f>'Performance Data Sheet'!K42</f>
        <v>Jerry R</v>
      </c>
      <c r="E43" s="20" t="s">
        <v>6</v>
      </c>
      <c r="F43" s="19"/>
    </row>
    <row r="44" spans="1:6" ht="15" customHeight="1"/>
    <row r="45" spans="1:6" ht="15" customHeight="1"/>
    <row r="46" spans="1:6" ht="15" customHeight="1"/>
    <row r="47" spans="1:6" ht="15" customHeight="1"/>
    <row r="48" spans="1:6" ht="15" customHeight="1"/>
    <row r="49" spans="1:14" ht="15" customHeight="1"/>
    <row r="50" spans="1:14" ht="15" customHeight="1">
      <c r="H50"/>
      <c r="I50"/>
      <c r="J50"/>
      <c r="K50"/>
      <c r="L50"/>
      <c r="M50"/>
      <c r="N50"/>
    </row>
    <row r="51" spans="1:14" ht="15" customHeight="1">
      <c r="H51"/>
      <c r="I51"/>
      <c r="J51"/>
      <c r="K51"/>
      <c r="L51"/>
      <c r="M51"/>
      <c r="N51"/>
    </row>
    <row r="52" spans="1:14" ht="15" customHeight="1" thickBot="1">
      <c r="H52"/>
      <c r="I52"/>
      <c r="J52"/>
      <c r="K52"/>
      <c r="L52"/>
      <c r="M52"/>
      <c r="N52"/>
    </row>
    <row r="53" spans="1:14" ht="15" customHeight="1" thickBot="1">
      <c r="A53" s="18" t="s">
        <v>5</v>
      </c>
      <c r="B53" s="18" t="s">
        <v>4</v>
      </c>
      <c r="C53" s="18" t="s">
        <v>3</v>
      </c>
      <c r="D53" s="18" t="s">
        <v>2</v>
      </c>
      <c r="E53" s="18" t="s">
        <v>1</v>
      </c>
      <c r="F53" s="17" t="s">
        <v>0</v>
      </c>
      <c r="H53"/>
      <c r="I53"/>
      <c r="J53"/>
      <c r="K53"/>
      <c r="L53"/>
      <c r="M53"/>
      <c r="N53"/>
    </row>
    <row r="54" spans="1:14" ht="15" customHeight="1">
      <c r="A54" s="16">
        <v>0</v>
      </c>
      <c r="B54" s="15"/>
      <c r="C54" s="14"/>
      <c r="D54" s="14">
        <v>42.872437732473919</v>
      </c>
      <c r="E54" s="14">
        <v>100</v>
      </c>
      <c r="F54" s="13">
        <f>8959/14000</f>
        <v>0.6399285714285714</v>
      </c>
      <c r="H54"/>
      <c r="I54"/>
      <c r="J54"/>
      <c r="K54"/>
      <c r="L54"/>
      <c r="M54"/>
      <c r="N54"/>
    </row>
    <row r="55" spans="1:14" ht="15" customHeight="1">
      <c r="A55" s="12">
        <v>25</v>
      </c>
      <c r="B55" s="11">
        <v>90.2</v>
      </c>
      <c r="C55" s="10">
        <v>59.7</v>
      </c>
      <c r="D55" s="10">
        <v>60.621778264910702</v>
      </c>
      <c r="E55" s="10">
        <v>79.55494564642072</v>
      </c>
      <c r="F55" s="9">
        <v>10.371960561595683</v>
      </c>
      <c r="H55"/>
      <c r="I55"/>
      <c r="J55"/>
      <c r="K55"/>
      <c r="L55"/>
      <c r="M55"/>
      <c r="N55"/>
    </row>
    <row r="56" spans="1:14" ht="15" customHeight="1">
      <c r="A56" s="12">
        <v>50</v>
      </c>
      <c r="B56" s="11">
        <v>93.5</v>
      </c>
      <c r="C56" s="10">
        <v>78.7</v>
      </c>
      <c r="D56" s="10">
        <v>88.681001347526518</v>
      </c>
      <c r="E56" s="10">
        <v>71.545911948158619</v>
      </c>
      <c r="F56" s="9">
        <v>20.017785245833117</v>
      </c>
      <c r="H56"/>
      <c r="I56"/>
      <c r="J56"/>
      <c r="K56"/>
      <c r="L56"/>
      <c r="M56"/>
      <c r="N56"/>
    </row>
    <row r="57" spans="1:14" ht="18.75">
      <c r="A57" s="12">
        <v>75</v>
      </c>
      <c r="B57" s="11">
        <v>94.3</v>
      </c>
      <c r="C57" s="10">
        <v>84.8</v>
      </c>
      <c r="D57" s="10">
        <v>122.28278701436273</v>
      </c>
      <c r="E57" s="10">
        <v>63.328295411007915</v>
      </c>
      <c r="F57" s="9">
        <v>29.770102084593209</v>
      </c>
      <c r="H57"/>
      <c r="I57"/>
      <c r="J57"/>
      <c r="K57"/>
      <c r="L57"/>
      <c r="M57"/>
      <c r="N57"/>
    </row>
    <row r="58" spans="1:14" ht="18.75">
      <c r="A58" s="12">
        <v>100</v>
      </c>
      <c r="B58" s="11">
        <v>94.5</v>
      </c>
      <c r="C58" s="10">
        <v>87.1</v>
      </c>
      <c r="D58" s="10">
        <v>159</v>
      </c>
      <c r="E58" s="10">
        <v>54.935467885818824</v>
      </c>
      <c r="F58" s="9">
        <v>39.633748249247724</v>
      </c>
      <c r="H58"/>
      <c r="I58"/>
      <c r="J58"/>
      <c r="K58"/>
      <c r="L58"/>
      <c r="M58"/>
      <c r="N58"/>
    </row>
    <row r="59" spans="1:14" ht="19.5" thickBot="1">
      <c r="A59" s="8">
        <v>125</v>
      </c>
      <c r="B59" s="7">
        <v>94.4</v>
      </c>
      <c r="C59" s="6">
        <v>87.8</v>
      </c>
      <c r="D59" s="6">
        <v>196.76097173982444</v>
      </c>
      <c r="E59" s="6">
        <v>46.42615547668327</v>
      </c>
      <c r="F59" s="5">
        <v>49.613831321350077</v>
      </c>
      <c r="H59"/>
      <c r="I59"/>
      <c r="J59"/>
      <c r="K59"/>
      <c r="L59"/>
      <c r="M59"/>
      <c r="N59"/>
    </row>
    <row r="60" spans="1:14" ht="18.75">
      <c r="A60" s="4"/>
      <c r="B60" s="2"/>
      <c r="C60" s="2"/>
      <c r="H60"/>
      <c r="I60"/>
      <c r="J60"/>
      <c r="K60"/>
      <c r="L60"/>
      <c r="M60"/>
      <c r="N60"/>
    </row>
    <row r="61" spans="1:14">
      <c r="A61" s="4"/>
      <c r="B61" s="2"/>
      <c r="C61" s="2"/>
    </row>
    <row r="62" spans="1:14">
      <c r="A62" s="4"/>
      <c r="B62" s="2"/>
      <c r="C62" s="2"/>
    </row>
    <row r="63" spans="1:14">
      <c r="A63" s="4"/>
      <c r="B63" s="2"/>
      <c r="C63" s="2"/>
    </row>
    <row r="64" spans="1:14">
      <c r="A64" s="4"/>
      <c r="B64" s="2"/>
      <c r="C64" s="2"/>
    </row>
    <row r="65" spans="1:3">
      <c r="A65" s="4"/>
      <c r="B65" s="2"/>
      <c r="C65" s="2"/>
    </row>
    <row r="66" spans="1:3">
      <c r="A66" s="4"/>
      <c r="B66" s="2"/>
      <c r="C66" s="2"/>
    </row>
    <row r="67" spans="1:3">
      <c r="A67" s="3"/>
      <c r="B67" s="2"/>
      <c r="C67" s="2"/>
    </row>
  </sheetData>
  <mergeCells count="2">
    <mergeCell ref="A4:F4"/>
    <mergeCell ref="B6:D6"/>
  </mergeCells>
  <printOptions horizontalCentered="1" verticalCentered="1"/>
  <pageMargins left="0.59055118110236204" right="0.59055118110236204" top="0.59055118110236204" bottom="0.59055118110236204" header="0" footer="0"/>
  <pageSetup scale="92" orientation="portrait"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61"/>
  <sheetViews>
    <sheetView topLeftCell="A23" workbookViewId="0">
      <selection activeCell="G27" sqref="G27"/>
    </sheetView>
  </sheetViews>
  <sheetFormatPr defaultRowHeight="12.75"/>
  <cols>
    <col min="1" max="1" width="14.69921875" style="1" customWidth="1"/>
    <col min="2" max="7" width="8" style="1" customWidth="1"/>
    <col min="8" max="256" width="8.69921875" style="1"/>
    <col min="257" max="257" width="14.69921875" style="1" customWidth="1"/>
    <col min="258" max="263" width="8" style="1" customWidth="1"/>
    <col min="264" max="512" width="8.69921875" style="1"/>
    <col min="513" max="513" width="14.69921875" style="1" customWidth="1"/>
    <col min="514" max="519" width="8" style="1" customWidth="1"/>
    <col min="520" max="768" width="8.69921875" style="1"/>
    <col min="769" max="769" width="14.69921875" style="1" customWidth="1"/>
    <col min="770" max="775" width="8" style="1" customWidth="1"/>
    <col min="776" max="1024" width="8.69921875" style="1"/>
    <col min="1025" max="1025" width="14.69921875" style="1" customWidth="1"/>
    <col min="1026" max="1031" width="8" style="1" customWidth="1"/>
    <col min="1032" max="1280" width="8.69921875" style="1"/>
    <col min="1281" max="1281" width="14.69921875" style="1" customWidth="1"/>
    <col min="1282" max="1287" width="8" style="1" customWidth="1"/>
    <col min="1288" max="1536" width="8.69921875" style="1"/>
    <col min="1537" max="1537" width="14.69921875" style="1" customWidth="1"/>
    <col min="1538" max="1543" width="8" style="1" customWidth="1"/>
    <col min="1544" max="1792" width="8.69921875" style="1"/>
    <col min="1793" max="1793" width="14.69921875" style="1" customWidth="1"/>
    <col min="1794" max="1799" width="8" style="1" customWidth="1"/>
    <col min="1800" max="2048" width="8.69921875" style="1"/>
    <col min="2049" max="2049" width="14.69921875" style="1" customWidth="1"/>
    <col min="2050" max="2055" width="8" style="1" customWidth="1"/>
    <col min="2056" max="2304" width="8.69921875" style="1"/>
    <col min="2305" max="2305" width="14.69921875" style="1" customWidth="1"/>
    <col min="2306" max="2311" width="8" style="1" customWidth="1"/>
    <col min="2312" max="2560" width="8.69921875" style="1"/>
    <col min="2561" max="2561" width="14.69921875" style="1" customWidth="1"/>
    <col min="2562" max="2567" width="8" style="1" customWidth="1"/>
    <col min="2568" max="2816" width="8.69921875" style="1"/>
    <col min="2817" max="2817" width="14.69921875" style="1" customWidth="1"/>
    <col min="2818" max="2823" width="8" style="1" customWidth="1"/>
    <col min="2824" max="3072" width="8.69921875" style="1"/>
    <col min="3073" max="3073" width="14.69921875" style="1" customWidth="1"/>
    <col min="3074" max="3079" width="8" style="1" customWidth="1"/>
    <col min="3080" max="3328" width="8.69921875" style="1"/>
    <col min="3329" max="3329" width="14.69921875" style="1" customWidth="1"/>
    <col min="3330" max="3335" width="8" style="1" customWidth="1"/>
    <col min="3336" max="3584" width="8.69921875" style="1"/>
    <col min="3585" max="3585" width="14.69921875" style="1" customWidth="1"/>
    <col min="3586" max="3591" width="8" style="1" customWidth="1"/>
    <col min="3592" max="3840" width="8.69921875" style="1"/>
    <col min="3841" max="3841" width="14.69921875" style="1" customWidth="1"/>
    <col min="3842" max="3847" width="8" style="1" customWidth="1"/>
    <col min="3848" max="4096" width="8.69921875" style="1"/>
    <col min="4097" max="4097" width="14.69921875" style="1" customWidth="1"/>
    <col min="4098" max="4103" width="8" style="1" customWidth="1"/>
    <col min="4104" max="4352" width="8.69921875" style="1"/>
    <col min="4353" max="4353" width="14.69921875" style="1" customWidth="1"/>
    <col min="4354" max="4359" width="8" style="1" customWidth="1"/>
    <col min="4360" max="4608" width="8.69921875" style="1"/>
    <col min="4609" max="4609" width="14.69921875" style="1" customWidth="1"/>
    <col min="4610" max="4615" width="8" style="1" customWidth="1"/>
    <col min="4616" max="4864" width="8.69921875" style="1"/>
    <col min="4865" max="4865" width="14.69921875" style="1" customWidth="1"/>
    <col min="4866" max="4871" width="8" style="1" customWidth="1"/>
    <col min="4872" max="5120" width="8.69921875" style="1"/>
    <col min="5121" max="5121" width="14.69921875" style="1" customWidth="1"/>
    <col min="5122" max="5127" width="8" style="1" customWidth="1"/>
    <col min="5128" max="5376" width="8.69921875" style="1"/>
    <col min="5377" max="5377" width="14.69921875" style="1" customWidth="1"/>
    <col min="5378" max="5383" width="8" style="1" customWidth="1"/>
    <col min="5384" max="5632" width="8.69921875" style="1"/>
    <col min="5633" max="5633" width="14.69921875" style="1" customWidth="1"/>
    <col min="5634" max="5639" width="8" style="1" customWidth="1"/>
    <col min="5640" max="5888" width="8.69921875" style="1"/>
    <col min="5889" max="5889" width="14.69921875" style="1" customWidth="1"/>
    <col min="5890" max="5895" width="8" style="1" customWidth="1"/>
    <col min="5896" max="6144" width="8.69921875" style="1"/>
    <col min="6145" max="6145" width="14.69921875" style="1" customWidth="1"/>
    <col min="6146" max="6151" width="8" style="1" customWidth="1"/>
    <col min="6152" max="6400" width="8.69921875" style="1"/>
    <col min="6401" max="6401" width="14.69921875" style="1" customWidth="1"/>
    <col min="6402" max="6407" width="8" style="1" customWidth="1"/>
    <col min="6408" max="6656" width="8.69921875" style="1"/>
    <col min="6657" max="6657" width="14.69921875" style="1" customWidth="1"/>
    <col min="6658" max="6663" width="8" style="1" customWidth="1"/>
    <col min="6664" max="6912" width="8.69921875" style="1"/>
    <col min="6913" max="6913" width="14.69921875" style="1" customWidth="1"/>
    <col min="6914" max="6919" width="8" style="1" customWidth="1"/>
    <col min="6920" max="7168" width="8.69921875" style="1"/>
    <col min="7169" max="7169" width="14.69921875" style="1" customWidth="1"/>
    <col min="7170" max="7175" width="8" style="1" customWidth="1"/>
    <col min="7176" max="7424" width="8.69921875" style="1"/>
    <col min="7425" max="7425" width="14.69921875" style="1" customWidth="1"/>
    <col min="7426" max="7431" width="8" style="1" customWidth="1"/>
    <col min="7432" max="7680" width="8.69921875" style="1"/>
    <col min="7681" max="7681" width="14.69921875" style="1" customWidth="1"/>
    <col min="7682" max="7687" width="8" style="1" customWidth="1"/>
    <col min="7688" max="7936" width="8.69921875" style="1"/>
    <col min="7937" max="7937" width="14.69921875" style="1" customWidth="1"/>
    <col min="7938" max="7943" width="8" style="1" customWidth="1"/>
    <col min="7944" max="8192" width="8.69921875" style="1"/>
    <col min="8193" max="8193" width="14.69921875" style="1" customWidth="1"/>
    <col min="8194" max="8199" width="8" style="1" customWidth="1"/>
    <col min="8200" max="8448" width="8.69921875" style="1"/>
    <col min="8449" max="8449" width="14.69921875" style="1" customWidth="1"/>
    <col min="8450" max="8455" width="8" style="1" customWidth="1"/>
    <col min="8456" max="8704" width="8.69921875" style="1"/>
    <col min="8705" max="8705" width="14.69921875" style="1" customWidth="1"/>
    <col min="8706" max="8711" width="8" style="1" customWidth="1"/>
    <col min="8712" max="8960" width="8.69921875" style="1"/>
    <col min="8961" max="8961" width="14.69921875" style="1" customWidth="1"/>
    <col min="8962" max="8967" width="8" style="1" customWidth="1"/>
    <col min="8968" max="9216" width="8.69921875" style="1"/>
    <col min="9217" max="9217" width="14.69921875" style="1" customWidth="1"/>
    <col min="9218" max="9223" width="8" style="1" customWidth="1"/>
    <col min="9224" max="9472" width="8.69921875" style="1"/>
    <col min="9473" max="9473" width="14.69921875" style="1" customWidth="1"/>
    <col min="9474" max="9479" width="8" style="1" customWidth="1"/>
    <col min="9480" max="9728" width="8.69921875" style="1"/>
    <col min="9729" max="9729" width="14.69921875" style="1" customWidth="1"/>
    <col min="9730" max="9735" width="8" style="1" customWidth="1"/>
    <col min="9736" max="9984" width="8.69921875" style="1"/>
    <col min="9985" max="9985" width="14.69921875" style="1" customWidth="1"/>
    <col min="9986" max="9991" width="8" style="1" customWidth="1"/>
    <col min="9992" max="10240" width="8.69921875" style="1"/>
    <col min="10241" max="10241" width="14.69921875" style="1" customWidth="1"/>
    <col min="10242" max="10247" width="8" style="1" customWidth="1"/>
    <col min="10248" max="10496" width="8.69921875" style="1"/>
    <col min="10497" max="10497" width="14.69921875" style="1" customWidth="1"/>
    <col min="10498" max="10503" width="8" style="1" customWidth="1"/>
    <col min="10504" max="10752" width="8.69921875" style="1"/>
    <col min="10753" max="10753" width="14.69921875" style="1" customWidth="1"/>
    <col min="10754" max="10759" width="8" style="1" customWidth="1"/>
    <col min="10760" max="11008" width="8.69921875" style="1"/>
    <col min="11009" max="11009" width="14.69921875" style="1" customWidth="1"/>
    <col min="11010" max="11015" width="8" style="1" customWidth="1"/>
    <col min="11016" max="11264" width="8.69921875" style="1"/>
    <col min="11265" max="11265" width="14.69921875" style="1" customWidth="1"/>
    <col min="11266" max="11271" width="8" style="1" customWidth="1"/>
    <col min="11272" max="11520" width="8.69921875" style="1"/>
    <col min="11521" max="11521" width="14.69921875" style="1" customWidth="1"/>
    <col min="11522" max="11527" width="8" style="1" customWidth="1"/>
    <col min="11528" max="11776" width="8.69921875" style="1"/>
    <col min="11777" max="11777" width="14.69921875" style="1" customWidth="1"/>
    <col min="11778" max="11783" width="8" style="1" customWidth="1"/>
    <col min="11784" max="12032" width="8.69921875" style="1"/>
    <col min="12033" max="12033" width="14.69921875" style="1" customWidth="1"/>
    <col min="12034" max="12039" width="8" style="1" customWidth="1"/>
    <col min="12040" max="12288" width="8.69921875" style="1"/>
    <col min="12289" max="12289" width="14.69921875" style="1" customWidth="1"/>
    <col min="12290" max="12295" width="8" style="1" customWidth="1"/>
    <col min="12296" max="12544" width="8.69921875" style="1"/>
    <col min="12545" max="12545" width="14.69921875" style="1" customWidth="1"/>
    <col min="12546" max="12551" width="8" style="1" customWidth="1"/>
    <col min="12552" max="12800" width="8.69921875" style="1"/>
    <col min="12801" max="12801" width="14.69921875" style="1" customWidth="1"/>
    <col min="12802" max="12807" width="8" style="1" customWidth="1"/>
    <col min="12808" max="13056" width="8.69921875" style="1"/>
    <col min="13057" max="13057" width="14.69921875" style="1" customWidth="1"/>
    <col min="13058" max="13063" width="8" style="1" customWidth="1"/>
    <col min="13064" max="13312" width="8.69921875" style="1"/>
    <col min="13313" max="13313" width="14.69921875" style="1" customWidth="1"/>
    <col min="13314" max="13319" width="8" style="1" customWidth="1"/>
    <col min="13320" max="13568" width="8.69921875" style="1"/>
    <col min="13569" max="13569" width="14.69921875" style="1" customWidth="1"/>
    <col min="13570" max="13575" width="8" style="1" customWidth="1"/>
    <col min="13576" max="13824" width="8.69921875" style="1"/>
    <col min="13825" max="13825" width="14.69921875" style="1" customWidth="1"/>
    <col min="13826" max="13831" width="8" style="1" customWidth="1"/>
    <col min="13832" max="14080" width="8.69921875" style="1"/>
    <col min="14081" max="14081" width="14.69921875" style="1" customWidth="1"/>
    <col min="14082" max="14087" width="8" style="1" customWidth="1"/>
    <col min="14088" max="14336" width="8.69921875" style="1"/>
    <col min="14337" max="14337" width="14.69921875" style="1" customWidth="1"/>
    <col min="14338" max="14343" width="8" style="1" customWidth="1"/>
    <col min="14344" max="14592" width="8.69921875" style="1"/>
    <col min="14593" max="14593" width="14.69921875" style="1" customWidth="1"/>
    <col min="14594" max="14599" width="8" style="1" customWidth="1"/>
    <col min="14600" max="14848" width="8.69921875" style="1"/>
    <col min="14849" max="14849" width="14.69921875" style="1" customWidth="1"/>
    <col min="14850" max="14855" width="8" style="1" customWidth="1"/>
    <col min="14856" max="15104" width="8.69921875" style="1"/>
    <col min="15105" max="15105" width="14.69921875" style="1" customWidth="1"/>
    <col min="15106" max="15111" width="8" style="1" customWidth="1"/>
    <col min="15112" max="15360" width="8.69921875" style="1"/>
    <col min="15361" max="15361" width="14.69921875" style="1" customWidth="1"/>
    <col min="15362" max="15367" width="8" style="1" customWidth="1"/>
    <col min="15368" max="15616" width="8.69921875" style="1"/>
    <col min="15617" max="15617" width="14.69921875" style="1" customWidth="1"/>
    <col min="15618" max="15623" width="8" style="1" customWidth="1"/>
    <col min="15624" max="15872" width="8.69921875" style="1"/>
    <col min="15873" max="15873" width="14.69921875" style="1" customWidth="1"/>
    <col min="15874" max="15879" width="8" style="1" customWidth="1"/>
    <col min="15880" max="16128" width="8.69921875" style="1"/>
    <col min="16129" max="16129" width="14.69921875" style="1" customWidth="1"/>
    <col min="16130" max="16135" width="8" style="1" customWidth="1"/>
    <col min="16136" max="16384" width="8.69921875" style="1"/>
  </cols>
  <sheetData>
    <row r="1" spans="1:12" ht="21" customHeight="1">
      <c r="A1" s="473" t="s">
        <v>510</v>
      </c>
      <c r="B1" s="633" t="s">
        <v>511</v>
      </c>
      <c r="C1" s="633"/>
      <c r="D1" s="633"/>
      <c r="E1" s="633"/>
      <c r="F1" s="633"/>
      <c r="G1" s="633"/>
    </row>
    <row r="2" spans="1:12" ht="15" customHeight="1"/>
    <row r="3" spans="1:12" ht="20.25">
      <c r="A3" s="474" t="s">
        <v>512</v>
      </c>
    </row>
    <row r="4" spans="1:12" ht="12" customHeight="1">
      <c r="A4" s="364"/>
      <c r="B4" s="364"/>
      <c r="C4" s="364"/>
      <c r="D4" s="364" t="s">
        <v>513</v>
      </c>
      <c r="E4" s="364"/>
      <c r="F4" s="364"/>
      <c r="G4" s="364"/>
      <c r="H4" s="364"/>
      <c r="I4" s="364"/>
      <c r="J4" s="364"/>
      <c r="K4" s="364"/>
      <c r="L4" s="364"/>
    </row>
    <row r="5" spans="1:12" ht="15.6" customHeight="1">
      <c r="A5" s="475" t="s">
        <v>1</v>
      </c>
      <c r="B5" s="475" t="s">
        <v>514</v>
      </c>
      <c r="C5" s="475" t="s">
        <v>515</v>
      </c>
      <c r="D5" s="475" t="s">
        <v>516</v>
      </c>
      <c r="E5" s="475" t="s">
        <v>517</v>
      </c>
      <c r="F5" s="475" t="s">
        <v>518</v>
      </c>
      <c r="G5" s="475" t="s">
        <v>519</v>
      </c>
      <c r="H5" s="364"/>
      <c r="I5" s="364"/>
      <c r="J5" s="364"/>
      <c r="K5" s="364"/>
      <c r="L5" s="364"/>
    </row>
    <row r="6" spans="1:12" ht="15.6" customHeight="1">
      <c r="A6" s="476" t="s">
        <v>520</v>
      </c>
      <c r="B6" s="476" t="s">
        <v>244</v>
      </c>
      <c r="C6" s="476" t="s">
        <v>244</v>
      </c>
      <c r="D6" s="476" t="s">
        <v>521</v>
      </c>
      <c r="E6" s="476" t="s">
        <v>2</v>
      </c>
      <c r="F6" s="476" t="s">
        <v>522</v>
      </c>
      <c r="G6" s="476" t="s">
        <v>522</v>
      </c>
      <c r="H6" s="364"/>
      <c r="I6" s="364"/>
      <c r="J6" s="364"/>
      <c r="K6" s="364"/>
      <c r="L6" s="364"/>
    </row>
    <row r="7" spans="1:12" ht="15.95" customHeight="1">
      <c r="A7" s="477" t="s">
        <v>523</v>
      </c>
      <c r="B7" s="477" t="s">
        <v>524</v>
      </c>
      <c r="C7" s="477" t="s">
        <v>525</v>
      </c>
      <c r="D7" s="477" t="s">
        <v>526</v>
      </c>
      <c r="E7" s="477" t="s">
        <v>527</v>
      </c>
      <c r="F7" s="477" t="s">
        <v>528</v>
      </c>
      <c r="G7" s="477" t="s">
        <v>529</v>
      </c>
      <c r="H7" s="364"/>
      <c r="I7" s="364"/>
      <c r="J7" s="364"/>
      <c r="K7" s="364"/>
      <c r="L7" s="364"/>
    </row>
    <row r="8" spans="1:12" ht="15.95" customHeight="1">
      <c r="A8" s="477" t="s">
        <v>530</v>
      </c>
      <c r="B8" s="477" t="s">
        <v>531</v>
      </c>
      <c r="C8" s="477" t="s">
        <v>532</v>
      </c>
      <c r="D8" s="477" t="s">
        <v>533</v>
      </c>
      <c r="E8" s="477" t="s">
        <v>534</v>
      </c>
      <c r="F8" s="477" t="s">
        <v>535</v>
      </c>
      <c r="G8" s="477" t="s">
        <v>536</v>
      </c>
      <c r="H8" s="364"/>
      <c r="I8" s="364"/>
      <c r="J8" s="364"/>
      <c r="K8" s="364"/>
      <c r="L8" s="364"/>
    </row>
    <row r="9" spans="1:12" ht="15.95" customHeight="1">
      <c r="A9" s="477" t="s">
        <v>537</v>
      </c>
      <c r="B9" s="477" t="s">
        <v>538</v>
      </c>
      <c r="C9" s="477" t="s">
        <v>539</v>
      </c>
      <c r="D9" s="477" t="s">
        <v>540</v>
      </c>
      <c r="E9" s="477" t="s">
        <v>541</v>
      </c>
      <c r="F9" s="477" t="s">
        <v>542</v>
      </c>
      <c r="G9" s="477" t="s">
        <v>543</v>
      </c>
      <c r="H9" s="364"/>
      <c r="I9" s="364"/>
      <c r="J9" s="364"/>
      <c r="K9" s="364"/>
      <c r="L9" s="364"/>
    </row>
    <row r="10" spans="1:12" ht="15.95" customHeight="1">
      <c r="A10" s="477" t="s">
        <v>544</v>
      </c>
      <c r="B10" s="477" t="s">
        <v>545</v>
      </c>
      <c r="C10" s="477" t="s">
        <v>539</v>
      </c>
      <c r="D10" s="477" t="s">
        <v>546</v>
      </c>
      <c r="E10" s="477" t="s">
        <v>547</v>
      </c>
      <c r="F10" s="477" t="s">
        <v>548</v>
      </c>
      <c r="G10" s="477" t="s">
        <v>549</v>
      </c>
      <c r="H10" s="364"/>
      <c r="I10" s="364"/>
      <c r="J10" s="364"/>
      <c r="K10" s="364"/>
      <c r="L10" s="364"/>
    </row>
    <row r="11" spans="1:12" ht="15.95" customHeight="1">
      <c r="A11" s="477" t="s">
        <v>550</v>
      </c>
      <c r="B11" s="477" t="s">
        <v>551</v>
      </c>
      <c r="C11" s="477" t="s">
        <v>552</v>
      </c>
      <c r="D11" s="477" t="s">
        <v>553</v>
      </c>
      <c r="E11" s="477" t="s">
        <v>554</v>
      </c>
      <c r="F11" s="477" t="s">
        <v>555</v>
      </c>
      <c r="G11" s="477" t="s">
        <v>556</v>
      </c>
      <c r="H11" s="364"/>
      <c r="I11" s="364"/>
      <c r="J11" s="364"/>
      <c r="K11" s="364"/>
      <c r="L11" s="364"/>
    </row>
    <row r="12" spans="1:12" ht="15.95" customHeight="1">
      <c r="A12" s="477" t="s">
        <v>557</v>
      </c>
      <c r="B12" s="477" t="s">
        <v>558</v>
      </c>
      <c r="C12" s="477" t="s">
        <v>559</v>
      </c>
      <c r="D12" s="477" t="s">
        <v>560</v>
      </c>
      <c r="E12" s="477" t="s">
        <v>561</v>
      </c>
      <c r="F12" s="477" t="s">
        <v>562</v>
      </c>
      <c r="G12" s="477" t="s">
        <v>563</v>
      </c>
      <c r="H12" s="364"/>
      <c r="I12" s="364"/>
      <c r="J12" s="364"/>
      <c r="K12" s="364"/>
      <c r="L12" s="364"/>
    </row>
    <row r="13" spans="1:12" ht="15.95" customHeight="1">
      <c r="A13" s="477" t="s">
        <v>564</v>
      </c>
      <c r="B13" s="477" t="s">
        <v>565</v>
      </c>
      <c r="C13" s="477" t="s">
        <v>566</v>
      </c>
      <c r="D13" s="477" t="s">
        <v>567</v>
      </c>
      <c r="E13" s="477" t="s">
        <v>568</v>
      </c>
      <c r="F13" s="477" t="s">
        <v>569</v>
      </c>
      <c r="G13" s="477" t="s">
        <v>570</v>
      </c>
      <c r="H13" s="364"/>
      <c r="I13" s="364"/>
      <c r="J13" s="364"/>
      <c r="K13" s="364"/>
      <c r="L13" s="364"/>
    </row>
    <row r="14" spans="1:12" ht="15.95" customHeight="1">
      <c r="A14" s="477" t="s">
        <v>571</v>
      </c>
      <c r="B14" s="477" t="s">
        <v>572</v>
      </c>
      <c r="C14" s="477" t="s">
        <v>573</v>
      </c>
      <c r="D14" s="477" t="s">
        <v>574</v>
      </c>
      <c r="E14" s="477" t="s">
        <v>575</v>
      </c>
      <c r="F14" s="477" t="s">
        <v>576</v>
      </c>
      <c r="G14" s="477" t="s">
        <v>577</v>
      </c>
      <c r="H14" s="364"/>
      <c r="I14" s="364"/>
      <c r="J14" s="364"/>
      <c r="K14" s="364"/>
      <c r="L14" s="364"/>
    </row>
    <row r="15" spans="1:12" ht="15.95" customHeight="1">
      <c r="A15" s="477" t="s">
        <v>578</v>
      </c>
      <c r="B15" s="477" t="s">
        <v>579</v>
      </c>
      <c r="C15" s="477" t="s">
        <v>580</v>
      </c>
      <c r="D15" s="477" t="s">
        <v>581</v>
      </c>
      <c r="E15" s="477" t="s">
        <v>582</v>
      </c>
      <c r="F15" s="477" t="s">
        <v>583</v>
      </c>
      <c r="G15" s="477" t="s">
        <v>584</v>
      </c>
      <c r="H15" s="364"/>
      <c r="I15" s="364"/>
      <c r="J15" s="364"/>
      <c r="K15" s="364"/>
      <c r="L15" s="364"/>
    </row>
    <row r="16" spans="1:12" ht="15.95" customHeight="1">
      <c r="A16" s="477" t="s">
        <v>585</v>
      </c>
      <c r="B16" s="477" t="s">
        <v>586</v>
      </c>
      <c r="C16" s="477" t="s">
        <v>587</v>
      </c>
      <c r="D16" s="477" t="s">
        <v>588</v>
      </c>
      <c r="E16" s="477" t="s">
        <v>589</v>
      </c>
      <c r="F16" s="477" t="s">
        <v>590</v>
      </c>
      <c r="G16" s="477" t="s">
        <v>591</v>
      </c>
      <c r="H16" s="364"/>
      <c r="I16" s="364"/>
      <c r="J16" s="364"/>
      <c r="K16" s="364"/>
      <c r="L16" s="364"/>
    </row>
    <row r="17" spans="1:12" ht="15.95" customHeight="1">
      <c r="A17" s="477" t="s">
        <v>592</v>
      </c>
      <c r="B17" s="477" t="s">
        <v>593</v>
      </c>
      <c r="C17" s="477" t="s">
        <v>594</v>
      </c>
      <c r="D17" s="477" t="s">
        <v>595</v>
      </c>
      <c r="E17" s="477" t="s">
        <v>596</v>
      </c>
      <c r="F17" s="477" t="s">
        <v>597</v>
      </c>
      <c r="G17" s="477" t="s">
        <v>598</v>
      </c>
      <c r="H17" s="364"/>
      <c r="I17" s="364"/>
      <c r="J17" s="364"/>
      <c r="K17" s="364"/>
      <c r="L17" s="364"/>
    </row>
    <row r="18" spans="1:12" ht="15.95" customHeight="1">
      <c r="A18" s="477" t="s">
        <v>599</v>
      </c>
      <c r="B18" s="477" t="s">
        <v>600</v>
      </c>
      <c r="C18" s="477" t="s">
        <v>601</v>
      </c>
      <c r="D18" s="477" t="s">
        <v>602</v>
      </c>
      <c r="E18" s="477" t="s">
        <v>603</v>
      </c>
      <c r="F18" s="477" t="s">
        <v>604</v>
      </c>
      <c r="G18" s="477" t="s">
        <v>552</v>
      </c>
      <c r="H18" s="364"/>
      <c r="I18" s="364"/>
      <c r="J18" s="364"/>
      <c r="K18" s="364"/>
      <c r="L18" s="364"/>
    </row>
    <row r="19" spans="1:12" ht="15.95" customHeight="1">
      <c r="A19" s="478" t="s">
        <v>378</v>
      </c>
      <c r="B19" s="478" t="s">
        <v>378</v>
      </c>
      <c r="C19" s="478" t="s">
        <v>378</v>
      </c>
      <c r="D19" s="478" t="s">
        <v>378</v>
      </c>
      <c r="E19" s="478" t="s">
        <v>378</v>
      </c>
      <c r="F19" s="478" t="s">
        <v>378</v>
      </c>
      <c r="G19" s="478" t="s">
        <v>378</v>
      </c>
      <c r="H19" s="364"/>
      <c r="I19" s="364"/>
      <c r="J19" s="364"/>
      <c r="K19" s="364"/>
      <c r="L19" s="364"/>
    </row>
    <row r="20" spans="1:12" ht="15.75">
      <c r="A20" s="364"/>
      <c r="B20" s="364"/>
      <c r="C20" s="364"/>
      <c r="D20" s="364"/>
      <c r="E20" s="364"/>
      <c r="F20" s="364"/>
      <c r="G20" s="364"/>
      <c r="H20" s="364"/>
      <c r="I20" s="364"/>
      <c r="J20" s="364"/>
      <c r="K20" s="364"/>
      <c r="L20" s="364"/>
    </row>
    <row r="21" spans="1:12" ht="15.75">
      <c r="A21" s="364"/>
      <c r="B21" s="364"/>
      <c r="C21" s="364"/>
      <c r="D21" s="670" t="s">
        <v>605</v>
      </c>
      <c r="E21" s="671"/>
      <c r="F21" s="671"/>
      <c r="G21" s="672"/>
      <c r="H21" s="364"/>
      <c r="I21" s="364"/>
      <c r="J21" s="364"/>
      <c r="K21" s="364"/>
      <c r="L21" s="364"/>
    </row>
    <row r="22" spans="1:12" ht="17.25" customHeight="1">
      <c r="A22" s="364"/>
      <c r="B22" s="673" t="s">
        <v>606</v>
      </c>
      <c r="C22" s="673"/>
      <c r="D22" s="673" t="s">
        <v>607</v>
      </c>
      <c r="E22" s="673"/>
      <c r="F22" s="673" t="s">
        <v>608</v>
      </c>
      <c r="G22" s="673"/>
      <c r="H22" s="364"/>
      <c r="I22" s="364"/>
      <c r="J22" s="364"/>
      <c r="K22" s="364"/>
      <c r="L22" s="364"/>
    </row>
    <row r="23" spans="1:12" ht="15.75">
      <c r="A23" s="479" t="s">
        <v>609</v>
      </c>
      <c r="B23" s="669" t="s">
        <v>610</v>
      </c>
      <c r="C23" s="669"/>
      <c r="D23" s="669" t="s">
        <v>611</v>
      </c>
      <c r="E23" s="669"/>
      <c r="F23" s="669" t="s">
        <v>612</v>
      </c>
      <c r="G23" s="669"/>
      <c r="H23" s="364"/>
      <c r="I23" s="364"/>
      <c r="J23" s="364"/>
      <c r="K23" s="364"/>
      <c r="L23" s="364"/>
    </row>
    <row r="24" spans="1:12" ht="18" customHeight="1">
      <c r="A24" s="479" t="s">
        <v>613</v>
      </c>
      <c r="B24" s="669" t="s">
        <v>614</v>
      </c>
      <c r="C24" s="669"/>
      <c r="D24" s="669" t="s">
        <v>615</v>
      </c>
      <c r="E24" s="669"/>
      <c r="F24" s="669" t="s">
        <v>616</v>
      </c>
      <c r="G24" s="669"/>
      <c r="H24" s="364"/>
      <c r="I24" s="364"/>
      <c r="J24" s="364"/>
      <c r="K24" s="364"/>
      <c r="L24" s="364"/>
    </row>
    <row r="25" spans="1:12" ht="15.75">
      <c r="A25" s="479" t="s">
        <v>617</v>
      </c>
      <c r="B25" s="669" t="s">
        <v>618</v>
      </c>
      <c r="C25" s="669"/>
      <c r="D25" s="669" t="s">
        <v>619</v>
      </c>
      <c r="E25" s="669"/>
      <c r="F25" s="669" t="s">
        <v>620</v>
      </c>
      <c r="G25" s="669"/>
      <c r="H25" s="364"/>
      <c r="I25" s="364"/>
      <c r="J25" s="364"/>
      <c r="K25" s="364"/>
      <c r="L25" s="364"/>
    </row>
    <row r="26" spans="1:12" ht="15.75">
      <c r="A26" s="364"/>
      <c r="B26" s="364"/>
      <c r="C26" s="364"/>
      <c r="D26" s="364"/>
      <c r="E26" s="364"/>
      <c r="F26" s="364"/>
      <c r="G26" s="364"/>
      <c r="H26" s="364"/>
      <c r="I26" s="364"/>
      <c r="J26" s="364"/>
      <c r="K26" s="364"/>
      <c r="L26" s="364"/>
    </row>
    <row r="27" spans="1:12" ht="20.25">
      <c r="A27" s="474" t="s">
        <v>621</v>
      </c>
      <c r="B27" s="364"/>
      <c r="C27" s="364"/>
      <c r="D27" s="364"/>
      <c r="E27" s="364"/>
      <c r="F27" s="364"/>
      <c r="G27" s="364"/>
      <c r="H27" s="364"/>
      <c r="I27" s="364"/>
      <c r="J27" s="364"/>
      <c r="K27" s="364"/>
      <c r="L27" s="364"/>
    </row>
    <row r="28" spans="1:12" ht="15.75">
      <c r="A28" s="364"/>
      <c r="B28" s="364"/>
      <c r="C28" s="364"/>
      <c r="D28" s="364"/>
      <c r="E28" s="674" t="s">
        <v>622</v>
      </c>
      <c r="F28" s="671"/>
      <c r="G28" s="672"/>
      <c r="H28" s="364"/>
      <c r="I28" s="364"/>
      <c r="J28" s="364"/>
      <c r="K28" s="364"/>
      <c r="L28" s="364"/>
    </row>
    <row r="29" spans="1:12" ht="15.75">
      <c r="A29" s="364"/>
      <c r="B29" s="673" t="s">
        <v>623</v>
      </c>
      <c r="C29" s="673"/>
      <c r="D29" s="480" t="s">
        <v>624</v>
      </c>
      <c r="E29" s="480" t="s">
        <v>625</v>
      </c>
      <c r="F29" s="673" t="s">
        <v>626</v>
      </c>
      <c r="G29" s="673"/>
      <c r="H29" s="364"/>
      <c r="I29" s="364"/>
      <c r="J29" s="364"/>
      <c r="K29" s="364"/>
      <c r="L29" s="364"/>
    </row>
    <row r="30" spans="1:12" ht="15.75">
      <c r="A30" s="479" t="s">
        <v>627</v>
      </c>
      <c r="B30" s="669" t="s">
        <v>628</v>
      </c>
      <c r="C30" s="669"/>
      <c r="D30" s="477" t="s">
        <v>629</v>
      </c>
      <c r="E30" s="477" t="s">
        <v>630</v>
      </c>
      <c r="F30" s="669" t="s">
        <v>631</v>
      </c>
      <c r="G30" s="669"/>
      <c r="H30" s="364"/>
      <c r="I30" s="364"/>
      <c r="J30" s="364"/>
      <c r="K30" s="364"/>
      <c r="L30" s="364"/>
    </row>
    <row r="31" spans="1:12" ht="15.75">
      <c r="A31" s="479" t="s">
        <v>632</v>
      </c>
      <c r="B31" s="669" t="s">
        <v>633</v>
      </c>
      <c r="C31" s="669"/>
      <c r="D31" s="477" t="s">
        <v>634</v>
      </c>
      <c r="E31" s="477" t="s">
        <v>635</v>
      </c>
      <c r="F31" s="669" t="s">
        <v>636</v>
      </c>
      <c r="G31" s="669"/>
      <c r="H31" s="364"/>
      <c r="I31" s="364"/>
      <c r="J31" s="364"/>
      <c r="K31" s="364"/>
      <c r="L31" s="364"/>
    </row>
    <row r="32" spans="1:12" ht="15.75">
      <c r="A32" s="479" t="s">
        <v>637</v>
      </c>
      <c r="B32" s="669" t="s">
        <v>638</v>
      </c>
      <c r="C32" s="669"/>
      <c r="D32" s="477" t="s">
        <v>639</v>
      </c>
      <c r="E32" s="477" t="s">
        <v>640</v>
      </c>
      <c r="F32" s="669" t="s">
        <v>641</v>
      </c>
      <c r="G32" s="669"/>
      <c r="H32" s="364"/>
      <c r="I32" s="364"/>
      <c r="J32" s="364"/>
      <c r="K32" s="364"/>
      <c r="L32" s="364"/>
    </row>
    <row r="33" spans="1:12" ht="15.75">
      <c r="A33" s="364"/>
      <c r="B33" s="364"/>
      <c r="C33" s="364"/>
      <c r="D33" s="364"/>
      <c r="E33" s="364"/>
      <c r="F33" s="364"/>
      <c r="G33" s="364"/>
      <c r="H33" s="364"/>
      <c r="I33" s="364"/>
      <c r="J33" s="364"/>
      <c r="K33" s="364"/>
      <c r="L33" s="364"/>
    </row>
    <row r="34" spans="1:12" ht="15.75">
      <c r="A34" s="364"/>
      <c r="B34" s="364"/>
      <c r="C34" s="364"/>
      <c r="D34" s="364"/>
      <c r="E34" s="674" t="s">
        <v>642</v>
      </c>
      <c r="F34" s="671"/>
      <c r="G34" s="672"/>
      <c r="H34" s="364"/>
      <c r="I34" s="364"/>
      <c r="J34" s="364"/>
      <c r="K34" s="364"/>
      <c r="L34" s="364"/>
    </row>
    <row r="35" spans="1:12" ht="15.75">
      <c r="A35" s="364"/>
      <c r="B35" s="673" t="s">
        <v>643</v>
      </c>
      <c r="C35" s="673"/>
      <c r="D35" s="480" t="s">
        <v>625</v>
      </c>
      <c r="E35" s="480" t="s">
        <v>644</v>
      </c>
      <c r="F35" s="480" t="s">
        <v>164</v>
      </c>
      <c r="G35" s="480" t="s">
        <v>645</v>
      </c>
      <c r="H35" s="364"/>
      <c r="I35" s="364"/>
      <c r="J35" s="364"/>
      <c r="K35" s="364"/>
      <c r="L35" s="364"/>
    </row>
    <row r="36" spans="1:12" ht="15.75">
      <c r="A36" s="479" t="s">
        <v>627</v>
      </c>
      <c r="B36" s="675" t="s">
        <v>646</v>
      </c>
      <c r="C36" s="676"/>
      <c r="D36" s="481" t="s">
        <v>647</v>
      </c>
      <c r="E36" s="481" t="s">
        <v>433</v>
      </c>
      <c r="F36" s="482" t="s">
        <v>648</v>
      </c>
      <c r="G36" s="477" t="s">
        <v>649</v>
      </c>
      <c r="H36" s="364"/>
      <c r="I36" s="364"/>
      <c r="J36" s="364"/>
      <c r="K36" s="364"/>
      <c r="L36" s="364"/>
    </row>
    <row r="37" spans="1:12" ht="15.75">
      <c r="A37" s="479" t="s">
        <v>632</v>
      </c>
      <c r="B37" s="675" t="s">
        <v>650</v>
      </c>
      <c r="C37" s="676"/>
      <c r="D37" s="481" t="s">
        <v>651</v>
      </c>
      <c r="E37" s="481" t="s">
        <v>433</v>
      </c>
      <c r="F37" s="482" t="s">
        <v>652</v>
      </c>
      <c r="G37" s="483" t="s">
        <v>653</v>
      </c>
      <c r="H37" s="364"/>
      <c r="I37" s="364"/>
      <c r="J37" s="364"/>
      <c r="K37" s="364"/>
      <c r="L37" s="364"/>
    </row>
    <row r="38" spans="1:12" ht="15.75">
      <c r="A38" s="479" t="s">
        <v>637</v>
      </c>
      <c r="B38" s="675" t="s">
        <v>650</v>
      </c>
      <c r="C38" s="676"/>
      <c r="D38" s="481" t="s">
        <v>654</v>
      </c>
      <c r="E38" s="481" t="s">
        <v>433</v>
      </c>
      <c r="F38" s="482" t="s">
        <v>655</v>
      </c>
      <c r="G38" s="477" t="s">
        <v>656</v>
      </c>
      <c r="H38" s="364"/>
      <c r="I38" s="364"/>
      <c r="J38" s="364"/>
      <c r="K38" s="364"/>
      <c r="L38" s="364"/>
    </row>
    <row r="39" spans="1:12" ht="15.75">
      <c r="A39" s="364"/>
      <c r="B39" s="364"/>
      <c r="C39" s="364"/>
      <c r="D39" s="364"/>
      <c r="E39" s="364"/>
      <c r="F39" s="364"/>
      <c r="G39" s="364"/>
      <c r="H39" s="364"/>
      <c r="I39" s="364"/>
      <c r="J39" s="364"/>
      <c r="K39" s="364"/>
      <c r="L39" s="364"/>
    </row>
    <row r="40" spans="1:12" ht="15.75">
      <c r="A40" s="484" t="s">
        <v>657</v>
      </c>
      <c r="B40" s="677" t="s">
        <v>658</v>
      </c>
      <c r="C40" s="677"/>
      <c r="D40" s="678" t="s">
        <v>659</v>
      </c>
      <c r="E40" s="678"/>
      <c r="F40" s="677" t="s">
        <v>660</v>
      </c>
      <c r="G40" s="677"/>
      <c r="H40" s="364"/>
      <c r="I40" s="364"/>
      <c r="J40" s="364"/>
      <c r="K40" s="364"/>
      <c r="L40" s="364"/>
    </row>
    <row r="41" spans="1:12" ht="15.75">
      <c r="A41" s="364"/>
      <c r="B41" s="364"/>
      <c r="C41" s="364"/>
      <c r="D41" s="364"/>
      <c r="E41" s="364"/>
      <c r="F41" s="364"/>
      <c r="G41" s="364"/>
      <c r="H41" s="364"/>
      <c r="I41" s="364"/>
      <c r="J41" s="364"/>
      <c r="K41" s="364"/>
      <c r="L41" s="364"/>
    </row>
    <row r="42" spans="1:12" ht="15.75">
      <c r="A42" s="364"/>
      <c r="B42" s="364"/>
      <c r="C42" s="364"/>
      <c r="D42" s="364"/>
      <c r="E42" s="364"/>
      <c r="F42" s="364"/>
      <c r="G42" s="364"/>
      <c r="H42" s="364"/>
      <c r="I42" s="364"/>
      <c r="J42" s="364"/>
      <c r="K42" s="364"/>
      <c r="L42" s="364"/>
    </row>
    <row r="43" spans="1:12" ht="15.75">
      <c r="A43" s="364"/>
      <c r="B43" s="364"/>
      <c r="C43" s="364"/>
      <c r="D43" s="364"/>
      <c r="E43" s="364"/>
      <c r="F43" s="364"/>
      <c r="G43" s="364"/>
      <c r="H43" s="364"/>
      <c r="I43" s="364"/>
      <c r="J43" s="364"/>
      <c r="K43" s="364"/>
      <c r="L43" s="364"/>
    </row>
    <row r="44" spans="1:12" ht="15.75">
      <c r="A44" s="364"/>
      <c r="B44" s="364"/>
      <c r="C44" s="364"/>
      <c r="D44" s="364"/>
      <c r="E44" s="364"/>
      <c r="F44" s="364"/>
      <c r="G44" s="364"/>
      <c r="H44" s="364"/>
      <c r="I44" s="364"/>
      <c r="J44" s="364"/>
      <c r="K44" s="364"/>
      <c r="L44" s="364"/>
    </row>
    <row r="45" spans="1:12" ht="15.75">
      <c r="A45" s="364"/>
      <c r="B45" s="364"/>
      <c r="C45" s="364"/>
      <c r="D45" s="364"/>
      <c r="E45" s="364"/>
      <c r="F45" s="364"/>
      <c r="G45" s="364"/>
      <c r="H45" s="364"/>
      <c r="I45" s="364"/>
      <c r="J45" s="364"/>
      <c r="K45" s="364"/>
      <c r="L45" s="364"/>
    </row>
    <row r="46" spans="1:12" ht="15.75">
      <c r="A46" s="364"/>
      <c r="B46" s="364"/>
      <c r="C46" s="364"/>
      <c r="D46" s="364"/>
      <c r="E46" s="364"/>
      <c r="F46" s="364"/>
      <c r="G46" s="364"/>
      <c r="H46" s="364"/>
      <c r="I46" s="364"/>
      <c r="J46" s="364"/>
      <c r="K46" s="364"/>
      <c r="L46" s="364"/>
    </row>
    <row r="47" spans="1:12" ht="15.75">
      <c r="A47" s="364"/>
      <c r="B47" s="364"/>
      <c r="C47" s="364"/>
      <c r="D47" s="364"/>
      <c r="E47" s="364"/>
      <c r="F47" s="364"/>
      <c r="G47" s="364"/>
      <c r="H47" s="364"/>
      <c r="I47" s="364"/>
      <c r="J47" s="364"/>
      <c r="K47" s="364"/>
      <c r="L47" s="364"/>
    </row>
    <row r="48" spans="1:12" ht="15.75">
      <c r="A48" s="364"/>
      <c r="B48" s="364"/>
      <c r="C48" s="364"/>
      <c r="D48" s="364"/>
      <c r="E48" s="364"/>
      <c r="F48" s="364"/>
      <c r="G48" s="364"/>
      <c r="H48" s="364"/>
      <c r="I48" s="364"/>
      <c r="J48" s="364"/>
      <c r="K48" s="364"/>
      <c r="L48" s="364"/>
    </row>
    <row r="49" spans="1:12" ht="15.75">
      <c r="A49" s="364"/>
      <c r="B49" s="364"/>
      <c r="C49" s="364"/>
      <c r="D49" s="364"/>
      <c r="E49" s="364"/>
      <c r="F49" s="364"/>
      <c r="G49" s="364"/>
      <c r="H49" s="364"/>
      <c r="I49" s="364"/>
      <c r="J49" s="364"/>
      <c r="K49" s="364"/>
      <c r="L49" s="364"/>
    </row>
    <row r="50" spans="1:12" ht="15.75">
      <c r="A50" s="364"/>
      <c r="B50" s="364"/>
      <c r="C50" s="364"/>
      <c r="D50" s="364"/>
      <c r="E50" s="364"/>
      <c r="F50" s="364"/>
      <c r="G50" s="364"/>
      <c r="H50" s="364"/>
      <c r="I50" s="364"/>
      <c r="J50" s="364"/>
      <c r="K50" s="364"/>
      <c r="L50" s="364"/>
    </row>
    <row r="51" spans="1:12" ht="15.75">
      <c r="A51" s="364"/>
      <c r="B51" s="364"/>
      <c r="C51" s="364"/>
      <c r="D51" s="364"/>
      <c r="E51" s="364"/>
      <c r="F51" s="364"/>
      <c r="G51" s="364"/>
      <c r="H51" s="364"/>
      <c r="I51" s="364"/>
      <c r="J51" s="364"/>
      <c r="K51" s="364"/>
      <c r="L51" s="364"/>
    </row>
    <row r="52" spans="1:12" ht="15.75">
      <c r="A52" s="364"/>
      <c r="B52" s="364"/>
      <c r="C52" s="364"/>
      <c r="D52" s="364"/>
      <c r="E52" s="364"/>
      <c r="F52" s="364"/>
      <c r="G52" s="364"/>
      <c r="H52" s="364"/>
      <c r="I52" s="364"/>
      <c r="J52" s="364"/>
      <c r="K52" s="364"/>
      <c r="L52" s="364"/>
    </row>
    <row r="53" spans="1:12" ht="15.75">
      <c r="A53" s="364"/>
      <c r="B53" s="364"/>
      <c r="C53" s="364"/>
      <c r="D53" s="364"/>
      <c r="E53" s="364"/>
      <c r="F53" s="364"/>
      <c r="G53" s="364"/>
      <c r="H53" s="364"/>
      <c r="I53" s="364"/>
      <c r="J53" s="364"/>
      <c r="K53" s="364"/>
      <c r="L53" s="364"/>
    </row>
    <row r="54" spans="1:12" ht="15.75">
      <c r="A54" s="364"/>
      <c r="B54" s="364"/>
      <c r="C54" s="364"/>
      <c r="D54" s="364"/>
      <c r="E54" s="364"/>
      <c r="F54" s="364"/>
      <c r="G54" s="364"/>
      <c r="H54" s="364"/>
      <c r="I54" s="364"/>
      <c r="J54" s="364"/>
      <c r="K54" s="364"/>
      <c r="L54" s="364"/>
    </row>
    <row r="55" spans="1:12" ht="15.75">
      <c r="A55" s="364"/>
      <c r="B55" s="364"/>
      <c r="C55" s="364"/>
      <c r="D55" s="364"/>
      <c r="E55" s="364"/>
      <c r="F55" s="364"/>
      <c r="G55" s="364"/>
      <c r="H55" s="364"/>
      <c r="I55" s="364"/>
      <c r="J55" s="364"/>
      <c r="K55" s="364"/>
      <c r="L55" s="364"/>
    </row>
    <row r="56" spans="1:12" ht="15.75">
      <c r="A56" s="364"/>
      <c r="B56" s="364"/>
      <c r="C56" s="364"/>
      <c r="D56" s="364"/>
      <c r="E56" s="364"/>
      <c r="F56" s="364"/>
      <c r="G56" s="364"/>
      <c r="H56" s="364"/>
      <c r="I56" s="364"/>
      <c r="J56" s="364"/>
      <c r="K56" s="364"/>
      <c r="L56" s="364"/>
    </row>
    <row r="57" spans="1:12" ht="15.75">
      <c r="A57" s="364"/>
      <c r="B57" s="364"/>
      <c r="C57" s="364"/>
      <c r="D57" s="364"/>
      <c r="E57" s="364"/>
      <c r="F57" s="364"/>
      <c r="G57" s="364"/>
      <c r="H57" s="364"/>
      <c r="I57" s="364"/>
      <c r="J57" s="364"/>
      <c r="K57" s="364"/>
      <c r="L57" s="364"/>
    </row>
    <row r="58" spans="1:12" ht="15.75">
      <c r="A58" s="364"/>
      <c r="B58" s="364"/>
      <c r="C58" s="364"/>
      <c r="D58" s="364"/>
      <c r="E58" s="364"/>
      <c r="F58" s="364"/>
      <c r="G58" s="364"/>
      <c r="H58" s="364"/>
      <c r="I58" s="364"/>
      <c r="J58" s="364"/>
      <c r="K58" s="364"/>
      <c r="L58" s="364"/>
    </row>
    <row r="59" spans="1:12" ht="15.75">
      <c r="A59" s="364"/>
      <c r="B59" s="364"/>
      <c r="C59" s="364"/>
      <c r="D59" s="364"/>
      <c r="E59" s="364"/>
      <c r="F59" s="364"/>
      <c r="G59" s="364"/>
      <c r="H59" s="364"/>
      <c r="I59" s="364"/>
      <c r="J59" s="364"/>
      <c r="K59" s="364"/>
      <c r="L59" s="364"/>
    </row>
    <row r="60" spans="1:12" ht="15.75">
      <c r="A60" s="364"/>
      <c r="B60" s="364"/>
      <c r="C60" s="364"/>
      <c r="D60" s="364"/>
      <c r="E60" s="364"/>
      <c r="F60" s="364"/>
      <c r="G60" s="364"/>
      <c r="H60" s="364"/>
      <c r="I60" s="364"/>
      <c r="J60" s="364"/>
      <c r="K60" s="364"/>
      <c r="L60" s="364"/>
    </row>
    <row r="61" spans="1:12" ht="15.75">
      <c r="A61" s="364"/>
      <c r="B61" s="364"/>
      <c r="C61" s="364"/>
      <c r="D61" s="364"/>
      <c r="E61" s="364"/>
      <c r="F61" s="364"/>
      <c r="G61" s="364"/>
      <c r="H61" s="364"/>
      <c r="I61" s="364"/>
      <c r="J61" s="364"/>
      <c r="K61" s="364"/>
      <c r="L61" s="364"/>
    </row>
  </sheetData>
  <mergeCells count="31">
    <mergeCell ref="B38:C38"/>
    <mergeCell ref="B40:C40"/>
    <mergeCell ref="D40:E40"/>
    <mergeCell ref="F40:G40"/>
    <mergeCell ref="B32:C32"/>
    <mergeCell ref="F32:G32"/>
    <mergeCell ref="E34:G34"/>
    <mergeCell ref="B35:C35"/>
    <mergeCell ref="B36:C36"/>
    <mergeCell ref="B37:C37"/>
    <mergeCell ref="B31:C31"/>
    <mergeCell ref="F31:G31"/>
    <mergeCell ref="B24:C24"/>
    <mergeCell ref="D24:E24"/>
    <mergeCell ref="F24:G24"/>
    <mergeCell ref="B25:C25"/>
    <mergeCell ref="D25:E25"/>
    <mergeCell ref="F25:G25"/>
    <mergeCell ref="E28:G28"/>
    <mergeCell ref="B29:C29"/>
    <mergeCell ref="F29:G29"/>
    <mergeCell ref="B30:C30"/>
    <mergeCell ref="F30:G30"/>
    <mergeCell ref="B23:C23"/>
    <mergeCell ref="D23:E23"/>
    <mergeCell ref="F23:G23"/>
    <mergeCell ref="B1:G1"/>
    <mergeCell ref="D21:G21"/>
    <mergeCell ref="B22:C22"/>
    <mergeCell ref="D22:E22"/>
    <mergeCell ref="F22:G22"/>
  </mergeCells>
  <printOptions horizontalCentered="1"/>
  <pageMargins left="0.75" right="0.75" top="1" bottom="1" header="0.5" footer="0.5"/>
  <pageSetup scale="98" orientation="portrait" horizontalDpi="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DesignSheet</vt:lpstr>
      <vt:lpstr>Data Sheet</vt:lpstr>
      <vt:lpstr>LoginSheet</vt:lpstr>
      <vt:lpstr>Form</vt:lpstr>
      <vt:lpstr>Performance Data Sheet</vt:lpstr>
      <vt:lpstr>STCurve</vt:lpstr>
      <vt:lpstr>Thermdam</vt:lpstr>
      <vt:lpstr>Performance 4000V</vt:lpstr>
      <vt:lpstr>Performance 2300V</vt:lpstr>
      <vt:lpstr>StallTime</vt:lpstr>
      <vt:lpstr>'Data Sheet'!Print_Area</vt:lpstr>
      <vt:lpstr>DesignSheet!Print_Area</vt:lpstr>
      <vt:lpstr>Form!Print_Area</vt:lpstr>
      <vt:lpstr>LoginSheet!Print_Area</vt:lpstr>
      <vt:lpstr>'Performance 2300V'!Print_Area</vt:lpstr>
      <vt:lpstr>'Performance 4000V'!Print_Area</vt:lpstr>
      <vt:lpstr>'Performance Data Sheet'!Print_Area</vt:lpstr>
      <vt:lpstr>StallTime!Print_Area</vt:lpstr>
      <vt:lpstr>STCurve!Print_Area</vt:lpstr>
      <vt:lpstr>Thermdam!Print_Area</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dc:creator>
  <cp:lastModifiedBy>Rodriguez, Jerry (TIC)</cp:lastModifiedBy>
  <dcterms:created xsi:type="dcterms:W3CDTF">2022-04-18T20:14:00Z</dcterms:created>
  <dcterms:modified xsi:type="dcterms:W3CDTF">2026-04-07T16:12:05Z</dcterms:modified>
</cp:coreProperties>
</file>