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"/>
    </mc:Choice>
  </mc:AlternateContent>
  <xr:revisionPtr revIDLastSave="0" documentId="13_ncr:1_{6A9815BF-BB5B-4115-BA37-AD68BD02B26F}" xr6:coauthVersionLast="47" xr6:coauthVersionMax="47" xr10:uidLastSave="{00000000-0000-0000-0000-000000000000}"/>
  <bookViews>
    <workbookView xWindow="28680" yWindow="-120" windowWidth="29040" windowHeight="15720" tabRatio="742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7" r:id="rId4"/>
    <sheet name="Form" sheetId="5" r:id="rId5"/>
    <sheet name="MagNoise" sheetId="9" r:id="rId6"/>
    <sheet name="Performance Data Sheet" sheetId="10" r:id="rId7"/>
    <sheet name="STCurve" sheetId="6" r:id="rId8"/>
    <sheet name="Thermdam" sheetId="8" r:id="rId9"/>
    <sheet name="Performance 4000V" sheetId="11" r:id="rId10"/>
    <sheet name="Performance 2300V" sheetId="12" r:id="rId11"/>
  </sheets>
  <definedNames>
    <definedName name="_Regression_Int" localSheetId="6" hidden="1">1</definedName>
    <definedName name="_xlnm.Print_Area" localSheetId="1">'Data Sheet'!$A$1:$K$46</definedName>
    <definedName name="_xlnm.Print_Area" localSheetId="0">DesignSheet!$A$1:$J$68</definedName>
    <definedName name="_xlnm.Print_Area" localSheetId="4">Form!$A$1:$F$39</definedName>
    <definedName name="_xlnm.Print_Area" localSheetId="2">LoginSheet!$A$1:$N$79</definedName>
    <definedName name="_xlnm.Print_Area" localSheetId="10">'Performance 2300V'!$A$1:$F$43</definedName>
    <definedName name="_xlnm.Print_Area" localSheetId="9">'Performance 4000V'!$A$1:$F$43</definedName>
    <definedName name="_xlnm.Print_Area" localSheetId="6">'Performance Data Sheet'!$A$1:$M$44</definedName>
    <definedName name="_xlnm.Print_Area" localSheetId="3">StallTime!$A$1:$G$40</definedName>
    <definedName name="_xlnm.Print_Area" localSheetId="7">STCurve!$A$1:$F$43</definedName>
    <definedName name="_xlnm.Print_Area" localSheetId="8">Thermdam!$A$1:$F$43</definedName>
    <definedName name="Print_Area_MI">'Performance Data Sheet'!$A$10:$N$42</definedName>
    <definedName name="Z_852987ED_B4F5_11D1_ABEC_0000832EB49E_.wvu.PrintArea" localSheetId="10" hidden="1">'Performance 2300V'!$A$1:$F$43</definedName>
    <definedName name="Z_852987ED_B4F5_11D1_ABEC_0000832EB49E_.wvu.PrintArea" localSheetId="9" hidden="1">'Performance 4000V'!$A$1:$F$43</definedName>
    <definedName name="Z_852987ED_B4F5_11D1_ABEC_0000832EB49E_.wvu.PrintArea" localSheetId="7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2" l="1"/>
  <c r="E59" i="12"/>
  <c r="F58" i="12"/>
  <c r="E58" i="12"/>
  <c r="F57" i="12"/>
  <c r="E57" i="12"/>
  <c r="F56" i="12"/>
  <c r="E56" i="12"/>
  <c r="F55" i="12"/>
  <c r="E55" i="12"/>
  <c r="F54" i="12"/>
  <c r="O47" i="12"/>
  <c r="N47" i="12"/>
  <c r="O46" i="12"/>
  <c r="N46" i="12"/>
  <c r="O45" i="12"/>
  <c r="N45" i="12"/>
  <c r="O44" i="12"/>
  <c r="N44" i="12"/>
  <c r="O43" i="12"/>
  <c r="N43" i="12"/>
  <c r="D43" i="12"/>
  <c r="O42" i="12"/>
  <c r="N42" i="12"/>
  <c r="O41" i="12"/>
  <c r="N41" i="12"/>
  <c r="O40" i="12"/>
  <c r="N40" i="12"/>
  <c r="O39" i="12"/>
  <c r="N39" i="12"/>
  <c r="F39" i="12"/>
  <c r="C39" i="12"/>
  <c r="O38" i="12"/>
  <c r="N38" i="12"/>
  <c r="O37" i="12"/>
  <c r="N37" i="12"/>
  <c r="F9" i="12"/>
  <c r="F7" i="12"/>
  <c r="B7" i="12"/>
  <c r="B6" i="12"/>
  <c r="F9" i="8"/>
  <c r="F7" i="8"/>
  <c r="D7" i="8"/>
  <c r="B7" i="8"/>
  <c r="F6" i="8"/>
  <c r="B6" i="8"/>
  <c r="F9" i="11"/>
  <c r="F7" i="11"/>
  <c r="B7" i="11"/>
  <c r="B6" i="11"/>
  <c r="D43" i="11"/>
  <c r="F39" i="11"/>
  <c r="C39" i="11"/>
  <c r="D43" i="8"/>
  <c r="F39" i="8"/>
  <c r="C39" i="8"/>
  <c r="F39" i="6"/>
  <c r="D43" i="6"/>
  <c r="C39" i="6"/>
  <c r="C12" i="6"/>
  <c r="F6" i="6"/>
  <c r="D7" i="6"/>
  <c r="F9" i="6"/>
  <c r="F7" i="6"/>
  <c r="B7" i="6"/>
  <c r="B6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54" i="6"/>
  <c r="F59" i="11"/>
  <c r="E59" i="11"/>
  <c r="F58" i="11"/>
  <c r="E58" i="11"/>
  <c r="F57" i="11"/>
  <c r="E57" i="11"/>
  <c r="F56" i="11"/>
  <c r="E56" i="11"/>
  <c r="F55" i="11"/>
  <c r="E55" i="11"/>
  <c r="F54" i="11"/>
  <c r="O47" i="11"/>
  <c r="N47" i="11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8" i="11"/>
  <c r="N38" i="11"/>
  <c r="O37" i="11"/>
  <c r="N37" i="11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B69" i="8" l="1"/>
  <c r="B75" i="8" s="1"/>
  <c r="A70" i="8"/>
  <c r="A71" i="8" s="1"/>
  <c r="C71" i="8" s="1"/>
  <c r="C70" i="8"/>
  <c r="B70" i="8"/>
  <c r="A72" i="8" l="1"/>
  <c r="B71" i="8"/>
  <c r="B72" i="8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<sst xmlns="http://schemas.openxmlformats.org/spreadsheetml/2006/main" count="1065" uniqueCount="779">
  <si>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</si>
  <si>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</si>
  <si>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</si>
  <si>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</si>
  <si>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</si>
  <si>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</si>
  <si>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</si>
  <si>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</si>
  <si>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</si>
  <si>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</si>
  <si>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</si>
  <si>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</si>
  <si>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</si>
  <si>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</si>
  <si>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</si>
  <si>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</si>
  <si>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</si>
  <si>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</si>
  <si>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</si>
  <si>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</si>
  <si>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</si>
  <si>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</si>
  <si>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</si>
  <si>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</si>
  <si>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</si>
  <si>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</si>
  <si>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</si>
  <si>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</si>
  <si>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</si>
  <si>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</si>
  <si>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</si>
  <si>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</si>
  <si>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</si>
  <si>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</si>
  <si>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</si>
  <si>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</si>
  <si>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</si>
  <si>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</si>
  <si>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</si>
  <si>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</si>
  <si>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</si>
  <si>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</si>
  <si>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</si>
  <si>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</si>
  <si>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</si>
  <si>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</si>
  <si>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</si>
  <si>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</si>
  <si>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</si>
  <si>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</si>
  <si>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</si>
  <si>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</si>
  <si>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</si>
  <si>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</si>
  <si>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</si>
  <si>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</si>
  <si>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</si>
  <si>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</si>
  <si>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</si>
  <si>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</si>
  <si>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</si>
  <si>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</si>
  <si>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</si>
  <si>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</si>
  <si>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</si>
  <si>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</si>
  <si>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</si>
  <si>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</si>
  <si>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</si>
  <si>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</si>
  <si>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</si>
  <si>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</si>
  <si>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</si>
  <si>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</si>
  <si>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</si>
  <si>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</si>
  <si>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</si>
  <si>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</si>
  <si>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</si>
  <si>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</si>
  <si>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</si>
  <si>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</si>
  <si>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</si>
  <si>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</si>
  <si>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</si>
  <si>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</si>
  <si>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</si>
  <si>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</si>
  <si>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</si>
  <si>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</si>
  <si>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</si>
  <si>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</si>
  <si>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</si>
  <si>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</si>
  <si>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</si>
  <si>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</si>
  <si>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</si>
  <si>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</si>
  <si>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</si>
  <si>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</si>
  <si>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</si>
  <si>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</si>
  <si>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</si>
  <si>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</si>
  <si>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</si>
  <si>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</si>
  <si>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</si>
  <si>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</si>
  <si>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</si>
  <si>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</si>
  <si>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</si>
  <si>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</si>
  <si>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</si>
  <si>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</si>
  <si>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</si>
  <si>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</si>
  <si>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</si>
  <si>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</si>
  <si>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</si>
  <si>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</si>
  <si>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</si>
  <si>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</si>
  <si>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</si>
  <si>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</si>
  <si>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</si>
  <si>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</si>
  <si>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</si>
  <si>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</si>
  <si>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</si>
  <si>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</si>
  <si>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</si>
  <si>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</si>
  <si>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</si>
  <si>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</si>
  <si>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</si>
  <si>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</si>
  <si>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</si>
  <si>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</si>
  <si>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</si>
  <si>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</si>
  <si>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</si>
  <si>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</si>
  <si>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</si>
  <si>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</si>
  <si>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</si>
  <si>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</si>
  <si>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</si>
  <si>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</si>
  <si>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</si>
  <si>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</si>
  <si>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</si>
  <si>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</si>
  <si>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</si>
  <si>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</si>
  <si>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</si>
  <si>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</si>
  <si>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</si>
  <si>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</si>
  <si>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</si>
  <si>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</si>
  <si>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</si>
  <si>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</si>
  <si>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</si>
  <si>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</si>
  <si>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</si>
  <si>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</si>
  <si>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</si>
  <si>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</si>
  <si>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</si>
  <si>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</si>
  <si>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</si>
  <si>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</si>
  <si>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</si>
  <si>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</si>
  <si>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</si>
  <si>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</si>
  <si>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</si>
  <si>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DCKW</t>
  </si>
  <si>
    <t>Open</t>
  </si>
  <si>
    <t>Dbl - Closed</t>
  </si>
  <si>
    <t>14.00 - 14.00</t>
  </si>
  <si>
    <t>1.20 - 2.40</t>
  </si>
  <si>
    <t>Normal</t>
  </si>
  <si>
    <t>11 x 6</t>
  </si>
  <si>
    <t>10 x 8</t>
  </si>
  <si>
    <t>1 ~ 14</t>
  </si>
  <si>
    <t>(.114"x.182")x1</t>
  </si>
  <si>
    <t>(.114"x.204")x1</t>
  </si>
  <si>
    <t>Wye</t>
  </si>
  <si>
    <t>(105°C)</t>
  </si>
  <si>
    <t>CU</t>
  </si>
  <si>
    <t>AL</t>
  </si>
  <si>
    <t>ERD1: 246.2</t>
  </si>
  <si>
    <t>ERD2: 332.2</t>
  </si>
  <si>
    <t>LB:  -</t>
  </si>
  <si>
    <t>LER:  -</t>
  </si>
  <si>
    <t>UB: 417.4</t>
  </si>
  <si>
    <t>UER: 2800.0</t>
  </si>
  <si>
    <t>ERT: 70.0</t>
  </si>
  <si>
    <t>(Coeff.: 0.0557)</t>
  </si>
  <si>
    <t>Skew R.: 0.00</t>
  </si>
  <si>
    <t>M:\Active Projects\MV Special Opportunity\2P 900HP 5012 WPII\1T2M20F.rat</t>
  </si>
  <si>
    <t>2-2-2-0-1-2</t>
  </si>
  <si>
    <t>B.L.-1  P.F.-1</t>
  </si>
  <si>
    <t>8748.3 / 9083.6</t>
  </si>
  <si>
    <t>7071.9 / 7715.6</t>
  </si>
  <si>
    <t>13213.3 / 9000.0</t>
  </si>
  <si>
    <t>3000.0 / 2691.9</t>
  </si>
  <si>
    <t>9822.7 / 5939.9</t>
  </si>
  <si>
    <t>2162.1 / 1307.5</t>
  </si>
  <si>
    <t>7660.6 / 4632.4</t>
  </si>
  <si>
    <t>1.50 / 0.91</t>
  </si>
  <si>
    <t>65 / 65</t>
  </si>
  <si>
    <t>Temp. Rise @ 100%:</t>
  </si>
  <si>
    <t>Stray Loss</t>
  </si>
  <si>
    <t>0.929 / 0.912</t>
  </si>
  <si>
    <t>0.957 / 0.940</t>
  </si>
  <si>
    <t>0.963 / 0.946</t>
  </si>
  <si>
    <t>0.964 / 0.947</t>
  </si>
  <si>
    <t>0.962 / 0.945</t>
  </si>
  <si>
    <t>0.657 / 0.643</t>
  </si>
  <si>
    <t>0.837 / 0.820</t>
  </si>
  <si>
    <t>0.891 / 0.872</t>
  </si>
  <si>
    <t>0.908 / 0.889</t>
  </si>
  <si>
    <t>0.912 / 0.893</t>
  </si>
  <si>
    <t>44.14 / 45.91</t>
  </si>
  <si>
    <t>67.20 / 69.90</t>
  </si>
  <si>
    <t>94.15 / 97.92</t>
  </si>
  <si>
    <t>123.00 / 127.92</t>
  </si>
  <si>
    <t>153.36 / 159.50</t>
  </si>
  <si>
    <t>4.51 / 4.69</t>
  </si>
  <si>
    <t>UB: 3.67 / 3.81</t>
  </si>
  <si>
    <t>UER: 2.96 / 3.08</t>
  </si>
  <si>
    <t>3591.9 / 3588.6</t>
  </si>
  <si>
    <t>3583.9 / 3580.6</t>
  </si>
  <si>
    <t>3575.7 / 3572.4</t>
  </si>
  <si>
    <t>3567.2 / 3564.0</t>
  </si>
  <si>
    <t>3558.8 / 3555.6</t>
  </si>
  <si>
    <t>0.0023 / 0.0032</t>
  </si>
  <si>
    <t>0.0045 / 0.0054</t>
  </si>
  <si>
    <t>0.0068 / 0.0077</t>
  </si>
  <si>
    <t>0.0091 / 0.0100</t>
  </si>
  <si>
    <t>0.0114 / 0.0123</t>
  </si>
  <si>
    <t>30.016 / 28.318</t>
  </si>
  <si>
    <t>1.416 / 1.336</t>
  </si>
  <si>
    <t>30.05 / 28.35</t>
  </si>
  <si>
    <t>750.5 / 771.5</t>
  </si>
  <si>
    <t>610.2 / 627.3</t>
  </si>
  <si>
    <t>276.0 / 250.9</t>
  </si>
  <si>
    <t>135.5 / 123.2</t>
  </si>
  <si>
    <t>252.0 / 251.1</t>
  </si>
  <si>
    <t>Correlated to: H402149_WPII_Lab2671.dat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</si>
  <si>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</si>
  <si>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</si>
  <si>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</si>
  <si>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</si>
  <si>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</si>
  <si>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</si>
  <si>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</si>
  <si>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</si>
  <si>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</si>
  <si>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56.3 kg.m²</t>
  </si>
  <si>
    <t>Acceleration Data (FV V)</t>
  </si>
  <si>
    <t>4.4 (s)</t>
  </si>
  <si>
    <t>203.7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</si>
  <si>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</si>
  <si>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</si>
  <si>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</si>
  <si>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</si>
  <si>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</si>
  <si>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</si>
  <si>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</si>
  <si>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</si>
  <si>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</si>
  <si>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</si>
  <si>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</si>
  <si>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</si>
  <si>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</si>
  <si>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</si>
  <si>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</si>
  <si>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</si>
  <si>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</si>
  <si>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</si>
  <si>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</si>
  <si>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</si>
  <si>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</si>
  <si>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</si>
  <si>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</si>
  <si>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</si>
  <si>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</si>
  <si>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</si>
  <si>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</si>
  <si>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</si>
  <si>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</si>
  <si>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</si>
  <si>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</si>
  <si>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</si>
  <si>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</si>
  <si>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</si>
  <si>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</si>
  <si>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</si>
  <si>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</si>
  <si>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</si>
  <si>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</si>
  <si>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</si>
  <si>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</si>
  <si>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</si>
  <si>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</si>
  <si>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</si>
  <si>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</si>
  <si>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</si>
  <si>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</si>
  <si>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</si>
  <si>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</si>
  <si>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</si>
  <si>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</si>
  <si>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</si>
  <si>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</si>
  <si>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</si>
  <si>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</si>
  <si>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</si>
  <si>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</si>
  <si>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</si>
  <si>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</si>
  <si>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</si>
  <si>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</si>
  <si>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</si>
  <si>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</si>
  <si>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</si>
  <si>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</si>
  <si>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</si>
  <si>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</si>
  <si>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</si>
  <si>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</si>
  <si>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</si>
  <si>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</si>
  <si>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</si>
  <si>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</si>
  <si>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</si>
  <si>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</si>
  <si>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</si>
  <si>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</si>
  <si>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</si>
  <si>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</si>
  <si>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</si>
  <si>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</si>
  <si>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</si>
  <si>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</si>
  <si>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</si>
  <si>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</si>
  <si>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</si>
  <si>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</si>
  <si>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</si>
  <si>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</si>
  <si>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</si>
  <si>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</si>
  <si>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</si>
  <si>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</si>
  <si>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</si>
  <si>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</si>
  <si>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</si>
  <si>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</si>
  <si>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</si>
  <si>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</si>
  <si>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</si>
  <si>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</si>
  <si>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</si>
  <si>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</si>
  <si>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</si>
  <si>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</si>
  <si>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</si>
  <si>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</si>
  <si>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</si>
  <si>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</si>
  <si>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</si>
  <si>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Type: TIKK - Form: DCKW - 2 Pole - 1000 HP - 2300 / 4000 V - 60 Hz - 5012 - Class F</t>
  </si>
  <si>
    <t>14 x 2</t>
  </si>
  <si>
    <t>1D / 1Y</t>
  </si>
  <si>
    <t xml:space="preserve"> - </t>
  </si>
  <si>
    <t>222 / 128</t>
  </si>
  <si>
    <t>48 / 28</t>
  </si>
  <si>
    <t>1337/ 772</t>
  </si>
  <si>
    <t>65 / 86</t>
  </si>
  <si>
    <t>469 / 2829</t>
  </si>
  <si>
    <t>381 / 308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</si>
  <si>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</si>
  <si>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</si>
  <si>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</si>
  <si>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</si>
  <si>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</si>
  <si>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</si>
  <si>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</si>
  <si>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</si>
  <si>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</si>
  <si>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</si>
  <si>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</si>
  <si>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</si>
  <si>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1155.0</t>
  </si>
  <si>
    <t xml:space="preserve">7T: </t>
  </si>
  <si>
    <t/>
  </si>
  <si>
    <t>0.0103 ~ 0.0099</t>
  </si>
  <si>
    <t>AWG. 02 x 6</t>
  </si>
  <si>
    <t>0.00130</t>
  </si>
  <si>
    <t>7T: 21.67</t>
  </si>
  <si>
    <t>7T: 10.20</t>
  </si>
  <si>
    <t>14.10 ~ 13.70</t>
  </si>
  <si>
    <t>10.83</t>
  </si>
  <si>
    <t>3.80</t>
  </si>
  <si>
    <t xml:space="preserve"> (.114"x.182")x 1: </t>
  </si>
  <si>
    <t xml:space="preserve"> (.114"x.204")x 1: </t>
  </si>
  <si>
    <t>178 lbs.</t>
  </si>
  <si>
    <t>200 lbs.</t>
  </si>
  <si>
    <t xml:space="preserve">1-4, 2-5, 3-6: </t>
  </si>
  <si>
    <t>0.148 ~ 0.139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</si>
  <si>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</si>
  <si>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</si>
  <si>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</si>
  <si>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</si>
  <si>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</si>
  <si>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</si>
  <si>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</si>
  <si>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</si>
  <si>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</si>
  <si>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</si>
  <si>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</si>
  <si>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</si>
  <si>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</si>
  <si>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</si>
  <si>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</si>
  <si>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</si>
  <si>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</si>
  <si>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</si>
  <si>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</si>
  <si>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</si>
  <si>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</si>
  <si>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</si>
  <si>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143.6 lb-ft²</t>
  </si>
  <si>
    <t>1475 lb-ft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</si>
  <si>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</si>
  <si>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</si>
  <si>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</si>
  <si>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</si>
  <si>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</si>
  <si>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</si>
  <si>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</si>
  <si>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</si>
  <si>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</si>
  <si>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</si>
  <si>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</si>
  <si>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</si>
  <si>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</si>
  <si>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</si>
  <si>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</si>
  <si>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</si>
  <si>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</si>
  <si>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</si>
  <si>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</si>
  <si>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</si>
  <si>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</si>
  <si>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</si>
  <si>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</si>
  <si>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</si>
  <si>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</si>
  <si>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</si>
  <si>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</si>
  <si>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</si>
  <si>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</si>
  <si>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</si>
  <si>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</si>
  <si>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</si>
  <si>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</si>
  <si>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</si>
  <si>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</si>
  <si>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</si>
  <si>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</si>
  <si>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</si>
  <si>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</si>
  <si>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- 1000.0 HP - 3600 RPM - 4000 V - 60 Hz</t>
  </si>
  <si>
    <t>0~360</t>
  </si>
  <si>
    <t>360~720</t>
  </si>
  <si>
    <t>720~1080</t>
  </si>
  <si>
    <t>1080~1440</t>
  </si>
  <si>
    <t>1440~1800</t>
  </si>
  <si>
    <t>1800~2192</t>
  </si>
  <si>
    <t>2192~2584</t>
  </si>
  <si>
    <t>2584~2976</t>
  </si>
  <si>
    <t>2976~3172</t>
  </si>
  <si>
    <t>3172~3368</t>
  </si>
  <si>
    <t>3368~3564</t>
  </si>
  <si>
    <t>3564~3567</t>
  </si>
  <si>
    <t>Load Type: Fan / Pump - 334.0 lb-ft²</t>
  </si>
  <si>
    <t>115.3</t>
  </si>
  <si>
    <t>107.7</t>
  </si>
  <si>
    <t>103.4</t>
  </si>
  <si>
    <t>101.1</t>
  </si>
  <si>
    <t>100.2</t>
  </si>
  <si>
    <t>100.8</t>
  </si>
  <si>
    <t>103.8</t>
  </si>
  <si>
    <t>112.7</t>
  </si>
  <si>
    <t>129.2</t>
  </si>
  <si>
    <t>157.4</t>
  </si>
  <si>
    <t>212.9</t>
  </si>
  <si>
    <t>175.0</t>
  </si>
  <si>
    <t>22.5</t>
  </si>
  <si>
    <t>11.5</t>
  </si>
  <si>
    <t>7.0</t>
  </si>
  <si>
    <t>11.0</t>
  </si>
  <si>
    <t>18.5</t>
  </si>
  <si>
    <t>29.5</t>
  </si>
  <si>
    <t>45.9</t>
  </si>
  <si>
    <t>62.5</t>
  </si>
  <si>
    <t>76.2</t>
  </si>
  <si>
    <t>90.6</t>
  </si>
  <si>
    <t>98.8</t>
  </si>
  <si>
    <t>0.409</t>
  </si>
  <si>
    <t>0.394</t>
  </si>
  <si>
    <t>0.403</t>
  </si>
  <si>
    <t>0.425</t>
  </si>
  <si>
    <t>0.502</t>
  </si>
  <si>
    <t>0.556</t>
  </si>
  <si>
    <t>0.618</t>
  </si>
  <si>
    <t>0.310</t>
  </si>
  <si>
    <t>0.254</t>
  </si>
  <si>
    <t>0.169</t>
  </si>
  <si>
    <t>0.004</t>
  </si>
  <si>
    <t>768.9</t>
  </si>
  <si>
    <t>762.5</t>
  </si>
  <si>
    <t>755.4</t>
  </si>
  <si>
    <t>747.7</t>
  </si>
  <si>
    <t>738.9</t>
  </si>
  <si>
    <t>728.9</t>
  </si>
  <si>
    <t>716.4</t>
  </si>
  <si>
    <t>696.2</t>
  </si>
  <si>
    <t>669.6</t>
  </si>
  <si>
    <t>626.6</t>
  </si>
  <si>
    <t>517.2</t>
  </si>
  <si>
    <t>276.7</t>
  </si>
  <si>
    <t>140.9</t>
  </si>
  <si>
    <t>133.8</t>
  </si>
  <si>
    <t>131.1</t>
  </si>
  <si>
    <t>131.8</t>
  </si>
  <si>
    <t>136.0</t>
  </si>
  <si>
    <t>156.5</t>
  </si>
  <si>
    <t>168.3</t>
  </si>
  <si>
    <t>179.9</t>
  </si>
  <si>
    <t>83.6</t>
  </si>
  <si>
    <t>63.3</t>
  </si>
  <si>
    <t>34.8</t>
  </si>
  <si>
    <t>0.0</t>
  </si>
  <si>
    <t>407.1</t>
  </si>
  <si>
    <t>325.5</t>
  </si>
  <si>
    <t>274.2</t>
  </si>
  <si>
    <t>238.5</t>
  </si>
  <si>
    <t>212.6</t>
  </si>
  <si>
    <t>191.3</t>
  </si>
  <si>
    <t>141.1</t>
  </si>
  <si>
    <t>97.6</t>
  </si>
  <si>
    <t>64.0</t>
  </si>
  <si>
    <t>29.2</t>
  </si>
  <si>
    <t>9.4</t>
  </si>
  <si>
    <t>1360 kW / s</t>
  </si>
  <si>
    <t>1612 kW / s</t>
  </si>
  <si>
    <t>546 kW / s</t>
  </si>
  <si>
    <t>21°C</t>
  </si>
  <si>
    <t>84°C</t>
  </si>
  <si>
    <t>44°C</t>
  </si>
  <si>
    <t>43°C</t>
  </si>
  <si>
    <t>168°C</t>
  </si>
  <si>
    <t>87°C</t>
  </si>
  <si>
    <t>Acceleration Time:  4.4 s</t>
  </si>
  <si>
    <t>6.3°C / s</t>
  </si>
  <si>
    <t>34.9°C / s</t>
  </si>
  <si>
    <t>18.1°C / s</t>
  </si>
  <si>
    <t>397.8 kW</t>
  </si>
  <si>
    <t>668.6 kW</t>
  </si>
  <si>
    <t>226.6 kW</t>
  </si>
  <si>
    <t>25.5 s</t>
  </si>
  <si>
    <t>7.5 s</t>
  </si>
  <si>
    <t>10.0 s</t>
  </si>
  <si>
    <t>65°C    +</t>
  </si>
  <si>
    <t>86°C    +</t>
  </si>
  <si>
    <t>95°C    +</t>
  </si>
  <si>
    <t>174°C   +</t>
  </si>
  <si>
    <t>94°C   +</t>
  </si>
  <si>
    <t>15.2 s</t>
  </si>
  <si>
    <t>5.0 s</t>
  </si>
  <si>
    <t>5.2 s</t>
  </si>
  <si>
    <t>7.3 s</t>
  </si>
  <si>
    <t>3.8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</si>
  <si>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</si>
  <si>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</si>
  <si>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</si>
  <si>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</si>
  <si>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</si>
  <si>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</si>
  <si>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</si>
  <si>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</si>
  <si>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</si>
  <si>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</si>
  <si>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</si>
  <si>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</si>
  <si>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</si>
  <si>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</si>
  <si>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</si>
  <si>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</si>
  <si>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</si>
  <si>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</si>
  <si>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</si>
  <si>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</si>
  <si>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</si>
  <si>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</si>
  <si>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</si>
  <si>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</si>
  <si>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</si>
  <si>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</si>
  <si>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</si>
  <si>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2160.0 Hz</t>
  </si>
  <si>
    <t>2141.4 Hz</t>
  </si>
  <si>
    <t>1920.0 Hz</t>
  </si>
  <si>
    <t>1901.4 Hz</t>
  </si>
  <si>
    <t>2040.0 Hz</t>
  </si>
  <si>
    <t>2021.4 Hz</t>
  </si>
  <si>
    <t>2747.0 Hz</t>
  </si>
  <si>
    <t>550.3 Hz</t>
  </si>
  <si>
    <t>1556.5 Hz</t>
  </si>
  <si>
    <t>2984.5 Hz</t>
  </si>
  <si>
    <t>4826.6 Hz</t>
  </si>
  <si>
    <t>7080.6 Hz</t>
  </si>
  <si>
    <t>9745.5 Hz</t>
  </si>
  <si>
    <t>12821.0 Hz</t>
  </si>
  <si>
    <t>16307.0 Hz</t>
  </si>
  <si>
    <t>20203.4 Hz</t>
  </si>
  <si>
    <t>No matching frequencies detected.</t>
  </si>
  <si>
    <t>M203WTAK11F-A1</t>
  </si>
  <si>
    <t>1T2M20K</t>
  </si>
  <si>
    <t>A. Gracia</t>
  </si>
  <si>
    <t xml:space="preserve"> -</t>
  </si>
  <si>
    <t>Top Hat:135-R123</t>
  </si>
  <si>
    <t>QC Limits: 1T2M20K</t>
  </si>
  <si>
    <t>S.Hernandez</t>
  </si>
  <si>
    <t>361-RA41-01 ; 362-RA41-01</t>
  </si>
  <si>
    <t>80dBA with foam; 90+ dBA without foam  Z.X 10/29/19</t>
  </si>
  <si>
    <t>LAB 3191</t>
  </si>
  <si>
    <t>DMM000014</t>
  </si>
  <si>
    <t>NRK 5066 EPOXY RESIN</t>
  </si>
  <si>
    <t>59 / 78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</si>
  <si>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</si>
  <si>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</si>
  <si>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</si>
  <si>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</si>
  <si>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</si>
  <si>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</si>
  <si>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</si>
  <si>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</si>
  <si>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</si>
  <si>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</si>
  <si>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</si>
  <si>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</si>
  <si>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</si>
  <si>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</si>
  <si>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</si>
  <si>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</si>
  <si>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</si>
  <si>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</si>
  <si>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</si>
  <si>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</si>
  <si>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</si>
  <si>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</si>
  <si>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</si>
  <si>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</si>
  <si>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</si>
  <si>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</si>
  <si>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FLAMPS:</t>
  </si>
  <si>
    <t>FORM:</t>
  </si>
  <si>
    <t>S.F.:</t>
  </si>
  <si>
    <t>NEMA DESIGN:</t>
  </si>
  <si>
    <t>B</t>
  </si>
  <si>
    <t>INSUL CLASS:</t>
  </si>
  <si>
    <t>TYPE:</t>
  </si>
  <si>
    <t>TIKK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</si>
  <si>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</si>
  <si>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</si>
  <si>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</si>
  <si>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</si>
  <si>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</si>
  <si>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</si>
  <si>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</si>
  <si>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</si>
  <si>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</si>
  <si>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</si>
  <si>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</si>
  <si>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</si>
  <si>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</si>
  <si>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</si>
  <si>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</si>
  <si>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</si>
  <si>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</si>
  <si>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</si>
  <si>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</si>
  <si>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</si>
  <si>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</si>
  <si>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</si>
  <si>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</si>
  <si>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</si>
  <si>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</si>
  <si>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</si>
  <si>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</si>
  <si>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</si>
  <si>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</si>
  <si>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</si>
  <si>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</si>
  <si>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</si>
  <si>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</si>
  <si>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</si>
  <si>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</si>
  <si>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</si>
  <si>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</si>
  <si>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</si>
  <si>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</si>
  <si>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</si>
  <si>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</si>
  <si>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</si>
  <si>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</si>
  <si>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</si>
  <si>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</si>
  <si>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</si>
  <si>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</si>
  <si>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</si>
  <si>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</si>
  <si>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</si>
  <si>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</si>
  <si>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</si>
  <si>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</si>
  <si>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</si>
  <si>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</si>
  <si>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</si>
  <si>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</si>
  <si>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</si>
  <si>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</si>
  <si>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</si>
  <si>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</si>
  <si>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</si>
  <si>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</si>
  <si>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</si>
  <si>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</si>
  <si>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</si>
  <si>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</si>
  <si>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</si>
  <si>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</si>
  <si>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</si>
  <si>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</si>
  <si>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</si>
  <si>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</si>
  <si>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Performance Curve</t>
  </si>
  <si>
    <t>SPEED</t>
  </si>
  <si>
    <t>KW</t>
  </si>
  <si>
    <t>SYNC SPEED</t>
  </si>
  <si>
    <t>NEW SPEED LOWER RANGE</t>
  </si>
  <si>
    <t>NEW kW UPPER RANGE</t>
  </si>
  <si>
    <t>ADJUSTED</t>
  </si>
  <si>
    <t>Input Watts</t>
  </si>
  <si>
    <t>ORIGINAL</t>
  </si>
  <si>
    <t xml:space="preserve">NOT SUITABLE FOR API ORDER DUE TO SHAFT VIBRATION. </t>
  </si>
  <si>
    <t xml:space="preserve">DYKMAN </t>
  </si>
  <si>
    <t xml:space="preserve">2361573.1 </t>
  </si>
  <si>
    <t>5012USS</t>
  </si>
  <si>
    <t>WP-II</t>
  </si>
  <si>
    <t>2300/4000</t>
  </si>
  <si>
    <t>222/128</t>
  </si>
  <si>
    <t>1337/772</t>
  </si>
  <si>
    <t>JERRY R</t>
  </si>
  <si>
    <t>1.15</t>
  </si>
  <si>
    <t>WT-10163712</t>
  </si>
  <si>
    <t>4000V</t>
  </si>
  <si>
    <t>128 A</t>
  </si>
  <si>
    <t xml:space="preserve">772 A </t>
  </si>
  <si>
    <t>222 A</t>
  </si>
  <si>
    <t>2300 V</t>
  </si>
  <si>
    <t>1337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</si>
</sst>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4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indexed="10"/>
      <name val="Arial"/>
      <family val="2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4" fillId="0" borderId="0"/>
    <xf numFmtId="0" fontId="44" fillId="0" borderId="0"/>
    <xf numFmtId="171" fontId="59" fillId="0" borderId="0"/>
    <xf numFmtId="171" fontId="59" fillId="0" borderId="0"/>
    <xf numFmtId="0" fontId="1" fillId="0" borderId="0"/>
  </cellStyleXfs>
  <cellXfs count="69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0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4" fillId="0" borderId="6" xfId="2" applyBorder="1"/>
    <xf numFmtId="0" fontId="44" fillId="0" borderId="7" xfId="2" applyBorder="1"/>
    <xf numFmtId="0" fontId="44" fillId="0" borderId="41" xfId="2" applyBorder="1"/>
    <xf numFmtId="0" fontId="44" fillId="0" borderId="41" xfId="2" applyBorder="1" applyAlignment="1">
      <alignment horizontal="center"/>
    </xf>
    <xf numFmtId="0" fontId="45" fillId="0" borderId="41" xfId="2" applyFont="1" applyBorder="1" applyAlignment="1">
      <alignment horizontal="center"/>
    </xf>
    <xf numFmtId="0" fontId="44" fillId="0" borderId="0" xfId="2"/>
    <xf numFmtId="0" fontId="46" fillId="0" borderId="127" xfId="2" applyFont="1" applyBorder="1" applyAlignment="1">
      <alignment horizontal="center"/>
    </xf>
    <xf numFmtId="0" fontId="44" fillId="0" borderId="127" xfId="2" applyBorder="1" applyAlignment="1">
      <alignment horizontal="center"/>
    </xf>
    <xf numFmtId="0" fontId="45" fillId="0" borderId="127" xfId="2" applyFont="1" applyBorder="1" applyAlignment="1">
      <alignment horizontal="center"/>
    </xf>
    <xf numFmtId="0" fontId="46" fillId="0" borderId="45" xfId="2" applyFont="1" applyBorder="1" applyAlignment="1">
      <alignment horizontal="center"/>
    </xf>
    <xf numFmtId="0" fontId="46" fillId="0" borderId="0" xfId="2" applyFont="1" applyAlignment="1">
      <alignment horizontal="center"/>
    </xf>
    <xf numFmtId="0" fontId="44" fillId="0" borderId="45" xfId="2" applyBorder="1"/>
    <xf numFmtId="0" fontId="47" fillId="0" borderId="0" xfId="2" applyFont="1"/>
    <xf numFmtId="0" fontId="44" fillId="0" borderId="127" xfId="2" applyBorder="1"/>
    <xf numFmtId="0" fontId="45" fillId="0" borderId="0" xfId="2" applyFont="1"/>
    <xf numFmtId="0" fontId="45" fillId="0" borderId="127" xfId="2" applyFont="1" applyBorder="1"/>
    <xf numFmtId="169" fontId="44" fillId="0" borderId="3" xfId="2" applyNumberFormat="1" applyBorder="1"/>
    <xf numFmtId="49" fontId="44" fillId="0" borderId="1" xfId="2" applyNumberFormat="1" applyBorder="1" applyAlignment="1">
      <alignment horizontal="center"/>
    </xf>
    <xf numFmtId="49" fontId="44" fillId="0" borderId="1" xfId="2" applyNumberFormat="1" applyBorder="1"/>
    <xf numFmtId="49" fontId="45" fillId="0" borderId="1" xfId="2" applyNumberFormat="1" applyFont="1" applyBorder="1"/>
    <xf numFmtId="170" fontId="45" fillId="0" borderId="1" xfId="2" applyNumberFormat="1" applyFont="1" applyBorder="1"/>
    <xf numFmtId="0" fontId="44" fillId="0" borderId="1" xfId="2" applyBorder="1"/>
    <xf numFmtId="0" fontId="44" fillId="0" borderId="9" xfId="2" applyBorder="1"/>
    <xf numFmtId="170" fontId="44" fillId="0" borderId="1" xfId="2" applyNumberFormat="1" applyBorder="1"/>
    <xf numFmtId="0" fontId="44" fillId="0" borderId="1" xfId="2" applyBorder="1" applyAlignment="1">
      <alignment horizontal="center"/>
    </xf>
    <xf numFmtId="169" fontId="44" fillId="0" borderId="18" xfId="2" applyNumberFormat="1" applyBorder="1"/>
    <xf numFmtId="49" fontId="44" fillId="0" borderId="26" xfId="2" applyNumberFormat="1" applyBorder="1"/>
    <xf numFmtId="170" fontId="44" fillId="0" borderId="26" xfId="2" applyNumberFormat="1" applyBorder="1"/>
    <xf numFmtId="0" fontId="44" fillId="0" borderId="26" xfId="2" applyBorder="1"/>
    <xf numFmtId="0" fontId="44" fillId="0" borderId="128" xfId="2" applyBorder="1"/>
    <xf numFmtId="0" fontId="45" fillId="0" borderId="129" xfId="2" applyFont="1" applyBorder="1" applyAlignment="1">
      <alignment horizontal="center"/>
    </xf>
    <xf numFmtId="0" fontId="45" fillId="0" borderId="130" xfId="2" applyFont="1" applyBorder="1" applyAlignment="1">
      <alignment horizontal="center"/>
    </xf>
    <xf numFmtId="49" fontId="45" fillId="0" borderId="2" xfId="2" applyNumberFormat="1" applyFont="1" applyBorder="1" applyAlignment="1">
      <alignment horizontal="center"/>
    </xf>
    <xf numFmtId="0" fontId="44" fillId="0" borderId="57" xfId="2" applyBorder="1" applyAlignment="1">
      <alignment horizontal="left"/>
    </xf>
    <xf numFmtId="49" fontId="44" fillId="0" borderId="3" xfId="2" applyNumberFormat="1" applyBorder="1"/>
    <xf numFmtId="0" fontId="44" fillId="0" borderId="132" xfId="2" applyBorder="1" applyAlignment="1">
      <alignment horizontal="left"/>
    </xf>
    <xf numFmtId="49" fontId="44" fillId="0" borderId="4" xfId="2" applyNumberFormat="1" applyBorder="1"/>
    <xf numFmtId="0" fontId="44" fillId="0" borderId="134" xfId="2" applyBorder="1" applyAlignment="1">
      <alignment horizontal="left"/>
    </xf>
    <xf numFmtId="0" fontId="44" fillId="0" borderId="0" xfId="3"/>
    <xf numFmtId="0" fontId="48" fillId="0" borderId="0" xfId="3" applyFont="1"/>
    <xf numFmtId="0" fontId="50" fillId="0" borderId="20" xfId="3" applyFont="1" applyBorder="1" applyAlignment="1">
      <alignment horizontal="right"/>
    </xf>
    <xf numFmtId="0" fontId="50" fillId="0" borderId="47" xfId="3" applyFont="1" applyBorder="1" applyAlignment="1">
      <alignment horizontal="right"/>
    </xf>
    <xf numFmtId="0" fontId="50" fillId="0" borderId="103" xfId="3" applyFont="1" applyBorder="1" applyAlignment="1">
      <alignment horizontal="center"/>
    </xf>
    <xf numFmtId="0" fontId="23" fillId="0" borderId="38" xfId="3" applyFont="1" applyBorder="1" applyAlignment="1">
      <alignment horizontal="center"/>
    </xf>
    <xf numFmtId="0" fontId="50" fillId="0" borderId="63" xfId="3" applyFont="1" applyBorder="1" applyAlignment="1">
      <alignment horizontal="center"/>
    </xf>
    <xf numFmtId="0" fontId="23" fillId="0" borderId="38" xfId="3" applyFont="1" applyBorder="1"/>
    <xf numFmtId="0" fontId="44" fillId="0" borderId="46" xfId="3" applyBorder="1"/>
    <xf numFmtId="0" fontId="23" fillId="0" borderId="48" xfId="3" applyFont="1" applyBorder="1" applyAlignment="1">
      <alignment horizontal="center"/>
    </xf>
    <xf numFmtId="0" fontId="48" fillId="0" borderId="53" xfId="3" applyFont="1" applyBorder="1" applyAlignment="1">
      <alignment horizontal="center"/>
    </xf>
    <xf numFmtId="0" fontId="23" fillId="0" borderId="48" xfId="3" applyFont="1" applyBorder="1"/>
    <xf numFmtId="0" fontId="50" fillId="0" borderId="103" xfId="3" applyFont="1" applyBorder="1" applyAlignment="1">
      <alignment horizontal="right"/>
    </xf>
    <xf numFmtId="0" fontId="23" fillId="0" borderId="27" xfId="3" applyFont="1" applyBorder="1" applyAlignment="1">
      <alignment horizontal="center"/>
    </xf>
    <xf numFmtId="0" fontId="50" fillId="0" borderId="46" xfId="3" applyFont="1" applyBorder="1" applyAlignment="1">
      <alignment horizontal="right"/>
    </xf>
    <xf numFmtId="0" fontId="23" fillId="0" borderId="24" xfId="3" applyFont="1" applyBorder="1" applyAlignment="1">
      <alignment horizontal="center"/>
    </xf>
    <xf numFmtId="0" fontId="23" fillId="0" borderId="32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51" fillId="0" borderId="63" xfId="3" applyFont="1" applyBorder="1"/>
    <xf numFmtId="0" fontId="51" fillId="0" borderId="64" xfId="3" applyFont="1" applyBorder="1"/>
    <xf numFmtId="0" fontId="51" fillId="0" borderId="38" xfId="3" applyFont="1" applyBorder="1"/>
    <xf numFmtId="0" fontId="52" fillId="0" borderId="52" xfId="3" applyFont="1" applyBorder="1" applyAlignment="1">
      <alignment horizontal="centerContinuous"/>
    </xf>
    <xf numFmtId="0" fontId="51" fillId="0" borderId="0" xfId="3" applyFont="1" applyAlignment="1">
      <alignment horizontal="centerContinuous"/>
    </xf>
    <xf numFmtId="0" fontId="51" fillId="0" borderId="51" xfId="3" applyFont="1" applyBorder="1" applyAlignment="1">
      <alignment horizontal="centerContinuous"/>
    </xf>
    <xf numFmtId="0" fontId="53" fillId="0" borderId="52" xfId="3" applyFont="1" applyBorder="1" applyAlignment="1">
      <alignment horizontal="centerContinuous"/>
    </xf>
    <xf numFmtId="0" fontId="51" fillId="0" borderId="52" xfId="3" applyFont="1" applyBorder="1"/>
    <xf numFmtId="0" fontId="51" fillId="0" borderId="0" xfId="3" applyFont="1"/>
    <xf numFmtId="0" fontId="51" fillId="0" borderId="51" xfId="3" applyFont="1" applyBorder="1"/>
    <xf numFmtId="0" fontId="49" fillId="0" borderId="1" xfId="3" applyFont="1" applyBorder="1" applyAlignment="1">
      <alignment horizontal="right"/>
    </xf>
    <xf numFmtId="0" fontId="51" fillId="0" borderId="1" xfId="3" applyFont="1" applyBorder="1" applyAlignment="1">
      <alignment horizontal="center"/>
    </xf>
    <xf numFmtId="14" fontId="51" fillId="0" borderId="1" xfId="3" applyNumberFormat="1" applyFont="1" applyBorder="1" applyAlignment="1">
      <alignment horizontal="center"/>
    </xf>
    <xf numFmtId="0" fontId="49" fillId="0" borderId="0" xfId="3" applyFont="1" applyAlignment="1">
      <alignment horizontal="right"/>
    </xf>
    <xf numFmtId="0" fontId="51" fillId="0" borderId="0" xfId="3" applyFont="1" applyAlignment="1">
      <alignment horizontal="center"/>
    </xf>
    <xf numFmtId="9" fontId="51" fillId="0" borderId="0" xfId="3" applyNumberFormat="1" applyFont="1" applyAlignment="1">
      <alignment horizontal="center"/>
    </xf>
    <xf numFmtId="0" fontId="49" fillId="0" borderId="52" xfId="3" applyFont="1" applyBorder="1" applyAlignment="1">
      <alignment horizontal="right"/>
    </xf>
    <xf numFmtId="0" fontId="51" fillId="0" borderId="40" xfId="3" applyFont="1" applyBorder="1"/>
    <xf numFmtId="0" fontId="51" fillId="0" borderId="39" xfId="3" applyFont="1" applyBorder="1" applyAlignment="1">
      <alignment horizontal="center"/>
    </xf>
    <xf numFmtId="0" fontId="51" fillId="0" borderId="86" xfId="3" applyFont="1" applyBorder="1"/>
    <xf numFmtId="0" fontId="49" fillId="0" borderId="17" xfId="3" applyFont="1" applyBorder="1" applyAlignment="1">
      <alignment horizontal="right"/>
    </xf>
    <xf numFmtId="0" fontId="51" fillId="0" borderId="132" xfId="3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3" applyFont="1" applyAlignment="1">
      <alignment horizontal="right"/>
    </xf>
    <xf numFmtId="0" fontId="16" fillId="0" borderId="0" xfId="3" applyFont="1"/>
    <xf numFmtId="0" fontId="54" fillId="0" borderId="26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48" fillId="0" borderId="1" xfId="3" applyFont="1" applyBorder="1" applyAlignment="1">
      <alignment horizontal="center"/>
    </xf>
    <xf numFmtId="0" fontId="54" fillId="0" borderId="1" xfId="3" applyFont="1" applyBorder="1" applyAlignment="1">
      <alignment horizontal="right"/>
    </xf>
    <xf numFmtId="0" fontId="54" fillId="0" borderId="1" xfId="3" applyFont="1" applyBorder="1" applyAlignment="1">
      <alignment horizontal="center"/>
    </xf>
    <xf numFmtId="0" fontId="48" fillId="0" borderId="131" xfId="3" applyFont="1" applyBorder="1" applyAlignment="1">
      <alignment horizontal="center"/>
    </xf>
    <xf numFmtId="0" fontId="48" fillId="0" borderId="132" xfId="3" quotePrefix="1" applyFont="1" applyBorder="1" applyAlignment="1">
      <alignment horizontal="center"/>
    </xf>
    <xf numFmtId="0" fontId="48" fillId="0" borderId="132" xfId="3" applyFont="1" applyBorder="1" applyAlignment="1">
      <alignment horizontal="center"/>
    </xf>
    <xf numFmtId="0" fontId="54" fillId="0" borderId="0" xfId="3" applyFont="1" applyAlignment="1">
      <alignment horizontal="right"/>
    </xf>
    <xf numFmtId="0" fontId="48" fillId="0" borderId="64" xfId="3" applyFont="1" applyBorder="1" applyAlignment="1">
      <alignment horizontal="center"/>
    </xf>
    <xf numFmtId="0" fontId="56" fillId="0" borderId="0" xfId="3" applyFont="1"/>
    <xf numFmtId="0" fontId="57" fillId="0" borderId="0" xfId="3" applyFont="1"/>
    <xf numFmtId="0" fontId="2" fillId="0" borderId="1" xfId="3" applyFont="1" applyBorder="1" applyAlignment="1">
      <alignment horizontal="center"/>
    </xf>
    <xf numFmtId="1" fontId="2" fillId="2" borderId="1" xfId="3" applyNumberFormat="1" applyFont="1" applyFill="1" applyBorder="1" applyAlignment="1">
      <alignment horizontal="center"/>
    </xf>
    <xf numFmtId="2" fontId="2" fillId="2" borderId="1" xfId="3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6" fillId="0" borderId="0" xfId="3" applyFont="1"/>
    <xf numFmtId="0" fontId="49" fillId="0" borderId="0" xfId="3" applyFont="1"/>
    <xf numFmtId="0" fontId="23" fillId="0" borderId="17" xfId="3" applyFont="1" applyBorder="1" applyAlignment="1">
      <alignment horizontal="right"/>
    </xf>
    <xf numFmtId="0" fontId="23" fillId="0" borderId="132" xfId="3" applyFont="1" applyBorder="1" applyAlignment="1">
      <alignment horizontal="left"/>
    </xf>
    <xf numFmtId="0" fontId="23" fillId="0" borderId="132" xfId="3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0" fontId="2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171" fontId="60" fillId="0" borderId="6" xfId="4" applyFont="1" applyBorder="1" applyAlignment="1">
      <alignment horizontal="centerContinuous"/>
    </xf>
    <xf numFmtId="171" fontId="60" fillId="0" borderId="7" xfId="4" applyFont="1" applyBorder="1" applyAlignment="1">
      <alignment horizontal="centerContinuous"/>
    </xf>
    <xf numFmtId="171" fontId="61" fillId="0" borderId="12" xfId="4" applyFont="1" applyBorder="1" applyAlignment="1">
      <alignment horizontal="left"/>
    </xf>
    <xf numFmtId="171" fontId="62" fillId="0" borderId="57" xfId="4" applyFont="1" applyBorder="1"/>
    <xf numFmtId="171" fontId="61" fillId="0" borderId="13" xfId="4" applyFont="1" applyBorder="1" applyAlignment="1">
      <alignment horizontal="centerContinuous"/>
    </xf>
    <xf numFmtId="171" fontId="62" fillId="0" borderId="14" xfId="4" applyFont="1" applyBorder="1" applyAlignment="1">
      <alignment horizontal="centerContinuous"/>
    </xf>
    <xf numFmtId="171" fontId="63" fillId="0" borderId="0" xfId="4" applyFont="1"/>
    <xf numFmtId="171" fontId="59" fillId="0" borderId="0" xfId="4"/>
    <xf numFmtId="171" fontId="60" fillId="0" borderId="45" xfId="4" applyFont="1" applyBorder="1" applyAlignment="1">
      <alignment horizontal="centerContinuous"/>
    </xf>
    <xf numFmtId="171" fontId="60" fillId="0" borderId="0" xfId="4" applyFont="1" applyAlignment="1">
      <alignment horizontal="centerContinuous"/>
    </xf>
    <xf numFmtId="171" fontId="61" fillId="0" borderId="109" xfId="4" applyFont="1" applyBorder="1" applyAlignment="1">
      <alignment horizontal="left"/>
    </xf>
    <xf numFmtId="171" fontId="62" fillId="0" borderId="39" xfId="4" applyFont="1" applyBorder="1"/>
    <xf numFmtId="171" fontId="61" fillId="0" borderId="40" xfId="4" applyFont="1" applyBorder="1" applyAlignment="1">
      <alignment horizontal="centerContinuous"/>
    </xf>
    <xf numFmtId="171" fontId="62" fillId="0" borderId="29" xfId="4" applyFont="1" applyBorder="1" applyAlignment="1">
      <alignment horizontal="centerContinuous"/>
    </xf>
    <xf numFmtId="171" fontId="62" fillId="0" borderId="45" xfId="4" applyFont="1" applyBorder="1" applyAlignment="1">
      <alignment horizontal="centerContinuous"/>
    </xf>
    <xf numFmtId="171" fontId="62" fillId="0" borderId="0" xfId="4" applyFont="1" applyAlignment="1">
      <alignment horizontal="centerContinuous"/>
    </xf>
    <xf numFmtId="171" fontId="61" fillId="0" borderId="40" xfId="4" quotePrefix="1" applyFont="1" applyBorder="1" applyAlignment="1">
      <alignment horizontal="centerContinuous"/>
    </xf>
    <xf numFmtId="171" fontId="64" fillId="0" borderId="45" xfId="4" applyFont="1" applyBorder="1" applyAlignment="1">
      <alignment horizontal="centerContinuous"/>
    </xf>
    <xf numFmtId="171" fontId="63" fillId="0" borderId="45" xfId="4" applyFont="1" applyBorder="1" applyAlignment="1">
      <alignment horizontal="centerContinuous"/>
    </xf>
    <xf numFmtId="171" fontId="63" fillId="0" borderId="46" xfId="4" applyFont="1" applyBorder="1" applyAlignment="1">
      <alignment horizontal="centerContinuous"/>
    </xf>
    <xf numFmtId="171" fontId="62" fillId="0" borderId="23" xfId="4" applyFont="1" applyBorder="1" applyAlignment="1">
      <alignment horizontal="centerContinuous"/>
    </xf>
    <xf numFmtId="171" fontId="61" fillId="0" borderId="46" xfId="4" applyFont="1" applyBorder="1" applyAlignment="1">
      <alignment horizontal="left"/>
    </xf>
    <xf numFmtId="171" fontId="62" fillId="0" borderId="48" xfId="4" applyFont="1" applyBorder="1"/>
    <xf numFmtId="171" fontId="65" fillId="0" borderId="23" xfId="4" applyFont="1" applyBorder="1" applyAlignment="1">
      <alignment horizontal="centerContinuous"/>
    </xf>
    <xf numFmtId="171" fontId="62" fillId="0" borderId="24" xfId="4" applyFont="1" applyBorder="1" applyAlignment="1">
      <alignment horizontal="centerContinuous"/>
    </xf>
    <xf numFmtId="171" fontId="63" fillId="0" borderId="0" xfId="4" applyFont="1" applyAlignment="1">
      <alignment horizontal="centerContinuous"/>
    </xf>
    <xf numFmtId="171" fontId="61" fillId="0" borderId="0" xfId="4" applyFont="1" applyAlignment="1">
      <alignment horizontal="left"/>
    </xf>
    <xf numFmtId="171" fontId="62" fillId="0" borderId="0" xfId="4" applyFont="1"/>
    <xf numFmtId="171" fontId="61" fillId="0" borderId="0" xfId="4" applyFont="1" applyAlignment="1">
      <alignment horizontal="centerContinuous"/>
    </xf>
    <xf numFmtId="171" fontId="66" fillId="0" borderId="0" xfId="4" applyFont="1"/>
    <xf numFmtId="171" fontId="66" fillId="0" borderId="0" xfId="4" applyFont="1" applyAlignment="1">
      <alignment horizontal="right"/>
    </xf>
    <xf numFmtId="171" fontId="66" fillId="0" borderId="0" xfId="4" applyFont="1" applyAlignment="1" applyProtection="1">
      <alignment horizontal="left"/>
      <protection locked="0"/>
    </xf>
    <xf numFmtId="171" fontId="66" fillId="0" borderId="0" xfId="4" applyFont="1" applyAlignment="1">
      <alignment horizontal="centerContinuous"/>
    </xf>
    <xf numFmtId="171" fontId="66" fillId="0" borderId="0" xfId="4" applyFont="1" applyAlignment="1">
      <alignment horizontal="left"/>
    </xf>
    <xf numFmtId="49" fontId="66" fillId="0" borderId="0" xfId="4" quotePrefix="1" applyNumberFormat="1" applyFont="1" applyAlignment="1" applyProtection="1">
      <alignment horizontal="left"/>
      <protection locked="0"/>
    </xf>
    <xf numFmtId="171" fontId="67" fillId="0" borderId="136" xfId="4" applyFont="1" applyBorder="1" applyAlignment="1">
      <alignment horizontal="centerContinuous"/>
    </xf>
    <xf numFmtId="171" fontId="63" fillId="0" borderId="137" xfId="4" applyFont="1" applyBorder="1" applyAlignment="1">
      <alignment horizontal="centerContinuous"/>
    </xf>
    <xf numFmtId="171" fontId="63" fillId="0" borderId="138" xfId="4" applyFont="1" applyBorder="1" applyAlignment="1">
      <alignment horizontal="centerContinuous"/>
    </xf>
    <xf numFmtId="171" fontId="66" fillId="0" borderId="45" xfId="4" applyFont="1" applyBorder="1"/>
    <xf numFmtId="171" fontId="66" fillId="0" borderId="0" xfId="4" applyFont="1" applyAlignment="1" applyProtection="1">
      <alignment horizontal="center"/>
      <protection locked="0"/>
    </xf>
    <xf numFmtId="171" fontId="66" fillId="0" borderId="21" xfId="4" applyFont="1" applyBorder="1" applyAlignment="1" applyProtection="1">
      <alignment horizontal="center"/>
      <protection locked="0"/>
    </xf>
    <xf numFmtId="171" fontId="66" fillId="0" borderId="0" xfId="4" applyFont="1" applyAlignment="1">
      <alignment horizontal="center"/>
    </xf>
    <xf numFmtId="49" fontId="66" fillId="0" borderId="0" xfId="4" applyNumberFormat="1" applyFont="1" applyAlignment="1">
      <alignment horizontal="center"/>
    </xf>
    <xf numFmtId="171" fontId="66" fillId="0" borderId="0" xfId="4" quotePrefix="1" applyFont="1" applyAlignment="1">
      <alignment horizontal="right"/>
    </xf>
    <xf numFmtId="171" fontId="66" fillId="0" borderId="0" xfId="4" quotePrefix="1" applyFont="1" applyAlignment="1" applyProtection="1">
      <alignment horizontal="center"/>
      <protection locked="0"/>
    </xf>
    <xf numFmtId="171" fontId="66" fillId="0" borderId="21" xfId="4" applyFont="1" applyBorder="1"/>
    <xf numFmtId="171" fontId="66" fillId="0" borderId="46" xfId="4" applyFont="1" applyBorder="1"/>
    <xf numFmtId="171" fontId="66" fillId="0" borderId="23" xfId="4" applyFont="1" applyBorder="1" applyAlignment="1">
      <alignment horizontal="right"/>
    </xf>
    <xf numFmtId="166" fontId="66" fillId="0" borderId="23" xfId="4" quotePrefix="1" applyNumberFormat="1" applyFont="1" applyBorder="1" applyAlignment="1" applyProtection="1">
      <alignment horizontal="center"/>
      <protection locked="0"/>
    </xf>
    <xf numFmtId="171" fontId="66" fillId="0" borderId="23" xfId="4" applyFont="1" applyBorder="1"/>
    <xf numFmtId="166" fontId="66" fillId="0" borderId="23" xfId="4" applyNumberFormat="1" applyFont="1" applyBorder="1"/>
    <xf numFmtId="171" fontId="66" fillId="0" borderId="24" xfId="4" applyFont="1" applyBorder="1"/>
    <xf numFmtId="171" fontId="68" fillId="0" borderId="45" xfId="4" quotePrefix="1" applyFont="1" applyBorder="1" applyAlignment="1">
      <alignment horizontal="left"/>
    </xf>
    <xf numFmtId="171" fontId="62" fillId="0" borderId="0" xfId="4" quotePrefix="1" applyFont="1" applyAlignment="1">
      <alignment horizontal="right"/>
    </xf>
    <xf numFmtId="171" fontId="62" fillId="0" borderId="51" xfId="4" applyFont="1" applyBorder="1"/>
    <xf numFmtId="171" fontId="68" fillId="0" borderId="0" xfId="4" applyFont="1" applyAlignment="1">
      <alignment horizontal="left"/>
    </xf>
    <xf numFmtId="171" fontId="62" fillId="0" borderId="0" xfId="4" applyFont="1" applyAlignment="1">
      <alignment horizontal="right"/>
    </xf>
    <xf numFmtId="171" fontId="62" fillId="0" borderId="51" xfId="4" applyFont="1" applyBorder="1" applyAlignment="1">
      <alignment horizontal="right"/>
    </xf>
    <xf numFmtId="171" fontId="68" fillId="0" borderId="0" xfId="4" quotePrefix="1" applyFont="1" applyAlignment="1">
      <alignment horizontal="left"/>
    </xf>
    <xf numFmtId="171" fontId="62" fillId="0" borderId="21" xfId="4" applyFont="1" applyBorder="1"/>
    <xf numFmtId="171" fontId="59" fillId="0" borderId="45" xfId="4" applyBorder="1"/>
    <xf numFmtId="171" fontId="66" fillId="0" borderId="51" xfId="4" applyFont="1" applyBorder="1" applyAlignment="1" applyProtection="1">
      <alignment horizontal="center"/>
      <protection locked="0"/>
    </xf>
    <xf numFmtId="1" fontId="66" fillId="0" borderId="51" xfId="4" applyNumberFormat="1" applyFont="1" applyBorder="1" applyAlignment="1">
      <alignment horizontal="center"/>
    </xf>
    <xf numFmtId="171" fontId="66" fillId="0" borderId="51" xfId="4" applyFont="1" applyBorder="1"/>
    <xf numFmtId="171" fontId="66" fillId="0" borderId="48" xfId="4" applyFont="1" applyBorder="1"/>
    <xf numFmtId="171" fontId="66" fillId="0" borderId="48" xfId="4" applyFont="1" applyBorder="1" applyAlignment="1">
      <alignment horizontal="left"/>
    </xf>
    <xf numFmtId="171" fontId="67" fillId="0" borderId="139" xfId="4" applyFont="1" applyBorder="1" applyAlignment="1">
      <alignment horizontal="centerContinuous"/>
    </xf>
    <xf numFmtId="171" fontId="63" fillId="0" borderId="140" xfId="4" applyFont="1" applyBorder="1" applyAlignment="1">
      <alignment horizontal="centerContinuous"/>
    </xf>
    <xf numFmtId="171" fontId="59" fillId="0" borderId="141" xfId="4" applyBorder="1"/>
    <xf numFmtId="171" fontId="63" fillId="0" borderId="142" xfId="4" applyFont="1" applyBorder="1" applyAlignment="1">
      <alignment horizontal="centerContinuous"/>
    </xf>
    <xf numFmtId="171" fontId="68" fillId="0" borderId="45" xfId="4" applyFont="1" applyBorder="1" applyAlignment="1">
      <alignment horizontal="left"/>
    </xf>
    <xf numFmtId="171" fontId="59" fillId="0" borderId="51" xfId="4" applyBorder="1"/>
    <xf numFmtId="166" fontId="66" fillId="0" borderId="0" xfId="4" applyNumberFormat="1" applyFont="1" applyAlignment="1" applyProtection="1">
      <alignment horizontal="center"/>
      <protection locked="0"/>
    </xf>
    <xf numFmtId="171" fontId="66" fillId="0" borderId="45" xfId="4" applyFont="1" applyBorder="1" applyAlignment="1">
      <alignment horizontal="left"/>
    </xf>
    <xf numFmtId="171" fontId="59" fillId="0" borderId="48" xfId="4" applyBorder="1"/>
    <xf numFmtId="171" fontId="63" fillId="0" borderId="0" xfId="4" applyFont="1" applyAlignment="1">
      <alignment horizontal="left"/>
    </xf>
    <xf numFmtId="171" fontId="63" fillId="0" borderId="139" xfId="4" applyFont="1" applyBorder="1"/>
    <xf numFmtId="171" fontId="62" fillId="0" borderId="140" xfId="4" applyFont="1" applyBorder="1" applyAlignment="1">
      <alignment horizontal="left"/>
    </xf>
    <xf numFmtId="171" fontId="62" fillId="0" borderId="142" xfId="4" applyFont="1" applyBorder="1" applyAlignment="1">
      <alignment horizontal="left"/>
    </xf>
    <xf numFmtId="171" fontId="66" fillId="0" borderId="45" xfId="5" quotePrefix="1" applyFont="1" applyBorder="1" applyAlignment="1">
      <alignment horizontal="left"/>
    </xf>
    <xf numFmtId="171" fontId="66" fillId="0" borderId="21" xfId="4" applyFont="1" applyBorder="1" applyAlignment="1">
      <alignment horizontal="left"/>
    </xf>
    <xf numFmtId="171" fontId="66" fillId="0" borderId="45" xfId="5" applyFont="1" applyBorder="1" applyAlignment="1">
      <alignment horizontal="left"/>
    </xf>
    <xf numFmtId="171" fontId="69" fillId="0" borderId="143" xfId="5" applyFont="1" applyBorder="1"/>
    <xf numFmtId="171" fontId="66" fillId="0" borderId="0" xfId="4" quotePrefix="1" applyFont="1" applyAlignment="1">
      <alignment horizontal="left"/>
    </xf>
    <xf numFmtId="171" fontId="66" fillId="0" borderId="144" xfId="5" quotePrefix="1" applyFont="1" applyBorder="1" applyAlignment="1">
      <alignment horizontal="left"/>
    </xf>
    <xf numFmtId="171" fontId="66" fillId="0" borderId="145" xfId="5" quotePrefix="1" applyFont="1" applyBorder="1" applyAlignment="1">
      <alignment horizontal="left"/>
    </xf>
    <xf numFmtId="171" fontId="66" fillId="0" borderId="46" xfId="5" applyFont="1" applyBorder="1" applyAlignment="1">
      <alignment horizontal="left"/>
    </xf>
    <xf numFmtId="171" fontId="66" fillId="0" borderId="23" xfId="4" applyFont="1" applyBorder="1" applyAlignment="1">
      <alignment horizontal="left"/>
    </xf>
    <xf numFmtId="171" fontId="66" fillId="0" borderId="24" xfId="4" applyFont="1" applyBorder="1" applyAlignment="1">
      <alignment horizontal="left"/>
    </xf>
    <xf numFmtId="171" fontId="62" fillId="0" borderId="0" xfId="4" applyFont="1" applyAlignment="1">
      <alignment horizontal="left"/>
    </xf>
    <xf numFmtId="171" fontId="70" fillId="0" borderId="0" xfId="4" applyFont="1" applyAlignment="1">
      <alignment horizontal="right"/>
    </xf>
    <xf numFmtId="171" fontId="59" fillId="0" borderId="0" xfId="4" applyAlignment="1">
      <alignment horizontal="right"/>
    </xf>
    <xf numFmtId="0" fontId="51" fillId="0" borderId="63" xfId="6" applyFont="1" applyBorder="1"/>
    <xf numFmtId="0" fontId="51" fillId="0" borderId="64" xfId="6" applyFont="1" applyBorder="1"/>
    <xf numFmtId="0" fontId="51" fillId="0" borderId="38" xfId="6" applyFont="1" applyBorder="1"/>
    <xf numFmtId="0" fontId="1" fillId="0" borderId="0" xfId="6"/>
    <xf numFmtId="0" fontId="52" fillId="0" borderId="52" xfId="6" applyFont="1" applyBorder="1" applyAlignment="1">
      <alignment horizontal="centerContinuous"/>
    </xf>
    <xf numFmtId="0" fontId="51" fillId="0" borderId="0" xfId="6" applyFont="1" applyAlignment="1">
      <alignment horizontal="centerContinuous"/>
    </xf>
    <xf numFmtId="0" fontId="51" fillId="0" borderId="51" xfId="6" applyFont="1" applyBorder="1" applyAlignment="1">
      <alignment horizontal="centerContinuous"/>
    </xf>
    <xf numFmtId="0" fontId="53" fillId="0" borderId="52" xfId="6" applyFont="1" applyBorder="1" applyAlignment="1">
      <alignment horizontal="centerContinuous"/>
    </xf>
    <xf numFmtId="0" fontId="51" fillId="0" borderId="52" xfId="6" applyFont="1" applyBorder="1"/>
    <xf numFmtId="0" fontId="51" fillId="0" borderId="0" xfId="6" applyFont="1"/>
    <xf numFmtId="0" fontId="51" fillId="0" borderId="51" xfId="6" applyFont="1" applyBorder="1"/>
    <xf numFmtId="0" fontId="72" fillId="0" borderId="0" xfId="6" applyFont="1"/>
    <xf numFmtId="0" fontId="1" fillId="0" borderId="0" xfId="6" applyAlignment="1">
      <alignment horizontal="center"/>
    </xf>
    <xf numFmtId="0" fontId="1" fillId="0" borderId="0" xfId="6" applyAlignment="1">
      <alignment horizontal="right"/>
    </xf>
    <xf numFmtId="0" fontId="1" fillId="3" borderId="0" xfId="6" applyFill="1"/>
    <xf numFmtId="0" fontId="1" fillId="4" borderId="0" xfId="6" applyFill="1"/>
    <xf numFmtId="0" fontId="2" fillId="0" borderId="42" xfId="6" applyFont="1" applyBorder="1" applyAlignment="1">
      <alignment horizontal="center"/>
    </xf>
    <xf numFmtId="0" fontId="2" fillId="0" borderId="24" xfId="6" applyFont="1" applyBorder="1" applyAlignment="1">
      <alignment horizontal="center"/>
    </xf>
    <xf numFmtId="166" fontId="3" fillId="0" borderId="147" xfId="6" quotePrefix="1" applyNumberFormat="1" applyFont="1" applyBorder="1" applyAlignment="1">
      <alignment horizontal="center"/>
    </xf>
    <xf numFmtId="166" fontId="2" fillId="0" borderId="39" xfId="6" applyNumberFormat="1" applyFont="1" applyBorder="1" applyAlignment="1">
      <alignment horizontal="center"/>
    </xf>
    <xf numFmtId="166" fontId="2" fillId="0" borderId="28" xfId="6" applyNumberFormat="1" applyFont="1" applyBorder="1" applyAlignment="1">
      <alignment horizontal="center"/>
    </xf>
    <xf numFmtId="166" fontId="2" fillId="0" borderId="148" xfId="6" applyNumberFormat="1" applyFont="1" applyBorder="1" applyAlignment="1">
      <alignment horizontal="center"/>
    </xf>
    <xf numFmtId="166" fontId="3" fillId="0" borderId="149" xfId="6" quotePrefix="1" applyNumberFormat="1" applyFont="1" applyBorder="1" applyAlignment="1">
      <alignment horizontal="center"/>
    </xf>
    <xf numFmtId="166" fontId="2" fillId="0" borderId="132" xfId="6" applyNumberFormat="1" applyFont="1" applyBorder="1" applyAlignment="1">
      <alignment horizontal="center"/>
    </xf>
    <xf numFmtId="166" fontId="2" fillId="0" borderId="1" xfId="6" applyNumberFormat="1" applyFont="1" applyBorder="1" applyAlignment="1">
      <alignment horizontal="center"/>
    </xf>
    <xf numFmtId="166" fontId="2" fillId="0" borderId="9" xfId="6" applyNumberFormat="1" applyFont="1" applyBorder="1" applyAlignment="1">
      <alignment horizontal="center"/>
    </xf>
    <xf numFmtId="166" fontId="3" fillId="0" borderId="25" xfId="6" quotePrefix="1" applyNumberFormat="1" applyFont="1" applyBorder="1" applyAlignment="1">
      <alignment horizontal="center"/>
    </xf>
    <xf numFmtId="166" fontId="2" fillId="0" borderId="134" xfId="6" applyNumberFormat="1" applyFont="1" applyBorder="1" applyAlignment="1">
      <alignment horizontal="center"/>
    </xf>
    <xf numFmtId="166" fontId="2" fillId="0" borderId="11" xfId="6" applyNumberFormat="1" applyFont="1" applyBorder="1" applyAlignment="1">
      <alignment horizontal="center"/>
    </xf>
    <xf numFmtId="166" fontId="2" fillId="0" borderId="33" xfId="6" applyNumberFormat="1" applyFont="1" applyBorder="1" applyAlignment="1">
      <alignment horizontal="center"/>
    </xf>
    <xf numFmtId="166" fontId="3" fillId="0" borderId="0" xfId="6" quotePrefix="1" applyNumberFormat="1" applyFont="1" applyAlignment="1">
      <alignment horizontal="center"/>
    </xf>
    <xf numFmtId="166" fontId="2" fillId="0" borderId="0" xfId="6" applyNumberFormat="1" applyFont="1" applyAlignment="1">
      <alignment horizontal="center"/>
    </xf>
    <xf numFmtId="0" fontId="73" fillId="2" borderId="70" xfId="1" applyFont="1" applyFill="1" applyBorder="1" applyAlignment="1">
      <alignment horizontal="left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6" xfId="1" applyFont="1" applyBorder="1" applyAlignment="1">
      <alignment horizontal="center"/>
    </xf>
    <xf numFmtId="0" fontId="26" fillId="0" borderId="23" xfId="1" applyFont="1" applyBorder="1" applyAlignment="1">
      <alignment horizontal="center"/>
    </xf>
    <xf numFmtId="0" fontId="26" fillId="0" borderId="48" xfId="1" applyFont="1" applyBorder="1" applyAlignment="1">
      <alignment horizontal="center"/>
    </xf>
    <xf numFmtId="0" fontId="41" fillId="2" borderId="117" xfId="1" applyFont="1" applyFill="1" applyBorder="1" applyAlignment="1">
      <alignment horizontal="center"/>
    </xf>
    <xf numFmtId="0" fontId="41" fillId="2" borderId="118" xfId="1" applyFont="1" applyFill="1" applyBorder="1" applyAlignment="1">
      <alignment horizontal="center"/>
    </xf>
    <xf numFmtId="0" fontId="44" fillId="0" borderId="50" xfId="2" applyBorder="1" applyAlignment="1">
      <alignment horizontal="left"/>
    </xf>
    <xf numFmtId="0" fontId="44" fillId="0" borderId="13" xfId="2" applyBorder="1" applyAlignment="1">
      <alignment horizontal="left"/>
    </xf>
    <xf numFmtId="169" fontId="44" fillId="0" borderId="50" xfId="2" applyNumberFormat="1" applyBorder="1" applyAlignment="1">
      <alignment horizontal="center"/>
    </xf>
    <xf numFmtId="169" fontId="44" fillId="0" borderId="13" xfId="2" applyNumberFormat="1" applyBorder="1" applyAlignment="1">
      <alignment horizontal="center"/>
    </xf>
    <xf numFmtId="169" fontId="44" fillId="0" borderId="57" xfId="2" applyNumberFormat="1" applyBorder="1" applyAlignment="1">
      <alignment horizontal="center"/>
    </xf>
    <xf numFmtId="49" fontId="44" fillId="0" borderId="50" xfId="2" applyNumberFormat="1" applyBorder="1" applyAlignment="1">
      <alignment horizontal="center"/>
    </xf>
    <xf numFmtId="49" fontId="44" fillId="0" borderId="13" xfId="2" applyNumberFormat="1" applyBorder="1" applyAlignment="1">
      <alignment horizontal="center"/>
    </xf>
    <xf numFmtId="49" fontId="44" fillId="0" borderId="14" xfId="2" applyNumberFormat="1" applyBorder="1" applyAlignment="1">
      <alignment horizontal="center"/>
    </xf>
    <xf numFmtId="0" fontId="46" fillId="0" borderId="45" xfId="2" applyFont="1" applyBorder="1" applyAlignment="1">
      <alignment horizontal="center"/>
    </xf>
    <xf numFmtId="0" fontId="46" fillId="0" borderId="0" xfId="2" applyFont="1" applyAlignment="1">
      <alignment horizontal="center"/>
    </xf>
    <xf numFmtId="0" fontId="46" fillId="0" borderId="55" xfId="2" applyFont="1" applyBorder="1" applyAlignment="1">
      <alignment horizontal="center"/>
    </xf>
    <xf numFmtId="0" fontId="45" fillId="0" borderId="15" xfId="2" applyFont="1" applyBorder="1" applyAlignment="1">
      <alignment horizontal="center"/>
    </xf>
    <xf numFmtId="0" fontId="45" fillId="0" borderId="7" xfId="2" applyFont="1" applyBorder="1" applyAlignment="1">
      <alignment horizontal="center"/>
    </xf>
    <xf numFmtId="0" fontId="45" fillId="0" borderId="130" xfId="2" applyFont="1" applyBorder="1" applyAlignment="1">
      <alignment horizontal="center"/>
    </xf>
    <xf numFmtId="0" fontId="45" fillId="0" borderId="8" xfId="2" applyFont="1" applyBorder="1" applyAlignment="1">
      <alignment horizontal="center"/>
    </xf>
    <xf numFmtId="0" fontId="44" fillId="0" borderId="17" xfId="2" applyBorder="1" applyAlignment="1">
      <alignment horizontal="left"/>
    </xf>
    <xf numFmtId="0" fontId="44" fillId="0" borderId="131" xfId="2" applyBorder="1" applyAlignment="1">
      <alignment horizontal="left"/>
    </xf>
    <xf numFmtId="169" fontId="44" fillId="0" borderId="17" xfId="2" applyNumberFormat="1" applyBorder="1" applyAlignment="1">
      <alignment horizontal="center"/>
    </xf>
    <xf numFmtId="169" fontId="44" fillId="0" borderId="131" xfId="2" applyNumberFormat="1" applyBorder="1" applyAlignment="1">
      <alignment horizontal="center"/>
    </xf>
    <xf numFmtId="169" fontId="44" fillId="0" borderId="132" xfId="2" applyNumberFormat="1" applyBorder="1" applyAlignment="1">
      <alignment horizontal="center"/>
    </xf>
    <xf numFmtId="49" fontId="44" fillId="0" borderId="17" xfId="2" applyNumberFormat="1" applyBorder="1" applyAlignment="1">
      <alignment horizontal="center"/>
    </xf>
    <xf numFmtId="49" fontId="44" fillId="0" borderId="131" xfId="2" applyNumberFormat="1" applyBorder="1" applyAlignment="1">
      <alignment horizontal="center"/>
    </xf>
    <xf numFmtId="49" fontId="44" fillId="0" borderId="16" xfId="2" applyNumberFormat="1" applyBorder="1" applyAlignment="1">
      <alignment horizontal="center"/>
    </xf>
    <xf numFmtId="0" fontId="44" fillId="0" borderId="31" xfId="2" applyBorder="1" applyAlignment="1">
      <alignment horizontal="left"/>
    </xf>
    <xf numFmtId="0" fontId="44" fillId="0" borderId="133" xfId="2" applyBorder="1" applyAlignment="1">
      <alignment horizontal="left"/>
    </xf>
    <xf numFmtId="169" fontId="44" fillId="0" borderId="31" xfId="2" applyNumberFormat="1" applyBorder="1" applyAlignment="1">
      <alignment horizontal="center"/>
    </xf>
    <xf numFmtId="169" fontId="44" fillId="0" borderId="133" xfId="2" applyNumberFormat="1" applyBorder="1" applyAlignment="1">
      <alignment horizontal="center"/>
    </xf>
    <xf numFmtId="169" fontId="44" fillId="0" borderId="134" xfId="2" applyNumberFormat="1" applyBorder="1" applyAlignment="1">
      <alignment horizontal="center"/>
    </xf>
    <xf numFmtId="49" fontId="44" fillId="0" borderId="31" xfId="2" applyNumberFormat="1" applyBorder="1" applyAlignment="1">
      <alignment horizontal="center"/>
    </xf>
    <xf numFmtId="49" fontId="44" fillId="0" borderId="133" xfId="2" applyNumberFormat="1" applyBorder="1" applyAlignment="1">
      <alignment horizontal="center"/>
    </xf>
    <xf numFmtId="49" fontId="44" fillId="0" borderId="32" xfId="2" applyNumberFormat="1" applyBorder="1" applyAlignment="1">
      <alignment horizontal="center"/>
    </xf>
    <xf numFmtId="0" fontId="48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50" fillId="0" borderId="17" xfId="3" applyFont="1" applyBorder="1" applyAlignment="1">
      <alignment horizontal="center"/>
    </xf>
    <xf numFmtId="0" fontId="23" fillId="0" borderId="131" xfId="3" applyFont="1" applyBorder="1" applyAlignment="1">
      <alignment horizontal="center"/>
    </xf>
    <xf numFmtId="0" fontId="23" fillId="0" borderId="132" xfId="3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0" fontId="23" fillId="0" borderId="17" xfId="3" applyFont="1" applyBorder="1" applyAlignment="1">
      <alignment horizontal="center"/>
    </xf>
    <xf numFmtId="0" fontId="48" fillId="0" borderId="17" xfId="3" applyFont="1" applyBorder="1" applyAlignment="1">
      <alignment horizontal="right"/>
    </xf>
    <xf numFmtId="0" fontId="48" fillId="0" borderId="131" xfId="3" applyFont="1" applyBorder="1" applyAlignment="1">
      <alignment horizontal="right"/>
    </xf>
    <xf numFmtId="0" fontId="23" fillId="0" borderId="0" xfId="3" applyFont="1" applyAlignment="1">
      <alignment horizontal="center"/>
    </xf>
    <xf numFmtId="0" fontId="54" fillId="0" borderId="0" xfId="3" applyFont="1" applyAlignment="1">
      <alignment horizontal="right"/>
    </xf>
    <xf numFmtId="0" fontId="16" fillId="0" borderId="0" xfId="3" applyFont="1" applyAlignment="1">
      <alignment horizontal="center"/>
    </xf>
    <xf numFmtId="0" fontId="49" fillId="0" borderId="12" xfId="3" applyFont="1" applyBorder="1" applyAlignment="1">
      <alignment horizontal="left"/>
    </xf>
    <xf numFmtId="0" fontId="49" fillId="0" borderId="13" xfId="3" applyFont="1" applyBorder="1" applyAlignment="1">
      <alignment horizontal="left"/>
    </xf>
    <xf numFmtId="0" fontId="49" fillId="0" borderId="14" xfId="3" applyFont="1" applyBorder="1" applyAlignment="1">
      <alignment horizontal="left"/>
    </xf>
    <xf numFmtId="0" fontId="23" fillId="0" borderId="63" xfId="3" applyFont="1" applyBorder="1" applyAlignment="1">
      <alignment horizontal="center"/>
    </xf>
    <xf numFmtId="0" fontId="23" fillId="0" borderId="27" xfId="3" applyFont="1" applyBorder="1" applyAlignment="1">
      <alignment horizontal="center"/>
    </xf>
    <xf numFmtId="0" fontId="50" fillId="0" borderId="103" xfId="3" applyFont="1" applyBorder="1" applyAlignment="1">
      <alignment horizontal="center"/>
    </xf>
    <xf numFmtId="0" fontId="50" fillId="0" borderId="64" xfId="3" applyFont="1" applyBorder="1" applyAlignment="1">
      <alignment horizontal="center"/>
    </xf>
    <xf numFmtId="0" fontId="50" fillId="0" borderId="27" xfId="3" applyFont="1" applyBorder="1" applyAlignment="1">
      <alignment horizontal="center"/>
    </xf>
    <xf numFmtId="0" fontId="8" fillId="0" borderId="135" xfId="3" applyFont="1" applyBorder="1" applyAlignment="1">
      <alignment horizontal="right"/>
    </xf>
    <xf numFmtId="0" fontId="8" fillId="0" borderId="133" xfId="3" applyFont="1" applyBorder="1" applyAlignment="1">
      <alignment horizontal="right"/>
    </xf>
    <xf numFmtId="0" fontId="23" fillId="0" borderId="133" xfId="3" applyFont="1" applyBorder="1" applyAlignment="1">
      <alignment horizontal="center"/>
    </xf>
    <xf numFmtId="0" fontId="23" fillId="0" borderId="36" xfId="3" applyFont="1" applyBorder="1" applyAlignment="1">
      <alignment horizontal="center"/>
    </xf>
    <xf numFmtId="0" fontId="23" fillId="0" borderId="37" xfId="3" applyFont="1" applyBorder="1" applyAlignment="1">
      <alignment horizontal="center"/>
    </xf>
    <xf numFmtId="0" fontId="23" fillId="0" borderId="46" xfId="3" applyFont="1" applyBorder="1" applyAlignment="1">
      <alignment horizontal="center"/>
    </xf>
    <xf numFmtId="0" fontId="23" fillId="0" borderId="23" xfId="3" applyFont="1" applyBorder="1" applyAlignment="1">
      <alignment horizontal="center"/>
    </xf>
    <xf numFmtId="0" fontId="23" fillId="0" borderId="24" xfId="3" applyFont="1" applyBorder="1" applyAlignment="1">
      <alignment horizontal="center"/>
    </xf>
    <xf numFmtId="0" fontId="50" fillId="0" borderId="63" xfId="3" applyFont="1" applyBorder="1" applyAlignment="1">
      <alignment horizontal="center"/>
    </xf>
    <xf numFmtId="0" fontId="44" fillId="0" borderId="27" xfId="3" applyBorder="1" applyAlignment="1">
      <alignment horizontal="center"/>
    </xf>
    <xf numFmtId="0" fontId="23" fillId="0" borderId="53" xfId="3" applyFont="1" applyBorder="1" applyAlignment="1">
      <alignment horizontal="center"/>
    </xf>
    <xf numFmtId="0" fontId="23" fillId="0" borderId="64" xfId="3" applyFont="1" applyBorder="1" applyAlignment="1">
      <alignment horizontal="center"/>
    </xf>
    <xf numFmtId="0" fontId="50" fillId="0" borderId="103" xfId="3" applyFont="1" applyBorder="1" applyAlignment="1">
      <alignment horizontal="right"/>
    </xf>
    <xf numFmtId="0" fontId="50" fillId="0" borderId="64" xfId="3" applyFont="1" applyBorder="1" applyAlignment="1">
      <alignment horizontal="right"/>
    </xf>
    <xf numFmtId="0" fontId="50" fillId="0" borderId="46" xfId="3" applyFont="1" applyBorder="1" applyAlignment="1">
      <alignment horizontal="right"/>
    </xf>
    <xf numFmtId="0" fontId="50" fillId="0" borderId="23" xfId="3" applyFont="1" applyBorder="1" applyAlignment="1">
      <alignment horizontal="right"/>
    </xf>
    <xf numFmtId="0" fontId="58" fillId="0" borderId="0" xfId="3" applyFont="1" applyAlignment="1">
      <alignment horizontal="center"/>
    </xf>
    <xf numFmtId="0" fontId="48" fillId="0" borderId="1" xfId="3" applyFont="1" applyBorder="1" applyAlignment="1">
      <alignment horizontal="right"/>
    </xf>
    <xf numFmtId="0" fontId="48" fillId="0" borderId="132" xfId="3" applyFont="1" applyBorder="1" applyAlignment="1">
      <alignment horizontal="center"/>
    </xf>
    <xf numFmtId="171" fontId="71" fillId="0" borderId="146" xfId="4" applyFont="1" applyBorder="1" applyAlignment="1" applyProtection="1">
      <alignment horizontal="center"/>
      <protection locked="0"/>
    </xf>
    <xf numFmtId="14" fontId="15" fillId="0" borderId="146" xfId="4" quotePrefix="1" applyNumberFormat="1" applyFont="1" applyBorder="1" applyAlignment="1" applyProtection="1">
      <alignment horizontal="center"/>
      <protection locked="0"/>
    </xf>
    <xf numFmtId="0" fontId="51" fillId="0" borderId="17" xfId="3" applyFont="1" applyBorder="1" applyAlignment="1">
      <alignment horizontal="center"/>
    </xf>
    <xf numFmtId="0" fontId="51" fillId="0" borderId="131" xfId="3" applyFont="1" applyBorder="1" applyAlignment="1">
      <alignment horizontal="center"/>
    </xf>
    <xf numFmtId="0" fontId="51" fillId="0" borderId="132" xfId="3" applyFont="1" applyBorder="1" applyAlignment="1">
      <alignment horizontal="center"/>
    </xf>
    <xf numFmtId="0" fontId="53" fillId="0" borderId="52" xfId="3" applyFont="1" applyBorder="1" applyAlignment="1">
      <alignment horizontal="center"/>
    </xf>
    <xf numFmtId="0" fontId="53" fillId="0" borderId="0" xfId="3" applyFont="1" applyAlignment="1">
      <alignment horizontal="center"/>
    </xf>
    <xf numFmtId="0" fontId="53" fillId="0" borderId="51" xfId="3" applyFont="1" applyBorder="1" applyAlignment="1">
      <alignment horizontal="center"/>
    </xf>
    <xf numFmtId="0" fontId="55" fillId="0" borderId="52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5" fillId="0" borderId="51" xfId="3" applyFont="1" applyBorder="1" applyAlignment="1">
      <alignment horizontal="center"/>
    </xf>
    <xf numFmtId="0" fontId="55" fillId="0" borderId="52" xfId="6" applyFont="1" applyBorder="1" applyAlignment="1">
      <alignment horizontal="center"/>
    </xf>
    <xf numFmtId="0" fontId="55" fillId="0" borderId="0" xfId="6" applyFont="1" applyAlignment="1">
      <alignment horizontal="center"/>
    </xf>
    <xf numFmtId="0" fontId="55" fillId="0" borderId="51" xfId="6" applyFont="1" applyBorder="1" applyAlignment="1">
      <alignment horizontal="center"/>
    </xf>
    <xf numFmtId="0" fontId="1" fillId="0" borderId="54" xfId="6" applyBorder="1" applyAlignment="1">
      <alignment horizontal="center"/>
    </xf>
    <xf numFmtId="0" fontId="1" fillId="0" borderId="55" xfId="6" applyBorder="1" applyAlignment="1">
      <alignment horizontal="center"/>
    </xf>
    <xf numFmtId="0" fontId="1" fillId="0" borderId="56" xfId="6" applyBorder="1" applyAlignment="1">
      <alignment horizontal="center"/>
    </xf>
    <xf numFmtId="49" fontId="51" fillId="0" borderId="40" xfId="3" applyNumberFormat="1" applyFont="1" applyBorder="1"/>
  </cellXfs>
  <cellStyles count="7">
    <cellStyle name="Normal" xfId="0" builtinId="0"/>
    <cellStyle name="Normal 2" xfId="1" xr:uid="{00000000-0005-0000-0000-000001000000}"/>
    <cellStyle name="Normal 2 2" xfId="6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_PROJ_REV_HIST" xfId="2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81.557143260571522</c:v>
                </c:pt>
                <c:pt idx="2">
                  <c:v>250</c:v>
                </c:pt>
                <c:pt idx="3">
                  <c:v>175.85058520553994</c:v>
                </c:pt>
                <c:pt idx="4">
                  <c:v>138.95503424889148</c:v>
                </c:pt>
                <c:pt idx="5">
                  <c:v>119.35002284057497</c:v>
                </c:pt>
                <c:pt idx="6">
                  <c:v>106.11773158688754</c:v>
                </c:pt>
                <c:pt idx="7">
                  <c:v>101.56817335476129</c:v>
                </c:pt>
                <c:pt idx="8">
                  <c:v>100</c:v>
                </c:pt>
                <c:pt idx="9">
                  <c:v>100.38476599920091</c:v>
                </c:pt>
                <c:pt idx="10">
                  <c:v>101.86343396385965</c:v>
                </c:pt>
                <c:pt idx="11">
                  <c:v>104.94455040169777</c:v>
                </c:pt>
                <c:pt idx="12">
                  <c:v>110.53191000053791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2-4048-A5DF-A47458BE0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36256"/>
        <c:axId val="51433817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0.23475848138332367</c:v>
                </c:pt>
                <c:pt idx="1">
                  <c:v>90.8033447265625</c:v>
                </c:pt>
                <c:pt idx="2">
                  <c:v>341.52548217773438</c:v>
                </c:pt>
                <c:pt idx="3">
                  <c:v>466.62973022460938</c:v>
                </c:pt>
                <c:pt idx="4">
                  <c:v>512.41796875</c:v>
                </c:pt>
                <c:pt idx="5">
                  <c:v>533.76690673828125</c:v>
                </c:pt>
                <c:pt idx="6">
                  <c:v>554.0552978515625</c:v>
                </c:pt>
                <c:pt idx="7">
                  <c:v>565.2657470703125</c:v>
                </c:pt>
                <c:pt idx="8">
                  <c:v>573.68316650390625</c:v>
                </c:pt>
                <c:pt idx="9">
                  <c:v>580.87811279296875</c:v>
                </c:pt>
                <c:pt idx="10">
                  <c:v>587.33551025390625</c:v>
                </c:pt>
                <c:pt idx="11">
                  <c:v>593.0396728515625</c:v>
                </c:pt>
                <c:pt idx="12">
                  <c:v>598.29144287109375</c:v>
                </c:pt>
                <c:pt idx="13">
                  <c:v>603.125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2-4048-A5DF-A47458BE0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834752"/>
        <c:axId val="509836288"/>
      </c:scatterChart>
      <c:valAx>
        <c:axId val="51433625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4338176"/>
        <c:crossesAt val="0"/>
        <c:crossBetween val="midCat"/>
        <c:majorUnit val="0.2"/>
        <c:minorUnit val="0.2"/>
      </c:valAx>
      <c:valAx>
        <c:axId val="51433817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4336256"/>
        <c:crosses val="max"/>
        <c:crossBetween val="midCat"/>
        <c:majorUnit val="50"/>
        <c:minorUnit val="50"/>
      </c:valAx>
      <c:valAx>
        <c:axId val="509834752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509836288"/>
        <c:crosses val="autoZero"/>
        <c:crossBetween val="midCat"/>
      </c:valAx>
      <c:valAx>
        <c:axId val="5098362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9834752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81.557143260571522</c:v>
                </c:pt>
                <c:pt idx="2">
                  <c:v>250</c:v>
                </c:pt>
                <c:pt idx="3">
                  <c:v>175.85058520553994</c:v>
                </c:pt>
                <c:pt idx="4">
                  <c:v>138.95503424889148</c:v>
                </c:pt>
                <c:pt idx="5">
                  <c:v>119.35002284057497</c:v>
                </c:pt>
                <c:pt idx="6">
                  <c:v>106.11773158688754</c:v>
                </c:pt>
                <c:pt idx="7">
                  <c:v>101.56817335476129</c:v>
                </c:pt>
                <c:pt idx="8">
                  <c:v>100</c:v>
                </c:pt>
                <c:pt idx="9">
                  <c:v>100.38476599920091</c:v>
                </c:pt>
                <c:pt idx="10">
                  <c:v>101.86343396385965</c:v>
                </c:pt>
                <c:pt idx="11">
                  <c:v>104.94455040169777</c:v>
                </c:pt>
                <c:pt idx="12">
                  <c:v>110.53191000053791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D8-4A08-943A-FBBB906E5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95488"/>
        <c:axId val="511297408"/>
      </c:scatterChart>
      <c:scatterChart>
        <c:scatterStyle val="lineMarker"/>
        <c:varyColors val="0"/>
        <c:ser>
          <c:idx val="2"/>
          <c:order val="2"/>
          <c:tx>
            <c:v>Torque (FV / 0.8V)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52.196571686765772</c:v>
                </c:pt>
                <c:pt idx="2">
                  <c:v>160</c:v>
                </c:pt>
                <c:pt idx="3">
                  <c:v>112.54437453154557</c:v>
                </c:pt>
                <c:pt idx="4">
                  <c:v>88.93122191929055</c:v>
                </c:pt>
                <c:pt idx="5">
                  <c:v>76.384014617967978</c:v>
                </c:pt>
                <c:pt idx="6">
                  <c:v>67.915348215608034</c:v>
                </c:pt>
                <c:pt idx="7">
                  <c:v>65.003630947047228</c:v>
                </c:pt>
                <c:pt idx="8">
                  <c:v>64</c:v>
                </c:pt>
                <c:pt idx="9">
                  <c:v>64.246250239488589</c:v>
                </c:pt>
                <c:pt idx="10">
                  <c:v>65.192597736870169</c:v>
                </c:pt>
                <c:pt idx="11">
                  <c:v>67.164512257086571</c:v>
                </c:pt>
                <c:pt idx="12">
                  <c:v>70.740422400344258</c:v>
                </c:pt>
                <c:pt idx="13">
                  <c:v>76.8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EE-45C4-8D1A-E5E8E0B6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95488"/>
        <c:axId val="511297408"/>
      </c:scatterChart>
      <c:scatterChart>
        <c:scatterStyle val="lineMarker"/>
        <c:varyColors val="0"/>
        <c:ser>
          <c:idx val="1"/>
          <c:order val="1"/>
          <c:tx>
            <c:v>Current (FV / 0.8V)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0.23475848138332367</c:v>
                </c:pt>
                <c:pt idx="1">
                  <c:v>90.8033447265625</c:v>
                </c:pt>
                <c:pt idx="2">
                  <c:v>341.52548217773438</c:v>
                </c:pt>
                <c:pt idx="3">
                  <c:v>466.62973022460938</c:v>
                </c:pt>
                <c:pt idx="4">
                  <c:v>512.41796875</c:v>
                </c:pt>
                <c:pt idx="5">
                  <c:v>533.76690673828125</c:v>
                </c:pt>
                <c:pt idx="6">
                  <c:v>554.0552978515625</c:v>
                </c:pt>
                <c:pt idx="7">
                  <c:v>565.2657470703125</c:v>
                </c:pt>
                <c:pt idx="8">
                  <c:v>573.68316650390625</c:v>
                </c:pt>
                <c:pt idx="9">
                  <c:v>580.87811279296875</c:v>
                </c:pt>
                <c:pt idx="10">
                  <c:v>587.33551025390625</c:v>
                </c:pt>
                <c:pt idx="11">
                  <c:v>593.0396728515625</c:v>
                </c:pt>
                <c:pt idx="12">
                  <c:v>598.29144287109375</c:v>
                </c:pt>
                <c:pt idx="13">
                  <c:v>603.125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D8-4A08-943A-FBBB906E5AAF}"/>
            </c:ext>
          </c:extLst>
        </c:ser>
        <c:ser>
          <c:idx val="3"/>
          <c:order val="3"/>
          <c:tx>
            <c:v>Current (FV / 0.8V)</c:v>
          </c:tx>
          <c:spPr>
            <a:ln w="25400">
              <a:solidFill>
                <a:schemeClr val="tx1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0.18780678510665894</c:v>
                </c:pt>
                <c:pt idx="1">
                  <c:v>72.642675781250006</c:v>
                </c:pt>
                <c:pt idx="2">
                  <c:v>273.22038574218749</c:v>
                </c:pt>
                <c:pt idx="3">
                  <c:v>373.30378417968751</c:v>
                </c:pt>
                <c:pt idx="4">
                  <c:v>409.93437500000005</c:v>
                </c:pt>
                <c:pt idx="5">
                  <c:v>427.01352539062503</c:v>
                </c:pt>
                <c:pt idx="6">
                  <c:v>443.24423828125003</c:v>
                </c:pt>
                <c:pt idx="7">
                  <c:v>452.21259765625001</c:v>
                </c:pt>
                <c:pt idx="8">
                  <c:v>458.946533203125</c:v>
                </c:pt>
                <c:pt idx="9">
                  <c:v>464.70249023437503</c:v>
                </c:pt>
                <c:pt idx="10">
                  <c:v>469.868408203125</c:v>
                </c:pt>
                <c:pt idx="11">
                  <c:v>474.43173828125003</c:v>
                </c:pt>
                <c:pt idx="12">
                  <c:v>478.63315429687503</c:v>
                </c:pt>
                <c:pt idx="13">
                  <c:v>482.5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EE-45C4-8D1A-E5E8E0B6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63840"/>
        <c:axId val="512165376"/>
      </c:scatterChart>
      <c:valAx>
        <c:axId val="51129548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1297408"/>
        <c:crosses val="autoZero"/>
        <c:crossBetween val="midCat"/>
        <c:majorUnit val="20"/>
        <c:minorUnit val="20"/>
      </c:valAx>
      <c:valAx>
        <c:axId val="511297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1295488"/>
        <c:crosses val="autoZero"/>
        <c:crossBetween val="midCat"/>
      </c:valAx>
      <c:valAx>
        <c:axId val="5121638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512165376"/>
        <c:crosses val="autoZero"/>
        <c:crossBetween val="midCat"/>
      </c:valAx>
      <c:valAx>
        <c:axId val="512165376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216384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4210584927674287"/>
          <c:y val="0.94106551236624469"/>
          <c:w val="0.2598723580605055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603.125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10.394771439688547</c:v>
                </c:pt>
                <c:pt idx="1">
                  <c:v>10.503332285073748</c:v>
                </c:pt>
                <c:pt idx="2">
                  <c:v>15.124798490506199</c:v>
                </c:pt>
                <c:pt idx="3">
                  <c:v>23.632497641415938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BA-4A8C-806C-E7D2D83BFE1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603.125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5.4243547575814386</c:v>
                </c:pt>
                <c:pt idx="1">
                  <c:v>5.4810055980129935</c:v>
                </c:pt>
                <c:pt idx="2">
                  <c:v>7.8926480611387113</c:v>
                </c:pt>
                <c:pt idx="3">
                  <c:v>12.332262595529237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BA-4A8C-806C-E7D2D83BFE1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250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31.570592244554845</c:v>
                </c:pt>
                <c:pt idx="3">
                  <c:v>60.900062200144383</c:v>
                </c:pt>
                <c:pt idx="4">
                  <c:v>137.02513995032487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BA-4A8C-806C-E7D2D83BFE1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603.125</c:v>
                </c:pt>
                <c:pt idx="1">
                  <c:v>600.703125</c:v>
                </c:pt>
                <c:pt idx="2">
                  <c:v>595.703125</c:v>
                </c:pt>
                <c:pt idx="3">
                  <c:v>590.15625</c:v>
                </c:pt>
                <c:pt idx="4">
                  <c:v>584.140625</c:v>
                </c:pt>
                <c:pt idx="5">
                  <c:v>577.265625</c:v>
                </c:pt>
                <c:pt idx="6">
                  <c:v>569.453125</c:v>
                </c:pt>
                <c:pt idx="7">
                  <c:v>559.6875</c:v>
                </c:pt>
                <c:pt idx="8">
                  <c:v>543.90625</c:v>
                </c:pt>
                <c:pt idx="9">
                  <c:v>523.125</c:v>
                </c:pt>
                <c:pt idx="10">
                  <c:v>489.53125</c:v>
                </c:pt>
                <c:pt idx="11">
                  <c:v>404.06250000000006</c:v>
                </c:pt>
                <c:pt idx="12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0.40900000929832458</c:v>
                </c:pt>
                <c:pt idx="2">
                  <c:v>0.80300003290176392</c:v>
                </c:pt>
                <c:pt idx="3">
                  <c:v>1.1970000267028809</c:v>
                </c:pt>
                <c:pt idx="4">
                  <c:v>1.6000000238418579</c:v>
                </c:pt>
                <c:pt idx="5">
                  <c:v>2.0250000953674316</c:v>
                </c:pt>
                <c:pt idx="6">
                  <c:v>2.5270001888275146</c:v>
                </c:pt>
                <c:pt idx="7">
                  <c:v>3.0830001831054688</c:v>
                </c:pt>
                <c:pt idx="8">
                  <c:v>3.7010002136230469</c:v>
                </c:pt>
                <c:pt idx="9">
                  <c:v>4.0110001564025879</c:v>
                </c:pt>
                <c:pt idx="10">
                  <c:v>4.2650003433227539</c:v>
                </c:pt>
                <c:pt idx="11">
                  <c:v>4.4340004920959473</c:v>
                </c:pt>
                <c:pt idx="12">
                  <c:v>4.4380006790161133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BA-4A8C-806C-E7D2D83B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42432"/>
        <c:axId val="512244352"/>
      </c:scatterChart>
      <c:valAx>
        <c:axId val="51224243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2244352"/>
        <c:crossesAt val="0.1"/>
        <c:crossBetween val="midCat"/>
        <c:majorUnit val="100"/>
      </c:valAx>
      <c:valAx>
        <c:axId val="51224435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224243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91.199996948242188</c:v>
                </c:pt>
                <c:pt idx="2">
                  <c:v>94</c:v>
                </c:pt>
                <c:pt idx="3">
                  <c:v>94.599998474121094</c:v>
                </c:pt>
                <c:pt idx="4">
                  <c:v>94.700004577636719</c:v>
                </c:pt>
                <c:pt idx="5">
                  <c:v>94.5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EB-487F-A696-EBA49A5E3626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64.300003051757813</c:v>
                </c:pt>
                <c:pt idx="1">
                  <c:v>82</c:v>
                </c:pt>
                <c:pt idx="2">
                  <c:v>87.199996948242188</c:v>
                </c:pt>
                <c:pt idx="3">
                  <c:v>88.900001525878906</c:v>
                </c:pt>
                <c:pt idx="4">
                  <c:v>89.300003051757813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EB-487F-A696-EBA49A5E3626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74.161839999999756</c:v>
                </c:pt>
                <c:pt idx="2">
                  <c:v>56.618159999999087</c:v>
                </c:pt>
                <c:pt idx="3">
                  <c:v>38.640159999999923</c:v>
                </c:pt>
                <c:pt idx="4">
                  <c:v>20</c:v>
                </c:pt>
                <c:pt idx="5">
                  <c:v>1.5819840000003753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EB-487F-A696-EBA49A5E3626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0.44999999999999996</c:v>
                </c:pt>
                <c:pt idx="1">
                  <c:v>10.226075</c:v>
                </c:pt>
                <c:pt idx="2">
                  <c:v>19.855539999999998</c:v>
                </c:pt>
                <c:pt idx="3">
                  <c:v>29.578659999999996</c:v>
                </c:pt>
                <c:pt idx="4">
                  <c:v>39.394070000000006</c:v>
                </c:pt>
                <c:pt idx="5">
                  <c:v>49.340415000000007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EB-487F-A696-EBA49A5E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9656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28</c:v>
                </c:pt>
                <c:pt idx="1">
                  <c:v>45.909999847412109</c:v>
                </c:pt>
                <c:pt idx="2">
                  <c:v>69.900001525878906</c:v>
                </c:pt>
                <c:pt idx="3">
                  <c:v>97.919998168945313</c:v>
                </c:pt>
                <c:pt idx="4">
                  <c:v>127.91999816894531</c:v>
                </c:pt>
                <c:pt idx="5">
                  <c:v>159.5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EB-487F-A696-EBA49A5E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6857965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579656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91.199996948242188</c:v>
                </c:pt>
                <c:pt idx="2">
                  <c:v>94</c:v>
                </c:pt>
                <c:pt idx="3">
                  <c:v>94.599998474121094</c:v>
                </c:pt>
                <c:pt idx="4">
                  <c:v>94.700004577636719</c:v>
                </c:pt>
                <c:pt idx="5">
                  <c:v>94.5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8-44C1-85EE-903314678458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64.300003051757813</c:v>
                </c:pt>
                <c:pt idx="1">
                  <c:v>82</c:v>
                </c:pt>
                <c:pt idx="2">
                  <c:v>87.199996948242188</c:v>
                </c:pt>
                <c:pt idx="3">
                  <c:v>88.900001525878906</c:v>
                </c:pt>
                <c:pt idx="4">
                  <c:v>89.300003051757813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28-44C1-85EE-903314678458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74.161839999999756</c:v>
                </c:pt>
                <c:pt idx="2">
                  <c:v>56.618159999999087</c:v>
                </c:pt>
                <c:pt idx="3">
                  <c:v>38.640159999999923</c:v>
                </c:pt>
                <c:pt idx="4">
                  <c:v>20</c:v>
                </c:pt>
                <c:pt idx="5">
                  <c:v>1.5819840000003753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28-44C1-85EE-903314678458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0.44999999999999996</c:v>
                </c:pt>
                <c:pt idx="1">
                  <c:v>10.226075</c:v>
                </c:pt>
                <c:pt idx="2">
                  <c:v>19.855539999999998</c:v>
                </c:pt>
                <c:pt idx="3">
                  <c:v>29.578659999999996</c:v>
                </c:pt>
                <c:pt idx="4">
                  <c:v>39.394070000000006</c:v>
                </c:pt>
                <c:pt idx="5">
                  <c:v>49.340415000000007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28-44C1-85EE-90331467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9656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48.497422611928563</c:v>
                </c:pt>
                <c:pt idx="1">
                  <c:v>79.518452311197166</c:v>
                </c:pt>
                <c:pt idx="2">
                  <c:v>121.0703540919643</c:v>
                </c:pt>
                <c:pt idx="3">
                  <c:v>169.6024119056647</c:v>
                </c:pt>
                <c:pt idx="4">
                  <c:v>222</c:v>
                </c:pt>
                <c:pt idx="5">
                  <c:v>276.26210380723592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28-44C1-85EE-90331467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6857965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579656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332.2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246.2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17.51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13.43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828675</xdr:colOff>
      <xdr:row>39</xdr:row>
      <xdr:rowOff>133350</xdr:rowOff>
    </xdr:from>
    <xdr:to>
      <xdr:col>4</xdr:col>
      <xdr:colOff>752475</xdr:colOff>
      <xdr:row>40</xdr:row>
      <xdr:rowOff>85725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24125" y="9115425"/>
          <a:ext cx="781050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340-NT&amp;NB</a:t>
          </a:r>
        </a:p>
      </xdr:txBody>
    </xdr:sp>
    <xdr:clientData/>
  </xdr:twoCellAnchor>
  <xdr:twoCellAnchor>
    <xdr:from>
      <xdr:col>3</xdr:col>
      <xdr:colOff>762000</xdr:colOff>
      <xdr:row>33</xdr:row>
      <xdr:rowOff>85725</xdr:rowOff>
    </xdr:from>
    <xdr:to>
      <xdr:col>4</xdr:col>
      <xdr:colOff>685800</xdr:colOff>
      <xdr:row>34</xdr:row>
      <xdr:rowOff>38100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457450" y="7696200"/>
          <a:ext cx="781050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411-R111</a:t>
          </a:r>
        </a:p>
      </xdr:txBody>
    </xdr:sp>
    <xdr:clientData/>
  </xdr:twoCellAnchor>
  <xdr:twoCellAnchor>
    <xdr:from>
      <xdr:col>3</xdr:col>
      <xdr:colOff>781050</xdr:colOff>
      <xdr:row>27</xdr:row>
      <xdr:rowOff>133350</xdr:rowOff>
    </xdr:from>
    <xdr:to>
      <xdr:col>4</xdr:col>
      <xdr:colOff>704850</xdr:colOff>
      <xdr:row>28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476500" y="6372225"/>
          <a:ext cx="781050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311-R111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AC50D90-C80F-4AF7-B817-D74ABF76855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1233761-B9AE-48C2-9DF6-2ED5EB1B9D1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3595</a:t>
          </a:fld>
          <a:endParaRPr lang="en-US"/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E674B03-27DF-4026-A5D1-FC0CAB04DB6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3590</a:t>
          </a:fld>
          <a:endParaRPr lang="en-US"/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F1F247E-5CFF-4DFF-88F3-0ED2E4A8B34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3585</a:t>
          </a:fld>
          <a:endParaRPr lang="en-US"/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C6CD7F9-8D2A-4378-8D9D-A34B7A7972F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3580</a:t>
          </a:fld>
          <a:endParaRPr lang="en-US"/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F70F87B-6E0C-46DD-83AC-3F0F864B4B8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3575</a:t>
          </a:fld>
          <a:endParaRPr lang="en-US"/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29417F8-30E4-43FC-B2B8-A5D2C6ABB50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3570</a:t>
          </a:fld>
          <a:endParaRPr lang="en-US"/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C5E79A-F8DC-4661-A680-86AF5ACF91D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3565</a:t>
          </a:fld>
          <a:endParaRPr lang="en-US"/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C679E87-B896-48D7-BA8D-C942E41BCD1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3560</a:t>
          </a:fld>
          <a:endParaRPr lang="en-US"/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5054D8B-D3AD-4455-8E30-4EB77B36DBF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3555</a:t>
          </a:fld>
          <a:endParaRPr lang="en-US"/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1C99094-57B1-4645-9932-F4B4D300BE7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3550</a:t>
          </a:fld>
          <a:endParaRPr lang="en-US"/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FE1D4F4-69D2-4A4C-A6A6-CC65C372E76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80C3656-9C14-4755-B154-D728B4C7507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1000</a:t>
          </a:fld>
          <a:endParaRPr lang="en-US"/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BF613CB-ED97-44FF-BAED-27F1D024A8C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B682A37-AD96-45E4-92C4-10FF6EFC4CD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58D28E8-DF04-4981-A409-7B022D2DC1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5B9A600-14BB-4287-822B-9F8DD0B12A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</a:t>
          </a:fld>
          <a:endParaRPr lang="en-US"/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FCC195E-6DE3-4638-A14C-ED986D2CF0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9A2CCA3-0609-4FBC-AFAB-0E8064A772F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1400</a:t>
          </a:fld>
          <a:endParaRPr lang="en-US"/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42B7CB5-F894-458B-9422-9909A8E4553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0F8A322-B858-4884-9EFD-1DAF169BB5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2</xdr:col>
      <xdr:colOff>1057275</xdr:colOff>
      <xdr:row>16</xdr:row>
      <xdr:rowOff>190500</xdr:rowOff>
    </xdr:from>
    <xdr:to>
      <xdr:col>3</xdr:col>
      <xdr:colOff>285750</xdr:colOff>
      <xdr:row>17</xdr:row>
      <xdr:rowOff>95250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3286125" y="40862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200025</xdr:rowOff>
    </xdr:from>
    <xdr:to>
      <xdr:col>4</xdr:col>
      <xdr:colOff>171450</xdr:colOff>
      <xdr:row>19</xdr:row>
      <xdr:rowOff>133350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4295775" y="45720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1057275</xdr:colOff>
      <xdr:row>22</xdr:row>
      <xdr:rowOff>104775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781050</xdr:colOff>
      <xdr:row>28</xdr:row>
      <xdr:rowOff>200025</xdr:rowOff>
    </xdr:from>
    <xdr:to>
      <xdr:col>2</xdr:col>
      <xdr:colOff>104775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69532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66675</xdr:colOff>
      <xdr:row>32</xdr:row>
      <xdr:rowOff>152400</xdr:rowOff>
    </xdr:from>
    <xdr:to>
      <xdr:col>2</xdr:col>
      <xdr:colOff>571500</xdr:colOff>
      <xdr:row>33</xdr:row>
      <xdr:rowOff>66675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2295525" y="78581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07AA7B7-378C-44AE-B63A-2D4F8AA4187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</a:t>
          </a:fld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3B4D7-8911-4160-8554-52BAC1DFD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2F56C068-B8F7-479F-9EA1-E3F044AA0B57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AC50D90-C80F-4AF7-B817-D74ABF76855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F849639B-6BD0-4812-A7F5-8B8E430E2845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1233761-B9AE-48C2-9DF6-2ED5EB1B9D1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3595</a:t>
          </a:fld>
          <a:endParaRPr lang="en-US"/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5EDC500F-2343-4469-A055-C6AB8356AF0A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E674B03-27DF-4026-A5D1-FC0CAB04DB6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3590</a:t>
          </a:fld>
          <a:endParaRPr lang="en-US"/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A0D70B08-FD8C-4987-AFBC-5BA25E9ED650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F1F247E-5CFF-4DFF-88F3-0ED2E4A8B34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3585</a:t>
          </a:fld>
          <a:endParaRPr lang="en-US"/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C5D7CF82-4D2F-476E-BDC3-920B18B703F4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C6CD7F9-8D2A-4378-8D9D-A34B7A7972F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3580</a:t>
          </a:fld>
          <a:endParaRPr lang="en-US"/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FAE71FAD-CBF4-4226-9BBF-A4DFBFE5EF60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F70F87B-6E0C-46DD-83AC-3F0F864B4B8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3575</a:t>
          </a:fld>
          <a:endParaRPr lang="en-US"/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28CC88C1-B4B0-4961-B716-7B8C85559E4B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29417F8-30E4-43FC-B2B8-A5D2C6ABB50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3570</a:t>
          </a:fld>
          <a:endParaRPr lang="en-US"/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B992413F-3648-4D33-9356-170088DDEEDC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C5E79A-F8DC-4661-A680-86AF5ACF91D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3565</a:t>
          </a:fld>
          <a:endParaRPr lang="en-US"/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8DAAC08D-3617-479A-9319-496B8A32A0CE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C679E87-B896-48D7-BA8D-C942E41BCD1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3560</a:t>
          </a:fld>
          <a:endParaRPr lang="en-US"/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269ED9D8-90B3-4A93-A857-679FE0A64962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5054D8B-D3AD-4455-8E30-4EB77B36DBF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3555</a:t>
          </a:fld>
          <a:endParaRPr lang="en-US"/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3943B48C-A4FA-465A-818C-080BF1719744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1C99094-57B1-4645-9932-F4B4D300BE7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3550</a:t>
          </a:fld>
          <a:endParaRPr lang="en-US"/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F47C92C2-1647-4147-8DA9-D5A9E9747A46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9D491D84-5D22-4CB0-9EF5-E6C54D1F6645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FE1D4F4-69D2-4A4C-A6A6-CC65C372E76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AFA63415-5C69-4D3A-B96E-2723D4AB6FB6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80C3656-9C14-4755-B154-D728B4C7507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1000</a:t>
          </a:fld>
          <a:endParaRPr lang="en-US"/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772634C6-B346-4EB3-979A-6B79F8C35A6D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BF613CB-ED97-44FF-BAED-27F1D024A8C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87D0C794-F87C-4F03-BDCE-D8D569A03452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B682A37-AD96-45E4-92C4-10FF6EFC4CD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2E3D2EDE-5A12-4F26-85EB-61DF14F8C1C6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58D28E8-DF04-4981-A409-7B022D2DC1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1E6B3878-7485-41BB-AE6F-61B0BE94BE14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5B9A600-14BB-4287-822B-9F8DD0B12A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</a:t>
          </a:fld>
          <a:endParaRPr lang="en-US"/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34F86998-3582-4E4F-8B5E-4FA3A36CCADE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58315107-C2CD-48E3-810F-6687E7D000F4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FCC195E-6DE3-4638-A14C-ED986D2CF0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E3FD65CC-BE9F-4B2E-837B-C8EE438DCDD8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9A2CCA3-0609-4FBC-AFAB-0E8064A772F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1400</a:t>
          </a:fld>
          <a:endParaRPr lang="en-US"/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F469EA01-FE3A-4F23-9B6C-7610AF693E50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42B7CB5-F894-458B-9422-9909A8E4553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7E5A26ED-C8F4-47DF-B7C5-AEA953EAF7A3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0F8A322-B858-4884-9EFD-1DAF169BB5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2</xdr:col>
      <xdr:colOff>1057275</xdr:colOff>
      <xdr:row>16</xdr:row>
      <xdr:rowOff>190500</xdr:rowOff>
    </xdr:from>
    <xdr:to>
      <xdr:col>3</xdr:col>
      <xdr:colOff>285750</xdr:colOff>
      <xdr:row>17</xdr:row>
      <xdr:rowOff>95250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67BEC148-234D-41AE-9934-3F8604564905}"/>
            </a:ext>
          </a:extLst>
        </xdr:cNvPr>
        <xdr:cNvSpPr txBox="1">
          <a:spLocks noChangeArrowheads="1"/>
        </xdr:cNvSpPr>
      </xdr:nvSpPr>
      <xdr:spPr bwMode="auto">
        <a:xfrm>
          <a:off x="3286125" y="40862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200025</xdr:rowOff>
    </xdr:from>
    <xdr:to>
      <xdr:col>4</xdr:col>
      <xdr:colOff>171450</xdr:colOff>
      <xdr:row>19</xdr:row>
      <xdr:rowOff>133350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220C9F39-6AE2-49A4-85D9-208C53C6D945}"/>
            </a:ext>
          </a:extLst>
        </xdr:cNvPr>
        <xdr:cNvSpPr txBox="1">
          <a:spLocks noChangeArrowheads="1"/>
        </xdr:cNvSpPr>
      </xdr:nvSpPr>
      <xdr:spPr bwMode="auto">
        <a:xfrm>
          <a:off x="4295775" y="45720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1057275</xdr:colOff>
      <xdr:row>22</xdr:row>
      <xdr:rowOff>104775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448D54D1-BA4A-437F-A2BA-D27A2042528A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781050</xdr:colOff>
      <xdr:row>28</xdr:row>
      <xdr:rowOff>200025</xdr:rowOff>
    </xdr:from>
    <xdr:to>
      <xdr:col>2</xdr:col>
      <xdr:colOff>104775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D74C6A4B-D36E-4E16-A48F-4C201C319A79}"/>
            </a:ext>
          </a:extLst>
        </xdr:cNvPr>
        <xdr:cNvSpPr txBox="1">
          <a:spLocks noChangeArrowheads="1"/>
        </xdr:cNvSpPr>
      </xdr:nvSpPr>
      <xdr:spPr bwMode="auto">
        <a:xfrm>
          <a:off x="1895475" y="69532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66675</xdr:colOff>
      <xdr:row>32</xdr:row>
      <xdr:rowOff>152400</xdr:rowOff>
    </xdr:from>
    <xdr:to>
      <xdr:col>2</xdr:col>
      <xdr:colOff>571500</xdr:colOff>
      <xdr:row>33</xdr:row>
      <xdr:rowOff>66675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728B39C5-BB71-4BC4-85E7-B48A75E683EC}"/>
            </a:ext>
          </a:extLst>
        </xdr:cNvPr>
        <xdr:cNvSpPr txBox="1">
          <a:spLocks noChangeArrowheads="1"/>
        </xdr:cNvSpPr>
      </xdr:nvSpPr>
      <xdr:spPr bwMode="auto">
        <a:xfrm>
          <a:off x="2295525" y="78581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2E07AF32-ADB5-49F5-8551-722980D6240C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07AA7B7-378C-44AE-B63A-2D4F8AA4187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10" zoomScale="95" zoomScaleNormal="95" workbookViewId="0">
      <selection activeCell="B3" sqref="B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168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174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43216</v>
      </c>
      <c r="I3" s="49" t="s">
        <v>3</v>
      </c>
      <c r="J3" s="150">
        <v>0.60493055555555553</v>
      </c>
    </row>
    <row r="4" spans="1:10" ht="15" customHeight="1">
      <c r="A4" s="12" t="s">
        <v>4</v>
      </c>
      <c r="B4" s="12" t="s">
        <v>172</v>
      </c>
      <c r="C4" s="12" t="s">
        <v>5</v>
      </c>
      <c r="D4" s="12" t="s">
        <v>173</v>
      </c>
      <c r="E4" s="12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1000</v>
      </c>
      <c r="C5" s="143">
        <v>3600</v>
      </c>
      <c r="D5" s="50" t="s">
        <v>177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>
        <v>5012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25.431919047619047</v>
      </c>
      <c r="J7" s="106" t="s">
        <v>19</v>
      </c>
    </row>
    <row r="8" spans="1:10" ht="15" customHeight="1">
      <c r="A8" s="6" t="s">
        <v>20</v>
      </c>
      <c r="B8" s="69">
        <v>2.9000000953674316</v>
      </c>
      <c r="C8" s="52"/>
      <c r="D8" s="6"/>
      <c r="E8" s="51"/>
      <c r="F8" s="3"/>
      <c r="G8" s="16"/>
      <c r="H8" s="10" t="s">
        <v>21</v>
      </c>
      <c r="I8" s="68">
        <v>30.879981688258507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185</v>
      </c>
      <c r="F9" s="107" t="s">
        <v>25</v>
      </c>
      <c r="G9" s="30"/>
      <c r="H9" s="10" t="s">
        <v>26</v>
      </c>
      <c r="I9" s="69">
        <v>28.155950367938779</v>
      </c>
      <c r="J9" s="104">
        <v>558.25287588595779</v>
      </c>
    </row>
    <row r="10" spans="1:10" ht="15" customHeight="1">
      <c r="A10" s="6" t="s">
        <v>27</v>
      </c>
      <c r="B10" s="69">
        <v>565</v>
      </c>
      <c r="C10" s="73">
        <v>565</v>
      </c>
      <c r="D10" s="6"/>
      <c r="E10" s="51"/>
      <c r="F10" s="117" t="s">
        <v>196</v>
      </c>
      <c r="G10" s="115" t="s">
        <v>197</v>
      </c>
      <c r="H10" s="10" t="s">
        <v>28</v>
      </c>
      <c r="I10" s="68">
        <v>18.247458461573483</v>
      </c>
      <c r="J10" s="103" t="s">
        <v>29</v>
      </c>
    </row>
    <row r="11" spans="1:10" ht="15" customHeight="1" thickBot="1">
      <c r="A11" s="6" t="s">
        <v>30</v>
      </c>
      <c r="B11" s="69">
        <v>590</v>
      </c>
      <c r="C11" s="73">
        <v>334.19999980926514</v>
      </c>
      <c r="D11" s="6" t="s">
        <v>31</v>
      </c>
      <c r="E11" s="68">
        <v>0.61898571428571425</v>
      </c>
      <c r="F11" s="118"/>
      <c r="G11" s="114" t="s">
        <v>198</v>
      </c>
      <c r="H11" s="10" t="s">
        <v>32</v>
      </c>
      <c r="I11" s="68">
        <v>30.879981688258507</v>
      </c>
      <c r="J11" s="104">
        <v>36094.476794744784</v>
      </c>
    </row>
    <row r="12" spans="1:10" ht="15" customHeight="1">
      <c r="A12" s="6" t="s">
        <v>33</v>
      </c>
      <c r="B12" s="69">
        <v>340</v>
      </c>
      <c r="C12" s="73">
        <v>155</v>
      </c>
      <c r="D12" s="6" t="s">
        <v>34</v>
      </c>
      <c r="E12" s="138" t="s">
        <v>175</v>
      </c>
      <c r="F12" s="124"/>
      <c r="G12" s="116" t="s">
        <v>192</v>
      </c>
      <c r="H12" s="10" t="s">
        <v>35</v>
      </c>
      <c r="I12" s="68">
        <v>1.3937239041357459</v>
      </c>
      <c r="J12" s="103" t="s">
        <v>36</v>
      </c>
    </row>
    <row r="13" spans="1:10" ht="15" customHeight="1" thickBot="1">
      <c r="A13" s="6" t="s">
        <v>37</v>
      </c>
      <c r="B13" s="69">
        <v>68</v>
      </c>
      <c r="C13" s="73">
        <v>54.599999904632568</v>
      </c>
      <c r="D13" s="6" t="s">
        <v>38</v>
      </c>
      <c r="E13" s="70">
        <v>14</v>
      </c>
      <c r="F13" s="124"/>
      <c r="G13" s="116" t="s">
        <v>193</v>
      </c>
      <c r="H13" s="10" t="s">
        <v>40</v>
      </c>
      <c r="I13" s="68">
        <v>1</v>
      </c>
      <c r="J13" s="104">
        <v>122.99626159667969</v>
      </c>
    </row>
    <row r="14" spans="1:10" ht="15" customHeight="1" thickBot="1">
      <c r="A14" s="134" t="s">
        <v>41</v>
      </c>
      <c r="B14" s="135">
        <v>464.07000732421875</v>
      </c>
      <c r="C14" s="136">
        <v>451.05001831054688</v>
      </c>
      <c r="D14" s="6" t="s">
        <v>42</v>
      </c>
      <c r="E14" s="51" t="s">
        <v>186</v>
      </c>
      <c r="F14" s="51"/>
      <c r="G14" s="116"/>
      <c r="H14" s="49" t="s">
        <v>43</v>
      </c>
      <c r="I14" s="68">
        <v>1.3937239041357459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187</v>
      </c>
      <c r="F15" s="51"/>
      <c r="G15" s="116"/>
      <c r="H15" s="10" t="s">
        <v>47</v>
      </c>
      <c r="I15" s="68">
        <v>0.82618353059296434</v>
      </c>
      <c r="J15" s="104">
        <v>23.566007653061224</v>
      </c>
    </row>
    <row r="16" spans="1:10" ht="15" customHeight="1">
      <c r="A16" s="6" t="s">
        <v>48</v>
      </c>
      <c r="B16" s="51">
        <v>42</v>
      </c>
      <c r="C16" s="52">
        <v>34</v>
      </c>
      <c r="D16" s="6" t="s">
        <v>49</v>
      </c>
      <c r="E16" s="51">
        <v>1</v>
      </c>
      <c r="F16" s="51"/>
      <c r="G16" s="116"/>
      <c r="H16" s="10" t="s">
        <v>50</v>
      </c>
      <c r="I16" s="68">
        <v>0.9556462151235352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188</v>
      </c>
      <c r="F17" s="51"/>
      <c r="G17" s="116"/>
      <c r="H17" s="10" t="s">
        <v>54</v>
      </c>
      <c r="I17" s="68">
        <v>0.78953916400856583</v>
      </c>
      <c r="J17" s="104">
        <v>677.08129265798584</v>
      </c>
    </row>
    <row r="18" spans="1:10" ht="15" customHeight="1">
      <c r="A18" s="6" t="s">
        <v>55</v>
      </c>
      <c r="B18" s="51" t="s">
        <v>175</v>
      </c>
      <c r="C18" s="73">
        <v>0</v>
      </c>
      <c r="D18" s="6" t="s">
        <v>56</v>
      </c>
      <c r="E18" s="140">
        <v>1155</v>
      </c>
      <c r="F18" s="70">
        <v>635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57</v>
      </c>
      <c r="C19" s="73">
        <v>35</v>
      </c>
      <c r="D19" s="6" t="s">
        <v>59</v>
      </c>
      <c r="E19" s="70">
        <v>196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/>
      <c r="D20" s="6" t="s">
        <v>167</v>
      </c>
      <c r="E20" s="67">
        <v>0.14450039569455886</v>
      </c>
      <c r="F20" s="51"/>
      <c r="G20" s="52"/>
      <c r="H20" s="10" t="s">
        <v>63</v>
      </c>
      <c r="I20" s="68">
        <v>11.78604793548584</v>
      </c>
      <c r="J20" s="72">
        <v>11.78604793548584</v>
      </c>
    </row>
    <row r="21" spans="1:10" ht="15" customHeight="1">
      <c r="A21" s="6" t="s">
        <v>64</v>
      </c>
      <c r="B21" s="69">
        <v>14</v>
      </c>
      <c r="C21" s="73">
        <v>0</v>
      </c>
      <c r="D21" s="10" t="s">
        <v>189</v>
      </c>
      <c r="E21" s="67">
        <v>0.192761824511995</v>
      </c>
      <c r="F21" s="67">
        <v>0.14007179439067841</v>
      </c>
      <c r="G21" s="71">
        <v>4.7466121773088912E-2</v>
      </c>
      <c r="H21" s="10" t="s">
        <v>65</v>
      </c>
      <c r="I21" s="68">
        <v>28.194938659667969</v>
      </c>
      <c r="J21" s="72">
        <v>14.779837608337402</v>
      </c>
    </row>
    <row r="22" spans="1:10" ht="15" customHeight="1">
      <c r="A22" s="6" t="s">
        <v>66</v>
      </c>
      <c r="B22" s="69">
        <v>2.8299999237060547</v>
      </c>
      <c r="C22" s="73">
        <v>1</v>
      </c>
      <c r="D22" s="6" t="s">
        <v>67</v>
      </c>
      <c r="E22" s="51" t="s">
        <v>190</v>
      </c>
      <c r="F22" s="51" t="s">
        <v>191</v>
      </c>
      <c r="G22" s="52" t="s">
        <v>191</v>
      </c>
      <c r="H22" s="10" t="s">
        <v>68</v>
      </c>
      <c r="I22" s="68">
        <v>7.0829815864562988</v>
      </c>
      <c r="J22" s="72">
        <v>6.1762690544128418</v>
      </c>
    </row>
    <row r="23" spans="1:10" ht="15" customHeight="1">
      <c r="A23" s="6" t="s">
        <v>69</v>
      </c>
      <c r="B23" s="69">
        <v>11.431919097900391</v>
      </c>
      <c r="C23" s="73">
        <v>11</v>
      </c>
      <c r="D23" s="6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15.478013565299728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2</v>
      </c>
      <c r="D24" s="6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5.8606569418680206</v>
      </c>
      <c r="J24" s="72">
        <v>5.170900809187974</v>
      </c>
    </row>
    <row r="25" spans="1:10" ht="15" customHeight="1">
      <c r="A25" s="6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0.38029974699020386</v>
      </c>
      <c r="J25" s="72">
        <v>0.79530858993530273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77.500452371836744</v>
      </c>
      <c r="F26" s="69">
        <v>21.409259712930993</v>
      </c>
      <c r="G26" s="73">
        <v>14.007364998670198</v>
      </c>
      <c r="H26" s="10" t="s">
        <v>80</v>
      </c>
      <c r="I26" s="68">
        <v>3.812807559967041</v>
      </c>
      <c r="J26" s="72">
        <v>2.9726815223693848</v>
      </c>
    </row>
    <row r="27" spans="1:10" ht="15" customHeight="1" thickBot="1">
      <c r="A27" s="6" t="s">
        <v>81</v>
      </c>
      <c r="B27" s="51" t="s">
        <v>183</v>
      </c>
      <c r="C27" s="52" t="s">
        <v>184</v>
      </c>
      <c r="D27" s="11" t="s">
        <v>82</v>
      </c>
      <c r="E27" s="80">
        <v>87.269590199486387</v>
      </c>
      <c r="F27" s="80" t="s">
        <v>175</v>
      </c>
      <c r="G27" s="82" t="s">
        <v>175</v>
      </c>
      <c r="H27" s="11" t="s">
        <v>83</v>
      </c>
      <c r="I27" s="79">
        <v>3.8317267894744873</v>
      </c>
      <c r="J27" s="81">
        <v>3.0772311687469482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33.987912486317896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33.99654522834512</v>
      </c>
      <c r="D30" s="10" t="s">
        <v>95</v>
      </c>
      <c r="E30" s="69">
        <v>46.338452500000002</v>
      </c>
      <c r="F30" s="69">
        <v>631.13520996093746</v>
      </c>
      <c r="G30" s="69">
        <v>17.752344084915528</v>
      </c>
      <c r="H30" s="74">
        <v>853.19871972710439</v>
      </c>
      <c r="I30" s="70">
        <v>51750.246477216839</v>
      </c>
      <c r="J30" s="74">
        <v>4652.3309985446804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5.7</v>
      </c>
      <c r="F31" s="69">
        <v>1114.0942636934271</v>
      </c>
      <c r="G31" s="69">
        <v>10.056715824196257</v>
      </c>
      <c r="H31" s="74">
        <v>13.915524087420485</v>
      </c>
      <c r="I31" s="70">
        <v>12700.674606105069</v>
      </c>
      <c r="J31" s="74">
        <v>454.74688847127356</v>
      </c>
    </row>
    <row r="32" spans="1:10" ht="15" customHeight="1">
      <c r="A32" s="6" t="s">
        <v>98</v>
      </c>
      <c r="B32" s="68" t="s">
        <v>243</v>
      </c>
      <c r="C32" s="110"/>
      <c r="D32" s="10" t="s">
        <v>99</v>
      </c>
      <c r="E32" s="69">
        <v>20.750201935019732</v>
      </c>
      <c r="F32" s="69">
        <v>725.58912859525674</v>
      </c>
      <c r="G32" s="69">
        <v>15.441424037076192</v>
      </c>
      <c r="H32" s="74">
        <v>212.69906653907225</v>
      </c>
      <c r="I32" s="9" t="s">
        <v>100</v>
      </c>
      <c r="J32" s="74">
        <v>5107.0778870159538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3.5</v>
      </c>
      <c r="F33" s="69">
        <v>843.46353424072265</v>
      </c>
      <c r="G33" s="69">
        <v>13.283478130939958</v>
      </c>
      <c r="H33" s="74">
        <v>19.438190168224391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245</v>
      </c>
      <c r="C34" s="112">
        <v>11.204129411331966</v>
      </c>
      <c r="D34" s="11" t="s">
        <v>20</v>
      </c>
      <c r="E34" s="79">
        <v>0.29000000953674315</v>
      </c>
      <c r="F34" s="80">
        <v>1885.3274082497724</v>
      </c>
      <c r="G34" s="80">
        <v>5.9428030178234268</v>
      </c>
      <c r="H34" s="83">
        <v>1371.4495938710811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219</v>
      </c>
      <c r="G38" s="17" t="s">
        <v>116</v>
      </c>
      <c r="H38" s="83" t="s">
        <v>207</v>
      </c>
      <c r="I38" s="139" t="s">
        <v>214</v>
      </c>
      <c r="J38" s="84">
        <v>16491.5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7.8341382904521968</v>
      </c>
      <c r="C42" s="68">
        <v>6.888387090476523</v>
      </c>
      <c r="D42" s="68">
        <v>6.4212130721525478</v>
      </c>
      <c r="E42" s="68">
        <v>6.1460628788517004</v>
      </c>
      <c r="F42" s="72">
        <v>5.9703309528886805</v>
      </c>
      <c r="G42" s="36" t="s">
        <v>124</v>
      </c>
      <c r="H42" s="91" t="s">
        <v>248</v>
      </c>
      <c r="I42" s="55"/>
      <c r="J42" s="97">
        <v>0.25845711525190024</v>
      </c>
    </row>
    <row r="43" spans="1:10" ht="15" customHeight="1" thickBot="1">
      <c r="A43" s="17" t="s">
        <v>125</v>
      </c>
      <c r="B43" s="79">
        <v>11.706870931524275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1897.2793227013863</v>
      </c>
      <c r="I44" s="90">
        <v>4.912356746295525E-2</v>
      </c>
      <c r="J44" s="97">
        <v>0.62390788700502664</v>
      </c>
    </row>
    <row r="45" spans="1:10" ht="15" customHeight="1">
      <c r="A45" s="6" t="s">
        <v>129</v>
      </c>
      <c r="B45" s="68">
        <v>0.26772207021713257</v>
      </c>
      <c r="C45" s="4" t="s">
        <v>130</v>
      </c>
      <c r="D45" s="72">
        <v>1.0230317711830139E-2</v>
      </c>
      <c r="E45" s="6" t="s">
        <v>131</v>
      </c>
      <c r="F45" s="74">
        <v>418.31216094903988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0.18509595096111298</v>
      </c>
      <c r="C46" s="4" t="s">
        <v>133</v>
      </c>
      <c r="D46" s="72">
        <v>9.1041866689920425E-3</v>
      </c>
      <c r="E46" s="6" t="s">
        <v>134</v>
      </c>
      <c r="F46" s="74">
        <v>665.8136318678595</v>
      </c>
      <c r="G46" s="37" t="s">
        <v>135</v>
      </c>
      <c r="H46" s="94">
        <v>417.35107518222782</v>
      </c>
      <c r="I46" s="57"/>
      <c r="J46" s="58"/>
    </row>
    <row r="47" spans="1:10" ht="15" customHeight="1">
      <c r="A47" s="6" t="s">
        <v>136</v>
      </c>
      <c r="B47" s="68">
        <v>0.45281803607940674</v>
      </c>
      <c r="C47" s="4" t="s">
        <v>137</v>
      </c>
      <c r="D47" s="72">
        <v>4.0214476175606251E-3</v>
      </c>
      <c r="E47" s="6" t="s">
        <v>138</v>
      </c>
      <c r="F47" s="74">
        <v>238.87060371199129</v>
      </c>
      <c r="G47" s="64" t="s">
        <v>139</v>
      </c>
      <c r="H47" s="93">
        <v>1806.4755807224974</v>
      </c>
      <c r="I47" s="90">
        <v>4.6659759469701807E-2</v>
      </c>
      <c r="J47" s="95">
        <v>0.64142290912644384</v>
      </c>
    </row>
    <row r="48" spans="1:10" ht="15" customHeight="1">
      <c r="A48" s="6" t="s">
        <v>140</v>
      </c>
      <c r="B48" s="68">
        <v>1.1555393226444721E-2</v>
      </c>
      <c r="C48" s="4" t="s">
        <v>100</v>
      </c>
      <c r="D48" s="72">
        <v>3.4911345690488815E-2</v>
      </c>
      <c r="E48" s="6" t="s">
        <v>141</v>
      </c>
      <c r="F48" s="74">
        <v>98.175553205778797</v>
      </c>
      <c r="G48" s="65" t="s">
        <v>122</v>
      </c>
      <c r="H48" s="86">
        <v>242.1549035821042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0.96508866548538208</v>
      </c>
      <c r="E49" s="17" t="s">
        <v>143</v>
      </c>
      <c r="F49" s="83">
        <v>237.93648271561722</v>
      </c>
      <c r="G49" s="66" t="s">
        <v>135</v>
      </c>
      <c r="H49" s="94">
        <v>406.49413450791832</v>
      </c>
      <c r="I49" s="57"/>
      <c r="J49" s="61"/>
    </row>
    <row r="50" spans="1:10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2"/>
      <c r="J50" s="27"/>
    </row>
    <row r="51" spans="1:10" ht="15" customHeight="1">
      <c r="A51" s="10" t="s">
        <v>146</v>
      </c>
      <c r="B51" s="51">
        <v>34</v>
      </c>
      <c r="C51" s="9" t="s">
        <v>147</v>
      </c>
      <c r="D51" s="69">
        <v>7</v>
      </c>
      <c r="E51" s="9" t="s">
        <v>148</v>
      </c>
      <c r="F51" s="73">
        <v>11</v>
      </c>
      <c r="G51" s="9" t="s">
        <v>149</v>
      </c>
      <c r="H51" s="67">
        <v>0.12406012248885241</v>
      </c>
      <c r="I51" s="45" t="s">
        <v>150</v>
      </c>
      <c r="J51" s="39"/>
    </row>
    <row r="52" spans="1:10" ht="15" customHeight="1">
      <c r="A52" s="10" t="s">
        <v>58</v>
      </c>
      <c r="B52" s="69">
        <v>35</v>
      </c>
      <c r="C52" s="9" t="s">
        <v>151</v>
      </c>
      <c r="D52" s="69">
        <v>8</v>
      </c>
      <c r="E52" s="9" t="s">
        <v>152</v>
      </c>
      <c r="F52" s="73">
        <v>0</v>
      </c>
      <c r="G52" s="9" t="s">
        <v>169</v>
      </c>
      <c r="H52" s="69">
        <v>54169.475338168719</v>
      </c>
      <c r="I52" s="98" t="s">
        <v>230</v>
      </c>
      <c r="J52" s="62"/>
    </row>
    <row r="53" spans="1:10" ht="15" customHeight="1">
      <c r="A53" s="10" t="s">
        <v>64</v>
      </c>
      <c r="B53" s="69">
        <v>0</v>
      </c>
      <c r="C53" s="9" t="s">
        <v>153</v>
      </c>
      <c r="D53" s="69">
        <v>17.511787414550781</v>
      </c>
      <c r="E53" s="9" t="s">
        <v>154</v>
      </c>
      <c r="F53" s="73">
        <v>0</v>
      </c>
      <c r="G53" s="9" t="s">
        <v>170</v>
      </c>
      <c r="H53" s="68">
        <v>24.200676770412112</v>
      </c>
      <c r="I53" s="44" t="s">
        <v>155</v>
      </c>
      <c r="J53" s="39"/>
    </row>
    <row r="54" spans="1:10" ht="15" customHeight="1">
      <c r="A54" s="10" t="s">
        <v>66</v>
      </c>
      <c r="B54" s="69">
        <v>1</v>
      </c>
      <c r="C54" s="9" t="s">
        <v>156</v>
      </c>
      <c r="D54" s="69">
        <v>13.434589514283759</v>
      </c>
      <c r="E54" s="9" t="s">
        <v>154</v>
      </c>
      <c r="F54" s="73">
        <v>11</v>
      </c>
      <c r="G54" s="9" t="s">
        <v>171</v>
      </c>
      <c r="H54" s="70">
        <v>173701.9</v>
      </c>
      <c r="I54" s="99" t="s">
        <v>231</v>
      </c>
      <c r="J54" s="100" t="s">
        <v>194</v>
      </c>
    </row>
    <row r="55" spans="1:10" ht="15" customHeight="1">
      <c r="A55" s="10" t="s">
        <v>157</v>
      </c>
      <c r="B55" s="69">
        <v>7</v>
      </c>
      <c r="C55" s="9" t="s">
        <v>158</v>
      </c>
      <c r="D55" s="69">
        <v>22</v>
      </c>
      <c r="E55" s="9" t="s">
        <v>159</v>
      </c>
      <c r="F55" s="73">
        <v>0</v>
      </c>
      <c r="G55" s="9" t="s">
        <v>160</v>
      </c>
      <c r="H55" s="69">
        <v>1</v>
      </c>
      <c r="I55" s="44" t="s">
        <v>161</v>
      </c>
      <c r="J55" s="39"/>
    </row>
    <row r="56" spans="1:10" ht="15" customHeight="1" thickBot="1">
      <c r="A56" s="11" t="s">
        <v>162</v>
      </c>
      <c r="B56" s="80">
        <v>2</v>
      </c>
      <c r="C56" s="21" t="s">
        <v>163</v>
      </c>
      <c r="D56" s="80">
        <v>22.955984629434976</v>
      </c>
      <c r="E56" s="21" t="s">
        <v>164</v>
      </c>
      <c r="F56" s="82">
        <v>0</v>
      </c>
      <c r="G56" s="21" t="s">
        <v>165</v>
      </c>
      <c r="H56" s="79">
        <v>0.67847857142857138</v>
      </c>
      <c r="I56" s="101" t="s">
        <v>232</v>
      </c>
      <c r="J56" s="61" t="s">
        <v>195</v>
      </c>
    </row>
    <row r="57" spans="1:10" ht="15" customHeight="1">
      <c r="A57" s="23" t="s">
        <v>252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166</v>
      </c>
      <c r="C58" s="16" t="s">
        <v>253</v>
      </c>
      <c r="D58" s="3" t="s">
        <v>119</v>
      </c>
      <c r="E58" s="3" t="s">
        <v>166</v>
      </c>
      <c r="F58" s="16" t="s">
        <v>254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0.23475848138332367</v>
      </c>
      <c r="D59" s="128">
        <v>0.69999998807907104</v>
      </c>
      <c r="E59" s="86">
        <v>101.86343396385965</v>
      </c>
      <c r="F59" s="87">
        <v>587.33551025390625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81.557143260571522</v>
      </c>
      <c r="C60" s="87">
        <v>90.8033447265625</v>
      </c>
      <c r="D60" s="128">
        <v>0.80000001192092896</v>
      </c>
      <c r="E60" s="86">
        <v>104.94455040169777</v>
      </c>
      <c r="F60" s="87">
        <v>593.0396728515625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250</v>
      </c>
      <c r="C61" s="87">
        <v>341.52548217773438</v>
      </c>
      <c r="D61" s="128">
        <v>0.89999997615814209</v>
      </c>
      <c r="E61" s="86">
        <v>110.53191000053791</v>
      </c>
      <c r="F61" s="87">
        <v>598.29144287109375</v>
      </c>
      <c r="G61" s="122"/>
      <c r="H61" s="32"/>
      <c r="I61" s="32"/>
      <c r="J61" s="46"/>
    </row>
    <row r="62" spans="1:10" ht="15" customHeight="1">
      <c r="A62" s="126">
        <v>6.4444445073604584E-2</v>
      </c>
      <c r="B62" s="86">
        <v>175.85058520553994</v>
      </c>
      <c r="C62" s="87">
        <v>466.62973022460938</v>
      </c>
      <c r="D62" s="129">
        <v>1</v>
      </c>
      <c r="E62" s="86">
        <v>120</v>
      </c>
      <c r="F62" s="87">
        <v>603.125</v>
      </c>
      <c r="G62" s="122"/>
      <c r="H62" s="32"/>
      <c r="I62" s="32"/>
      <c r="J62" s="46"/>
    </row>
    <row r="63" spans="1:10" ht="15" customHeight="1" thickBot="1">
      <c r="A63" s="126">
        <v>0.11888889968395233</v>
      </c>
      <c r="B63" s="86">
        <v>138.95503424889148</v>
      </c>
      <c r="C63" s="87">
        <v>512.41796875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0.17333333194255829</v>
      </c>
      <c r="B64" s="86">
        <v>119.35002284057497</v>
      </c>
      <c r="C64" s="87">
        <v>533.76690673828125</v>
      </c>
      <c r="D64" s="154" t="s">
        <v>262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0.28222224116325378</v>
      </c>
      <c r="B65" s="86">
        <v>106.11773158688754</v>
      </c>
      <c r="C65" s="87">
        <v>554.0552978515625</v>
      </c>
      <c r="D65" s="156" t="s">
        <v>256</v>
      </c>
      <c r="E65" s="158" t="s">
        <v>260</v>
      </c>
      <c r="F65" s="158"/>
      <c r="G65" s="122"/>
      <c r="H65" s="32"/>
      <c r="I65" s="32"/>
      <c r="J65" s="46"/>
    </row>
    <row r="66" spans="1:10" ht="15" customHeight="1">
      <c r="A66" s="126">
        <v>0.3911111056804657</v>
      </c>
      <c r="B66" s="86">
        <v>101.56817335476129</v>
      </c>
      <c r="C66" s="87">
        <v>565.2657470703125</v>
      </c>
      <c r="D66" s="156" t="s">
        <v>257</v>
      </c>
      <c r="E66" s="158" t="s">
        <v>261</v>
      </c>
      <c r="F66" s="158"/>
      <c r="G66" s="122"/>
      <c r="H66" s="32"/>
      <c r="I66" s="32"/>
      <c r="J66" s="46"/>
    </row>
    <row r="67" spans="1:10" ht="15" customHeight="1">
      <c r="A67" s="126">
        <v>0.5</v>
      </c>
      <c r="B67" s="86">
        <v>100</v>
      </c>
      <c r="C67" s="87">
        <v>573.68316650390625</v>
      </c>
      <c r="D67" s="156" t="s">
        <v>258</v>
      </c>
      <c r="E67" s="158" t="s">
        <v>263</v>
      </c>
      <c r="F67" s="158"/>
      <c r="G67" s="122"/>
      <c r="H67" s="32"/>
      <c r="I67" s="32"/>
      <c r="J67" s="46"/>
    </row>
    <row r="68" spans="1:10" ht="15" customHeight="1" thickBot="1">
      <c r="A68" s="127">
        <v>0.60000002384185791</v>
      </c>
      <c r="B68" s="88">
        <v>100.38476599920091</v>
      </c>
      <c r="C68" s="89">
        <v>580.87811279296875</v>
      </c>
      <c r="D68" s="157" t="s">
        <v>259</v>
      </c>
      <c r="E68" s="159" t="s">
        <v>264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255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83.24444580078125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69.088882446289063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55.866668701171875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36.022220611572266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22.977777481079102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14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7.9999995231628418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5.9999995231628418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8.0000009536743164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14.999996185302734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M45" sqref="M45"/>
    </sheetView>
  </sheetViews>
  <sheetFormatPr defaultColWidth="9.140625" defaultRowHeight="15.75"/>
  <cols>
    <col min="1" max="1" width="12.140625" style="301" customWidth="1"/>
    <col min="2" max="2" width="6.140625" style="301" customWidth="1"/>
    <col min="3" max="3" width="7.140625" style="301" customWidth="1"/>
    <col min="4" max="4" width="12.85546875" style="301" customWidth="1"/>
    <col min="5" max="5" width="12.5703125" style="301" customWidth="1"/>
    <col min="6" max="6" width="9.42578125" style="301" customWidth="1"/>
    <col min="7" max="7" width="5.7109375" style="301" customWidth="1"/>
    <col min="8" max="8" width="7.85546875" style="301" customWidth="1"/>
    <col min="9" max="9" width="6.5703125" style="301" customWidth="1"/>
    <col min="10" max="11" width="12" style="301" customWidth="1"/>
    <col min="12" max="12" width="12.7109375" style="160" customWidth="1"/>
    <col min="13" max="26" width="9.140625" style="160"/>
    <col min="27" max="16384" width="9.140625" style="161"/>
  </cols>
  <sheetData>
    <row r="1" spans="1:26" ht="20.25" customHeight="1">
      <c r="A1" s="533" t="s">
        <v>265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</row>
    <row r="2" spans="1:26" ht="20.25" customHeight="1">
      <c r="A2" s="534" t="s">
        <v>266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</row>
    <row r="3" spans="1:26" ht="18.75" customHeight="1" thickBot="1">
      <c r="A3" s="162" t="s">
        <v>1</v>
      </c>
      <c r="B3" s="163" t="s">
        <v>634</v>
      </c>
      <c r="C3" s="164"/>
      <c r="D3" s="164"/>
      <c r="E3" s="164"/>
      <c r="F3" s="165"/>
      <c r="G3" s="164"/>
      <c r="H3" s="164"/>
      <c r="I3" s="162" t="s">
        <v>267</v>
      </c>
      <c r="J3" s="535" t="s">
        <v>633</v>
      </c>
      <c r="K3" s="535"/>
    </row>
    <row r="4" spans="1:26" s="174" customFormat="1" ht="18.399999999999999" customHeight="1" thickBot="1">
      <c r="A4" s="166" t="s">
        <v>375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 t="s">
        <v>642</v>
      </c>
      <c r="M4" s="170"/>
      <c r="N4" s="170"/>
      <c r="O4" s="170"/>
      <c r="P4" s="170"/>
      <c r="Q4" s="171" t="s">
        <v>268</v>
      </c>
      <c r="R4" s="172"/>
      <c r="S4" s="170"/>
      <c r="T4" s="171" t="s">
        <v>269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536" t="s">
        <v>270</v>
      </c>
      <c r="B5" s="537"/>
      <c r="C5" s="537"/>
      <c r="D5" s="175"/>
      <c r="E5" s="176"/>
      <c r="F5" s="177" t="s">
        <v>271</v>
      </c>
      <c r="G5" s="164"/>
      <c r="H5" s="164"/>
      <c r="I5" s="178"/>
      <c r="J5" s="179" t="s">
        <v>272</v>
      </c>
      <c r="K5" s="180" t="s">
        <v>273</v>
      </c>
      <c r="L5" s="170" t="s">
        <v>643</v>
      </c>
      <c r="M5" s="170"/>
      <c r="N5" s="170"/>
      <c r="O5" s="170"/>
      <c r="P5" s="170"/>
      <c r="Q5" s="181" t="s">
        <v>274</v>
      </c>
      <c r="R5" s="182"/>
      <c r="S5" s="170"/>
      <c r="T5" s="181" t="s">
        <v>275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538" t="s">
        <v>67</v>
      </c>
      <c r="B6" s="539"/>
      <c r="C6" s="539"/>
      <c r="D6" s="540" t="s">
        <v>275</v>
      </c>
      <c r="E6" s="541"/>
      <c r="F6" s="542" t="s">
        <v>277</v>
      </c>
      <c r="G6" s="543"/>
      <c r="H6" s="543"/>
      <c r="I6" s="543"/>
      <c r="J6" s="543"/>
      <c r="K6" s="544"/>
      <c r="L6" s="170" t="s">
        <v>644</v>
      </c>
      <c r="M6" s="170"/>
      <c r="N6" s="170"/>
      <c r="O6" s="170"/>
      <c r="P6" s="170"/>
      <c r="Q6" s="181" t="s">
        <v>278</v>
      </c>
      <c r="R6" s="182"/>
      <c r="S6" s="170"/>
      <c r="T6" s="181" t="s">
        <v>279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548" t="s">
        <v>20</v>
      </c>
      <c r="B7" s="549"/>
      <c r="C7" s="549"/>
      <c r="D7" s="550">
        <v>2.9000000953674299</v>
      </c>
      <c r="E7" s="551"/>
      <c r="F7" s="184" t="s">
        <v>280</v>
      </c>
      <c r="G7" s="185"/>
      <c r="H7" s="186"/>
      <c r="I7" s="187"/>
      <c r="J7" s="188" t="s">
        <v>380</v>
      </c>
      <c r="K7" s="189" t="s">
        <v>175</v>
      </c>
      <c r="L7" s="406">
        <v>28.5</v>
      </c>
      <c r="M7" s="170"/>
      <c r="N7" s="170"/>
      <c r="O7" s="170"/>
      <c r="P7" s="170"/>
      <c r="Q7" s="181" t="s">
        <v>281</v>
      </c>
      <c r="R7" s="182"/>
      <c r="S7" s="170"/>
      <c r="T7" s="181" t="s">
        <v>276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548" t="s">
        <v>282</v>
      </c>
      <c r="B8" s="549"/>
      <c r="C8" s="549"/>
      <c r="D8" s="552">
        <v>565</v>
      </c>
      <c r="E8" s="553"/>
      <c r="F8" s="190" t="s">
        <v>283</v>
      </c>
      <c r="G8" s="191"/>
      <c r="H8" s="192"/>
      <c r="I8" s="193"/>
      <c r="J8" s="194">
        <v>8969</v>
      </c>
      <c r="K8" s="195" t="s">
        <v>175</v>
      </c>
      <c r="L8" s="406">
        <v>8614</v>
      </c>
      <c r="M8" s="170"/>
      <c r="N8" s="170"/>
      <c r="O8" s="170"/>
      <c r="P8" s="170"/>
      <c r="Q8" s="181" t="s">
        <v>284</v>
      </c>
      <c r="R8" s="182"/>
      <c r="S8" s="170"/>
      <c r="T8" s="181" t="s">
        <v>285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554" t="s">
        <v>286</v>
      </c>
      <c r="B9" s="555"/>
      <c r="C9" s="556"/>
      <c r="D9" s="552">
        <v>7</v>
      </c>
      <c r="E9" s="553"/>
      <c r="F9" s="184" t="s">
        <v>287</v>
      </c>
      <c r="G9" s="185"/>
      <c r="H9" s="196">
        <v>3</v>
      </c>
      <c r="I9" s="197" t="s">
        <v>288</v>
      </c>
      <c r="J9" s="198">
        <v>253</v>
      </c>
      <c r="K9" s="195" t="s">
        <v>175</v>
      </c>
      <c r="L9" s="406"/>
      <c r="M9" s="170"/>
      <c r="N9" s="170"/>
      <c r="O9" s="170"/>
      <c r="P9" s="170"/>
      <c r="Q9" s="181" t="s">
        <v>289</v>
      </c>
      <c r="R9" s="182"/>
      <c r="S9" s="170"/>
      <c r="T9" s="181" t="s">
        <v>290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554" t="s">
        <v>291</v>
      </c>
      <c r="B10" s="555"/>
      <c r="C10" s="556"/>
      <c r="D10" s="557" t="s">
        <v>186</v>
      </c>
      <c r="E10" s="558"/>
      <c r="F10" s="184" t="s">
        <v>292</v>
      </c>
      <c r="G10" s="185"/>
      <c r="H10" s="196">
        <v>3</v>
      </c>
      <c r="I10" s="197" t="s">
        <v>288</v>
      </c>
      <c r="J10" s="198">
        <v>1150</v>
      </c>
      <c r="K10" s="195" t="s">
        <v>175</v>
      </c>
      <c r="L10" s="406"/>
      <c r="M10" s="170"/>
      <c r="N10" s="170"/>
      <c r="O10" s="170"/>
      <c r="P10" s="170"/>
      <c r="Q10" s="181" t="s">
        <v>293</v>
      </c>
      <c r="R10" s="182"/>
      <c r="S10" s="170"/>
      <c r="T10" s="199" t="s">
        <v>294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554" t="s">
        <v>295</v>
      </c>
      <c r="B11" s="555"/>
      <c r="C11" s="556"/>
      <c r="D11" s="559" t="s">
        <v>187</v>
      </c>
      <c r="E11" s="560"/>
      <c r="F11" s="201" t="s">
        <v>296</v>
      </c>
      <c r="G11" s="202"/>
      <c r="H11" s="203">
        <v>3</v>
      </c>
      <c r="I11" s="197" t="s">
        <v>288</v>
      </c>
      <c r="J11" s="204">
        <v>36094</v>
      </c>
      <c r="K11" s="205" t="s">
        <v>175</v>
      </c>
      <c r="L11" s="406"/>
      <c r="M11" s="170"/>
      <c r="N11" s="170"/>
      <c r="O11" s="170"/>
      <c r="P11" s="170"/>
      <c r="Q11" s="199" t="s">
        <v>297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298</v>
      </c>
      <c r="C12" s="208"/>
      <c r="D12" s="561" t="s">
        <v>175</v>
      </c>
      <c r="E12" s="562"/>
      <c r="F12" s="545" t="s">
        <v>299</v>
      </c>
      <c r="G12" s="546"/>
      <c r="H12" s="546"/>
      <c r="I12" s="546"/>
      <c r="J12" s="546"/>
      <c r="K12" s="547"/>
      <c r="L12" s="406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554" t="s">
        <v>53</v>
      </c>
      <c r="B13" s="555"/>
      <c r="C13" s="556"/>
      <c r="D13" s="563" t="s">
        <v>377</v>
      </c>
      <c r="E13" s="564"/>
      <c r="F13" s="209"/>
      <c r="G13" s="210" t="s">
        <v>300</v>
      </c>
      <c r="H13" s="211"/>
      <c r="I13" s="212" t="s">
        <v>301</v>
      </c>
      <c r="J13" s="213" t="s">
        <v>382</v>
      </c>
      <c r="K13" s="214" t="s">
        <v>175</v>
      </c>
      <c r="L13" s="406" t="s">
        <v>645</v>
      </c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554" t="s">
        <v>56</v>
      </c>
      <c r="B14" s="555"/>
      <c r="C14" s="556"/>
      <c r="D14" s="561">
        <v>1155</v>
      </c>
      <c r="E14" s="562"/>
      <c r="F14" s="209"/>
      <c r="G14" s="215" t="s">
        <v>10</v>
      </c>
      <c r="H14" s="216"/>
      <c r="I14" s="216"/>
      <c r="J14" s="198" t="s">
        <v>175</v>
      </c>
      <c r="K14" s="195" t="s">
        <v>175</v>
      </c>
      <c r="L14" s="406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565" t="s">
        <v>302</v>
      </c>
      <c r="B15" s="566"/>
      <c r="C15" s="567"/>
      <c r="D15" s="568">
        <v>10.831600189208984</v>
      </c>
      <c r="E15" s="569"/>
      <c r="F15" s="209"/>
      <c r="G15" s="215" t="s">
        <v>303</v>
      </c>
      <c r="H15" s="216"/>
      <c r="I15" s="216"/>
      <c r="J15" s="198" t="s">
        <v>175</v>
      </c>
      <c r="K15" s="195" t="s">
        <v>175</v>
      </c>
      <c r="L15" s="406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570" t="s">
        <v>304</v>
      </c>
      <c r="B16" s="571"/>
      <c r="C16" s="572"/>
      <c r="D16" s="568">
        <v>3.7956001758575439</v>
      </c>
      <c r="E16" s="569"/>
      <c r="F16" s="217"/>
      <c r="G16" s="218" t="s">
        <v>17</v>
      </c>
      <c r="H16" s="219"/>
      <c r="I16" s="219"/>
      <c r="J16" s="204" t="s">
        <v>175</v>
      </c>
      <c r="K16" s="205" t="s">
        <v>175</v>
      </c>
      <c r="L16" s="406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305</v>
      </c>
      <c r="B17" s="221"/>
      <c r="C17" s="222"/>
      <c r="D17" s="559" t="s">
        <v>376</v>
      </c>
      <c r="E17" s="560"/>
      <c r="F17" s="545" t="s">
        <v>306</v>
      </c>
      <c r="G17" s="546"/>
      <c r="H17" s="546"/>
      <c r="I17" s="546"/>
      <c r="J17" s="546"/>
      <c r="K17" s="547"/>
      <c r="L17" s="406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307</v>
      </c>
      <c r="B18" s="224"/>
      <c r="C18" s="222"/>
      <c r="D18" s="557" t="s">
        <v>175</v>
      </c>
      <c r="E18" s="558"/>
      <c r="F18" s="573"/>
      <c r="G18" s="574"/>
      <c r="H18" s="225" t="s">
        <v>308</v>
      </c>
      <c r="I18" s="226"/>
      <c r="J18" s="194" t="s">
        <v>379</v>
      </c>
      <c r="K18" s="195"/>
      <c r="L18" s="406">
        <v>127.4</v>
      </c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579" t="s">
        <v>309</v>
      </c>
      <c r="B19" s="580"/>
      <c r="C19" s="581"/>
      <c r="D19" s="582" t="s">
        <v>175</v>
      </c>
      <c r="E19" s="560"/>
      <c r="F19" s="575"/>
      <c r="G19" s="576"/>
      <c r="H19" s="225" t="s">
        <v>5</v>
      </c>
      <c r="I19" s="187"/>
      <c r="J19" s="194">
        <v>3560</v>
      </c>
      <c r="K19" s="195"/>
      <c r="L19" s="406">
        <v>3565</v>
      </c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310</v>
      </c>
      <c r="C20" s="228"/>
      <c r="D20" s="583" t="s">
        <v>185</v>
      </c>
      <c r="E20" s="553"/>
      <c r="F20" s="575"/>
      <c r="G20" s="576"/>
      <c r="H20" s="225" t="s">
        <v>311</v>
      </c>
      <c r="I20" s="187"/>
      <c r="J20" s="198" t="s">
        <v>358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565" t="s">
        <v>312</v>
      </c>
      <c r="B21" s="566"/>
      <c r="C21" s="567"/>
      <c r="D21" s="552" t="s">
        <v>175</v>
      </c>
      <c r="E21" s="553"/>
      <c r="F21" s="575"/>
      <c r="G21" s="576"/>
      <c r="H21" s="229" t="s">
        <v>313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314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315</v>
      </c>
      <c r="B22" s="230"/>
      <c r="C22" s="230"/>
      <c r="D22" s="584">
        <v>0.14349999999999999</v>
      </c>
      <c r="E22" s="585"/>
      <c r="F22" s="575"/>
      <c r="G22" s="576"/>
      <c r="H22" s="225" t="s">
        <v>272</v>
      </c>
      <c r="I22" s="187"/>
      <c r="J22" s="198" t="s">
        <v>636</v>
      </c>
      <c r="K22" s="195"/>
      <c r="L22" s="170"/>
      <c r="M22" s="170"/>
      <c r="N22" s="170"/>
      <c r="O22" s="170"/>
      <c r="P22" s="170"/>
      <c r="Q22" s="181" t="s">
        <v>316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317</v>
      </c>
      <c r="B23" s="232" t="s">
        <v>318</v>
      </c>
      <c r="C23" s="233"/>
      <c r="D23" s="563">
        <v>178</v>
      </c>
      <c r="E23" s="564"/>
      <c r="F23" s="575"/>
      <c r="G23" s="576"/>
      <c r="H23" s="234" t="s">
        <v>319</v>
      </c>
      <c r="I23" s="235"/>
      <c r="J23" s="236"/>
      <c r="K23" s="237"/>
      <c r="L23" s="170"/>
      <c r="Q23" s="181" t="s">
        <v>320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321</v>
      </c>
      <c r="B24" s="239" t="s">
        <v>322</v>
      </c>
      <c r="C24" s="240"/>
      <c r="D24" s="586">
        <v>200</v>
      </c>
      <c r="E24" s="587"/>
      <c r="F24" s="575"/>
      <c r="G24" s="576"/>
      <c r="H24" s="225" t="s">
        <v>323</v>
      </c>
      <c r="I24" s="208"/>
      <c r="J24" s="241"/>
      <c r="K24" s="242"/>
      <c r="Q24" s="243" t="s">
        <v>175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324</v>
      </c>
      <c r="B25" s="246"/>
      <c r="C25" s="246"/>
      <c r="D25" s="247"/>
      <c r="E25" s="247" t="s">
        <v>325</v>
      </c>
      <c r="F25" s="575"/>
      <c r="G25" s="576"/>
      <c r="H25" s="225" t="s">
        <v>326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327</v>
      </c>
      <c r="B26" s="250"/>
      <c r="C26" s="251"/>
      <c r="D26" s="252" t="s">
        <v>383</v>
      </c>
      <c r="E26" s="252" t="s">
        <v>384</v>
      </c>
      <c r="F26" s="577"/>
      <c r="G26" s="578"/>
      <c r="H26" s="588"/>
      <c r="I26" s="589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590" t="s">
        <v>328</v>
      </c>
      <c r="B27" s="591"/>
      <c r="C27" s="591"/>
      <c r="D27" s="591"/>
      <c r="E27" s="591"/>
      <c r="F27" s="542" t="s">
        <v>329</v>
      </c>
      <c r="G27" s="543"/>
      <c r="H27" s="543"/>
      <c r="I27" s="543"/>
      <c r="J27" s="543"/>
      <c r="K27" s="544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594"/>
      <c r="B28" s="595"/>
      <c r="C28" s="595"/>
      <c r="D28" s="595"/>
      <c r="E28" s="596"/>
      <c r="F28" s="255"/>
      <c r="G28" s="256"/>
      <c r="H28" s="215" t="s">
        <v>330</v>
      </c>
      <c r="I28" s="257" t="s">
        <v>378</v>
      </c>
      <c r="J28" s="194" t="s">
        <v>381</v>
      </c>
      <c r="K28" s="189" t="s">
        <v>175</v>
      </c>
      <c r="L28" s="407">
        <v>799.6</v>
      </c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594"/>
      <c r="B29" s="595"/>
      <c r="C29" s="595"/>
      <c r="D29" s="595"/>
      <c r="E29" s="596"/>
      <c r="F29" s="258"/>
      <c r="G29" s="259"/>
      <c r="H29" s="215" t="s">
        <v>331</v>
      </c>
      <c r="I29" s="260">
        <v>60</v>
      </c>
      <c r="J29" s="194">
        <v>120</v>
      </c>
      <c r="K29" s="189" t="s">
        <v>175</v>
      </c>
      <c r="L29" s="407">
        <v>117.7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594"/>
      <c r="B30" s="595"/>
      <c r="C30" s="595"/>
      <c r="D30" s="595"/>
      <c r="E30" s="596"/>
      <c r="F30" s="258"/>
      <c r="G30" s="259"/>
      <c r="H30" s="215" t="s">
        <v>332</v>
      </c>
      <c r="I30" s="260">
        <v>175</v>
      </c>
      <c r="J30" s="194">
        <v>250</v>
      </c>
      <c r="K30" s="189" t="s">
        <v>175</v>
      </c>
      <c r="L30" s="406">
        <v>274.2</v>
      </c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594"/>
      <c r="B31" s="595"/>
      <c r="C31" s="595"/>
      <c r="D31" s="595"/>
      <c r="E31" s="596"/>
      <c r="F31" s="258"/>
      <c r="G31" s="259"/>
      <c r="H31" s="215" t="s">
        <v>333</v>
      </c>
      <c r="I31" s="216"/>
      <c r="J31" s="261">
        <v>1</v>
      </c>
      <c r="K31" s="189" t="s">
        <v>175</v>
      </c>
      <c r="L31" s="406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597"/>
      <c r="B32" s="598"/>
      <c r="C32" s="598"/>
      <c r="D32" s="598"/>
      <c r="E32" s="599"/>
      <c r="F32" s="258"/>
      <c r="G32" s="262" t="s">
        <v>334</v>
      </c>
      <c r="H32" s="215" t="s">
        <v>335</v>
      </c>
      <c r="I32" s="263"/>
      <c r="J32" s="188">
        <v>94.7</v>
      </c>
      <c r="K32" s="189" t="s">
        <v>175</v>
      </c>
      <c r="L32" s="406">
        <v>95.6</v>
      </c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590" t="s">
        <v>336</v>
      </c>
      <c r="B33" s="591"/>
      <c r="C33" s="591"/>
      <c r="D33" s="591"/>
      <c r="E33" s="600"/>
      <c r="F33" s="264"/>
      <c r="G33" s="265"/>
      <c r="H33" s="266" t="s">
        <v>337</v>
      </c>
      <c r="I33" s="267"/>
      <c r="J33" s="268">
        <v>88.9</v>
      </c>
      <c r="K33" s="269" t="s">
        <v>175</v>
      </c>
      <c r="L33" s="406">
        <v>88.7</v>
      </c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594"/>
      <c r="B34" s="595"/>
      <c r="C34" s="595"/>
      <c r="D34" s="595"/>
      <c r="E34" s="596"/>
      <c r="F34" s="190" t="s">
        <v>338</v>
      </c>
      <c r="G34" s="270"/>
      <c r="H34" s="271" t="s">
        <v>14</v>
      </c>
      <c r="I34" s="272"/>
      <c r="J34" s="273">
        <v>9084</v>
      </c>
      <c r="K34" s="274" t="s">
        <v>175</v>
      </c>
      <c r="L34" s="406">
        <v>8790</v>
      </c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594"/>
      <c r="B35" s="595"/>
      <c r="C35" s="595"/>
      <c r="D35" s="595"/>
      <c r="E35" s="596"/>
      <c r="F35" s="209"/>
      <c r="G35" s="275"/>
      <c r="H35" s="276" t="s">
        <v>15</v>
      </c>
      <c r="I35" s="277"/>
      <c r="J35" s="194">
        <v>7716</v>
      </c>
      <c r="K35" s="189" t="s">
        <v>175</v>
      </c>
      <c r="L35" s="406">
        <v>7279.6</v>
      </c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594"/>
      <c r="B36" s="595"/>
      <c r="C36" s="595"/>
      <c r="D36" s="595"/>
      <c r="E36" s="596"/>
      <c r="F36" s="209"/>
      <c r="G36" s="275"/>
      <c r="H36" s="276" t="s">
        <v>339</v>
      </c>
      <c r="I36" s="277"/>
      <c r="J36" s="194">
        <v>5940</v>
      </c>
      <c r="K36" s="189" t="s">
        <v>175</v>
      </c>
      <c r="L36" s="406">
        <v>5887.1</v>
      </c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594"/>
      <c r="B37" s="595"/>
      <c r="C37" s="595"/>
      <c r="D37" s="595"/>
      <c r="E37" s="596"/>
      <c r="F37" s="258"/>
      <c r="G37" s="275"/>
      <c r="H37" s="276" t="s">
        <v>340</v>
      </c>
      <c r="I37" s="277"/>
      <c r="J37" s="194">
        <v>2692</v>
      </c>
      <c r="K37" s="189" t="s">
        <v>175</v>
      </c>
      <c r="L37" s="406">
        <v>2727.5</v>
      </c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597"/>
      <c r="B38" s="598"/>
      <c r="C38" s="598"/>
      <c r="D38" s="598"/>
      <c r="E38" s="599"/>
      <c r="F38" s="217"/>
      <c r="G38" s="278"/>
      <c r="H38" s="279" t="s">
        <v>341</v>
      </c>
      <c r="I38" s="280"/>
      <c r="J38" s="281">
        <v>16492</v>
      </c>
      <c r="K38" s="282" t="s">
        <v>175</v>
      </c>
      <c r="L38" s="406">
        <v>9861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590" t="s">
        <v>342</v>
      </c>
      <c r="B39" s="591"/>
      <c r="C39" s="591"/>
      <c r="D39" s="591"/>
      <c r="E39" s="591"/>
      <c r="F39" s="283" t="s">
        <v>343</v>
      </c>
      <c r="G39" s="284"/>
      <c r="H39" s="284"/>
      <c r="I39" s="284"/>
      <c r="J39" s="284"/>
      <c r="K39" s="285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594"/>
      <c r="B40" s="595"/>
      <c r="C40" s="595"/>
      <c r="D40" s="595"/>
      <c r="E40" s="596"/>
      <c r="F40" s="286"/>
      <c r="G40" s="287" t="s">
        <v>638</v>
      </c>
      <c r="H40" s="287"/>
      <c r="I40" s="287"/>
      <c r="J40" s="287"/>
      <c r="K40" s="288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594"/>
      <c r="B41" s="595"/>
      <c r="C41" s="595"/>
      <c r="D41" s="595"/>
      <c r="E41" s="596"/>
      <c r="F41" s="286"/>
      <c r="G41" s="289" t="s">
        <v>637</v>
      </c>
      <c r="H41" s="289"/>
      <c r="I41" s="289"/>
      <c r="J41" s="289"/>
      <c r="K41" s="290"/>
      <c r="L41" s="291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594"/>
      <c r="B42" s="595"/>
      <c r="C42" s="595"/>
      <c r="D42" s="595"/>
      <c r="E42" s="596"/>
      <c r="F42" s="286"/>
      <c r="G42" s="289" t="s">
        <v>640</v>
      </c>
      <c r="H42" s="289"/>
      <c r="I42" s="289"/>
      <c r="J42" s="289"/>
      <c r="K42" s="29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594"/>
      <c r="B43" s="595"/>
      <c r="C43" s="595"/>
      <c r="D43" s="595"/>
      <c r="E43" s="596"/>
      <c r="F43" s="286"/>
      <c r="G43" s="289" t="s">
        <v>641</v>
      </c>
      <c r="H43" s="289"/>
      <c r="I43" s="289"/>
      <c r="J43" s="289"/>
      <c r="K43" s="29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601"/>
      <c r="B44" s="602"/>
      <c r="C44" s="602"/>
      <c r="D44" s="602"/>
      <c r="E44" s="603"/>
      <c r="F44" s="286"/>
      <c r="G44" s="532" t="s">
        <v>762</v>
      </c>
      <c r="H44" s="289"/>
      <c r="I44" s="289"/>
      <c r="J44" s="289"/>
      <c r="K44" s="29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292" t="s">
        <v>344</v>
      </c>
      <c r="B45" s="604" t="s">
        <v>639</v>
      </c>
      <c r="C45" s="605"/>
      <c r="D45" s="293" t="s">
        <v>345</v>
      </c>
      <c r="E45" s="405" t="s">
        <v>635</v>
      </c>
      <c r="F45" s="294"/>
      <c r="G45" s="289"/>
      <c r="H45" s="289"/>
      <c r="I45" s="289"/>
      <c r="J45" s="289"/>
      <c r="K45" s="29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295" t="s">
        <v>346</v>
      </c>
      <c r="B46" s="592">
        <v>43217</v>
      </c>
      <c r="C46" s="593"/>
      <c r="D46" s="296" t="s">
        <v>346</v>
      </c>
      <c r="E46" s="297">
        <v>43216</v>
      </c>
      <c r="F46" s="298"/>
      <c r="G46" s="299"/>
      <c r="H46" s="299"/>
      <c r="I46" s="299"/>
      <c r="J46" s="299"/>
      <c r="K46" s="30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1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347</v>
      </c>
      <c r="K1" s="306" t="s">
        <v>348</v>
      </c>
      <c r="L1" s="306" t="s">
        <v>349</v>
      </c>
      <c r="M1" s="306" t="s">
        <v>348</v>
      </c>
      <c r="N1" s="306"/>
    </row>
    <row r="2" spans="2:14" ht="12.75" customHeight="1">
      <c r="B2" s="614" t="s">
        <v>350</v>
      </c>
      <c r="C2" s="615"/>
      <c r="D2" s="615"/>
      <c r="E2" s="615"/>
      <c r="F2" s="615"/>
      <c r="G2" s="615"/>
      <c r="H2" s="308"/>
      <c r="I2" s="309"/>
      <c r="J2" s="310" t="s">
        <v>351</v>
      </c>
      <c r="K2" s="310" t="s">
        <v>352</v>
      </c>
      <c r="L2" s="310" t="s">
        <v>353</v>
      </c>
      <c r="M2" s="310" t="s">
        <v>354</v>
      </c>
      <c r="N2" s="310" t="s">
        <v>355</v>
      </c>
    </row>
    <row r="3" spans="2:14" ht="12.75" customHeight="1">
      <c r="B3" s="614"/>
      <c r="C3" s="615"/>
      <c r="D3" s="615"/>
      <c r="E3" s="615"/>
      <c r="F3" s="615"/>
      <c r="G3" s="615"/>
      <c r="H3" s="308"/>
      <c r="I3" s="309"/>
      <c r="J3" s="310" t="s">
        <v>356</v>
      </c>
      <c r="K3" s="310"/>
      <c r="L3" s="310" t="s">
        <v>357</v>
      </c>
      <c r="M3" s="310" t="s">
        <v>347</v>
      </c>
      <c r="N3" s="310"/>
    </row>
    <row r="4" spans="2:14" ht="12.75" customHeight="1">
      <c r="B4" s="614"/>
      <c r="C4" s="615"/>
      <c r="D4" s="615"/>
      <c r="E4" s="615"/>
      <c r="F4" s="615"/>
      <c r="G4" s="615"/>
      <c r="H4" s="308"/>
      <c r="I4" s="309"/>
      <c r="J4" s="310" t="s">
        <v>358</v>
      </c>
      <c r="K4" s="310"/>
      <c r="L4" s="310" t="s">
        <v>353</v>
      </c>
      <c r="M4" s="310" t="s">
        <v>351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359</v>
      </c>
      <c r="L5" s="310" t="s">
        <v>348</v>
      </c>
      <c r="M5" s="310"/>
      <c r="N5" s="310" t="s">
        <v>353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352</v>
      </c>
      <c r="K6" s="310" t="s">
        <v>360</v>
      </c>
      <c r="L6" s="310"/>
      <c r="M6" s="310" t="s">
        <v>348</v>
      </c>
      <c r="N6" s="310" t="s">
        <v>361</v>
      </c>
    </row>
    <row r="7" spans="2:14" ht="12.75" customHeight="1">
      <c r="B7" s="313"/>
      <c r="D7" s="316"/>
      <c r="H7" s="315"/>
      <c r="I7" s="309"/>
      <c r="J7" s="310" t="s">
        <v>362</v>
      </c>
      <c r="K7" s="310" t="s">
        <v>356</v>
      </c>
      <c r="L7" s="310" t="s">
        <v>356</v>
      </c>
      <c r="M7" s="310" t="s">
        <v>351</v>
      </c>
      <c r="N7" s="310" t="s">
        <v>363</v>
      </c>
    </row>
    <row r="8" spans="2:14" ht="12.75" customHeight="1">
      <c r="B8" s="313"/>
      <c r="G8" s="316"/>
      <c r="H8" s="317"/>
      <c r="I8" s="310" t="s">
        <v>363</v>
      </c>
      <c r="J8" s="310" t="s">
        <v>348</v>
      </c>
      <c r="K8" s="310" t="s">
        <v>364</v>
      </c>
      <c r="L8" s="310" t="s">
        <v>351</v>
      </c>
      <c r="M8" s="310" t="s">
        <v>363</v>
      </c>
      <c r="N8" s="310" t="s">
        <v>360</v>
      </c>
    </row>
    <row r="9" spans="2:14">
      <c r="B9" s="310" t="s">
        <v>365</v>
      </c>
      <c r="C9" s="317" t="s">
        <v>366</v>
      </c>
      <c r="D9" s="317" t="s">
        <v>367</v>
      </c>
      <c r="E9" s="317" t="s">
        <v>368</v>
      </c>
      <c r="F9" s="310" t="s">
        <v>369</v>
      </c>
      <c r="G9" s="310" t="s">
        <v>370</v>
      </c>
      <c r="H9" s="310" t="s">
        <v>371</v>
      </c>
      <c r="I9" s="310" t="s">
        <v>358</v>
      </c>
      <c r="J9" s="310" t="s">
        <v>362</v>
      </c>
      <c r="K9" s="310" t="s">
        <v>351</v>
      </c>
      <c r="L9" s="310" t="s">
        <v>364</v>
      </c>
      <c r="M9" s="310" t="s">
        <v>348</v>
      </c>
      <c r="N9" s="310" t="s">
        <v>349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16" t="s">
        <v>372</v>
      </c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</row>
    <row r="54" spans="2:14" ht="15" customHeight="1" thickBot="1">
      <c r="B54" s="332" t="s">
        <v>373</v>
      </c>
      <c r="C54" s="617" t="s">
        <v>370</v>
      </c>
      <c r="D54" s="618"/>
      <c r="E54" s="618"/>
      <c r="F54" s="618"/>
      <c r="G54" s="618"/>
      <c r="H54" s="333"/>
      <c r="I54" s="617" t="s">
        <v>365</v>
      </c>
      <c r="J54" s="618"/>
      <c r="K54" s="619"/>
      <c r="L54" s="617" t="s">
        <v>374</v>
      </c>
      <c r="M54" s="618"/>
      <c r="N54" s="620"/>
    </row>
    <row r="55" spans="2:14" ht="15" customHeight="1">
      <c r="B55" s="334"/>
      <c r="C55" s="606"/>
      <c r="D55" s="607"/>
      <c r="E55" s="607"/>
      <c r="F55" s="607"/>
      <c r="G55" s="607"/>
      <c r="H55" s="335"/>
      <c r="I55" s="608"/>
      <c r="J55" s="609"/>
      <c r="K55" s="610"/>
      <c r="L55" s="611"/>
      <c r="M55" s="612"/>
      <c r="N55" s="613"/>
    </row>
    <row r="56" spans="2:14" ht="15" customHeight="1">
      <c r="B56" s="336"/>
      <c r="C56" s="621"/>
      <c r="D56" s="622"/>
      <c r="E56" s="622"/>
      <c r="F56" s="622"/>
      <c r="G56" s="622"/>
      <c r="H56" s="337"/>
      <c r="I56" s="623"/>
      <c r="J56" s="624"/>
      <c r="K56" s="625"/>
      <c r="L56" s="626"/>
      <c r="M56" s="627"/>
      <c r="N56" s="628"/>
    </row>
    <row r="57" spans="2:14" ht="15" customHeight="1">
      <c r="B57" s="336"/>
      <c r="C57" s="621"/>
      <c r="D57" s="622"/>
      <c r="E57" s="622"/>
      <c r="F57" s="622"/>
      <c r="G57" s="622"/>
      <c r="H57" s="337"/>
      <c r="I57" s="623"/>
      <c r="J57" s="624"/>
      <c r="K57" s="625"/>
      <c r="L57" s="626"/>
      <c r="M57" s="627"/>
      <c r="N57" s="628"/>
    </row>
    <row r="58" spans="2:14" ht="15" customHeight="1">
      <c r="B58" s="336"/>
      <c r="C58" s="621"/>
      <c r="D58" s="622"/>
      <c r="E58" s="622"/>
      <c r="F58" s="622"/>
      <c r="G58" s="622"/>
      <c r="H58" s="337"/>
      <c r="I58" s="623"/>
      <c r="J58" s="624"/>
      <c r="K58" s="625"/>
      <c r="L58" s="626"/>
      <c r="M58" s="627"/>
      <c r="N58" s="628"/>
    </row>
    <row r="59" spans="2:14" ht="15" customHeight="1">
      <c r="B59" s="336"/>
      <c r="C59" s="621"/>
      <c r="D59" s="622"/>
      <c r="E59" s="622"/>
      <c r="F59" s="622"/>
      <c r="G59" s="622"/>
      <c r="H59" s="337"/>
      <c r="I59" s="623"/>
      <c r="J59" s="624"/>
      <c r="K59" s="625"/>
      <c r="L59" s="626"/>
      <c r="M59" s="627"/>
      <c r="N59" s="628"/>
    </row>
    <row r="60" spans="2:14" ht="15" customHeight="1">
      <c r="B60" s="336"/>
      <c r="C60" s="621"/>
      <c r="D60" s="622"/>
      <c r="E60" s="622"/>
      <c r="F60" s="622"/>
      <c r="G60" s="622"/>
      <c r="H60" s="337"/>
      <c r="I60" s="623"/>
      <c r="J60" s="624"/>
      <c r="K60" s="625"/>
      <c r="L60" s="626"/>
      <c r="M60" s="627"/>
      <c r="N60" s="628"/>
    </row>
    <row r="61" spans="2:14" ht="15" customHeight="1">
      <c r="B61" s="336"/>
      <c r="C61" s="621"/>
      <c r="D61" s="622"/>
      <c r="E61" s="622"/>
      <c r="F61" s="622"/>
      <c r="G61" s="622"/>
      <c r="H61" s="337"/>
      <c r="I61" s="623"/>
      <c r="J61" s="624"/>
      <c r="K61" s="625"/>
      <c r="L61" s="626"/>
      <c r="M61" s="627"/>
      <c r="N61" s="628"/>
    </row>
    <row r="62" spans="2:14" ht="15" customHeight="1">
      <c r="B62" s="336"/>
      <c r="C62" s="621"/>
      <c r="D62" s="622"/>
      <c r="E62" s="622"/>
      <c r="F62" s="622"/>
      <c r="G62" s="622"/>
      <c r="H62" s="337"/>
      <c r="I62" s="623"/>
      <c r="J62" s="624"/>
      <c r="K62" s="625"/>
      <c r="L62" s="626"/>
      <c r="M62" s="627"/>
      <c r="N62" s="628"/>
    </row>
    <row r="63" spans="2:14" ht="15" customHeight="1">
      <c r="B63" s="336"/>
      <c r="C63" s="621"/>
      <c r="D63" s="622"/>
      <c r="E63" s="622"/>
      <c r="F63" s="622"/>
      <c r="G63" s="622"/>
      <c r="H63" s="337"/>
      <c r="I63" s="623"/>
      <c r="J63" s="624"/>
      <c r="K63" s="625"/>
      <c r="L63" s="626"/>
      <c r="M63" s="627"/>
      <c r="N63" s="628"/>
    </row>
    <row r="64" spans="2:14" ht="15" customHeight="1">
      <c r="B64" s="336"/>
      <c r="C64" s="621"/>
      <c r="D64" s="622"/>
      <c r="E64" s="622"/>
      <c r="F64" s="622"/>
      <c r="G64" s="622"/>
      <c r="H64" s="337"/>
      <c r="I64" s="623"/>
      <c r="J64" s="624"/>
      <c r="K64" s="625"/>
      <c r="L64" s="626"/>
      <c r="M64" s="627"/>
      <c r="N64" s="628"/>
    </row>
    <row r="65" spans="2:14" ht="15" customHeight="1">
      <c r="B65" s="336"/>
      <c r="C65" s="621"/>
      <c r="D65" s="622"/>
      <c r="E65" s="622"/>
      <c r="F65" s="622"/>
      <c r="G65" s="622"/>
      <c r="H65" s="337"/>
      <c r="I65" s="623"/>
      <c r="J65" s="624"/>
      <c r="K65" s="625"/>
      <c r="L65" s="626"/>
      <c r="M65" s="627"/>
      <c r="N65" s="628"/>
    </row>
    <row r="66" spans="2:14" ht="15" customHeight="1">
      <c r="B66" s="336"/>
      <c r="C66" s="621"/>
      <c r="D66" s="622"/>
      <c r="E66" s="622"/>
      <c r="F66" s="622"/>
      <c r="G66" s="622"/>
      <c r="H66" s="337"/>
      <c r="I66" s="623"/>
      <c r="J66" s="624"/>
      <c r="K66" s="625"/>
      <c r="L66" s="626"/>
      <c r="M66" s="627"/>
      <c r="N66" s="628"/>
    </row>
    <row r="67" spans="2:14" ht="15" customHeight="1">
      <c r="B67" s="336"/>
      <c r="C67" s="621"/>
      <c r="D67" s="622"/>
      <c r="E67" s="622"/>
      <c r="F67" s="622"/>
      <c r="G67" s="622"/>
      <c r="H67" s="337"/>
      <c r="I67" s="623"/>
      <c r="J67" s="624"/>
      <c r="K67" s="625"/>
      <c r="L67" s="626"/>
      <c r="M67" s="627"/>
      <c r="N67" s="628"/>
    </row>
    <row r="68" spans="2:14" ht="15" customHeight="1">
      <c r="B68" s="336"/>
      <c r="C68" s="621"/>
      <c r="D68" s="622"/>
      <c r="E68" s="622"/>
      <c r="F68" s="622"/>
      <c r="G68" s="622"/>
      <c r="H68" s="337"/>
      <c r="I68" s="623"/>
      <c r="J68" s="624"/>
      <c r="K68" s="625"/>
      <c r="L68" s="626"/>
      <c r="M68" s="627"/>
      <c r="N68" s="628"/>
    </row>
    <row r="69" spans="2:14" ht="15" customHeight="1">
      <c r="B69" s="336"/>
      <c r="C69" s="621"/>
      <c r="D69" s="622"/>
      <c r="E69" s="622"/>
      <c r="F69" s="622"/>
      <c r="G69" s="622"/>
      <c r="H69" s="337"/>
      <c r="I69" s="623"/>
      <c r="J69" s="624"/>
      <c r="K69" s="625"/>
      <c r="L69" s="626"/>
      <c r="M69" s="627"/>
      <c r="N69" s="628"/>
    </row>
    <row r="70" spans="2:14" ht="15" customHeight="1">
      <c r="B70" s="336"/>
      <c r="C70" s="621"/>
      <c r="D70" s="622"/>
      <c r="E70" s="622"/>
      <c r="F70" s="622"/>
      <c r="G70" s="622"/>
      <c r="H70" s="337"/>
      <c r="I70" s="623"/>
      <c r="J70" s="624"/>
      <c r="K70" s="625"/>
      <c r="L70" s="626"/>
      <c r="M70" s="627"/>
      <c r="N70" s="628"/>
    </row>
    <row r="71" spans="2:14" ht="15" customHeight="1">
      <c r="B71" s="336"/>
      <c r="C71" s="621"/>
      <c r="D71" s="622"/>
      <c r="E71" s="622"/>
      <c r="F71" s="622"/>
      <c r="G71" s="622"/>
      <c r="H71" s="337"/>
      <c r="I71" s="623"/>
      <c r="J71" s="624"/>
      <c r="K71" s="625"/>
      <c r="L71" s="626"/>
      <c r="M71" s="627"/>
      <c r="N71" s="628"/>
    </row>
    <row r="72" spans="2:14">
      <c r="B72" s="336"/>
      <c r="C72" s="621"/>
      <c r="D72" s="622"/>
      <c r="E72" s="622"/>
      <c r="F72" s="622"/>
      <c r="G72" s="622"/>
      <c r="H72" s="337"/>
      <c r="I72" s="623"/>
      <c r="J72" s="624"/>
      <c r="K72" s="625"/>
      <c r="L72" s="626"/>
      <c r="M72" s="627"/>
      <c r="N72" s="628"/>
    </row>
    <row r="73" spans="2:14">
      <c r="B73" s="336"/>
      <c r="C73" s="621"/>
      <c r="D73" s="622"/>
      <c r="E73" s="622"/>
      <c r="F73" s="622"/>
      <c r="G73" s="622"/>
      <c r="H73" s="337"/>
      <c r="I73" s="623"/>
      <c r="J73" s="624"/>
      <c r="K73" s="625"/>
      <c r="L73" s="626"/>
      <c r="M73" s="627"/>
      <c r="N73" s="628"/>
    </row>
    <row r="74" spans="2:14">
      <c r="B74" s="336"/>
      <c r="C74" s="621"/>
      <c r="D74" s="622"/>
      <c r="E74" s="622"/>
      <c r="F74" s="622"/>
      <c r="G74" s="622"/>
      <c r="H74" s="337"/>
      <c r="I74" s="623"/>
      <c r="J74" s="624"/>
      <c r="K74" s="625"/>
      <c r="L74" s="626"/>
      <c r="M74" s="627"/>
      <c r="N74" s="628"/>
    </row>
    <row r="75" spans="2:14">
      <c r="B75" s="336"/>
      <c r="C75" s="621"/>
      <c r="D75" s="622"/>
      <c r="E75" s="622"/>
      <c r="F75" s="622"/>
      <c r="G75" s="622"/>
      <c r="H75" s="337"/>
      <c r="I75" s="623"/>
      <c r="J75" s="624"/>
      <c r="K75" s="625"/>
      <c r="L75" s="626"/>
      <c r="M75" s="627"/>
      <c r="N75" s="628"/>
    </row>
    <row r="76" spans="2:14">
      <c r="B76" s="336"/>
      <c r="C76" s="621"/>
      <c r="D76" s="622"/>
      <c r="E76" s="622"/>
      <c r="F76" s="622"/>
      <c r="G76" s="622"/>
      <c r="H76" s="337"/>
      <c r="I76" s="623"/>
      <c r="J76" s="624"/>
      <c r="K76" s="625"/>
      <c r="L76" s="626"/>
      <c r="M76" s="627"/>
      <c r="N76" s="628"/>
    </row>
    <row r="77" spans="2:14">
      <c r="B77" s="336"/>
      <c r="C77" s="621"/>
      <c r="D77" s="622"/>
      <c r="E77" s="622"/>
      <c r="F77" s="622"/>
      <c r="G77" s="622"/>
      <c r="H77" s="337"/>
      <c r="I77" s="623"/>
      <c r="J77" s="624"/>
      <c r="K77" s="625"/>
      <c r="L77" s="626"/>
      <c r="M77" s="627"/>
      <c r="N77" s="628"/>
    </row>
    <row r="78" spans="2:14">
      <c r="B78" s="336"/>
      <c r="C78" s="621"/>
      <c r="D78" s="622"/>
      <c r="E78" s="622"/>
      <c r="F78" s="622"/>
      <c r="G78" s="622"/>
      <c r="H78" s="337"/>
      <c r="I78" s="623"/>
      <c r="J78" s="624"/>
      <c r="K78" s="625"/>
      <c r="L78" s="626"/>
      <c r="M78" s="627"/>
      <c r="N78" s="628"/>
    </row>
    <row r="79" spans="2:14" ht="13.5" thickBot="1">
      <c r="B79" s="338"/>
      <c r="C79" s="629"/>
      <c r="D79" s="630"/>
      <c r="E79" s="630"/>
      <c r="F79" s="630"/>
      <c r="G79" s="630"/>
      <c r="H79" s="339"/>
      <c r="I79" s="631"/>
      <c r="J79" s="632"/>
      <c r="K79" s="633"/>
      <c r="L79" s="634"/>
      <c r="M79" s="635"/>
      <c r="N79" s="636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>
      <selection activeCell="K32" sqref="K32"/>
    </sheetView>
  </sheetViews>
  <sheetFormatPr defaultColWidth="9.140625" defaultRowHeight="12.75"/>
  <cols>
    <col min="1" max="1" width="19.7109375" style="340" customWidth="1"/>
    <col min="2" max="7" width="10.7109375" style="340" customWidth="1"/>
    <col min="8" max="16384" width="9.140625" style="340"/>
  </cols>
  <sheetData>
    <row r="1" spans="1:12" ht="21" customHeight="1">
      <c r="A1" s="382" t="s">
        <v>438</v>
      </c>
      <c r="B1" s="638" t="s">
        <v>477</v>
      </c>
      <c r="C1" s="638"/>
      <c r="D1" s="638"/>
      <c r="E1" s="638"/>
      <c r="F1" s="638"/>
      <c r="G1" s="638"/>
    </row>
    <row r="2" spans="1:12" ht="15" customHeight="1"/>
    <row r="3" spans="1:12" ht="20.25">
      <c r="A3" s="383" t="s">
        <v>439</v>
      </c>
    </row>
    <row r="4" spans="1:12" ht="12" customHeight="1">
      <c r="A4" s="341"/>
      <c r="B4" s="341"/>
      <c r="C4" s="341"/>
      <c r="D4" s="341" t="s">
        <v>490</v>
      </c>
      <c r="E4" s="341"/>
      <c r="F4" s="341"/>
      <c r="G4" s="341"/>
      <c r="H4" s="341"/>
      <c r="I4" s="341"/>
      <c r="J4" s="341"/>
      <c r="K4" s="341"/>
      <c r="L4" s="341"/>
    </row>
    <row r="5" spans="1:12" ht="15.6" customHeight="1">
      <c r="A5" s="384" t="s">
        <v>5</v>
      </c>
      <c r="B5" s="384" t="s">
        <v>440</v>
      </c>
      <c r="C5" s="384" t="s">
        <v>441</v>
      </c>
      <c r="D5" s="384" t="s">
        <v>442</v>
      </c>
      <c r="E5" s="384" t="s">
        <v>443</v>
      </c>
      <c r="F5" s="384" t="s">
        <v>444</v>
      </c>
      <c r="G5" s="384" t="s">
        <v>445</v>
      </c>
      <c r="H5" s="341"/>
      <c r="I5" s="341"/>
      <c r="J5" s="341"/>
      <c r="K5" s="341"/>
      <c r="L5" s="341"/>
    </row>
    <row r="6" spans="1:12" ht="15.6" customHeight="1">
      <c r="A6" s="385" t="s">
        <v>446</v>
      </c>
      <c r="B6" s="385" t="s">
        <v>166</v>
      </c>
      <c r="C6" s="385" t="s">
        <v>166</v>
      </c>
      <c r="D6" s="385" t="s">
        <v>447</v>
      </c>
      <c r="E6" s="385" t="s">
        <v>135</v>
      </c>
      <c r="F6" s="385" t="s">
        <v>448</v>
      </c>
      <c r="G6" s="385" t="s">
        <v>448</v>
      </c>
      <c r="H6" s="341"/>
      <c r="I6" s="341"/>
      <c r="J6" s="341"/>
      <c r="K6" s="341"/>
      <c r="L6" s="341"/>
    </row>
    <row r="7" spans="1:12" ht="15.95" customHeight="1">
      <c r="A7" s="386" t="s">
        <v>478</v>
      </c>
      <c r="B7" s="386" t="s">
        <v>491</v>
      </c>
      <c r="C7" s="386" t="s">
        <v>503</v>
      </c>
      <c r="D7" s="386" t="s">
        <v>514</v>
      </c>
      <c r="E7" s="386" t="s">
        <v>525</v>
      </c>
      <c r="F7" s="386" t="s">
        <v>537</v>
      </c>
      <c r="G7" s="386" t="s">
        <v>549</v>
      </c>
      <c r="H7" s="341"/>
      <c r="I7" s="341"/>
      <c r="J7" s="341"/>
      <c r="K7" s="341"/>
      <c r="L7" s="341"/>
    </row>
    <row r="8" spans="1:12" ht="15.95" customHeight="1">
      <c r="A8" s="386" t="s">
        <v>479</v>
      </c>
      <c r="B8" s="386" t="s">
        <v>492</v>
      </c>
      <c r="C8" s="386" t="s">
        <v>504</v>
      </c>
      <c r="D8" s="386" t="s">
        <v>515</v>
      </c>
      <c r="E8" s="386" t="s">
        <v>526</v>
      </c>
      <c r="F8" s="386" t="s">
        <v>538</v>
      </c>
      <c r="G8" s="386" t="s">
        <v>550</v>
      </c>
      <c r="H8" s="341"/>
      <c r="I8" s="341"/>
      <c r="J8" s="341"/>
      <c r="K8" s="341"/>
      <c r="L8" s="341"/>
    </row>
    <row r="9" spans="1:12" ht="15.95" customHeight="1">
      <c r="A9" s="386" t="s">
        <v>480</v>
      </c>
      <c r="B9" s="386" t="s">
        <v>493</v>
      </c>
      <c r="C9" s="386" t="s">
        <v>505</v>
      </c>
      <c r="D9" s="386" t="s">
        <v>515</v>
      </c>
      <c r="E9" s="386" t="s">
        <v>527</v>
      </c>
      <c r="F9" s="386" t="s">
        <v>539</v>
      </c>
      <c r="G9" s="386" t="s">
        <v>551</v>
      </c>
      <c r="H9" s="341"/>
      <c r="I9" s="341"/>
      <c r="J9" s="341"/>
      <c r="K9" s="341"/>
      <c r="L9" s="341"/>
    </row>
    <row r="10" spans="1:12" ht="15.95" customHeight="1">
      <c r="A10" s="386" t="s">
        <v>481</v>
      </c>
      <c r="B10" s="386" t="s">
        <v>494</v>
      </c>
      <c r="C10" s="386" t="s">
        <v>505</v>
      </c>
      <c r="D10" s="386" t="s">
        <v>516</v>
      </c>
      <c r="E10" s="386" t="s">
        <v>528</v>
      </c>
      <c r="F10" s="386" t="s">
        <v>540</v>
      </c>
      <c r="G10" s="386" t="s">
        <v>552</v>
      </c>
      <c r="H10" s="341"/>
      <c r="I10" s="341"/>
      <c r="J10" s="341"/>
      <c r="K10" s="341"/>
      <c r="L10" s="341"/>
    </row>
    <row r="11" spans="1:12" ht="15.95" customHeight="1">
      <c r="A11" s="386" t="s">
        <v>482</v>
      </c>
      <c r="B11" s="386" t="s">
        <v>495</v>
      </c>
      <c r="C11" s="386" t="s">
        <v>506</v>
      </c>
      <c r="D11" s="386" t="s">
        <v>517</v>
      </c>
      <c r="E11" s="386" t="s">
        <v>529</v>
      </c>
      <c r="F11" s="386" t="s">
        <v>541</v>
      </c>
      <c r="G11" s="386" t="s">
        <v>553</v>
      </c>
      <c r="H11" s="341"/>
      <c r="I11" s="341"/>
      <c r="J11" s="341"/>
      <c r="K11" s="341"/>
      <c r="L11" s="341"/>
    </row>
    <row r="12" spans="1:12" ht="15.95" customHeight="1">
      <c r="A12" s="386" t="s">
        <v>483</v>
      </c>
      <c r="B12" s="386" t="s">
        <v>496</v>
      </c>
      <c r="C12" s="386" t="s">
        <v>507</v>
      </c>
      <c r="D12" s="386" t="s">
        <v>518</v>
      </c>
      <c r="E12" s="386" t="s">
        <v>530</v>
      </c>
      <c r="F12" s="386" t="s">
        <v>542</v>
      </c>
      <c r="G12" s="386" t="s">
        <v>554</v>
      </c>
      <c r="H12" s="341"/>
      <c r="I12" s="341"/>
      <c r="J12" s="341"/>
      <c r="K12" s="341"/>
      <c r="L12" s="341"/>
    </row>
    <row r="13" spans="1:12" ht="15.95" customHeight="1">
      <c r="A13" s="386" t="s">
        <v>484</v>
      </c>
      <c r="B13" s="386" t="s">
        <v>497</v>
      </c>
      <c r="C13" s="386" t="s">
        <v>508</v>
      </c>
      <c r="D13" s="386" t="s">
        <v>519</v>
      </c>
      <c r="E13" s="386" t="s">
        <v>531</v>
      </c>
      <c r="F13" s="386" t="s">
        <v>543</v>
      </c>
      <c r="G13" s="386" t="s">
        <v>543</v>
      </c>
      <c r="H13" s="341"/>
      <c r="I13" s="341"/>
      <c r="J13" s="341"/>
      <c r="K13" s="341"/>
      <c r="L13" s="341"/>
    </row>
    <row r="14" spans="1:12" ht="15.95" customHeight="1">
      <c r="A14" s="386" t="s">
        <v>485</v>
      </c>
      <c r="B14" s="386" t="s">
        <v>498</v>
      </c>
      <c r="C14" s="386" t="s">
        <v>509</v>
      </c>
      <c r="D14" s="386" t="s">
        <v>520</v>
      </c>
      <c r="E14" s="386" t="s">
        <v>532</v>
      </c>
      <c r="F14" s="386" t="s">
        <v>544</v>
      </c>
      <c r="G14" s="386" t="s">
        <v>555</v>
      </c>
      <c r="H14" s="341"/>
      <c r="I14" s="341"/>
      <c r="J14" s="341"/>
      <c r="K14" s="341"/>
      <c r="L14" s="341"/>
    </row>
    <row r="15" spans="1:12" ht="15.95" customHeight="1">
      <c r="A15" s="386" t="s">
        <v>486</v>
      </c>
      <c r="B15" s="386" t="s">
        <v>499</v>
      </c>
      <c r="C15" s="386" t="s">
        <v>510</v>
      </c>
      <c r="D15" s="386" t="s">
        <v>521</v>
      </c>
      <c r="E15" s="386" t="s">
        <v>533</v>
      </c>
      <c r="F15" s="386" t="s">
        <v>545</v>
      </c>
      <c r="G15" s="386" t="s">
        <v>556</v>
      </c>
      <c r="H15" s="341"/>
      <c r="I15" s="341"/>
      <c r="J15" s="341"/>
      <c r="K15" s="341"/>
      <c r="L15" s="341"/>
    </row>
    <row r="16" spans="1:12" ht="15.95" customHeight="1">
      <c r="A16" s="386" t="s">
        <v>487</v>
      </c>
      <c r="B16" s="386" t="s">
        <v>500</v>
      </c>
      <c r="C16" s="386" t="s">
        <v>511</v>
      </c>
      <c r="D16" s="386" t="s">
        <v>522</v>
      </c>
      <c r="E16" s="386" t="s">
        <v>534</v>
      </c>
      <c r="F16" s="386" t="s">
        <v>546</v>
      </c>
      <c r="G16" s="386" t="s">
        <v>557</v>
      </c>
      <c r="H16" s="341"/>
      <c r="I16" s="341"/>
      <c r="J16" s="341"/>
      <c r="K16" s="341"/>
      <c r="L16" s="341"/>
    </row>
    <row r="17" spans="1:12" ht="15.95" customHeight="1">
      <c r="A17" s="386" t="s">
        <v>488</v>
      </c>
      <c r="B17" s="386" t="s">
        <v>501</v>
      </c>
      <c r="C17" s="386" t="s">
        <v>512</v>
      </c>
      <c r="D17" s="386" t="s">
        <v>523</v>
      </c>
      <c r="E17" s="386" t="s">
        <v>535</v>
      </c>
      <c r="F17" s="386" t="s">
        <v>547</v>
      </c>
      <c r="G17" s="386" t="s">
        <v>558</v>
      </c>
      <c r="H17" s="341"/>
      <c r="I17" s="341"/>
      <c r="J17" s="341"/>
      <c r="K17" s="341"/>
      <c r="L17" s="341"/>
    </row>
    <row r="18" spans="1:12" ht="15.95" customHeight="1">
      <c r="A18" s="386" t="s">
        <v>489</v>
      </c>
      <c r="B18" s="386" t="s">
        <v>502</v>
      </c>
      <c r="C18" s="386" t="s">
        <v>513</v>
      </c>
      <c r="D18" s="386" t="s">
        <v>524</v>
      </c>
      <c r="E18" s="386" t="s">
        <v>536</v>
      </c>
      <c r="F18" s="386" t="s">
        <v>548</v>
      </c>
      <c r="G18" s="386" t="s">
        <v>559</v>
      </c>
      <c r="H18" s="341"/>
      <c r="I18" s="341"/>
      <c r="J18" s="341"/>
      <c r="K18" s="341"/>
      <c r="L18" s="341"/>
    </row>
    <row r="19" spans="1:12" ht="15.95" customHeight="1">
      <c r="A19" s="393" t="s">
        <v>399</v>
      </c>
      <c r="B19" s="393" t="s">
        <v>399</v>
      </c>
      <c r="C19" s="393" t="s">
        <v>399</v>
      </c>
      <c r="D19" s="393" t="s">
        <v>399</v>
      </c>
      <c r="E19" s="393" t="s">
        <v>399</v>
      </c>
      <c r="F19" s="393" t="s">
        <v>399</v>
      </c>
      <c r="G19" s="393" t="s">
        <v>399</v>
      </c>
      <c r="H19" s="341"/>
      <c r="I19" s="341"/>
      <c r="J19" s="341"/>
      <c r="K19" s="341"/>
      <c r="L19" s="341"/>
    </row>
    <row r="20" spans="1:12" ht="15.75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639" t="s">
        <v>569</v>
      </c>
      <c r="E21" s="640"/>
      <c r="F21" s="640"/>
      <c r="G21" s="641"/>
      <c r="H21" s="341"/>
      <c r="I21" s="341"/>
      <c r="J21" s="341"/>
      <c r="K21" s="341"/>
      <c r="L21" s="341"/>
    </row>
    <row r="22" spans="1:12" ht="17.25" customHeight="1">
      <c r="A22" s="341"/>
      <c r="B22" s="642" t="s">
        <v>449</v>
      </c>
      <c r="C22" s="642"/>
      <c r="D22" s="642" t="s">
        <v>450</v>
      </c>
      <c r="E22" s="642"/>
      <c r="F22" s="642" t="s">
        <v>451</v>
      </c>
      <c r="G22" s="642"/>
      <c r="H22" s="341"/>
      <c r="I22" s="341"/>
      <c r="J22" s="341"/>
      <c r="K22" s="341"/>
      <c r="L22" s="341"/>
    </row>
    <row r="23" spans="1:12" ht="15.75">
      <c r="A23" s="387" t="s">
        <v>452</v>
      </c>
      <c r="B23" s="637" t="s">
        <v>560</v>
      </c>
      <c r="C23" s="637"/>
      <c r="D23" s="637" t="s">
        <v>563</v>
      </c>
      <c r="E23" s="637"/>
      <c r="F23" s="637" t="s">
        <v>566</v>
      </c>
      <c r="G23" s="637"/>
      <c r="H23" s="341"/>
      <c r="I23" s="341"/>
      <c r="J23" s="341"/>
      <c r="K23" s="341"/>
      <c r="L23" s="341"/>
    </row>
    <row r="24" spans="1:12" ht="18" customHeight="1">
      <c r="A24" s="387" t="s">
        <v>453</v>
      </c>
      <c r="B24" s="637" t="s">
        <v>561</v>
      </c>
      <c r="C24" s="637"/>
      <c r="D24" s="637" t="s">
        <v>564</v>
      </c>
      <c r="E24" s="637"/>
      <c r="F24" s="637" t="s">
        <v>567</v>
      </c>
      <c r="G24" s="637"/>
      <c r="H24" s="341"/>
      <c r="I24" s="341"/>
      <c r="J24" s="341"/>
      <c r="K24" s="341"/>
      <c r="L24" s="341"/>
    </row>
    <row r="25" spans="1:12" ht="15.75">
      <c r="A25" s="387" t="s">
        <v>454</v>
      </c>
      <c r="B25" s="637" t="s">
        <v>562</v>
      </c>
      <c r="C25" s="637"/>
      <c r="D25" s="637" t="s">
        <v>565</v>
      </c>
      <c r="E25" s="637"/>
      <c r="F25" s="637" t="s">
        <v>568</v>
      </c>
      <c r="G25" s="637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20.25">
      <c r="A27" s="383" t="s">
        <v>455</v>
      </c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643" t="s">
        <v>456</v>
      </c>
      <c r="F28" s="640"/>
      <c r="G28" s="641"/>
      <c r="H28" s="341"/>
      <c r="I28" s="341"/>
      <c r="J28" s="341"/>
      <c r="K28" s="341"/>
      <c r="L28" s="341"/>
    </row>
    <row r="29" spans="1:12" ht="15.75">
      <c r="A29" s="341"/>
      <c r="B29" s="642" t="s">
        <v>457</v>
      </c>
      <c r="C29" s="642"/>
      <c r="D29" s="388" t="s">
        <v>458</v>
      </c>
      <c r="E29" s="388" t="s">
        <v>459</v>
      </c>
      <c r="F29" s="642" t="s">
        <v>460</v>
      </c>
      <c r="G29" s="642"/>
      <c r="H29" s="341"/>
      <c r="I29" s="341"/>
      <c r="J29" s="341"/>
      <c r="K29" s="341"/>
      <c r="L29" s="341"/>
    </row>
    <row r="30" spans="1:12" ht="15.75">
      <c r="A30" s="387" t="s">
        <v>461</v>
      </c>
      <c r="B30" s="637" t="s">
        <v>570</v>
      </c>
      <c r="C30" s="637"/>
      <c r="D30" s="386" t="s">
        <v>573</v>
      </c>
      <c r="E30" s="386" t="s">
        <v>462</v>
      </c>
      <c r="F30" s="637" t="s">
        <v>576</v>
      </c>
      <c r="G30" s="637"/>
      <c r="H30" s="341"/>
      <c r="I30" s="341"/>
      <c r="J30" s="341"/>
      <c r="K30" s="341"/>
      <c r="L30" s="341"/>
    </row>
    <row r="31" spans="1:12" ht="15.75">
      <c r="A31" s="387" t="s">
        <v>463</v>
      </c>
      <c r="B31" s="637" t="s">
        <v>571</v>
      </c>
      <c r="C31" s="637"/>
      <c r="D31" s="386" t="s">
        <v>574</v>
      </c>
      <c r="E31" s="386" t="s">
        <v>464</v>
      </c>
      <c r="F31" s="637" t="s">
        <v>577</v>
      </c>
      <c r="G31" s="637"/>
      <c r="H31" s="341"/>
      <c r="I31" s="341"/>
      <c r="J31" s="341"/>
      <c r="K31" s="341"/>
      <c r="L31" s="341"/>
    </row>
    <row r="32" spans="1:12" ht="15.75">
      <c r="A32" s="387" t="s">
        <v>465</v>
      </c>
      <c r="B32" s="637" t="s">
        <v>572</v>
      </c>
      <c r="C32" s="637"/>
      <c r="D32" s="386" t="s">
        <v>575</v>
      </c>
      <c r="E32" s="386" t="s">
        <v>466</v>
      </c>
      <c r="F32" s="637" t="s">
        <v>578</v>
      </c>
      <c r="G32" s="637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  <row r="34" spans="1:12" ht="15.75">
      <c r="A34" s="341"/>
      <c r="B34" s="341"/>
      <c r="C34" s="341"/>
      <c r="D34" s="341"/>
      <c r="E34" s="643" t="s">
        <v>467</v>
      </c>
      <c r="F34" s="640"/>
      <c r="G34" s="641"/>
      <c r="H34" s="341"/>
      <c r="I34" s="341"/>
      <c r="J34" s="341"/>
      <c r="K34" s="341"/>
      <c r="L34" s="341"/>
    </row>
    <row r="35" spans="1:12" ht="15.75">
      <c r="A35" s="341"/>
      <c r="B35" s="642" t="s">
        <v>468</v>
      </c>
      <c r="C35" s="642"/>
      <c r="D35" s="388" t="s">
        <v>459</v>
      </c>
      <c r="E35" s="388" t="s">
        <v>469</v>
      </c>
      <c r="F35" s="388" t="s">
        <v>100</v>
      </c>
      <c r="G35" s="388" t="s">
        <v>470</v>
      </c>
      <c r="H35" s="341"/>
      <c r="I35" s="341"/>
      <c r="J35" s="341"/>
      <c r="K35" s="341"/>
      <c r="L35" s="341"/>
    </row>
    <row r="36" spans="1:12" ht="15.75">
      <c r="A36" s="387" t="s">
        <v>461</v>
      </c>
      <c r="B36" s="644" t="s">
        <v>579</v>
      </c>
      <c r="C36" s="645"/>
      <c r="D36" s="389" t="s">
        <v>581</v>
      </c>
      <c r="E36" s="389" t="s">
        <v>471</v>
      </c>
      <c r="F36" s="390" t="s">
        <v>472</v>
      </c>
      <c r="G36" s="386" t="s">
        <v>584</v>
      </c>
      <c r="H36" s="341"/>
      <c r="I36" s="341"/>
      <c r="J36" s="341"/>
      <c r="K36" s="341"/>
      <c r="L36" s="341"/>
    </row>
    <row r="37" spans="1:12" ht="15.75">
      <c r="A37" s="387" t="s">
        <v>463</v>
      </c>
      <c r="B37" s="644" t="s">
        <v>580</v>
      </c>
      <c r="C37" s="645"/>
      <c r="D37" s="389" t="s">
        <v>582</v>
      </c>
      <c r="E37" s="389" t="s">
        <v>471</v>
      </c>
      <c r="F37" s="390" t="s">
        <v>473</v>
      </c>
      <c r="G37" s="391" t="s">
        <v>585</v>
      </c>
      <c r="H37" s="341"/>
      <c r="I37" s="341"/>
      <c r="J37" s="341"/>
      <c r="K37" s="341"/>
      <c r="L37" s="341"/>
    </row>
    <row r="38" spans="1:12" ht="15.75">
      <c r="A38" s="387" t="s">
        <v>465</v>
      </c>
      <c r="B38" s="644" t="s">
        <v>580</v>
      </c>
      <c r="C38" s="645"/>
      <c r="D38" s="389" t="s">
        <v>583</v>
      </c>
      <c r="E38" s="389" t="s">
        <v>471</v>
      </c>
      <c r="F38" s="390" t="s">
        <v>474</v>
      </c>
      <c r="G38" s="386" t="s">
        <v>586</v>
      </c>
      <c r="H38" s="341"/>
      <c r="I38" s="341"/>
      <c r="J38" s="341"/>
      <c r="K38" s="341"/>
      <c r="L38" s="341"/>
    </row>
    <row r="39" spans="1:12" ht="15.75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</row>
    <row r="40" spans="1:12" ht="15.75">
      <c r="A40" s="392" t="s">
        <v>475</v>
      </c>
      <c r="B40" s="646" t="s">
        <v>587</v>
      </c>
      <c r="C40" s="646"/>
      <c r="D40" s="647" t="s">
        <v>476</v>
      </c>
      <c r="E40" s="647"/>
      <c r="F40" s="646" t="s">
        <v>588</v>
      </c>
      <c r="G40" s="646"/>
      <c r="H40" s="341"/>
      <c r="I40" s="341"/>
      <c r="J40" s="341"/>
      <c r="K40" s="341"/>
      <c r="L40" s="341"/>
    </row>
    <row r="41" spans="1:12" ht="15.75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</row>
    <row r="42" spans="1:12" ht="15.75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</row>
    <row r="43" spans="1:12" ht="15.75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</row>
    <row r="44" spans="1:12" ht="15.7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</row>
    <row r="45" spans="1:12" ht="15.7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</row>
    <row r="46" spans="1:12" ht="15.7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</row>
    <row r="47" spans="1:12" ht="15.75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</row>
    <row r="48" spans="1:12" ht="15.75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</row>
    <row r="49" spans="1:12" ht="15.75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</row>
    <row r="50" spans="1:12" ht="15.75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</row>
    <row r="51" spans="1:12" ht="15.75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</row>
    <row r="52" spans="1:12" ht="15.75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</row>
    <row r="53" spans="1:12" ht="15.75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</row>
    <row r="54" spans="1:12" ht="15.75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</row>
    <row r="55" spans="1:12" ht="15.7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</row>
    <row r="56" spans="1:12" ht="15.75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</row>
    <row r="57" spans="1:12" ht="15.75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</row>
    <row r="58" spans="1:12" ht="15.75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</row>
    <row r="59" spans="1:12" ht="15.75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</row>
    <row r="60" spans="1:12" ht="15.75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</row>
    <row r="61" spans="1:12" ht="15.75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0" customWidth="1"/>
    <col min="7" max="16384" width="9.140625" style="340"/>
  </cols>
  <sheetData>
    <row r="1" spans="1:7" ht="20.25">
      <c r="A1" s="648" t="s">
        <v>385</v>
      </c>
      <c r="B1" s="648"/>
      <c r="C1" s="648"/>
      <c r="D1" s="648"/>
      <c r="E1" s="648"/>
      <c r="F1" s="648"/>
    </row>
    <row r="2" spans="1:7" ht="19.5" thickBot="1">
      <c r="A2" s="341"/>
      <c r="B2" s="341"/>
      <c r="C2" s="638" t="s">
        <v>397</v>
      </c>
      <c r="D2" s="638"/>
      <c r="E2" s="341"/>
      <c r="F2" s="341"/>
      <c r="G2" s="341"/>
    </row>
    <row r="3" spans="1:7" ht="19.5">
      <c r="A3" s="649" t="s">
        <v>386</v>
      </c>
      <c r="B3" s="650"/>
      <c r="C3" s="651"/>
      <c r="D3" s="649" t="s">
        <v>387</v>
      </c>
      <c r="E3" s="650"/>
      <c r="F3" s="651"/>
      <c r="G3" s="341"/>
    </row>
    <row r="4" spans="1:7" ht="15.75">
      <c r="A4" s="342" t="s">
        <v>398</v>
      </c>
      <c r="B4" s="652" t="s">
        <v>400</v>
      </c>
      <c r="C4" s="653"/>
      <c r="D4" s="654" t="s">
        <v>401</v>
      </c>
      <c r="E4" s="655"/>
      <c r="F4" s="656"/>
      <c r="G4" s="341"/>
    </row>
    <row r="5" spans="1:7" ht="16.5" thickBot="1">
      <c r="A5" s="343" t="s">
        <v>399</v>
      </c>
      <c r="B5" s="660" t="s">
        <v>399</v>
      </c>
      <c r="C5" s="661"/>
      <c r="D5" s="662" t="s">
        <v>402</v>
      </c>
      <c r="E5" s="663"/>
      <c r="F5" s="664"/>
      <c r="G5" s="341"/>
    </row>
    <row r="6" spans="1:7" ht="19.5">
      <c r="A6" s="649" t="s">
        <v>388</v>
      </c>
      <c r="B6" s="650"/>
      <c r="C6" s="650"/>
      <c r="D6" s="650"/>
      <c r="E6" s="650"/>
      <c r="F6" s="651"/>
      <c r="G6" s="341"/>
    </row>
    <row r="7" spans="1:7" ht="15.75">
      <c r="A7" s="344" t="s">
        <v>389</v>
      </c>
      <c r="B7" s="345" t="s">
        <v>403</v>
      </c>
      <c r="C7" s="346" t="s">
        <v>390</v>
      </c>
      <c r="D7" s="347" t="s">
        <v>404</v>
      </c>
      <c r="E7" s="665" t="s">
        <v>391</v>
      </c>
      <c r="F7" s="666"/>
      <c r="G7" s="341"/>
    </row>
    <row r="8" spans="1:7" ht="16.5" thickBot="1">
      <c r="A8" s="348"/>
      <c r="B8" s="349" t="s">
        <v>399</v>
      </c>
      <c r="C8" s="350"/>
      <c r="D8" s="351" t="s">
        <v>399</v>
      </c>
      <c r="E8" s="667" t="s">
        <v>405</v>
      </c>
      <c r="F8" s="664"/>
      <c r="G8" s="341"/>
    </row>
    <row r="9" spans="1:7" ht="19.5">
      <c r="A9" s="649" t="s">
        <v>392</v>
      </c>
      <c r="B9" s="650"/>
      <c r="C9" s="651"/>
      <c r="D9" s="649" t="s">
        <v>393</v>
      </c>
      <c r="E9" s="650"/>
      <c r="F9" s="651"/>
      <c r="G9" s="341"/>
    </row>
    <row r="10" spans="1:7" ht="15.75">
      <c r="A10" s="352" t="s">
        <v>394</v>
      </c>
      <c r="B10" s="668" t="s">
        <v>406</v>
      </c>
      <c r="C10" s="653"/>
      <c r="D10" s="669" t="s">
        <v>408</v>
      </c>
      <c r="E10" s="670"/>
      <c r="F10" s="353" t="s">
        <v>410</v>
      </c>
      <c r="G10" s="341"/>
    </row>
    <row r="11" spans="1:7" ht="16.5" thickBot="1">
      <c r="A11" s="354" t="s">
        <v>395</v>
      </c>
      <c r="B11" s="663" t="s">
        <v>407</v>
      </c>
      <c r="C11" s="664"/>
      <c r="D11" s="671" t="s">
        <v>409</v>
      </c>
      <c r="E11" s="672"/>
      <c r="F11" s="355" t="s">
        <v>411</v>
      </c>
      <c r="G11" s="341"/>
    </row>
    <row r="12" spans="1:7" ht="19.5">
      <c r="A12" s="649" t="s">
        <v>396</v>
      </c>
      <c r="B12" s="650"/>
      <c r="C12" s="650"/>
      <c r="D12" s="650"/>
      <c r="E12" s="650"/>
      <c r="F12" s="651"/>
      <c r="G12" s="341"/>
    </row>
    <row r="13" spans="1:7" ht="16.5" thickBot="1">
      <c r="A13" s="657" t="s">
        <v>412</v>
      </c>
      <c r="B13" s="658"/>
      <c r="C13" s="659" t="s">
        <v>413</v>
      </c>
      <c r="D13" s="659"/>
      <c r="E13" s="659"/>
      <c r="F13" s="356"/>
      <c r="G13" s="341"/>
    </row>
    <row r="14" spans="1:7" ht="18.95" customHeight="1">
      <c r="A14" s="357"/>
      <c r="B14" s="357"/>
      <c r="C14" s="357"/>
      <c r="D14" s="357"/>
      <c r="E14" s="357"/>
      <c r="F14" s="357"/>
      <c r="G14" s="341"/>
    </row>
    <row r="15" spans="1:7" ht="15.75">
      <c r="G15" s="341"/>
    </row>
    <row r="16" spans="1:7" ht="15.75">
      <c r="G16" s="341"/>
    </row>
    <row r="17" spans="7:7" ht="15.75">
      <c r="G17" s="341"/>
    </row>
    <row r="18" spans="7:7" ht="15.75">
      <c r="G18" s="341"/>
    </row>
    <row r="19" spans="7:7" ht="15.75">
      <c r="G19" s="341"/>
    </row>
    <row r="20" spans="7:7" ht="15.75">
      <c r="G20" s="341"/>
    </row>
    <row r="21" spans="7:7" ht="15.75">
      <c r="G21" s="341"/>
    </row>
    <row r="22" spans="7:7" ht="15.75">
      <c r="G22" s="341"/>
    </row>
    <row r="23" spans="7:7" ht="15.75">
      <c r="G23" s="341"/>
    </row>
    <row r="24" spans="7:7" ht="15.75">
      <c r="G24" s="341"/>
    </row>
    <row r="25" spans="7:7" ht="15.75">
      <c r="G25" s="341"/>
    </row>
    <row r="26" spans="7:7" ht="15.75">
      <c r="G26" s="341"/>
    </row>
    <row r="27" spans="7:7" ht="18.95" customHeight="1">
      <c r="G27" s="341"/>
    </row>
    <row r="28" spans="7:7" ht="15.75">
      <c r="G28" s="341"/>
    </row>
    <row r="29" spans="7:7" ht="15.75">
      <c r="G29" s="341"/>
    </row>
    <row r="30" spans="7:7" ht="15.75">
      <c r="G30" s="341"/>
    </row>
    <row r="31" spans="7:7" ht="15.75">
      <c r="G31" s="341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"/>
  <sheetViews>
    <sheetView workbookViewId="0">
      <selection sqref="A1:K1"/>
    </sheetView>
  </sheetViews>
  <sheetFormatPr defaultColWidth="9.140625" defaultRowHeight="12.75"/>
  <cols>
    <col min="1" max="1" width="9.5703125" style="340" customWidth="1"/>
    <col min="2" max="11" width="7.7109375" style="340" customWidth="1"/>
    <col min="12" max="16384" width="9.140625" style="340"/>
  </cols>
  <sheetData>
    <row r="1" spans="1:12" ht="20.25">
      <c r="A1" s="673" t="s">
        <v>595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341"/>
    </row>
    <row r="2" spans="1:12" ht="30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2" ht="19.5">
      <c r="A3" s="371" t="s">
        <v>438</v>
      </c>
      <c r="B3" s="400" t="s">
        <v>477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</row>
    <row r="4" spans="1:12" ht="12" customHeight="1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2" ht="19.5">
      <c r="A5" s="401" t="s">
        <v>596</v>
      </c>
      <c r="B5" s="366"/>
      <c r="C5" s="366"/>
      <c r="D5" s="366"/>
      <c r="E5" s="366"/>
      <c r="F5" s="341"/>
      <c r="G5" s="341"/>
      <c r="H5" s="341"/>
      <c r="I5" s="341"/>
      <c r="J5" s="341"/>
      <c r="K5" s="341"/>
      <c r="L5" s="341"/>
    </row>
    <row r="6" spans="1:12" ht="17.25" customHeight="1">
      <c r="A6" s="341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1:12" ht="15.75">
      <c r="A7" s="341"/>
      <c r="B7" s="402" t="s">
        <v>597</v>
      </c>
      <c r="C7" s="403">
        <v>0</v>
      </c>
      <c r="D7" s="402" t="s">
        <v>597</v>
      </c>
      <c r="E7" s="404" t="s">
        <v>598</v>
      </c>
      <c r="F7" s="402" t="s">
        <v>597</v>
      </c>
      <c r="G7" s="404" t="s">
        <v>599</v>
      </c>
      <c r="H7" s="402" t="s">
        <v>600</v>
      </c>
      <c r="I7" s="404">
        <v>0</v>
      </c>
      <c r="J7" s="402" t="s">
        <v>600</v>
      </c>
      <c r="K7" s="404">
        <v>8.9999999999999993E-3</v>
      </c>
      <c r="L7" s="341"/>
    </row>
    <row r="8" spans="1:12" ht="15.75">
      <c r="A8" s="386" t="s">
        <v>601</v>
      </c>
      <c r="B8" s="637">
        <v>6</v>
      </c>
      <c r="C8" s="637"/>
      <c r="D8" s="637">
        <v>12</v>
      </c>
      <c r="E8" s="637"/>
      <c r="F8" s="637">
        <v>0</v>
      </c>
      <c r="G8" s="637"/>
      <c r="H8" s="637" t="s">
        <v>616</v>
      </c>
      <c r="I8" s="637"/>
      <c r="J8" s="637" t="s">
        <v>617</v>
      </c>
      <c r="K8" s="637"/>
      <c r="L8" s="341"/>
    </row>
    <row r="9" spans="1:12" ht="15.75">
      <c r="A9" s="386" t="s">
        <v>602</v>
      </c>
      <c r="B9" s="637">
        <v>10</v>
      </c>
      <c r="C9" s="637"/>
      <c r="D9" s="637">
        <v>16</v>
      </c>
      <c r="E9" s="637"/>
      <c r="F9" s="637">
        <v>4</v>
      </c>
      <c r="G9" s="637"/>
      <c r="H9" s="637" t="s">
        <v>618</v>
      </c>
      <c r="I9" s="637"/>
      <c r="J9" s="637" t="s">
        <v>619</v>
      </c>
      <c r="K9" s="637"/>
      <c r="L9" s="341"/>
    </row>
    <row r="10" spans="1:12" ht="15.75">
      <c r="A10" s="386" t="s">
        <v>603</v>
      </c>
      <c r="B10" s="637">
        <v>8</v>
      </c>
      <c r="C10" s="637"/>
      <c r="D10" s="637">
        <v>14</v>
      </c>
      <c r="E10" s="637"/>
      <c r="F10" s="637">
        <v>2</v>
      </c>
      <c r="G10" s="637"/>
      <c r="H10" s="637" t="s">
        <v>620</v>
      </c>
      <c r="I10" s="637"/>
      <c r="J10" s="637" t="s">
        <v>621</v>
      </c>
      <c r="K10" s="637"/>
      <c r="L10" s="341"/>
    </row>
    <row r="11" spans="1:12" ht="26.25" customHeight="1">
      <c r="A11" s="341"/>
      <c r="B11" s="341"/>
      <c r="C11" s="341"/>
      <c r="D11" s="341"/>
      <c r="E11" s="341"/>
      <c r="F11" s="341"/>
      <c r="G11" s="341"/>
      <c r="H11" s="341"/>
      <c r="I11" s="341"/>
      <c r="J11" s="341"/>
      <c r="K11" s="341"/>
      <c r="L11" s="341"/>
    </row>
    <row r="12" spans="1:12" ht="19.5">
      <c r="A12" s="401" t="s">
        <v>604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</row>
    <row r="13" spans="1:12" ht="15.75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</row>
    <row r="14" spans="1:12" ht="15.75">
      <c r="A14" s="341"/>
      <c r="B14" s="674" t="s">
        <v>605</v>
      </c>
      <c r="C14" s="644"/>
      <c r="D14" s="675" t="s">
        <v>622</v>
      </c>
      <c r="E14" s="637"/>
      <c r="F14" s="674" t="s">
        <v>606</v>
      </c>
      <c r="G14" s="644"/>
      <c r="H14" s="675" t="s">
        <v>627</v>
      </c>
      <c r="I14" s="637"/>
      <c r="J14" s="341"/>
      <c r="K14" s="341"/>
      <c r="L14" s="341"/>
    </row>
    <row r="15" spans="1:12" ht="15.75">
      <c r="A15" s="341"/>
      <c r="B15" s="674" t="s">
        <v>607</v>
      </c>
      <c r="C15" s="644"/>
      <c r="D15" s="675" t="s">
        <v>623</v>
      </c>
      <c r="E15" s="637"/>
      <c r="F15" s="674" t="s">
        <v>608</v>
      </c>
      <c r="G15" s="644"/>
      <c r="H15" s="675" t="s">
        <v>628</v>
      </c>
      <c r="I15" s="637"/>
      <c r="J15" s="341"/>
      <c r="K15" s="341"/>
      <c r="L15" s="341"/>
    </row>
    <row r="16" spans="1:12" ht="15.75">
      <c r="A16" s="341"/>
      <c r="B16" s="674" t="s">
        <v>609</v>
      </c>
      <c r="C16" s="644"/>
      <c r="D16" s="675" t="s">
        <v>624</v>
      </c>
      <c r="E16" s="637"/>
      <c r="F16" s="674" t="s">
        <v>610</v>
      </c>
      <c r="G16" s="644"/>
      <c r="H16" s="675" t="s">
        <v>629</v>
      </c>
      <c r="I16" s="637"/>
      <c r="J16" s="341"/>
      <c r="K16" s="341"/>
      <c r="L16" s="341"/>
    </row>
    <row r="17" spans="1:12" ht="15.75">
      <c r="A17" s="341"/>
      <c r="B17" s="674" t="s">
        <v>611</v>
      </c>
      <c r="C17" s="644"/>
      <c r="D17" s="675" t="s">
        <v>625</v>
      </c>
      <c r="E17" s="637"/>
      <c r="F17" s="674" t="s">
        <v>612</v>
      </c>
      <c r="G17" s="644"/>
      <c r="H17" s="675" t="s">
        <v>630</v>
      </c>
      <c r="I17" s="637"/>
      <c r="J17" s="341"/>
      <c r="K17" s="341"/>
      <c r="L17" s="341"/>
    </row>
    <row r="18" spans="1:12" ht="15.75">
      <c r="A18" s="341"/>
      <c r="B18" s="674" t="s">
        <v>613</v>
      </c>
      <c r="C18" s="644"/>
      <c r="D18" s="675" t="s">
        <v>626</v>
      </c>
      <c r="E18" s="637"/>
      <c r="F18" s="674" t="s">
        <v>614</v>
      </c>
      <c r="G18" s="644"/>
      <c r="H18" s="675" t="s">
        <v>631</v>
      </c>
      <c r="I18" s="637"/>
      <c r="J18" s="341"/>
      <c r="K18" s="341"/>
      <c r="L18" s="341"/>
    </row>
    <row r="19" spans="1:12" ht="27" customHeight="1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</row>
    <row r="20" spans="1:12" ht="19.5">
      <c r="A20" s="401" t="s">
        <v>615</v>
      </c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</row>
    <row r="22" spans="1:12" ht="19.5">
      <c r="A22" s="341"/>
      <c r="B22" s="401" t="s">
        <v>632</v>
      </c>
      <c r="C22" s="341"/>
      <c r="D22" s="341"/>
      <c r="E22" s="341"/>
      <c r="F22" s="341"/>
      <c r="G22" s="341"/>
      <c r="H22" s="341"/>
      <c r="I22" s="341"/>
      <c r="J22" s="341"/>
      <c r="K22" s="341"/>
      <c r="L22" s="341"/>
    </row>
    <row r="23" spans="1:12" ht="15.75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</row>
    <row r="24" spans="1:12" ht="15.75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</row>
    <row r="25" spans="1:12" ht="15.75">
      <c r="A25" s="341"/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15.75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341"/>
      <c r="L28" s="341"/>
    </row>
    <row r="29" spans="1:12" ht="15.75">
      <c r="A29" s="341"/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</row>
    <row r="30" spans="1:12" ht="15.75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</row>
    <row r="31" spans="1:12" ht="15.75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</row>
    <row r="32" spans="1:12" ht="15.75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syncVertical="1" syncRef="A1" transitionEvaluation="1"/>
  <dimension ref="A1:N120"/>
  <sheetViews>
    <sheetView showGridLines="0" zoomScaleNormal="100" workbookViewId="0">
      <selection activeCell="F19" sqref="F19"/>
    </sheetView>
  </sheetViews>
  <sheetFormatPr defaultColWidth="12.5703125" defaultRowHeight="15.75"/>
  <cols>
    <col min="1" max="13" width="7" style="415" customWidth="1"/>
    <col min="14" max="14" width="7.140625" style="415" customWidth="1"/>
    <col min="15" max="256" width="12.5703125" style="415"/>
    <col min="257" max="269" width="7" style="415" customWidth="1"/>
    <col min="270" max="270" width="7.140625" style="415" customWidth="1"/>
    <col min="271" max="512" width="12.5703125" style="415"/>
    <col min="513" max="525" width="7" style="415" customWidth="1"/>
    <col min="526" max="526" width="7.140625" style="415" customWidth="1"/>
    <col min="527" max="768" width="12.5703125" style="415"/>
    <col min="769" max="781" width="7" style="415" customWidth="1"/>
    <col min="782" max="782" width="7.140625" style="415" customWidth="1"/>
    <col min="783" max="1024" width="12.5703125" style="415"/>
    <col min="1025" max="1037" width="7" style="415" customWidth="1"/>
    <col min="1038" max="1038" width="7.140625" style="415" customWidth="1"/>
    <col min="1039" max="1280" width="12.5703125" style="415"/>
    <col min="1281" max="1293" width="7" style="415" customWidth="1"/>
    <col min="1294" max="1294" width="7.140625" style="415" customWidth="1"/>
    <col min="1295" max="1536" width="12.5703125" style="415"/>
    <col min="1537" max="1549" width="7" style="415" customWidth="1"/>
    <col min="1550" max="1550" width="7.140625" style="415" customWidth="1"/>
    <col min="1551" max="1792" width="12.5703125" style="415"/>
    <col min="1793" max="1805" width="7" style="415" customWidth="1"/>
    <col min="1806" max="1806" width="7.140625" style="415" customWidth="1"/>
    <col min="1807" max="2048" width="12.5703125" style="415"/>
    <col min="2049" max="2061" width="7" style="415" customWidth="1"/>
    <col min="2062" max="2062" width="7.140625" style="415" customWidth="1"/>
    <col min="2063" max="2304" width="12.5703125" style="415"/>
    <col min="2305" max="2317" width="7" style="415" customWidth="1"/>
    <col min="2318" max="2318" width="7.140625" style="415" customWidth="1"/>
    <col min="2319" max="2560" width="12.5703125" style="415"/>
    <col min="2561" max="2573" width="7" style="415" customWidth="1"/>
    <col min="2574" max="2574" width="7.140625" style="415" customWidth="1"/>
    <col min="2575" max="2816" width="12.5703125" style="415"/>
    <col min="2817" max="2829" width="7" style="415" customWidth="1"/>
    <col min="2830" max="2830" width="7.140625" style="415" customWidth="1"/>
    <col min="2831" max="3072" width="12.5703125" style="415"/>
    <col min="3073" max="3085" width="7" style="415" customWidth="1"/>
    <col min="3086" max="3086" width="7.140625" style="415" customWidth="1"/>
    <col min="3087" max="3328" width="12.5703125" style="415"/>
    <col min="3329" max="3341" width="7" style="415" customWidth="1"/>
    <col min="3342" max="3342" width="7.140625" style="415" customWidth="1"/>
    <col min="3343" max="3584" width="12.5703125" style="415"/>
    <col min="3585" max="3597" width="7" style="415" customWidth="1"/>
    <col min="3598" max="3598" width="7.140625" style="415" customWidth="1"/>
    <col min="3599" max="3840" width="12.5703125" style="415"/>
    <col min="3841" max="3853" width="7" style="415" customWidth="1"/>
    <col min="3854" max="3854" width="7.140625" style="415" customWidth="1"/>
    <col min="3855" max="4096" width="12.5703125" style="415"/>
    <col min="4097" max="4109" width="7" style="415" customWidth="1"/>
    <col min="4110" max="4110" width="7.140625" style="415" customWidth="1"/>
    <col min="4111" max="4352" width="12.5703125" style="415"/>
    <col min="4353" max="4365" width="7" style="415" customWidth="1"/>
    <col min="4366" max="4366" width="7.140625" style="415" customWidth="1"/>
    <col min="4367" max="4608" width="12.5703125" style="415"/>
    <col min="4609" max="4621" width="7" style="415" customWidth="1"/>
    <col min="4622" max="4622" width="7.140625" style="415" customWidth="1"/>
    <col min="4623" max="4864" width="12.5703125" style="415"/>
    <col min="4865" max="4877" width="7" style="415" customWidth="1"/>
    <col min="4878" max="4878" width="7.140625" style="415" customWidth="1"/>
    <col min="4879" max="5120" width="12.5703125" style="415"/>
    <col min="5121" max="5133" width="7" style="415" customWidth="1"/>
    <col min="5134" max="5134" width="7.140625" style="415" customWidth="1"/>
    <col min="5135" max="5376" width="12.5703125" style="415"/>
    <col min="5377" max="5389" width="7" style="415" customWidth="1"/>
    <col min="5390" max="5390" width="7.140625" style="415" customWidth="1"/>
    <col min="5391" max="5632" width="12.5703125" style="415"/>
    <col min="5633" max="5645" width="7" style="415" customWidth="1"/>
    <col min="5646" max="5646" width="7.140625" style="415" customWidth="1"/>
    <col min="5647" max="5888" width="12.5703125" style="415"/>
    <col min="5889" max="5901" width="7" style="415" customWidth="1"/>
    <col min="5902" max="5902" width="7.140625" style="415" customWidth="1"/>
    <col min="5903" max="6144" width="12.5703125" style="415"/>
    <col min="6145" max="6157" width="7" style="415" customWidth="1"/>
    <col min="6158" max="6158" width="7.140625" style="415" customWidth="1"/>
    <col min="6159" max="6400" width="12.5703125" style="415"/>
    <col min="6401" max="6413" width="7" style="415" customWidth="1"/>
    <col min="6414" max="6414" width="7.140625" style="415" customWidth="1"/>
    <col min="6415" max="6656" width="12.5703125" style="415"/>
    <col min="6657" max="6669" width="7" style="415" customWidth="1"/>
    <col min="6670" max="6670" width="7.140625" style="415" customWidth="1"/>
    <col min="6671" max="6912" width="12.5703125" style="415"/>
    <col min="6913" max="6925" width="7" style="415" customWidth="1"/>
    <col min="6926" max="6926" width="7.140625" style="415" customWidth="1"/>
    <col min="6927" max="7168" width="12.5703125" style="415"/>
    <col min="7169" max="7181" width="7" style="415" customWidth="1"/>
    <col min="7182" max="7182" width="7.140625" style="415" customWidth="1"/>
    <col min="7183" max="7424" width="12.5703125" style="415"/>
    <col min="7425" max="7437" width="7" style="415" customWidth="1"/>
    <col min="7438" max="7438" width="7.140625" style="415" customWidth="1"/>
    <col min="7439" max="7680" width="12.5703125" style="415"/>
    <col min="7681" max="7693" width="7" style="415" customWidth="1"/>
    <col min="7694" max="7694" width="7.140625" style="415" customWidth="1"/>
    <col min="7695" max="7936" width="12.5703125" style="415"/>
    <col min="7937" max="7949" width="7" style="415" customWidth="1"/>
    <col min="7950" max="7950" width="7.140625" style="415" customWidth="1"/>
    <col min="7951" max="8192" width="12.5703125" style="415"/>
    <col min="8193" max="8205" width="7" style="415" customWidth="1"/>
    <col min="8206" max="8206" width="7.140625" style="415" customWidth="1"/>
    <col min="8207" max="8448" width="12.5703125" style="415"/>
    <col min="8449" max="8461" width="7" style="415" customWidth="1"/>
    <col min="8462" max="8462" width="7.140625" style="415" customWidth="1"/>
    <col min="8463" max="8704" width="12.5703125" style="415"/>
    <col min="8705" max="8717" width="7" style="415" customWidth="1"/>
    <col min="8718" max="8718" width="7.140625" style="415" customWidth="1"/>
    <col min="8719" max="8960" width="12.5703125" style="415"/>
    <col min="8961" max="8973" width="7" style="415" customWidth="1"/>
    <col min="8974" max="8974" width="7.140625" style="415" customWidth="1"/>
    <col min="8975" max="9216" width="12.5703125" style="415"/>
    <col min="9217" max="9229" width="7" style="415" customWidth="1"/>
    <col min="9230" max="9230" width="7.140625" style="415" customWidth="1"/>
    <col min="9231" max="9472" width="12.5703125" style="415"/>
    <col min="9473" max="9485" width="7" style="415" customWidth="1"/>
    <col min="9486" max="9486" width="7.140625" style="415" customWidth="1"/>
    <col min="9487" max="9728" width="12.5703125" style="415"/>
    <col min="9729" max="9741" width="7" style="415" customWidth="1"/>
    <col min="9742" max="9742" width="7.140625" style="415" customWidth="1"/>
    <col min="9743" max="9984" width="12.5703125" style="415"/>
    <col min="9985" max="9997" width="7" style="415" customWidth="1"/>
    <col min="9998" max="9998" width="7.140625" style="415" customWidth="1"/>
    <col min="9999" max="10240" width="12.5703125" style="415"/>
    <col min="10241" max="10253" width="7" style="415" customWidth="1"/>
    <col min="10254" max="10254" width="7.140625" style="415" customWidth="1"/>
    <col min="10255" max="10496" width="12.5703125" style="415"/>
    <col min="10497" max="10509" width="7" style="415" customWidth="1"/>
    <col min="10510" max="10510" width="7.140625" style="415" customWidth="1"/>
    <col min="10511" max="10752" width="12.5703125" style="415"/>
    <col min="10753" max="10765" width="7" style="415" customWidth="1"/>
    <col min="10766" max="10766" width="7.140625" style="415" customWidth="1"/>
    <col min="10767" max="11008" width="12.5703125" style="415"/>
    <col min="11009" max="11021" width="7" style="415" customWidth="1"/>
    <col min="11022" max="11022" width="7.140625" style="415" customWidth="1"/>
    <col min="11023" max="11264" width="12.5703125" style="415"/>
    <col min="11265" max="11277" width="7" style="415" customWidth="1"/>
    <col min="11278" max="11278" width="7.140625" style="415" customWidth="1"/>
    <col min="11279" max="11520" width="12.5703125" style="415"/>
    <col min="11521" max="11533" width="7" style="415" customWidth="1"/>
    <col min="11534" max="11534" width="7.140625" style="415" customWidth="1"/>
    <col min="11535" max="11776" width="12.5703125" style="415"/>
    <col min="11777" max="11789" width="7" style="415" customWidth="1"/>
    <col min="11790" max="11790" width="7.140625" style="415" customWidth="1"/>
    <col min="11791" max="12032" width="12.5703125" style="415"/>
    <col min="12033" max="12045" width="7" style="415" customWidth="1"/>
    <col min="12046" max="12046" width="7.140625" style="415" customWidth="1"/>
    <col min="12047" max="12288" width="12.5703125" style="415"/>
    <col min="12289" max="12301" width="7" style="415" customWidth="1"/>
    <col min="12302" max="12302" width="7.140625" style="415" customWidth="1"/>
    <col min="12303" max="12544" width="12.5703125" style="415"/>
    <col min="12545" max="12557" width="7" style="415" customWidth="1"/>
    <col min="12558" max="12558" width="7.140625" style="415" customWidth="1"/>
    <col min="12559" max="12800" width="12.5703125" style="415"/>
    <col min="12801" max="12813" width="7" style="415" customWidth="1"/>
    <col min="12814" max="12814" width="7.140625" style="415" customWidth="1"/>
    <col min="12815" max="13056" width="12.5703125" style="415"/>
    <col min="13057" max="13069" width="7" style="415" customWidth="1"/>
    <col min="13070" max="13070" width="7.140625" style="415" customWidth="1"/>
    <col min="13071" max="13312" width="12.5703125" style="415"/>
    <col min="13313" max="13325" width="7" style="415" customWidth="1"/>
    <col min="13326" max="13326" width="7.140625" style="415" customWidth="1"/>
    <col min="13327" max="13568" width="12.5703125" style="415"/>
    <col min="13569" max="13581" width="7" style="415" customWidth="1"/>
    <col min="13582" max="13582" width="7.140625" style="415" customWidth="1"/>
    <col min="13583" max="13824" width="12.5703125" style="415"/>
    <col min="13825" max="13837" width="7" style="415" customWidth="1"/>
    <col min="13838" max="13838" width="7.140625" style="415" customWidth="1"/>
    <col min="13839" max="14080" width="12.5703125" style="415"/>
    <col min="14081" max="14093" width="7" style="415" customWidth="1"/>
    <col min="14094" max="14094" width="7.140625" style="415" customWidth="1"/>
    <col min="14095" max="14336" width="12.5703125" style="415"/>
    <col min="14337" max="14349" width="7" style="415" customWidth="1"/>
    <col min="14350" max="14350" width="7.140625" style="415" customWidth="1"/>
    <col min="14351" max="14592" width="12.5703125" style="415"/>
    <col min="14593" max="14605" width="7" style="415" customWidth="1"/>
    <col min="14606" max="14606" width="7.140625" style="415" customWidth="1"/>
    <col min="14607" max="14848" width="12.5703125" style="415"/>
    <col min="14849" max="14861" width="7" style="415" customWidth="1"/>
    <col min="14862" max="14862" width="7.140625" style="415" customWidth="1"/>
    <col min="14863" max="15104" width="12.5703125" style="415"/>
    <col min="15105" max="15117" width="7" style="415" customWidth="1"/>
    <col min="15118" max="15118" width="7.140625" style="415" customWidth="1"/>
    <col min="15119" max="15360" width="12.5703125" style="415"/>
    <col min="15361" max="15373" width="7" style="415" customWidth="1"/>
    <col min="15374" max="15374" width="7.140625" style="415" customWidth="1"/>
    <col min="15375" max="15616" width="12.5703125" style="415"/>
    <col min="15617" max="15629" width="7" style="415" customWidth="1"/>
    <col min="15630" max="15630" width="7.140625" style="415" customWidth="1"/>
    <col min="15631" max="15872" width="12.5703125" style="415"/>
    <col min="15873" max="15885" width="7" style="415" customWidth="1"/>
    <col min="15886" max="15886" width="7.140625" style="415" customWidth="1"/>
    <col min="15887" max="16128" width="12.5703125" style="415"/>
    <col min="16129" max="16141" width="7" style="415" customWidth="1"/>
    <col min="16142" max="16142" width="7.140625" style="415" customWidth="1"/>
    <col min="16143" max="16384" width="12.5703125" style="415"/>
  </cols>
  <sheetData>
    <row r="1" spans="1:14" ht="17.100000000000001" customHeight="1">
      <c r="A1" s="408" t="s">
        <v>265</v>
      </c>
      <c r="B1" s="409"/>
      <c r="C1" s="409"/>
      <c r="D1" s="409"/>
      <c r="E1" s="409"/>
      <c r="F1" s="409"/>
      <c r="G1" s="409"/>
      <c r="H1" s="409"/>
      <c r="I1" s="409"/>
      <c r="J1" s="410" t="s">
        <v>646</v>
      </c>
      <c r="K1" s="411"/>
      <c r="L1" s="412" t="s">
        <v>647</v>
      </c>
      <c r="M1" s="413"/>
      <c r="N1" s="414"/>
    </row>
    <row r="2" spans="1:14" ht="17.100000000000001" customHeight="1">
      <c r="A2" s="416" t="s">
        <v>648</v>
      </c>
      <c r="B2" s="417"/>
      <c r="C2" s="417"/>
      <c r="D2" s="417"/>
      <c r="E2" s="417"/>
      <c r="F2" s="417"/>
      <c r="G2" s="417"/>
      <c r="H2" s="417"/>
      <c r="I2" s="417"/>
      <c r="J2" s="418" t="s">
        <v>649</v>
      </c>
      <c r="K2" s="419"/>
      <c r="L2" s="420" t="s">
        <v>650</v>
      </c>
      <c r="M2" s="421"/>
      <c r="N2" s="414"/>
    </row>
    <row r="3" spans="1:14" ht="15.95" customHeight="1">
      <c r="A3" s="422"/>
      <c r="B3" s="423"/>
      <c r="C3" s="423"/>
      <c r="D3" s="423"/>
      <c r="E3" s="423"/>
      <c r="F3" s="423"/>
      <c r="G3" s="423"/>
      <c r="H3" s="423"/>
      <c r="I3" s="423"/>
      <c r="J3" s="418" t="s">
        <v>651</v>
      </c>
      <c r="K3" s="419"/>
      <c r="L3" s="424" t="s">
        <v>652</v>
      </c>
      <c r="M3" s="421"/>
      <c r="N3" s="414"/>
    </row>
    <row r="4" spans="1:14" ht="15.95" customHeight="1">
      <c r="A4" s="425"/>
      <c r="B4" s="423"/>
      <c r="C4" s="423"/>
      <c r="D4" s="423"/>
      <c r="E4" s="423"/>
      <c r="F4" s="423"/>
      <c r="G4" s="423"/>
      <c r="H4" s="423"/>
      <c r="I4" s="423"/>
      <c r="J4" s="418" t="s">
        <v>653</v>
      </c>
      <c r="K4" s="419"/>
      <c r="L4" s="424" t="s">
        <v>654</v>
      </c>
      <c r="M4" s="421"/>
      <c r="N4" s="414"/>
    </row>
    <row r="5" spans="1:14" ht="15.95" customHeight="1">
      <c r="A5" s="422"/>
      <c r="B5" s="423"/>
      <c r="C5" s="423"/>
      <c r="D5" s="423"/>
      <c r="E5" s="423"/>
      <c r="F5" s="423"/>
      <c r="G5" s="423"/>
      <c r="H5" s="423"/>
      <c r="I5" s="423"/>
      <c r="J5" s="418" t="s">
        <v>655</v>
      </c>
      <c r="K5" s="419"/>
      <c r="L5" s="420">
        <v>2</v>
      </c>
      <c r="M5" s="421"/>
      <c r="N5" s="414"/>
    </row>
    <row r="6" spans="1:14" ht="15.95" customHeight="1">
      <c r="A6" s="426" t="s">
        <v>656</v>
      </c>
      <c r="B6" s="423"/>
      <c r="C6" s="423"/>
      <c r="D6" s="423"/>
      <c r="E6" s="423"/>
      <c r="F6" s="423"/>
      <c r="G6" s="423"/>
      <c r="H6" s="423"/>
      <c r="I6" s="423"/>
      <c r="J6" s="418" t="s">
        <v>657</v>
      </c>
      <c r="K6" s="419"/>
      <c r="L6" s="420" t="s">
        <v>658</v>
      </c>
      <c r="M6" s="421"/>
      <c r="N6" s="414"/>
    </row>
    <row r="7" spans="1:14" ht="15.95" customHeight="1" thickBot="1">
      <c r="A7" s="427" t="s">
        <v>659</v>
      </c>
      <c r="B7" s="428"/>
      <c r="C7" s="428"/>
      <c r="D7" s="428"/>
      <c r="E7" s="428"/>
      <c r="F7" s="428"/>
      <c r="G7" s="428"/>
      <c r="H7" s="428"/>
      <c r="I7" s="428"/>
      <c r="J7" s="429" t="s">
        <v>660</v>
      </c>
      <c r="K7" s="430"/>
      <c r="L7" s="431" t="s">
        <v>661</v>
      </c>
      <c r="M7" s="432"/>
      <c r="N7" s="414"/>
    </row>
    <row r="8" spans="1:14" ht="15.95" customHeight="1">
      <c r="A8" s="433"/>
      <c r="B8" s="423"/>
      <c r="C8" s="423"/>
      <c r="D8" s="423"/>
      <c r="E8" s="423"/>
      <c r="F8" s="423"/>
      <c r="G8" s="423"/>
      <c r="H8" s="423"/>
      <c r="I8" s="423"/>
      <c r="J8" s="423"/>
      <c r="K8" s="434"/>
      <c r="L8" s="435"/>
      <c r="M8" s="436"/>
      <c r="N8" s="423"/>
    </row>
    <row r="9" spans="1:14" ht="12" customHeight="1">
      <c r="A9" s="437"/>
      <c r="B9" s="438" t="s">
        <v>662</v>
      </c>
      <c r="C9" s="439" t="s">
        <v>763</v>
      </c>
      <c r="D9" s="440"/>
      <c r="E9" s="440"/>
      <c r="F9" s="440"/>
      <c r="G9" s="440"/>
      <c r="H9" s="440"/>
      <c r="I9" s="440"/>
      <c r="J9" s="440"/>
      <c r="K9" s="441"/>
      <c r="L9" s="437"/>
      <c r="M9" s="440"/>
      <c r="N9" s="423"/>
    </row>
    <row r="10" spans="1:14" ht="12" customHeight="1">
      <c r="A10" s="437"/>
      <c r="B10" s="438" t="s">
        <v>663</v>
      </c>
      <c r="C10" s="442" t="s">
        <v>764</v>
      </c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5"/>
    </row>
    <row r="11" spans="1:14" ht="16.5" thickBot="1">
      <c r="A11" s="435"/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</row>
    <row r="12" spans="1:14" ht="20.100000000000001" customHeight="1" thickBot="1">
      <c r="A12" s="443" t="s">
        <v>664</v>
      </c>
      <c r="B12" s="444"/>
      <c r="C12" s="444"/>
      <c r="D12" s="444"/>
      <c r="E12" s="444"/>
      <c r="F12" s="444"/>
      <c r="G12" s="444"/>
      <c r="H12" s="444"/>
      <c r="I12" s="444"/>
      <c r="J12" s="444"/>
      <c r="K12" s="444"/>
      <c r="L12" s="444"/>
      <c r="M12" s="445"/>
      <c r="N12" s="414"/>
    </row>
    <row r="13" spans="1:14" ht="12.95" customHeight="1" thickTop="1">
      <c r="A13" s="446"/>
      <c r="B13" s="438" t="s">
        <v>665</v>
      </c>
      <c r="C13" s="447">
        <v>1000</v>
      </c>
      <c r="D13" s="437"/>
      <c r="E13" s="438" t="s">
        <v>666</v>
      </c>
      <c r="F13" s="447" t="s">
        <v>767</v>
      </c>
      <c r="G13" s="437"/>
      <c r="H13" s="438" t="s">
        <v>667</v>
      </c>
      <c r="I13" s="447" t="s">
        <v>668</v>
      </c>
      <c r="J13" s="437"/>
      <c r="K13" s="437"/>
      <c r="L13" s="438" t="s">
        <v>669</v>
      </c>
      <c r="M13" s="448">
        <v>3600</v>
      </c>
      <c r="N13" s="414"/>
    </row>
    <row r="14" spans="1:14" ht="12.95" customHeight="1">
      <c r="A14" s="446"/>
      <c r="B14" s="438" t="s">
        <v>670</v>
      </c>
      <c r="C14" s="447" t="s">
        <v>765</v>
      </c>
      <c r="D14" s="437"/>
      <c r="E14" s="438" t="s">
        <v>671</v>
      </c>
      <c r="F14" s="449" t="s">
        <v>766</v>
      </c>
      <c r="G14" s="437"/>
      <c r="H14" s="438" t="s">
        <v>672</v>
      </c>
      <c r="I14" s="447" t="s">
        <v>768</v>
      </c>
      <c r="J14" s="437"/>
      <c r="K14" s="437"/>
      <c r="L14" s="438" t="s">
        <v>426</v>
      </c>
      <c r="M14" s="448">
        <v>3564</v>
      </c>
      <c r="N14" s="414"/>
    </row>
    <row r="15" spans="1:14" ht="12.95" customHeight="1">
      <c r="A15" s="446"/>
      <c r="B15" s="438" t="s">
        <v>673</v>
      </c>
      <c r="C15" s="447" t="s">
        <v>177</v>
      </c>
      <c r="D15" s="437"/>
      <c r="E15" s="438" t="s">
        <v>674</v>
      </c>
      <c r="F15" s="450" t="s">
        <v>771</v>
      </c>
      <c r="G15" s="437"/>
      <c r="H15" s="438" t="s">
        <v>675</v>
      </c>
      <c r="I15" s="449" t="s">
        <v>676</v>
      </c>
      <c r="J15" s="437"/>
      <c r="K15" s="437"/>
      <c r="L15" s="438" t="s">
        <v>677</v>
      </c>
      <c r="M15" s="448" t="s">
        <v>358</v>
      </c>
      <c r="N15" s="414"/>
    </row>
    <row r="16" spans="1:14" ht="12.95" customHeight="1">
      <c r="A16" s="446"/>
      <c r="B16" s="438" t="s">
        <v>678</v>
      </c>
      <c r="C16" s="447" t="s">
        <v>679</v>
      </c>
      <c r="D16" s="437"/>
      <c r="E16" s="438" t="s">
        <v>680</v>
      </c>
      <c r="F16" s="447" t="s">
        <v>471</v>
      </c>
      <c r="G16" s="437"/>
      <c r="H16" s="451" t="s">
        <v>681</v>
      </c>
      <c r="I16" s="452" t="s">
        <v>358</v>
      </c>
      <c r="J16" s="437"/>
      <c r="K16" s="437"/>
      <c r="L16" s="438" t="s">
        <v>682</v>
      </c>
      <c r="M16" s="448" t="s">
        <v>683</v>
      </c>
      <c r="N16" s="414"/>
    </row>
    <row r="17" spans="1:14" ht="12.95" customHeight="1">
      <c r="A17" s="446"/>
      <c r="B17" s="438" t="s">
        <v>684</v>
      </c>
      <c r="C17" s="439" t="s">
        <v>772</v>
      </c>
      <c r="D17" s="437"/>
      <c r="E17" s="438"/>
      <c r="F17" s="449"/>
      <c r="G17" s="437"/>
      <c r="H17" s="438" t="s">
        <v>685</v>
      </c>
      <c r="I17" s="452" t="s">
        <v>175</v>
      </c>
      <c r="J17" s="437"/>
      <c r="K17" s="437"/>
      <c r="L17" s="438"/>
      <c r="M17" s="453"/>
      <c r="N17" s="414"/>
    </row>
    <row r="18" spans="1:14" ht="12.95" customHeight="1" thickBot="1">
      <c r="A18" s="454"/>
      <c r="B18" s="455" t="s">
        <v>686</v>
      </c>
      <c r="C18" s="456"/>
      <c r="D18" s="457"/>
      <c r="E18" s="455" t="s">
        <v>687</v>
      </c>
      <c r="F18" s="456"/>
      <c r="G18" s="458"/>
      <c r="H18" s="455" t="s">
        <v>688</v>
      </c>
      <c r="I18" s="456"/>
      <c r="J18" s="457"/>
      <c r="K18" s="457"/>
      <c r="L18" s="457"/>
      <c r="M18" s="459"/>
      <c r="N18" s="414"/>
    </row>
    <row r="19" spans="1:14" ht="16.5" thickBot="1">
      <c r="A19" s="414"/>
      <c r="B19" s="414"/>
      <c r="C19" s="414"/>
      <c r="D19" s="414"/>
      <c r="E19" s="414"/>
      <c r="F19" s="414"/>
      <c r="G19" s="414"/>
      <c r="H19" s="414"/>
      <c r="I19" s="414"/>
      <c r="J19" s="414"/>
      <c r="K19" s="414"/>
      <c r="L19" s="414"/>
      <c r="M19" s="414"/>
      <c r="N19" s="414"/>
    </row>
    <row r="20" spans="1:14" ht="20.100000000000001" customHeight="1" thickBot="1">
      <c r="A20" s="443"/>
      <c r="B20" s="444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5"/>
    </row>
    <row r="21" spans="1:14" ht="15.95" customHeight="1" thickTop="1">
      <c r="A21" s="460" t="s">
        <v>689</v>
      </c>
      <c r="B21" s="461"/>
      <c r="C21" s="435"/>
      <c r="D21" s="462"/>
      <c r="E21" s="463" t="s">
        <v>690</v>
      </c>
      <c r="F21" s="464"/>
      <c r="G21" s="464"/>
      <c r="H21" s="465"/>
      <c r="I21" s="466" t="s">
        <v>691</v>
      </c>
      <c r="J21" s="464"/>
      <c r="K21" s="464"/>
      <c r="L21" s="435"/>
      <c r="M21" s="467"/>
    </row>
    <row r="22" spans="1:14" ht="15.95" customHeight="1">
      <c r="A22" s="468"/>
      <c r="B22" s="437"/>
      <c r="C22" s="438" t="s">
        <v>692</v>
      </c>
      <c r="D22" s="469" t="s">
        <v>769</v>
      </c>
      <c r="E22" s="438"/>
      <c r="G22" s="451" t="s">
        <v>693</v>
      </c>
      <c r="H22" s="470">
        <v>1474</v>
      </c>
      <c r="I22" s="438"/>
      <c r="J22" s="437"/>
      <c r="K22" s="438" t="s">
        <v>694</v>
      </c>
      <c r="L22" s="437" t="s">
        <v>695</v>
      </c>
      <c r="M22" s="453"/>
    </row>
    <row r="23" spans="1:14" ht="15.95" customHeight="1">
      <c r="A23" s="468"/>
      <c r="B23" s="438"/>
      <c r="C23" s="441"/>
      <c r="D23" s="471"/>
      <c r="E23" s="438"/>
      <c r="G23" s="438" t="s">
        <v>696</v>
      </c>
      <c r="H23" s="469">
        <v>120</v>
      </c>
      <c r="I23" s="437"/>
      <c r="J23" s="437"/>
      <c r="K23" s="438" t="s">
        <v>697</v>
      </c>
      <c r="L23" s="437" t="s">
        <v>695</v>
      </c>
      <c r="M23" s="453"/>
    </row>
    <row r="24" spans="1:14" ht="15.95" customHeight="1">
      <c r="A24" s="446"/>
      <c r="B24" s="438"/>
      <c r="C24" s="437"/>
      <c r="D24" s="471"/>
      <c r="E24" s="438"/>
      <c r="G24" s="451" t="s">
        <v>698</v>
      </c>
      <c r="H24" s="469">
        <v>250</v>
      </c>
      <c r="I24" s="437"/>
      <c r="J24" s="438"/>
      <c r="K24" s="437"/>
      <c r="L24" s="437"/>
      <c r="M24" s="453"/>
    </row>
    <row r="25" spans="1:14" ht="15.95" customHeight="1" thickBot="1">
      <c r="A25" s="454"/>
      <c r="B25" s="455"/>
      <c r="C25" s="457"/>
      <c r="D25" s="472"/>
      <c r="E25" s="455"/>
      <c r="F25" s="455"/>
      <c r="G25" s="455"/>
      <c r="H25" s="473"/>
      <c r="I25" s="457"/>
      <c r="J25" s="455"/>
      <c r="K25" s="457"/>
      <c r="L25" s="457"/>
      <c r="M25" s="459"/>
    </row>
    <row r="26" spans="1:14" ht="18.95" customHeight="1" thickBot="1">
      <c r="A26" s="433"/>
      <c r="B26" s="433"/>
      <c r="C26" s="433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</row>
    <row r="27" spans="1:14" ht="20.100000000000001" customHeight="1" thickBot="1">
      <c r="A27" s="474"/>
      <c r="B27" s="475"/>
      <c r="C27" s="475"/>
      <c r="D27" s="475"/>
      <c r="E27" s="475"/>
      <c r="F27" s="475"/>
      <c r="G27" s="476"/>
      <c r="H27" s="475"/>
      <c r="I27" s="475"/>
      <c r="J27" s="475"/>
      <c r="K27" s="475"/>
      <c r="L27" s="475"/>
      <c r="M27" s="477"/>
    </row>
    <row r="28" spans="1:14" ht="15.95" customHeight="1" thickTop="1">
      <c r="A28" s="478" t="s">
        <v>699</v>
      </c>
      <c r="B28" s="461"/>
      <c r="C28" s="435"/>
      <c r="D28" s="435"/>
      <c r="E28" s="464"/>
      <c r="F28" s="464"/>
      <c r="G28" s="479"/>
      <c r="H28" s="463" t="s">
        <v>700</v>
      </c>
      <c r="I28" s="464"/>
      <c r="J28" s="464"/>
      <c r="K28" s="463"/>
      <c r="L28" s="464"/>
      <c r="M28" s="467"/>
    </row>
    <row r="29" spans="1:14" ht="15.95" customHeight="1">
      <c r="A29" s="446"/>
      <c r="B29" s="438"/>
      <c r="C29" s="438" t="s">
        <v>701</v>
      </c>
      <c r="D29" s="480">
        <v>94.7</v>
      </c>
      <c r="E29" s="438"/>
      <c r="F29" s="438"/>
      <c r="G29" s="479"/>
      <c r="H29" s="451"/>
      <c r="I29" s="438"/>
      <c r="J29" s="438" t="s">
        <v>701</v>
      </c>
      <c r="K29" s="480">
        <v>88.9</v>
      </c>
      <c r="L29" s="437"/>
      <c r="M29" s="453"/>
    </row>
    <row r="30" spans="1:14" ht="15.95" customHeight="1">
      <c r="A30" s="481"/>
      <c r="B30" s="437"/>
      <c r="C30" s="438" t="s">
        <v>702</v>
      </c>
      <c r="D30" s="480">
        <v>94.6</v>
      </c>
      <c r="E30" s="438"/>
      <c r="F30" s="438"/>
      <c r="G30" s="479"/>
      <c r="H30" s="438"/>
      <c r="I30" s="437"/>
      <c r="J30" s="438" t="s">
        <v>702</v>
      </c>
      <c r="K30" s="480">
        <v>87.2</v>
      </c>
      <c r="L30" s="437"/>
      <c r="M30" s="453"/>
    </row>
    <row r="31" spans="1:14" ht="15.95" customHeight="1">
      <c r="A31" s="446"/>
      <c r="B31" s="438"/>
      <c r="C31" s="438" t="s">
        <v>703</v>
      </c>
      <c r="D31" s="480">
        <v>94</v>
      </c>
      <c r="E31" s="438"/>
      <c r="F31" s="438"/>
      <c r="G31" s="479"/>
      <c r="H31" s="438"/>
      <c r="I31" s="437"/>
      <c r="J31" s="438" t="s">
        <v>703</v>
      </c>
      <c r="K31" s="480">
        <v>82</v>
      </c>
      <c r="L31" s="438"/>
      <c r="M31" s="453"/>
    </row>
    <row r="32" spans="1:14" ht="15.95" customHeight="1" thickBot="1">
      <c r="A32" s="454"/>
      <c r="B32" s="455"/>
      <c r="C32" s="457"/>
      <c r="D32" s="457"/>
      <c r="E32" s="455"/>
      <c r="F32" s="455"/>
      <c r="G32" s="482"/>
      <c r="H32" s="455"/>
      <c r="I32" s="457"/>
      <c r="J32" s="455"/>
      <c r="K32" s="457"/>
      <c r="L32" s="455"/>
      <c r="M32" s="459"/>
    </row>
    <row r="33" spans="1:14" ht="20.100000000000001" customHeight="1" thickBot="1">
      <c r="A33" s="483"/>
      <c r="B33" s="483"/>
      <c r="C33" s="483"/>
      <c r="D33" s="483"/>
      <c r="E33" s="483"/>
      <c r="F33" s="483"/>
      <c r="G33" s="483"/>
      <c r="H33" s="483"/>
      <c r="I33" s="483"/>
      <c r="J33" s="483"/>
      <c r="K33" s="483"/>
      <c r="L33" s="483"/>
      <c r="M33" s="483"/>
      <c r="N33" s="483"/>
    </row>
    <row r="34" spans="1:14" ht="20.100000000000001" customHeight="1" thickBot="1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6"/>
    </row>
    <row r="35" spans="1:14" ht="15.95" customHeight="1" thickTop="1">
      <c r="A35" s="487" t="s">
        <v>704</v>
      </c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88"/>
    </row>
    <row r="36" spans="1:14" ht="15.95" customHeight="1">
      <c r="A36" s="489" t="s">
        <v>705</v>
      </c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88"/>
    </row>
    <row r="37" spans="1:14" ht="15.95" customHeight="1">
      <c r="A37" s="490" t="s">
        <v>706</v>
      </c>
      <c r="B37" s="441"/>
      <c r="C37" s="441"/>
      <c r="D37" s="441"/>
      <c r="E37" s="491"/>
      <c r="F37" s="441"/>
      <c r="G37" s="441"/>
      <c r="H37" s="441"/>
      <c r="I37" s="441"/>
      <c r="J37" s="441"/>
      <c r="K37" s="441"/>
      <c r="L37" s="441"/>
      <c r="M37" s="488"/>
    </row>
    <row r="38" spans="1:14" ht="15.95" customHeight="1">
      <c r="A38" s="492" t="s">
        <v>707</v>
      </c>
      <c r="B38" s="441"/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88"/>
    </row>
    <row r="39" spans="1:14" ht="15.95" customHeight="1">
      <c r="A39" s="493" t="s">
        <v>708</v>
      </c>
      <c r="B39" s="441"/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88"/>
    </row>
    <row r="40" spans="1:14" ht="15.95" customHeight="1" thickBot="1">
      <c r="A40" s="494" t="s">
        <v>709</v>
      </c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6"/>
    </row>
    <row r="41" spans="1:14" ht="15.95" customHeight="1"/>
    <row r="42" spans="1:14" ht="18">
      <c r="A42" s="497"/>
      <c r="B42" s="497"/>
      <c r="C42" s="497"/>
      <c r="D42" s="497"/>
      <c r="E42" s="497"/>
      <c r="F42" s="497"/>
      <c r="G42" s="497"/>
      <c r="H42" s="414"/>
      <c r="I42" s="414"/>
      <c r="J42" s="498" t="s">
        <v>710</v>
      </c>
      <c r="K42" s="676" t="s">
        <v>770</v>
      </c>
      <c r="L42" s="676"/>
      <c r="M42" s="676"/>
      <c r="N42" s="497"/>
    </row>
    <row r="43" spans="1:14" ht="7.5" customHeight="1">
      <c r="H43" s="414"/>
      <c r="I43" s="414"/>
      <c r="J43" s="414"/>
      <c r="K43" s="414"/>
      <c r="L43" s="414"/>
      <c r="M43" s="414"/>
    </row>
    <row r="44" spans="1:14" ht="16.5">
      <c r="H44" s="414"/>
      <c r="I44" s="414"/>
      <c r="J44" s="498" t="s">
        <v>711</v>
      </c>
      <c r="K44" s="677">
        <v>45737</v>
      </c>
      <c r="L44" s="677"/>
      <c r="M44" s="677"/>
    </row>
    <row r="59" spans="1:5">
      <c r="A59" s="415" t="s">
        <v>175</v>
      </c>
      <c r="B59" s="415" t="s">
        <v>712</v>
      </c>
      <c r="D59" s="415">
        <v>1</v>
      </c>
      <c r="E59" s="499" t="s">
        <v>175</v>
      </c>
    </row>
    <row r="60" spans="1:5">
      <c r="A60" s="415" t="s">
        <v>713</v>
      </c>
      <c r="B60" s="415" t="s">
        <v>714</v>
      </c>
      <c r="D60" s="415">
        <v>1.1499999999999999</v>
      </c>
      <c r="E60" s="499" t="s">
        <v>362</v>
      </c>
    </row>
    <row r="61" spans="1:5">
      <c r="A61" s="415" t="s">
        <v>715</v>
      </c>
      <c r="B61" s="415" t="s">
        <v>716</v>
      </c>
      <c r="E61" s="499" t="s">
        <v>676</v>
      </c>
    </row>
    <row r="62" spans="1:5">
      <c r="B62" s="415" t="s">
        <v>717</v>
      </c>
    </row>
    <row r="63" spans="1:5">
      <c r="B63" s="415" t="s">
        <v>718</v>
      </c>
    </row>
    <row r="64" spans="1:5">
      <c r="B64" s="415" t="s">
        <v>719</v>
      </c>
    </row>
    <row r="65" spans="2:2">
      <c r="B65" s="415" t="s">
        <v>720</v>
      </c>
    </row>
    <row r="66" spans="2:2">
      <c r="B66" s="415" t="s">
        <v>721</v>
      </c>
    </row>
    <row r="67" spans="2:2">
      <c r="B67" s="415" t="s">
        <v>722</v>
      </c>
    </row>
    <row r="68" spans="2:2">
      <c r="B68" s="415" t="s">
        <v>723</v>
      </c>
    </row>
    <row r="69" spans="2:2">
      <c r="B69" s="415" t="s">
        <v>724</v>
      </c>
    </row>
    <row r="70" spans="2:2">
      <c r="B70" s="415" t="s">
        <v>725</v>
      </c>
    </row>
    <row r="71" spans="2:2">
      <c r="B71" s="415" t="s">
        <v>726</v>
      </c>
    </row>
    <row r="72" spans="2:2">
      <c r="B72" s="415" t="s">
        <v>727</v>
      </c>
    </row>
    <row r="73" spans="2:2">
      <c r="B73" s="415" t="s">
        <v>728</v>
      </c>
    </row>
    <row r="74" spans="2:2">
      <c r="B74" s="415" t="s">
        <v>729</v>
      </c>
    </row>
    <row r="75" spans="2:2">
      <c r="B75" s="415" t="s">
        <v>730</v>
      </c>
    </row>
    <row r="76" spans="2:2">
      <c r="B76" s="415" t="s">
        <v>731</v>
      </c>
    </row>
    <row r="77" spans="2:2">
      <c r="B77" s="415" t="s">
        <v>732</v>
      </c>
    </row>
    <row r="78" spans="2:2">
      <c r="B78" s="415" t="s">
        <v>733</v>
      </c>
    </row>
    <row r="79" spans="2:2">
      <c r="B79" s="415" t="s">
        <v>734</v>
      </c>
    </row>
    <row r="80" spans="2:2">
      <c r="B80" s="415">
        <v>6312</v>
      </c>
    </row>
    <row r="81" spans="2:2">
      <c r="B81" s="415" t="s">
        <v>735</v>
      </c>
    </row>
    <row r="82" spans="2:2">
      <c r="B82" s="415" t="s">
        <v>736</v>
      </c>
    </row>
    <row r="83" spans="2:2">
      <c r="B83" s="415" t="s">
        <v>737</v>
      </c>
    </row>
    <row r="84" spans="2:2">
      <c r="B84" s="415" t="s">
        <v>738</v>
      </c>
    </row>
    <row r="85" spans="2:2">
      <c r="B85" s="415">
        <v>6313</v>
      </c>
    </row>
    <row r="86" spans="2:2">
      <c r="B86" s="415" t="s">
        <v>739</v>
      </c>
    </row>
    <row r="87" spans="2:2">
      <c r="B87" s="415" t="s">
        <v>740</v>
      </c>
    </row>
    <row r="88" spans="2:2">
      <c r="B88" s="415" t="s">
        <v>741</v>
      </c>
    </row>
    <row r="89" spans="2:2">
      <c r="B89" s="415">
        <v>6314</v>
      </c>
    </row>
    <row r="90" spans="2:2">
      <c r="B90" s="415" t="s">
        <v>742</v>
      </c>
    </row>
    <row r="91" spans="2:2">
      <c r="B91" s="415">
        <v>6317</v>
      </c>
    </row>
    <row r="92" spans="2:2">
      <c r="B92" s="415" t="s">
        <v>743</v>
      </c>
    </row>
    <row r="93" spans="2:2">
      <c r="B93" s="415">
        <v>6318</v>
      </c>
    </row>
    <row r="94" spans="2:2">
      <c r="B94" s="415" t="s">
        <v>744</v>
      </c>
    </row>
    <row r="95" spans="2:2">
      <c r="B95" s="415" t="s">
        <v>745</v>
      </c>
    </row>
    <row r="96" spans="2:2">
      <c r="B96" s="415" t="s">
        <v>746</v>
      </c>
    </row>
    <row r="97" spans="2:2">
      <c r="B97" s="415">
        <v>6320</v>
      </c>
    </row>
    <row r="98" spans="2:2">
      <c r="B98" s="415" t="s">
        <v>747</v>
      </c>
    </row>
    <row r="99" spans="2:2">
      <c r="B99" s="415" t="s">
        <v>748</v>
      </c>
    </row>
    <row r="100" spans="2:2">
      <c r="B100" s="415" t="s">
        <v>749</v>
      </c>
    </row>
    <row r="101" spans="2:2">
      <c r="B101" s="415" t="s">
        <v>750</v>
      </c>
    </row>
    <row r="102" spans="2:2">
      <c r="B102" s="415" t="s">
        <v>750</v>
      </c>
    </row>
    <row r="118" spans="2:2">
      <c r="B118" s="415" t="s">
        <v>751</v>
      </c>
    </row>
    <row r="120" spans="2:2">
      <c r="B120" s="415" t="s">
        <v>752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7"/>
  <sheetViews>
    <sheetView topLeftCell="A22" workbookViewId="0">
      <selection activeCell="F43" sqref="F43"/>
    </sheetView>
  </sheetViews>
  <sheetFormatPr defaultColWidth="9.140625" defaultRowHeight="12.75"/>
  <cols>
    <col min="1" max="6" width="16.7109375" style="340" customWidth="1"/>
    <col min="7" max="16384" width="9.140625" style="340"/>
  </cols>
  <sheetData>
    <row r="1" spans="1:6" ht="18.95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265</v>
      </c>
      <c r="B2" s="362"/>
      <c r="C2" s="362"/>
      <c r="D2" s="362"/>
      <c r="E2" s="362"/>
      <c r="F2" s="363"/>
    </row>
    <row r="3" spans="1:6" ht="18.95" customHeight="1">
      <c r="A3" s="364" t="s">
        <v>414</v>
      </c>
      <c r="B3" s="362"/>
      <c r="C3" s="362"/>
      <c r="D3" s="362"/>
      <c r="E3" s="362"/>
      <c r="F3" s="363"/>
    </row>
    <row r="4" spans="1:6" ht="18.95" customHeight="1">
      <c r="A4" s="365"/>
      <c r="B4" s="366"/>
      <c r="C4" s="366"/>
      <c r="D4" s="366"/>
      <c r="E4" s="366"/>
      <c r="F4" s="367"/>
    </row>
    <row r="5" spans="1:6" ht="18.95" customHeight="1">
      <c r="A5" s="365"/>
      <c r="B5" s="366"/>
      <c r="C5" s="366"/>
      <c r="D5" s="366"/>
      <c r="E5" s="366"/>
      <c r="F5" s="367"/>
    </row>
    <row r="6" spans="1:6" ht="18.95" customHeight="1">
      <c r="A6" s="368" t="s">
        <v>415</v>
      </c>
      <c r="B6" s="678" t="str">
        <f>'Performance Data Sheet'!C17</f>
        <v>WT-10163712</v>
      </c>
      <c r="C6" s="679"/>
      <c r="D6" s="680"/>
      <c r="E6" s="368" t="s">
        <v>416</v>
      </c>
      <c r="F6" s="369" t="str">
        <f>'Performance Data Sheet'!I14 &amp; " A"</f>
        <v>222/128 A</v>
      </c>
    </row>
    <row r="7" spans="1:6" ht="18.95" customHeight="1">
      <c r="A7" s="368" t="s">
        <v>417</v>
      </c>
      <c r="B7" s="369" t="str">
        <f>'Performance Data Sheet'!F14</f>
        <v>WP-II</v>
      </c>
      <c r="C7" s="368" t="s">
        <v>418</v>
      </c>
      <c r="D7" s="369" t="str">
        <f>'Performance Data Sheet'!F13 &amp; " V"</f>
        <v>2300/4000 V</v>
      </c>
      <c r="E7" s="368" t="s">
        <v>419</v>
      </c>
      <c r="F7" s="369" t="str">
        <f>'Performance Data Sheet'!C14</f>
        <v>5012USS</v>
      </c>
    </row>
    <row r="8" spans="1:6" ht="18.95" customHeight="1">
      <c r="A8" s="368" t="s">
        <v>420</v>
      </c>
      <c r="B8" s="369">
        <v>2</v>
      </c>
      <c r="C8" s="368" t="s">
        <v>421</v>
      </c>
      <c r="D8" s="369" t="s">
        <v>422</v>
      </c>
      <c r="E8" s="368" t="s">
        <v>423</v>
      </c>
      <c r="F8" s="369" t="s">
        <v>358</v>
      </c>
    </row>
    <row r="9" spans="1:6" ht="18.95" customHeight="1">
      <c r="A9" s="368" t="s">
        <v>424</v>
      </c>
      <c r="B9" s="369">
        <v>1000</v>
      </c>
      <c r="C9" s="368" t="s">
        <v>425</v>
      </c>
      <c r="D9" s="369" t="s">
        <v>436</v>
      </c>
      <c r="E9" s="368" t="s">
        <v>2</v>
      </c>
      <c r="F9" s="370">
        <f>'Performance Data Sheet'!K44</f>
        <v>45737</v>
      </c>
    </row>
    <row r="10" spans="1:6" ht="18.95" customHeight="1">
      <c r="A10" s="368" t="s">
        <v>426</v>
      </c>
      <c r="B10" s="369">
        <v>3560</v>
      </c>
      <c r="C10" s="368" t="s">
        <v>257</v>
      </c>
      <c r="D10" s="369" t="s">
        <v>427</v>
      </c>
      <c r="E10" s="368" t="s">
        <v>1</v>
      </c>
      <c r="F10" s="369" t="s">
        <v>634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 t="s">
        <v>428</v>
      </c>
      <c r="C12" s="372" t="str">
        <f>'Performance Data Sheet'!D22 &amp; " A"</f>
        <v>1337/772 A</v>
      </c>
      <c r="D12" s="371" t="s">
        <v>256</v>
      </c>
      <c r="E12" s="372" t="s">
        <v>427</v>
      </c>
      <c r="F12" s="367"/>
    </row>
    <row r="13" spans="1:6" ht="18.95" customHeight="1">
      <c r="A13" s="365"/>
      <c r="B13" s="371" t="s">
        <v>429</v>
      </c>
      <c r="C13" s="373">
        <v>1.2</v>
      </c>
      <c r="D13" s="371" t="s">
        <v>430</v>
      </c>
      <c r="E13" s="357" t="s">
        <v>427</v>
      </c>
      <c r="F13" s="367"/>
    </row>
    <row r="14" spans="1:6" ht="18.95" customHeight="1">
      <c r="A14" s="365"/>
      <c r="B14" s="371" t="s">
        <v>431</v>
      </c>
      <c r="C14" s="373">
        <v>2.5</v>
      </c>
      <c r="D14" s="371" t="s">
        <v>258</v>
      </c>
      <c r="E14" s="357" t="s">
        <v>427</v>
      </c>
      <c r="F14" s="367"/>
    </row>
    <row r="15" spans="1:6" ht="18.95" customHeight="1">
      <c r="A15" s="365"/>
      <c r="B15" s="371" t="s">
        <v>259</v>
      </c>
      <c r="C15" s="372" t="s">
        <v>437</v>
      </c>
      <c r="D15" s="366"/>
      <c r="E15" s="366"/>
      <c r="F15" s="367"/>
    </row>
    <row r="16" spans="1:6" ht="18.95" customHeight="1">
      <c r="A16" s="365"/>
      <c r="B16" s="366"/>
      <c r="C16" s="366"/>
      <c r="D16" s="366"/>
      <c r="E16" s="366"/>
      <c r="F16" s="367"/>
    </row>
    <row r="17" spans="1:6" ht="18.95" customHeight="1">
      <c r="A17" s="365"/>
      <c r="B17" s="366"/>
      <c r="C17" s="366"/>
      <c r="D17" s="366"/>
      <c r="E17" s="366"/>
      <c r="F17" s="367"/>
    </row>
    <row r="18" spans="1:6" ht="18.95" customHeight="1">
      <c r="A18" s="365"/>
      <c r="B18" s="366"/>
      <c r="C18" s="366"/>
      <c r="D18" s="366"/>
      <c r="E18" s="366"/>
      <c r="F18" s="367"/>
    </row>
    <row r="19" spans="1:6" ht="18.95" customHeight="1">
      <c r="A19" s="365"/>
      <c r="B19" s="366"/>
      <c r="C19" s="366"/>
      <c r="D19" s="366"/>
      <c r="E19" s="366"/>
      <c r="F19" s="367"/>
    </row>
    <row r="20" spans="1:6" ht="18.95" customHeight="1">
      <c r="A20" s="365"/>
      <c r="B20" s="366"/>
      <c r="C20" s="366"/>
      <c r="D20" s="366"/>
      <c r="E20" s="366"/>
      <c r="F20" s="367"/>
    </row>
    <row r="21" spans="1:6" ht="18.95" customHeight="1">
      <c r="A21" s="365"/>
      <c r="B21" s="366"/>
      <c r="C21" s="366"/>
      <c r="D21" s="366"/>
      <c r="E21" s="366"/>
      <c r="F21" s="367"/>
    </row>
    <row r="22" spans="1:6" ht="18.95" customHeight="1">
      <c r="A22" s="365"/>
      <c r="B22" s="366"/>
      <c r="C22" s="366"/>
      <c r="D22" s="366"/>
      <c r="E22" s="366"/>
      <c r="F22" s="367"/>
    </row>
    <row r="23" spans="1:6" ht="18.95" customHeight="1">
      <c r="A23" s="365"/>
      <c r="B23" s="366"/>
      <c r="C23" s="366"/>
      <c r="D23" s="366"/>
      <c r="E23" s="366"/>
      <c r="F23" s="367"/>
    </row>
    <row r="24" spans="1:6" ht="18.95" customHeight="1">
      <c r="A24" s="365"/>
      <c r="B24" s="366"/>
      <c r="C24" s="366"/>
      <c r="D24" s="366"/>
      <c r="E24" s="366"/>
      <c r="F24" s="367"/>
    </row>
    <row r="25" spans="1:6" ht="18.95" customHeight="1">
      <c r="A25" s="365"/>
      <c r="B25" s="366"/>
      <c r="C25" s="366"/>
      <c r="D25" s="366"/>
      <c r="E25" s="366"/>
      <c r="F25" s="367"/>
    </row>
    <row r="26" spans="1:6" ht="18.95" customHeight="1">
      <c r="A26" s="365"/>
      <c r="B26" s="366"/>
      <c r="C26" s="366"/>
      <c r="D26" s="366"/>
      <c r="E26" s="366"/>
      <c r="F26" s="367"/>
    </row>
    <row r="27" spans="1:6" ht="18.95" customHeight="1">
      <c r="A27" s="365"/>
      <c r="B27" s="366"/>
      <c r="C27" s="366"/>
      <c r="D27" s="366"/>
      <c r="E27" s="366"/>
      <c r="F27" s="367"/>
    </row>
    <row r="28" spans="1:6" ht="18.95" customHeight="1">
      <c r="A28" s="365"/>
      <c r="B28" s="366"/>
      <c r="C28" s="366"/>
      <c r="D28" s="366"/>
      <c r="E28" s="366"/>
      <c r="F28" s="367"/>
    </row>
    <row r="29" spans="1:6" ht="18.95" customHeight="1">
      <c r="A29" s="365"/>
      <c r="B29" s="366"/>
      <c r="C29" s="366"/>
      <c r="D29" s="366"/>
      <c r="E29" s="366"/>
      <c r="F29" s="367"/>
    </row>
    <row r="30" spans="1:6" ht="18.95" customHeight="1">
      <c r="A30" s="365"/>
      <c r="B30" s="366"/>
      <c r="C30" s="366"/>
      <c r="D30" s="366"/>
      <c r="E30" s="366"/>
      <c r="F30" s="367"/>
    </row>
    <row r="31" spans="1:6" ht="18.95" customHeight="1">
      <c r="A31" s="365"/>
      <c r="B31" s="366"/>
      <c r="C31" s="366"/>
      <c r="D31" s="366"/>
      <c r="E31" s="366"/>
      <c r="F31" s="367"/>
    </row>
    <row r="32" spans="1:6" ht="18.95" customHeight="1">
      <c r="A32" s="365"/>
      <c r="B32" s="366"/>
      <c r="C32" s="366"/>
      <c r="D32" s="366"/>
      <c r="E32" s="366"/>
      <c r="F32" s="367"/>
    </row>
    <row r="33" spans="1:6" ht="18.95" customHeight="1">
      <c r="A33" s="365"/>
      <c r="B33" s="366"/>
      <c r="C33" s="366"/>
      <c r="D33" s="366"/>
      <c r="E33" s="366"/>
      <c r="F33" s="367"/>
    </row>
    <row r="34" spans="1:6" ht="18.95" customHeight="1">
      <c r="A34" s="365"/>
      <c r="B34" s="366"/>
      <c r="C34" s="366"/>
      <c r="D34" s="366"/>
      <c r="E34" s="366"/>
      <c r="F34" s="367"/>
    </row>
    <row r="35" spans="1:6" ht="18.95" customHeight="1">
      <c r="A35" s="365"/>
      <c r="B35" s="366"/>
      <c r="C35" s="366"/>
      <c r="D35" s="366"/>
      <c r="E35" s="366"/>
      <c r="F35" s="367"/>
    </row>
    <row r="36" spans="1:6" ht="18.95" customHeight="1">
      <c r="A36" s="365"/>
      <c r="B36" s="366"/>
      <c r="C36" s="366"/>
      <c r="D36" s="366"/>
      <c r="E36" s="366"/>
      <c r="F36" s="367"/>
    </row>
    <row r="37" spans="1:6" ht="18.95" customHeight="1">
      <c r="A37" s="365"/>
      <c r="B37" s="366"/>
      <c r="C37" s="366"/>
      <c r="D37" s="366"/>
      <c r="E37" s="366"/>
      <c r="F37" s="367"/>
    </row>
    <row r="38" spans="1:6" ht="18.95" customHeight="1">
      <c r="A38" s="365"/>
      <c r="B38" s="366"/>
      <c r="C38" s="366"/>
      <c r="D38" s="366"/>
      <c r="E38" s="366"/>
      <c r="F38" s="367"/>
    </row>
    <row r="39" spans="1:6" ht="18.95" customHeight="1">
      <c r="A39" s="374" t="s">
        <v>432</v>
      </c>
      <c r="B39" s="375" t="s">
        <v>366</v>
      </c>
      <c r="C39" s="693" t="str">
        <f>'Performance Data Sheet'!C10</f>
        <v xml:space="preserve">2361573.1 </v>
      </c>
      <c r="D39" s="366"/>
      <c r="E39" s="371" t="s">
        <v>433</v>
      </c>
      <c r="F39" s="376" t="str">
        <f>F10</f>
        <v>1T2M20K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434</v>
      </c>
      <c r="D43" s="379" t="str">
        <f>'Performance Data Sheet'!K42</f>
        <v>JERRY R</v>
      </c>
      <c r="E43" s="378" t="s">
        <v>435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255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0">
        <v>100</v>
      </c>
      <c r="B54" s="151">
        <v>0</v>
      </c>
      <c r="C54" s="151">
        <v>0.23475848138332367</v>
      </c>
      <c r="D54" s="151">
        <v>100</v>
      </c>
      <c r="E54" s="151">
        <f>0.64*B54</f>
        <v>0</v>
      </c>
      <c r="F54" s="151">
        <f>0.8*C54</f>
        <v>0.18780678510665894</v>
      </c>
      <c r="G54" s="151"/>
      <c r="H54" s="151"/>
      <c r="I54" s="151"/>
      <c r="J54" s="151"/>
      <c r="K54" s="151"/>
      <c r="L54" s="151"/>
    </row>
    <row r="55" spans="1:12" ht="15" customHeight="1">
      <c r="A55" s="380">
        <v>99.799999967217445</v>
      </c>
      <c r="B55" s="151">
        <v>81.557143260571522</v>
      </c>
      <c r="C55" s="151">
        <v>90.8033447265625</v>
      </c>
      <c r="D55" s="151">
        <v>99.599998474121094</v>
      </c>
      <c r="E55" s="151">
        <f t="shared" ref="E55:E67" si="0">0.64*B55</f>
        <v>52.196571686765772</v>
      </c>
      <c r="F55" s="151">
        <f t="shared" ref="F55:F67" si="1">0.8*C55</f>
        <v>72.642675781250006</v>
      </c>
      <c r="G55" s="151"/>
      <c r="H55" s="151"/>
      <c r="I55" s="151"/>
      <c r="J55" s="151"/>
      <c r="K55" s="151"/>
      <c r="L55" s="151"/>
    </row>
    <row r="56" spans="1:12" ht="15" customHeight="1">
      <c r="A56" s="380">
        <v>98.999999836087227</v>
      </c>
      <c r="B56" s="151">
        <v>250</v>
      </c>
      <c r="C56" s="151">
        <v>341.52548217773438</v>
      </c>
      <c r="D56" s="151">
        <v>98</v>
      </c>
      <c r="E56" s="151">
        <f t="shared" si="0"/>
        <v>160</v>
      </c>
      <c r="F56" s="151">
        <f t="shared" si="1"/>
        <v>273.22038574218749</v>
      </c>
      <c r="G56" s="151"/>
      <c r="H56" s="151"/>
      <c r="I56" s="151"/>
      <c r="J56" s="151"/>
      <c r="K56" s="151"/>
      <c r="L56" s="151"/>
    </row>
    <row r="57" spans="1:12">
      <c r="A57" s="380">
        <v>93.555555492639542</v>
      </c>
      <c r="B57" s="151">
        <v>175.85058520553994</v>
      </c>
      <c r="C57" s="151">
        <v>466.62973022460938</v>
      </c>
      <c r="D57" s="151">
        <v>83.24444580078125</v>
      </c>
      <c r="E57" s="151">
        <f t="shared" si="0"/>
        <v>112.54437453154557</v>
      </c>
      <c r="F57" s="151">
        <f t="shared" si="1"/>
        <v>373.30378417968751</v>
      </c>
      <c r="G57" s="151"/>
      <c r="H57" s="151"/>
      <c r="I57" s="151"/>
      <c r="J57" s="151"/>
      <c r="K57" s="151"/>
      <c r="L57" s="151"/>
    </row>
    <row r="58" spans="1:12">
      <c r="A58" s="380">
        <v>88.111110031604767</v>
      </c>
      <c r="B58" s="151">
        <v>138.95503424889148</v>
      </c>
      <c r="C58" s="151">
        <v>512.41796875</v>
      </c>
      <c r="D58" s="151">
        <v>69.088882446289063</v>
      </c>
      <c r="E58" s="151">
        <f t="shared" si="0"/>
        <v>88.93122191929055</v>
      </c>
      <c r="F58" s="151">
        <f t="shared" si="1"/>
        <v>409.93437500000005</v>
      </c>
      <c r="G58" s="151"/>
      <c r="H58" s="151"/>
      <c r="I58" s="151"/>
      <c r="J58" s="151"/>
      <c r="K58" s="151"/>
      <c r="L58" s="151"/>
    </row>
    <row r="59" spans="1:12">
      <c r="A59" s="380">
        <v>82.666666805744171</v>
      </c>
      <c r="B59" s="151">
        <v>119.35002284057497</v>
      </c>
      <c r="C59" s="151">
        <v>533.76690673828125</v>
      </c>
      <c r="D59" s="151">
        <v>55.866668701171875</v>
      </c>
      <c r="E59" s="151">
        <f t="shared" si="0"/>
        <v>76.384014617967978</v>
      </c>
      <c r="F59" s="151">
        <f t="shared" si="1"/>
        <v>427.01352539062503</v>
      </c>
      <c r="G59" s="151"/>
      <c r="H59" s="151"/>
      <c r="I59" s="151"/>
      <c r="J59" s="151"/>
      <c r="K59" s="151"/>
      <c r="L59" s="151"/>
    </row>
    <row r="60" spans="1:12">
      <c r="A60" s="380">
        <v>71.777775883674622</v>
      </c>
      <c r="B60" s="151">
        <v>106.11773158688754</v>
      </c>
      <c r="C60" s="151">
        <v>554.0552978515625</v>
      </c>
      <c r="D60" s="151">
        <v>36.022220611572266</v>
      </c>
      <c r="E60" s="151">
        <f t="shared" si="0"/>
        <v>67.915348215608034</v>
      </c>
      <c r="F60" s="151">
        <f t="shared" si="1"/>
        <v>443.24423828125003</v>
      </c>
      <c r="G60" s="151"/>
      <c r="H60" s="151"/>
      <c r="I60" s="151"/>
      <c r="J60" s="151"/>
      <c r="K60" s="151"/>
      <c r="L60" s="151"/>
    </row>
    <row r="61" spans="1:12">
      <c r="A61" s="380">
        <v>60.88888943195343</v>
      </c>
      <c r="B61" s="151">
        <v>101.56817335476129</v>
      </c>
      <c r="C61" s="151">
        <v>565.2657470703125</v>
      </c>
      <c r="D61" s="151">
        <v>22.977777481079102</v>
      </c>
      <c r="E61" s="151">
        <f t="shared" si="0"/>
        <v>65.003630947047228</v>
      </c>
      <c r="F61" s="151">
        <f t="shared" si="1"/>
        <v>452.21259765625001</v>
      </c>
      <c r="G61" s="151"/>
      <c r="H61" s="151"/>
      <c r="I61" s="151"/>
      <c r="J61" s="151"/>
      <c r="K61" s="151"/>
      <c r="L61" s="151"/>
    </row>
    <row r="62" spans="1:12">
      <c r="A62" s="380">
        <v>50</v>
      </c>
      <c r="B62" s="151">
        <v>100</v>
      </c>
      <c r="C62" s="151">
        <v>573.68316650390625</v>
      </c>
      <c r="D62" s="151">
        <v>14</v>
      </c>
      <c r="E62" s="151">
        <f t="shared" si="0"/>
        <v>64</v>
      </c>
      <c r="F62" s="151">
        <f t="shared" si="1"/>
        <v>458.946533203125</v>
      </c>
      <c r="G62" s="151"/>
      <c r="H62" s="151"/>
      <c r="I62" s="151"/>
      <c r="J62" s="151"/>
      <c r="K62" s="151"/>
      <c r="L62" s="151"/>
    </row>
    <row r="63" spans="1:12">
      <c r="A63" s="380">
        <v>39.999997615814209</v>
      </c>
      <c r="B63" s="151">
        <v>100.38476599920091</v>
      </c>
      <c r="C63" s="151">
        <v>580.87811279296875</v>
      </c>
      <c r="D63" s="151">
        <v>7.9999995231628418</v>
      </c>
      <c r="E63" s="151">
        <f t="shared" si="0"/>
        <v>64.246250239488589</v>
      </c>
      <c r="F63" s="151">
        <f t="shared" si="1"/>
        <v>464.70249023437503</v>
      </c>
      <c r="G63" s="151"/>
      <c r="H63" s="151"/>
      <c r="I63" s="151"/>
      <c r="J63" s="151"/>
      <c r="K63" s="151"/>
      <c r="L63" s="151"/>
    </row>
    <row r="64" spans="1:12">
      <c r="A64" s="380">
        <v>30.000001192092896</v>
      </c>
      <c r="B64" s="151">
        <v>101.86343396385965</v>
      </c>
      <c r="C64" s="151">
        <v>587.33551025390625</v>
      </c>
      <c r="D64" s="151">
        <v>5.9999995231628418</v>
      </c>
      <c r="E64" s="151">
        <f t="shared" si="0"/>
        <v>65.192597736870169</v>
      </c>
      <c r="F64" s="151">
        <f t="shared" si="1"/>
        <v>469.868408203125</v>
      </c>
      <c r="G64" s="151"/>
      <c r="H64" s="151"/>
      <c r="I64" s="151"/>
      <c r="J64" s="151"/>
      <c r="K64" s="151"/>
      <c r="L64" s="151"/>
    </row>
    <row r="65" spans="1:12">
      <c r="A65" s="380">
        <v>19.999998807907104</v>
      </c>
      <c r="B65" s="151">
        <v>104.94455040169777</v>
      </c>
      <c r="C65" s="151">
        <v>593.0396728515625</v>
      </c>
      <c r="D65" s="151">
        <v>8.0000009536743164</v>
      </c>
      <c r="E65" s="151">
        <f t="shared" si="0"/>
        <v>67.164512257086571</v>
      </c>
      <c r="F65" s="151">
        <f t="shared" si="1"/>
        <v>474.43173828125003</v>
      </c>
      <c r="G65" s="151"/>
      <c r="H65" s="151"/>
      <c r="I65" s="151"/>
      <c r="J65" s="151"/>
      <c r="K65" s="151"/>
      <c r="L65" s="151"/>
    </row>
    <row r="66" spans="1:12">
      <c r="A66" s="380">
        <v>10.000002384185791</v>
      </c>
      <c r="B66" s="151">
        <v>110.53191000053791</v>
      </c>
      <c r="C66" s="151">
        <v>598.29144287109375</v>
      </c>
      <c r="D66" s="151">
        <v>14.999996185302734</v>
      </c>
      <c r="E66" s="151">
        <f t="shared" si="0"/>
        <v>70.740422400344258</v>
      </c>
      <c r="F66" s="151">
        <f t="shared" si="1"/>
        <v>478.63315429687503</v>
      </c>
      <c r="G66" s="151"/>
      <c r="H66" s="151"/>
      <c r="I66" s="151"/>
      <c r="J66" s="151"/>
      <c r="K66" s="151"/>
      <c r="L66" s="151"/>
    </row>
    <row r="67" spans="1:12">
      <c r="A67" s="381">
        <v>0</v>
      </c>
      <c r="B67" s="151">
        <v>120</v>
      </c>
      <c r="C67" s="151">
        <v>603.125</v>
      </c>
      <c r="D67" s="151">
        <v>30</v>
      </c>
      <c r="E67" s="151">
        <f t="shared" si="0"/>
        <v>76.8</v>
      </c>
      <c r="F67" s="151">
        <f t="shared" si="1"/>
        <v>482.5</v>
      </c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81"/>
  <sheetViews>
    <sheetView topLeftCell="A22" workbookViewId="0">
      <selection activeCell="F44" sqref="F44"/>
    </sheetView>
  </sheetViews>
  <sheetFormatPr defaultColWidth="9.140625" defaultRowHeight="12.75"/>
  <cols>
    <col min="1" max="6" width="16.7109375" style="340" customWidth="1"/>
    <col min="7" max="16384" width="9.140625" style="340"/>
  </cols>
  <sheetData>
    <row r="1" spans="1:6" ht="18.95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265</v>
      </c>
      <c r="B2" s="362"/>
      <c r="C2" s="362"/>
      <c r="D2" s="362"/>
      <c r="E2" s="362"/>
      <c r="F2" s="363"/>
    </row>
    <row r="3" spans="1:6" ht="18.95" customHeight="1">
      <c r="A3" s="681" t="s">
        <v>589</v>
      </c>
      <c r="B3" s="682"/>
      <c r="C3" s="682"/>
      <c r="D3" s="682"/>
      <c r="E3" s="682"/>
      <c r="F3" s="683"/>
    </row>
    <row r="4" spans="1:6" ht="18.95" customHeight="1">
      <c r="A4" s="684" t="s">
        <v>590</v>
      </c>
      <c r="B4" s="685"/>
      <c r="C4" s="685"/>
      <c r="D4" s="685"/>
      <c r="E4" s="685"/>
      <c r="F4" s="686"/>
    </row>
    <row r="5" spans="1:6" ht="18.95" customHeight="1">
      <c r="A5" s="365"/>
      <c r="B5" s="366"/>
      <c r="C5" s="366"/>
      <c r="D5" s="366"/>
      <c r="E5" s="366"/>
      <c r="F5" s="367"/>
    </row>
    <row r="6" spans="1:6" ht="18.95" customHeight="1">
      <c r="A6" s="368" t="s">
        <v>415</v>
      </c>
      <c r="B6" s="678" t="str">
        <f>'Performance Data Sheet'!C17</f>
        <v>WT-10163712</v>
      </c>
      <c r="C6" s="679"/>
      <c r="D6" s="680"/>
      <c r="E6" s="368" t="s">
        <v>416</v>
      </c>
      <c r="F6" s="369" t="str">
        <f>'Performance Data Sheet'!I14 &amp; " A"</f>
        <v>222/128 A</v>
      </c>
    </row>
    <row r="7" spans="1:6" ht="18.95" customHeight="1">
      <c r="A7" s="368" t="s">
        <v>417</v>
      </c>
      <c r="B7" s="369" t="str">
        <f>'Performance Data Sheet'!F14</f>
        <v>WP-II</v>
      </c>
      <c r="C7" s="368" t="s">
        <v>418</v>
      </c>
      <c r="D7" s="369" t="str">
        <f>'Performance Data Sheet'!F13 &amp; " V"</f>
        <v>2300/4000 V</v>
      </c>
      <c r="E7" s="368" t="s">
        <v>419</v>
      </c>
      <c r="F7" s="369" t="str">
        <f>'Performance Data Sheet'!C14</f>
        <v>5012USS</v>
      </c>
    </row>
    <row r="8" spans="1:6" ht="18.95" customHeight="1">
      <c r="A8" s="368" t="s">
        <v>420</v>
      </c>
      <c r="B8" s="369">
        <v>2</v>
      </c>
      <c r="C8" s="368" t="s">
        <v>421</v>
      </c>
      <c r="D8" s="369" t="s">
        <v>422</v>
      </c>
      <c r="E8" s="368" t="s">
        <v>423</v>
      </c>
      <c r="F8" s="369" t="s">
        <v>358</v>
      </c>
    </row>
    <row r="9" spans="1:6" ht="18.95" customHeight="1">
      <c r="A9" s="368" t="s">
        <v>424</v>
      </c>
      <c r="B9" s="369">
        <v>1000</v>
      </c>
      <c r="C9" s="368" t="s">
        <v>425</v>
      </c>
      <c r="D9" s="369" t="s">
        <v>436</v>
      </c>
      <c r="E9" s="368" t="s">
        <v>2</v>
      </c>
      <c r="F9" s="370">
        <f>'Performance Data Sheet'!K44</f>
        <v>45737</v>
      </c>
    </row>
    <row r="10" spans="1:6" ht="18.95" customHeight="1">
      <c r="A10" s="368" t="s">
        <v>426</v>
      </c>
      <c r="B10" s="369">
        <v>3560</v>
      </c>
      <c r="C10" s="368" t="s">
        <v>257</v>
      </c>
      <c r="D10" s="369" t="s">
        <v>427</v>
      </c>
      <c r="E10" s="368" t="s">
        <v>1</v>
      </c>
      <c r="F10" s="369" t="s">
        <v>634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/>
      <c r="C12" s="372"/>
      <c r="D12" s="371"/>
      <c r="E12" s="372"/>
      <c r="F12" s="367"/>
    </row>
    <row r="13" spans="1:6" ht="18.95" customHeight="1">
      <c r="A13" s="365"/>
      <c r="B13" s="371"/>
      <c r="C13" s="373"/>
      <c r="D13" s="371"/>
      <c r="E13" s="372"/>
      <c r="F13" s="367"/>
    </row>
    <row r="14" spans="1:6" ht="18.95" customHeight="1">
      <c r="A14" s="365"/>
      <c r="B14" s="371"/>
      <c r="C14" s="373"/>
      <c r="D14" s="371"/>
      <c r="E14" s="372"/>
      <c r="F14" s="367"/>
    </row>
    <row r="15" spans="1:6" ht="18.95" customHeight="1">
      <c r="A15" s="365"/>
      <c r="B15" s="371"/>
      <c r="C15" s="372"/>
      <c r="D15" s="366"/>
      <c r="E15" s="366"/>
      <c r="F15" s="367"/>
    </row>
    <row r="16" spans="1:6" ht="18.95" customHeight="1">
      <c r="A16" s="365"/>
      <c r="B16" s="366"/>
      <c r="C16" s="366"/>
      <c r="D16" s="366"/>
      <c r="E16" s="366"/>
      <c r="F16" s="367"/>
    </row>
    <row r="17" spans="1:6" ht="18.95" customHeight="1">
      <c r="A17" s="365"/>
      <c r="B17" s="366"/>
      <c r="C17" s="366"/>
      <c r="D17" s="366"/>
      <c r="E17" s="366"/>
      <c r="F17" s="367"/>
    </row>
    <row r="18" spans="1:6" ht="18.95" customHeight="1">
      <c r="A18" s="365"/>
      <c r="B18" s="366"/>
      <c r="C18" s="366"/>
      <c r="D18" s="366"/>
      <c r="E18" s="366"/>
      <c r="F18" s="367"/>
    </row>
    <row r="19" spans="1:6" ht="18.95" customHeight="1">
      <c r="A19" s="365"/>
      <c r="B19" s="366"/>
      <c r="C19" s="366"/>
      <c r="D19" s="366"/>
      <c r="E19" s="366"/>
      <c r="F19" s="367"/>
    </row>
    <row r="20" spans="1:6" ht="18.95" customHeight="1">
      <c r="A20" s="365"/>
      <c r="B20" s="366"/>
      <c r="C20" s="366"/>
      <c r="D20" s="366"/>
      <c r="E20" s="366"/>
      <c r="F20" s="367"/>
    </row>
    <row r="21" spans="1:6" ht="18.95" customHeight="1">
      <c r="A21" s="365"/>
      <c r="B21" s="366"/>
      <c r="C21" s="366"/>
      <c r="D21" s="366"/>
      <c r="E21" s="366"/>
      <c r="F21" s="367"/>
    </row>
    <row r="22" spans="1:6" ht="18.95" customHeight="1">
      <c r="A22" s="365"/>
      <c r="B22" s="366"/>
      <c r="C22" s="366"/>
      <c r="D22" s="366"/>
      <c r="E22" s="366"/>
      <c r="F22" s="367"/>
    </row>
    <row r="23" spans="1:6" ht="18.95" customHeight="1">
      <c r="A23" s="365"/>
      <c r="B23" s="366"/>
      <c r="C23" s="366"/>
      <c r="D23" s="366"/>
      <c r="E23" s="366"/>
      <c r="F23" s="367"/>
    </row>
    <row r="24" spans="1:6" ht="18.95" customHeight="1">
      <c r="A24" s="365"/>
      <c r="B24" s="366"/>
      <c r="C24" s="366"/>
      <c r="D24" s="366"/>
      <c r="E24" s="366"/>
      <c r="F24" s="367"/>
    </row>
    <row r="25" spans="1:6" ht="18.95" customHeight="1">
      <c r="A25" s="365"/>
      <c r="B25" s="366"/>
      <c r="C25" s="366"/>
      <c r="D25" s="366"/>
      <c r="E25" s="366"/>
      <c r="F25" s="367"/>
    </row>
    <row r="26" spans="1:6" ht="18.95" customHeight="1">
      <c r="A26" s="365"/>
      <c r="B26" s="366"/>
      <c r="C26" s="366"/>
      <c r="D26" s="366"/>
      <c r="E26" s="366"/>
      <c r="F26" s="367"/>
    </row>
    <row r="27" spans="1:6" ht="18.95" customHeight="1">
      <c r="A27" s="365"/>
      <c r="B27" s="366"/>
      <c r="C27" s="366"/>
      <c r="D27" s="366"/>
      <c r="E27" s="366"/>
      <c r="F27" s="367"/>
    </row>
    <row r="28" spans="1:6" ht="18.95" customHeight="1">
      <c r="A28" s="365"/>
      <c r="B28" s="366"/>
      <c r="C28" s="366"/>
      <c r="D28" s="366"/>
      <c r="E28" s="366"/>
      <c r="F28" s="367"/>
    </row>
    <row r="29" spans="1:6" ht="18.95" customHeight="1">
      <c r="A29" s="365"/>
      <c r="B29" s="366"/>
      <c r="C29" s="366"/>
      <c r="D29" s="366"/>
      <c r="E29" s="366"/>
      <c r="F29" s="367"/>
    </row>
    <row r="30" spans="1:6" ht="18.95" customHeight="1">
      <c r="A30" s="365"/>
      <c r="B30" s="366"/>
      <c r="C30" s="366"/>
      <c r="D30" s="366"/>
      <c r="E30" s="366"/>
      <c r="F30" s="367"/>
    </row>
    <row r="31" spans="1:6" ht="18.95" customHeight="1">
      <c r="A31" s="365"/>
      <c r="B31" s="366"/>
      <c r="C31" s="366"/>
      <c r="D31" s="366"/>
      <c r="E31" s="366"/>
      <c r="F31" s="367"/>
    </row>
    <row r="32" spans="1:6" ht="18.95" customHeight="1">
      <c r="A32" s="365"/>
      <c r="B32" s="366"/>
      <c r="C32" s="366"/>
      <c r="D32" s="366"/>
      <c r="E32" s="366"/>
      <c r="F32" s="367"/>
    </row>
    <row r="33" spans="1:6" ht="18.95" customHeight="1">
      <c r="A33" s="365"/>
      <c r="B33" s="366"/>
      <c r="C33" s="366"/>
      <c r="D33" s="366"/>
      <c r="E33" s="366"/>
      <c r="F33" s="367"/>
    </row>
    <row r="34" spans="1:6" ht="18.95" customHeight="1">
      <c r="A34" s="365"/>
      <c r="B34" s="366"/>
      <c r="C34" s="366"/>
      <c r="D34" s="366"/>
      <c r="E34" s="366"/>
      <c r="F34" s="367"/>
    </row>
    <row r="35" spans="1:6" ht="18.95" customHeight="1">
      <c r="A35" s="365"/>
      <c r="B35" s="366"/>
      <c r="C35" s="366"/>
      <c r="D35" s="366"/>
      <c r="E35" s="366"/>
      <c r="F35" s="367"/>
    </row>
    <row r="36" spans="1:6" ht="18.95" customHeight="1">
      <c r="A36" s="365"/>
      <c r="B36" s="366"/>
      <c r="C36" s="366"/>
      <c r="D36" s="366"/>
      <c r="E36" s="366"/>
      <c r="F36" s="367"/>
    </row>
    <row r="37" spans="1:6" ht="18.95" customHeight="1">
      <c r="A37" s="365"/>
      <c r="B37" s="366"/>
      <c r="C37" s="366"/>
      <c r="D37" s="366"/>
      <c r="E37" s="366"/>
      <c r="F37" s="367"/>
    </row>
    <row r="38" spans="1:6" ht="18.95" customHeight="1">
      <c r="A38" s="365"/>
      <c r="B38" s="366"/>
      <c r="C38" s="366"/>
      <c r="D38" s="366"/>
      <c r="E38" s="366"/>
      <c r="F38" s="367"/>
    </row>
    <row r="39" spans="1:6" ht="18.95" customHeight="1">
      <c r="A39" s="374" t="s">
        <v>432</v>
      </c>
      <c r="B39" s="375" t="s">
        <v>366</v>
      </c>
      <c r="C39" s="693" t="str">
        <f>'Performance Data Sheet'!C10</f>
        <v xml:space="preserve">2361573.1 </v>
      </c>
      <c r="D39" s="366"/>
      <c r="E39" s="371" t="s">
        <v>433</v>
      </c>
      <c r="F39" s="376" t="str">
        <f>F10</f>
        <v>1T2M20K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434</v>
      </c>
      <c r="D43" s="379" t="str">
        <f>'Performance Data Sheet'!K42</f>
        <v>JERRY R</v>
      </c>
      <c r="E43" s="378" t="s">
        <v>435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4" t="e">
        <f>5252.1*B50/D53</f>
        <v>#DIV/0!</v>
      </c>
      <c r="G50" s="394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5"/>
    </row>
    <row r="63" spans="6:9">
      <c r="I63" s="340" t="s">
        <v>39</v>
      </c>
    </row>
    <row r="66" spans="1:6">
      <c r="D66" s="394" t="e">
        <f>D65/D64</f>
        <v>#DIV/0!</v>
      </c>
    </row>
    <row r="67" spans="1:6">
      <c r="A67" s="396" t="s">
        <v>253</v>
      </c>
      <c r="B67" s="396" t="s">
        <v>591</v>
      </c>
      <c r="C67" s="396" t="s">
        <v>592</v>
      </c>
      <c r="E67" s="396" t="s">
        <v>593</v>
      </c>
      <c r="F67" s="396" t="s">
        <v>594</v>
      </c>
    </row>
    <row r="68" spans="1:6">
      <c r="A68" s="397">
        <v>603.125</v>
      </c>
      <c r="B68" s="398">
        <v>10.394771439688547</v>
      </c>
      <c r="C68" s="398">
        <v>5.4243547575814386</v>
      </c>
      <c r="E68" s="397">
        <f>A68</f>
        <v>603.125</v>
      </c>
      <c r="F68" s="398">
        <v>1E-4</v>
      </c>
    </row>
    <row r="69" spans="1:6">
      <c r="A69" s="397">
        <f>FLOOR(A68,100)</f>
        <v>600</v>
      </c>
      <c r="B69" s="398">
        <f>((A68/A69)^2)*B68</f>
        <v>10.503332285073748</v>
      </c>
      <c r="C69" s="398">
        <f>((A68/A69)^2)*C68</f>
        <v>5.4810055980129935</v>
      </c>
      <c r="E69" s="397">
        <v>600.703125</v>
      </c>
      <c r="F69" s="398">
        <v>0.40900000929832458</v>
      </c>
    </row>
    <row r="70" spans="1:6">
      <c r="A70" s="397">
        <f>A69-100</f>
        <v>500</v>
      </c>
      <c r="B70" s="398">
        <f>((A68/A70)^2)*B68</f>
        <v>15.124798490506199</v>
      </c>
      <c r="C70" s="398">
        <f>((A68/A70)^2)*C68</f>
        <v>7.8926480611387113</v>
      </c>
      <c r="E70" s="397">
        <v>595.703125</v>
      </c>
      <c r="F70" s="398">
        <v>0.80300003290176392</v>
      </c>
    </row>
    <row r="71" spans="1:6">
      <c r="A71" s="397">
        <f>A70-100</f>
        <v>400</v>
      </c>
      <c r="B71" s="398">
        <f>((A68/A71)^2)*B68</f>
        <v>23.632497641415938</v>
      </c>
      <c r="C71" s="398">
        <f>((A68/A71)^2)*C68</f>
        <v>12.332262595529237</v>
      </c>
      <c r="E71" s="397">
        <v>590.15625</v>
      </c>
      <c r="F71" s="398">
        <v>1.1970000267028809</v>
      </c>
    </row>
    <row r="72" spans="1:6">
      <c r="A72" s="397">
        <f>A71-100</f>
        <v>300</v>
      </c>
      <c r="B72" s="398">
        <f>((A68/A72)^2)*B68</f>
        <v>42.013329140294992</v>
      </c>
      <c r="C72" s="398"/>
      <c r="E72" s="397">
        <v>584.140625</v>
      </c>
      <c r="F72" s="398">
        <v>1.6000000238418579</v>
      </c>
    </row>
    <row r="73" spans="1:6">
      <c r="A73" s="397">
        <f>A72-100</f>
        <v>200</v>
      </c>
      <c r="B73" s="398">
        <f>((A68/A73)^2)*B68</f>
        <v>94.529990565663752</v>
      </c>
      <c r="C73" s="398"/>
      <c r="E73" s="397">
        <v>577.265625</v>
      </c>
      <c r="F73" s="398">
        <v>2.0250000953674316</v>
      </c>
    </row>
    <row r="74" spans="1:6">
      <c r="A74" s="397">
        <v>250</v>
      </c>
      <c r="B74" s="398">
        <f>((A68/A74)^2)*B68</f>
        <v>60.499193962024798</v>
      </c>
      <c r="C74" s="398">
        <f>((A68/A74)^2)*C68</f>
        <v>31.570592244554845</v>
      </c>
      <c r="E74" s="397">
        <v>569.453125</v>
      </c>
      <c r="F74" s="398">
        <v>2.5270001888275146</v>
      </c>
    </row>
    <row r="75" spans="1:6">
      <c r="A75" s="399">
        <v>180</v>
      </c>
      <c r="B75" s="398">
        <f>((A68/A75)^2)*B69</f>
        <v>117.92252130555318</v>
      </c>
      <c r="C75" s="398">
        <f>((A68/A75)^2)*C68</f>
        <v>60.900062200144383</v>
      </c>
      <c r="E75" s="397">
        <v>559.6875</v>
      </c>
      <c r="F75" s="398">
        <v>3.0830001831054688</v>
      </c>
    </row>
    <row r="76" spans="1:6">
      <c r="A76" s="399">
        <v>120</v>
      </c>
      <c r="B76" s="398">
        <f>((A68/A76)^2)*B68</f>
        <v>262.58330712684375</v>
      </c>
      <c r="C76" s="398">
        <f>((A68/A76)^2)*C68</f>
        <v>137.02513995032487</v>
      </c>
      <c r="E76" s="397">
        <v>543.90625</v>
      </c>
      <c r="F76" s="398">
        <v>3.7010002136230469</v>
      </c>
    </row>
    <row r="77" spans="1:6">
      <c r="A77" s="399">
        <v>110</v>
      </c>
      <c r="B77" s="398"/>
      <c r="C77" s="397">
        <f>CEILING(C76*2,100)</f>
        <v>300</v>
      </c>
      <c r="E77" s="397">
        <v>523.125</v>
      </c>
      <c r="F77" s="398">
        <v>4.0110001564025879</v>
      </c>
    </row>
    <row r="78" spans="1:6">
      <c r="A78" s="399">
        <v>110</v>
      </c>
      <c r="B78" s="398"/>
      <c r="C78" s="397">
        <f>2*C77</f>
        <v>600</v>
      </c>
      <c r="E78" s="397">
        <v>489.53125</v>
      </c>
      <c r="F78" s="398">
        <v>4.2650003433227539</v>
      </c>
    </row>
    <row r="79" spans="1:6">
      <c r="A79" s="399">
        <v>110</v>
      </c>
      <c r="B79" s="399"/>
      <c r="C79" s="399">
        <v>10000</v>
      </c>
      <c r="E79" s="397">
        <v>404.06250000000006</v>
      </c>
      <c r="F79" s="398">
        <v>4.4340004920959473</v>
      </c>
    </row>
    <row r="80" spans="1:6">
      <c r="E80" s="397">
        <v>0</v>
      </c>
      <c r="F80" s="398">
        <v>4.4380006790161133</v>
      </c>
    </row>
    <row r="81" spans="5:6">
      <c r="E81" s="397"/>
      <c r="F81" s="398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69"/>
  <sheetViews>
    <sheetView topLeftCell="A27" workbookViewId="0">
      <selection activeCell="F43" sqref="F43"/>
    </sheetView>
  </sheetViews>
  <sheetFormatPr defaultRowHeight="12.75"/>
  <cols>
    <col min="1" max="6" width="16.7109375" style="503" customWidth="1"/>
    <col min="7" max="256" width="9.140625" style="503"/>
    <col min="257" max="262" width="16.7109375" style="503" customWidth="1"/>
    <col min="263" max="512" width="9.140625" style="503"/>
    <col min="513" max="518" width="16.7109375" style="503" customWidth="1"/>
    <col min="519" max="768" width="9.140625" style="503"/>
    <col min="769" max="774" width="16.7109375" style="503" customWidth="1"/>
    <col min="775" max="1024" width="9.140625" style="503"/>
    <col min="1025" max="1030" width="16.7109375" style="503" customWidth="1"/>
    <col min="1031" max="1280" width="9.140625" style="503"/>
    <col min="1281" max="1286" width="16.7109375" style="503" customWidth="1"/>
    <col min="1287" max="1536" width="9.140625" style="503"/>
    <col min="1537" max="1542" width="16.7109375" style="503" customWidth="1"/>
    <col min="1543" max="1792" width="9.140625" style="503"/>
    <col min="1793" max="1798" width="16.7109375" style="503" customWidth="1"/>
    <col min="1799" max="2048" width="9.140625" style="503"/>
    <col min="2049" max="2054" width="16.7109375" style="503" customWidth="1"/>
    <col min="2055" max="2304" width="9.140625" style="503"/>
    <col min="2305" max="2310" width="16.7109375" style="503" customWidth="1"/>
    <col min="2311" max="2560" width="9.140625" style="503"/>
    <col min="2561" max="2566" width="16.7109375" style="503" customWidth="1"/>
    <col min="2567" max="2816" width="9.140625" style="503"/>
    <col min="2817" max="2822" width="16.7109375" style="503" customWidth="1"/>
    <col min="2823" max="3072" width="9.140625" style="503"/>
    <col min="3073" max="3078" width="16.7109375" style="503" customWidth="1"/>
    <col min="3079" max="3328" width="9.140625" style="503"/>
    <col min="3329" max="3334" width="16.7109375" style="503" customWidth="1"/>
    <col min="3335" max="3584" width="9.140625" style="503"/>
    <col min="3585" max="3590" width="16.7109375" style="503" customWidth="1"/>
    <col min="3591" max="3840" width="9.140625" style="503"/>
    <col min="3841" max="3846" width="16.7109375" style="503" customWidth="1"/>
    <col min="3847" max="4096" width="9.140625" style="503"/>
    <col min="4097" max="4102" width="16.7109375" style="503" customWidth="1"/>
    <col min="4103" max="4352" width="9.140625" style="503"/>
    <col min="4353" max="4358" width="16.7109375" style="503" customWidth="1"/>
    <col min="4359" max="4608" width="9.140625" style="503"/>
    <col min="4609" max="4614" width="16.7109375" style="503" customWidth="1"/>
    <col min="4615" max="4864" width="9.140625" style="503"/>
    <col min="4865" max="4870" width="16.7109375" style="503" customWidth="1"/>
    <col min="4871" max="5120" width="9.140625" style="503"/>
    <col min="5121" max="5126" width="16.7109375" style="503" customWidth="1"/>
    <col min="5127" max="5376" width="9.140625" style="503"/>
    <col min="5377" max="5382" width="16.7109375" style="503" customWidth="1"/>
    <col min="5383" max="5632" width="9.140625" style="503"/>
    <col min="5633" max="5638" width="16.7109375" style="503" customWidth="1"/>
    <col min="5639" max="5888" width="9.140625" style="503"/>
    <col min="5889" max="5894" width="16.7109375" style="503" customWidth="1"/>
    <col min="5895" max="6144" width="9.140625" style="503"/>
    <col min="6145" max="6150" width="16.7109375" style="503" customWidth="1"/>
    <col min="6151" max="6400" width="9.140625" style="503"/>
    <col min="6401" max="6406" width="16.7109375" style="503" customWidth="1"/>
    <col min="6407" max="6656" width="9.140625" style="503"/>
    <col min="6657" max="6662" width="16.7109375" style="503" customWidth="1"/>
    <col min="6663" max="6912" width="9.140625" style="503"/>
    <col min="6913" max="6918" width="16.7109375" style="503" customWidth="1"/>
    <col min="6919" max="7168" width="9.140625" style="503"/>
    <col min="7169" max="7174" width="16.7109375" style="503" customWidth="1"/>
    <col min="7175" max="7424" width="9.140625" style="503"/>
    <col min="7425" max="7430" width="16.7109375" style="503" customWidth="1"/>
    <col min="7431" max="7680" width="9.140625" style="503"/>
    <col min="7681" max="7686" width="16.7109375" style="503" customWidth="1"/>
    <col min="7687" max="7936" width="9.140625" style="503"/>
    <col min="7937" max="7942" width="16.7109375" style="503" customWidth="1"/>
    <col min="7943" max="8192" width="9.140625" style="503"/>
    <col min="8193" max="8198" width="16.7109375" style="503" customWidth="1"/>
    <col min="8199" max="8448" width="9.140625" style="503"/>
    <col min="8449" max="8454" width="16.7109375" style="503" customWidth="1"/>
    <col min="8455" max="8704" width="9.140625" style="503"/>
    <col min="8705" max="8710" width="16.7109375" style="503" customWidth="1"/>
    <col min="8711" max="8960" width="9.140625" style="503"/>
    <col min="8961" max="8966" width="16.7109375" style="503" customWidth="1"/>
    <col min="8967" max="9216" width="9.140625" style="503"/>
    <col min="9217" max="9222" width="16.7109375" style="503" customWidth="1"/>
    <col min="9223" max="9472" width="9.140625" style="503"/>
    <col min="9473" max="9478" width="16.7109375" style="503" customWidth="1"/>
    <col min="9479" max="9728" width="9.140625" style="503"/>
    <col min="9729" max="9734" width="16.7109375" style="503" customWidth="1"/>
    <col min="9735" max="9984" width="9.140625" style="503"/>
    <col min="9985" max="9990" width="16.7109375" style="503" customWidth="1"/>
    <col min="9991" max="10240" width="9.140625" style="503"/>
    <col min="10241" max="10246" width="16.7109375" style="503" customWidth="1"/>
    <col min="10247" max="10496" width="9.140625" style="503"/>
    <col min="10497" max="10502" width="16.7109375" style="503" customWidth="1"/>
    <col min="10503" max="10752" width="9.140625" style="503"/>
    <col min="10753" max="10758" width="16.7109375" style="503" customWidth="1"/>
    <col min="10759" max="11008" width="9.140625" style="503"/>
    <col min="11009" max="11014" width="16.7109375" style="503" customWidth="1"/>
    <col min="11015" max="11264" width="9.140625" style="503"/>
    <col min="11265" max="11270" width="16.7109375" style="503" customWidth="1"/>
    <col min="11271" max="11520" width="9.140625" style="503"/>
    <col min="11521" max="11526" width="16.7109375" style="503" customWidth="1"/>
    <col min="11527" max="11776" width="9.140625" style="503"/>
    <col min="11777" max="11782" width="16.7109375" style="503" customWidth="1"/>
    <col min="11783" max="12032" width="9.140625" style="503"/>
    <col min="12033" max="12038" width="16.7109375" style="503" customWidth="1"/>
    <col min="12039" max="12288" width="9.140625" style="503"/>
    <col min="12289" max="12294" width="16.7109375" style="503" customWidth="1"/>
    <col min="12295" max="12544" width="9.140625" style="503"/>
    <col min="12545" max="12550" width="16.7109375" style="503" customWidth="1"/>
    <col min="12551" max="12800" width="9.140625" style="503"/>
    <col min="12801" max="12806" width="16.7109375" style="503" customWidth="1"/>
    <col min="12807" max="13056" width="9.140625" style="503"/>
    <col min="13057" max="13062" width="16.7109375" style="503" customWidth="1"/>
    <col min="13063" max="13312" width="9.140625" style="503"/>
    <col min="13313" max="13318" width="16.7109375" style="503" customWidth="1"/>
    <col min="13319" max="13568" width="9.140625" style="503"/>
    <col min="13569" max="13574" width="16.7109375" style="503" customWidth="1"/>
    <col min="13575" max="13824" width="9.140625" style="503"/>
    <col min="13825" max="13830" width="16.7109375" style="503" customWidth="1"/>
    <col min="13831" max="14080" width="9.140625" style="503"/>
    <col min="14081" max="14086" width="16.7109375" style="503" customWidth="1"/>
    <col min="14087" max="14336" width="9.140625" style="503"/>
    <col min="14337" max="14342" width="16.7109375" style="503" customWidth="1"/>
    <col min="14343" max="14592" width="9.140625" style="503"/>
    <col min="14593" max="14598" width="16.7109375" style="503" customWidth="1"/>
    <col min="14599" max="14848" width="9.140625" style="503"/>
    <col min="14849" max="14854" width="16.7109375" style="503" customWidth="1"/>
    <col min="14855" max="15104" width="9.140625" style="503"/>
    <col min="15105" max="15110" width="16.7109375" style="503" customWidth="1"/>
    <col min="15111" max="15360" width="9.140625" style="503"/>
    <col min="15361" max="15366" width="16.7109375" style="503" customWidth="1"/>
    <col min="15367" max="15616" width="9.140625" style="503"/>
    <col min="15617" max="15622" width="16.7109375" style="503" customWidth="1"/>
    <col min="15623" max="15872" width="9.140625" style="503"/>
    <col min="15873" max="15878" width="16.7109375" style="503" customWidth="1"/>
    <col min="15879" max="16128" width="9.140625" style="503"/>
    <col min="16129" max="16134" width="16.7109375" style="503" customWidth="1"/>
    <col min="16135" max="16384" width="9.140625" style="503"/>
  </cols>
  <sheetData>
    <row r="1" spans="1:6" ht="18.95" customHeight="1">
      <c r="A1" s="500"/>
      <c r="B1" s="501"/>
      <c r="C1" s="501"/>
      <c r="D1" s="501"/>
      <c r="E1" s="501"/>
      <c r="F1" s="502"/>
    </row>
    <row r="2" spans="1:6" ht="26.1" customHeight="1">
      <c r="A2" s="504" t="s">
        <v>265</v>
      </c>
      <c r="B2" s="505"/>
      <c r="C2" s="505"/>
      <c r="D2" s="505"/>
      <c r="E2" s="505"/>
      <c r="F2" s="506"/>
    </row>
    <row r="3" spans="1:6" ht="18.95" customHeight="1">
      <c r="A3" s="507" t="s">
        <v>753</v>
      </c>
      <c r="B3" s="505"/>
      <c r="C3" s="505"/>
      <c r="D3" s="505"/>
      <c r="E3" s="505"/>
      <c r="F3" s="506"/>
    </row>
    <row r="4" spans="1:6" ht="18.95" customHeight="1">
      <c r="A4" s="687" t="s">
        <v>590</v>
      </c>
      <c r="B4" s="688"/>
      <c r="C4" s="688"/>
      <c r="D4" s="688"/>
      <c r="E4" s="688"/>
      <c r="F4" s="689"/>
    </row>
    <row r="5" spans="1:6" ht="18.95" customHeight="1">
      <c r="A5" s="508"/>
      <c r="B5" s="509"/>
      <c r="C5" s="509"/>
      <c r="D5" s="509"/>
      <c r="E5" s="509"/>
      <c r="F5" s="510"/>
    </row>
    <row r="6" spans="1:6" ht="18.95" customHeight="1">
      <c r="A6" s="368" t="s">
        <v>415</v>
      </c>
      <c r="B6" s="678" t="str">
        <f>'Performance Data Sheet'!C17</f>
        <v>WT-10163712</v>
      </c>
      <c r="C6" s="679"/>
      <c r="D6" s="680"/>
      <c r="E6" s="368" t="s">
        <v>416</v>
      </c>
      <c r="F6" s="369" t="s">
        <v>774</v>
      </c>
    </row>
    <row r="7" spans="1:6" ht="18.95" customHeight="1">
      <c r="A7" s="368" t="s">
        <v>417</v>
      </c>
      <c r="B7" s="369" t="str">
        <f>'Performance Data Sheet'!F14</f>
        <v>WP-II</v>
      </c>
      <c r="C7" s="368" t="s">
        <v>418</v>
      </c>
      <c r="D7" s="369" t="s">
        <v>773</v>
      </c>
      <c r="E7" s="368" t="s">
        <v>419</v>
      </c>
      <c r="F7" s="369" t="str">
        <f>'Performance Data Sheet'!C14</f>
        <v>5012USS</v>
      </c>
    </row>
    <row r="8" spans="1:6" ht="18.95" customHeight="1">
      <c r="A8" s="368" t="s">
        <v>420</v>
      </c>
      <c r="B8" s="369">
        <v>2</v>
      </c>
      <c r="C8" s="368" t="s">
        <v>421</v>
      </c>
      <c r="D8" s="369" t="s">
        <v>422</v>
      </c>
      <c r="E8" s="368" t="s">
        <v>423</v>
      </c>
      <c r="F8" s="369" t="s">
        <v>358</v>
      </c>
    </row>
    <row r="9" spans="1:6" ht="18.95" customHeight="1">
      <c r="A9" s="368" t="s">
        <v>424</v>
      </c>
      <c r="B9" s="369">
        <v>1000</v>
      </c>
      <c r="C9" s="368" t="s">
        <v>425</v>
      </c>
      <c r="D9" s="369" t="s">
        <v>436</v>
      </c>
      <c r="E9" s="368" t="s">
        <v>2</v>
      </c>
      <c r="F9" s="370">
        <f>'Performance Data Sheet'!K44</f>
        <v>45737</v>
      </c>
    </row>
    <row r="10" spans="1:6" ht="18.95" customHeight="1">
      <c r="A10" s="368" t="s">
        <v>426</v>
      </c>
      <c r="B10" s="369">
        <v>3560</v>
      </c>
      <c r="C10" s="368" t="s">
        <v>257</v>
      </c>
      <c r="D10" s="369" t="s">
        <v>427</v>
      </c>
      <c r="E10" s="368" t="s">
        <v>1</v>
      </c>
      <c r="F10" s="369" t="s">
        <v>634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 t="s">
        <v>428</v>
      </c>
      <c r="C12" s="372" t="s">
        <v>775</v>
      </c>
      <c r="D12" s="371" t="s">
        <v>256</v>
      </c>
      <c r="E12" s="372" t="s">
        <v>427</v>
      </c>
      <c r="F12" s="367"/>
    </row>
    <row r="13" spans="1:6" ht="18.95" customHeight="1">
      <c r="A13" s="365"/>
      <c r="B13" s="371" t="s">
        <v>429</v>
      </c>
      <c r="C13" s="373">
        <v>1.2</v>
      </c>
      <c r="D13" s="371" t="s">
        <v>430</v>
      </c>
      <c r="E13" s="357" t="s">
        <v>427</v>
      </c>
      <c r="F13" s="367"/>
    </row>
    <row r="14" spans="1:6" ht="18.95" customHeight="1">
      <c r="A14" s="365"/>
      <c r="B14" s="371" t="s">
        <v>431</v>
      </c>
      <c r="C14" s="373">
        <v>2.5</v>
      </c>
      <c r="D14" s="371" t="s">
        <v>258</v>
      </c>
      <c r="E14" s="357" t="s">
        <v>427</v>
      </c>
      <c r="F14" s="367"/>
    </row>
    <row r="15" spans="1:6" ht="18.95" customHeight="1">
      <c r="A15" s="365"/>
      <c r="B15" s="371" t="s">
        <v>259</v>
      </c>
      <c r="C15" s="372" t="s">
        <v>437</v>
      </c>
      <c r="D15" s="366"/>
      <c r="E15" s="366"/>
      <c r="F15" s="367"/>
    </row>
    <row r="16" spans="1:6" ht="18.95" customHeight="1">
      <c r="A16" s="508"/>
      <c r="B16" s="509"/>
      <c r="C16" s="509"/>
      <c r="D16" s="509"/>
      <c r="E16" s="509"/>
      <c r="F16" s="510"/>
    </row>
    <row r="17" spans="1:8" ht="18.95" customHeight="1">
      <c r="A17" s="508"/>
      <c r="B17" s="509"/>
      <c r="C17" s="509"/>
      <c r="D17" s="509"/>
      <c r="E17" s="509"/>
      <c r="F17" s="510"/>
    </row>
    <row r="18" spans="1:8" ht="18.95" customHeight="1">
      <c r="A18" s="508"/>
      <c r="B18" s="509"/>
      <c r="C18" s="509"/>
      <c r="D18" s="509"/>
      <c r="E18" s="509"/>
      <c r="F18" s="510"/>
    </row>
    <row r="19" spans="1:8" ht="18.95" customHeight="1">
      <c r="A19" s="508"/>
      <c r="B19" s="509"/>
      <c r="C19" s="509"/>
      <c r="D19" s="509"/>
      <c r="E19" s="509"/>
      <c r="F19" s="510"/>
    </row>
    <row r="20" spans="1:8" ht="18.95" customHeight="1">
      <c r="A20" s="508"/>
      <c r="B20" s="509"/>
      <c r="C20" s="509"/>
      <c r="D20" s="509"/>
      <c r="E20" s="509"/>
      <c r="F20" s="510"/>
    </row>
    <row r="21" spans="1:8" ht="18.95" customHeight="1">
      <c r="A21" s="508"/>
      <c r="B21" s="509"/>
      <c r="C21" s="509"/>
      <c r="D21" s="509"/>
      <c r="E21" s="509"/>
      <c r="F21" s="510"/>
    </row>
    <row r="22" spans="1:8" ht="18.95" customHeight="1">
      <c r="A22" s="508"/>
      <c r="B22" s="509"/>
      <c r="C22" s="509"/>
      <c r="D22" s="509"/>
      <c r="E22" s="509"/>
      <c r="F22" s="510"/>
    </row>
    <row r="23" spans="1:8" ht="18.95" customHeight="1">
      <c r="A23" s="508"/>
      <c r="B23" s="509"/>
      <c r="C23" s="509"/>
      <c r="D23" s="509"/>
      <c r="E23" s="509"/>
      <c r="F23" s="510"/>
    </row>
    <row r="24" spans="1:8" ht="18.95" customHeight="1">
      <c r="A24" s="508"/>
      <c r="B24" s="509"/>
      <c r="C24" s="509"/>
      <c r="D24" s="509"/>
      <c r="E24" s="509"/>
      <c r="F24" s="510"/>
      <c r="H24" s="511"/>
    </row>
    <row r="25" spans="1:8" ht="18.95" customHeight="1">
      <c r="A25" s="508"/>
      <c r="B25" s="509"/>
      <c r="C25" s="509"/>
      <c r="D25" s="509"/>
      <c r="E25" s="509"/>
      <c r="F25" s="510"/>
    </row>
    <row r="26" spans="1:8" ht="18.95" customHeight="1">
      <c r="A26" s="508"/>
      <c r="B26" s="509"/>
      <c r="C26" s="509"/>
      <c r="D26" s="509"/>
      <c r="E26" s="509"/>
      <c r="F26" s="510"/>
    </row>
    <row r="27" spans="1:8" ht="18.95" customHeight="1">
      <c r="A27" s="508"/>
      <c r="B27" s="509"/>
      <c r="C27" s="509"/>
      <c r="D27" s="509"/>
      <c r="E27" s="509"/>
      <c r="F27" s="510"/>
    </row>
    <row r="28" spans="1:8" ht="18.95" customHeight="1">
      <c r="A28" s="508"/>
      <c r="B28" s="509"/>
      <c r="C28" s="509"/>
      <c r="D28" s="509"/>
      <c r="E28" s="509"/>
      <c r="F28" s="510"/>
    </row>
    <row r="29" spans="1:8" ht="18.95" customHeight="1">
      <c r="A29" s="508"/>
      <c r="B29" s="509"/>
      <c r="C29" s="509"/>
      <c r="D29" s="509"/>
      <c r="E29" s="509"/>
      <c r="F29" s="510"/>
    </row>
    <row r="30" spans="1:8" ht="18.95" customHeight="1">
      <c r="A30" s="508"/>
      <c r="B30" s="509"/>
      <c r="C30" s="509"/>
      <c r="D30" s="509"/>
      <c r="E30" s="509"/>
      <c r="F30" s="510"/>
    </row>
    <row r="31" spans="1:8" ht="18.95" customHeight="1">
      <c r="A31" s="508"/>
      <c r="B31" s="509"/>
      <c r="C31" s="509"/>
      <c r="D31" s="509"/>
      <c r="E31" s="509"/>
      <c r="F31" s="510"/>
    </row>
    <row r="32" spans="1:8" ht="18.95" customHeight="1">
      <c r="A32" s="508"/>
      <c r="B32" s="509"/>
      <c r="C32" s="509"/>
      <c r="D32" s="509"/>
      <c r="E32" s="509"/>
      <c r="F32" s="510"/>
    </row>
    <row r="33" spans="1:15" ht="18.95" customHeight="1">
      <c r="A33" s="508"/>
      <c r="B33" s="509"/>
      <c r="C33" s="509"/>
      <c r="D33" s="509"/>
      <c r="E33" s="509"/>
      <c r="F33" s="510"/>
    </row>
    <row r="34" spans="1:15" ht="18.95" customHeight="1">
      <c r="A34" s="508"/>
      <c r="B34" s="509"/>
      <c r="C34" s="509"/>
      <c r="D34" s="509"/>
      <c r="E34" s="509"/>
      <c r="F34" s="510"/>
    </row>
    <row r="35" spans="1:15" ht="18.95" customHeight="1">
      <c r="A35" s="508"/>
      <c r="B35" s="509"/>
      <c r="C35" s="509"/>
      <c r="D35" s="509"/>
      <c r="E35" s="509"/>
      <c r="F35" s="510"/>
    </row>
    <row r="36" spans="1:15" ht="18.95" customHeight="1">
      <c r="A36" s="508"/>
      <c r="B36" s="509"/>
      <c r="C36" s="509"/>
      <c r="D36" s="509"/>
      <c r="E36" s="509"/>
      <c r="F36" s="510"/>
      <c r="N36" s="512" t="s">
        <v>754</v>
      </c>
      <c r="O36" s="512" t="s">
        <v>755</v>
      </c>
    </row>
    <row r="37" spans="1:15" ht="18.95" customHeight="1">
      <c r="A37" s="508"/>
      <c r="B37" s="509"/>
      <c r="C37" s="509"/>
      <c r="D37" s="509"/>
      <c r="E37" s="509"/>
      <c r="F37" s="510"/>
      <c r="N37" s="512">
        <f xml:space="preserve"> L43 - (L43-L44) / 10 * 0</f>
        <v>3600</v>
      </c>
      <c r="O37" s="512">
        <f xml:space="preserve"> L45 / 10 * 10</f>
        <v>2000</v>
      </c>
    </row>
    <row r="38" spans="1:15" ht="18.95" customHeight="1">
      <c r="A38" s="508"/>
      <c r="B38" s="509"/>
      <c r="C38" s="509"/>
      <c r="D38" s="509"/>
      <c r="E38" s="509"/>
      <c r="F38" s="510"/>
      <c r="N38" s="512">
        <f xml:space="preserve"> L43 - (L43-L44) / 10 * 1</f>
        <v>3595</v>
      </c>
      <c r="O38" s="512">
        <f xml:space="preserve"> L45 / 10 * 9</f>
        <v>1800</v>
      </c>
    </row>
    <row r="39" spans="1:15" ht="18.95" customHeight="1">
      <c r="A39" s="374" t="s">
        <v>432</v>
      </c>
      <c r="B39" s="375" t="s">
        <v>366</v>
      </c>
      <c r="C39" s="693" t="str">
        <f>'Performance Data Sheet'!C10</f>
        <v xml:space="preserve">2361573.1 </v>
      </c>
      <c r="D39" s="366"/>
      <c r="E39" s="371" t="s">
        <v>433</v>
      </c>
      <c r="F39" s="376" t="str">
        <f>F10</f>
        <v>1T2M20K</v>
      </c>
      <c r="N39" s="512">
        <f xml:space="preserve"> L43 - (L43-L44) / 10 * 2</f>
        <v>3590</v>
      </c>
      <c r="O39" s="512">
        <f xml:space="preserve"> L45 / 10 * 8</f>
        <v>1600</v>
      </c>
    </row>
    <row r="40" spans="1:15" ht="18.95" customHeight="1">
      <c r="A40" s="365"/>
      <c r="B40" s="375"/>
      <c r="C40" s="375"/>
      <c r="D40" s="366"/>
      <c r="E40" s="366"/>
      <c r="F40" s="367"/>
      <c r="N40" s="512">
        <f xml:space="preserve"> L43 - (L43-L44) / 10 * 3</f>
        <v>3585</v>
      </c>
      <c r="O40" s="512">
        <f xml:space="preserve"> L45 / 10 * 7</f>
        <v>1400</v>
      </c>
    </row>
    <row r="41" spans="1:15" ht="18.95" customHeight="1">
      <c r="A41" s="365"/>
      <c r="B41" s="375"/>
      <c r="C41" s="375"/>
      <c r="D41" s="366"/>
      <c r="E41" s="366"/>
      <c r="F41" s="367"/>
      <c r="N41" s="512">
        <f xml:space="preserve"> L43 - (L43-L44) / 10 * 4</f>
        <v>3580</v>
      </c>
      <c r="O41" s="512">
        <f xml:space="preserve"> L45 / 10 * 6</f>
        <v>1200</v>
      </c>
    </row>
    <row r="42" spans="1:15" ht="18.95" customHeight="1">
      <c r="A42" s="365"/>
      <c r="B42" s="366"/>
      <c r="C42" s="366"/>
      <c r="D42" s="366"/>
      <c r="E42" s="366"/>
      <c r="F42" s="367"/>
      <c r="N42" s="512">
        <f xml:space="preserve"> L43 - (L43-L44) / 10 * 5</f>
        <v>3575</v>
      </c>
      <c r="O42" s="512">
        <f xml:space="preserve"> L45 / 10 * 5</f>
        <v>1000</v>
      </c>
    </row>
    <row r="43" spans="1:15" ht="18.95" customHeight="1">
      <c r="A43" s="377"/>
      <c r="B43" s="375"/>
      <c r="C43" s="378" t="s">
        <v>434</v>
      </c>
      <c r="D43" s="379" t="str">
        <f>'Performance Data Sheet'!K42</f>
        <v>JERRY R</v>
      </c>
      <c r="E43" s="378" t="s">
        <v>435</v>
      </c>
      <c r="F43" s="379"/>
      <c r="K43" s="513" t="s">
        <v>756</v>
      </c>
      <c r="L43" s="514">
        <v>3600</v>
      </c>
      <c r="N43" s="512">
        <f xml:space="preserve"> L43 - (L43-L44) / 10 * 6</f>
        <v>3570</v>
      </c>
      <c r="O43" s="512">
        <f xml:space="preserve"> L45 / 10 * 4</f>
        <v>800</v>
      </c>
    </row>
    <row r="44" spans="1:15" ht="15" customHeight="1">
      <c r="K44" s="513" t="s">
        <v>757</v>
      </c>
      <c r="L44" s="515">
        <v>3550</v>
      </c>
      <c r="N44" s="512">
        <f xml:space="preserve"> L43 - (L43-L44) / 10 * 7</f>
        <v>3565</v>
      </c>
      <c r="O44" s="512">
        <f xml:space="preserve"> L45 / 10 * 3</f>
        <v>600</v>
      </c>
    </row>
    <row r="45" spans="1:15" ht="15" customHeight="1">
      <c r="K45" s="513" t="s">
        <v>758</v>
      </c>
      <c r="L45" s="515">
        <v>2000</v>
      </c>
      <c r="N45" s="512">
        <f xml:space="preserve"> L43 - (L43-L44) / 10 * 8</f>
        <v>3560</v>
      </c>
      <c r="O45" s="512">
        <f xml:space="preserve"> L45 / 10 * 2</f>
        <v>400</v>
      </c>
    </row>
    <row r="46" spans="1:15" ht="15" customHeight="1">
      <c r="N46" s="512">
        <f xml:space="preserve"> L43 - (L43-L44) / 10 * 9</f>
        <v>3555</v>
      </c>
      <c r="O46" s="512">
        <f xml:space="preserve"> L45 / 10 * 1</f>
        <v>200</v>
      </c>
    </row>
    <row r="47" spans="1:15" ht="15" customHeight="1">
      <c r="N47" s="512">
        <f xml:space="preserve"> L43 - (L43-L44) / 10 * 10</f>
        <v>3550</v>
      </c>
      <c r="O47" s="512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90" t="s">
        <v>759</v>
      </c>
      <c r="B52" s="691"/>
      <c r="C52" s="691"/>
      <c r="D52" s="691"/>
      <c r="E52" s="691"/>
      <c r="F52" s="692"/>
    </row>
    <row r="53" spans="1:6" ht="15" customHeight="1" thickBot="1">
      <c r="A53" s="516" t="s">
        <v>255</v>
      </c>
      <c r="B53" s="516" t="s">
        <v>142</v>
      </c>
      <c r="C53" s="516" t="s">
        <v>120</v>
      </c>
      <c r="D53" s="516" t="s">
        <v>135</v>
      </c>
      <c r="E53" s="516" t="s">
        <v>5</v>
      </c>
      <c r="F53" s="517" t="s">
        <v>760</v>
      </c>
    </row>
    <row r="54" spans="1:6" ht="15" customHeight="1">
      <c r="A54" s="518">
        <v>0</v>
      </c>
      <c r="B54" s="519"/>
      <c r="C54" s="520"/>
      <c r="D54" s="520">
        <v>28</v>
      </c>
      <c r="E54" s="520">
        <v>100</v>
      </c>
      <c r="F54" s="521">
        <f>9000/(L45*1000) * 100</f>
        <v>0.44999999999999996</v>
      </c>
    </row>
    <row r="55" spans="1:6" ht="15" customHeight="1">
      <c r="A55" s="522">
        <v>25</v>
      </c>
      <c r="B55" s="523">
        <v>91.199996948242188</v>
      </c>
      <c r="C55" s="524">
        <v>64.300003051757813</v>
      </c>
      <c r="D55" s="524">
        <v>45.909999847412109</v>
      </c>
      <c r="E55" s="524">
        <f xml:space="preserve"> (1.007607*B10-L44)/(L43-L44)*100</f>
        <v>74.161839999999756</v>
      </c>
      <c r="F55" s="525">
        <f xml:space="preserve"> 204521.5/(L45*1000)*100</f>
        <v>10.226075</v>
      </c>
    </row>
    <row r="56" spans="1:6" ht="15" customHeight="1">
      <c r="A56" s="522">
        <v>50</v>
      </c>
      <c r="B56" s="523">
        <v>94</v>
      </c>
      <c r="C56" s="524">
        <v>82</v>
      </c>
      <c r="D56" s="524">
        <v>69.900001525878906</v>
      </c>
      <c r="E56" s="524">
        <f xml:space="preserve"> (1.005143*B10-L44)/(L43-L44)*100</f>
        <v>56.618159999999087</v>
      </c>
      <c r="F56" s="525">
        <f xml:space="preserve"> 397110.8/(L45*1000)*100</f>
        <v>19.855539999999998</v>
      </c>
    </row>
    <row r="57" spans="1:6">
      <c r="A57" s="522">
        <v>75</v>
      </c>
      <c r="B57" s="523">
        <v>94.599998474121094</v>
      </c>
      <c r="C57" s="524">
        <v>87.199996948242188</v>
      </c>
      <c r="D57" s="524">
        <v>97.919998168945313</v>
      </c>
      <c r="E57" s="524">
        <f xml:space="preserve"> (1.002618*B10-L44)/(L43-L44)*100</f>
        <v>38.640159999999923</v>
      </c>
      <c r="F57" s="525">
        <f xml:space="preserve"> 591573.2/(L45*1000)*100</f>
        <v>29.578659999999996</v>
      </c>
    </row>
    <row r="58" spans="1:6">
      <c r="A58" s="522">
        <v>100</v>
      </c>
      <c r="B58" s="523">
        <v>94.700004577636719</v>
      </c>
      <c r="C58" s="524">
        <v>88.900001525878906</v>
      </c>
      <c r="D58" s="524">
        <v>127.91999816894531</v>
      </c>
      <c r="E58" s="524">
        <f xml:space="preserve"> (1*B10-L44)/(L43-L44)*100</f>
        <v>20</v>
      </c>
      <c r="F58" s="525">
        <f xml:space="preserve"> 787881.4/(L45*1000)*100</f>
        <v>39.394070000000006</v>
      </c>
    </row>
    <row r="59" spans="1:6" ht="13.5" thickBot="1">
      <c r="A59" s="526">
        <v>125</v>
      </c>
      <c r="B59" s="527">
        <v>94.5</v>
      </c>
      <c r="C59" s="528">
        <v>89.300003051757813</v>
      </c>
      <c r="D59" s="528">
        <v>159.5</v>
      </c>
      <c r="E59" s="528">
        <f xml:space="preserve"> (0.9974132*B10-L44)/(L43-L44)*100</f>
        <v>1.5819840000003753</v>
      </c>
      <c r="F59" s="529">
        <f xml:space="preserve"> 986808.3/(L45*1000)*100</f>
        <v>49.340415000000007</v>
      </c>
    </row>
    <row r="60" spans="1:6">
      <c r="A60" s="530"/>
      <c r="B60" s="531"/>
      <c r="C60" s="531"/>
    </row>
    <row r="61" spans="1:6" ht="13.5" thickBot="1">
      <c r="A61" s="530"/>
      <c r="B61" s="531"/>
      <c r="C61" s="531"/>
    </row>
    <row r="62" spans="1:6" ht="13.5" thickBot="1">
      <c r="A62" s="690" t="s">
        <v>761</v>
      </c>
      <c r="B62" s="691"/>
      <c r="C62" s="691"/>
      <c r="D62" s="691"/>
      <c r="E62" s="691"/>
      <c r="F62" s="692"/>
    </row>
    <row r="63" spans="1:6" ht="13.5" thickBot="1">
      <c r="A63" s="516" t="s">
        <v>255</v>
      </c>
      <c r="B63" s="516" t="s">
        <v>142</v>
      </c>
      <c r="C63" s="516" t="s">
        <v>120</v>
      </c>
      <c r="D63" s="516" t="s">
        <v>135</v>
      </c>
      <c r="E63" s="516" t="s">
        <v>5</v>
      </c>
      <c r="F63" s="517" t="s">
        <v>760</v>
      </c>
    </row>
    <row r="64" spans="1:6">
      <c r="A64" s="518">
        <v>0</v>
      </c>
      <c r="B64" s="519"/>
      <c r="C64" s="520"/>
      <c r="D64" s="520">
        <v>31.25104786065527</v>
      </c>
      <c r="E64" s="520">
        <v>100</v>
      </c>
      <c r="F64" s="521">
        <v>13.454629186880805</v>
      </c>
    </row>
    <row r="65" spans="1:6">
      <c r="A65" s="522">
        <v>25</v>
      </c>
      <c r="B65" s="523">
        <v>91.240882873535156</v>
      </c>
      <c r="C65" s="524">
        <v>64.29095458984375</v>
      </c>
      <c r="D65" s="524">
        <v>45.903999328613281</v>
      </c>
      <c r="E65" s="524">
        <v>77.291646016742703</v>
      </c>
      <c r="F65" s="525">
        <v>10.222998223287112</v>
      </c>
    </row>
    <row r="66" spans="1:6">
      <c r="A66" s="522">
        <v>50</v>
      </c>
      <c r="B66" s="523">
        <v>93.97198486328125</v>
      </c>
      <c r="C66" s="524">
        <v>81.995407104492188</v>
      </c>
      <c r="D66" s="524">
        <v>69.892715454101563</v>
      </c>
      <c r="E66" s="524">
        <v>61.286286693875013</v>
      </c>
      <c r="F66" s="525">
        <v>19.851774297698618</v>
      </c>
    </row>
    <row r="67" spans="1:6">
      <c r="A67" s="522">
        <v>75</v>
      </c>
      <c r="B67" s="523">
        <v>94.610946655273438</v>
      </c>
      <c r="C67" s="524">
        <v>87.203964233398438</v>
      </c>
      <c r="D67" s="524">
        <v>97.911460876464844</v>
      </c>
      <c r="E67" s="524">
        <v>44.880058495999656</v>
      </c>
      <c r="F67" s="525">
        <v>29.576558220991625</v>
      </c>
    </row>
    <row r="68" spans="1:6">
      <c r="A68" s="522">
        <v>100</v>
      </c>
      <c r="B68" s="523">
        <v>94.690391540527344</v>
      </c>
      <c r="C68" s="524">
        <v>88.923942565917969</v>
      </c>
      <c r="D68" s="524">
        <v>127.91610717773438</v>
      </c>
      <c r="E68" s="524">
        <v>28.029061354667473</v>
      </c>
      <c r="F68" s="525">
        <v>39.402322421390757</v>
      </c>
    </row>
    <row r="69" spans="1:6" ht="13.5" thickBot="1">
      <c r="A69" s="526">
        <v>125</v>
      </c>
      <c r="B69" s="527">
        <v>94.539886474609375</v>
      </c>
      <c r="C69" s="528">
        <v>89.28759765625</v>
      </c>
      <c r="D69" s="528">
        <v>159.49742126464844</v>
      </c>
      <c r="E69" s="528">
        <v>11.206406396323221</v>
      </c>
      <c r="F69" s="529">
        <v>49.33131643709779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F167-434E-4EB0-922A-FFC4217635DC}">
  <sheetPr>
    <pageSetUpPr fitToPage="1"/>
  </sheetPr>
  <dimension ref="A1:O69"/>
  <sheetViews>
    <sheetView workbookViewId="0">
      <selection activeCell="F11" sqref="F11"/>
    </sheetView>
  </sheetViews>
  <sheetFormatPr defaultRowHeight="12.75"/>
  <cols>
    <col min="1" max="6" width="16.7109375" style="503" customWidth="1"/>
    <col min="7" max="256" width="9.140625" style="503"/>
    <col min="257" max="262" width="16.7109375" style="503" customWidth="1"/>
    <col min="263" max="512" width="9.140625" style="503"/>
    <col min="513" max="518" width="16.7109375" style="503" customWidth="1"/>
    <col min="519" max="768" width="9.140625" style="503"/>
    <col min="769" max="774" width="16.7109375" style="503" customWidth="1"/>
    <col min="775" max="1024" width="9.140625" style="503"/>
    <col min="1025" max="1030" width="16.7109375" style="503" customWidth="1"/>
    <col min="1031" max="1280" width="9.140625" style="503"/>
    <col min="1281" max="1286" width="16.7109375" style="503" customWidth="1"/>
    <col min="1287" max="1536" width="9.140625" style="503"/>
    <col min="1537" max="1542" width="16.7109375" style="503" customWidth="1"/>
    <col min="1543" max="1792" width="9.140625" style="503"/>
    <col min="1793" max="1798" width="16.7109375" style="503" customWidth="1"/>
    <col min="1799" max="2048" width="9.140625" style="503"/>
    <col min="2049" max="2054" width="16.7109375" style="503" customWidth="1"/>
    <col min="2055" max="2304" width="9.140625" style="503"/>
    <col min="2305" max="2310" width="16.7109375" style="503" customWidth="1"/>
    <col min="2311" max="2560" width="9.140625" style="503"/>
    <col min="2561" max="2566" width="16.7109375" style="503" customWidth="1"/>
    <col min="2567" max="2816" width="9.140625" style="503"/>
    <col min="2817" max="2822" width="16.7109375" style="503" customWidth="1"/>
    <col min="2823" max="3072" width="9.140625" style="503"/>
    <col min="3073" max="3078" width="16.7109375" style="503" customWidth="1"/>
    <col min="3079" max="3328" width="9.140625" style="503"/>
    <col min="3329" max="3334" width="16.7109375" style="503" customWidth="1"/>
    <col min="3335" max="3584" width="9.140625" style="503"/>
    <col min="3585" max="3590" width="16.7109375" style="503" customWidth="1"/>
    <col min="3591" max="3840" width="9.140625" style="503"/>
    <col min="3841" max="3846" width="16.7109375" style="503" customWidth="1"/>
    <col min="3847" max="4096" width="9.140625" style="503"/>
    <col min="4097" max="4102" width="16.7109375" style="503" customWidth="1"/>
    <col min="4103" max="4352" width="9.140625" style="503"/>
    <col min="4353" max="4358" width="16.7109375" style="503" customWidth="1"/>
    <col min="4359" max="4608" width="9.140625" style="503"/>
    <col min="4609" max="4614" width="16.7109375" style="503" customWidth="1"/>
    <col min="4615" max="4864" width="9.140625" style="503"/>
    <col min="4865" max="4870" width="16.7109375" style="503" customWidth="1"/>
    <col min="4871" max="5120" width="9.140625" style="503"/>
    <col min="5121" max="5126" width="16.7109375" style="503" customWidth="1"/>
    <col min="5127" max="5376" width="9.140625" style="503"/>
    <col min="5377" max="5382" width="16.7109375" style="503" customWidth="1"/>
    <col min="5383" max="5632" width="9.140625" style="503"/>
    <col min="5633" max="5638" width="16.7109375" style="503" customWidth="1"/>
    <col min="5639" max="5888" width="9.140625" style="503"/>
    <col min="5889" max="5894" width="16.7109375" style="503" customWidth="1"/>
    <col min="5895" max="6144" width="9.140625" style="503"/>
    <col min="6145" max="6150" width="16.7109375" style="503" customWidth="1"/>
    <col min="6151" max="6400" width="9.140625" style="503"/>
    <col min="6401" max="6406" width="16.7109375" style="503" customWidth="1"/>
    <col min="6407" max="6656" width="9.140625" style="503"/>
    <col min="6657" max="6662" width="16.7109375" style="503" customWidth="1"/>
    <col min="6663" max="6912" width="9.140625" style="503"/>
    <col min="6913" max="6918" width="16.7109375" style="503" customWidth="1"/>
    <col min="6919" max="7168" width="9.140625" style="503"/>
    <col min="7169" max="7174" width="16.7109375" style="503" customWidth="1"/>
    <col min="7175" max="7424" width="9.140625" style="503"/>
    <col min="7425" max="7430" width="16.7109375" style="503" customWidth="1"/>
    <col min="7431" max="7680" width="9.140625" style="503"/>
    <col min="7681" max="7686" width="16.7109375" style="503" customWidth="1"/>
    <col min="7687" max="7936" width="9.140625" style="503"/>
    <col min="7937" max="7942" width="16.7109375" style="503" customWidth="1"/>
    <col min="7943" max="8192" width="9.140625" style="503"/>
    <col min="8193" max="8198" width="16.7109375" style="503" customWidth="1"/>
    <col min="8199" max="8448" width="9.140625" style="503"/>
    <col min="8449" max="8454" width="16.7109375" style="503" customWidth="1"/>
    <col min="8455" max="8704" width="9.140625" style="503"/>
    <col min="8705" max="8710" width="16.7109375" style="503" customWidth="1"/>
    <col min="8711" max="8960" width="9.140625" style="503"/>
    <col min="8961" max="8966" width="16.7109375" style="503" customWidth="1"/>
    <col min="8967" max="9216" width="9.140625" style="503"/>
    <col min="9217" max="9222" width="16.7109375" style="503" customWidth="1"/>
    <col min="9223" max="9472" width="9.140625" style="503"/>
    <col min="9473" max="9478" width="16.7109375" style="503" customWidth="1"/>
    <col min="9479" max="9728" width="9.140625" style="503"/>
    <col min="9729" max="9734" width="16.7109375" style="503" customWidth="1"/>
    <col min="9735" max="9984" width="9.140625" style="503"/>
    <col min="9985" max="9990" width="16.7109375" style="503" customWidth="1"/>
    <col min="9991" max="10240" width="9.140625" style="503"/>
    <col min="10241" max="10246" width="16.7109375" style="503" customWidth="1"/>
    <col min="10247" max="10496" width="9.140625" style="503"/>
    <col min="10497" max="10502" width="16.7109375" style="503" customWidth="1"/>
    <col min="10503" max="10752" width="9.140625" style="503"/>
    <col min="10753" max="10758" width="16.7109375" style="503" customWidth="1"/>
    <col min="10759" max="11008" width="9.140625" style="503"/>
    <col min="11009" max="11014" width="16.7109375" style="503" customWidth="1"/>
    <col min="11015" max="11264" width="9.140625" style="503"/>
    <col min="11265" max="11270" width="16.7109375" style="503" customWidth="1"/>
    <col min="11271" max="11520" width="9.140625" style="503"/>
    <col min="11521" max="11526" width="16.7109375" style="503" customWidth="1"/>
    <col min="11527" max="11776" width="9.140625" style="503"/>
    <col min="11777" max="11782" width="16.7109375" style="503" customWidth="1"/>
    <col min="11783" max="12032" width="9.140625" style="503"/>
    <col min="12033" max="12038" width="16.7109375" style="503" customWidth="1"/>
    <col min="12039" max="12288" width="9.140625" style="503"/>
    <col min="12289" max="12294" width="16.7109375" style="503" customWidth="1"/>
    <col min="12295" max="12544" width="9.140625" style="503"/>
    <col min="12545" max="12550" width="16.7109375" style="503" customWidth="1"/>
    <col min="12551" max="12800" width="9.140625" style="503"/>
    <col min="12801" max="12806" width="16.7109375" style="503" customWidth="1"/>
    <col min="12807" max="13056" width="9.140625" style="503"/>
    <col min="13057" max="13062" width="16.7109375" style="503" customWidth="1"/>
    <col min="13063" max="13312" width="9.140625" style="503"/>
    <col min="13313" max="13318" width="16.7109375" style="503" customWidth="1"/>
    <col min="13319" max="13568" width="9.140625" style="503"/>
    <col min="13569" max="13574" width="16.7109375" style="503" customWidth="1"/>
    <col min="13575" max="13824" width="9.140625" style="503"/>
    <col min="13825" max="13830" width="16.7109375" style="503" customWidth="1"/>
    <col min="13831" max="14080" width="9.140625" style="503"/>
    <col min="14081" max="14086" width="16.7109375" style="503" customWidth="1"/>
    <col min="14087" max="14336" width="9.140625" style="503"/>
    <col min="14337" max="14342" width="16.7109375" style="503" customWidth="1"/>
    <col min="14343" max="14592" width="9.140625" style="503"/>
    <col min="14593" max="14598" width="16.7109375" style="503" customWidth="1"/>
    <col min="14599" max="14848" width="9.140625" style="503"/>
    <col min="14849" max="14854" width="16.7109375" style="503" customWidth="1"/>
    <col min="14855" max="15104" width="9.140625" style="503"/>
    <col min="15105" max="15110" width="16.7109375" style="503" customWidth="1"/>
    <col min="15111" max="15360" width="9.140625" style="503"/>
    <col min="15361" max="15366" width="16.7109375" style="503" customWidth="1"/>
    <col min="15367" max="15616" width="9.140625" style="503"/>
    <col min="15617" max="15622" width="16.7109375" style="503" customWidth="1"/>
    <col min="15623" max="15872" width="9.140625" style="503"/>
    <col min="15873" max="15878" width="16.7109375" style="503" customWidth="1"/>
    <col min="15879" max="16128" width="9.140625" style="503"/>
    <col min="16129" max="16134" width="16.7109375" style="503" customWidth="1"/>
    <col min="16135" max="16384" width="9.140625" style="503"/>
  </cols>
  <sheetData>
    <row r="1" spans="1:6" ht="18.95" customHeight="1">
      <c r="A1" s="500"/>
      <c r="B1" s="501"/>
      <c r="C1" s="501"/>
      <c r="D1" s="501"/>
      <c r="E1" s="501"/>
      <c r="F1" s="502"/>
    </row>
    <row r="2" spans="1:6" ht="26.1" customHeight="1">
      <c r="A2" s="504" t="s">
        <v>265</v>
      </c>
      <c r="B2" s="505"/>
      <c r="C2" s="505"/>
      <c r="D2" s="505"/>
      <c r="E2" s="505"/>
      <c r="F2" s="506"/>
    </row>
    <row r="3" spans="1:6" ht="18.95" customHeight="1">
      <c r="A3" s="507" t="s">
        <v>753</v>
      </c>
      <c r="B3" s="505"/>
      <c r="C3" s="505"/>
      <c r="D3" s="505"/>
      <c r="E3" s="505"/>
      <c r="F3" s="506"/>
    </row>
    <row r="4" spans="1:6" ht="18.95" customHeight="1">
      <c r="A4" s="687" t="s">
        <v>590</v>
      </c>
      <c r="B4" s="688"/>
      <c r="C4" s="688"/>
      <c r="D4" s="688"/>
      <c r="E4" s="688"/>
      <c r="F4" s="689"/>
    </row>
    <row r="5" spans="1:6" ht="18.95" customHeight="1">
      <c r="A5" s="508"/>
      <c r="B5" s="509"/>
      <c r="C5" s="509"/>
      <c r="D5" s="509"/>
      <c r="E5" s="509"/>
      <c r="F5" s="510"/>
    </row>
    <row r="6" spans="1:6" ht="18.95" customHeight="1">
      <c r="A6" s="368" t="s">
        <v>415</v>
      </c>
      <c r="B6" s="678" t="str">
        <f>'Performance Data Sheet'!C17</f>
        <v>WT-10163712</v>
      </c>
      <c r="C6" s="679"/>
      <c r="D6" s="680"/>
      <c r="E6" s="368" t="s">
        <v>416</v>
      </c>
      <c r="F6" s="369" t="s">
        <v>776</v>
      </c>
    </row>
    <row r="7" spans="1:6" ht="18.95" customHeight="1">
      <c r="A7" s="368" t="s">
        <v>417</v>
      </c>
      <c r="B7" s="369" t="str">
        <f>'Performance Data Sheet'!F14</f>
        <v>WP-II</v>
      </c>
      <c r="C7" s="368" t="s">
        <v>418</v>
      </c>
      <c r="D7" s="369" t="s">
        <v>777</v>
      </c>
      <c r="E7" s="368" t="s">
        <v>419</v>
      </c>
      <c r="F7" s="369" t="str">
        <f>'Performance Data Sheet'!C14</f>
        <v>5012USS</v>
      </c>
    </row>
    <row r="8" spans="1:6" ht="18.95" customHeight="1">
      <c r="A8" s="368" t="s">
        <v>420</v>
      </c>
      <c r="B8" s="369">
        <v>2</v>
      </c>
      <c r="C8" s="368" t="s">
        <v>421</v>
      </c>
      <c r="D8" s="369" t="s">
        <v>422</v>
      </c>
      <c r="E8" s="368" t="s">
        <v>423</v>
      </c>
      <c r="F8" s="369" t="s">
        <v>358</v>
      </c>
    </row>
    <row r="9" spans="1:6" ht="18.95" customHeight="1">
      <c r="A9" s="368" t="s">
        <v>424</v>
      </c>
      <c r="B9" s="369">
        <v>1000</v>
      </c>
      <c r="C9" s="368" t="s">
        <v>425</v>
      </c>
      <c r="D9" s="369" t="s">
        <v>436</v>
      </c>
      <c r="E9" s="368" t="s">
        <v>2</v>
      </c>
      <c r="F9" s="370">
        <f>'Performance Data Sheet'!K44</f>
        <v>45737</v>
      </c>
    </row>
    <row r="10" spans="1:6" ht="18.95" customHeight="1">
      <c r="A10" s="368" t="s">
        <v>426</v>
      </c>
      <c r="B10" s="369">
        <v>3560</v>
      </c>
      <c r="C10" s="368" t="s">
        <v>257</v>
      </c>
      <c r="D10" s="369" t="s">
        <v>427</v>
      </c>
      <c r="E10" s="368" t="s">
        <v>1</v>
      </c>
      <c r="F10" s="369" t="s">
        <v>634</v>
      </c>
    </row>
    <row r="11" spans="1:6" ht="18.95" customHeight="1">
      <c r="A11" s="365"/>
      <c r="B11" s="366"/>
      <c r="C11" s="366"/>
      <c r="D11" s="366"/>
      <c r="E11" s="366"/>
      <c r="F11" s="367"/>
    </row>
    <row r="12" spans="1:6" ht="18.95" customHeight="1">
      <c r="A12" s="365"/>
      <c r="B12" s="371" t="s">
        <v>428</v>
      </c>
      <c r="C12" s="372" t="s">
        <v>778</v>
      </c>
      <c r="D12" s="371" t="s">
        <v>256</v>
      </c>
      <c r="E12" s="372" t="s">
        <v>427</v>
      </c>
      <c r="F12" s="367"/>
    </row>
    <row r="13" spans="1:6" ht="18.95" customHeight="1">
      <c r="A13" s="365"/>
      <c r="B13" s="371" t="s">
        <v>429</v>
      </c>
      <c r="C13" s="373">
        <v>1.2</v>
      </c>
      <c r="D13" s="371" t="s">
        <v>430</v>
      </c>
      <c r="E13" s="357" t="s">
        <v>427</v>
      </c>
      <c r="F13" s="367"/>
    </row>
    <row r="14" spans="1:6" ht="18.95" customHeight="1">
      <c r="A14" s="365"/>
      <c r="B14" s="371" t="s">
        <v>431</v>
      </c>
      <c r="C14" s="373">
        <v>2.5</v>
      </c>
      <c r="D14" s="371" t="s">
        <v>258</v>
      </c>
      <c r="E14" s="357" t="s">
        <v>427</v>
      </c>
      <c r="F14" s="367"/>
    </row>
    <row r="15" spans="1:6" ht="18.95" customHeight="1">
      <c r="A15" s="365"/>
      <c r="B15" s="371" t="s">
        <v>259</v>
      </c>
      <c r="C15" s="372" t="s">
        <v>437</v>
      </c>
      <c r="D15" s="366"/>
      <c r="E15" s="366"/>
      <c r="F15" s="367"/>
    </row>
    <row r="16" spans="1:6" ht="18.95" customHeight="1">
      <c r="A16" s="508"/>
      <c r="B16" s="509"/>
      <c r="C16" s="509"/>
      <c r="D16" s="509"/>
      <c r="E16" s="509"/>
      <c r="F16" s="510"/>
    </row>
    <row r="17" spans="1:8" ht="18.95" customHeight="1">
      <c r="A17" s="508"/>
      <c r="B17" s="509"/>
      <c r="C17" s="509"/>
      <c r="D17" s="509"/>
      <c r="E17" s="509"/>
      <c r="F17" s="510"/>
    </row>
    <row r="18" spans="1:8" ht="18.95" customHeight="1">
      <c r="A18" s="508"/>
      <c r="B18" s="509"/>
      <c r="C18" s="509"/>
      <c r="D18" s="509"/>
      <c r="E18" s="509"/>
      <c r="F18" s="510"/>
    </row>
    <row r="19" spans="1:8" ht="18.95" customHeight="1">
      <c r="A19" s="508"/>
      <c r="B19" s="509"/>
      <c r="C19" s="509"/>
      <c r="D19" s="509"/>
      <c r="E19" s="509"/>
      <c r="F19" s="510"/>
    </row>
    <row r="20" spans="1:8" ht="18.95" customHeight="1">
      <c r="A20" s="508"/>
      <c r="B20" s="509"/>
      <c r="C20" s="509"/>
      <c r="D20" s="509"/>
      <c r="E20" s="509"/>
      <c r="F20" s="510"/>
    </row>
    <row r="21" spans="1:8" ht="18.95" customHeight="1">
      <c r="A21" s="508"/>
      <c r="B21" s="509"/>
      <c r="C21" s="509"/>
      <c r="D21" s="509"/>
      <c r="E21" s="509"/>
      <c r="F21" s="510"/>
    </row>
    <row r="22" spans="1:8" ht="18.95" customHeight="1">
      <c r="A22" s="508"/>
      <c r="B22" s="509"/>
      <c r="C22" s="509"/>
      <c r="D22" s="509"/>
      <c r="E22" s="509"/>
      <c r="F22" s="510"/>
    </row>
    <row r="23" spans="1:8" ht="18.95" customHeight="1">
      <c r="A23" s="508"/>
      <c r="B23" s="509"/>
      <c r="C23" s="509"/>
      <c r="D23" s="509"/>
      <c r="E23" s="509"/>
      <c r="F23" s="510"/>
    </row>
    <row r="24" spans="1:8" ht="18.95" customHeight="1">
      <c r="A24" s="508"/>
      <c r="B24" s="509"/>
      <c r="C24" s="509"/>
      <c r="D24" s="509"/>
      <c r="E24" s="509"/>
      <c r="F24" s="510"/>
      <c r="H24" s="511"/>
    </row>
    <row r="25" spans="1:8" ht="18.95" customHeight="1">
      <c r="A25" s="508"/>
      <c r="B25" s="509"/>
      <c r="C25" s="509"/>
      <c r="D25" s="509"/>
      <c r="E25" s="509"/>
      <c r="F25" s="510"/>
    </row>
    <row r="26" spans="1:8" ht="18.95" customHeight="1">
      <c r="A26" s="508"/>
      <c r="B26" s="509"/>
      <c r="C26" s="509"/>
      <c r="D26" s="509"/>
      <c r="E26" s="509"/>
      <c r="F26" s="510"/>
    </row>
    <row r="27" spans="1:8" ht="18.95" customHeight="1">
      <c r="A27" s="508"/>
      <c r="B27" s="509"/>
      <c r="C27" s="509"/>
      <c r="D27" s="509"/>
      <c r="E27" s="509"/>
      <c r="F27" s="510"/>
    </row>
    <row r="28" spans="1:8" ht="18.95" customHeight="1">
      <c r="A28" s="508"/>
      <c r="B28" s="509"/>
      <c r="C28" s="509"/>
      <c r="D28" s="509"/>
      <c r="E28" s="509"/>
      <c r="F28" s="510"/>
    </row>
    <row r="29" spans="1:8" ht="18.95" customHeight="1">
      <c r="A29" s="508"/>
      <c r="B29" s="509"/>
      <c r="C29" s="509"/>
      <c r="D29" s="509"/>
      <c r="E29" s="509"/>
      <c r="F29" s="510"/>
    </row>
    <row r="30" spans="1:8" ht="18.95" customHeight="1">
      <c r="A30" s="508"/>
      <c r="B30" s="509"/>
      <c r="C30" s="509"/>
      <c r="D30" s="509"/>
      <c r="E30" s="509"/>
      <c r="F30" s="510"/>
    </row>
    <row r="31" spans="1:8" ht="18.95" customHeight="1">
      <c r="A31" s="508"/>
      <c r="B31" s="509"/>
      <c r="C31" s="509"/>
      <c r="D31" s="509"/>
      <c r="E31" s="509"/>
      <c r="F31" s="510"/>
    </row>
    <row r="32" spans="1:8" ht="18.95" customHeight="1">
      <c r="A32" s="508"/>
      <c r="B32" s="509"/>
      <c r="C32" s="509"/>
      <c r="D32" s="509"/>
      <c r="E32" s="509"/>
      <c r="F32" s="510"/>
    </row>
    <row r="33" spans="1:15" ht="18.95" customHeight="1">
      <c r="A33" s="508"/>
      <c r="B33" s="509"/>
      <c r="C33" s="509"/>
      <c r="D33" s="509"/>
      <c r="E33" s="509"/>
      <c r="F33" s="510"/>
    </row>
    <row r="34" spans="1:15" ht="18.95" customHeight="1">
      <c r="A34" s="508"/>
      <c r="B34" s="509"/>
      <c r="C34" s="509"/>
      <c r="D34" s="509"/>
      <c r="E34" s="509"/>
      <c r="F34" s="510"/>
    </row>
    <row r="35" spans="1:15" ht="18.95" customHeight="1">
      <c r="A35" s="508"/>
      <c r="B35" s="509"/>
      <c r="C35" s="509"/>
      <c r="D35" s="509"/>
      <c r="E35" s="509"/>
      <c r="F35" s="510"/>
    </row>
    <row r="36" spans="1:15" ht="18.95" customHeight="1">
      <c r="A36" s="508"/>
      <c r="B36" s="509"/>
      <c r="C36" s="509"/>
      <c r="D36" s="509"/>
      <c r="E36" s="509"/>
      <c r="F36" s="510"/>
      <c r="N36" s="512" t="s">
        <v>754</v>
      </c>
      <c r="O36" s="512" t="s">
        <v>755</v>
      </c>
    </row>
    <row r="37" spans="1:15" ht="18.95" customHeight="1">
      <c r="A37" s="508"/>
      <c r="B37" s="509"/>
      <c r="C37" s="509"/>
      <c r="D37" s="509"/>
      <c r="E37" s="509"/>
      <c r="F37" s="510"/>
      <c r="N37" s="512">
        <f xml:space="preserve"> L43 - (L43-L44) / 10 * 0</f>
        <v>3600</v>
      </c>
      <c r="O37" s="512">
        <f xml:space="preserve"> L45 / 10 * 10</f>
        <v>2000</v>
      </c>
    </row>
    <row r="38" spans="1:15" ht="18.95" customHeight="1">
      <c r="A38" s="508"/>
      <c r="B38" s="509"/>
      <c r="C38" s="509"/>
      <c r="D38" s="509"/>
      <c r="E38" s="509"/>
      <c r="F38" s="510"/>
      <c r="N38" s="512">
        <f xml:space="preserve"> L43 - (L43-L44) / 10 * 1</f>
        <v>3595</v>
      </c>
      <c r="O38" s="512">
        <f xml:space="preserve"> L45 / 10 * 9</f>
        <v>1800</v>
      </c>
    </row>
    <row r="39" spans="1:15" ht="18.95" customHeight="1">
      <c r="A39" s="374" t="s">
        <v>432</v>
      </c>
      <c r="B39" s="375" t="s">
        <v>366</v>
      </c>
      <c r="C39" s="693" t="str">
        <f>'Performance Data Sheet'!C10</f>
        <v xml:space="preserve">2361573.1 </v>
      </c>
      <c r="D39" s="366"/>
      <c r="E39" s="371" t="s">
        <v>433</v>
      </c>
      <c r="F39" s="376" t="str">
        <f>F10</f>
        <v>1T2M20K</v>
      </c>
      <c r="N39" s="512">
        <f xml:space="preserve"> L43 - (L43-L44) / 10 * 2</f>
        <v>3590</v>
      </c>
      <c r="O39" s="512">
        <f xml:space="preserve"> L45 / 10 * 8</f>
        <v>1600</v>
      </c>
    </row>
    <row r="40" spans="1:15" ht="18.95" customHeight="1">
      <c r="A40" s="365"/>
      <c r="B40" s="375"/>
      <c r="C40" s="375"/>
      <c r="D40" s="366"/>
      <c r="E40" s="366"/>
      <c r="F40" s="367"/>
      <c r="N40" s="512">
        <f xml:space="preserve"> L43 - (L43-L44) / 10 * 3</f>
        <v>3585</v>
      </c>
      <c r="O40" s="512">
        <f xml:space="preserve"> L45 / 10 * 7</f>
        <v>1400</v>
      </c>
    </row>
    <row r="41" spans="1:15" ht="18.95" customHeight="1">
      <c r="A41" s="365"/>
      <c r="B41" s="375"/>
      <c r="C41" s="375"/>
      <c r="D41" s="366"/>
      <c r="E41" s="366"/>
      <c r="F41" s="367"/>
      <c r="N41" s="512">
        <f xml:space="preserve"> L43 - (L43-L44) / 10 * 4</f>
        <v>3580</v>
      </c>
      <c r="O41" s="512">
        <f xml:space="preserve"> L45 / 10 * 6</f>
        <v>1200</v>
      </c>
    </row>
    <row r="42" spans="1:15" ht="18.95" customHeight="1">
      <c r="A42" s="365"/>
      <c r="B42" s="366"/>
      <c r="C42" s="366"/>
      <c r="D42" s="366"/>
      <c r="E42" s="366"/>
      <c r="F42" s="367"/>
      <c r="N42" s="512">
        <f xml:space="preserve"> L43 - (L43-L44) / 10 * 5</f>
        <v>3575</v>
      </c>
      <c r="O42" s="512">
        <f xml:space="preserve"> L45 / 10 * 5</f>
        <v>1000</v>
      </c>
    </row>
    <row r="43" spans="1:15" ht="18.95" customHeight="1">
      <c r="A43" s="377"/>
      <c r="B43" s="375"/>
      <c r="C43" s="378" t="s">
        <v>434</v>
      </c>
      <c r="D43" s="379" t="str">
        <f>'Performance Data Sheet'!K42</f>
        <v>JERRY R</v>
      </c>
      <c r="E43" s="378" t="s">
        <v>435</v>
      </c>
      <c r="F43" s="379"/>
      <c r="K43" s="513" t="s">
        <v>756</v>
      </c>
      <c r="L43" s="514">
        <v>3600</v>
      </c>
      <c r="N43" s="512">
        <f xml:space="preserve"> L43 - (L43-L44) / 10 * 6</f>
        <v>3570</v>
      </c>
      <c r="O43" s="512">
        <f xml:space="preserve"> L45 / 10 * 4</f>
        <v>800</v>
      </c>
    </row>
    <row r="44" spans="1:15" ht="15" customHeight="1">
      <c r="K44" s="513" t="s">
        <v>757</v>
      </c>
      <c r="L44" s="515">
        <v>3550</v>
      </c>
      <c r="N44" s="512">
        <f xml:space="preserve"> L43 - (L43-L44) / 10 * 7</f>
        <v>3565</v>
      </c>
      <c r="O44" s="512">
        <f xml:space="preserve"> L45 / 10 * 3</f>
        <v>600</v>
      </c>
    </row>
    <row r="45" spans="1:15" ht="15" customHeight="1">
      <c r="K45" s="513" t="s">
        <v>758</v>
      </c>
      <c r="L45" s="515">
        <v>2000</v>
      </c>
      <c r="N45" s="512">
        <f xml:space="preserve"> L43 - (L43-L44) / 10 * 8</f>
        <v>3560</v>
      </c>
      <c r="O45" s="512">
        <f xml:space="preserve"> L45 / 10 * 2</f>
        <v>400</v>
      </c>
    </row>
    <row r="46" spans="1:15" ht="15" customHeight="1">
      <c r="N46" s="512">
        <f xml:space="preserve"> L43 - (L43-L44) / 10 * 9</f>
        <v>3555</v>
      </c>
      <c r="O46" s="512">
        <f xml:space="preserve"> L45 / 10 * 1</f>
        <v>200</v>
      </c>
    </row>
    <row r="47" spans="1:15" ht="15" customHeight="1">
      <c r="N47" s="512">
        <f xml:space="preserve"> L43 - (L43-L44) / 10 * 10</f>
        <v>3550</v>
      </c>
      <c r="O47" s="512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90" t="s">
        <v>759</v>
      </c>
      <c r="B52" s="691"/>
      <c r="C52" s="691"/>
      <c r="D52" s="691"/>
      <c r="E52" s="691"/>
      <c r="F52" s="692"/>
    </row>
    <row r="53" spans="1:6" ht="15" customHeight="1" thickBot="1">
      <c r="A53" s="516" t="s">
        <v>255</v>
      </c>
      <c r="B53" s="516" t="s">
        <v>142</v>
      </c>
      <c r="C53" s="516" t="s">
        <v>120</v>
      </c>
      <c r="D53" s="516" t="s">
        <v>135</v>
      </c>
      <c r="E53" s="516" t="s">
        <v>5</v>
      </c>
      <c r="F53" s="517" t="s">
        <v>760</v>
      </c>
    </row>
    <row r="54" spans="1:6" ht="15" customHeight="1">
      <c r="A54" s="518">
        <v>0</v>
      </c>
      <c r="B54" s="519"/>
      <c r="C54" s="520"/>
      <c r="D54" s="520">
        <v>48.497422611928563</v>
      </c>
      <c r="E54" s="520">
        <v>100</v>
      </c>
      <c r="F54" s="521">
        <f>9000/(L45*1000) * 100</f>
        <v>0.44999999999999996</v>
      </c>
    </row>
    <row r="55" spans="1:6" ht="15" customHeight="1">
      <c r="A55" s="522">
        <v>25</v>
      </c>
      <c r="B55" s="523">
        <v>91.199996948242188</v>
      </c>
      <c r="C55" s="524">
        <v>64.300003051757813</v>
      </c>
      <c r="D55" s="524">
        <v>79.518452311197166</v>
      </c>
      <c r="E55" s="524">
        <f xml:space="preserve"> (1.007607*B10-L44)/(L43-L44)*100</f>
        <v>74.161839999999756</v>
      </c>
      <c r="F55" s="525">
        <f xml:space="preserve"> 204521.5/(L45*1000)*100</f>
        <v>10.226075</v>
      </c>
    </row>
    <row r="56" spans="1:6" ht="15" customHeight="1">
      <c r="A56" s="522">
        <v>50</v>
      </c>
      <c r="B56" s="523">
        <v>94</v>
      </c>
      <c r="C56" s="524">
        <v>82</v>
      </c>
      <c r="D56" s="524">
        <v>121.0703540919643</v>
      </c>
      <c r="E56" s="524">
        <f xml:space="preserve"> (1.005143*B10-L44)/(L43-L44)*100</f>
        <v>56.618159999999087</v>
      </c>
      <c r="F56" s="525">
        <f xml:space="preserve"> 397110.8/(L45*1000)*100</f>
        <v>19.855539999999998</v>
      </c>
    </row>
    <row r="57" spans="1:6">
      <c r="A57" s="522">
        <v>75</v>
      </c>
      <c r="B57" s="523">
        <v>94.599998474121094</v>
      </c>
      <c r="C57" s="524">
        <v>87.199996948242188</v>
      </c>
      <c r="D57" s="524">
        <v>169.6024119056647</v>
      </c>
      <c r="E57" s="524">
        <f xml:space="preserve"> (1.002618*B10-L44)/(L43-L44)*100</f>
        <v>38.640159999999923</v>
      </c>
      <c r="F57" s="525">
        <f xml:space="preserve"> 591573.2/(L45*1000)*100</f>
        <v>29.578659999999996</v>
      </c>
    </row>
    <row r="58" spans="1:6">
      <c r="A58" s="522">
        <v>100</v>
      </c>
      <c r="B58" s="523">
        <v>94.700004577636719</v>
      </c>
      <c r="C58" s="524">
        <v>88.900001525878906</v>
      </c>
      <c r="D58" s="524">
        <v>222</v>
      </c>
      <c r="E58" s="524">
        <f xml:space="preserve"> (1*B10-L44)/(L43-L44)*100</f>
        <v>20</v>
      </c>
      <c r="F58" s="525">
        <f xml:space="preserve"> 787881.4/(L45*1000)*100</f>
        <v>39.394070000000006</v>
      </c>
    </row>
    <row r="59" spans="1:6" ht="13.5" thickBot="1">
      <c r="A59" s="526">
        <v>125</v>
      </c>
      <c r="B59" s="527">
        <v>94.5</v>
      </c>
      <c r="C59" s="528">
        <v>89.300003051757813</v>
      </c>
      <c r="D59" s="528">
        <v>276.26210380723592</v>
      </c>
      <c r="E59" s="528">
        <f xml:space="preserve"> (0.9974132*B10-L44)/(L43-L44)*100</f>
        <v>1.5819840000003753</v>
      </c>
      <c r="F59" s="529">
        <f xml:space="preserve"> 986808.3/(L45*1000)*100</f>
        <v>49.340415000000007</v>
      </c>
    </row>
    <row r="60" spans="1:6">
      <c r="A60" s="530"/>
      <c r="B60" s="531"/>
      <c r="C60" s="531"/>
    </row>
    <row r="61" spans="1:6" ht="13.5" thickBot="1">
      <c r="A61" s="530"/>
      <c r="B61" s="531"/>
      <c r="C61" s="531"/>
    </row>
    <row r="62" spans="1:6" ht="13.5" thickBot="1">
      <c r="A62" s="690" t="s">
        <v>761</v>
      </c>
      <c r="B62" s="691"/>
      <c r="C62" s="691"/>
      <c r="D62" s="691"/>
      <c r="E62" s="691"/>
      <c r="F62" s="692"/>
    </row>
    <row r="63" spans="1:6" ht="13.5" thickBot="1">
      <c r="A63" s="516" t="s">
        <v>255</v>
      </c>
      <c r="B63" s="516" t="s">
        <v>142</v>
      </c>
      <c r="C63" s="516" t="s">
        <v>120</v>
      </c>
      <c r="D63" s="516" t="s">
        <v>135</v>
      </c>
      <c r="E63" s="516" t="s">
        <v>5</v>
      </c>
      <c r="F63" s="517" t="s">
        <v>760</v>
      </c>
    </row>
    <row r="64" spans="1:6">
      <c r="A64" s="518">
        <v>0</v>
      </c>
      <c r="B64" s="519"/>
      <c r="C64" s="520"/>
      <c r="D64" s="520">
        <v>31.25104786065527</v>
      </c>
      <c r="E64" s="520">
        <v>100</v>
      </c>
      <c r="F64" s="521">
        <v>13.454629186880805</v>
      </c>
    </row>
    <row r="65" spans="1:6">
      <c r="A65" s="522">
        <v>25</v>
      </c>
      <c r="B65" s="523">
        <v>91.240882873535156</v>
      </c>
      <c r="C65" s="524">
        <v>64.29095458984375</v>
      </c>
      <c r="D65" s="524">
        <v>45.903999328613281</v>
      </c>
      <c r="E65" s="524">
        <v>77.291646016742703</v>
      </c>
      <c r="F65" s="525">
        <v>10.222998223287112</v>
      </c>
    </row>
    <row r="66" spans="1:6">
      <c r="A66" s="522">
        <v>50</v>
      </c>
      <c r="B66" s="523">
        <v>93.97198486328125</v>
      </c>
      <c r="C66" s="524">
        <v>81.995407104492188</v>
      </c>
      <c r="D66" s="524">
        <v>69.892715454101563</v>
      </c>
      <c r="E66" s="524">
        <v>61.286286693875013</v>
      </c>
      <c r="F66" s="525">
        <v>19.851774297698618</v>
      </c>
    </row>
    <row r="67" spans="1:6">
      <c r="A67" s="522">
        <v>75</v>
      </c>
      <c r="B67" s="523">
        <v>94.610946655273438</v>
      </c>
      <c r="C67" s="524">
        <v>87.203964233398438</v>
      </c>
      <c r="D67" s="524">
        <v>97.911460876464844</v>
      </c>
      <c r="E67" s="524">
        <v>44.880058495999656</v>
      </c>
      <c r="F67" s="525">
        <v>29.576558220991625</v>
      </c>
    </row>
    <row r="68" spans="1:6">
      <c r="A68" s="522">
        <v>100</v>
      </c>
      <c r="B68" s="523">
        <v>94.690391540527344</v>
      </c>
      <c r="C68" s="524">
        <v>88.923942565917969</v>
      </c>
      <c r="D68" s="524">
        <v>127.91610717773438</v>
      </c>
      <c r="E68" s="524">
        <v>28.029061354667473</v>
      </c>
      <c r="F68" s="525">
        <v>39.402322421390757</v>
      </c>
    </row>
    <row r="69" spans="1:6" ht="13.5" thickBot="1">
      <c r="A69" s="526">
        <v>125</v>
      </c>
      <c r="B69" s="527">
        <v>94.539886474609375</v>
      </c>
      <c r="C69" s="528">
        <v>89.28759765625</v>
      </c>
      <c r="D69" s="528">
        <v>159.49742126464844</v>
      </c>
      <c r="E69" s="528">
        <v>11.206406396323221</v>
      </c>
      <c r="F69" s="529">
        <v>49.33131643709779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DesignSheet</vt:lpstr>
      <vt:lpstr>Data Sheet</vt:lpstr>
      <vt:lpstr>LoginSheet</vt:lpstr>
      <vt:lpstr>StallTime</vt:lpstr>
      <vt:lpstr>Form</vt:lpstr>
      <vt:lpstr>MagNoise</vt:lpstr>
      <vt:lpstr>Performance Data Sheet</vt:lpstr>
      <vt:lpstr>STCurve</vt:lpstr>
      <vt:lpstr>Thermdam</vt:lpstr>
      <vt:lpstr>Performance 4000V</vt:lpstr>
      <vt:lpstr>Performance 2300V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2018-04-26T20:52:59Z</cp:lastPrinted>
  <dcterms:created xsi:type="dcterms:W3CDTF">1997-10-03T20:37:30Z</dcterms:created>
  <dcterms:modified xsi:type="dcterms:W3CDTF">2025-03-21T20:11:12Z</dcterms:modified>
</cp:coreProperties>
</file>