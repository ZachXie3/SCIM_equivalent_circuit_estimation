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:\DESPRO\BASE MV DESIGNS\TOP HAT - WPII\"/>
    </mc:Choice>
  </mc:AlternateContent>
  <xr:revisionPtr revIDLastSave="0" documentId="13_ncr:1_{1700C7DD-781F-4ED8-B37A-949C21AAC89A}" xr6:coauthVersionLast="47" xr6:coauthVersionMax="47" xr10:uidLastSave="{00000000-0000-0000-0000-000000000000}"/>
  <bookViews>
    <workbookView xWindow="41025" yWindow="0" windowWidth="16365" windowHeight="13080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8" l="1"/>
  <c r="E80" i="7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A69" i="7"/>
  <c r="B69" i="7" s="1"/>
  <c r="B75" i="7" s="1"/>
  <c r="E68" i="7"/>
  <c r="D66" i="7"/>
  <c r="F50" i="7"/>
  <c r="M28" i="3"/>
  <c r="M52" i="2"/>
  <c r="L41" i="2"/>
  <c r="M40" i="2"/>
  <c r="L40" i="2"/>
  <c r="M39" i="2"/>
  <c r="L39" i="2"/>
  <c r="M38" i="2"/>
  <c r="N38" i="2" s="1"/>
  <c r="L38" i="2"/>
  <c r="M33" i="2"/>
  <c r="M32" i="2"/>
  <c r="M31" i="2"/>
  <c r="M30" i="2"/>
  <c r="M29" i="2"/>
  <c r="M50" i="2"/>
  <c r="M49" i="2"/>
  <c r="M48" i="2"/>
  <c r="M46" i="2"/>
  <c r="M47" i="2"/>
  <c r="A70" i="7" l="1"/>
  <c r="C70" i="7" s="1"/>
  <c r="N40" i="2"/>
  <c r="C69" i="7"/>
  <c r="B70" i="7"/>
  <c r="N41" i="2"/>
  <c r="N39" i="2"/>
  <c r="M53" i="2"/>
  <c r="A71" i="7" l="1"/>
  <c r="A72" i="7" l="1"/>
  <c r="B71" i="7"/>
  <c r="C71" i="7"/>
  <c r="B72" i="7" l="1"/>
  <c r="A73" i="7"/>
  <c r="B7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<sst xmlns="http://schemas.openxmlformats.org/spreadsheetml/2006/main" count="924" uniqueCount="710">
  <si>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</si>
  <si>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</si>
  <si>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</si>
  <si>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</si>
  <si>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</si>
  <si>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</si>
  <si>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</si>
  <si>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</si>
  <si>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</si>
  <si>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</si>
  <si>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</si>
  <si>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</si>
  <si>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</si>
  <si>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</si>
  <si>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</si>
  <si>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</si>
  <si>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</si>
  <si>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</si>
  <si>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</si>
  <si>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</si>
  <si>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</si>
  <si>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</si>
  <si>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</si>
  <si>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</si>
  <si>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</si>
  <si>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</si>
  <si>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</si>
  <si>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</si>
  <si>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</si>
  <si>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</si>
  <si>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</si>
  <si>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</si>
  <si>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</si>
  <si>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</si>
  <si>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</si>
  <si>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</si>
  <si>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</si>
  <si>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</si>
  <si>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</si>
  <si>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</si>
  <si>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</si>
  <si>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</si>
  <si>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</si>
  <si>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</si>
  <si>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</si>
  <si>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</si>
  <si>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</si>
  <si>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</si>
  <si>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</si>
  <si>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</si>
  <si>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</si>
  <si>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</si>
  <si>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</si>
  <si>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</si>
  <si>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</si>
  <si>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</si>
  <si>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</si>
  <si>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</si>
  <si>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</si>
  <si>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</si>
  <si>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</si>
  <si>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</si>
  <si>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</si>
  <si>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</si>
  <si>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</si>
  <si>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</si>
  <si>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</si>
  <si>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</si>
  <si>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</si>
  <si>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</si>
  <si>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</si>
  <si>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</si>
  <si>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</si>
  <si>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</si>
  <si>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</si>
  <si>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</si>
  <si>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</si>
  <si>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</si>
  <si>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</si>
  <si>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</si>
  <si>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</si>
  <si>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</si>
  <si>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</si>
  <si>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</si>
  <si>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</si>
  <si>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</si>
  <si>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</si>
  <si>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</si>
  <si>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</si>
  <si>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</si>
  <si>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</si>
  <si>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</si>
  <si>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</si>
  <si>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</si>
  <si>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</si>
  <si>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</si>
  <si>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</si>
  <si>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</si>
  <si>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</si>
  <si>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</si>
  <si>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</si>
  <si>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</si>
  <si>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</si>
  <si>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</si>
  <si>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</si>
  <si>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</si>
  <si>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</si>
  <si>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</si>
  <si>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</si>
  <si>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</si>
  <si>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</si>
  <si>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</si>
  <si>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</si>
  <si>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</si>
  <si>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</si>
  <si>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</si>
  <si>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</si>
  <si>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</si>
  <si>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</si>
  <si>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</si>
  <si>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</si>
  <si>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</si>
  <si>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</si>
  <si>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</si>
  <si>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</si>
  <si>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</si>
  <si>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</si>
  <si>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</si>
  <si>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</si>
  <si>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</si>
  <si>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</si>
  <si>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</si>
  <si>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</si>
  <si>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</si>
  <si>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</si>
  <si>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</si>
  <si>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</si>
  <si>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</si>
  <si>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</si>
  <si>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</si>
  <si>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</si>
  <si>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</si>
  <si>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</si>
  <si>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</si>
  <si>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</si>
  <si>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</si>
  <si>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</si>
  <si>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</si>
  <si>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</si>
  <si>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</si>
  <si>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</si>
  <si>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</si>
  <si>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</si>
  <si>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</si>
  <si>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</si>
  <si>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</si>
  <si>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</si>
  <si>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</si>
  <si>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</si>
  <si>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</si>
  <si>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</si>
  <si>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</si>
  <si>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</si>
  <si>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</si>
  <si>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</si>
  <si>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</si>
  <si>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</si>
  <si>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</si>
  <si>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</si>
  <si>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</si>
  <si>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</si>
  <si>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</si>
  <si>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</si>
  <si>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</si>
  <si>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</si>
  <si>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</si>
  <si>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</si>
  <si>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</si>
  <si>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</si>
  <si>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</si>
  <si>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</si>
  <si>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</si>
  <si>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</si>
  <si>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</si>
  <si>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</si>
  <si>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</si>
  <si>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</si>
  <si>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</si>
  <si>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</si>
  <si>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</si>
  <si>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</si>
  <si>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</si>
  <si>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</si>
  <si>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DCKW4</t>
  </si>
  <si>
    <t>5012USS</t>
  </si>
  <si>
    <t>Open</t>
  </si>
  <si>
    <t>Dbl - Closed</t>
  </si>
  <si>
    <t>14.00 - 14.00</t>
  </si>
  <si>
    <t>1.20 - 2.40</t>
  </si>
  <si>
    <t>Normal</t>
  </si>
  <si>
    <t>7 x 8</t>
  </si>
  <si>
    <t>6 x 8</t>
  </si>
  <si>
    <t>1 ~ 14</t>
  </si>
  <si>
    <t>(.064"x.182")x1</t>
  </si>
  <si>
    <t>(.064"x.204")x1</t>
  </si>
  <si>
    <t>Wye</t>
  </si>
  <si>
    <t>(105°C)</t>
  </si>
  <si>
    <t>CU</t>
  </si>
  <si>
    <t>AL</t>
  </si>
  <si>
    <t>ERD1: 246.2</t>
  </si>
  <si>
    <t>ERD2: 332.2</t>
  </si>
  <si>
    <t>LB:  -</t>
  </si>
  <si>
    <t>LER:  -</t>
  </si>
  <si>
    <t>UB: 417.4</t>
  </si>
  <si>
    <t>UER: 2800.0</t>
  </si>
  <si>
    <t>ERT: 70.0</t>
  </si>
  <si>
    <t>(Coeff.: 0.0917)</t>
  </si>
  <si>
    <t>Skew R.: 0.00</t>
  </si>
  <si>
    <t>G:\DESPRO\RATFILE\1T2450K.rat</t>
  </si>
  <si>
    <t>2-2-2-0-1-2</t>
  </si>
  <si>
    <t>B.L.-1  P.F.-1</t>
  </si>
  <si>
    <t>4559.4 / 4819.7</t>
  </si>
  <si>
    <t>2937.8 / 3460.3</t>
  </si>
  <si>
    <t>9219.2 / 7429.6</t>
  </si>
  <si>
    <t>3000.0 / 3271.9</t>
  </si>
  <si>
    <t>5895.4 / 3900.4</t>
  </si>
  <si>
    <t>1234.9 / 817.0</t>
  </si>
  <si>
    <t>4660.5 / 3083.4</t>
  </si>
  <si>
    <t>1.50 / 0.99</t>
  </si>
  <si>
    <t>35 / 34</t>
  </si>
  <si>
    <t>Temp. Rise @ 100%:</t>
  </si>
  <si>
    <t>Stray Loss</t>
  </si>
  <si>
    <t>0.895 / 0.882</t>
  </si>
  <si>
    <t>0.938 / 0.925</t>
  </si>
  <si>
    <t>0.950 / 0.937</t>
  </si>
  <si>
    <t>0.954 / 0.940</t>
  </si>
  <si>
    <t>0.955 / 0.941</t>
  </si>
  <si>
    <t>0.571 / 0.554</t>
  </si>
  <si>
    <t>0.781 / 0.757</t>
  </si>
  <si>
    <t>0.857 / 0.830</t>
  </si>
  <si>
    <t>0.887 / 0.860</t>
  </si>
  <si>
    <t>0.899 / 0.872</t>
  </si>
  <si>
    <t>23.69 / 24.80</t>
  </si>
  <si>
    <t>33.06 / 34.61</t>
  </si>
  <si>
    <t>44.63 / 46.72</t>
  </si>
  <si>
    <t>57.23 / 59.91</t>
  </si>
  <si>
    <t>70.56 / 73.87</t>
  </si>
  <si>
    <t>3.74 / 3.91</t>
  </si>
  <si>
    <t>UB: 2.71 / 2.84</t>
  </si>
  <si>
    <t>UER: 2.19 / 2.29</t>
  </si>
  <si>
    <t>3592.3 / 3585.1</t>
  </si>
  <si>
    <t>3585.0 / 3577.7</t>
  </si>
  <si>
    <t>3577.4 / 3570.2</t>
  </si>
  <si>
    <t>3569.8 / 3562.6</t>
  </si>
  <si>
    <t>3562.0 / 3554.8</t>
  </si>
  <si>
    <t>0.0021 / 0.0041</t>
  </si>
  <si>
    <t>0.0042 / 0.0062</t>
  </si>
  <si>
    <t>0.0063 / 0.0083</t>
  </si>
  <si>
    <t>0.0084 / 0.0104</t>
  </si>
  <si>
    <t>0.0106 / 0.0125</t>
  </si>
  <si>
    <t>17.615 / 15.482</t>
  </si>
  <si>
    <t>0.850 / 0.747</t>
  </si>
  <si>
    <t>17.64 / 15.50</t>
  </si>
  <si>
    <t>378.5 / 375.6</t>
  </si>
  <si>
    <t>661.4 / 656.4</t>
  </si>
  <si>
    <t>133.1 / 115.3</t>
  </si>
  <si>
    <t>145.4 / 125.9</t>
  </si>
  <si>
    <t>279.1 / 275.3</t>
  </si>
  <si>
    <t>Correlated to: 1T2450K.dat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</si>
  <si>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</si>
  <si>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</si>
  <si>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</si>
  <si>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</si>
  <si>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</si>
  <si>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</si>
  <si>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</si>
  <si>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</si>
  <si>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</si>
  <si>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</si>
  <si>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</si>
  <si>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</si>
  <si>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</si>
  <si>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</si>
  <si>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</si>
  <si>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</si>
  <si>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</si>
  <si>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</si>
  <si>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</si>
  <si>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</si>
  <si>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</si>
  <si>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</si>
  <si>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</si>
  <si>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</si>
  <si>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</si>
  <si>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</si>
  <si>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</si>
  <si>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</si>
  <si>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</si>
  <si>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</si>
  <si>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</si>
  <si>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</si>
  <si>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</si>
  <si>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</si>
  <si>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</si>
  <si>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</si>
  <si>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</si>
  <si>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</si>
  <si>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</si>
  <si>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</si>
  <si>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</si>
  <si>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</si>
  <si>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</si>
  <si>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</si>
  <si>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</si>
  <si>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</si>
  <si>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</si>
  <si>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</si>
  <si>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</si>
  <si>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</si>
  <si>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</si>
  <si>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</si>
  <si>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</si>
  <si>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</si>
  <si>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</si>
  <si>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</si>
  <si>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</si>
  <si>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</si>
  <si>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</si>
  <si>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</si>
  <si>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</si>
  <si>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</si>
  <si>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</si>
  <si>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</si>
  <si>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</si>
  <si>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</si>
  <si>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</si>
  <si>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</si>
  <si>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</si>
  <si>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</si>
  <si>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</si>
  <si>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</si>
  <si>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</si>
  <si>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</si>
  <si>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</si>
  <si>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</si>
  <si>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</si>
  <si>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</si>
  <si>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</si>
  <si>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</si>
  <si>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</si>
  <si>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</si>
  <si>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</si>
  <si>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</si>
  <si>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</si>
  <si>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</si>
  <si>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</si>
  <si>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</si>
  <si>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</si>
  <si>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</si>
  <si>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</si>
  <si>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</si>
  <si>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</si>
  <si>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</si>
  <si>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</si>
  <si>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</si>
  <si>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</si>
  <si>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</si>
  <si>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</si>
  <si>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</si>
  <si>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</si>
  <si>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</si>
  <si>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</si>
  <si>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</si>
  <si>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</si>
  <si>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</si>
  <si>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</si>
  <si>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</si>
  <si>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</si>
  <si>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</si>
  <si>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</si>
  <si>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</si>
  <si>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1T2450K</t>
  </si>
  <si>
    <t>Type: TIKK - Form: DCKW4 - 2 Pole - 450 HP - 4000 V - 60 Hz - 5012USS - Class F</t>
  </si>
  <si>
    <t>23 x 2</t>
  </si>
  <si>
    <t>1 x Wye</t>
  </si>
  <si>
    <t>35 / 46</t>
  </si>
  <si>
    <t>391 / 2450</t>
  </si>
  <si>
    <t>G</t>
  </si>
  <si>
    <t>284 / 229</t>
  </si>
  <si>
    <t>11,12</t>
  </si>
  <si>
    <t>4501WTAL11E-AH</t>
  </si>
  <si>
    <t>A. Gracia</t>
  </si>
  <si>
    <t>Revision 1. Complete design changed.</t>
  </si>
  <si>
    <t>A. Gracia   06/28/04</t>
  </si>
  <si>
    <t>Z.X 07/26/18</t>
  </si>
  <si>
    <t>Rev.2 Wire size changed from 064'' x 204'' x2</t>
  </si>
  <si>
    <t>LINK:</t>
  </si>
  <si>
    <t>1T2450K.rat with 1T2450K.dat</t>
  </si>
  <si>
    <t>then change wire size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</si>
  <si>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</si>
  <si>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</si>
  <si>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</si>
  <si>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</si>
  <si>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</si>
  <si>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</si>
  <si>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</si>
  <si>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</si>
  <si>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</si>
  <si>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58.8 kg.m²</t>
  </si>
  <si>
    <t>Acceleration Data (FV V)</t>
  </si>
  <si>
    <t>7.6 (s)</t>
  </si>
  <si>
    <t>91.6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</si>
  <si>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</si>
  <si>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</si>
  <si>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</si>
  <si>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</si>
  <si>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</si>
  <si>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</si>
  <si>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</si>
  <si>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</si>
  <si>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</si>
  <si>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</si>
  <si>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</si>
  <si>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</si>
  <si>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</si>
  <si>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</si>
  <si>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</si>
  <si>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</si>
  <si>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</si>
  <si>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</si>
  <si>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</si>
  <si>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</si>
  <si>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</si>
  <si>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</si>
  <si>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</si>
  <si>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</si>
  <si>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</si>
  <si>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</si>
  <si>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</si>
  <si>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</si>
  <si>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</si>
  <si>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</si>
  <si>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</si>
  <si>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</si>
  <si>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</si>
  <si>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</si>
  <si>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</si>
  <si>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</si>
  <si>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</si>
  <si>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</si>
  <si>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</si>
  <si>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- 450.0 HP - 3600 RPM - 4000 V - 60 Hz</t>
  </si>
  <si>
    <t>0~360</t>
  </si>
  <si>
    <t>360~720</t>
  </si>
  <si>
    <t>720~1080</t>
  </si>
  <si>
    <t>1080~1439</t>
  </si>
  <si>
    <t>1439~1799</t>
  </si>
  <si>
    <t>1799~2158</t>
  </si>
  <si>
    <t>2158~2518</t>
  </si>
  <si>
    <t>2518~2877</t>
  </si>
  <si>
    <t>2877~3057</t>
  </si>
  <si>
    <t>3057~3237</t>
  </si>
  <si>
    <t>3237~3416</t>
  </si>
  <si>
    <t>3416~3570</t>
  </si>
  <si>
    <t/>
  </si>
  <si>
    <t>Load Type: Fan / Pump - 349.0 lb-ft²</t>
  </si>
  <si>
    <t>120.9</t>
  </si>
  <si>
    <t>114.6</t>
  </si>
  <si>
    <t>111.2</t>
  </si>
  <si>
    <t>110.2</t>
  </si>
  <si>
    <t>110.9</t>
  </si>
  <si>
    <t>112.8</t>
  </si>
  <si>
    <t>118.0</t>
  </si>
  <si>
    <t>132.2</t>
  </si>
  <si>
    <t>157.7</t>
  </si>
  <si>
    <t>200.0</t>
  </si>
  <si>
    <t>251.1</t>
  </si>
  <si>
    <t>187.5</t>
  </si>
  <si>
    <t>22.5</t>
  </si>
  <si>
    <t>11.5</t>
  </si>
  <si>
    <t>7.0</t>
  </si>
  <si>
    <t>11.0</t>
  </si>
  <si>
    <t>18.0</t>
  </si>
  <si>
    <t>27.4</t>
  </si>
  <si>
    <t>41.4</t>
  </si>
  <si>
    <t>55.3</t>
  </si>
  <si>
    <t>67.3</t>
  </si>
  <si>
    <t>80.2</t>
  </si>
  <si>
    <t>92.3</t>
  </si>
  <si>
    <t>0.792</t>
  </si>
  <si>
    <t>0.756</t>
  </si>
  <si>
    <t>0.748</t>
  </si>
  <si>
    <t>0.754</t>
  </si>
  <si>
    <t>0.779</t>
  </si>
  <si>
    <t>0.820</t>
  </si>
  <si>
    <t>0.859</t>
  </si>
  <si>
    <t>0.857</t>
  </si>
  <si>
    <t>0.380</t>
  </si>
  <si>
    <t>0.293</t>
  </si>
  <si>
    <t>0.228</t>
  </si>
  <si>
    <t>0.349</t>
  </si>
  <si>
    <t>374.7</t>
  </si>
  <si>
    <t>372.1</t>
  </si>
  <si>
    <t>369.2</t>
  </si>
  <si>
    <t>365.9</t>
  </si>
  <si>
    <t>362.2</t>
  </si>
  <si>
    <t>357.7</t>
  </si>
  <si>
    <t>351.8</t>
  </si>
  <si>
    <t>341.6</t>
  </si>
  <si>
    <t>327.8</t>
  </si>
  <si>
    <t>305.4</t>
  </si>
  <si>
    <t>250.0</t>
  </si>
  <si>
    <t>132.9</t>
  </si>
  <si>
    <t>155.9</t>
  </si>
  <si>
    <t>146.8</t>
  </si>
  <si>
    <t>143.1</t>
  </si>
  <si>
    <t>141.9</t>
  </si>
  <si>
    <t>143.9</t>
  </si>
  <si>
    <t>148.1</t>
  </si>
  <si>
    <t>151.0</t>
  </si>
  <si>
    <t>144.8</t>
  </si>
  <si>
    <t>59.4</t>
  </si>
  <si>
    <t>42.0</t>
  </si>
  <si>
    <t>26.7</t>
  </si>
  <si>
    <t>1.7</t>
  </si>
  <si>
    <t>343.6</t>
  </si>
  <si>
    <t>276.0</t>
  </si>
  <si>
    <t>233.2</t>
  </si>
  <si>
    <t>201.8</t>
  </si>
  <si>
    <t>179.4</t>
  </si>
  <si>
    <t>158.9</t>
  </si>
  <si>
    <t>136.6</t>
  </si>
  <si>
    <t>109.1</t>
  </si>
  <si>
    <t>75.6</t>
  </si>
  <si>
    <t>53.1</t>
  </si>
  <si>
    <t>36.3</t>
  </si>
  <si>
    <t>6.6</t>
  </si>
  <si>
    <t>1305 kW / s</t>
  </si>
  <si>
    <t>1206 kW / s</t>
  </si>
  <si>
    <t>604 kW / s</t>
  </si>
  <si>
    <t>27°C</t>
  </si>
  <si>
    <t>99°C</t>
  </si>
  <si>
    <t>48°C</t>
  </si>
  <si>
    <t>54°C</t>
  </si>
  <si>
    <t>198°C</t>
  </si>
  <si>
    <t>96°C</t>
  </si>
  <si>
    <t>Acceleration Time:  7.6 s</t>
  </si>
  <si>
    <t>4.4°C / s</t>
  </si>
  <si>
    <t>22.9°C / s</t>
  </si>
  <si>
    <t>11.2°C / s</t>
  </si>
  <si>
    <t>212.7 kW</t>
  </si>
  <si>
    <t>279.7 kW</t>
  </si>
  <si>
    <t>140.0 kW</t>
  </si>
  <si>
    <t>36.2 s</t>
  </si>
  <si>
    <t>11.4 s</t>
  </si>
  <si>
    <t>16.1 s</t>
  </si>
  <si>
    <t>46°C    +</t>
  </si>
  <si>
    <t>58°C    +</t>
  </si>
  <si>
    <t>114°C    +</t>
  </si>
  <si>
    <t>202°C   +</t>
  </si>
  <si>
    <t>122°C   +</t>
  </si>
  <si>
    <t>25.8 s</t>
  </si>
  <si>
    <t>8.8 s</t>
  </si>
  <si>
    <t>10.9 s</t>
  </si>
  <si>
    <t>11.9 s</t>
  </si>
  <si>
    <t>8.1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</si>
  <si>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</si>
  <si>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</si>
  <si>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</si>
  <si>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</si>
  <si>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</si>
  <si>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</si>
  <si>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</si>
  <si>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</si>
  <si>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</si>
  <si>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</si>
  <si>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</si>
  <si>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</si>
  <si>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</si>
  <si>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</si>
  <si>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</si>
  <si>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</si>
  <si>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</si>
  <si>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</si>
  <si>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</si>
  <si>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</si>
  <si>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</si>
  <si>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92.4 lb-ft²</t>
  </si>
  <si>
    <t>349.0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</si>
  <si>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</si>
  <si>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</si>
  <si>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</si>
  <si>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</si>
  <si>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</si>
  <si>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</si>
  <si>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</si>
  <si>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</si>
  <si>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</si>
  <si>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</si>
  <si>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</si>
  <si>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</si>
  <si>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</si>
  <si>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</si>
  <si>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</si>
  <si>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</si>
  <si>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</si>
  <si>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</si>
  <si>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</si>
  <si>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</si>
  <si>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</si>
  <si>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</si>
  <si>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</si>
  <si>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</si>
  <si>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</si>
  <si>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</si>
  <si>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</si>
  <si>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</si>
  <si>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</si>
  <si>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</si>
  <si>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</si>
  <si>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</si>
  <si>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</si>
  <si>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</si>
  <si>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</si>
  <si>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</si>
  <si>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</si>
  <si>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</si>
  <si>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</si>
  <si>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</si>
  <si>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</si>
  <si>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</si>
  <si>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</si>
  <si>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</si>
  <si>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</si>
  <si>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</si>
  <si>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</si>
  <si>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</si>
  <si>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</si>
  <si>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</si>
  <si>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</si>
  <si>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</si>
  <si>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</si>
  <si>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</si>
  <si>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</si>
  <si>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</si>
  <si>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</si>
  <si>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</si>
  <si>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</si>
  <si>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</si>
  <si>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</si>
  <si>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</si>
  <si>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</si>
  <si>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</si>
  <si>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</si>
  <si>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</si>
  <si>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</si>
  <si>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</si>
  <si>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</si>
  <si>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</si>
  <si>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</si>
  <si>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</si>
  <si>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</si>
  <si>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</si>
  <si>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</si>
  <si>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</si>
  <si>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</si>
  <si>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</si>
  <si>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</si>
  <si>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</si>
  <si>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</si>
  <si>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</si>
  <si>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</si>
  <si>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</si>
  <si>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</si>
  <si>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</si>
  <si>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</si>
  <si>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</si>
  <si>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</si>
  <si>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</si>
  <si>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</si>
  <si>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</si>
  <si>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</si>
  <si>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</si>
  <si>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</si>
  <si>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</si>
  <si>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</si>
  <si>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</si>
  <si>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</si>
  <si>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</si>
  <si>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</si>
  <si>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</si>
  <si>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</si>
  <si>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</si>
  <si>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</si>
  <si>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</si>
  <si>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</si>
  <si>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</si>
  <si>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</si>
  <si>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</si>
  <si>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</si>
  <si>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</si>
  <si>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</si>
  <si>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</si>
  <si>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</si>
  <si>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</si>
  <si>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WP-II</t>
  </si>
  <si>
    <t>1.15</t>
  </si>
  <si>
    <t>Q.C.180600243</t>
  </si>
  <si>
    <t>361-R111-3L1Y ; 362-R111-03</t>
  </si>
  <si>
    <t>P-141568 3UL700L1DKDNH101 LAB 9636 - 79 Dba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</si>
</sst>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79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3" fillId="0" borderId="0"/>
    <xf numFmtId="0" fontId="52" fillId="0" borderId="0"/>
    <xf numFmtId="0" fontId="23" fillId="0" borderId="0"/>
    <xf numFmtId="0" fontId="1" fillId="0" borderId="0"/>
    <xf numFmtId="172" fontId="66" fillId="0" borderId="0"/>
  </cellStyleXfs>
  <cellXfs count="66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65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2" fontId="20" fillId="0" borderId="1" xfId="0" applyNumberFormat="1" applyFont="1" applyBorder="1" applyAlignment="1">
      <alignment horizontal="center"/>
    </xf>
    <xf numFmtId="167" fontId="20" fillId="0" borderId="9" xfId="0" applyNumberFormat="1" applyFont="1" applyBorder="1" applyAlignment="1">
      <alignment horizontal="center"/>
    </xf>
    <xf numFmtId="166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67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166" fontId="21" fillId="0" borderId="9" xfId="0" applyNumberFormat="1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0" borderId="9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166" fontId="22" fillId="0" borderId="31" xfId="0" applyNumberFormat="1" applyFont="1" applyBorder="1" applyAlignment="1">
      <alignment horizontal="center"/>
    </xf>
    <xf numFmtId="166" fontId="22" fillId="0" borderId="51" xfId="0" applyNumberFormat="1" applyFont="1" applyBorder="1" applyAlignment="1">
      <alignment horizontal="center"/>
    </xf>
    <xf numFmtId="166" fontId="22" fillId="0" borderId="32" xfId="0" applyNumberFormat="1" applyFont="1" applyBorder="1" applyAlignment="1">
      <alignment horizontal="center"/>
    </xf>
    <xf numFmtId="0" fontId="25" fillId="0" borderId="0" xfId="1" applyFont="1"/>
    <xf numFmtId="0" fontId="26" fillId="0" borderId="0" xfId="1" applyFont="1"/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/>
    <xf numFmtId="0" fontId="32" fillId="0" borderId="52" xfId="1" applyFont="1" applyBorder="1"/>
    <xf numFmtId="0" fontId="19" fillId="0" borderId="54" xfId="1" applyFont="1" applyBorder="1"/>
    <xf numFmtId="0" fontId="32" fillId="0" borderId="54" xfId="1" applyFont="1" applyBorder="1"/>
    <xf numFmtId="0" fontId="33" fillId="0" borderId="0" xfId="1" applyFont="1"/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Alignment="1">
      <alignment horizontal="left"/>
    </xf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Border="1"/>
    <xf numFmtId="0" fontId="19" fillId="0" borderId="21" xfId="1" applyFont="1" applyBorder="1"/>
    <xf numFmtId="0" fontId="32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2" fillId="0" borderId="46" xfId="1" applyFont="1" applyBorder="1"/>
    <xf numFmtId="0" fontId="32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19" fillId="0" borderId="24" xfId="1" applyFont="1" applyBorder="1"/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4" fillId="0" borderId="24" xfId="1" applyFont="1" applyBorder="1"/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3" fillId="0" borderId="78" xfId="1" applyFont="1" applyBorder="1"/>
    <xf numFmtId="0" fontId="33" fillId="0" borderId="79" xfId="1" applyFont="1" applyBorder="1"/>
    <xf numFmtId="0" fontId="33" fillId="0" borderId="87" xfId="1" applyFont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9" fontId="33" fillId="0" borderId="0" xfId="1" applyNumberFormat="1" applyFont="1"/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43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7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8" fillId="5" borderId="80" xfId="1" applyFont="1" applyFill="1" applyBorder="1" applyAlignment="1">
      <alignment horizontal="left"/>
    </xf>
    <xf numFmtId="0" fontId="28" fillId="5" borderId="81" xfId="1" applyFont="1" applyFill="1" applyBorder="1" applyAlignment="1">
      <alignment horizontal="left"/>
    </xf>
    <xf numFmtId="0" fontId="28" fillId="5" borderId="82" xfId="1" applyFont="1" applyFill="1" applyBorder="1" applyAlignment="1">
      <alignment horizontal="left"/>
    </xf>
    <xf numFmtId="0" fontId="30" fillId="5" borderId="83" xfId="1" applyFont="1" applyFill="1" applyBorder="1"/>
    <xf numFmtId="0" fontId="30" fillId="5" borderId="68" xfId="1" applyFont="1" applyFill="1" applyBorder="1" applyAlignment="1">
      <alignment horizontal="left"/>
    </xf>
    <xf numFmtId="0" fontId="30" fillId="5" borderId="74" xfId="1" applyFont="1" applyFill="1" applyBorder="1" applyAlignment="1">
      <alignment horizontal="left"/>
    </xf>
    <xf numFmtId="0" fontId="48" fillId="0" borderId="0" xfId="1" applyFont="1"/>
    <xf numFmtId="0" fontId="36" fillId="0" borderId="116" xfId="1" applyFont="1" applyBorder="1"/>
    <xf numFmtId="0" fontId="36" fillId="5" borderId="119" xfId="1" applyFont="1" applyFill="1" applyBorder="1"/>
    <xf numFmtId="0" fontId="30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0" fontId="30" fillId="0" borderId="23" xfId="1" applyFont="1" applyBorder="1"/>
    <xf numFmtId="0" fontId="30" fillId="5" borderId="125" xfId="1" applyFont="1" applyFill="1" applyBorder="1" applyAlignment="1">
      <alignment horizontal="left"/>
    </xf>
    <xf numFmtId="0" fontId="30" fillId="5" borderId="126" xfId="1" applyFont="1" applyFill="1" applyBorder="1" applyAlignment="1">
      <alignment horizontal="left"/>
    </xf>
    <xf numFmtId="0" fontId="30" fillId="0" borderId="0" xfId="1" applyFont="1"/>
    <xf numFmtId="0" fontId="52" fillId="0" borderId="6" xfId="2" applyBorder="1"/>
    <xf numFmtId="0" fontId="52" fillId="0" borderId="7" xfId="2" applyBorder="1"/>
    <xf numFmtId="0" fontId="52" fillId="0" borderId="41" xfId="2" applyBorder="1"/>
    <xf numFmtId="0" fontId="52" fillId="0" borderId="41" xfId="2" applyBorder="1" applyAlignment="1">
      <alignment horizontal="center"/>
    </xf>
    <xf numFmtId="0" fontId="53" fillId="0" borderId="41" xfId="2" applyFont="1" applyBorder="1" applyAlignment="1">
      <alignment horizontal="center"/>
    </xf>
    <xf numFmtId="0" fontId="52" fillId="0" borderId="0" xfId="2"/>
    <xf numFmtId="0" fontId="54" fillId="0" borderId="127" xfId="2" applyFont="1" applyBorder="1" applyAlignment="1">
      <alignment horizontal="center"/>
    </xf>
    <xf numFmtId="0" fontId="52" fillId="0" borderId="127" xfId="2" applyBorder="1" applyAlignment="1">
      <alignment horizontal="center"/>
    </xf>
    <xf numFmtId="0" fontId="53" fillId="0" borderId="127" xfId="2" applyFont="1" applyBorder="1" applyAlignment="1">
      <alignment horizontal="center"/>
    </xf>
    <xf numFmtId="0" fontId="54" fillId="0" borderId="45" xfId="2" applyFont="1" applyBorder="1" applyAlignment="1">
      <alignment horizontal="center"/>
    </xf>
    <xf numFmtId="0" fontId="54" fillId="0" borderId="0" xfId="2" applyFont="1" applyAlignment="1">
      <alignment horizontal="center"/>
    </xf>
    <xf numFmtId="0" fontId="52" fillId="0" borderId="45" xfId="2" applyBorder="1"/>
    <xf numFmtId="0" fontId="55" fillId="0" borderId="0" xfId="2" applyFont="1"/>
    <xf numFmtId="0" fontId="52" fillId="0" borderId="127" xfId="2" applyBorder="1"/>
    <xf numFmtId="0" fontId="53" fillId="0" borderId="0" xfId="2" applyFont="1"/>
    <xf numFmtId="0" fontId="53" fillId="0" borderId="127" xfId="2" applyFont="1" applyBorder="1"/>
    <xf numFmtId="170" fontId="52" fillId="0" borderId="3" xfId="2" applyNumberFormat="1" applyBorder="1"/>
    <xf numFmtId="49" fontId="52" fillId="0" borderId="1" xfId="2" applyNumberFormat="1" applyBorder="1" applyAlignment="1">
      <alignment horizontal="center"/>
    </xf>
    <xf numFmtId="49" fontId="52" fillId="0" borderId="1" xfId="2" applyNumberFormat="1" applyBorder="1"/>
    <xf numFmtId="49" fontId="53" fillId="0" borderId="1" xfId="2" applyNumberFormat="1" applyFont="1" applyBorder="1"/>
    <xf numFmtId="171" fontId="53" fillId="0" borderId="1" xfId="2" applyNumberFormat="1" applyFont="1" applyBorder="1"/>
    <xf numFmtId="0" fontId="52" fillId="0" borderId="1" xfId="2" applyBorder="1"/>
    <xf numFmtId="0" fontId="52" fillId="0" borderId="9" xfId="2" applyBorder="1"/>
    <xf numFmtId="171" fontId="52" fillId="0" borderId="1" xfId="2" applyNumberFormat="1" applyBorder="1"/>
    <xf numFmtId="0" fontId="52" fillId="0" borderId="1" xfId="2" applyBorder="1" applyAlignment="1">
      <alignment horizontal="center"/>
    </xf>
    <xf numFmtId="170" fontId="52" fillId="0" borderId="18" xfId="2" applyNumberFormat="1" applyBorder="1"/>
    <xf numFmtId="49" fontId="52" fillId="0" borderId="26" xfId="2" applyNumberFormat="1" applyBorder="1"/>
    <xf numFmtId="171" fontId="52" fillId="0" borderId="26" xfId="2" applyNumberFormat="1" applyBorder="1"/>
    <xf numFmtId="0" fontId="52" fillId="0" borderId="26" xfId="2" applyBorder="1"/>
    <xf numFmtId="0" fontId="52" fillId="0" borderId="128" xfId="2" applyBorder="1"/>
    <xf numFmtId="0" fontId="53" fillId="0" borderId="129" xfId="2" applyFont="1" applyBorder="1" applyAlignment="1">
      <alignment horizontal="center"/>
    </xf>
    <xf numFmtId="0" fontId="53" fillId="0" borderId="130" xfId="2" applyFont="1" applyBorder="1" applyAlignment="1">
      <alignment horizontal="center"/>
    </xf>
    <xf numFmtId="49" fontId="53" fillId="0" borderId="2" xfId="2" applyNumberFormat="1" applyFont="1" applyBorder="1" applyAlignment="1">
      <alignment horizontal="center"/>
    </xf>
    <xf numFmtId="0" fontId="52" fillId="0" borderId="55" xfId="2" applyBorder="1" applyAlignment="1">
      <alignment horizontal="left"/>
    </xf>
    <xf numFmtId="49" fontId="52" fillId="0" borderId="3" xfId="2" applyNumberFormat="1" applyBorder="1"/>
    <xf numFmtId="0" fontId="52" fillId="0" borderId="132" xfId="2" applyBorder="1" applyAlignment="1">
      <alignment horizontal="left"/>
    </xf>
    <xf numFmtId="49" fontId="52" fillId="0" borderId="4" xfId="2" applyNumberFormat="1" applyBorder="1"/>
    <xf numFmtId="0" fontId="52" fillId="0" borderId="133" xfId="2" applyBorder="1" applyAlignment="1">
      <alignment horizontal="left"/>
    </xf>
    <xf numFmtId="0" fontId="30" fillId="5" borderId="72" xfId="1" applyFont="1" applyFill="1" applyBorder="1" applyAlignment="1">
      <alignment horizontal="left"/>
    </xf>
    <xf numFmtId="0" fontId="49" fillId="5" borderId="120" xfId="3" applyFont="1" applyFill="1" applyBorder="1" applyAlignment="1">
      <alignment horizontal="center"/>
    </xf>
    <xf numFmtId="14" fontId="19" fillId="5" borderId="124" xfId="3" applyNumberFormat="1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Continuous"/>
    </xf>
    <xf numFmtId="0" fontId="30" fillId="5" borderId="68" xfId="3" applyFont="1" applyFill="1" applyBorder="1" applyAlignment="1">
      <alignment horizontal="left"/>
    </xf>
    <xf numFmtId="0" fontId="30" fillId="5" borderId="125" xfId="3" applyFont="1" applyFill="1" applyBorder="1" applyAlignment="1">
      <alignment horizontal="left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0" fillId="5" borderId="84" xfId="1" applyFont="1" applyFill="1" applyBorder="1" applyAlignment="1">
      <alignment horizontal="left"/>
    </xf>
    <xf numFmtId="2" fontId="7" fillId="0" borderId="36" xfId="0" applyNumberFormat="1" applyFont="1" applyBorder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4" fillId="0" borderId="0" xfId="4" applyFont="1"/>
    <xf numFmtId="0" fontId="56" fillId="0" borderId="0" xfId="4" applyFont="1"/>
    <xf numFmtId="0" fontId="62" fillId="0" borderId="26" xfId="4" applyFont="1" applyBorder="1" applyAlignment="1">
      <alignment horizontal="center"/>
    </xf>
    <xf numFmtId="0" fontId="62" fillId="0" borderId="28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2" fillId="0" borderId="1" xfId="4" applyFont="1" applyBorder="1" applyAlignment="1">
      <alignment horizontal="right"/>
    </xf>
    <xf numFmtId="0" fontId="62" fillId="0" borderId="1" xfId="4" applyFont="1" applyBorder="1" applyAlignment="1">
      <alignment horizontal="center"/>
    </xf>
    <xf numFmtId="0" fontId="56" fillId="0" borderId="131" xfId="4" applyFont="1" applyBorder="1" applyAlignment="1">
      <alignment horizontal="center"/>
    </xf>
    <xf numFmtId="0" fontId="56" fillId="0" borderId="132" xfId="4" quotePrefix="1" applyFont="1" applyBorder="1" applyAlignment="1">
      <alignment horizontal="center"/>
    </xf>
    <xf numFmtId="0" fontId="56" fillId="0" borderId="132" xfId="4" applyFont="1" applyBorder="1" applyAlignment="1">
      <alignment horizontal="center"/>
    </xf>
    <xf numFmtId="0" fontId="62" fillId="0" borderId="0" xfId="4" applyFont="1" applyAlignment="1">
      <alignment horizontal="right"/>
    </xf>
    <xf numFmtId="0" fontId="56" fillId="0" borderId="62" xfId="4" applyFont="1" applyBorder="1" applyAlignment="1">
      <alignment horizontal="center"/>
    </xf>
    <xf numFmtId="0" fontId="59" fillId="0" borderId="61" xfId="4" applyFont="1" applyBorder="1"/>
    <xf numFmtId="0" fontId="59" fillId="0" borderId="62" xfId="4" applyFont="1" applyBorder="1"/>
    <xf numFmtId="0" fontId="59" fillId="0" borderId="38" xfId="4" applyFont="1" applyBorder="1"/>
    <xf numFmtId="0" fontId="60" fillId="0" borderId="83" xfId="4" applyFont="1" applyBorder="1" applyAlignment="1">
      <alignment horizontal="centerContinuous"/>
    </xf>
    <xf numFmtId="0" fontId="59" fillId="0" borderId="0" xfId="4" applyFont="1" applyAlignment="1">
      <alignment horizontal="centerContinuous"/>
    </xf>
    <xf numFmtId="0" fontId="59" fillId="0" borderId="108" xfId="4" applyFont="1" applyBorder="1" applyAlignment="1">
      <alignment horizontal="centerContinuous"/>
    </xf>
    <xf numFmtId="0" fontId="61" fillId="0" borderId="83" xfId="4" applyFont="1" applyBorder="1" applyAlignment="1">
      <alignment horizontal="centerContinuous"/>
    </xf>
    <xf numFmtId="0" fontId="59" fillId="0" borderId="83" xfId="4" applyFont="1" applyBorder="1"/>
    <xf numFmtId="0" fontId="59" fillId="0" borderId="0" xfId="4" applyFont="1"/>
    <xf numFmtId="0" fontId="59" fillId="0" borderId="108" xfId="4" applyFont="1" applyBorder="1"/>
    <xf numFmtId="0" fontId="57" fillId="0" borderId="1" xfId="4" applyFont="1" applyBorder="1" applyAlignment="1">
      <alignment horizontal="right"/>
    </xf>
    <xf numFmtId="0" fontId="59" fillId="0" borderId="1" xfId="4" applyFont="1" applyBorder="1" applyAlignment="1">
      <alignment horizontal="center"/>
    </xf>
    <xf numFmtId="14" fontId="59" fillId="0" borderId="1" xfId="4" applyNumberFormat="1" applyFont="1" applyBorder="1" applyAlignment="1">
      <alignment horizontal="center"/>
    </xf>
    <xf numFmtId="0" fontId="57" fillId="0" borderId="0" xfId="4" applyFont="1" applyAlignment="1">
      <alignment horizontal="right"/>
    </xf>
    <xf numFmtId="0" fontId="59" fillId="0" borderId="0" xfId="4" applyFont="1" applyAlignment="1">
      <alignment horizontal="center"/>
    </xf>
    <xf numFmtId="9" fontId="59" fillId="0" borderId="0" xfId="4" applyNumberFormat="1" applyFont="1" applyAlignment="1">
      <alignment horizontal="center"/>
    </xf>
    <xf numFmtId="0" fontId="57" fillId="0" borderId="83" xfId="4" applyFont="1" applyBorder="1" applyAlignment="1">
      <alignment horizontal="right"/>
    </xf>
    <xf numFmtId="0" fontId="59" fillId="0" borderId="40" xfId="4" applyFont="1" applyBorder="1"/>
    <xf numFmtId="0" fontId="59" fillId="0" borderId="39" xfId="4" applyFont="1" applyBorder="1" applyAlignment="1">
      <alignment horizontal="center"/>
    </xf>
    <xf numFmtId="0" fontId="59" fillId="0" borderId="85" xfId="4" applyFont="1" applyBorder="1"/>
    <xf numFmtId="0" fontId="57" fillId="0" borderId="17" xfId="4" applyFont="1" applyBorder="1" applyAlignment="1">
      <alignment horizontal="right"/>
    </xf>
    <xf numFmtId="0" fontId="59" fillId="0" borderId="132" xfId="4" applyFont="1" applyBorder="1"/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0" fontId="64" fillId="0" borderId="0" xfId="4" applyFont="1"/>
    <xf numFmtId="0" fontId="65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18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6" xfId="4" applyNumberFormat="1" applyFont="1" applyBorder="1" applyAlignment="1">
      <alignment horizontal="center"/>
    </xf>
    <xf numFmtId="167" fontId="3" fillId="0" borderId="137" xfId="4" quotePrefix="1" applyNumberFormat="1" applyFont="1" applyBorder="1" applyAlignment="1">
      <alignment horizontal="center"/>
    </xf>
    <xf numFmtId="167" fontId="2" fillId="0" borderId="132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3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7" fillId="0" borderId="6" xfId="5" applyFont="1" applyBorder="1" applyAlignment="1">
      <alignment horizontal="centerContinuous"/>
    </xf>
    <xf numFmtId="172" fontId="67" fillId="0" borderId="7" xfId="5" applyFont="1" applyBorder="1" applyAlignment="1">
      <alignment horizontal="centerContinuous"/>
    </xf>
    <xf numFmtId="172" fontId="68" fillId="0" borderId="12" xfId="5" applyFont="1" applyBorder="1" applyAlignment="1">
      <alignment horizontal="left"/>
    </xf>
    <xf numFmtId="172" fontId="69" fillId="0" borderId="55" xfId="5" applyFont="1" applyBorder="1"/>
    <xf numFmtId="172" fontId="68" fillId="0" borderId="13" xfId="5" applyFont="1" applyBorder="1" applyAlignment="1">
      <alignment horizontal="centerContinuous"/>
    </xf>
    <xf numFmtId="172" fontId="69" fillId="0" borderId="14" xfId="5" applyFont="1" applyBorder="1" applyAlignment="1">
      <alignment horizontal="centerContinuous"/>
    </xf>
    <xf numFmtId="172" fontId="70" fillId="0" borderId="0" xfId="5" applyFont="1"/>
    <xf numFmtId="172" fontId="66" fillId="0" borderId="0" xfId="5"/>
    <xf numFmtId="172" fontId="67" fillId="0" borderId="45" xfId="5" applyFont="1" applyBorder="1" applyAlignment="1">
      <alignment horizontal="centerContinuous"/>
    </xf>
    <xf numFmtId="172" fontId="67" fillId="0" borderId="0" xfId="5" applyFont="1" applyAlignment="1">
      <alignment horizontal="centerContinuous"/>
    </xf>
    <xf numFmtId="172" fontId="68" fillId="0" borderId="109" xfId="5" applyFont="1" applyBorder="1" applyAlignment="1">
      <alignment horizontal="left"/>
    </xf>
    <xf numFmtId="172" fontId="69" fillId="0" borderId="39" xfId="5" applyFont="1" applyBorder="1"/>
    <xf numFmtId="172" fontId="68" fillId="0" borderId="40" xfId="5" applyFont="1" applyBorder="1" applyAlignment="1">
      <alignment horizontal="centerContinuous"/>
    </xf>
    <xf numFmtId="172" fontId="69" fillId="0" borderId="29" xfId="5" applyFont="1" applyBorder="1" applyAlignment="1">
      <alignment horizontal="centerContinuous"/>
    </xf>
    <xf numFmtId="172" fontId="69" fillId="0" borderId="45" xfId="5" applyFont="1" applyBorder="1" applyAlignment="1">
      <alignment horizontal="centerContinuous"/>
    </xf>
    <xf numFmtId="172" fontId="69" fillId="0" borderId="0" xfId="5" applyFont="1" applyAlignment="1">
      <alignment horizontal="centerContinuous"/>
    </xf>
    <xf numFmtId="172" fontId="68" fillId="0" borderId="40" xfId="5" quotePrefix="1" applyFont="1" applyBorder="1" applyAlignment="1">
      <alignment horizontal="centerContinuous"/>
    </xf>
    <xf numFmtId="172" fontId="71" fillId="0" borderId="45" xfId="5" applyFont="1" applyBorder="1" applyAlignment="1">
      <alignment horizontal="centerContinuous"/>
    </xf>
    <xf numFmtId="172" fontId="70" fillId="0" borderId="45" xfId="5" applyFont="1" applyBorder="1" applyAlignment="1">
      <alignment horizontal="centerContinuous"/>
    </xf>
    <xf numFmtId="172" fontId="70" fillId="0" borderId="46" xfId="5" applyFont="1" applyBorder="1" applyAlignment="1">
      <alignment horizontal="centerContinuous"/>
    </xf>
    <xf numFmtId="172" fontId="69" fillId="0" borderId="23" xfId="5" applyFont="1" applyBorder="1" applyAlignment="1">
      <alignment horizontal="centerContinuous"/>
    </xf>
    <xf numFmtId="172" fontId="68" fillId="0" borderId="46" xfId="5" applyFont="1" applyBorder="1" applyAlignment="1">
      <alignment horizontal="left"/>
    </xf>
    <xf numFmtId="172" fontId="69" fillId="0" borderId="48" xfId="5" applyFont="1" applyBorder="1"/>
    <xf numFmtId="172" fontId="72" fillId="0" borderId="23" xfId="5" applyFont="1" applyBorder="1" applyAlignment="1">
      <alignment horizontal="centerContinuous"/>
    </xf>
    <xf numFmtId="172" fontId="69" fillId="0" borderId="24" xfId="5" applyFont="1" applyBorder="1" applyAlignment="1">
      <alignment horizontal="centerContinuous"/>
    </xf>
    <xf numFmtId="172" fontId="70" fillId="0" borderId="0" xfId="5" applyFont="1" applyAlignment="1">
      <alignment horizontal="centerContinuous"/>
    </xf>
    <xf numFmtId="172" fontId="68" fillId="0" borderId="0" xfId="5" applyFont="1" applyAlignment="1">
      <alignment horizontal="left"/>
    </xf>
    <xf numFmtId="172" fontId="69" fillId="0" borderId="0" xfId="5" applyFont="1"/>
    <xf numFmtId="172" fontId="68" fillId="0" borderId="0" xfId="5" applyFont="1" applyAlignment="1">
      <alignment horizontal="centerContinuous"/>
    </xf>
    <xf numFmtId="172" fontId="73" fillId="0" borderId="0" xfId="5" applyFont="1"/>
    <xf numFmtId="172" fontId="73" fillId="0" borderId="0" xfId="5" applyFont="1" applyAlignment="1">
      <alignment horizontal="right"/>
    </xf>
    <xf numFmtId="172" fontId="73" fillId="0" borderId="0" xfId="5" applyFont="1" applyAlignment="1" applyProtection="1">
      <alignment horizontal="left"/>
      <protection locked="0"/>
    </xf>
    <xf numFmtId="172" fontId="73" fillId="0" borderId="0" xfId="5" applyFont="1" applyAlignment="1">
      <alignment horizontal="centerContinuous"/>
    </xf>
    <xf numFmtId="172" fontId="73" fillId="0" borderId="0" xfId="5" applyFont="1" applyAlignment="1">
      <alignment horizontal="left"/>
    </xf>
    <xf numFmtId="49" fontId="73" fillId="0" borderId="0" xfId="5" quotePrefix="1" applyNumberFormat="1" applyFont="1" applyAlignment="1" applyProtection="1">
      <alignment horizontal="left"/>
      <protection locked="0"/>
    </xf>
    <xf numFmtId="172" fontId="74" fillId="0" borderId="138" xfId="5" applyFont="1" applyBorder="1" applyAlignment="1">
      <alignment horizontal="centerContinuous"/>
    </xf>
    <xf numFmtId="172" fontId="70" fillId="0" borderId="139" xfId="5" applyFont="1" applyBorder="1" applyAlignment="1">
      <alignment horizontal="centerContinuous"/>
    </xf>
    <xf numFmtId="172" fontId="70" fillId="0" borderId="140" xfId="5" applyFont="1" applyBorder="1" applyAlignment="1">
      <alignment horizontal="centerContinuous"/>
    </xf>
    <xf numFmtId="172" fontId="73" fillId="0" borderId="45" xfId="5" applyFont="1" applyBorder="1"/>
    <xf numFmtId="172" fontId="73" fillId="0" borderId="0" xfId="5" applyFont="1" applyAlignment="1" applyProtection="1">
      <alignment horizontal="center"/>
      <protection locked="0"/>
    </xf>
    <xf numFmtId="172" fontId="73" fillId="0" borderId="21" xfId="5" applyFont="1" applyBorder="1" applyAlignment="1" applyProtection="1">
      <alignment horizontal="center"/>
      <protection locked="0"/>
    </xf>
    <xf numFmtId="172" fontId="73" fillId="0" borderId="0" xfId="5" applyFont="1" applyAlignment="1">
      <alignment horizontal="center"/>
    </xf>
    <xf numFmtId="49" fontId="73" fillId="0" borderId="0" xfId="5" applyNumberFormat="1" applyFont="1" applyAlignment="1">
      <alignment horizontal="center"/>
    </xf>
    <xf numFmtId="172" fontId="73" fillId="0" borderId="0" xfId="5" quotePrefix="1" applyFont="1" applyAlignment="1">
      <alignment horizontal="right"/>
    </xf>
    <xf numFmtId="172" fontId="73" fillId="0" borderId="0" xfId="5" quotePrefix="1" applyFont="1" applyAlignment="1" applyProtection="1">
      <alignment horizontal="center"/>
      <protection locked="0"/>
    </xf>
    <xf numFmtId="172" fontId="73" fillId="0" borderId="21" xfId="5" applyFont="1" applyBorder="1"/>
    <xf numFmtId="172" fontId="73" fillId="0" borderId="46" xfId="5" applyFont="1" applyBorder="1"/>
    <xf numFmtId="172" fontId="73" fillId="0" borderId="23" xfId="5" applyFont="1" applyBorder="1" applyAlignment="1">
      <alignment horizontal="right"/>
    </xf>
    <xf numFmtId="167" fontId="73" fillId="0" borderId="23" xfId="5" quotePrefix="1" applyNumberFormat="1" applyFont="1" applyBorder="1" applyAlignment="1" applyProtection="1">
      <alignment horizontal="center"/>
      <protection locked="0"/>
    </xf>
    <xf numFmtId="172" fontId="73" fillId="0" borderId="23" xfId="5" applyFont="1" applyBorder="1"/>
    <xf numFmtId="167" fontId="73" fillId="0" borderId="23" xfId="5" applyNumberFormat="1" applyFont="1" applyBorder="1"/>
    <xf numFmtId="172" fontId="73" fillId="0" borderId="24" xfId="5" applyFont="1" applyBorder="1"/>
    <xf numFmtId="172" fontId="75" fillId="0" borderId="45" xfId="5" quotePrefix="1" applyFont="1" applyBorder="1" applyAlignment="1">
      <alignment horizontal="left"/>
    </xf>
    <xf numFmtId="172" fontId="69" fillId="0" borderId="0" xfId="5" quotePrefix="1" applyFont="1" applyAlignment="1">
      <alignment horizontal="right"/>
    </xf>
    <xf numFmtId="172" fontId="69" fillId="0" borderId="108" xfId="5" applyFont="1" applyBorder="1"/>
    <xf numFmtId="172" fontId="75" fillId="0" borderId="0" xfId="5" applyFont="1" applyAlignment="1">
      <alignment horizontal="left"/>
    </xf>
    <xf numFmtId="172" fontId="69" fillId="0" borderId="0" xfId="5" applyFont="1" applyAlignment="1">
      <alignment horizontal="right"/>
    </xf>
    <xf numFmtId="172" fontId="69" fillId="0" borderId="108" xfId="5" applyFont="1" applyBorder="1" applyAlignment="1">
      <alignment horizontal="right"/>
    </xf>
    <xf numFmtId="172" fontId="75" fillId="0" borderId="0" xfId="5" quotePrefix="1" applyFont="1" applyAlignment="1">
      <alignment horizontal="left"/>
    </xf>
    <xf numFmtId="172" fontId="69" fillId="0" borderId="21" xfId="5" applyFont="1" applyBorder="1"/>
    <xf numFmtId="172" fontId="66" fillId="0" borderId="45" xfId="5" applyBorder="1"/>
    <xf numFmtId="172" fontId="73" fillId="0" borderId="108" xfId="5" applyFont="1" applyBorder="1" applyAlignment="1" applyProtection="1">
      <alignment horizontal="center"/>
      <protection locked="0"/>
    </xf>
    <xf numFmtId="1" fontId="73" fillId="0" borderId="108" xfId="5" applyNumberFormat="1" applyFont="1" applyBorder="1" applyAlignment="1">
      <alignment horizontal="center"/>
    </xf>
    <xf numFmtId="172" fontId="73" fillId="0" borderId="108" xfId="5" applyFont="1" applyBorder="1"/>
    <xf numFmtId="172" fontId="73" fillId="0" borderId="48" xfId="5" applyFont="1" applyBorder="1"/>
    <xf numFmtId="172" fontId="73" fillId="0" borderId="48" xfId="5" applyFont="1" applyBorder="1" applyAlignment="1">
      <alignment horizontal="left"/>
    </xf>
    <xf numFmtId="172" fontId="74" fillId="0" borderId="141" xfId="5" applyFont="1" applyBorder="1" applyAlignment="1">
      <alignment horizontal="centerContinuous"/>
    </xf>
    <xf numFmtId="172" fontId="70" fillId="0" borderId="142" xfId="5" applyFont="1" applyBorder="1" applyAlignment="1">
      <alignment horizontal="centerContinuous"/>
    </xf>
    <xf numFmtId="172" fontId="66" fillId="0" borderId="143" xfId="5" applyBorder="1"/>
    <xf numFmtId="172" fontId="70" fillId="0" borderId="144" xfId="5" applyFont="1" applyBorder="1" applyAlignment="1">
      <alignment horizontal="centerContinuous"/>
    </xf>
    <xf numFmtId="172" fontId="75" fillId="0" borderId="45" xfId="5" applyFont="1" applyBorder="1" applyAlignment="1">
      <alignment horizontal="left"/>
    </xf>
    <xf numFmtId="172" fontId="66" fillId="0" borderId="108" xfId="5" applyBorder="1"/>
    <xf numFmtId="167" fontId="73" fillId="0" borderId="0" xfId="5" applyNumberFormat="1" applyFont="1" applyAlignment="1" applyProtection="1">
      <alignment horizontal="center"/>
      <protection locked="0"/>
    </xf>
    <xf numFmtId="172" fontId="73" fillId="0" borderId="45" xfId="5" applyFont="1" applyBorder="1" applyAlignment="1">
      <alignment horizontal="left"/>
    </xf>
    <xf numFmtId="172" fontId="66" fillId="0" borderId="48" xfId="5" applyBorder="1"/>
    <xf numFmtId="172" fontId="70" fillId="0" borderId="0" xfId="5" applyFont="1" applyAlignment="1">
      <alignment horizontal="left"/>
    </xf>
    <xf numFmtId="172" fontId="70" fillId="0" borderId="141" xfId="5" applyFont="1" applyBorder="1"/>
    <xf numFmtId="172" fontId="69" fillId="0" borderId="142" xfId="5" applyFont="1" applyBorder="1" applyAlignment="1">
      <alignment horizontal="left"/>
    </xf>
    <xf numFmtId="172" fontId="69" fillId="0" borderId="144" xfId="5" applyFont="1" applyBorder="1" applyAlignment="1">
      <alignment horizontal="left"/>
    </xf>
    <xf numFmtId="172" fontId="73" fillId="0" borderId="45" xfId="5" quotePrefix="1" applyFont="1" applyBorder="1" applyAlignment="1">
      <alignment horizontal="left"/>
    </xf>
    <xf numFmtId="172" fontId="73" fillId="0" borderId="21" xfId="5" applyFont="1" applyBorder="1" applyAlignment="1">
      <alignment horizontal="left"/>
    </xf>
    <xf numFmtId="172" fontId="76" fillId="0" borderId="145" xfId="5" applyFont="1" applyBorder="1"/>
    <xf numFmtId="172" fontId="73" fillId="0" borderId="0" xfId="5" quotePrefix="1" applyFont="1" applyAlignment="1">
      <alignment horizontal="left"/>
    </xf>
    <xf numFmtId="172" fontId="73" fillId="0" borderId="146" xfId="5" quotePrefix="1" applyFont="1" applyBorder="1" applyAlignment="1">
      <alignment horizontal="left"/>
    </xf>
    <xf numFmtId="172" fontId="73" fillId="0" borderId="147" xfId="5" quotePrefix="1" applyFont="1" applyBorder="1" applyAlignment="1">
      <alignment horizontal="left"/>
    </xf>
    <xf numFmtId="172" fontId="73" fillId="0" borderId="46" xfId="5" applyFont="1" applyBorder="1" applyAlignment="1">
      <alignment horizontal="left"/>
    </xf>
    <xf numFmtId="172" fontId="73" fillId="0" borderId="23" xfId="5" applyFont="1" applyBorder="1" applyAlignment="1">
      <alignment horizontal="left"/>
    </xf>
    <xf numFmtId="172" fontId="73" fillId="0" borderId="24" xfId="5" applyFont="1" applyBorder="1" applyAlignment="1">
      <alignment horizontal="left"/>
    </xf>
    <xf numFmtId="172" fontId="69" fillId="0" borderId="0" xfId="5" applyFont="1" applyAlignment="1">
      <alignment horizontal="left"/>
    </xf>
    <xf numFmtId="172" fontId="77" fillId="0" borderId="0" xfId="5" applyFont="1" applyAlignment="1">
      <alignment horizontal="right"/>
    </xf>
    <xf numFmtId="172" fontId="66" fillId="0" borderId="0" xfId="5" applyAlignment="1">
      <alignment horizontal="right"/>
    </xf>
    <xf numFmtId="49" fontId="59" fillId="0" borderId="40" xfId="4" applyNumberFormat="1" applyFont="1" applyBorder="1"/>
    <xf numFmtId="0" fontId="28" fillId="5" borderId="80" xfId="1" applyFont="1" applyFill="1" applyBorder="1"/>
    <xf numFmtId="0" fontId="28" fillId="5" borderId="81" xfId="1" applyFont="1" applyFill="1" applyBorder="1"/>
    <xf numFmtId="0" fontId="28" fillId="5" borderId="82" xfId="1" applyFont="1" applyFill="1" applyBorder="1"/>
    <xf numFmtId="0" fontId="24" fillId="0" borderId="0" xfId="1" applyFont="1" applyAlignment="1">
      <alignment horizontal="center"/>
    </xf>
    <xf numFmtId="0" fontId="27" fillId="5" borderId="0" xfId="1" applyFont="1" applyFill="1" applyAlignment="1">
      <alignment horizontal="center"/>
    </xf>
    <xf numFmtId="0" fontId="29" fillId="5" borderId="23" xfId="1" applyFont="1" applyFill="1" applyBorder="1" applyAlignment="1">
      <alignment horizontal="center"/>
    </xf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8" fillId="0" borderId="80" xfId="1" applyFont="1" applyBorder="1" applyAlignment="1">
      <alignment horizontal="left"/>
    </xf>
    <xf numFmtId="0" fontId="28" fillId="0" borderId="81" xfId="1" applyFont="1" applyBorder="1" applyAlignment="1">
      <alignment horizontal="left"/>
    </xf>
    <xf numFmtId="0" fontId="28" fillId="0" borderId="82" xfId="1" applyFont="1" applyBorder="1" applyAlignment="1">
      <alignment horizontal="left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38" fillId="0" borderId="65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3" fillId="0" borderId="107" xfId="1" applyFont="1" applyBorder="1" applyAlignment="1">
      <alignment horizontal="left"/>
    </xf>
    <xf numFmtId="0" fontId="33" fillId="0" borderId="77" xfId="1" applyFont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3" fillId="0" borderId="45" xfId="1" applyFont="1" applyBorder="1" applyAlignment="1">
      <alignment horizontal="center"/>
    </xf>
    <xf numFmtId="0" fontId="33" fillId="0" borderId="0" xfId="1" applyFont="1" applyAlignment="1">
      <alignment horizontal="center"/>
    </xf>
    <xf numFmtId="0" fontId="33" fillId="0" borderId="108" xfId="1" applyFont="1" applyBorder="1" applyAlignment="1">
      <alignment horizontal="center"/>
    </xf>
    <xf numFmtId="0" fontId="33" fillId="0" borderId="109" xfId="1" applyFont="1" applyBorder="1" applyAlignment="1">
      <alignment horizontal="center"/>
    </xf>
    <xf numFmtId="0" fontId="33" fillId="0" borderId="40" xfId="1" applyFont="1" applyBorder="1" applyAlignment="1">
      <alignment horizontal="center"/>
    </xf>
    <xf numFmtId="0" fontId="33" fillId="0" borderId="39" xfId="1" applyFont="1" applyBorder="1" applyAlignment="1">
      <alignment horizontal="center"/>
    </xf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28" fillId="0" borderId="38" xfId="1" applyFont="1" applyBorder="1" applyAlignment="1">
      <alignment horizontal="left"/>
    </xf>
    <xf numFmtId="0" fontId="33" fillId="0" borderId="46" xfId="1" applyFont="1" applyBorder="1" applyAlignment="1">
      <alignment horizontal="center"/>
    </xf>
    <xf numFmtId="0" fontId="33" fillId="0" borderId="23" xfId="1" applyFont="1" applyBorder="1" applyAlignment="1">
      <alignment horizontal="center"/>
    </xf>
    <xf numFmtId="0" fontId="33" fillId="0" borderId="48" xfId="1" applyFont="1" applyBorder="1" applyAlignment="1">
      <alignment horizontal="center"/>
    </xf>
    <xf numFmtId="0" fontId="49" fillId="5" borderId="117" xfId="1" applyFont="1" applyFill="1" applyBorder="1" applyAlignment="1">
      <alignment horizontal="center"/>
    </xf>
    <xf numFmtId="0" fontId="49" fillId="5" borderId="118" xfId="1" applyFont="1" applyFill="1" applyBorder="1" applyAlignment="1">
      <alignment horizontal="center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52" fillId="0" borderId="50" xfId="2" applyBorder="1" applyAlignment="1">
      <alignment horizontal="left"/>
    </xf>
    <xf numFmtId="0" fontId="52" fillId="0" borderId="13" xfId="2" applyBorder="1" applyAlignment="1">
      <alignment horizontal="left"/>
    </xf>
    <xf numFmtId="170" fontId="52" fillId="0" borderId="50" xfId="2" applyNumberFormat="1" applyBorder="1" applyAlignment="1">
      <alignment horizontal="center"/>
    </xf>
    <xf numFmtId="170" fontId="52" fillId="0" borderId="13" xfId="2" applyNumberFormat="1" applyBorder="1" applyAlignment="1">
      <alignment horizontal="center"/>
    </xf>
    <xf numFmtId="170" fontId="52" fillId="0" borderId="55" xfId="2" applyNumberFormat="1" applyBorder="1" applyAlignment="1">
      <alignment horizontal="center"/>
    </xf>
    <xf numFmtId="49" fontId="52" fillId="0" borderId="50" xfId="2" applyNumberFormat="1" applyBorder="1" applyAlignment="1">
      <alignment horizontal="center"/>
    </xf>
    <xf numFmtId="49" fontId="52" fillId="0" borderId="13" xfId="2" applyNumberFormat="1" applyBorder="1" applyAlignment="1">
      <alignment horizontal="center"/>
    </xf>
    <xf numFmtId="49" fontId="52" fillId="0" borderId="14" xfId="2" applyNumberFormat="1" applyBorder="1" applyAlignment="1">
      <alignment horizontal="center"/>
    </xf>
    <xf numFmtId="0" fontId="54" fillId="0" borderId="45" xfId="2" applyFont="1" applyBorder="1" applyAlignment="1">
      <alignment horizontal="center"/>
    </xf>
    <xf numFmtId="0" fontId="54" fillId="0" borderId="0" xfId="2" applyFont="1" applyAlignment="1">
      <alignment horizontal="center"/>
    </xf>
    <xf numFmtId="0" fontId="54" fillId="0" borderId="53" xfId="2" applyFont="1" applyBorder="1" applyAlignment="1">
      <alignment horizontal="center"/>
    </xf>
    <xf numFmtId="0" fontId="53" fillId="0" borderId="15" xfId="2" applyFont="1" applyBorder="1" applyAlignment="1">
      <alignment horizontal="center"/>
    </xf>
    <xf numFmtId="0" fontId="53" fillId="0" borderId="7" xfId="2" applyFont="1" applyBorder="1" applyAlignment="1">
      <alignment horizontal="center"/>
    </xf>
    <xf numFmtId="0" fontId="53" fillId="0" borderId="130" xfId="2" applyFont="1" applyBorder="1" applyAlignment="1">
      <alignment horizontal="center"/>
    </xf>
    <xf numFmtId="0" fontId="53" fillId="0" borderId="8" xfId="2" applyFont="1" applyBorder="1" applyAlignment="1">
      <alignment horizontal="center"/>
    </xf>
    <xf numFmtId="0" fontId="52" fillId="0" borderId="17" xfId="2" applyBorder="1" applyAlignment="1">
      <alignment horizontal="left"/>
    </xf>
    <xf numFmtId="0" fontId="52" fillId="0" borderId="131" xfId="2" applyBorder="1" applyAlignment="1">
      <alignment horizontal="left"/>
    </xf>
    <xf numFmtId="170" fontId="52" fillId="0" borderId="17" xfId="2" applyNumberFormat="1" applyBorder="1" applyAlignment="1">
      <alignment horizontal="center"/>
    </xf>
    <xf numFmtId="170" fontId="52" fillId="0" borderId="131" xfId="2" applyNumberFormat="1" applyBorder="1" applyAlignment="1">
      <alignment horizontal="center"/>
    </xf>
    <xf numFmtId="170" fontId="52" fillId="0" borderId="132" xfId="2" applyNumberFormat="1" applyBorder="1" applyAlignment="1">
      <alignment horizontal="center"/>
    </xf>
    <xf numFmtId="49" fontId="52" fillId="0" borderId="17" xfId="2" applyNumberFormat="1" applyBorder="1" applyAlignment="1">
      <alignment horizontal="center"/>
    </xf>
    <xf numFmtId="49" fontId="52" fillId="0" borderId="131" xfId="2" applyNumberFormat="1" applyBorder="1" applyAlignment="1">
      <alignment horizontal="center"/>
    </xf>
    <xf numFmtId="49" fontId="52" fillId="0" borderId="16" xfId="2" applyNumberFormat="1" applyBorder="1" applyAlignment="1">
      <alignment horizontal="center"/>
    </xf>
    <xf numFmtId="0" fontId="52" fillId="0" borderId="31" xfId="2" applyBorder="1" applyAlignment="1">
      <alignment horizontal="left"/>
    </xf>
    <xf numFmtId="0" fontId="52" fillId="0" borderId="51" xfId="2" applyBorder="1" applyAlignment="1">
      <alignment horizontal="left"/>
    </xf>
    <xf numFmtId="170" fontId="52" fillId="0" borderId="31" xfId="2" applyNumberFormat="1" applyBorder="1" applyAlignment="1">
      <alignment horizontal="center"/>
    </xf>
    <xf numFmtId="170" fontId="52" fillId="0" borderId="51" xfId="2" applyNumberFormat="1" applyBorder="1" applyAlignment="1">
      <alignment horizontal="center"/>
    </xf>
    <xf numFmtId="170" fontId="52" fillId="0" borderId="133" xfId="2" applyNumberFormat="1" applyBorder="1" applyAlignment="1">
      <alignment horizontal="center"/>
    </xf>
    <xf numFmtId="49" fontId="52" fillId="0" borderId="31" xfId="2" applyNumberFormat="1" applyBorder="1" applyAlignment="1">
      <alignment horizontal="center"/>
    </xf>
    <xf numFmtId="49" fontId="52" fillId="0" borderId="51" xfId="2" applyNumberFormat="1" applyBorder="1" applyAlignment="1">
      <alignment horizontal="center"/>
    </xf>
    <xf numFmtId="49" fontId="52" fillId="0" borderId="32" xfId="2" applyNumberForma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8" fillId="0" borderId="17" xfId="4" applyFont="1" applyBorder="1" applyAlignment="1">
      <alignment horizontal="center"/>
    </xf>
    <xf numFmtId="0" fontId="31" fillId="0" borderId="131" xfId="4" applyFont="1" applyBorder="1" applyAlignment="1">
      <alignment horizontal="center"/>
    </xf>
    <xf numFmtId="0" fontId="31" fillId="0" borderId="132" xfId="4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1" fillId="0" borderId="17" xfId="4" applyFont="1" applyBorder="1" applyAlignment="1">
      <alignment horizontal="center"/>
    </xf>
    <xf numFmtId="0" fontId="56" fillId="0" borderId="17" xfId="4" applyFont="1" applyBorder="1" applyAlignment="1">
      <alignment horizontal="right"/>
    </xf>
    <xf numFmtId="0" fontId="56" fillId="0" borderId="131" xfId="4" applyFont="1" applyBorder="1" applyAlignment="1">
      <alignment horizontal="right"/>
    </xf>
    <xf numFmtId="0" fontId="31" fillId="0" borderId="0" xfId="4" applyFont="1" applyAlignment="1">
      <alignment horizontal="center"/>
    </xf>
    <xf numFmtId="0" fontId="62" fillId="0" borderId="0" xfId="4" applyFont="1" applyAlignment="1">
      <alignment horizontal="right"/>
    </xf>
    <xf numFmtId="172" fontId="78" fillId="0" borderId="148" xfId="5" applyFont="1" applyBorder="1" applyAlignment="1" applyProtection="1">
      <alignment horizontal="center"/>
      <protection locked="0"/>
    </xf>
    <xf numFmtId="14" fontId="23" fillId="0" borderId="148" xfId="5" quotePrefix="1" applyNumberFormat="1" applyFont="1" applyBorder="1" applyAlignment="1" applyProtection="1">
      <alignment horizontal="center"/>
      <protection locked="0"/>
    </xf>
    <xf numFmtId="0" fontId="59" fillId="0" borderId="17" xfId="4" applyFont="1" applyBorder="1" applyAlignment="1">
      <alignment horizontal="center"/>
    </xf>
    <xf numFmtId="0" fontId="59" fillId="0" borderId="131" xfId="4" applyFont="1" applyBorder="1" applyAlignment="1">
      <alignment horizontal="center"/>
    </xf>
    <xf numFmtId="0" fontId="59" fillId="0" borderId="132" xfId="4" applyFont="1" applyBorder="1" applyAlignment="1">
      <alignment horizontal="center"/>
    </xf>
    <xf numFmtId="0" fontId="61" fillId="0" borderId="83" xfId="4" applyFont="1" applyBorder="1" applyAlignment="1">
      <alignment horizontal="center"/>
    </xf>
    <xf numFmtId="0" fontId="61" fillId="0" borderId="0" xfId="4" applyFont="1" applyAlignment="1">
      <alignment horizontal="center"/>
    </xf>
    <xf numFmtId="0" fontId="61" fillId="0" borderId="108" xfId="4" applyFont="1" applyBorder="1" applyAlignment="1">
      <alignment horizontal="center"/>
    </xf>
    <xf numFmtId="0" fontId="63" fillId="0" borderId="83" xfId="4" applyFont="1" applyBorder="1" applyAlignment="1">
      <alignment horizontal="center"/>
    </xf>
    <xf numFmtId="0" fontId="63" fillId="0" borderId="0" xfId="4" applyFont="1" applyAlignment="1">
      <alignment horizontal="center"/>
    </xf>
    <xf numFmtId="0" fontId="63" fillId="0" borderId="108" xfId="4" applyFont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3" xr:uid="{00000000-0005-0000-0000-000004000000}"/>
    <cellStyle name="Normal_PROJ_REV_HIST" xfId="2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1.0199999436736107E-2</c:v>
                </c:pt>
                <c:pt idx="2">
                  <c:v>5.0999999046325684E-2</c:v>
                </c:pt>
                <c:pt idx="3" formatCode="0.00">
                  <c:v>0.1009230762720108</c:v>
                </c:pt>
                <c:pt idx="4" formatCode="0.00">
                  <c:v>0.15084615349769592</c:v>
                </c:pt>
                <c:pt idx="5" formatCode="0.00">
                  <c:v>0.20076923072338104</c:v>
                </c:pt>
                <c:pt idx="6" formatCode="0.00">
                  <c:v>0.30061540007591248</c:v>
                </c:pt>
                <c:pt idx="7" formatCode="0.00">
                  <c:v>0.40046155452728271</c:v>
                </c:pt>
                <c:pt idx="8" formatCode="0.00">
                  <c:v>0.50030767917633057</c:v>
                </c:pt>
                <c:pt idx="9" formatCode="0.00">
                  <c:v>0.60015386343002319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87.951374512068853</c:v>
                </c:pt>
                <c:pt idx="2">
                  <c:v>275</c:v>
                </c:pt>
                <c:pt idx="3">
                  <c:v>227.24464603590593</c:v>
                </c:pt>
                <c:pt idx="4">
                  <c:v>172.81028269323079</c:v>
                </c:pt>
                <c:pt idx="5">
                  <c:v>142.57393371864859</c:v>
                </c:pt>
                <c:pt idx="6">
                  <c:v>121.78323420904758</c:v>
                </c:pt>
                <c:pt idx="7">
                  <c:v>114.23659959858549</c:v>
                </c:pt>
                <c:pt idx="8">
                  <c:v>111.41440268277448</c:v>
                </c:pt>
                <c:pt idx="9">
                  <c:v>110.36854437130623</c:v>
                </c:pt>
                <c:pt idx="10">
                  <c:v>110</c:v>
                </c:pt>
                <c:pt idx="11">
                  <c:v>112.30580928855926</c:v>
                </c:pt>
                <c:pt idx="12">
                  <c:v>116.87332231064104</c:v>
                </c:pt>
                <c:pt idx="13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0-48D4-83E0-CFC95EDF2C04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1.0199999436736107E-2</c:v>
                </c:pt>
                <c:pt idx="2">
                  <c:v>5.0999999046325684E-2</c:v>
                </c:pt>
                <c:pt idx="3" formatCode="0.00">
                  <c:v>0.1009230762720108</c:v>
                </c:pt>
                <c:pt idx="4" formatCode="0.00">
                  <c:v>0.15084615349769592</c:v>
                </c:pt>
                <c:pt idx="5" formatCode="0.00">
                  <c:v>0.20076923072338104</c:v>
                </c:pt>
                <c:pt idx="6" formatCode="0.00">
                  <c:v>0.30061540007591248</c:v>
                </c:pt>
                <c:pt idx="7" formatCode="0.00">
                  <c:v>0.40046155452728271</c:v>
                </c:pt>
                <c:pt idx="8" formatCode="0.00">
                  <c:v>0.50030767917633057</c:v>
                </c:pt>
                <c:pt idx="9" formatCode="0.00">
                  <c:v>0.60015386343002319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97.943672180175781</c:v>
                </c:pt>
                <c:pt idx="2">
                  <c:v>86.735130310058594</c:v>
                </c:pt>
                <c:pt idx="3">
                  <c:v>73.756523132324219</c:v>
                </c:pt>
                <c:pt idx="4">
                  <c:v>60.811622619628906</c:v>
                </c:pt>
                <c:pt idx="5">
                  <c:v>49.868709564208984</c:v>
                </c:pt>
                <c:pt idx="6">
                  <c:v>32.932079315185547</c:v>
                </c:pt>
                <c:pt idx="7">
                  <c:v>21.962989807128906</c:v>
                </c:pt>
                <c:pt idx="8">
                  <c:v>13.98153018951416</c:v>
                </c:pt>
                <c:pt idx="9">
                  <c:v>7.996922492980957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0-48D4-83E0-CFC95EDF2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84576"/>
        <c:axId val="50187264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1.0199999436736107E-2</c:v>
                </c:pt>
                <c:pt idx="2">
                  <c:v>5.0999999046325684E-2</c:v>
                </c:pt>
                <c:pt idx="3" formatCode="0.00">
                  <c:v>0.1009230762720108</c:v>
                </c:pt>
                <c:pt idx="4" formatCode="0.00">
                  <c:v>0.15084615349769592</c:v>
                </c:pt>
                <c:pt idx="5" formatCode="0.00">
                  <c:v>0.20076923072338104</c:v>
                </c:pt>
                <c:pt idx="6" formatCode="0.00">
                  <c:v>0.30061540007591248</c:v>
                </c:pt>
                <c:pt idx="7" formatCode="0.00">
                  <c:v>0.40046155452728271</c:v>
                </c:pt>
                <c:pt idx="8" formatCode="0.00">
                  <c:v>0.50030767917633057</c:v>
                </c:pt>
                <c:pt idx="9" formatCode="0.00">
                  <c:v>0.60015386343002319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0.29391905665397644</c:v>
                </c:pt>
                <c:pt idx="1">
                  <c:v>93.295494079589844</c:v>
                </c:pt>
                <c:pt idx="2">
                  <c:v>349.620361328125</c:v>
                </c:pt>
                <c:pt idx="3">
                  <c:v>483.703369140625</c:v>
                </c:pt>
                <c:pt idx="4">
                  <c:v>534.4578857421875</c:v>
                </c:pt>
                <c:pt idx="5">
                  <c:v>558.19232177734375</c:v>
                </c:pt>
                <c:pt idx="6">
                  <c:v>580.45697021484375</c:v>
                </c:pt>
                <c:pt idx="7">
                  <c:v>592.0709228515625</c:v>
                </c:pt>
                <c:pt idx="8">
                  <c:v>600.29327392578125</c:v>
                </c:pt>
                <c:pt idx="9">
                  <c:v>607.0399169921875</c:v>
                </c:pt>
                <c:pt idx="10">
                  <c:v>612.73468017578125</c:v>
                </c:pt>
                <c:pt idx="11">
                  <c:v>617.83746337890625</c:v>
                </c:pt>
                <c:pt idx="12">
                  <c:v>622.46282958984375</c:v>
                </c:pt>
                <c:pt idx="13">
                  <c:v>626.66668701171875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E0-48D4-83E0-CFC95EDF2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49280"/>
        <c:axId val="50850816"/>
      </c:scatterChart>
      <c:valAx>
        <c:axId val="5018457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187264"/>
        <c:crossesAt val="0"/>
        <c:crossBetween val="midCat"/>
        <c:majorUnit val="0.2"/>
        <c:minorUnit val="0.2"/>
      </c:valAx>
      <c:valAx>
        <c:axId val="50187264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184576"/>
        <c:crosses val="max"/>
        <c:crossBetween val="midCat"/>
        <c:majorUnit val="50"/>
        <c:minorUnit val="50"/>
      </c:valAx>
      <c:valAx>
        <c:axId val="5084928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50850816"/>
        <c:crosses val="autoZero"/>
        <c:crossBetween val="midCat"/>
      </c:valAx>
      <c:valAx>
        <c:axId val="5085081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84928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98.980000056326389</c:v>
                </c:pt>
                <c:pt idx="2">
                  <c:v>94.900000095367432</c:v>
                </c:pt>
                <c:pt idx="3">
                  <c:v>89.90769237279892</c:v>
                </c:pt>
                <c:pt idx="4">
                  <c:v>84.915384650230408</c:v>
                </c:pt>
                <c:pt idx="5">
                  <c:v>79.923076927661896</c:v>
                </c:pt>
                <c:pt idx="6">
                  <c:v>69.938459992408752</c:v>
                </c:pt>
                <c:pt idx="7">
                  <c:v>59.953844547271729</c:v>
                </c:pt>
                <c:pt idx="8">
                  <c:v>49.969232082366943</c:v>
                </c:pt>
                <c:pt idx="9">
                  <c:v>39.984613656997681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97.943672180175781</c:v>
                </c:pt>
                <c:pt idx="2">
                  <c:v>86.735130310058594</c:v>
                </c:pt>
                <c:pt idx="3">
                  <c:v>73.756523132324219</c:v>
                </c:pt>
                <c:pt idx="4">
                  <c:v>60.811622619628906</c:v>
                </c:pt>
                <c:pt idx="5">
                  <c:v>49.868709564208984</c:v>
                </c:pt>
                <c:pt idx="6">
                  <c:v>32.932079315185547</c:v>
                </c:pt>
                <c:pt idx="7">
                  <c:v>21.962989807128906</c:v>
                </c:pt>
                <c:pt idx="8">
                  <c:v>13.98153018951416</c:v>
                </c:pt>
                <c:pt idx="9">
                  <c:v>7.996922492980957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AF-4D79-8F43-16D468E6D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26336"/>
        <c:axId val="271426688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98.980000056326389</c:v>
                </c:pt>
                <c:pt idx="2">
                  <c:v>94.900000095367432</c:v>
                </c:pt>
                <c:pt idx="3">
                  <c:v>89.90769237279892</c:v>
                </c:pt>
                <c:pt idx="4">
                  <c:v>84.915384650230408</c:v>
                </c:pt>
                <c:pt idx="5">
                  <c:v>79.923076927661896</c:v>
                </c:pt>
                <c:pt idx="6">
                  <c:v>69.938459992408752</c:v>
                </c:pt>
                <c:pt idx="7">
                  <c:v>59.953844547271729</c:v>
                </c:pt>
                <c:pt idx="8">
                  <c:v>49.969232082366943</c:v>
                </c:pt>
                <c:pt idx="9">
                  <c:v>39.984613656997681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87.951374512068853</c:v>
                </c:pt>
                <c:pt idx="2">
                  <c:v>275</c:v>
                </c:pt>
                <c:pt idx="3">
                  <c:v>227.24464603590593</c:v>
                </c:pt>
                <c:pt idx="4">
                  <c:v>172.81028269323079</c:v>
                </c:pt>
                <c:pt idx="5">
                  <c:v>142.57393371864859</c:v>
                </c:pt>
                <c:pt idx="6">
                  <c:v>121.78323420904758</c:v>
                </c:pt>
                <c:pt idx="7">
                  <c:v>114.23659959858549</c:v>
                </c:pt>
                <c:pt idx="8">
                  <c:v>111.41440268277448</c:v>
                </c:pt>
                <c:pt idx="9">
                  <c:v>110.36854437130623</c:v>
                </c:pt>
                <c:pt idx="10">
                  <c:v>110</c:v>
                </c:pt>
                <c:pt idx="11">
                  <c:v>112.30580928855926</c:v>
                </c:pt>
                <c:pt idx="12">
                  <c:v>116.87332231064104</c:v>
                </c:pt>
                <c:pt idx="13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AF-4D79-8F43-16D468E6D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26336"/>
        <c:axId val="27142668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98.980000056326389</c:v>
                </c:pt>
                <c:pt idx="2">
                  <c:v>94.900000095367432</c:v>
                </c:pt>
                <c:pt idx="3">
                  <c:v>89.90769237279892</c:v>
                </c:pt>
                <c:pt idx="4">
                  <c:v>84.915384650230408</c:v>
                </c:pt>
                <c:pt idx="5">
                  <c:v>79.923076927661896</c:v>
                </c:pt>
                <c:pt idx="6">
                  <c:v>69.938459992408752</c:v>
                </c:pt>
                <c:pt idx="7">
                  <c:v>59.953844547271729</c:v>
                </c:pt>
                <c:pt idx="8">
                  <c:v>49.969232082366943</c:v>
                </c:pt>
                <c:pt idx="9">
                  <c:v>39.984613656997681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0.29391905665397644</c:v>
                </c:pt>
                <c:pt idx="1">
                  <c:v>93.295494079589844</c:v>
                </c:pt>
                <c:pt idx="2">
                  <c:v>349.620361328125</c:v>
                </c:pt>
                <c:pt idx="3">
                  <c:v>483.703369140625</c:v>
                </c:pt>
                <c:pt idx="4">
                  <c:v>534.4578857421875</c:v>
                </c:pt>
                <c:pt idx="5">
                  <c:v>558.19232177734375</c:v>
                </c:pt>
                <c:pt idx="6">
                  <c:v>580.45697021484375</c:v>
                </c:pt>
                <c:pt idx="7">
                  <c:v>592.0709228515625</c:v>
                </c:pt>
                <c:pt idx="8">
                  <c:v>600.29327392578125</c:v>
                </c:pt>
                <c:pt idx="9">
                  <c:v>607.0399169921875</c:v>
                </c:pt>
                <c:pt idx="10">
                  <c:v>612.73468017578125</c:v>
                </c:pt>
                <c:pt idx="11">
                  <c:v>617.83746337890625</c:v>
                </c:pt>
                <c:pt idx="12">
                  <c:v>622.46282958984375</c:v>
                </c:pt>
                <c:pt idx="13">
                  <c:v>626.66668701171875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AF-4D79-8F43-16D468E6D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474048"/>
        <c:axId val="271506432"/>
      </c:scatterChart>
      <c:valAx>
        <c:axId val="26332633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1426688"/>
        <c:crosses val="autoZero"/>
        <c:crossBetween val="midCat"/>
        <c:majorUnit val="20"/>
        <c:minorUnit val="20"/>
      </c:valAx>
      <c:valAx>
        <c:axId val="271426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63326336"/>
        <c:crosses val="autoZero"/>
        <c:crossBetween val="midCat"/>
      </c:valAx>
      <c:valAx>
        <c:axId val="27147404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71506432"/>
        <c:crosses val="autoZero"/>
        <c:crossBetween val="midCat"/>
      </c:valAx>
      <c:valAx>
        <c:axId val="271506432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147404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88783349799906186"/>
          <c:w val="0.25090132154533312"/>
          <c:h val="0.11216650200093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626.66666666666663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17.070057732718332</c:v>
                </c:pt>
                <c:pt idx="1">
                  <c:v>18.621114830407304</c:v>
                </c:pt>
                <c:pt idx="2">
                  <c:v>26.814405355786516</c:v>
                </c:pt>
                <c:pt idx="3">
                  <c:v>41.897508368416439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3C-450C-8829-DD38409F5680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626.66666666666663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11.585595267159599</c:v>
                </c:pt>
                <c:pt idx="1">
                  <c:v>12.638311084027432</c:v>
                </c:pt>
                <c:pt idx="2">
                  <c:v>18.1991679609995</c:v>
                </c:pt>
                <c:pt idx="3">
                  <c:v>28.436199939061726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3C-450C-8829-DD38409F5680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275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60.162538714047955</c:v>
                </c:pt>
                <c:pt idx="3">
                  <c:v>140.42567871141594</c:v>
                </c:pt>
                <c:pt idx="4">
                  <c:v>216.39914341259816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3C-450C-8829-DD38409F5680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626.66666666666663</c:v>
                </c:pt>
                <c:pt idx="1">
                  <c:v>624.5</c:v>
                </c:pt>
                <c:pt idx="2">
                  <c:v>620.16666666666663</c:v>
                </c:pt>
                <c:pt idx="3">
                  <c:v>615.33333333333337</c:v>
                </c:pt>
                <c:pt idx="4">
                  <c:v>609.83333333333337</c:v>
                </c:pt>
                <c:pt idx="5">
                  <c:v>603.66666666666663</c:v>
                </c:pt>
                <c:pt idx="6">
                  <c:v>596.16666666666663</c:v>
                </c:pt>
                <c:pt idx="7">
                  <c:v>586.33333333333337</c:v>
                </c:pt>
                <c:pt idx="8">
                  <c:v>569.33333333333337</c:v>
                </c:pt>
                <c:pt idx="9">
                  <c:v>546.33333333333337</c:v>
                </c:pt>
                <c:pt idx="10">
                  <c:v>508.99999999999994</c:v>
                </c:pt>
                <c:pt idx="11">
                  <c:v>416.66666666666669</c:v>
                </c:pt>
                <c:pt idx="12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0.79199999570846558</c:v>
                </c:pt>
                <c:pt idx="2">
                  <c:v>1.5479999780654907</c:v>
                </c:pt>
                <c:pt idx="3">
                  <c:v>2.2960000038146973</c:v>
                </c:pt>
                <c:pt idx="4">
                  <c:v>3.0499999523162842</c:v>
                </c:pt>
                <c:pt idx="5">
                  <c:v>3.8289999961853027</c:v>
                </c:pt>
                <c:pt idx="6">
                  <c:v>4.6490001678466797</c:v>
                </c:pt>
                <c:pt idx="7">
                  <c:v>5.508000373840332</c:v>
                </c:pt>
                <c:pt idx="8">
                  <c:v>6.3650002479553223</c:v>
                </c:pt>
                <c:pt idx="9">
                  <c:v>6.7450003623962402</c:v>
                </c:pt>
                <c:pt idx="10">
                  <c:v>7.0380005836486816</c:v>
                </c:pt>
                <c:pt idx="11">
                  <c:v>7.2660007476806641</c:v>
                </c:pt>
                <c:pt idx="12">
                  <c:v>7.6150007247924805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3C-450C-8829-DD38409F5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37056"/>
        <c:axId val="292906496"/>
      </c:scatterChart>
      <c:valAx>
        <c:axId val="28303705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906496"/>
        <c:crossesAt val="0.1"/>
        <c:crossBetween val="midCat"/>
        <c:majorUnit val="100"/>
      </c:valAx>
      <c:valAx>
        <c:axId val="292906496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03705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88.213859558105469</c:v>
                </c:pt>
                <c:pt idx="2">
                  <c:v>92.461601257324219</c:v>
                </c:pt>
                <c:pt idx="3">
                  <c:v>93.652626037597656</c:v>
                </c:pt>
                <c:pt idx="4">
                  <c:v>94.026260375976563</c:v>
                </c:pt>
                <c:pt idx="5">
                  <c:v>94.050216674804688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EF-4562-9D90-CB6E4BBA06E4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55.373710632324219</c:v>
                </c:pt>
                <c:pt idx="1">
                  <c:v>75.723373413085938</c:v>
                </c:pt>
                <c:pt idx="2">
                  <c:v>83.061714172363281</c:v>
                </c:pt>
                <c:pt idx="3">
                  <c:v>86.018974304199219</c:v>
                </c:pt>
                <c:pt idx="4">
                  <c:v>87.187828063964844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EF-4562-9D90-CB6E4BBA06E4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65.24260997718568</c:v>
                </c:pt>
                <c:pt idx="2">
                  <c:v>50.545956050513709</c:v>
                </c:pt>
                <c:pt idx="3">
                  <c:v>35.580220493038262</c:v>
                </c:pt>
                <c:pt idx="4">
                  <c:v>20.259118896343153</c:v>
                </c:pt>
                <c:pt idx="5">
                  <c:v>4.7624592070503624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EF-4562-9D90-CB6E4BBA06E4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0.74299999999999999</c:v>
                </c:pt>
                <c:pt idx="1">
                  <c:v>9.5137019758516921</c:v>
                </c:pt>
                <c:pt idx="2">
                  <c:v>18.153275249070251</c:v>
                </c:pt>
                <c:pt idx="3">
                  <c:v>26.883614880065714</c:v>
                </c:pt>
                <c:pt idx="4">
                  <c:v>35.702383080338926</c:v>
                </c:pt>
                <c:pt idx="5">
                  <c:v>44.616606921654764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EF-4562-9D90-CB6E4BBA0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97312"/>
        <c:axId val="307600000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18.460467507084765</c:v>
                </c:pt>
                <c:pt idx="1">
                  <c:v>24.799219131469727</c:v>
                </c:pt>
                <c:pt idx="2">
                  <c:v>34.603271484375</c:v>
                </c:pt>
                <c:pt idx="3">
                  <c:v>46.717422485351563</c:v>
                </c:pt>
                <c:pt idx="4">
                  <c:v>59.909412384033203</c:v>
                </c:pt>
                <c:pt idx="5">
                  <c:v>73.863998413085938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EF-4562-9D90-CB6E4BBA0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106368"/>
        <c:axId val="308108288"/>
      </c:scatterChart>
      <c:valAx>
        <c:axId val="30759731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7600000"/>
        <c:crossesAt val="0"/>
        <c:crossBetween val="midCat"/>
        <c:majorUnit val="25"/>
        <c:minorUnit val="12.5"/>
      </c:valAx>
      <c:valAx>
        <c:axId val="30760000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7597312"/>
        <c:crosses val="autoZero"/>
        <c:crossBetween val="midCat"/>
        <c:majorUnit val="10"/>
        <c:minorUnit val="5"/>
      </c:valAx>
      <c:valAx>
        <c:axId val="30810636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08108288"/>
        <c:crosses val="autoZero"/>
        <c:crossBetween val="midCat"/>
      </c:valAx>
      <c:valAx>
        <c:axId val="308108288"/>
        <c:scaling>
          <c:orientation val="minMax"/>
          <c:max val="8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8106368"/>
        <c:crosses val="max"/>
        <c:crossBetween val="midCat"/>
        <c:majorUnit val="8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457200</xdr:colOff>
      <xdr:row>29</xdr:row>
      <xdr:rowOff>209550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95475" y="6781800"/>
          <a:ext cx="2571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95250</xdr:colOff>
      <xdr:row>31</xdr:row>
      <xdr:rowOff>0</xdr:rowOff>
    </xdr:from>
    <xdr:to>
      <xdr:col>2</xdr:col>
      <xdr:colOff>76200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048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219075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38275" y="6210300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14.0</a:t>
          </a:r>
        </a:p>
      </xdr:txBody>
    </xdr:sp>
    <xdr:clientData/>
  </xdr:twoCellAnchor>
  <xdr:twoCellAnchor>
    <xdr:from>
      <xdr:col>1</xdr:col>
      <xdr:colOff>390525</xdr:colOff>
      <xdr:row>27</xdr:row>
      <xdr:rowOff>57150</xdr:rowOff>
    </xdr:from>
    <xdr:to>
      <xdr:col>3</xdr:col>
      <xdr:colOff>447675</xdr:colOff>
      <xdr:row>31</xdr:row>
      <xdr:rowOff>219075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1200150" y="6296025"/>
          <a:ext cx="942975" cy="1076325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438150</xdr:colOff>
      <xdr:row>42</xdr:row>
      <xdr:rowOff>180975</xdr:rowOff>
    </xdr:from>
    <xdr:to>
      <xdr:col>3</xdr:col>
      <xdr:colOff>304800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657350" y="98488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2800.0</a:t>
          </a:r>
        </a:p>
      </xdr:txBody>
    </xdr:sp>
    <xdr:clientData/>
  </xdr:twoCellAnchor>
  <xdr:twoCellAnchor>
    <xdr:from>
      <xdr:col>1</xdr:col>
      <xdr:colOff>257175</xdr:colOff>
      <xdr:row>40</xdr:row>
      <xdr:rowOff>200025</xdr:rowOff>
    </xdr:from>
    <xdr:to>
      <xdr:col>2</xdr:col>
      <xdr:colOff>247650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1066800" y="9410700"/>
          <a:ext cx="4000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332.2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342900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1285875" y="9267825"/>
          <a:ext cx="2762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43.0</a:t>
          </a:r>
        </a:p>
      </xdr:txBody>
    </xdr:sp>
    <xdr:clientData/>
  </xdr:twoCellAnchor>
  <xdr:twoCellAnchor>
    <xdr:from>
      <xdr:col>2</xdr:col>
      <xdr:colOff>352425</xdr:colOff>
      <xdr:row>40</xdr:row>
      <xdr:rowOff>57150</xdr:rowOff>
    </xdr:from>
    <xdr:to>
      <xdr:col>3</xdr:col>
      <xdr:colOff>180975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1571625" y="926782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1</xdr:col>
      <xdr:colOff>295275</xdr:colOff>
      <xdr:row>42</xdr:row>
      <xdr:rowOff>0</xdr:rowOff>
    </xdr:from>
    <xdr:to>
      <xdr:col>2</xdr:col>
      <xdr:colOff>190500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104900" y="96678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246.2</a:t>
          </a:r>
        </a:p>
      </xdr:txBody>
    </xdr:sp>
    <xdr:clientData/>
  </xdr:twoCellAnchor>
  <xdr:twoCellAnchor>
    <xdr:from>
      <xdr:col>3</xdr:col>
      <xdr:colOff>133350</xdr:colOff>
      <xdr:row>32</xdr:row>
      <xdr:rowOff>85725</xdr:rowOff>
    </xdr:from>
    <xdr:to>
      <xdr:col>3</xdr:col>
      <xdr:colOff>381000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1828800" y="7467600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1.00</a:t>
          </a:r>
        </a:p>
      </xdr:txBody>
    </xdr:sp>
    <xdr:clientData/>
  </xdr:twoCellAnchor>
  <xdr:twoCellAnchor>
    <xdr:from>
      <xdr:col>3</xdr:col>
      <xdr:colOff>209550</xdr:colOff>
      <xdr:row>35</xdr:row>
      <xdr:rowOff>47625</xdr:rowOff>
    </xdr:from>
    <xdr:to>
      <xdr:col>3</xdr:col>
      <xdr:colOff>485775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905000" y="8115300"/>
          <a:ext cx="2762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35.00</a:t>
          </a:r>
        </a:p>
      </xdr:txBody>
    </xdr:sp>
    <xdr:clientData/>
  </xdr:twoCellAnchor>
  <xdr:twoCellAnchor>
    <xdr:from>
      <xdr:col>2</xdr:col>
      <xdr:colOff>409575</xdr:colOff>
      <xdr:row>33</xdr:row>
      <xdr:rowOff>142875</xdr:rowOff>
    </xdr:from>
    <xdr:to>
      <xdr:col>3</xdr:col>
      <xdr:colOff>171450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1628775" y="7753350"/>
          <a:ext cx="2381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390525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1609725" y="78771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10.0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142875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1162050" y="7858125"/>
          <a:ext cx="200025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7.0</a:t>
          </a:r>
        </a:p>
      </xdr:txBody>
    </xdr:sp>
    <xdr:clientData/>
  </xdr:twoCellAnchor>
  <xdr:twoCellAnchor>
    <xdr:from>
      <xdr:col>2</xdr:col>
      <xdr:colOff>171450</xdr:colOff>
      <xdr:row>35</xdr:row>
      <xdr:rowOff>85725</xdr:rowOff>
    </xdr:from>
    <xdr:to>
      <xdr:col>2</xdr:col>
      <xdr:colOff>466725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1390650" y="8153400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17.51</a:t>
          </a:r>
        </a:p>
      </xdr:txBody>
    </xdr:sp>
    <xdr:clientData/>
  </xdr:twoCellAnchor>
  <xdr:twoCellAnchor>
    <xdr:from>
      <xdr:col>3</xdr:col>
      <xdr:colOff>57150</xdr:colOff>
      <xdr:row>36</xdr:row>
      <xdr:rowOff>19050</xdr:rowOff>
    </xdr:from>
    <xdr:to>
      <xdr:col>3</xdr:col>
      <xdr:colOff>352425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1752600" y="831532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22.00</a:t>
          </a:r>
        </a:p>
      </xdr:txBody>
    </xdr:sp>
    <xdr:clientData/>
  </xdr:twoCellAnchor>
  <xdr:twoCellAnchor>
    <xdr:from>
      <xdr:col>2</xdr:col>
      <xdr:colOff>190500</xdr:colOff>
      <xdr:row>36</xdr:row>
      <xdr:rowOff>152400</xdr:rowOff>
    </xdr:from>
    <xdr:to>
      <xdr:col>2</xdr:col>
      <xdr:colOff>419100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1409700" y="8448675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13.43</a:t>
          </a:r>
        </a:p>
      </xdr:txBody>
    </xdr:sp>
    <xdr:clientData/>
  </xdr:twoCellAnchor>
  <xdr:twoCellAnchor>
    <xdr:from>
      <xdr:col>1</xdr:col>
      <xdr:colOff>161925</xdr:colOff>
      <xdr:row>39</xdr:row>
      <xdr:rowOff>95250</xdr:rowOff>
    </xdr:from>
    <xdr:to>
      <xdr:col>3</xdr:col>
      <xdr:colOff>542925</xdr:colOff>
      <xdr:row>43</xdr:row>
      <xdr:rowOff>66675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>
          <a:grpSpLocks/>
        </xdr:cNvGrpSpPr>
      </xdr:nvGrpSpPr>
      <xdr:grpSpPr bwMode="auto">
        <a:xfrm>
          <a:off x="971550" y="9077325"/>
          <a:ext cx="1266825" cy="885825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381000</xdr:colOff>
      <xdr:row>32</xdr:row>
      <xdr:rowOff>180975</xdr:rowOff>
    </xdr:from>
    <xdr:to>
      <xdr:col>3</xdr:col>
      <xdr:colOff>323850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pSpPr>
          <a:grpSpLocks/>
        </xdr:cNvGrpSpPr>
      </xdr:nvGrpSpPr>
      <xdr:grpSpPr bwMode="auto">
        <a:xfrm>
          <a:off x="1190625" y="7562850"/>
          <a:ext cx="828675" cy="1114425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00000000-0008-0000-0100-00006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00000000-0008-0000-0100-00006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00000000-0008-0000-0100-00006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00000000-0008-0000-0100-00006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00000000-0008-0000-0100-00006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00000000-0008-0000-0100-00006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00000000-0008-0000-0100-00006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00000000-0008-0000-0100-00006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00000000-0008-0000-0100-00006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00000000-0008-0000-0100-00006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00000000-0008-0000-0100-00006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00000000-0008-0000-0100-00007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00000000-0008-0000-0100-00007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0.67952</cdr:x>
      <cdr:y>0.64951</cdr:y>
    </cdr:from>
    <cdr:to>
      <cdr:x>0.91537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74059" y="418213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0.66975</cdr:x>
      <cdr:y>0.61041</cdr:y>
    </cdr:from>
    <cdr:to>
      <cdr:x>0.95257</cdr:x>
      <cdr:y>0.63554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6909" y="393035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3595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3590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3585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3575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3565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3555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3550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104775</xdr:rowOff>
    </xdr:from>
    <xdr:to>
      <xdr:col>5</xdr:col>
      <xdr:colOff>876300</xdr:colOff>
      <xdr:row>17</xdr:row>
      <xdr:rowOff>38100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5924549" y="4000500"/>
          <a:ext cx="523876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5943599" y="64579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5953124" y="68675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788250</xdr:colOff>
      <xdr:row>24</xdr:row>
      <xdr:rowOff>19050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5943599" y="56292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788250</xdr:colOff>
      <xdr:row>22</xdr:row>
      <xdr:rowOff>85725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5943599" y="521970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361949</xdr:colOff>
      <xdr:row>19</xdr:row>
      <xdr:rowOff>200025</xdr:rowOff>
    </xdr:from>
    <xdr:to>
      <xdr:col>5</xdr:col>
      <xdr:colOff>778725</xdr:colOff>
      <xdr:row>20</xdr:row>
      <xdr:rowOff>152400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5934074" y="48101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361949</xdr:colOff>
      <xdr:row>18</xdr:row>
      <xdr:rowOff>28575</xdr:rowOff>
    </xdr:from>
    <xdr:to>
      <xdr:col>5</xdr:col>
      <xdr:colOff>778725</xdr:colOff>
      <xdr:row>18</xdr:row>
      <xdr:rowOff>219075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5934074" y="44005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19</xdr:row>
      <xdr:rowOff>133350</xdr:rowOff>
    </xdr:from>
    <xdr:to>
      <xdr:col>4</xdr:col>
      <xdr:colOff>123825</xdr:colOff>
      <xdr:row>20</xdr:row>
      <xdr:rowOff>66675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552450</xdr:colOff>
      <xdr:row>23</xdr:row>
      <xdr:rowOff>190500</xdr:rowOff>
    </xdr:from>
    <xdr:to>
      <xdr:col>2</xdr:col>
      <xdr:colOff>895350</xdr:colOff>
      <xdr:row>24</xdr:row>
      <xdr:rowOff>95250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2781300" y="57531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590550</xdr:colOff>
      <xdr:row>31</xdr:row>
      <xdr:rowOff>180975</xdr:rowOff>
    </xdr:from>
    <xdr:to>
      <xdr:col>2</xdr:col>
      <xdr:colOff>1095375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281940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O113"/>
  <sheetViews>
    <sheetView zoomScale="95" zoomScaleNormal="95" workbookViewId="0">
      <selection activeCell="M42" sqref="M42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168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219</v>
      </c>
    </row>
    <row r="2" spans="1:10" ht="18.75">
      <c r="A2" s="32" t="s">
        <v>174</v>
      </c>
      <c r="B2" s="2"/>
      <c r="C2" s="2"/>
      <c r="D2" s="2"/>
      <c r="E2" s="2"/>
      <c r="F2" s="2"/>
      <c r="G2" s="2"/>
      <c r="H2" s="2"/>
      <c r="I2" s="2"/>
      <c r="J2" s="128" t="s">
        <v>220</v>
      </c>
    </row>
    <row r="3" spans="1:10" ht="15" customHeight="1" thickBot="1">
      <c r="A3" s="47" t="s">
        <v>1</v>
      </c>
      <c r="B3" s="94" t="s">
        <v>218</v>
      </c>
      <c r="C3" s="1"/>
      <c r="D3" s="47"/>
      <c r="E3" s="1"/>
      <c r="F3" s="1"/>
      <c r="G3" s="47" t="s">
        <v>2</v>
      </c>
      <c r="H3" s="169">
        <v>43307</v>
      </c>
      <c r="I3" s="47" t="s">
        <v>3</v>
      </c>
      <c r="J3" s="170">
        <v>0.63236111111111104</v>
      </c>
    </row>
    <row r="4" spans="1:10" ht="15" customHeight="1" thickBot="1">
      <c r="A4" s="11" t="s">
        <v>4</v>
      </c>
      <c r="B4" s="11" t="s">
        <v>172</v>
      </c>
      <c r="C4" s="11" t="s">
        <v>5</v>
      </c>
      <c r="D4" s="11" t="s">
        <v>173</v>
      </c>
      <c r="E4" s="155" t="s">
        <v>6</v>
      </c>
      <c r="F4" s="11" t="s">
        <v>7</v>
      </c>
      <c r="G4" s="11" t="s">
        <v>176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450</v>
      </c>
      <c r="C5" s="138">
        <v>3600</v>
      </c>
      <c r="D5" s="48" t="s">
        <v>193</v>
      </c>
      <c r="E5" s="156">
        <v>4000</v>
      </c>
      <c r="F5" s="138">
        <v>60</v>
      </c>
      <c r="G5" s="48">
        <v>105</v>
      </c>
      <c r="H5" s="76" t="s">
        <v>253</v>
      </c>
      <c r="I5" s="75" t="s">
        <v>258</v>
      </c>
      <c r="J5" s="48" t="s">
        <v>194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 t="s">
        <v>269</v>
      </c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25.431919047619047</v>
      </c>
      <c r="J7" s="104" t="s">
        <v>19</v>
      </c>
    </row>
    <row r="8" spans="1:10" ht="15" customHeight="1">
      <c r="A8" s="9" t="s">
        <v>20</v>
      </c>
      <c r="B8" s="67">
        <v>2.9000000953674316</v>
      </c>
      <c r="C8" s="50"/>
      <c r="D8" s="5"/>
      <c r="E8" s="49"/>
      <c r="F8" s="3"/>
      <c r="G8" s="15"/>
      <c r="H8" s="9" t="s">
        <v>21</v>
      </c>
      <c r="I8" s="66">
        <v>30.879981688258507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202</v>
      </c>
      <c r="F9" s="105" t="s">
        <v>25</v>
      </c>
      <c r="G9" s="29"/>
      <c r="H9" s="9" t="s">
        <v>26</v>
      </c>
      <c r="I9" s="67">
        <v>28.155950367938779</v>
      </c>
      <c r="J9" s="102">
        <v>503.2926987622912</v>
      </c>
    </row>
    <row r="10" spans="1:10" ht="15" customHeight="1">
      <c r="A10" s="9" t="s">
        <v>27</v>
      </c>
      <c r="B10" s="67">
        <v>360</v>
      </c>
      <c r="C10" s="71">
        <v>360</v>
      </c>
      <c r="D10" s="5"/>
      <c r="E10" s="49"/>
      <c r="F10" s="114" t="s">
        <v>213</v>
      </c>
      <c r="G10" s="112" t="s">
        <v>214</v>
      </c>
      <c r="H10" s="9" t="s">
        <v>28</v>
      </c>
      <c r="I10" s="66">
        <v>18.247458461573483</v>
      </c>
      <c r="J10" s="101" t="s">
        <v>29</v>
      </c>
    </row>
    <row r="11" spans="1:10" ht="15" customHeight="1" thickBot="1">
      <c r="A11" s="9" t="s">
        <v>30</v>
      </c>
      <c r="B11" s="67">
        <v>590</v>
      </c>
      <c r="C11" s="71">
        <v>334.19999980926514</v>
      </c>
      <c r="D11" s="9" t="s">
        <v>31</v>
      </c>
      <c r="E11" s="66">
        <v>0.61898571428571425</v>
      </c>
      <c r="F11" s="115"/>
      <c r="G11" s="111" t="s">
        <v>215</v>
      </c>
      <c r="H11" s="9" t="s">
        <v>32</v>
      </c>
      <c r="I11" s="66">
        <v>30.879981688258507</v>
      </c>
      <c r="J11" s="102">
        <v>15786.809124202318</v>
      </c>
    </row>
    <row r="12" spans="1:10" ht="15" customHeight="1">
      <c r="A12" s="9" t="s">
        <v>33</v>
      </c>
      <c r="B12" s="67">
        <v>340</v>
      </c>
      <c r="C12" s="71">
        <v>155</v>
      </c>
      <c r="D12" s="9" t="s">
        <v>34</v>
      </c>
      <c r="E12" s="151" t="s">
        <v>175</v>
      </c>
      <c r="F12" s="121"/>
      <c r="G12" s="113" t="s">
        <v>209</v>
      </c>
      <c r="H12" s="9" t="s">
        <v>35</v>
      </c>
      <c r="I12" s="66">
        <v>1.3937239041357459</v>
      </c>
      <c r="J12" s="101" t="s">
        <v>36</v>
      </c>
    </row>
    <row r="13" spans="1:10" ht="15" customHeight="1" thickBot="1">
      <c r="A13" s="9" t="s">
        <v>37</v>
      </c>
      <c r="B13" s="67">
        <v>68</v>
      </c>
      <c r="C13" s="71">
        <v>54.599999904632568</v>
      </c>
      <c r="D13" s="9" t="s">
        <v>38</v>
      </c>
      <c r="E13" s="68">
        <v>23</v>
      </c>
      <c r="F13" s="121"/>
      <c r="G13" s="113" t="s">
        <v>210</v>
      </c>
      <c r="H13" s="9" t="s">
        <v>40</v>
      </c>
      <c r="I13" s="66">
        <v>1</v>
      </c>
      <c r="J13" s="102">
        <v>57.230998992919922</v>
      </c>
    </row>
    <row r="14" spans="1:10" ht="15" customHeight="1" thickBot="1">
      <c r="A14" s="160" t="s">
        <v>41</v>
      </c>
      <c r="B14" s="131">
        <v>282.72000122070313</v>
      </c>
      <c r="C14" s="132">
        <v>290.16000366210938</v>
      </c>
      <c r="D14" s="9" t="s">
        <v>42</v>
      </c>
      <c r="E14" s="49" t="s">
        <v>203</v>
      </c>
      <c r="F14" s="49"/>
      <c r="G14" s="113"/>
      <c r="H14" s="47" t="s">
        <v>43</v>
      </c>
      <c r="I14" s="66">
        <v>1.3937239041357459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204</v>
      </c>
      <c r="F15" s="49"/>
      <c r="G15" s="113"/>
      <c r="H15" s="9" t="s">
        <v>47</v>
      </c>
      <c r="I15" s="66">
        <v>0.82618353059296434</v>
      </c>
      <c r="J15" s="102">
        <v>14.344526397515528</v>
      </c>
    </row>
    <row r="16" spans="1:10" ht="15" customHeight="1">
      <c r="A16" s="9" t="s">
        <v>48</v>
      </c>
      <c r="B16" s="49">
        <v>42</v>
      </c>
      <c r="C16" s="50">
        <v>34</v>
      </c>
      <c r="D16" s="9" t="s">
        <v>49</v>
      </c>
      <c r="E16" s="49">
        <v>1</v>
      </c>
      <c r="F16" s="49"/>
      <c r="G16" s="113"/>
      <c r="H16" s="9" t="s">
        <v>50</v>
      </c>
      <c r="I16" s="66">
        <v>0.9556462151235352</v>
      </c>
      <c r="J16" s="103" t="s">
        <v>51</v>
      </c>
    </row>
    <row r="17" spans="1:14" ht="15" customHeight="1" thickBot="1">
      <c r="A17" s="9" t="s">
        <v>52</v>
      </c>
      <c r="B17" s="49" t="s">
        <v>195</v>
      </c>
      <c r="C17" s="50" t="s">
        <v>196</v>
      </c>
      <c r="D17" s="47" t="s">
        <v>53</v>
      </c>
      <c r="E17" s="49" t="s">
        <v>205</v>
      </c>
      <c r="F17" s="49"/>
      <c r="G17" s="113"/>
      <c r="H17" s="9" t="s">
        <v>54</v>
      </c>
      <c r="I17" s="66">
        <v>0.78953916400856583</v>
      </c>
      <c r="J17" s="102">
        <v>517.58303192632741</v>
      </c>
    </row>
    <row r="18" spans="1:14" ht="15" customHeight="1">
      <c r="A18" s="9" t="s">
        <v>55</v>
      </c>
      <c r="B18" s="49" t="s">
        <v>175</v>
      </c>
      <c r="C18" s="71">
        <v>0</v>
      </c>
      <c r="D18" s="9" t="s">
        <v>56</v>
      </c>
      <c r="E18" s="135">
        <v>950</v>
      </c>
      <c r="F18" s="68">
        <v>430</v>
      </c>
      <c r="G18" s="72"/>
      <c r="H18" s="12" t="s">
        <v>57</v>
      </c>
      <c r="I18" s="129" t="s">
        <v>216</v>
      </c>
      <c r="J18" s="130"/>
    </row>
    <row r="19" spans="1:14" ht="15" customHeight="1">
      <c r="A19" s="9" t="s">
        <v>58</v>
      </c>
      <c r="B19" s="67">
        <v>57</v>
      </c>
      <c r="C19" s="71">
        <v>35</v>
      </c>
      <c r="D19" s="9" t="s">
        <v>59</v>
      </c>
      <c r="E19" s="68">
        <v>322</v>
      </c>
      <c r="F19" s="49"/>
      <c r="G19" s="50"/>
      <c r="H19" s="141"/>
      <c r="I19" s="3" t="s">
        <v>60</v>
      </c>
      <c r="J19" s="30" t="s">
        <v>61</v>
      </c>
    </row>
    <row r="20" spans="1:14" ht="15" customHeight="1">
      <c r="A20" s="9" t="s">
        <v>62</v>
      </c>
      <c r="B20" s="67" t="s">
        <v>197</v>
      </c>
      <c r="C20" s="71"/>
      <c r="D20" s="9" t="s">
        <v>167</v>
      </c>
      <c r="E20" s="159">
        <v>0.34783195127870237</v>
      </c>
      <c r="F20" s="49"/>
      <c r="G20" s="50"/>
      <c r="H20" s="9" t="s">
        <v>63</v>
      </c>
      <c r="I20" s="66">
        <v>11.78604793548584</v>
      </c>
      <c r="J20" s="70">
        <v>11.78604793548584</v>
      </c>
    </row>
    <row r="21" spans="1:14" ht="15" customHeight="1">
      <c r="A21" s="9" t="s">
        <v>64</v>
      </c>
      <c r="B21" s="67">
        <v>14</v>
      </c>
      <c r="C21" s="71">
        <v>0</v>
      </c>
      <c r="D21" s="9" t="s">
        <v>206</v>
      </c>
      <c r="E21" s="65">
        <v>0.46400372282561669</v>
      </c>
      <c r="F21" s="65">
        <v>0.2560029923915863</v>
      </c>
      <c r="G21" s="69">
        <v>0.12811009396920425</v>
      </c>
      <c r="H21" s="9" t="s">
        <v>65</v>
      </c>
      <c r="I21" s="66">
        <v>31.825017929077148</v>
      </c>
      <c r="J21" s="70">
        <v>15.152798652648926</v>
      </c>
    </row>
    <row r="22" spans="1:14" ht="15" customHeight="1">
      <c r="A22" s="9" t="s">
        <v>66</v>
      </c>
      <c r="B22" s="67">
        <v>2.8299999237060547</v>
      </c>
      <c r="C22" s="71">
        <v>1</v>
      </c>
      <c r="D22" s="9" t="s">
        <v>67</v>
      </c>
      <c r="E22" s="49" t="s">
        <v>207</v>
      </c>
      <c r="F22" s="49" t="s">
        <v>208</v>
      </c>
      <c r="G22" s="50" t="s">
        <v>208</v>
      </c>
      <c r="H22" s="9" t="s">
        <v>68</v>
      </c>
      <c r="I22" s="66">
        <v>7.0829815864562988</v>
      </c>
      <c r="J22" s="70">
        <v>6.4999985694885254</v>
      </c>
    </row>
    <row r="23" spans="1:14" ht="15" customHeight="1">
      <c r="A23" s="9" t="s">
        <v>69</v>
      </c>
      <c r="B23" s="67">
        <v>11.431919097900391</v>
      </c>
      <c r="C23" s="71">
        <v>11</v>
      </c>
      <c r="D23" s="9" t="s">
        <v>70</v>
      </c>
      <c r="E23" s="66">
        <v>1.7419999837875366</v>
      </c>
      <c r="F23" s="66">
        <v>3.25</v>
      </c>
      <c r="G23" s="70">
        <v>3.25</v>
      </c>
      <c r="H23" s="9" t="s">
        <v>71</v>
      </c>
      <c r="I23" s="66">
        <v>25.406344635146592</v>
      </c>
      <c r="J23" s="15" t="s">
        <v>217</v>
      </c>
    </row>
    <row r="24" spans="1:14" ht="15" customHeight="1">
      <c r="A24" s="9" t="s">
        <v>72</v>
      </c>
      <c r="B24" s="67">
        <v>0</v>
      </c>
      <c r="C24" s="71">
        <v>2</v>
      </c>
      <c r="D24" s="9" t="s">
        <v>73</v>
      </c>
      <c r="E24" s="66">
        <v>8.8900003433227539</v>
      </c>
      <c r="F24" s="66">
        <v>2.6700000762939453</v>
      </c>
      <c r="G24" s="70">
        <v>2.6700000762939453</v>
      </c>
      <c r="H24" s="9" t="s">
        <v>74</v>
      </c>
      <c r="I24" s="66">
        <v>5.8606569418680206</v>
      </c>
      <c r="J24" s="70">
        <v>5.4161539305655149</v>
      </c>
    </row>
    <row r="25" spans="1:14" ht="15" customHeight="1">
      <c r="A25" s="9" t="s">
        <v>75</v>
      </c>
      <c r="B25" s="49" t="s">
        <v>175</v>
      </c>
      <c r="C25" s="71">
        <v>2</v>
      </c>
      <c r="D25" s="107" t="s">
        <v>76</v>
      </c>
      <c r="E25" s="51"/>
      <c r="F25" s="51"/>
      <c r="G25" s="58"/>
      <c r="H25" s="9" t="s">
        <v>77</v>
      </c>
      <c r="I25" s="66">
        <v>0.84811681509017944</v>
      </c>
      <c r="J25" s="70">
        <v>1.6066099405288696</v>
      </c>
    </row>
    <row r="26" spans="1:14" ht="15" customHeight="1">
      <c r="A26" s="9" t="s">
        <v>78</v>
      </c>
      <c r="B26" s="51" t="s">
        <v>198</v>
      </c>
      <c r="C26" s="58" t="s">
        <v>199</v>
      </c>
      <c r="D26" s="9" t="s">
        <v>79</v>
      </c>
      <c r="E26" s="67">
        <v>58.787432211955363</v>
      </c>
      <c r="F26" s="67">
        <v>13.64129822416842</v>
      </c>
      <c r="G26" s="71">
        <v>14.007364998670198</v>
      </c>
      <c r="H26" s="9" t="s">
        <v>80</v>
      </c>
      <c r="I26" s="66">
        <v>7.5119414329528809</v>
      </c>
      <c r="J26" s="70">
        <v>5.8862466812133789</v>
      </c>
    </row>
    <row r="27" spans="1:14" ht="15" customHeight="1" thickBot="1">
      <c r="A27" s="9" t="s">
        <v>81</v>
      </c>
      <c r="B27" s="49" t="s">
        <v>200</v>
      </c>
      <c r="C27" s="50" t="s">
        <v>201</v>
      </c>
      <c r="D27" s="10" t="s">
        <v>82</v>
      </c>
      <c r="E27" s="78">
        <v>66.198363650481241</v>
      </c>
      <c r="F27" s="78" t="s">
        <v>175</v>
      </c>
      <c r="G27" s="80" t="s">
        <v>175</v>
      </c>
      <c r="H27" s="10" t="s">
        <v>83</v>
      </c>
      <c r="I27" s="77">
        <v>7.5596671104431152</v>
      </c>
      <c r="J27" s="79">
        <v>6.101564884185791</v>
      </c>
    </row>
    <row r="28" spans="1:14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</row>
    <row r="29" spans="1:14" ht="15" customHeight="1">
      <c r="A29" s="6"/>
      <c r="B29" s="33" t="s">
        <v>87</v>
      </c>
      <c r="C29" s="73">
        <v>33.987912486317896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50" t="str">
        <f>RIGHT(F$41,SEARCH("/",F$41,1)-1)</f>
        <v xml:space="preserve"> 3554.8</v>
      </c>
      <c r="N29" t="s">
        <v>187</v>
      </c>
    </row>
    <row r="30" spans="1:14" ht="15" customHeight="1" thickBot="1">
      <c r="A30" s="7"/>
      <c r="B30" s="61" t="s">
        <v>94</v>
      </c>
      <c r="C30" s="74">
        <v>33.99654522834512</v>
      </c>
      <c r="D30" s="9" t="s">
        <v>95</v>
      </c>
      <c r="E30" s="163">
        <v>46.338452500000002</v>
      </c>
      <c r="F30" s="163">
        <v>384.49920166015625</v>
      </c>
      <c r="G30" s="163">
        <v>17.737110583390699</v>
      </c>
      <c r="H30" s="164">
        <v>850.21408067504092</v>
      </c>
      <c r="I30" s="68">
        <v>31527.203905226139</v>
      </c>
      <c r="J30" s="72">
        <v>2830.34677583443</v>
      </c>
      <c r="M30" s="150" t="str">
        <f>RIGHT(E$41,SEARCH("/",E$41,1)-1)</f>
        <v xml:space="preserve"> 3562.6</v>
      </c>
      <c r="N30" t="s">
        <v>188</v>
      </c>
    </row>
    <row r="31" spans="1:14" ht="15" customHeight="1">
      <c r="A31" s="22" t="s">
        <v>96</v>
      </c>
      <c r="B31" s="142"/>
      <c r="C31" s="26"/>
      <c r="D31" s="9" t="s">
        <v>97</v>
      </c>
      <c r="E31" s="163">
        <v>5.7</v>
      </c>
      <c r="F31" s="163">
        <v>678.72675807580936</v>
      </c>
      <c r="G31" s="163">
        <v>10.048086034512718</v>
      </c>
      <c r="H31" s="164">
        <v>13.879539282641076</v>
      </c>
      <c r="I31" s="68">
        <v>7737.4850420642269</v>
      </c>
      <c r="J31" s="72">
        <v>276.65516275777236</v>
      </c>
      <c r="M31" s="150" t="str">
        <f>RIGHT(D$41,SEARCH("/",D$41,1)-1)</f>
        <v xml:space="preserve"> 3570.2</v>
      </c>
      <c r="N31" t="s">
        <v>189</v>
      </c>
    </row>
    <row r="32" spans="1:14" ht="15" customHeight="1">
      <c r="A32" s="5" t="s">
        <v>98</v>
      </c>
      <c r="B32" s="66" t="s">
        <v>260</v>
      </c>
      <c r="C32" s="108"/>
      <c r="D32" s="9" t="s">
        <v>99</v>
      </c>
      <c r="E32" s="163">
        <v>20.750201935019732</v>
      </c>
      <c r="F32" s="163">
        <v>466.77072533767705</v>
      </c>
      <c r="G32" s="163">
        <v>14.610823877478374</v>
      </c>
      <c r="H32" s="164">
        <v>168.24888290557993</v>
      </c>
      <c r="I32" s="8" t="s">
        <v>100</v>
      </c>
      <c r="J32" s="72">
        <v>3107.0019385922024</v>
      </c>
      <c r="M32" s="150" t="str">
        <f>RIGHT(C$41,SEARCH("/",C$41,1)-1)</f>
        <v xml:space="preserve"> 3577.7</v>
      </c>
      <c r="N32" t="s">
        <v>190</v>
      </c>
    </row>
    <row r="33" spans="1:15" ht="15" customHeight="1">
      <c r="A33" s="5" t="s">
        <v>101</v>
      </c>
      <c r="B33" s="66" t="s">
        <v>261</v>
      </c>
      <c r="C33" s="109" t="s">
        <v>102</v>
      </c>
      <c r="D33" s="9" t="s">
        <v>97</v>
      </c>
      <c r="E33" s="163">
        <v>3.5</v>
      </c>
      <c r="F33" s="163">
        <v>542.59920684814449</v>
      </c>
      <c r="G33" s="163">
        <v>12.568954714635801</v>
      </c>
      <c r="H33" s="164">
        <v>16.173997057029911</v>
      </c>
      <c r="I33" s="8" t="s">
        <v>103</v>
      </c>
      <c r="J33" s="71" t="s">
        <v>228</v>
      </c>
      <c r="M33" s="150" t="str">
        <f>RIGHT(B$41,SEARCH("/",B$41,1)-1)</f>
        <v xml:space="preserve"> 3585.1</v>
      </c>
      <c r="N33" t="s">
        <v>191</v>
      </c>
    </row>
    <row r="34" spans="1:15" ht="15" customHeight="1" thickBot="1">
      <c r="A34" s="16" t="s">
        <v>104</v>
      </c>
      <c r="B34" s="77" t="s">
        <v>262</v>
      </c>
      <c r="C34" s="158">
        <v>6.8199048590716318</v>
      </c>
      <c r="D34" s="10" t="s">
        <v>20</v>
      </c>
      <c r="E34" s="165">
        <v>0.29000000953674315</v>
      </c>
      <c r="F34" s="166">
        <v>1180.2456132945729</v>
      </c>
      <c r="G34" s="166">
        <v>5.778377637883648</v>
      </c>
      <c r="H34" s="167">
        <v>1333.5043481908538</v>
      </c>
      <c r="I34" s="8" t="s">
        <v>105</v>
      </c>
      <c r="J34" s="71">
        <v>6.0500001907348633</v>
      </c>
    </row>
    <row r="35" spans="1:15" ht="15" customHeight="1">
      <c r="A35" s="12" t="s">
        <v>106</v>
      </c>
      <c r="B35" s="13"/>
      <c r="C35" s="13"/>
      <c r="D35" s="133" t="s">
        <v>230</v>
      </c>
      <c r="E35" s="143" t="s">
        <v>229</v>
      </c>
      <c r="F35" s="14"/>
      <c r="G35" s="25" t="s">
        <v>107</v>
      </c>
      <c r="H35" s="83" t="s">
        <v>223</v>
      </c>
      <c r="I35" s="9" t="s">
        <v>108</v>
      </c>
      <c r="J35" s="72" t="s">
        <v>227</v>
      </c>
    </row>
    <row r="36" spans="1:15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221</v>
      </c>
      <c r="I36" s="9" t="s">
        <v>111</v>
      </c>
      <c r="J36" s="72" t="s">
        <v>226</v>
      </c>
    </row>
    <row r="37" spans="1:15" ht="15" customHeight="1" thickBot="1">
      <c r="A37" s="9" t="s">
        <v>112</v>
      </c>
      <c r="B37" s="171" t="s">
        <v>242</v>
      </c>
      <c r="C37" s="171" t="s">
        <v>243</v>
      </c>
      <c r="D37" s="171" t="s">
        <v>244</v>
      </c>
      <c r="E37" s="171" t="s">
        <v>245</v>
      </c>
      <c r="F37" s="172" t="s">
        <v>246</v>
      </c>
      <c r="G37" s="9" t="s">
        <v>113</v>
      </c>
      <c r="H37" s="72" t="s">
        <v>222</v>
      </c>
      <c r="I37" s="10" t="s">
        <v>114</v>
      </c>
      <c r="J37" s="81" t="s">
        <v>225</v>
      </c>
      <c r="O37" s="148"/>
    </row>
    <row r="38" spans="1:15" ht="15" customHeight="1" thickBot="1">
      <c r="A38" s="9" t="s">
        <v>115</v>
      </c>
      <c r="B38" s="173" t="s">
        <v>232</v>
      </c>
      <c r="C38" s="173" t="s">
        <v>233</v>
      </c>
      <c r="D38" s="173" t="s">
        <v>234</v>
      </c>
      <c r="E38" s="173" t="s">
        <v>235</v>
      </c>
      <c r="F38" s="174" t="s">
        <v>236</v>
      </c>
      <c r="G38" s="16" t="s">
        <v>116</v>
      </c>
      <c r="H38" s="81" t="s">
        <v>224</v>
      </c>
      <c r="I38" s="134" t="s">
        <v>231</v>
      </c>
      <c r="J38" s="82">
        <v>5868.09033203125</v>
      </c>
      <c r="L38" t="str">
        <f>LEFT(E38,SEARCH("/",E38,1)-1)</f>
        <v xml:space="preserve">0.954 </v>
      </c>
      <c r="M38" t="str">
        <f>RIGHT(E38,SEARCH("/",E38,1)-1)</f>
        <v xml:space="preserve"> 0.940</v>
      </c>
      <c r="N38" s="149">
        <f>M38/L38</f>
        <v>0.9853249475890985</v>
      </c>
      <c r="O38" s="148" t="s">
        <v>178</v>
      </c>
    </row>
    <row r="39" spans="1:15" ht="15" customHeight="1">
      <c r="A39" s="9" t="s">
        <v>117</v>
      </c>
      <c r="B39" s="173" t="s">
        <v>237</v>
      </c>
      <c r="C39" s="173" t="s">
        <v>238</v>
      </c>
      <c r="D39" s="173" t="s">
        <v>239</v>
      </c>
      <c r="E39" s="173" t="s">
        <v>240</v>
      </c>
      <c r="F39" s="174" t="s">
        <v>241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0.887 </v>
      </c>
      <c r="M39" t="str">
        <f>RIGHT(E39,SEARCH("/",E39,1)-1)</f>
        <v xml:space="preserve"> 0.860</v>
      </c>
      <c r="N39" s="149">
        <f>M39/L39</f>
        <v>0.96956031567080048</v>
      </c>
      <c r="O39" s="148" t="s">
        <v>179</v>
      </c>
    </row>
    <row r="40" spans="1:15" ht="15" customHeight="1">
      <c r="A40" s="9" t="s">
        <v>119</v>
      </c>
      <c r="B40" s="175" t="s">
        <v>255</v>
      </c>
      <c r="C40" s="175" t="s">
        <v>256</v>
      </c>
      <c r="D40" s="175" t="s">
        <v>257</v>
      </c>
      <c r="E40" s="175" t="s">
        <v>258</v>
      </c>
      <c r="F40" s="176" t="s">
        <v>259</v>
      </c>
      <c r="G40" s="34" t="s">
        <v>121</v>
      </c>
      <c r="H40" s="89" t="s">
        <v>263</v>
      </c>
      <c r="I40" s="53"/>
      <c r="J40" s="54"/>
      <c r="L40" t="str">
        <f>LEFT(E37,SEARCH("/",E37,1)-1)</f>
        <v xml:space="preserve">57.23 </v>
      </c>
      <c r="M40" t="str">
        <f>RIGHT(E37,SEARCH("/",E37,1)-1)</f>
        <v xml:space="preserve"> 59.91</v>
      </c>
      <c r="N40" s="149">
        <f>M40/L40</f>
        <v>1.0468285864057312</v>
      </c>
      <c r="O40" s="148" t="s">
        <v>177</v>
      </c>
    </row>
    <row r="41" spans="1:15" ht="15" customHeight="1">
      <c r="A41" s="9" t="s">
        <v>5</v>
      </c>
      <c r="B41" s="177" t="s">
        <v>250</v>
      </c>
      <c r="C41" s="177" t="s">
        <v>251</v>
      </c>
      <c r="D41" s="177" t="s">
        <v>252</v>
      </c>
      <c r="E41" s="177" t="s">
        <v>253</v>
      </c>
      <c r="F41" s="178" t="s">
        <v>254</v>
      </c>
      <c r="G41" s="35" t="s">
        <v>122</v>
      </c>
      <c r="H41" s="90" t="s">
        <v>264</v>
      </c>
      <c r="I41" s="55"/>
      <c r="J41" s="56"/>
      <c r="L41" t="str">
        <f>LEFT(E41,SEARCH("/",E41,1)-1)</f>
        <v xml:space="preserve">3569.8 </v>
      </c>
      <c r="M41">
        <v>3560</v>
      </c>
      <c r="N41" s="149">
        <f>M41/L41</f>
        <v>0.99725474816516324</v>
      </c>
      <c r="O41" s="148" t="s">
        <v>5</v>
      </c>
    </row>
    <row r="42" spans="1:15" ht="15" customHeight="1">
      <c r="A42" s="9" t="s">
        <v>123</v>
      </c>
      <c r="B42" s="173">
        <v>15.190658379892476</v>
      </c>
      <c r="C42" s="173">
        <v>13.658875755587868</v>
      </c>
      <c r="D42" s="173">
        <v>12.77461138206481</v>
      </c>
      <c r="E42" s="173">
        <v>12.226261130644598</v>
      </c>
      <c r="F42" s="174">
        <v>11.853747238155036</v>
      </c>
      <c r="G42" s="34" t="s">
        <v>124</v>
      </c>
      <c r="H42" s="89" t="s">
        <v>265</v>
      </c>
      <c r="I42" s="53"/>
      <c r="J42" s="95">
        <v>0.26331897626722861</v>
      </c>
    </row>
    <row r="43" spans="1:15" ht="15" customHeight="1" thickBot="1">
      <c r="A43" s="10" t="s">
        <v>125</v>
      </c>
      <c r="B43" s="179">
        <v>21.136824213886051</v>
      </c>
      <c r="C43" s="180"/>
      <c r="D43" s="181" t="s">
        <v>268</v>
      </c>
      <c r="E43" s="181"/>
      <c r="F43" s="182"/>
      <c r="G43" s="35" t="s">
        <v>122</v>
      </c>
      <c r="H43" s="90" t="s">
        <v>266</v>
      </c>
      <c r="I43" s="55"/>
      <c r="J43" s="56"/>
    </row>
    <row r="44" spans="1:15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944.73131774077501</v>
      </c>
      <c r="I44" s="88">
        <v>5.1036395137576983E-2</v>
      </c>
      <c r="J44" s="95">
        <v>0.61446549609781098</v>
      </c>
    </row>
    <row r="45" spans="1:15" ht="15" customHeight="1">
      <c r="A45" s="9" t="s">
        <v>129</v>
      </c>
      <c r="B45" s="66">
        <v>0.34886232018470764</v>
      </c>
      <c r="C45" s="161" t="s">
        <v>130</v>
      </c>
      <c r="D45" s="70">
        <v>1.1416333727538586E-2</v>
      </c>
      <c r="E45" s="9" t="s">
        <v>131</v>
      </c>
      <c r="F45" s="72">
        <v>240.93655712824193</v>
      </c>
      <c r="G45" s="36" t="s">
        <v>122</v>
      </c>
      <c r="H45" s="84" t="s">
        <v>267</v>
      </c>
      <c r="I45" s="57"/>
      <c r="J45" s="58"/>
    </row>
    <row r="46" spans="1:15" ht="15" customHeight="1">
      <c r="A46" s="9" t="s">
        <v>132</v>
      </c>
      <c r="B46" s="66">
        <v>0.16423280537128448</v>
      </c>
      <c r="C46" s="161" t="s">
        <v>133</v>
      </c>
      <c r="D46" s="70">
        <v>8.3978250622749329E-3</v>
      </c>
      <c r="E46" s="9" t="s">
        <v>134</v>
      </c>
      <c r="F46" s="72">
        <v>383.49074955732766</v>
      </c>
      <c r="G46" s="35" t="s">
        <v>135</v>
      </c>
      <c r="H46" s="92">
        <v>210.58480114186418</v>
      </c>
      <c r="I46" s="55"/>
      <c r="J46" s="56"/>
      <c r="L46" s="144" t="s">
        <v>180</v>
      </c>
      <c r="M46" s="146">
        <f>B5^0.95</f>
        <v>331.55218021739489</v>
      </c>
    </row>
    <row r="47" spans="1:15" ht="15" customHeight="1">
      <c r="A47" s="9" t="s">
        <v>136</v>
      </c>
      <c r="B47" s="66">
        <v>0.51309514045715332</v>
      </c>
      <c r="C47" s="161" t="s">
        <v>137</v>
      </c>
      <c r="D47" s="70">
        <v>8.9365504682064056E-3</v>
      </c>
      <c r="E47" s="9" t="s">
        <v>138</v>
      </c>
      <c r="F47" s="72">
        <v>141.37658690223373</v>
      </c>
      <c r="G47" s="62" t="s">
        <v>139</v>
      </c>
      <c r="H47" s="91">
        <v>897.81693311383617</v>
      </c>
      <c r="I47" s="88">
        <v>4.8353942724641247E-2</v>
      </c>
      <c r="J47" s="93">
        <v>0.63262953061360827</v>
      </c>
      <c r="L47" s="144" t="s">
        <v>181</v>
      </c>
      <c r="M47" s="146">
        <f>B5^1.5</f>
        <v>9545.9415460183973</v>
      </c>
    </row>
    <row r="48" spans="1:15" ht="15" customHeight="1">
      <c r="A48" s="9" t="s">
        <v>140</v>
      </c>
      <c r="B48" s="66">
        <v>1.4959857799112797E-2</v>
      </c>
      <c r="C48" s="161" t="s">
        <v>100</v>
      </c>
      <c r="D48" s="70">
        <v>4.3710567057132721E-2</v>
      </c>
      <c r="E48" s="9" t="s">
        <v>141</v>
      </c>
      <c r="F48" s="72">
        <v>61.895850956603617</v>
      </c>
      <c r="G48" s="63" t="s">
        <v>122</v>
      </c>
      <c r="H48" s="84">
        <v>267.44620210503268</v>
      </c>
      <c r="I48" s="57"/>
      <c r="J48" s="58"/>
      <c r="L48" s="144" t="s">
        <v>182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2" t="s">
        <v>142</v>
      </c>
      <c r="D49" s="79">
        <v>0.95628941059112549</v>
      </c>
      <c r="E49" s="10" t="s">
        <v>143</v>
      </c>
      <c r="F49" s="81">
        <v>150.30109742114072</v>
      </c>
      <c r="G49" s="64" t="s">
        <v>135</v>
      </c>
      <c r="H49" s="92">
        <v>204.83538699698423</v>
      </c>
      <c r="I49" s="55"/>
      <c r="J49" s="59"/>
      <c r="L49" s="144" t="s">
        <v>183</v>
      </c>
      <c r="M49" s="145">
        <f>IF(A5="",0,(7200/(1000*A5))^1.8)</f>
        <v>10.031006258647469</v>
      </c>
    </row>
    <row r="50" spans="1:13" ht="15" customHeight="1">
      <c r="A50" s="12" t="s">
        <v>144</v>
      </c>
      <c r="B50" s="13"/>
      <c r="C50" s="13"/>
      <c r="D50" s="13"/>
      <c r="E50" s="13"/>
      <c r="F50" s="14"/>
      <c r="G50" s="12" t="s">
        <v>145</v>
      </c>
      <c r="H50" s="13"/>
      <c r="I50" s="40"/>
      <c r="J50" s="26"/>
      <c r="L50" s="144" t="s">
        <v>184</v>
      </c>
      <c r="M50" s="147">
        <f>IF(A5=2,27,24)</f>
        <v>27</v>
      </c>
    </row>
    <row r="51" spans="1:13" ht="15" customHeight="1">
      <c r="A51" s="9" t="s">
        <v>146</v>
      </c>
      <c r="B51" s="49">
        <v>34</v>
      </c>
      <c r="C51" s="8" t="s">
        <v>147</v>
      </c>
      <c r="D51" s="67">
        <v>7</v>
      </c>
      <c r="E51" s="8" t="s">
        <v>148</v>
      </c>
      <c r="F51" s="71">
        <v>11</v>
      </c>
      <c r="G51" s="8" t="s">
        <v>149</v>
      </c>
      <c r="H51" s="65">
        <v>7.8608562024599524E-2</v>
      </c>
      <c r="I51" s="43" t="s">
        <v>150</v>
      </c>
      <c r="J51" s="37"/>
      <c r="L51" s="144" t="s">
        <v>185</v>
      </c>
      <c r="M51" s="147">
        <v>6.8500000000000005E-2</v>
      </c>
    </row>
    <row r="52" spans="1:13" ht="15" customHeight="1">
      <c r="A52" s="9" t="s">
        <v>58</v>
      </c>
      <c r="B52" s="67">
        <v>35</v>
      </c>
      <c r="C52" s="8" t="s">
        <v>151</v>
      </c>
      <c r="D52" s="67">
        <v>8</v>
      </c>
      <c r="E52" s="8" t="s">
        <v>152</v>
      </c>
      <c r="F52" s="71">
        <v>0</v>
      </c>
      <c r="G52" s="8" t="s">
        <v>169</v>
      </c>
      <c r="H52" s="67">
        <v>34847.167640224005</v>
      </c>
      <c r="I52" s="96" t="s">
        <v>247</v>
      </c>
      <c r="J52" s="60"/>
      <c r="L52" s="144" t="s">
        <v>192</v>
      </c>
      <c r="M52" s="168">
        <f>F5</f>
        <v>60</v>
      </c>
    </row>
    <row r="53" spans="1:13" ht="15" customHeight="1">
      <c r="A53" s="9" t="s">
        <v>64</v>
      </c>
      <c r="B53" s="67">
        <v>0</v>
      </c>
      <c r="C53" s="8" t="s">
        <v>153</v>
      </c>
      <c r="D53" s="67">
        <v>17.511787414550781</v>
      </c>
      <c r="E53" s="8" t="s">
        <v>154</v>
      </c>
      <c r="F53" s="71">
        <v>0</v>
      </c>
      <c r="G53" s="8" t="s">
        <v>170</v>
      </c>
      <c r="H53" s="66">
        <v>15.568270417254801</v>
      </c>
      <c r="I53" s="42" t="s">
        <v>155</v>
      </c>
      <c r="J53" s="37"/>
      <c r="L53" s="144" t="s">
        <v>186</v>
      </c>
      <c r="M53" s="150">
        <f>IF(F5=60,M50*M46/M48-M51*M47/M49,IF(F5&lt;&gt;60,(60/M52)^2*(M50*M46/M48-M51*M47/M49),0))</f>
        <v>348.61162622071379</v>
      </c>
    </row>
    <row r="54" spans="1:13" ht="15" customHeight="1">
      <c r="A54" s="9" t="s">
        <v>66</v>
      </c>
      <c r="B54" s="67">
        <v>1</v>
      </c>
      <c r="C54" s="8" t="s">
        <v>156</v>
      </c>
      <c r="D54" s="67">
        <v>13.434589514283759</v>
      </c>
      <c r="E54" s="8" t="s">
        <v>154</v>
      </c>
      <c r="F54" s="71">
        <v>11</v>
      </c>
      <c r="G54" s="8" t="s">
        <v>171</v>
      </c>
      <c r="H54" s="68">
        <v>105822.40000000001</v>
      </c>
      <c r="I54" s="97" t="s">
        <v>248</v>
      </c>
      <c r="J54" s="98" t="s">
        <v>211</v>
      </c>
    </row>
    <row r="55" spans="1:13" ht="15" customHeight="1">
      <c r="A55" s="9" t="s">
        <v>157</v>
      </c>
      <c r="B55" s="67">
        <v>7</v>
      </c>
      <c r="C55" s="8" t="s">
        <v>158</v>
      </c>
      <c r="D55" s="67">
        <v>22</v>
      </c>
      <c r="E55" s="8" t="s">
        <v>159</v>
      </c>
      <c r="F55" s="71">
        <v>0</v>
      </c>
      <c r="G55" s="8" t="s">
        <v>160</v>
      </c>
      <c r="H55" s="67">
        <v>1</v>
      </c>
      <c r="I55" s="42" t="s">
        <v>161</v>
      </c>
      <c r="J55" s="37"/>
    </row>
    <row r="56" spans="1:13" ht="15" customHeight="1" thickBot="1">
      <c r="A56" s="10" t="s">
        <v>162</v>
      </c>
      <c r="B56" s="78">
        <v>2</v>
      </c>
      <c r="C56" s="20" t="s">
        <v>163</v>
      </c>
      <c r="D56" s="78">
        <v>22.955984629434976</v>
      </c>
      <c r="E56" s="20" t="s">
        <v>164</v>
      </c>
      <c r="F56" s="80">
        <v>0</v>
      </c>
      <c r="G56" s="20" t="s">
        <v>165</v>
      </c>
      <c r="H56" s="77">
        <v>0.67847857142857138</v>
      </c>
      <c r="I56" s="99" t="s">
        <v>249</v>
      </c>
      <c r="J56" s="59" t="s">
        <v>212</v>
      </c>
    </row>
    <row r="57" spans="1:13" ht="15" customHeight="1">
      <c r="A57" s="22" t="s">
        <v>401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166</v>
      </c>
      <c r="C58" s="15" t="s">
        <v>399</v>
      </c>
      <c r="D58" s="3" t="s">
        <v>119</v>
      </c>
      <c r="E58" s="3" t="s">
        <v>166</v>
      </c>
      <c r="F58" s="15" t="s">
        <v>400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0.29391905665397644</v>
      </c>
      <c r="D59" s="125">
        <v>0.69999998807907104</v>
      </c>
      <c r="E59" s="84">
        <v>110</v>
      </c>
      <c r="F59" s="85">
        <v>612.73468017578125</v>
      </c>
      <c r="G59" s="119"/>
      <c r="H59" s="31"/>
      <c r="I59" s="31"/>
      <c r="J59" s="44"/>
    </row>
    <row r="60" spans="1:13" ht="15" customHeight="1">
      <c r="A60" s="127">
        <v>1.0199999436736107E-2</v>
      </c>
      <c r="B60" s="84">
        <v>87.951374512068853</v>
      </c>
      <c r="C60" s="85">
        <v>93.295494079589844</v>
      </c>
      <c r="D60" s="125">
        <v>0.80000001192092896</v>
      </c>
      <c r="E60" s="84">
        <v>112.30580928855926</v>
      </c>
      <c r="F60" s="85">
        <v>617.83746337890625</v>
      </c>
      <c r="G60" s="119"/>
      <c r="H60" s="31"/>
      <c r="I60" s="31"/>
      <c r="J60" s="44"/>
    </row>
    <row r="61" spans="1:13" ht="15" customHeight="1">
      <c r="A61" s="127">
        <v>5.0999999046325684E-2</v>
      </c>
      <c r="B61" s="84">
        <v>275</v>
      </c>
      <c r="C61" s="85">
        <v>349.620361328125</v>
      </c>
      <c r="D61" s="125">
        <v>0.89999997615814209</v>
      </c>
      <c r="E61" s="84">
        <v>116.87332231064104</v>
      </c>
      <c r="F61" s="85">
        <v>622.46282958984375</v>
      </c>
      <c r="G61" s="119"/>
      <c r="H61" s="31"/>
      <c r="I61" s="31"/>
      <c r="J61" s="44"/>
    </row>
    <row r="62" spans="1:13" ht="15" customHeight="1">
      <c r="A62" s="123">
        <v>0.1009230762720108</v>
      </c>
      <c r="B62" s="84">
        <v>227.24464603590593</v>
      </c>
      <c r="C62" s="85">
        <v>483.703369140625</v>
      </c>
      <c r="D62" s="126">
        <v>1</v>
      </c>
      <c r="E62" s="84">
        <v>125</v>
      </c>
      <c r="F62" s="85">
        <v>626.66668701171875</v>
      </c>
      <c r="G62" s="119"/>
      <c r="H62" s="31"/>
      <c r="I62" s="31"/>
      <c r="J62" s="44"/>
    </row>
    <row r="63" spans="1:13" ht="15" customHeight="1" thickBot="1">
      <c r="A63" s="123">
        <v>0.15084615349769592</v>
      </c>
      <c r="B63" s="84">
        <v>172.81028269323079</v>
      </c>
      <c r="C63" s="85">
        <v>534.4578857421875</v>
      </c>
      <c r="D63" s="372"/>
      <c r="E63" s="86"/>
      <c r="F63" s="373"/>
      <c r="G63" s="119"/>
      <c r="H63" s="31"/>
      <c r="I63" s="31"/>
      <c r="J63" s="44"/>
    </row>
    <row r="64" spans="1:13" ht="15" customHeight="1">
      <c r="A64" s="123">
        <v>0.20076923072338104</v>
      </c>
      <c r="B64" s="84">
        <v>142.57393371864859</v>
      </c>
      <c r="C64" s="85">
        <v>558.19232177734375</v>
      </c>
      <c r="D64" s="374" t="s">
        <v>409</v>
      </c>
      <c r="E64" s="375"/>
      <c r="F64" s="375"/>
      <c r="G64" s="119"/>
      <c r="H64" s="31"/>
      <c r="I64" s="31"/>
      <c r="J64" s="44"/>
    </row>
    <row r="65" spans="1:10" ht="15" customHeight="1">
      <c r="A65" s="123">
        <v>0.30061540007591248</v>
      </c>
      <c r="B65" s="84">
        <v>121.78323420904758</v>
      </c>
      <c r="C65" s="85">
        <v>580.45697021484375</v>
      </c>
      <c r="D65" s="376" t="s">
        <v>403</v>
      </c>
      <c r="E65" s="366" t="s">
        <v>407</v>
      </c>
      <c r="F65" s="366"/>
      <c r="G65" s="119"/>
      <c r="H65" s="31"/>
      <c r="I65" s="31"/>
      <c r="J65" s="44"/>
    </row>
    <row r="66" spans="1:10" ht="15" customHeight="1">
      <c r="A66" s="123">
        <v>0.40046155452728271</v>
      </c>
      <c r="B66" s="84">
        <v>114.23659959858549</v>
      </c>
      <c r="C66" s="85">
        <v>592.0709228515625</v>
      </c>
      <c r="D66" s="376" t="s">
        <v>404</v>
      </c>
      <c r="E66" s="366" t="s">
        <v>408</v>
      </c>
      <c r="F66" s="366"/>
      <c r="G66" s="119"/>
      <c r="H66" s="31"/>
      <c r="I66" s="31"/>
      <c r="J66" s="44"/>
    </row>
    <row r="67" spans="1:10" ht="15" customHeight="1">
      <c r="A67" s="123">
        <v>0.50030767917633057</v>
      </c>
      <c r="B67" s="84">
        <v>111.41440268277448</v>
      </c>
      <c r="C67" s="85">
        <v>600.29327392578125</v>
      </c>
      <c r="D67" s="376" t="s">
        <v>405</v>
      </c>
      <c r="E67" s="366" t="s">
        <v>410</v>
      </c>
      <c r="F67" s="366"/>
      <c r="G67" s="119"/>
      <c r="H67" s="31"/>
      <c r="I67" s="31"/>
      <c r="J67" s="44"/>
    </row>
    <row r="68" spans="1:10" ht="15" customHeight="1" thickBot="1">
      <c r="A68" s="124">
        <v>0.60015386343002319</v>
      </c>
      <c r="B68" s="86">
        <v>110.36854437130623</v>
      </c>
      <c r="C68" s="87">
        <v>607.0399169921875</v>
      </c>
      <c r="D68" s="377" t="s">
        <v>406</v>
      </c>
      <c r="E68" s="378" t="s">
        <v>411</v>
      </c>
      <c r="F68" s="378"/>
      <c r="G68" s="120"/>
      <c r="H68" s="45"/>
      <c r="I68" s="45"/>
      <c r="J68" s="46"/>
    </row>
    <row r="69" spans="1:10" ht="15" customHeight="1">
      <c r="A69" s="153" t="s">
        <v>270</v>
      </c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65" t="s">
        <v>402</v>
      </c>
      <c r="B99" s="365"/>
      <c r="C99" s="365"/>
      <c r="D99" s="365"/>
      <c r="E99" s="365"/>
      <c r="F99" s="365"/>
      <c r="G99" s="365"/>
      <c r="H99" s="365"/>
      <c r="I99" s="365"/>
    </row>
    <row r="100" spans="1:9">
      <c r="A100" s="365">
        <v>100</v>
      </c>
      <c r="B100" s="365"/>
      <c r="C100" s="365"/>
      <c r="D100" s="365"/>
      <c r="E100" s="365"/>
      <c r="F100" s="365"/>
      <c r="G100" s="365"/>
      <c r="H100" s="365"/>
      <c r="I100" s="365"/>
    </row>
    <row r="101" spans="1:9">
      <c r="A101" s="365">
        <v>97.943672180175781</v>
      </c>
      <c r="B101" s="365"/>
      <c r="C101" s="365"/>
      <c r="D101" s="365"/>
      <c r="E101" s="365"/>
      <c r="F101" s="365"/>
      <c r="G101" s="365"/>
      <c r="H101" s="365"/>
      <c r="I101" s="365"/>
    </row>
    <row r="102" spans="1:9">
      <c r="A102" s="365">
        <v>86.735130310058594</v>
      </c>
      <c r="B102" s="365"/>
      <c r="C102" s="365"/>
      <c r="D102" s="365"/>
      <c r="E102" s="365"/>
      <c r="F102" s="365"/>
      <c r="G102" s="365"/>
      <c r="H102" s="365"/>
      <c r="I102" s="365"/>
    </row>
    <row r="103" spans="1:9">
      <c r="A103" s="365">
        <v>73.756523132324219</v>
      </c>
      <c r="B103" s="365"/>
      <c r="C103" s="365"/>
      <c r="D103" s="365"/>
      <c r="E103" s="365"/>
      <c r="F103" s="365"/>
      <c r="G103" s="365"/>
      <c r="H103" s="365"/>
      <c r="I103" s="365"/>
    </row>
    <row r="104" spans="1:9">
      <c r="A104" s="365">
        <v>60.811622619628906</v>
      </c>
      <c r="B104" s="365"/>
      <c r="C104" s="365"/>
      <c r="D104" s="365"/>
      <c r="E104" s="365"/>
      <c r="F104" s="365"/>
      <c r="G104" s="365"/>
      <c r="H104" s="365"/>
      <c r="I104" s="365"/>
    </row>
    <row r="105" spans="1:9">
      <c r="A105" s="365">
        <v>49.868709564208984</v>
      </c>
      <c r="B105" s="365"/>
      <c r="C105" s="365"/>
      <c r="D105" s="365"/>
      <c r="E105" s="365"/>
      <c r="F105" s="365"/>
      <c r="G105" s="365"/>
      <c r="H105" s="365"/>
      <c r="I105" s="365"/>
    </row>
    <row r="106" spans="1:9">
      <c r="A106" s="365">
        <v>32.932079315185547</v>
      </c>
      <c r="B106" s="365"/>
      <c r="C106" s="365"/>
      <c r="D106" s="365"/>
      <c r="E106" s="365"/>
      <c r="F106" s="365"/>
      <c r="G106" s="365"/>
      <c r="H106" s="365"/>
      <c r="I106" s="365"/>
    </row>
    <row r="107" spans="1:9">
      <c r="A107" s="365">
        <v>21.962989807128906</v>
      </c>
      <c r="B107" s="365"/>
      <c r="C107" s="365"/>
      <c r="D107" s="365"/>
      <c r="E107" s="365"/>
      <c r="F107" s="365"/>
      <c r="G107" s="365"/>
      <c r="H107" s="365"/>
      <c r="I107" s="365"/>
    </row>
    <row r="108" spans="1:9">
      <c r="A108" s="365">
        <v>13.98153018951416</v>
      </c>
      <c r="B108" s="365"/>
      <c r="C108" s="365"/>
      <c r="D108" s="365"/>
      <c r="E108" s="365"/>
      <c r="F108" s="365"/>
      <c r="G108" s="365"/>
      <c r="H108" s="365"/>
      <c r="I108" s="365"/>
    </row>
    <row r="109" spans="1:9">
      <c r="A109" s="365">
        <v>7.996922492980957</v>
      </c>
      <c r="B109" s="365"/>
      <c r="C109" s="365"/>
      <c r="D109" s="365"/>
      <c r="E109" s="365"/>
      <c r="F109" s="365"/>
      <c r="G109" s="365"/>
      <c r="H109" s="365"/>
      <c r="I109" s="365"/>
    </row>
    <row r="110" spans="1:9">
      <c r="A110" s="365">
        <v>5.9999995231628418</v>
      </c>
      <c r="B110" s="365"/>
      <c r="C110" s="365"/>
      <c r="D110" s="365"/>
      <c r="E110" s="365"/>
      <c r="F110" s="365"/>
      <c r="G110" s="365"/>
      <c r="H110" s="365"/>
      <c r="I110" s="365"/>
    </row>
    <row r="111" spans="1:9">
      <c r="A111" s="365">
        <v>8.0000009536743164</v>
      </c>
      <c r="B111" s="365"/>
      <c r="C111" s="365"/>
      <c r="D111" s="365"/>
      <c r="E111" s="365"/>
      <c r="F111" s="365"/>
      <c r="G111" s="365"/>
      <c r="H111" s="365"/>
      <c r="I111" s="365"/>
    </row>
    <row r="112" spans="1:9">
      <c r="A112" s="365">
        <v>14.999996185302734</v>
      </c>
      <c r="B112" s="365"/>
      <c r="C112" s="365"/>
      <c r="D112" s="365"/>
      <c r="E112" s="365"/>
      <c r="F112" s="365"/>
      <c r="G112" s="365"/>
      <c r="H112" s="365"/>
      <c r="I112" s="365"/>
    </row>
    <row r="113" spans="1:9">
      <c r="A113" s="365">
        <v>30</v>
      </c>
      <c r="B113" s="365"/>
      <c r="C113" s="365"/>
      <c r="D113" s="365"/>
      <c r="E113" s="365"/>
      <c r="F113" s="365"/>
      <c r="G113" s="365"/>
      <c r="H113" s="365"/>
      <c r="I113" s="365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N42" sqref="N42"/>
    </sheetView>
  </sheetViews>
  <sheetFormatPr defaultColWidth="9.140625" defaultRowHeight="15.75"/>
  <cols>
    <col min="1" max="1" width="12.140625" style="323" customWidth="1"/>
    <col min="2" max="2" width="6.140625" style="323" customWidth="1"/>
    <col min="3" max="3" width="7.140625" style="323" customWidth="1"/>
    <col min="4" max="4" width="12.85546875" style="323" customWidth="1"/>
    <col min="5" max="5" width="12.5703125" style="323" customWidth="1"/>
    <col min="6" max="6" width="9.42578125" style="323" customWidth="1"/>
    <col min="7" max="7" width="5.7109375" style="323" customWidth="1"/>
    <col min="8" max="8" width="7.85546875" style="323" customWidth="1"/>
    <col min="9" max="9" width="6.5703125" style="323" customWidth="1"/>
    <col min="10" max="11" width="12" style="323" customWidth="1"/>
    <col min="12" max="26" width="9.140625" style="183"/>
    <col min="27" max="16384" width="9.140625" style="184"/>
  </cols>
  <sheetData>
    <row r="1" spans="1:26" ht="20.25" customHeight="1">
      <c r="A1" s="534" t="s">
        <v>271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</row>
    <row r="2" spans="1:26" ht="20.25" customHeight="1">
      <c r="A2" s="535" t="s">
        <v>272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</row>
    <row r="3" spans="1:26" ht="18.75" customHeight="1" thickBot="1">
      <c r="A3" s="185" t="s">
        <v>1</v>
      </c>
      <c r="B3" s="186" t="s">
        <v>381</v>
      </c>
      <c r="C3" s="187"/>
      <c r="D3" s="187"/>
      <c r="E3" s="187"/>
      <c r="F3" s="188"/>
      <c r="G3" s="187"/>
      <c r="H3" s="187"/>
      <c r="I3" s="185" t="s">
        <v>273</v>
      </c>
      <c r="J3" s="536" t="s">
        <v>390</v>
      </c>
      <c r="K3" s="536"/>
    </row>
    <row r="4" spans="1:26" s="197" customFormat="1" ht="18.399999999999999" customHeight="1" thickBot="1">
      <c r="A4" s="189" t="s">
        <v>382</v>
      </c>
      <c r="B4" s="190"/>
      <c r="C4" s="191"/>
      <c r="D4" s="191"/>
      <c r="E4" s="191"/>
      <c r="F4" s="191"/>
      <c r="G4" s="191"/>
      <c r="H4" s="191"/>
      <c r="I4" s="191"/>
      <c r="J4" s="191"/>
      <c r="K4" s="192"/>
      <c r="L4" s="193"/>
      <c r="M4" s="193"/>
      <c r="N4" s="193"/>
      <c r="O4" s="193"/>
      <c r="P4" s="193"/>
      <c r="Q4" s="194" t="s">
        <v>274</v>
      </c>
      <c r="R4" s="195"/>
      <c r="S4" s="193"/>
      <c r="T4" s="194" t="s">
        <v>275</v>
      </c>
      <c r="U4" s="196"/>
      <c r="V4" s="193"/>
      <c r="W4" s="193"/>
      <c r="X4" s="193"/>
      <c r="Y4" s="193"/>
      <c r="Z4" s="193"/>
    </row>
    <row r="5" spans="1:26" s="197" customFormat="1" ht="18.399999999999999" customHeight="1">
      <c r="A5" s="537" t="s">
        <v>276</v>
      </c>
      <c r="B5" s="538"/>
      <c r="C5" s="538"/>
      <c r="D5" s="198"/>
      <c r="E5" s="199"/>
      <c r="F5" s="200" t="s">
        <v>277</v>
      </c>
      <c r="G5" s="187"/>
      <c r="H5" s="187"/>
      <c r="I5" s="201"/>
      <c r="J5" s="202" t="s">
        <v>278</v>
      </c>
      <c r="K5" s="203" t="s">
        <v>279</v>
      </c>
      <c r="L5" s="193"/>
      <c r="M5" s="193"/>
      <c r="N5" s="193"/>
      <c r="O5" s="193"/>
      <c r="P5" s="193"/>
      <c r="Q5" s="204" t="s">
        <v>280</v>
      </c>
      <c r="R5" s="205"/>
      <c r="S5" s="193"/>
      <c r="T5" s="204" t="s">
        <v>281</v>
      </c>
      <c r="U5" s="206"/>
      <c r="V5" s="193"/>
      <c r="W5" s="193"/>
      <c r="X5" s="193"/>
      <c r="Y5" s="193"/>
      <c r="Z5" s="193"/>
    </row>
    <row r="6" spans="1:26" s="197" customFormat="1" ht="18.399999999999999" customHeight="1">
      <c r="A6" s="539" t="s">
        <v>67</v>
      </c>
      <c r="B6" s="540"/>
      <c r="C6" s="540"/>
      <c r="D6" s="541" t="s">
        <v>281</v>
      </c>
      <c r="E6" s="542"/>
      <c r="F6" s="531" t="s">
        <v>283</v>
      </c>
      <c r="G6" s="532"/>
      <c r="H6" s="532"/>
      <c r="I6" s="532"/>
      <c r="J6" s="532"/>
      <c r="K6" s="533" t="s">
        <v>707</v>
      </c>
      <c r="L6" s="193"/>
      <c r="M6" s="193"/>
      <c r="N6" s="193"/>
      <c r="O6" s="193"/>
      <c r="P6" s="193"/>
      <c r="Q6" s="204" t="s">
        <v>284</v>
      </c>
      <c r="R6" s="205"/>
      <c r="S6" s="193"/>
      <c r="T6" s="204" t="s">
        <v>285</v>
      </c>
      <c r="U6" s="206"/>
      <c r="V6" s="193"/>
      <c r="W6" s="193"/>
      <c r="X6" s="193"/>
      <c r="Y6" s="193"/>
      <c r="Z6" s="193"/>
    </row>
    <row r="7" spans="1:26" s="197" customFormat="1" ht="18.399999999999999" customHeight="1">
      <c r="A7" s="546" t="s">
        <v>20</v>
      </c>
      <c r="B7" s="547"/>
      <c r="C7" s="547"/>
      <c r="D7" s="548">
        <v>2.9000000953674299</v>
      </c>
      <c r="E7" s="549"/>
      <c r="F7" s="207" t="s">
        <v>286</v>
      </c>
      <c r="G7" s="208"/>
      <c r="H7" s="209"/>
      <c r="I7" s="210"/>
      <c r="J7" s="211">
        <v>15.5</v>
      </c>
      <c r="K7" s="212">
        <v>15.87</v>
      </c>
      <c r="L7" s="193"/>
      <c r="M7" s="193"/>
      <c r="N7" s="193"/>
      <c r="O7" s="193"/>
      <c r="P7" s="193"/>
      <c r="Q7" s="204" t="s">
        <v>287</v>
      </c>
      <c r="R7" s="205"/>
      <c r="S7" s="193"/>
      <c r="T7" s="204" t="s">
        <v>282</v>
      </c>
      <c r="U7" s="206"/>
      <c r="V7" s="193"/>
      <c r="W7" s="193"/>
      <c r="X7" s="193"/>
      <c r="Y7" s="193"/>
      <c r="Z7" s="193"/>
    </row>
    <row r="8" spans="1:26" s="197" customFormat="1" ht="18.399999999999999" customHeight="1">
      <c r="A8" s="546" t="s">
        <v>288</v>
      </c>
      <c r="B8" s="547"/>
      <c r="C8" s="547"/>
      <c r="D8" s="550">
        <v>360</v>
      </c>
      <c r="E8" s="551"/>
      <c r="F8" s="213" t="s">
        <v>289</v>
      </c>
      <c r="G8" s="214"/>
      <c r="H8" s="215"/>
      <c r="I8" s="216"/>
      <c r="J8" s="217">
        <v>7430</v>
      </c>
      <c r="K8" s="218">
        <v>8106.51</v>
      </c>
      <c r="L8" s="193"/>
      <c r="M8" s="193"/>
      <c r="N8" s="193"/>
      <c r="O8" s="193"/>
      <c r="P8" s="193"/>
      <c r="Q8" s="204" t="s">
        <v>290</v>
      </c>
      <c r="R8" s="205"/>
      <c r="S8" s="193"/>
      <c r="T8" s="204" t="s">
        <v>291</v>
      </c>
      <c r="U8" s="206"/>
      <c r="V8" s="193"/>
      <c r="W8" s="193"/>
      <c r="X8" s="193"/>
      <c r="Y8" s="193"/>
      <c r="Z8" s="193"/>
    </row>
    <row r="9" spans="1:26" s="197" customFormat="1" ht="18.399999999999999" customHeight="1">
      <c r="A9" s="552" t="s">
        <v>292</v>
      </c>
      <c r="B9" s="553"/>
      <c r="C9" s="554"/>
      <c r="D9" s="550" t="s">
        <v>389</v>
      </c>
      <c r="E9" s="551"/>
      <c r="F9" s="207" t="s">
        <v>293</v>
      </c>
      <c r="G9" s="208"/>
      <c r="H9" s="219">
        <v>3</v>
      </c>
      <c r="I9" s="220" t="s">
        <v>294</v>
      </c>
      <c r="J9" s="221">
        <v>131</v>
      </c>
      <c r="K9" s="218">
        <v>87.57</v>
      </c>
      <c r="L9" s="193"/>
      <c r="M9" s="193"/>
      <c r="N9" s="193"/>
      <c r="O9" s="193"/>
      <c r="P9" s="193"/>
      <c r="Q9" s="204" t="s">
        <v>295</v>
      </c>
      <c r="R9" s="205"/>
      <c r="S9" s="193"/>
      <c r="T9" s="204" t="s">
        <v>296</v>
      </c>
      <c r="U9" s="206"/>
      <c r="V9" s="193"/>
      <c r="W9" s="193"/>
      <c r="X9" s="193"/>
      <c r="Y9" s="193"/>
      <c r="Z9" s="193"/>
    </row>
    <row r="10" spans="1:26" s="197" customFormat="1" ht="18.399999999999999" customHeight="1" thickBot="1">
      <c r="A10" s="552" t="s">
        <v>297</v>
      </c>
      <c r="B10" s="553"/>
      <c r="C10" s="554"/>
      <c r="D10" s="555" t="s">
        <v>203</v>
      </c>
      <c r="E10" s="556"/>
      <c r="F10" s="207" t="s">
        <v>298</v>
      </c>
      <c r="G10" s="208"/>
      <c r="H10" s="219">
        <v>3</v>
      </c>
      <c r="I10" s="220" t="s">
        <v>294</v>
      </c>
      <c r="J10" s="221">
        <v>1150</v>
      </c>
      <c r="K10" s="218">
        <v>1144.33</v>
      </c>
      <c r="L10" s="193"/>
      <c r="M10" s="193"/>
      <c r="N10" s="193"/>
      <c r="O10" s="193"/>
      <c r="P10" s="193"/>
      <c r="Q10" s="204" t="s">
        <v>299</v>
      </c>
      <c r="R10" s="205"/>
      <c r="S10" s="193"/>
      <c r="T10" s="222" t="s">
        <v>300</v>
      </c>
      <c r="U10" s="223"/>
      <c r="V10" s="193"/>
      <c r="W10" s="193"/>
      <c r="X10" s="193"/>
      <c r="Y10" s="193"/>
      <c r="Z10" s="193"/>
    </row>
    <row r="11" spans="1:26" s="197" customFormat="1" ht="18.399999999999999" customHeight="1" thickBot="1">
      <c r="A11" s="552" t="s">
        <v>301</v>
      </c>
      <c r="B11" s="553"/>
      <c r="C11" s="554"/>
      <c r="D11" s="557" t="s">
        <v>204</v>
      </c>
      <c r="E11" s="558"/>
      <c r="F11" s="224" t="s">
        <v>302</v>
      </c>
      <c r="G11" s="225"/>
      <c r="H11" s="226">
        <v>3</v>
      </c>
      <c r="I11" s="220" t="s">
        <v>294</v>
      </c>
      <c r="J11" s="227">
        <v>15787</v>
      </c>
      <c r="K11" s="228">
        <v>37000</v>
      </c>
      <c r="L11" s="193"/>
      <c r="M11" s="193"/>
      <c r="N11" s="193"/>
      <c r="O11" s="193"/>
      <c r="P11" s="193"/>
      <c r="Q11" s="222" t="s">
        <v>303</v>
      </c>
      <c r="R11" s="229"/>
      <c r="S11" s="193"/>
      <c r="T11" s="193"/>
      <c r="U11" s="193"/>
      <c r="V11" s="193"/>
      <c r="W11" s="193"/>
      <c r="X11" s="193"/>
      <c r="Y11" s="193"/>
      <c r="Z11" s="193"/>
    </row>
    <row r="12" spans="1:26" s="197" customFormat="1" ht="18.399999999999999" customHeight="1">
      <c r="A12" s="230" t="s">
        <v>304</v>
      </c>
      <c r="C12" s="231"/>
      <c r="D12" s="559" t="s">
        <v>175</v>
      </c>
      <c r="E12" s="560"/>
      <c r="F12" s="543" t="s">
        <v>305</v>
      </c>
      <c r="G12" s="544"/>
      <c r="H12" s="544"/>
      <c r="I12" s="544"/>
      <c r="J12" s="544"/>
      <c r="K12" s="545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</row>
    <row r="13" spans="1:26" s="197" customFormat="1" ht="18.399999999999999" customHeight="1">
      <c r="A13" s="552" t="s">
        <v>53</v>
      </c>
      <c r="B13" s="553"/>
      <c r="C13" s="554"/>
      <c r="D13" s="561" t="s">
        <v>384</v>
      </c>
      <c r="E13" s="562"/>
      <c r="F13" s="232"/>
      <c r="G13" s="233" t="s">
        <v>306</v>
      </c>
      <c r="H13" s="234"/>
      <c r="I13" s="235" t="s">
        <v>307</v>
      </c>
      <c r="J13" s="236" t="s">
        <v>385</v>
      </c>
      <c r="K13" s="237" t="s">
        <v>175</v>
      </c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6" s="197" customFormat="1" ht="18.399999999999999" customHeight="1">
      <c r="A14" s="552" t="s">
        <v>56</v>
      </c>
      <c r="B14" s="553"/>
      <c r="C14" s="554"/>
      <c r="D14" s="559">
        <v>950</v>
      </c>
      <c r="E14" s="560"/>
      <c r="F14" s="232"/>
      <c r="G14" s="238" t="s">
        <v>10</v>
      </c>
      <c r="H14" s="239"/>
      <c r="I14" s="239"/>
      <c r="J14" s="221" t="s">
        <v>175</v>
      </c>
      <c r="K14" s="218" t="s">
        <v>175</v>
      </c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 spans="1:26" s="197" customFormat="1" ht="18.399999999999999" customHeight="1">
      <c r="A15" s="563" t="s">
        <v>308</v>
      </c>
      <c r="B15" s="564"/>
      <c r="C15" s="565"/>
      <c r="D15" s="566">
        <v>12.181198120117188</v>
      </c>
      <c r="E15" s="567"/>
      <c r="F15" s="232"/>
      <c r="G15" s="238" t="s">
        <v>309</v>
      </c>
      <c r="H15" s="239"/>
      <c r="I15" s="239"/>
      <c r="J15" s="221" t="s">
        <v>175</v>
      </c>
      <c r="K15" s="218" t="s">
        <v>175</v>
      </c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 spans="1:26" s="197" customFormat="1" ht="18.399999999999999" customHeight="1">
      <c r="A16" s="568" t="s">
        <v>310</v>
      </c>
      <c r="B16" s="569"/>
      <c r="C16" s="570"/>
      <c r="D16" s="566">
        <v>3.7956001758575439</v>
      </c>
      <c r="E16" s="567"/>
      <c r="F16" s="240"/>
      <c r="G16" s="241" t="s">
        <v>17</v>
      </c>
      <c r="H16" s="242"/>
      <c r="I16" s="242"/>
      <c r="J16" s="227" t="s">
        <v>175</v>
      </c>
      <c r="K16" s="228" t="s">
        <v>175</v>
      </c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s="197" customFormat="1" ht="18.399999999999999" customHeight="1">
      <c r="A17" s="243" t="s">
        <v>311</v>
      </c>
      <c r="B17" s="244"/>
      <c r="C17" s="245"/>
      <c r="D17" s="557" t="s">
        <v>383</v>
      </c>
      <c r="E17" s="558"/>
      <c r="F17" s="543" t="s">
        <v>312</v>
      </c>
      <c r="G17" s="544"/>
      <c r="H17" s="544"/>
      <c r="I17" s="544"/>
      <c r="J17" s="544"/>
      <c r="K17" s="545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s="197" customFormat="1" ht="18.399999999999999" customHeight="1">
      <c r="A18" s="246" t="s">
        <v>313</v>
      </c>
      <c r="B18" s="247"/>
      <c r="C18" s="245"/>
      <c r="D18" s="555" t="s">
        <v>175</v>
      </c>
      <c r="E18" s="556"/>
      <c r="F18" s="571"/>
      <c r="G18" s="572"/>
      <c r="H18" s="248" t="s">
        <v>314</v>
      </c>
      <c r="I18" s="249"/>
      <c r="J18" s="217">
        <v>60</v>
      </c>
      <c r="K18" s="218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 spans="1:26" s="197" customFormat="1" ht="18.399999999999999" customHeight="1">
      <c r="A19" s="577" t="s">
        <v>315</v>
      </c>
      <c r="B19" s="578"/>
      <c r="C19" s="579"/>
      <c r="D19" s="580" t="s">
        <v>175</v>
      </c>
      <c r="E19" s="558"/>
      <c r="F19" s="573"/>
      <c r="G19" s="574"/>
      <c r="H19" s="248" t="s">
        <v>5</v>
      </c>
      <c r="I19" s="210"/>
      <c r="J19" s="217">
        <v>3560</v>
      </c>
      <c r="K19" s="218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 s="197" customFormat="1" ht="18.399999999999999" customHeight="1" thickBot="1">
      <c r="A20" s="250" t="s">
        <v>316</v>
      </c>
      <c r="C20" s="251"/>
      <c r="D20" s="581" t="s">
        <v>202</v>
      </c>
      <c r="E20" s="551"/>
      <c r="F20" s="573"/>
      <c r="G20" s="574"/>
      <c r="H20" s="248" t="s">
        <v>317</v>
      </c>
      <c r="I20" s="210"/>
      <c r="J20" s="221" t="s">
        <v>387</v>
      </c>
      <c r="K20" s="218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spans="1:26" s="197" customFormat="1" ht="18.399999999999999" customHeight="1" thickBot="1">
      <c r="A21" s="563" t="s">
        <v>318</v>
      </c>
      <c r="B21" s="564"/>
      <c r="C21" s="565"/>
      <c r="D21" s="550" t="s">
        <v>175</v>
      </c>
      <c r="E21" s="551"/>
      <c r="F21" s="573"/>
      <c r="G21" s="574"/>
      <c r="H21" s="252" t="s">
        <v>319</v>
      </c>
      <c r="I21" s="210"/>
      <c r="J21" s="221">
        <v>1.1499999999999999</v>
      </c>
      <c r="K21" s="218"/>
      <c r="L21" s="193"/>
      <c r="M21" s="193"/>
      <c r="N21" s="193"/>
      <c r="O21" s="193"/>
      <c r="P21" s="193"/>
      <c r="Q21" s="194" t="s">
        <v>320</v>
      </c>
      <c r="R21" s="196"/>
      <c r="S21" s="193"/>
      <c r="T21" s="193"/>
      <c r="U21" s="193"/>
      <c r="V21" s="193"/>
      <c r="W21" s="193"/>
      <c r="X21" s="193"/>
      <c r="Y21" s="193"/>
      <c r="Z21" s="193"/>
    </row>
    <row r="22" spans="1:26" s="197" customFormat="1" ht="18.399999999999999" customHeight="1">
      <c r="A22" s="246" t="s">
        <v>321</v>
      </c>
      <c r="B22" s="253"/>
      <c r="C22" s="253"/>
      <c r="D22" s="582">
        <v>0.34779998660087585</v>
      </c>
      <c r="E22" s="583"/>
      <c r="F22" s="573"/>
      <c r="G22" s="574"/>
      <c r="H22" s="248" t="s">
        <v>278</v>
      </c>
      <c r="I22" s="210"/>
      <c r="J22" s="221" t="s">
        <v>322</v>
      </c>
      <c r="K22" s="218"/>
      <c r="L22" s="193"/>
      <c r="M22" s="193"/>
      <c r="N22" s="193"/>
      <c r="O22" s="193"/>
      <c r="P22" s="193"/>
      <c r="Q22" s="204" t="s">
        <v>323</v>
      </c>
      <c r="R22" s="206"/>
      <c r="S22" s="193"/>
      <c r="T22" s="193"/>
      <c r="U22" s="193"/>
      <c r="V22" s="193"/>
      <c r="W22" s="193"/>
      <c r="X22" s="193"/>
      <c r="Y22" s="193"/>
      <c r="Z22" s="193"/>
    </row>
    <row r="23" spans="1:26" s="197" customFormat="1" ht="18.399999999999999" customHeight="1">
      <c r="A23" s="254" t="s">
        <v>324</v>
      </c>
      <c r="B23" s="255" t="s">
        <v>325</v>
      </c>
      <c r="C23" s="256"/>
      <c r="D23" s="561">
        <v>129.30000000000001</v>
      </c>
      <c r="E23" s="562"/>
      <c r="F23" s="573"/>
      <c r="G23" s="574"/>
      <c r="H23" s="257" t="s">
        <v>326</v>
      </c>
      <c r="I23" s="258"/>
      <c r="J23" s="259" t="s">
        <v>175</v>
      </c>
      <c r="K23" s="260"/>
      <c r="L23" s="193"/>
      <c r="Q23" s="204" t="s">
        <v>327</v>
      </c>
      <c r="R23" s="206"/>
      <c r="S23" s="193"/>
      <c r="T23" s="193"/>
      <c r="U23" s="193"/>
      <c r="V23" s="193"/>
      <c r="W23" s="193"/>
      <c r="X23" s="193"/>
      <c r="Y23" s="193"/>
      <c r="Z23" s="193"/>
    </row>
    <row r="24" spans="1:26" s="197" customFormat="1" ht="18.399999999999999" customHeight="1" thickBot="1">
      <c r="A24" s="261" t="s">
        <v>328</v>
      </c>
      <c r="B24" s="262" t="s">
        <v>329</v>
      </c>
      <c r="C24" s="263"/>
      <c r="D24" s="584">
        <v>145.6</v>
      </c>
      <c r="E24" s="585"/>
      <c r="F24" s="573"/>
      <c r="G24" s="574"/>
      <c r="H24" s="248" t="s">
        <v>330</v>
      </c>
      <c r="I24" s="231"/>
      <c r="J24" s="264" t="s">
        <v>175</v>
      </c>
      <c r="K24" s="265"/>
      <c r="Q24" s="266" t="s">
        <v>175</v>
      </c>
      <c r="R24" s="267"/>
      <c r="S24" s="193"/>
      <c r="T24" s="193"/>
      <c r="U24" s="193"/>
      <c r="V24" s="193"/>
      <c r="W24" s="193"/>
      <c r="X24" s="193"/>
      <c r="Y24" s="193"/>
      <c r="Z24" s="193"/>
    </row>
    <row r="25" spans="1:26" s="197" customFormat="1" ht="18.399999999999999" customHeight="1">
      <c r="A25" s="268" t="s">
        <v>331</v>
      </c>
      <c r="B25" s="269"/>
      <c r="C25" s="269"/>
      <c r="D25" s="270"/>
      <c r="E25" s="270" t="s">
        <v>332</v>
      </c>
      <c r="F25" s="573"/>
      <c r="G25" s="574"/>
      <c r="H25" s="248" t="s">
        <v>333</v>
      </c>
      <c r="I25" s="231"/>
      <c r="J25" s="271" t="s">
        <v>175</v>
      </c>
      <c r="K25" s="265"/>
      <c r="R25" s="193"/>
      <c r="S25" s="193"/>
      <c r="T25" s="193"/>
      <c r="U25" s="193"/>
      <c r="V25" s="193"/>
      <c r="W25" s="193"/>
      <c r="X25" s="193"/>
      <c r="Y25" s="193"/>
      <c r="Z25" s="193"/>
    </row>
    <row r="26" spans="1:26" s="197" customFormat="1" ht="18.399999999999999" customHeight="1">
      <c r="A26" s="272" t="s">
        <v>334</v>
      </c>
      <c r="B26" s="273"/>
      <c r="C26" s="274"/>
      <c r="D26" s="275" t="s">
        <v>386</v>
      </c>
      <c r="E26" s="275" t="s">
        <v>388</v>
      </c>
      <c r="F26" s="575"/>
      <c r="G26" s="576"/>
      <c r="H26" s="586"/>
      <c r="I26" s="587"/>
      <c r="J26" s="276"/>
      <c r="K26" s="277"/>
      <c r="R26" s="193"/>
      <c r="S26" s="193"/>
      <c r="T26" s="193"/>
      <c r="U26" s="193"/>
      <c r="V26" s="193"/>
      <c r="W26" s="193"/>
      <c r="X26" s="193"/>
      <c r="Y26" s="193"/>
      <c r="Z26" s="193"/>
    </row>
    <row r="27" spans="1:26" s="197" customFormat="1" ht="18.399999999999999" customHeight="1">
      <c r="A27" s="596" t="s">
        <v>335</v>
      </c>
      <c r="B27" s="597"/>
      <c r="C27" s="597"/>
      <c r="D27" s="597"/>
      <c r="E27" s="597"/>
      <c r="F27" s="604" t="s">
        <v>336</v>
      </c>
      <c r="G27" s="605"/>
      <c r="H27" s="605"/>
      <c r="I27" s="605"/>
      <c r="J27" s="605"/>
      <c r="K27" s="606"/>
      <c r="R27" s="193"/>
      <c r="S27" s="193"/>
      <c r="T27" s="193"/>
      <c r="U27" s="193"/>
      <c r="V27" s="193"/>
      <c r="W27" s="193"/>
      <c r="X27" s="193"/>
      <c r="Y27" s="193"/>
      <c r="Z27" s="193"/>
    </row>
    <row r="28" spans="1:26" s="197" customFormat="1" ht="18.399999999999999" customHeight="1">
      <c r="A28" s="590"/>
      <c r="B28" s="591"/>
      <c r="C28" s="591"/>
      <c r="D28" s="591"/>
      <c r="E28" s="592"/>
      <c r="F28" s="278"/>
      <c r="G28" s="279"/>
      <c r="H28" s="238" t="s">
        <v>337</v>
      </c>
      <c r="I28" s="280">
        <v>374</v>
      </c>
      <c r="J28" s="217">
        <v>376</v>
      </c>
      <c r="K28" s="212" t="s">
        <v>175</v>
      </c>
      <c r="M28" s="281">
        <f>J28/J18</f>
        <v>6.2666666666666666</v>
      </c>
      <c r="R28" s="193"/>
      <c r="S28" s="193"/>
      <c r="T28" s="193"/>
      <c r="U28" s="193"/>
      <c r="V28" s="193"/>
      <c r="W28" s="193"/>
      <c r="X28" s="193"/>
      <c r="Y28" s="193"/>
      <c r="Z28" s="193"/>
    </row>
    <row r="29" spans="1:26" s="197" customFormat="1" ht="18.399999999999999" customHeight="1">
      <c r="A29" s="590"/>
      <c r="B29" s="591"/>
      <c r="C29" s="591"/>
      <c r="D29" s="591"/>
      <c r="E29" s="592"/>
      <c r="F29" s="282"/>
      <c r="G29" s="283"/>
      <c r="H29" s="238" t="s">
        <v>338</v>
      </c>
      <c r="I29" s="284">
        <v>70</v>
      </c>
      <c r="J29" s="217">
        <v>125</v>
      </c>
      <c r="K29" s="212" t="s">
        <v>175</v>
      </c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 spans="1:26" s="197" customFormat="1" ht="18.399999999999999" customHeight="1">
      <c r="A30" s="590"/>
      <c r="B30" s="591"/>
      <c r="C30" s="591"/>
      <c r="D30" s="591"/>
      <c r="E30" s="592"/>
      <c r="F30" s="282"/>
      <c r="G30" s="283"/>
      <c r="H30" s="238" t="s">
        <v>339</v>
      </c>
      <c r="I30" s="284">
        <v>175</v>
      </c>
      <c r="J30" s="217">
        <v>275</v>
      </c>
      <c r="K30" s="212" t="s">
        <v>175</v>
      </c>
      <c r="L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spans="1:26" s="197" customFormat="1" ht="18.399999999999999" customHeight="1">
      <c r="A31" s="590"/>
      <c r="B31" s="591"/>
      <c r="C31" s="591"/>
      <c r="D31" s="591"/>
      <c r="E31" s="592"/>
      <c r="F31" s="282"/>
      <c r="G31" s="283"/>
      <c r="H31" s="238" t="s">
        <v>340</v>
      </c>
      <c r="I31" s="239"/>
      <c r="J31" s="285">
        <v>1.04</v>
      </c>
      <c r="K31" s="212" t="s">
        <v>175</v>
      </c>
      <c r="L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spans="1:26" s="197" customFormat="1" ht="18.399999999999999" customHeight="1">
      <c r="A32" s="593"/>
      <c r="B32" s="594"/>
      <c r="C32" s="594"/>
      <c r="D32" s="594"/>
      <c r="E32" s="595"/>
      <c r="F32" s="282"/>
      <c r="G32" s="286" t="s">
        <v>341</v>
      </c>
      <c r="H32" s="238" t="s">
        <v>342</v>
      </c>
      <c r="I32" s="287"/>
      <c r="J32" s="211">
        <v>94</v>
      </c>
      <c r="K32" s="212" t="s">
        <v>175</v>
      </c>
      <c r="L32" s="193"/>
      <c r="R32" s="193"/>
      <c r="S32" s="193"/>
      <c r="T32" s="193"/>
      <c r="U32" s="193"/>
      <c r="V32" s="193"/>
      <c r="W32" s="193"/>
      <c r="X32" s="193"/>
      <c r="Y32" s="193"/>
      <c r="Z32" s="193"/>
    </row>
    <row r="33" spans="1:26" s="197" customFormat="1" ht="18.399999999999999" customHeight="1">
      <c r="A33" s="596" t="s">
        <v>343</v>
      </c>
      <c r="B33" s="597"/>
      <c r="C33" s="597"/>
      <c r="D33" s="597"/>
      <c r="E33" s="598"/>
      <c r="F33" s="288"/>
      <c r="G33" s="289"/>
      <c r="H33" s="290" t="s">
        <v>344</v>
      </c>
      <c r="I33" s="291"/>
      <c r="J33" s="292">
        <v>86</v>
      </c>
      <c r="K33" s="293" t="s">
        <v>175</v>
      </c>
      <c r="L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spans="1:26" s="197" customFormat="1" ht="18.399999999999999" customHeight="1">
      <c r="A34" s="590"/>
      <c r="B34" s="591"/>
      <c r="C34" s="591"/>
      <c r="D34" s="591"/>
      <c r="E34" s="592"/>
      <c r="F34" s="213" t="s">
        <v>345</v>
      </c>
      <c r="G34" s="294"/>
      <c r="H34" s="295" t="s">
        <v>14</v>
      </c>
      <c r="I34" s="296"/>
      <c r="J34" s="297">
        <v>4820</v>
      </c>
      <c r="K34" s="298" t="s">
        <v>175</v>
      </c>
      <c r="L34" s="299"/>
      <c r="R34" s="193"/>
      <c r="S34" s="193"/>
      <c r="T34" s="193"/>
      <c r="U34" s="193"/>
      <c r="V34" s="193"/>
      <c r="W34" s="193"/>
      <c r="X34" s="193"/>
      <c r="Y34" s="193"/>
      <c r="Z34" s="193"/>
    </row>
    <row r="35" spans="1:26" s="197" customFormat="1" ht="18.399999999999999" customHeight="1">
      <c r="A35" s="590"/>
      <c r="B35" s="591"/>
      <c r="C35" s="591"/>
      <c r="D35" s="591"/>
      <c r="E35" s="592"/>
      <c r="F35" s="232"/>
      <c r="G35" s="300"/>
      <c r="H35" s="301" t="s">
        <v>15</v>
      </c>
      <c r="I35" s="302"/>
      <c r="J35" s="217">
        <v>3460</v>
      </c>
      <c r="K35" s="212" t="s">
        <v>175</v>
      </c>
      <c r="R35" s="193"/>
      <c r="S35" s="193"/>
      <c r="T35" s="193"/>
      <c r="U35" s="193"/>
      <c r="V35" s="193"/>
      <c r="W35" s="193"/>
      <c r="X35" s="193"/>
      <c r="Y35" s="193"/>
      <c r="Z35" s="193"/>
    </row>
    <row r="36" spans="1:26" s="197" customFormat="1" ht="18.399999999999999" customHeight="1">
      <c r="A36" s="590"/>
      <c r="B36" s="591"/>
      <c r="C36" s="591"/>
      <c r="D36" s="591"/>
      <c r="E36" s="592"/>
      <c r="F36" s="232"/>
      <c r="G36" s="300"/>
      <c r="H36" s="301" t="s">
        <v>346</v>
      </c>
      <c r="I36" s="302"/>
      <c r="J36" s="217">
        <v>3900</v>
      </c>
      <c r="K36" s="212" t="s">
        <v>175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spans="1:26" s="197" customFormat="1" ht="18.399999999999999" customHeight="1">
      <c r="A37" s="590"/>
      <c r="B37" s="591"/>
      <c r="C37" s="591"/>
      <c r="D37" s="591"/>
      <c r="E37" s="592"/>
      <c r="F37" s="282"/>
      <c r="G37" s="300"/>
      <c r="H37" s="301" t="s">
        <v>347</v>
      </c>
      <c r="I37" s="302"/>
      <c r="J37" s="217">
        <v>3272</v>
      </c>
      <c r="K37" s="212" t="s">
        <v>175</v>
      </c>
      <c r="R37" s="193"/>
      <c r="S37" s="193"/>
      <c r="T37" s="193"/>
      <c r="U37" s="193"/>
      <c r="V37" s="193"/>
      <c r="W37" s="193"/>
      <c r="X37" s="193"/>
      <c r="Y37" s="193"/>
      <c r="Z37" s="193"/>
    </row>
    <row r="38" spans="1:26" s="197" customFormat="1" ht="18.399999999999999" customHeight="1">
      <c r="A38" s="593"/>
      <c r="B38" s="594"/>
      <c r="C38" s="594"/>
      <c r="D38" s="594"/>
      <c r="E38" s="595"/>
      <c r="F38" s="240"/>
      <c r="G38" s="303"/>
      <c r="H38" s="304" t="s">
        <v>348</v>
      </c>
      <c r="I38" s="305"/>
      <c r="J38" s="306">
        <v>5868</v>
      </c>
      <c r="K38" s="307" t="s">
        <v>175</v>
      </c>
      <c r="R38" s="193"/>
      <c r="S38" s="193"/>
      <c r="T38" s="193"/>
      <c r="U38" s="193"/>
      <c r="V38" s="193"/>
      <c r="W38" s="193"/>
      <c r="X38" s="193"/>
      <c r="Y38" s="193"/>
      <c r="Z38" s="193"/>
    </row>
    <row r="39" spans="1:26" s="197" customFormat="1" ht="18.399999999999999" customHeight="1">
      <c r="A39" s="596" t="s">
        <v>349</v>
      </c>
      <c r="B39" s="597"/>
      <c r="C39" s="597"/>
      <c r="D39" s="597"/>
      <c r="E39" s="597"/>
      <c r="F39" s="308" t="s">
        <v>350</v>
      </c>
      <c r="G39" s="309" t="s">
        <v>708</v>
      </c>
      <c r="H39" s="309"/>
      <c r="I39" s="309"/>
      <c r="J39" s="309"/>
      <c r="K39" s="310"/>
      <c r="R39" s="193"/>
      <c r="S39" s="193"/>
      <c r="T39" s="193"/>
      <c r="U39" s="193"/>
      <c r="V39" s="193"/>
      <c r="W39" s="193"/>
      <c r="X39" s="193"/>
      <c r="Y39" s="193"/>
      <c r="Z39" s="193"/>
    </row>
    <row r="40" spans="1:26" s="197" customFormat="1" ht="18.399999999999999" customHeight="1">
      <c r="A40" s="590"/>
      <c r="B40" s="591"/>
      <c r="C40" s="591"/>
      <c r="D40" s="591"/>
      <c r="E40" s="592"/>
      <c r="F40" s="311" t="s">
        <v>396</v>
      </c>
      <c r="G40" s="362" t="s">
        <v>397</v>
      </c>
      <c r="H40" s="362"/>
      <c r="I40" s="362"/>
      <c r="J40" s="362"/>
      <c r="K40" s="371"/>
      <c r="R40" s="193"/>
      <c r="S40" s="193"/>
      <c r="T40" s="193"/>
      <c r="U40" s="193"/>
      <c r="V40" s="193"/>
      <c r="W40" s="193"/>
      <c r="X40" s="193"/>
      <c r="Y40" s="193"/>
      <c r="Z40" s="193"/>
    </row>
    <row r="41" spans="1:26" s="197" customFormat="1" ht="18.399999999999999" customHeight="1">
      <c r="A41" s="590"/>
      <c r="B41" s="591"/>
      <c r="C41" s="591"/>
      <c r="D41" s="591"/>
      <c r="E41" s="592"/>
      <c r="F41" s="311"/>
      <c r="G41" s="312" t="s">
        <v>398</v>
      </c>
      <c r="H41" s="312"/>
      <c r="I41" s="312"/>
      <c r="J41" s="312"/>
      <c r="K41" s="313"/>
      <c r="L41" s="314"/>
      <c r="R41" s="193"/>
      <c r="S41" s="193"/>
      <c r="T41" s="193"/>
      <c r="U41" s="193"/>
      <c r="V41" s="193"/>
      <c r="W41" s="193"/>
      <c r="X41" s="193"/>
      <c r="Y41" s="193"/>
      <c r="Z41" s="193"/>
    </row>
    <row r="42" spans="1:26" s="197" customFormat="1" ht="18.399999999999999" customHeight="1">
      <c r="A42" s="590"/>
      <c r="B42" s="591"/>
      <c r="C42" s="591"/>
      <c r="D42" s="591"/>
      <c r="E42" s="592"/>
      <c r="F42" s="311"/>
      <c r="G42" s="312" t="s">
        <v>709</v>
      </c>
      <c r="H42" s="312"/>
      <c r="I42" s="312"/>
      <c r="J42" s="312"/>
      <c r="K42" s="31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spans="1:26" s="197" customFormat="1" ht="18.399999999999999" customHeight="1">
      <c r="A43" s="590"/>
      <c r="B43" s="591"/>
      <c r="C43" s="591"/>
      <c r="D43" s="591"/>
      <c r="E43" s="592"/>
      <c r="F43" s="311"/>
      <c r="G43" s="312" t="s">
        <v>395</v>
      </c>
      <c r="H43" s="312"/>
      <c r="I43" s="312"/>
      <c r="J43" s="312"/>
      <c r="K43" s="31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spans="1:26" s="197" customFormat="1" ht="17.100000000000001" customHeight="1" thickBot="1">
      <c r="A44" s="599"/>
      <c r="B44" s="600"/>
      <c r="C44" s="600"/>
      <c r="D44" s="600"/>
      <c r="E44" s="601"/>
      <c r="F44" s="311"/>
      <c r="G44" s="312" t="s">
        <v>394</v>
      </c>
      <c r="H44" s="312"/>
      <c r="I44" s="312"/>
      <c r="J44" s="312"/>
      <c r="K44" s="31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spans="1:26" s="197" customFormat="1" ht="17.100000000000001" customHeight="1">
      <c r="A45" s="315" t="s">
        <v>351</v>
      </c>
      <c r="B45" s="602"/>
      <c r="C45" s="603"/>
      <c r="D45" s="316" t="s">
        <v>352</v>
      </c>
      <c r="E45" s="363" t="s">
        <v>391</v>
      </c>
      <c r="F45" s="317"/>
      <c r="G45" s="367" t="s">
        <v>392</v>
      </c>
      <c r="H45" s="312"/>
      <c r="I45" s="312"/>
      <c r="J45" s="312"/>
      <c r="K45" s="31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spans="1:26" s="197" customFormat="1" ht="17.100000000000001" customHeight="1" thickBot="1">
      <c r="A46" s="318" t="s">
        <v>353</v>
      </c>
      <c r="B46" s="588"/>
      <c r="C46" s="589"/>
      <c r="D46" s="319" t="s">
        <v>353</v>
      </c>
      <c r="E46" s="364">
        <v>38166</v>
      </c>
      <c r="F46" s="320"/>
      <c r="G46" s="368" t="s">
        <v>393</v>
      </c>
      <c r="H46" s="321"/>
      <c r="I46" s="321"/>
      <c r="J46" s="321"/>
      <c r="K46" s="322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spans="1:26" s="197" customFormat="1" ht="17.100000000000001" customHeight="1">
      <c r="F47" s="32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</row>
    <row r="48" spans="1:26" s="197" customFormat="1" ht="17.100000000000001" customHeight="1">
      <c r="F48" s="193"/>
      <c r="G48" s="193"/>
      <c r="H48" s="193"/>
      <c r="I48" s="193"/>
      <c r="J48" s="193"/>
      <c r="K48" s="193"/>
    </row>
    <row r="49" spans="2:26" ht="17.100000000000001" customHeight="1">
      <c r="F49" s="183"/>
      <c r="G49" s="183"/>
      <c r="H49" s="183"/>
      <c r="I49" s="183"/>
      <c r="J49" s="183"/>
      <c r="K49" s="183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2:26">
      <c r="F50" s="183"/>
      <c r="G50" s="183"/>
      <c r="H50" s="183"/>
      <c r="I50" s="183"/>
      <c r="J50" s="183"/>
      <c r="K50" s="183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2:26">
      <c r="F51" s="183"/>
      <c r="G51" s="183"/>
      <c r="H51" s="183"/>
      <c r="I51" s="183"/>
      <c r="J51" s="183"/>
      <c r="K51" s="183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2:26"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2:26">
      <c r="F53" s="183"/>
      <c r="G53" s="183"/>
      <c r="H53" s="183"/>
      <c r="I53" s="183"/>
      <c r="J53" s="183"/>
      <c r="K53" s="183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</sheetData>
  <mergeCells count="48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40" zoomScale="75" zoomScaleNormal="75" workbookViewId="0"/>
  </sheetViews>
  <sheetFormatPr defaultColWidth="9.140625" defaultRowHeight="12.75"/>
  <cols>
    <col min="1" max="1" width="9.140625" style="329" customWidth="1"/>
    <col min="2" max="2" width="18.140625" style="329" customWidth="1"/>
    <col min="3" max="3" width="21.5703125" style="329" customWidth="1"/>
    <col min="4" max="4" width="21.28515625" style="329" bestFit="1" customWidth="1"/>
    <col min="5" max="5" width="6.85546875" style="329" bestFit="1" customWidth="1"/>
    <col min="6" max="6" width="29.85546875" style="329" customWidth="1"/>
    <col min="7" max="7" width="43.7109375" style="329" customWidth="1"/>
    <col min="8" max="8" width="17.140625" style="329" customWidth="1"/>
    <col min="9" max="9" width="7.85546875" style="329" customWidth="1"/>
    <col min="10" max="10" width="2.28515625" style="329" bestFit="1" customWidth="1"/>
    <col min="11" max="12" width="2.28515625" style="329" customWidth="1"/>
    <col min="13" max="13" width="2.5703125" style="329" bestFit="1" customWidth="1"/>
    <col min="14" max="14" width="2.28515625" style="329" bestFit="1" customWidth="1"/>
    <col min="15" max="16384" width="9.140625" style="329"/>
  </cols>
  <sheetData>
    <row r="1" spans="2:14" ht="12.75" customHeight="1">
      <c r="B1" s="324"/>
      <c r="C1" s="325"/>
      <c r="D1" s="325"/>
      <c r="E1" s="325"/>
      <c r="F1" s="325"/>
      <c r="G1" s="325"/>
      <c r="H1" s="326"/>
      <c r="I1" s="327"/>
      <c r="J1" s="328" t="s">
        <v>354</v>
      </c>
      <c r="K1" s="328" t="s">
        <v>355</v>
      </c>
      <c r="L1" s="328" t="s">
        <v>356</v>
      </c>
      <c r="M1" s="328" t="s">
        <v>355</v>
      </c>
      <c r="N1" s="328"/>
    </row>
    <row r="2" spans="2:14" ht="12.75" customHeight="1">
      <c r="B2" s="615" t="s">
        <v>357</v>
      </c>
      <c r="C2" s="616"/>
      <c r="D2" s="616"/>
      <c r="E2" s="616"/>
      <c r="F2" s="616"/>
      <c r="G2" s="616"/>
      <c r="H2" s="330"/>
      <c r="I2" s="331"/>
      <c r="J2" s="332" t="s">
        <v>358</v>
      </c>
      <c r="K2" s="332" t="s">
        <v>359</v>
      </c>
      <c r="L2" s="332" t="s">
        <v>360</v>
      </c>
      <c r="M2" s="332" t="s">
        <v>361</v>
      </c>
      <c r="N2" s="332" t="s">
        <v>362</v>
      </c>
    </row>
    <row r="3" spans="2:14" ht="12.75" customHeight="1">
      <c r="B3" s="615"/>
      <c r="C3" s="616"/>
      <c r="D3" s="616"/>
      <c r="E3" s="616"/>
      <c r="F3" s="616"/>
      <c r="G3" s="616"/>
      <c r="H3" s="330"/>
      <c r="I3" s="331"/>
      <c r="J3" s="332" t="s">
        <v>363</v>
      </c>
      <c r="K3" s="332"/>
      <c r="L3" s="332" t="s">
        <v>364</v>
      </c>
      <c r="M3" s="332" t="s">
        <v>354</v>
      </c>
      <c r="N3" s="332"/>
    </row>
    <row r="4" spans="2:14" ht="12.75" customHeight="1">
      <c r="B4" s="615"/>
      <c r="C4" s="616"/>
      <c r="D4" s="616"/>
      <c r="E4" s="616"/>
      <c r="F4" s="616"/>
      <c r="G4" s="616"/>
      <c r="H4" s="330"/>
      <c r="I4" s="331"/>
      <c r="J4" s="332" t="s">
        <v>365</v>
      </c>
      <c r="K4" s="332"/>
      <c r="L4" s="332" t="s">
        <v>360</v>
      </c>
      <c r="M4" s="332" t="s">
        <v>358</v>
      </c>
      <c r="N4" s="332"/>
    </row>
    <row r="5" spans="2:14" ht="12.75" customHeight="1">
      <c r="B5" s="333"/>
      <c r="C5" s="334"/>
      <c r="D5" s="334"/>
      <c r="E5" s="334"/>
      <c r="F5" s="334"/>
      <c r="G5" s="334"/>
      <c r="H5" s="330"/>
      <c r="I5" s="331"/>
      <c r="J5" s="332"/>
      <c r="K5" s="332" t="s">
        <v>366</v>
      </c>
      <c r="L5" s="332" t="s">
        <v>355</v>
      </c>
      <c r="M5" s="332"/>
      <c r="N5" s="332" t="s">
        <v>360</v>
      </c>
    </row>
    <row r="6" spans="2:14" ht="12" customHeight="1">
      <c r="B6" s="335"/>
      <c r="C6" s="336"/>
      <c r="D6" s="336"/>
      <c r="F6" s="336"/>
      <c r="H6" s="337"/>
      <c r="I6" s="331"/>
      <c r="J6" s="332" t="s">
        <v>359</v>
      </c>
      <c r="K6" s="332" t="s">
        <v>367</v>
      </c>
      <c r="L6" s="332"/>
      <c r="M6" s="332" t="s">
        <v>355</v>
      </c>
      <c r="N6" s="332" t="s">
        <v>368</v>
      </c>
    </row>
    <row r="7" spans="2:14" ht="12.75" customHeight="1">
      <c r="B7" s="335"/>
      <c r="D7" s="338"/>
      <c r="H7" s="337"/>
      <c r="I7" s="331"/>
      <c r="J7" s="332" t="s">
        <v>184</v>
      </c>
      <c r="K7" s="332" t="s">
        <v>363</v>
      </c>
      <c r="L7" s="332" t="s">
        <v>363</v>
      </c>
      <c r="M7" s="332" t="s">
        <v>358</v>
      </c>
      <c r="N7" s="332" t="s">
        <v>369</v>
      </c>
    </row>
    <row r="8" spans="2:14" ht="12.75" customHeight="1">
      <c r="B8" s="335"/>
      <c r="G8" s="338"/>
      <c r="H8" s="339"/>
      <c r="I8" s="332" t="s">
        <v>369</v>
      </c>
      <c r="J8" s="332" t="s">
        <v>355</v>
      </c>
      <c r="K8" s="332" t="s">
        <v>370</v>
      </c>
      <c r="L8" s="332" t="s">
        <v>358</v>
      </c>
      <c r="M8" s="332" t="s">
        <v>369</v>
      </c>
      <c r="N8" s="332" t="s">
        <v>367</v>
      </c>
    </row>
    <row r="9" spans="2:14">
      <c r="B9" s="332" t="s">
        <v>371</v>
      </c>
      <c r="C9" s="339" t="s">
        <v>372</v>
      </c>
      <c r="D9" s="339" t="s">
        <v>373</v>
      </c>
      <c r="E9" s="339" t="s">
        <v>374</v>
      </c>
      <c r="F9" s="332" t="s">
        <v>375</v>
      </c>
      <c r="G9" s="332" t="s">
        <v>376</v>
      </c>
      <c r="H9" s="332" t="s">
        <v>377</v>
      </c>
      <c r="I9" s="332" t="s">
        <v>365</v>
      </c>
      <c r="J9" s="332" t="s">
        <v>184</v>
      </c>
      <c r="K9" s="332" t="s">
        <v>358</v>
      </c>
      <c r="L9" s="332" t="s">
        <v>370</v>
      </c>
      <c r="M9" s="332" t="s">
        <v>355</v>
      </c>
      <c r="N9" s="332" t="s">
        <v>356</v>
      </c>
    </row>
    <row r="10" spans="2:14" ht="15" customHeight="1">
      <c r="B10" s="340"/>
      <c r="C10" s="341"/>
      <c r="D10" s="341"/>
      <c r="E10" s="341"/>
      <c r="F10" s="342"/>
      <c r="G10" s="343"/>
      <c r="H10" s="343"/>
      <c r="I10" s="344"/>
      <c r="J10" s="345"/>
      <c r="K10" s="345"/>
      <c r="L10" s="345"/>
      <c r="M10" s="345"/>
      <c r="N10" s="346"/>
    </row>
    <row r="11" spans="2:14" ht="15" customHeight="1">
      <c r="B11" s="340"/>
      <c r="C11" s="342"/>
      <c r="D11" s="342"/>
      <c r="E11" s="342"/>
      <c r="F11" s="342"/>
      <c r="G11" s="342"/>
      <c r="H11" s="342"/>
      <c r="I11" s="347"/>
      <c r="J11" s="345"/>
      <c r="K11" s="345"/>
      <c r="L11" s="345"/>
      <c r="M11" s="345"/>
      <c r="N11" s="346"/>
    </row>
    <row r="12" spans="2:14" ht="15" customHeight="1">
      <c r="B12" s="340"/>
      <c r="C12" s="342"/>
      <c r="D12" s="342"/>
      <c r="E12" s="342"/>
      <c r="F12" s="342"/>
      <c r="G12" s="342"/>
      <c r="H12" s="342"/>
      <c r="I12" s="347"/>
      <c r="J12" s="348"/>
      <c r="K12" s="345"/>
      <c r="L12" s="345"/>
      <c r="M12" s="345"/>
      <c r="N12" s="346"/>
    </row>
    <row r="13" spans="2:14" ht="15" customHeight="1">
      <c r="B13" s="340"/>
      <c r="C13" s="342"/>
      <c r="D13" s="342"/>
      <c r="E13" s="342"/>
      <c r="F13" s="342"/>
      <c r="G13" s="342"/>
      <c r="H13" s="342"/>
      <c r="I13" s="347"/>
      <c r="J13" s="345"/>
      <c r="K13" s="345"/>
      <c r="L13" s="345"/>
      <c r="M13" s="345"/>
      <c r="N13" s="346"/>
    </row>
    <row r="14" spans="2:14" ht="15" customHeight="1">
      <c r="B14" s="340"/>
      <c r="C14" s="342"/>
      <c r="D14" s="342"/>
      <c r="E14" s="342"/>
      <c r="F14" s="342"/>
      <c r="G14" s="342"/>
      <c r="H14" s="342"/>
      <c r="I14" s="347"/>
      <c r="J14" s="345"/>
      <c r="K14" s="345"/>
      <c r="L14" s="345"/>
      <c r="M14" s="345"/>
      <c r="N14" s="346"/>
    </row>
    <row r="15" spans="2:14" ht="15" customHeight="1">
      <c r="B15" s="340"/>
      <c r="C15" s="342"/>
      <c r="D15" s="342"/>
      <c r="E15" s="342"/>
      <c r="F15" s="342"/>
      <c r="G15" s="342"/>
      <c r="H15" s="342"/>
      <c r="I15" s="347"/>
      <c r="J15" s="345"/>
      <c r="K15" s="345"/>
      <c r="L15" s="345"/>
      <c r="M15" s="345"/>
      <c r="N15" s="346"/>
    </row>
    <row r="16" spans="2:14" ht="15" customHeight="1">
      <c r="B16" s="340"/>
      <c r="C16" s="342"/>
      <c r="D16" s="342"/>
      <c r="E16" s="342"/>
      <c r="F16" s="342"/>
      <c r="G16" s="342"/>
      <c r="H16" s="342"/>
      <c r="I16" s="347"/>
      <c r="J16" s="345"/>
      <c r="K16" s="345"/>
      <c r="L16" s="345"/>
      <c r="M16" s="345"/>
      <c r="N16" s="346"/>
    </row>
    <row r="17" spans="2:14" ht="15" customHeight="1">
      <c r="B17" s="340"/>
      <c r="C17" s="342"/>
      <c r="D17" s="342"/>
      <c r="E17" s="342"/>
      <c r="F17" s="342"/>
      <c r="G17" s="342"/>
      <c r="H17" s="342"/>
      <c r="I17" s="347"/>
      <c r="J17" s="345"/>
      <c r="K17" s="345"/>
      <c r="L17" s="345"/>
      <c r="M17" s="345"/>
      <c r="N17" s="346"/>
    </row>
    <row r="18" spans="2:14" ht="15" customHeight="1">
      <c r="B18" s="340"/>
      <c r="C18" s="342"/>
      <c r="D18" s="342"/>
      <c r="E18" s="342"/>
      <c r="F18" s="342"/>
      <c r="G18" s="342"/>
      <c r="H18" s="342"/>
      <c r="I18" s="347"/>
      <c r="J18" s="345"/>
      <c r="K18" s="345"/>
      <c r="L18" s="345"/>
      <c r="M18" s="345"/>
      <c r="N18" s="346"/>
    </row>
    <row r="19" spans="2:14" ht="15" customHeight="1">
      <c r="B19" s="340"/>
      <c r="C19" s="342"/>
      <c r="D19" s="342"/>
      <c r="E19" s="342"/>
      <c r="F19" s="342"/>
      <c r="G19" s="342"/>
      <c r="H19" s="342"/>
      <c r="I19" s="347"/>
      <c r="J19" s="345"/>
      <c r="K19" s="345"/>
      <c r="L19" s="345"/>
      <c r="M19" s="345"/>
      <c r="N19" s="346"/>
    </row>
    <row r="20" spans="2:14" ht="15" customHeight="1">
      <c r="B20" s="340"/>
      <c r="C20" s="342"/>
      <c r="D20" s="342"/>
      <c r="E20" s="342"/>
      <c r="F20" s="342"/>
      <c r="G20" s="342"/>
      <c r="H20" s="342"/>
      <c r="I20" s="347"/>
      <c r="J20" s="345"/>
      <c r="K20" s="345"/>
      <c r="L20" s="345"/>
      <c r="M20" s="345"/>
      <c r="N20" s="346"/>
    </row>
    <row r="21" spans="2:14" ht="15" customHeight="1">
      <c r="B21" s="340"/>
      <c r="C21" s="342"/>
      <c r="D21" s="342"/>
      <c r="E21" s="342"/>
      <c r="F21" s="342"/>
      <c r="G21" s="342"/>
      <c r="H21" s="342"/>
      <c r="I21" s="347"/>
      <c r="J21" s="345"/>
      <c r="K21" s="345"/>
      <c r="L21" s="345"/>
      <c r="M21" s="345"/>
      <c r="N21" s="346"/>
    </row>
    <row r="22" spans="2:14" ht="15" customHeight="1">
      <c r="B22" s="340"/>
      <c r="C22" s="342"/>
      <c r="D22" s="342"/>
      <c r="E22" s="342"/>
      <c r="F22" s="342"/>
      <c r="G22" s="342"/>
      <c r="H22" s="342"/>
      <c r="I22" s="347"/>
      <c r="J22" s="345"/>
      <c r="K22" s="345"/>
      <c r="L22" s="345"/>
      <c r="M22" s="345"/>
      <c r="N22" s="346"/>
    </row>
    <row r="23" spans="2:14" ht="15" customHeight="1">
      <c r="B23" s="340"/>
      <c r="C23" s="342"/>
      <c r="D23" s="342"/>
      <c r="E23" s="342"/>
      <c r="F23" s="342"/>
      <c r="G23" s="342"/>
      <c r="H23" s="342"/>
      <c r="I23" s="347"/>
      <c r="J23" s="345"/>
      <c r="K23" s="345"/>
      <c r="L23" s="345"/>
      <c r="M23" s="345"/>
      <c r="N23" s="346"/>
    </row>
    <row r="24" spans="2:14" ht="15" customHeight="1">
      <c r="B24" s="340"/>
      <c r="C24" s="342"/>
      <c r="D24" s="342"/>
      <c r="E24" s="342"/>
      <c r="F24" s="342"/>
      <c r="G24" s="342"/>
      <c r="H24" s="342"/>
      <c r="I24" s="347"/>
      <c r="J24" s="345"/>
      <c r="K24" s="345"/>
      <c r="L24" s="345"/>
      <c r="M24" s="345"/>
      <c r="N24" s="346"/>
    </row>
    <row r="25" spans="2:14" ht="15" customHeight="1">
      <c r="B25" s="340"/>
      <c r="C25" s="342"/>
      <c r="D25" s="342"/>
      <c r="E25" s="342"/>
      <c r="F25" s="342"/>
      <c r="G25" s="342"/>
      <c r="H25" s="342"/>
      <c r="I25" s="347"/>
      <c r="J25" s="345"/>
      <c r="K25" s="345"/>
      <c r="L25" s="345"/>
      <c r="M25" s="345"/>
      <c r="N25" s="346"/>
    </row>
    <row r="26" spans="2:14" ht="15" customHeight="1">
      <c r="B26" s="340"/>
      <c r="C26" s="342"/>
      <c r="D26" s="342"/>
      <c r="E26" s="342"/>
      <c r="F26" s="342"/>
      <c r="G26" s="342"/>
      <c r="H26" s="342"/>
      <c r="I26" s="347"/>
      <c r="J26" s="345"/>
      <c r="K26" s="345"/>
      <c r="L26" s="345"/>
      <c r="M26" s="345"/>
      <c r="N26" s="346"/>
    </row>
    <row r="27" spans="2:14" ht="15" customHeight="1">
      <c r="B27" s="340"/>
      <c r="C27" s="342"/>
      <c r="D27" s="342"/>
      <c r="E27" s="342"/>
      <c r="F27" s="342"/>
      <c r="G27" s="342"/>
      <c r="H27" s="342"/>
      <c r="I27" s="347"/>
      <c r="J27" s="345"/>
      <c r="K27" s="345"/>
      <c r="L27" s="345"/>
      <c r="M27" s="345"/>
      <c r="N27" s="346"/>
    </row>
    <row r="28" spans="2:14" ht="15" customHeight="1">
      <c r="B28" s="340"/>
      <c r="C28" s="342"/>
      <c r="D28" s="342"/>
      <c r="E28" s="342"/>
      <c r="F28" s="342"/>
      <c r="G28" s="342"/>
      <c r="H28" s="342"/>
      <c r="I28" s="347"/>
      <c r="J28" s="345"/>
      <c r="K28" s="345"/>
      <c r="L28" s="345"/>
      <c r="M28" s="345"/>
      <c r="N28" s="346"/>
    </row>
    <row r="29" spans="2:14" ht="15" customHeight="1">
      <c r="B29" s="340"/>
      <c r="C29" s="342"/>
      <c r="D29" s="342"/>
      <c r="E29" s="342"/>
      <c r="F29" s="342"/>
      <c r="G29" s="342"/>
      <c r="H29" s="342"/>
      <c r="I29" s="347"/>
      <c r="J29" s="345"/>
      <c r="K29" s="345"/>
      <c r="L29" s="345"/>
      <c r="M29" s="345"/>
      <c r="N29" s="346"/>
    </row>
    <row r="30" spans="2:14" ht="15" customHeight="1">
      <c r="B30" s="340"/>
      <c r="C30" s="342"/>
      <c r="D30" s="342"/>
      <c r="E30" s="342"/>
      <c r="F30" s="342"/>
      <c r="G30" s="342"/>
      <c r="H30" s="342"/>
      <c r="I30" s="347"/>
      <c r="J30" s="345"/>
      <c r="K30" s="345"/>
      <c r="L30" s="345"/>
      <c r="M30" s="345"/>
      <c r="N30" s="346"/>
    </row>
    <row r="31" spans="2:14" ht="15" customHeight="1">
      <c r="B31" s="340"/>
      <c r="C31" s="342"/>
      <c r="D31" s="342"/>
      <c r="E31" s="342"/>
      <c r="F31" s="342"/>
      <c r="G31" s="342"/>
      <c r="H31" s="342"/>
      <c r="I31" s="347"/>
      <c r="J31" s="345"/>
      <c r="K31" s="345"/>
      <c r="L31" s="345"/>
      <c r="M31" s="345"/>
      <c r="N31" s="346"/>
    </row>
    <row r="32" spans="2:14" ht="15" customHeight="1">
      <c r="B32" s="340"/>
      <c r="C32" s="342"/>
      <c r="D32" s="342"/>
      <c r="E32" s="342"/>
      <c r="F32" s="342"/>
      <c r="G32" s="342"/>
      <c r="H32" s="342"/>
      <c r="I32" s="347"/>
      <c r="J32" s="345"/>
      <c r="K32" s="345"/>
      <c r="L32" s="345"/>
      <c r="M32" s="345"/>
      <c r="N32" s="346"/>
    </row>
    <row r="33" spans="2:14" ht="15" customHeight="1">
      <c r="B33" s="340"/>
      <c r="C33" s="342"/>
      <c r="D33" s="342"/>
      <c r="E33" s="342"/>
      <c r="F33" s="342"/>
      <c r="G33" s="342"/>
      <c r="H33" s="342"/>
      <c r="I33" s="347"/>
      <c r="J33" s="345"/>
      <c r="K33" s="345"/>
      <c r="L33" s="345"/>
      <c r="M33" s="345"/>
      <c r="N33" s="346"/>
    </row>
    <row r="34" spans="2:14" ht="15" customHeight="1">
      <c r="B34" s="340"/>
      <c r="C34" s="342"/>
      <c r="D34" s="342"/>
      <c r="E34" s="342"/>
      <c r="F34" s="342"/>
      <c r="G34" s="342"/>
      <c r="H34" s="342"/>
      <c r="I34" s="347"/>
      <c r="J34" s="345"/>
      <c r="K34" s="345"/>
      <c r="L34" s="345"/>
      <c r="M34" s="345"/>
      <c r="N34" s="346"/>
    </row>
    <row r="35" spans="2:14" ht="15" customHeight="1">
      <c r="B35" s="340"/>
      <c r="C35" s="342"/>
      <c r="D35" s="342"/>
      <c r="E35" s="342"/>
      <c r="F35" s="342"/>
      <c r="G35" s="342"/>
      <c r="H35" s="342"/>
      <c r="I35" s="347"/>
      <c r="J35" s="345"/>
      <c r="K35" s="345"/>
      <c r="L35" s="345"/>
      <c r="M35" s="345"/>
      <c r="N35" s="346"/>
    </row>
    <row r="36" spans="2:14" ht="15" customHeight="1">
      <c r="B36" s="340"/>
      <c r="C36" s="342"/>
      <c r="D36" s="342"/>
      <c r="E36" s="342"/>
      <c r="F36" s="342"/>
      <c r="G36" s="342"/>
      <c r="H36" s="342"/>
      <c r="I36" s="347"/>
      <c r="J36" s="345"/>
      <c r="K36" s="345"/>
      <c r="L36" s="345"/>
      <c r="M36" s="345"/>
      <c r="N36" s="346"/>
    </row>
    <row r="37" spans="2:14" ht="15" customHeight="1">
      <c r="B37" s="340"/>
      <c r="C37" s="342"/>
      <c r="D37" s="342"/>
      <c r="E37" s="342"/>
      <c r="F37" s="342"/>
      <c r="G37" s="342"/>
      <c r="H37" s="342"/>
      <c r="I37" s="347"/>
      <c r="J37" s="345"/>
      <c r="K37" s="345"/>
      <c r="L37" s="345"/>
      <c r="M37" s="345"/>
      <c r="N37" s="346"/>
    </row>
    <row r="38" spans="2:14" ht="15" customHeight="1">
      <c r="B38" s="340"/>
      <c r="C38" s="342"/>
      <c r="D38" s="342"/>
      <c r="E38" s="342"/>
      <c r="F38" s="342"/>
      <c r="G38" s="342"/>
      <c r="H38" s="342"/>
      <c r="I38" s="347"/>
      <c r="J38" s="345"/>
      <c r="K38" s="345"/>
      <c r="L38" s="345"/>
      <c r="M38" s="345"/>
      <c r="N38" s="346"/>
    </row>
    <row r="39" spans="2:14" ht="15" customHeight="1">
      <c r="B39" s="340"/>
      <c r="C39" s="342"/>
      <c r="D39" s="342"/>
      <c r="E39" s="342"/>
      <c r="F39" s="342"/>
      <c r="G39" s="342"/>
      <c r="H39" s="342"/>
      <c r="I39" s="347"/>
      <c r="J39" s="345"/>
      <c r="K39" s="345"/>
      <c r="L39" s="345"/>
      <c r="M39" s="345"/>
      <c r="N39" s="346"/>
    </row>
    <row r="40" spans="2:14" ht="15" customHeight="1">
      <c r="B40" s="340"/>
      <c r="C40" s="342"/>
      <c r="D40" s="342"/>
      <c r="E40" s="342"/>
      <c r="F40" s="342"/>
      <c r="G40" s="342"/>
      <c r="H40" s="342"/>
      <c r="I40" s="347"/>
      <c r="J40" s="345"/>
      <c r="K40" s="345"/>
      <c r="L40" s="345"/>
      <c r="M40" s="345"/>
      <c r="N40" s="346"/>
    </row>
    <row r="41" spans="2:14" ht="15" customHeight="1">
      <c r="B41" s="340"/>
      <c r="C41" s="342"/>
      <c r="D41" s="342"/>
      <c r="E41" s="342"/>
      <c r="F41" s="342"/>
      <c r="G41" s="342"/>
      <c r="H41" s="342"/>
      <c r="I41" s="347"/>
      <c r="J41" s="345"/>
      <c r="K41" s="345"/>
      <c r="L41" s="345"/>
      <c r="M41" s="345"/>
      <c r="N41" s="346"/>
    </row>
    <row r="42" spans="2:14" ht="15" customHeight="1">
      <c r="B42" s="340"/>
      <c r="C42" s="342"/>
      <c r="D42" s="342"/>
      <c r="E42" s="342"/>
      <c r="F42" s="342"/>
      <c r="G42" s="342"/>
      <c r="H42" s="342"/>
      <c r="I42" s="347"/>
      <c r="J42" s="345"/>
      <c r="K42" s="345"/>
      <c r="L42" s="345"/>
      <c r="M42" s="345"/>
      <c r="N42" s="346"/>
    </row>
    <row r="43" spans="2:14" ht="15" customHeight="1">
      <c r="B43" s="340"/>
      <c r="C43" s="342"/>
      <c r="D43" s="342"/>
      <c r="E43" s="342"/>
      <c r="F43" s="342"/>
      <c r="G43" s="342"/>
      <c r="H43" s="342"/>
      <c r="I43" s="347"/>
      <c r="J43" s="345"/>
      <c r="K43" s="345"/>
      <c r="L43" s="345"/>
      <c r="M43" s="345"/>
      <c r="N43" s="346"/>
    </row>
    <row r="44" spans="2:14" ht="15" customHeight="1">
      <c r="B44" s="340"/>
      <c r="C44" s="342"/>
      <c r="D44" s="342"/>
      <c r="E44" s="342"/>
      <c r="F44" s="342"/>
      <c r="G44" s="342"/>
      <c r="H44" s="342"/>
      <c r="I44" s="347"/>
      <c r="J44" s="345"/>
      <c r="K44" s="345"/>
      <c r="L44" s="345"/>
      <c r="M44" s="345"/>
      <c r="N44" s="346"/>
    </row>
    <row r="45" spans="2:14" ht="15" customHeight="1">
      <c r="B45" s="340"/>
      <c r="C45" s="342"/>
      <c r="D45" s="342"/>
      <c r="E45" s="342"/>
      <c r="F45" s="342"/>
      <c r="G45" s="342"/>
      <c r="H45" s="342"/>
      <c r="I45" s="347"/>
      <c r="J45" s="345"/>
      <c r="K45" s="345"/>
      <c r="L45" s="345"/>
      <c r="M45" s="345"/>
      <c r="N45" s="346"/>
    </row>
    <row r="46" spans="2:14" ht="15" customHeight="1">
      <c r="B46" s="340"/>
      <c r="C46" s="342"/>
      <c r="D46" s="342"/>
      <c r="E46" s="342"/>
      <c r="F46" s="342"/>
      <c r="G46" s="342"/>
      <c r="H46" s="342"/>
      <c r="I46" s="347"/>
      <c r="J46" s="345"/>
      <c r="K46" s="345"/>
      <c r="L46" s="345"/>
      <c r="M46" s="345"/>
      <c r="N46" s="346"/>
    </row>
    <row r="47" spans="2:14" ht="15" customHeight="1">
      <c r="B47" s="340"/>
      <c r="C47" s="342"/>
      <c r="D47" s="342"/>
      <c r="E47" s="342"/>
      <c r="F47" s="342"/>
      <c r="G47" s="342"/>
      <c r="H47" s="342"/>
      <c r="I47" s="347"/>
      <c r="J47" s="345"/>
      <c r="K47" s="345"/>
      <c r="L47" s="345"/>
      <c r="M47" s="345"/>
      <c r="N47" s="346"/>
    </row>
    <row r="48" spans="2:14" ht="15" customHeight="1">
      <c r="B48" s="340"/>
      <c r="C48" s="342"/>
      <c r="D48" s="342"/>
      <c r="E48" s="342"/>
      <c r="F48" s="342"/>
      <c r="G48" s="342"/>
      <c r="H48" s="342"/>
      <c r="I48" s="347"/>
      <c r="J48" s="345"/>
      <c r="K48" s="345"/>
      <c r="L48" s="345"/>
      <c r="M48" s="345"/>
      <c r="N48" s="346"/>
    </row>
    <row r="49" spans="2:14" ht="15" customHeight="1">
      <c r="B49" s="340"/>
      <c r="C49" s="342"/>
      <c r="D49" s="342"/>
      <c r="E49" s="342"/>
      <c r="F49" s="342"/>
      <c r="G49" s="342"/>
      <c r="H49" s="342"/>
      <c r="I49" s="347"/>
      <c r="J49" s="345"/>
      <c r="K49" s="345"/>
      <c r="L49" s="345"/>
      <c r="M49" s="345"/>
      <c r="N49" s="346"/>
    </row>
    <row r="50" spans="2:14" ht="15" customHeight="1">
      <c r="B50" s="340"/>
      <c r="C50" s="342"/>
      <c r="D50" s="342"/>
      <c r="E50" s="342"/>
      <c r="F50" s="342"/>
      <c r="G50" s="342"/>
      <c r="H50" s="342"/>
      <c r="I50" s="347"/>
      <c r="J50" s="345"/>
      <c r="K50" s="345"/>
      <c r="L50" s="345"/>
      <c r="M50" s="345"/>
      <c r="N50" s="346"/>
    </row>
    <row r="51" spans="2:14" ht="15" customHeight="1">
      <c r="B51" s="340"/>
      <c r="C51" s="342"/>
      <c r="D51" s="342"/>
      <c r="E51" s="342"/>
      <c r="F51" s="342"/>
      <c r="G51" s="342"/>
      <c r="H51" s="342"/>
      <c r="I51" s="347"/>
      <c r="J51" s="345"/>
      <c r="K51" s="345"/>
      <c r="L51" s="345"/>
      <c r="M51" s="345"/>
      <c r="N51" s="346"/>
    </row>
    <row r="52" spans="2:14" ht="15" customHeight="1" thickBot="1">
      <c r="B52" s="349"/>
      <c r="C52" s="350"/>
      <c r="D52" s="350"/>
      <c r="E52" s="350"/>
      <c r="F52" s="350"/>
      <c r="G52" s="350"/>
      <c r="H52" s="350"/>
      <c r="I52" s="351"/>
      <c r="J52" s="352"/>
      <c r="K52" s="352"/>
      <c r="L52" s="352"/>
      <c r="M52" s="352"/>
      <c r="N52" s="353"/>
    </row>
    <row r="53" spans="2:14" ht="20.25" customHeight="1" thickBot="1">
      <c r="B53" s="617" t="s">
        <v>378</v>
      </c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</row>
    <row r="54" spans="2:14" ht="15" customHeight="1" thickBot="1">
      <c r="B54" s="354" t="s">
        <v>379</v>
      </c>
      <c r="C54" s="618" t="s">
        <v>376</v>
      </c>
      <c r="D54" s="619"/>
      <c r="E54" s="619"/>
      <c r="F54" s="619"/>
      <c r="G54" s="619"/>
      <c r="H54" s="355"/>
      <c r="I54" s="618" t="s">
        <v>371</v>
      </c>
      <c r="J54" s="619"/>
      <c r="K54" s="620"/>
      <c r="L54" s="618" t="s">
        <v>380</v>
      </c>
      <c r="M54" s="619"/>
      <c r="N54" s="621"/>
    </row>
    <row r="55" spans="2:14" ht="15" customHeight="1">
      <c r="B55" s="356"/>
      <c r="C55" s="607"/>
      <c r="D55" s="608"/>
      <c r="E55" s="608"/>
      <c r="F55" s="608"/>
      <c r="G55" s="608"/>
      <c r="H55" s="357"/>
      <c r="I55" s="609"/>
      <c r="J55" s="610"/>
      <c r="K55" s="611"/>
      <c r="L55" s="612"/>
      <c r="M55" s="613"/>
      <c r="N55" s="614"/>
    </row>
    <row r="56" spans="2:14" ht="15" customHeight="1">
      <c r="B56" s="358"/>
      <c r="C56" s="622"/>
      <c r="D56" s="623"/>
      <c r="E56" s="623"/>
      <c r="F56" s="623"/>
      <c r="G56" s="623"/>
      <c r="H56" s="359"/>
      <c r="I56" s="624"/>
      <c r="J56" s="625"/>
      <c r="K56" s="626"/>
      <c r="L56" s="627"/>
      <c r="M56" s="628"/>
      <c r="N56" s="629"/>
    </row>
    <row r="57" spans="2:14" ht="15" customHeight="1">
      <c r="B57" s="358"/>
      <c r="C57" s="622"/>
      <c r="D57" s="623"/>
      <c r="E57" s="623"/>
      <c r="F57" s="623"/>
      <c r="G57" s="623"/>
      <c r="H57" s="359"/>
      <c r="I57" s="624"/>
      <c r="J57" s="625"/>
      <c r="K57" s="626"/>
      <c r="L57" s="627"/>
      <c r="M57" s="628"/>
      <c r="N57" s="629"/>
    </row>
    <row r="58" spans="2:14" ht="15" customHeight="1">
      <c r="B58" s="358"/>
      <c r="C58" s="622"/>
      <c r="D58" s="623"/>
      <c r="E58" s="623"/>
      <c r="F58" s="623"/>
      <c r="G58" s="623"/>
      <c r="H58" s="359"/>
      <c r="I58" s="624"/>
      <c r="J58" s="625"/>
      <c r="K58" s="626"/>
      <c r="L58" s="627"/>
      <c r="M58" s="628"/>
      <c r="N58" s="629"/>
    </row>
    <row r="59" spans="2:14" ht="15" customHeight="1">
      <c r="B59" s="358"/>
      <c r="C59" s="622"/>
      <c r="D59" s="623"/>
      <c r="E59" s="623"/>
      <c r="F59" s="623"/>
      <c r="G59" s="623"/>
      <c r="H59" s="359"/>
      <c r="I59" s="624"/>
      <c r="J59" s="625"/>
      <c r="K59" s="626"/>
      <c r="L59" s="627"/>
      <c r="M59" s="628"/>
      <c r="N59" s="629"/>
    </row>
    <row r="60" spans="2:14" ht="15" customHeight="1">
      <c r="B60" s="358"/>
      <c r="C60" s="622"/>
      <c r="D60" s="623"/>
      <c r="E60" s="623"/>
      <c r="F60" s="623"/>
      <c r="G60" s="623"/>
      <c r="H60" s="359"/>
      <c r="I60" s="624"/>
      <c r="J60" s="625"/>
      <c r="K60" s="626"/>
      <c r="L60" s="627"/>
      <c r="M60" s="628"/>
      <c r="N60" s="629"/>
    </row>
    <row r="61" spans="2:14" ht="15" customHeight="1">
      <c r="B61" s="358"/>
      <c r="C61" s="622"/>
      <c r="D61" s="623"/>
      <c r="E61" s="623"/>
      <c r="F61" s="623"/>
      <c r="G61" s="623"/>
      <c r="H61" s="359"/>
      <c r="I61" s="624"/>
      <c r="J61" s="625"/>
      <c r="K61" s="626"/>
      <c r="L61" s="627"/>
      <c r="M61" s="628"/>
      <c r="N61" s="629"/>
    </row>
    <row r="62" spans="2:14" ht="15" customHeight="1">
      <c r="B62" s="358"/>
      <c r="C62" s="622"/>
      <c r="D62" s="623"/>
      <c r="E62" s="623"/>
      <c r="F62" s="623"/>
      <c r="G62" s="623"/>
      <c r="H62" s="359"/>
      <c r="I62" s="624"/>
      <c r="J62" s="625"/>
      <c r="K62" s="626"/>
      <c r="L62" s="627"/>
      <c r="M62" s="628"/>
      <c r="N62" s="629"/>
    </row>
    <row r="63" spans="2:14" ht="15" customHeight="1">
      <c r="B63" s="358"/>
      <c r="C63" s="622"/>
      <c r="D63" s="623"/>
      <c r="E63" s="623"/>
      <c r="F63" s="623"/>
      <c r="G63" s="623"/>
      <c r="H63" s="359"/>
      <c r="I63" s="624"/>
      <c r="J63" s="625"/>
      <c r="K63" s="626"/>
      <c r="L63" s="627"/>
      <c r="M63" s="628"/>
      <c r="N63" s="629"/>
    </row>
    <row r="64" spans="2:14" ht="15" customHeight="1">
      <c r="B64" s="358"/>
      <c r="C64" s="622"/>
      <c r="D64" s="623"/>
      <c r="E64" s="623"/>
      <c r="F64" s="623"/>
      <c r="G64" s="623"/>
      <c r="H64" s="359"/>
      <c r="I64" s="624"/>
      <c r="J64" s="625"/>
      <c r="K64" s="626"/>
      <c r="L64" s="627"/>
      <c r="M64" s="628"/>
      <c r="N64" s="629"/>
    </row>
    <row r="65" spans="2:14" ht="15" customHeight="1">
      <c r="B65" s="358"/>
      <c r="C65" s="622"/>
      <c r="D65" s="623"/>
      <c r="E65" s="623"/>
      <c r="F65" s="623"/>
      <c r="G65" s="623"/>
      <c r="H65" s="359"/>
      <c r="I65" s="624"/>
      <c r="J65" s="625"/>
      <c r="K65" s="626"/>
      <c r="L65" s="627"/>
      <c r="M65" s="628"/>
      <c r="N65" s="629"/>
    </row>
    <row r="66" spans="2:14" ht="15" customHeight="1">
      <c r="B66" s="358"/>
      <c r="C66" s="622"/>
      <c r="D66" s="623"/>
      <c r="E66" s="623"/>
      <c r="F66" s="623"/>
      <c r="G66" s="623"/>
      <c r="H66" s="359"/>
      <c r="I66" s="624"/>
      <c r="J66" s="625"/>
      <c r="K66" s="626"/>
      <c r="L66" s="627"/>
      <c r="M66" s="628"/>
      <c r="N66" s="629"/>
    </row>
    <row r="67" spans="2:14" ht="15" customHeight="1">
      <c r="B67" s="358"/>
      <c r="C67" s="622"/>
      <c r="D67" s="623"/>
      <c r="E67" s="623"/>
      <c r="F67" s="623"/>
      <c r="G67" s="623"/>
      <c r="H67" s="359"/>
      <c r="I67" s="624"/>
      <c r="J67" s="625"/>
      <c r="K67" s="626"/>
      <c r="L67" s="627"/>
      <c r="M67" s="628"/>
      <c r="N67" s="629"/>
    </row>
    <row r="68" spans="2:14" ht="15" customHeight="1">
      <c r="B68" s="358"/>
      <c r="C68" s="622"/>
      <c r="D68" s="623"/>
      <c r="E68" s="623"/>
      <c r="F68" s="623"/>
      <c r="G68" s="623"/>
      <c r="H68" s="359"/>
      <c r="I68" s="624"/>
      <c r="J68" s="625"/>
      <c r="K68" s="626"/>
      <c r="L68" s="627"/>
      <c r="M68" s="628"/>
      <c r="N68" s="629"/>
    </row>
    <row r="69" spans="2:14" ht="15" customHeight="1">
      <c r="B69" s="358"/>
      <c r="C69" s="622"/>
      <c r="D69" s="623"/>
      <c r="E69" s="623"/>
      <c r="F69" s="623"/>
      <c r="G69" s="623"/>
      <c r="H69" s="359"/>
      <c r="I69" s="624"/>
      <c r="J69" s="625"/>
      <c r="K69" s="626"/>
      <c r="L69" s="627"/>
      <c r="M69" s="628"/>
      <c r="N69" s="629"/>
    </row>
    <row r="70" spans="2:14" ht="15" customHeight="1">
      <c r="B70" s="358"/>
      <c r="C70" s="622"/>
      <c r="D70" s="623"/>
      <c r="E70" s="623"/>
      <c r="F70" s="623"/>
      <c r="G70" s="623"/>
      <c r="H70" s="359"/>
      <c r="I70" s="624"/>
      <c r="J70" s="625"/>
      <c r="K70" s="626"/>
      <c r="L70" s="627"/>
      <c r="M70" s="628"/>
      <c r="N70" s="629"/>
    </row>
    <row r="71" spans="2:14" ht="15" customHeight="1">
      <c r="B71" s="358"/>
      <c r="C71" s="622"/>
      <c r="D71" s="623"/>
      <c r="E71" s="623"/>
      <c r="F71" s="623"/>
      <c r="G71" s="623"/>
      <c r="H71" s="359"/>
      <c r="I71" s="624"/>
      <c r="J71" s="625"/>
      <c r="K71" s="626"/>
      <c r="L71" s="627"/>
      <c r="M71" s="628"/>
      <c r="N71" s="629"/>
    </row>
    <row r="72" spans="2:14">
      <c r="B72" s="358"/>
      <c r="C72" s="622"/>
      <c r="D72" s="623"/>
      <c r="E72" s="623"/>
      <c r="F72" s="623"/>
      <c r="G72" s="623"/>
      <c r="H72" s="359"/>
      <c r="I72" s="624"/>
      <c r="J72" s="625"/>
      <c r="K72" s="626"/>
      <c r="L72" s="627"/>
      <c r="M72" s="628"/>
      <c r="N72" s="629"/>
    </row>
    <row r="73" spans="2:14">
      <c r="B73" s="358"/>
      <c r="C73" s="622"/>
      <c r="D73" s="623"/>
      <c r="E73" s="623"/>
      <c r="F73" s="623"/>
      <c r="G73" s="623"/>
      <c r="H73" s="359"/>
      <c r="I73" s="624"/>
      <c r="J73" s="625"/>
      <c r="K73" s="626"/>
      <c r="L73" s="627"/>
      <c r="M73" s="628"/>
      <c r="N73" s="629"/>
    </row>
    <row r="74" spans="2:14">
      <c r="B74" s="358"/>
      <c r="C74" s="622"/>
      <c r="D74" s="623"/>
      <c r="E74" s="623"/>
      <c r="F74" s="623"/>
      <c r="G74" s="623"/>
      <c r="H74" s="359"/>
      <c r="I74" s="624"/>
      <c r="J74" s="625"/>
      <c r="K74" s="626"/>
      <c r="L74" s="627"/>
      <c r="M74" s="628"/>
      <c r="N74" s="629"/>
    </row>
    <row r="75" spans="2:14">
      <c r="B75" s="358"/>
      <c r="C75" s="622"/>
      <c r="D75" s="623"/>
      <c r="E75" s="623"/>
      <c r="F75" s="623"/>
      <c r="G75" s="623"/>
      <c r="H75" s="359"/>
      <c r="I75" s="624"/>
      <c r="J75" s="625"/>
      <c r="K75" s="626"/>
      <c r="L75" s="627"/>
      <c r="M75" s="628"/>
      <c r="N75" s="629"/>
    </row>
    <row r="76" spans="2:14">
      <c r="B76" s="358"/>
      <c r="C76" s="622"/>
      <c r="D76" s="623"/>
      <c r="E76" s="623"/>
      <c r="F76" s="623"/>
      <c r="G76" s="623"/>
      <c r="H76" s="359"/>
      <c r="I76" s="624"/>
      <c r="J76" s="625"/>
      <c r="K76" s="626"/>
      <c r="L76" s="627"/>
      <c r="M76" s="628"/>
      <c r="N76" s="629"/>
    </row>
    <row r="77" spans="2:14">
      <c r="B77" s="358"/>
      <c r="C77" s="622"/>
      <c r="D77" s="623"/>
      <c r="E77" s="623"/>
      <c r="F77" s="623"/>
      <c r="G77" s="623"/>
      <c r="H77" s="359"/>
      <c r="I77" s="624"/>
      <c r="J77" s="625"/>
      <c r="K77" s="626"/>
      <c r="L77" s="627"/>
      <c r="M77" s="628"/>
      <c r="N77" s="629"/>
    </row>
    <row r="78" spans="2:14">
      <c r="B78" s="358"/>
      <c r="C78" s="622"/>
      <c r="D78" s="623"/>
      <c r="E78" s="623"/>
      <c r="F78" s="623"/>
      <c r="G78" s="623"/>
      <c r="H78" s="359"/>
      <c r="I78" s="624"/>
      <c r="J78" s="625"/>
      <c r="K78" s="626"/>
      <c r="L78" s="627"/>
      <c r="M78" s="628"/>
      <c r="N78" s="629"/>
    </row>
    <row r="79" spans="2:14" ht="13.5" thickBot="1">
      <c r="B79" s="360"/>
      <c r="C79" s="630"/>
      <c r="D79" s="631"/>
      <c r="E79" s="631"/>
      <c r="F79" s="631"/>
      <c r="G79" s="631"/>
      <c r="H79" s="361"/>
      <c r="I79" s="632"/>
      <c r="J79" s="633"/>
      <c r="K79" s="634"/>
      <c r="L79" s="635"/>
      <c r="M79" s="636"/>
      <c r="N79" s="637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/>
  </sheetViews>
  <sheetFormatPr defaultColWidth="9.140625" defaultRowHeight="12.75"/>
  <cols>
    <col min="1" max="1" width="19.7109375" style="380" customWidth="1"/>
    <col min="2" max="7" width="10.7109375" style="380" customWidth="1"/>
    <col min="8" max="16384" width="9.140625" style="380"/>
  </cols>
  <sheetData>
    <row r="1" spans="1:12" ht="21" customHeight="1">
      <c r="A1" s="379" t="s">
        <v>412</v>
      </c>
      <c r="B1" s="639" t="s">
        <v>451</v>
      </c>
      <c r="C1" s="639"/>
      <c r="D1" s="639"/>
      <c r="E1" s="639"/>
      <c r="F1" s="639"/>
      <c r="G1" s="639"/>
    </row>
    <row r="2" spans="1:12" ht="15" customHeight="1"/>
    <row r="3" spans="1:12" ht="20.25">
      <c r="A3" s="381" t="s">
        <v>413</v>
      </c>
    </row>
    <row r="4" spans="1:12" ht="12" customHeight="1">
      <c r="A4" s="382"/>
      <c r="B4" s="382"/>
      <c r="C4" s="382"/>
      <c r="D4" s="382" t="s">
        <v>465</v>
      </c>
      <c r="E4" s="382"/>
      <c r="F4" s="382"/>
      <c r="G4" s="382"/>
      <c r="H4" s="382"/>
      <c r="I4" s="382"/>
      <c r="J4" s="382"/>
      <c r="K4" s="382"/>
      <c r="L4" s="382"/>
    </row>
    <row r="5" spans="1:12" ht="15.6" customHeight="1">
      <c r="A5" s="383" t="s">
        <v>5</v>
      </c>
      <c r="B5" s="383" t="s">
        <v>414</v>
      </c>
      <c r="C5" s="383" t="s">
        <v>415</v>
      </c>
      <c r="D5" s="383" t="s">
        <v>416</v>
      </c>
      <c r="E5" s="383" t="s">
        <v>417</v>
      </c>
      <c r="F5" s="383" t="s">
        <v>418</v>
      </c>
      <c r="G5" s="383" t="s">
        <v>419</v>
      </c>
      <c r="H5" s="382"/>
      <c r="I5" s="382"/>
      <c r="J5" s="382"/>
      <c r="K5" s="382"/>
      <c r="L5" s="382"/>
    </row>
    <row r="6" spans="1:12" ht="15.6" customHeight="1">
      <c r="A6" s="384" t="s">
        <v>420</v>
      </c>
      <c r="B6" s="384" t="s">
        <v>166</v>
      </c>
      <c r="C6" s="384" t="s">
        <v>166</v>
      </c>
      <c r="D6" s="384" t="s">
        <v>421</v>
      </c>
      <c r="E6" s="384" t="s">
        <v>135</v>
      </c>
      <c r="F6" s="384" t="s">
        <v>422</v>
      </c>
      <c r="G6" s="384" t="s">
        <v>422</v>
      </c>
      <c r="H6" s="382"/>
      <c r="I6" s="382"/>
      <c r="J6" s="382"/>
      <c r="K6" s="382"/>
      <c r="L6" s="382"/>
    </row>
    <row r="7" spans="1:12" ht="15.95" customHeight="1">
      <c r="A7" s="385" t="s">
        <v>452</v>
      </c>
      <c r="B7" s="385" t="s">
        <v>466</v>
      </c>
      <c r="C7" s="385" t="s">
        <v>478</v>
      </c>
      <c r="D7" s="385" t="s">
        <v>489</v>
      </c>
      <c r="E7" s="385" t="s">
        <v>501</v>
      </c>
      <c r="F7" s="385" t="s">
        <v>513</v>
      </c>
      <c r="G7" s="385" t="s">
        <v>525</v>
      </c>
      <c r="H7" s="382"/>
      <c r="I7" s="382"/>
      <c r="J7" s="382"/>
      <c r="K7" s="382"/>
      <c r="L7" s="382"/>
    </row>
    <row r="8" spans="1:12" ht="15.95" customHeight="1">
      <c r="A8" s="385" t="s">
        <v>453</v>
      </c>
      <c r="B8" s="385" t="s">
        <v>467</v>
      </c>
      <c r="C8" s="385" t="s">
        <v>479</v>
      </c>
      <c r="D8" s="385" t="s">
        <v>490</v>
      </c>
      <c r="E8" s="385" t="s">
        <v>502</v>
      </c>
      <c r="F8" s="385" t="s">
        <v>514</v>
      </c>
      <c r="G8" s="385" t="s">
        <v>526</v>
      </c>
      <c r="H8" s="382"/>
      <c r="I8" s="382"/>
      <c r="J8" s="382"/>
      <c r="K8" s="382"/>
      <c r="L8" s="382"/>
    </row>
    <row r="9" spans="1:12" ht="15.95" customHeight="1">
      <c r="A9" s="385" t="s">
        <v>454</v>
      </c>
      <c r="B9" s="385" t="s">
        <v>468</v>
      </c>
      <c r="C9" s="385" t="s">
        <v>480</v>
      </c>
      <c r="D9" s="385" t="s">
        <v>491</v>
      </c>
      <c r="E9" s="385" t="s">
        <v>503</v>
      </c>
      <c r="F9" s="385" t="s">
        <v>515</v>
      </c>
      <c r="G9" s="385" t="s">
        <v>527</v>
      </c>
      <c r="H9" s="382"/>
      <c r="I9" s="382"/>
      <c r="J9" s="382"/>
      <c r="K9" s="382"/>
      <c r="L9" s="382"/>
    </row>
    <row r="10" spans="1:12" ht="15.95" customHeight="1">
      <c r="A10" s="385" t="s">
        <v>455</v>
      </c>
      <c r="B10" s="385" t="s">
        <v>469</v>
      </c>
      <c r="C10" s="385" t="s">
        <v>480</v>
      </c>
      <c r="D10" s="385" t="s">
        <v>492</v>
      </c>
      <c r="E10" s="385" t="s">
        <v>504</v>
      </c>
      <c r="F10" s="385" t="s">
        <v>516</v>
      </c>
      <c r="G10" s="385" t="s">
        <v>528</v>
      </c>
      <c r="H10" s="382"/>
      <c r="I10" s="382"/>
      <c r="J10" s="382"/>
      <c r="K10" s="382"/>
      <c r="L10" s="382"/>
    </row>
    <row r="11" spans="1:12" ht="15.95" customHeight="1">
      <c r="A11" s="385" t="s">
        <v>456</v>
      </c>
      <c r="B11" s="385" t="s">
        <v>470</v>
      </c>
      <c r="C11" s="385" t="s">
        <v>481</v>
      </c>
      <c r="D11" s="385" t="s">
        <v>493</v>
      </c>
      <c r="E11" s="385" t="s">
        <v>505</v>
      </c>
      <c r="F11" s="385" t="s">
        <v>517</v>
      </c>
      <c r="G11" s="385" t="s">
        <v>529</v>
      </c>
      <c r="H11" s="382"/>
      <c r="I11" s="382"/>
      <c r="J11" s="382"/>
      <c r="K11" s="382"/>
      <c r="L11" s="382"/>
    </row>
    <row r="12" spans="1:12" ht="15.95" customHeight="1">
      <c r="A12" s="385" t="s">
        <v>457</v>
      </c>
      <c r="B12" s="385" t="s">
        <v>471</v>
      </c>
      <c r="C12" s="385" t="s">
        <v>482</v>
      </c>
      <c r="D12" s="385" t="s">
        <v>494</v>
      </c>
      <c r="E12" s="385" t="s">
        <v>506</v>
      </c>
      <c r="F12" s="385" t="s">
        <v>518</v>
      </c>
      <c r="G12" s="385" t="s">
        <v>530</v>
      </c>
      <c r="H12" s="382"/>
      <c r="I12" s="382"/>
      <c r="J12" s="382"/>
      <c r="K12" s="382"/>
      <c r="L12" s="382"/>
    </row>
    <row r="13" spans="1:12" ht="15.95" customHeight="1">
      <c r="A13" s="385" t="s">
        <v>458</v>
      </c>
      <c r="B13" s="385" t="s">
        <v>472</v>
      </c>
      <c r="C13" s="385" t="s">
        <v>483</v>
      </c>
      <c r="D13" s="385" t="s">
        <v>495</v>
      </c>
      <c r="E13" s="385" t="s">
        <v>507</v>
      </c>
      <c r="F13" s="385" t="s">
        <v>519</v>
      </c>
      <c r="G13" s="385" t="s">
        <v>531</v>
      </c>
      <c r="H13" s="382"/>
      <c r="I13" s="382"/>
      <c r="J13" s="382"/>
      <c r="K13" s="382"/>
      <c r="L13" s="382"/>
    </row>
    <row r="14" spans="1:12" ht="15.95" customHeight="1">
      <c r="A14" s="385" t="s">
        <v>459</v>
      </c>
      <c r="B14" s="385" t="s">
        <v>473</v>
      </c>
      <c r="C14" s="385" t="s">
        <v>484</v>
      </c>
      <c r="D14" s="385" t="s">
        <v>496</v>
      </c>
      <c r="E14" s="385" t="s">
        <v>508</v>
      </c>
      <c r="F14" s="385" t="s">
        <v>520</v>
      </c>
      <c r="G14" s="385" t="s">
        <v>532</v>
      </c>
      <c r="H14" s="382"/>
      <c r="I14" s="382"/>
      <c r="J14" s="382"/>
      <c r="K14" s="382"/>
      <c r="L14" s="382"/>
    </row>
    <row r="15" spans="1:12" ht="15.95" customHeight="1">
      <c r="A15" s="385" t="s">
        <v>460</v>
      </c>
      <c r="B15" s="385" t="s">
        <v>474</v>
      </c>
      <c r="C15" s="385" t="s">
        <v>485</v>
      </c>
      <c r="D15" s="385" t="s">
        <v>497</v>
      </c>
      <c r="E15" s="385" t="s">
        <v>509</v>
      </c>
      <c r="F15" s="385" t="s">
        <v>521</v>
      </c>
      <c r="G15" s="385" t="s">
        <v>533</v>
      </c>
      <c r="H15" s="382"/>
      <c r="I15" s="382"/>
      <c r="J15" s="382"/>
      <c r="K15" s="382"/>
      <c r="L15" s="382"/>
    </row>
    <row r="16" spans="1:12" ht="15.95" customHeight="1">
      <c r="A16" s="385" t="s">
        <v>461</v>
      </c>
      <c r="B16" s="385" t="s">
        <v>475</v>
      </c>
      <c r="C16" s="385" t="s">
        <v>486</v>
      </c>
      <c r="D16" s="385" t="s">
        <v>498</v>
      </c>
      <c r="E16" s="385" t="s">
        <v>510</v>
      </c>
      <c r="F16" s="385" t="s">
        <v>522</v>
      </c>
      <c r="G16" s="385" t="s">
        <v>534</v>
      </c>
      <c r="H16" s="382"/>
      <c r="I16" s="382"/>
      <c r="J16" s="382"/>
      <c r="K16" s="382"/>
      <c r="L16" s="382"/>
    </row>
    <row r="17" spans="1:12" ht="15.95" customHeight="1">
      <c r="A17" s="385" t="s">
        <v>462</v>
      </c>
      <c r="B17" s="385" t="s">
        <v>476</v>
      </c>
      <c r="C17" s="385" t="s">
        <v>487</v>
      </c>
      <c r="D17" s="385" t="s">
        <v>499</v>
      </c>
      <c r="E17" s="385" t="s">
        <v>511</v>
      </c>
      <c r="F17" s="385" t="s">
        <v>523</v>
      </c>
      <c r="G17" s="385" t="s">
        <v>535</v>
      </c>
      <c r="H17" s="382"/>
      <c r="I17" s="382"/>
      <c r="J17" s="382"/>
      <c r="K17" s="382"/>
      <c r="L17" s="382"/>
    </row>
    <row r="18" spans="1:12" ht="15.95" customHeight="1">
      <c r="A18" s="385" t="s">
        <v>463</v>
      </c>
      <c r="B18" s="385" t="s">
        <v>477</v>
      </c>
      <c r="C18" s="385" t="s">
        <v>488</v>
      </c>
      <c r="D18" s="385" t="s">
        <v>500</v>
      </c>
      <c r="E18" s="385" t="s">
        <v>512</v>
      </c>
      <c r="F18" s="385" t="s">
        <v>524</v>
      </c>
      <c r="G18" s="385" t="s">
        <v>536</v>
      </c>
      <c r="H18" s="382"/>
      <c r="I18" s="382"/>
      <c r="J18" s="382"/>
      <c r="K18" s="382"/>
      <c r="L18" s="382"/>
    </row>
    <row r="19" spans="1:12" ht="15.95" customHeight="1">
      <c r="A19" s="392" t="s">
        <v>464</v>
      </c>
      <c r="B19" s="392" t="s">
        <v>464</v>
      </c>
      <c r="C19" s="392" t="s">
        <v>464</v>
      </c>
      <c r="D19" s="392" t="s">
        <v>464</v>
      </c>
      <c r="E19" s="392" t="s">
        <v>464</v>
      </c>
      <c r="F19" s="392" t="s">
        <v>464</v>
      </c>
      <c r="G19" s="392" t="s">
        <v>464</v>
      </c>
      <c r="H19" s="382"/>
      <c r="I19" s="382"/>
      <c r="J19" s="382"/>
      <c r="K19" s="382"/>
      <c r="L19" s="382"/>
    </row>
    <row r="20" spans="1:12" ht="15.75">
      <c r="A20" s="382"/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382"/>
    </row>
    <row r="21" spans="1:12" ht="15.75">
      <c r="A21" s="382"/>
      <c r="B21" s="382"/>
      <c r="C21" s="382"/>
      <c r="D21" s="640" t="s">
        <v>546</v>
      </c>
      <c r="E21" s="641"/>
      <c r="F21" s="641"/>
      <c r="G21" s="642"/>
      <c r="H21" s="382"/>
      <c r="I21" s="382"/>
      <c r="J21" s="382"/>
      <c r="K21" s="382"/>
      <c r="L21" s="382"/>
    </row>
    <row r="22" spans="1:12" ht="17.25" customHeight="1">
      <c r="A22" s="382"/>
      <c r="B22" s="643" t="s">
        <v>423</v>
      </c>
      <c r="C22" s="643"/>
      <c r="D22" s="643" t="s">
        <v>424</v>
      </c>
      <c r="E22" s="643"/>
      <c r="F22" s="643" t="s">
        <v>425</v>
      </c>
      <c r="G22" s="643"/>
      <c r="H22" s="382"/>
      <c r="I22" s="382"/>
      <c r="J22" s="382"/>
      <c r="K22" s="382"/>
      <c r="L22" s="382"/>
    </row>
    <row r="23" spans="1:12" ht="15.75">
      <c r="A23" s="386" t="s">
        <v>426</v>
      </c>
      <c r="B23" s="638" t="s">
        <v>537</v>
      </c>
      <c r="C23" s="638"/>
      <c r="D23" s="638" t="s">
        <v>540</v>
      </c>
      <c r="E23" s="638"/>
      <c r="F23" s="638" t="s">
        <v>543</v>
      </c>
      <c r="G23" s="638"/>
      <c r="H23" s="382"/>
      <c r="I23" s="382"/>
      <c r="J23" s="382"/>
      <c r="K23" s="382"/>
      <c r="L23" s="382"/>
    </row>
    <row r="24" spans="1:12" ht="18" customHeight="1">
      <c r="A24" s="386" t="s">
        <v>427</v>
      </c>
      <c r="B24" s="638" t="s">
        <v>538</v>
      </c>
      <c r="C24" s="638"/>
      <c r="D24" s="638" t="s">
        <v>541</v>
      </c>
      <c r="E24" s="638"/>
      <c r="F24" s="638" t="s">
        <v>544</v>
      </c>
      <c r="G24" s="638"/>
      <c r="H24" s="382"/>
      <c r="I24" s="382"/>
      <c r="J24" s="382"/>
      <c r="K24" s="382"/>
      <c r="L24" s="382"/>
    </row>
    <row r="25" spans="1:12" ht="15.75">
      <c r="A25" s="386" t="s">
        <v>428</v>
      </c>
      <c r="B25" s="638" t="s">
        <v>539</v>
      </c>
      <c r="C25" s="638"/>
      <c r="D25" s="638" t="s">
        <v>542</v>
      </c>
      <c r="E25" s="638"/>
      <c r="F25" s="638" t="s">
        <v>545</v>
      </c>
      <c r="G25" s="638"/>
      <c r="H25" s="382"/>
      <c r="I25" s="382"/>
      <c r="J25" s="382"/>
      <c r="K25" s="382"/>
      <c r="L25" s="382"/>
    </row>
    <row r="26" spans="1:12" ht="15.75">
      <c r="A26" s="382"/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382"/>
    </row>
    <row r="27" spans="1:12" ht="20.25">
      <c r="A27" s="381" t="s">
        <v>429</v>
      </c>
      <c r="B27" s="382"/>
      <c r="C27" s="382"/>
      <c r="D27" s="382"/>
      <c r="E27" s="382"/>
      <c r="F27" s="382"/>
      <c r="G27" s="382"/>
      <c r="H27" s="382"/>
      <c r="I27" s="382"/>
      <c r="J27" s="382"/>
      <c r="K27" s="382"/>
      <c r="L27" s="382"/>
    </row>
    <row r="28" spans="1:12" ht="15.75">
      <c r="A28" s="382"/>
      <c r="B28" s="382"/>
      <c r="C28" s="382"/>
      <c r="D28" s="382"/>
      <c r="E28" s="644" t="s">
        <v>430</v>
      </c>
      <c r="F28" s="641"/>
      <c r="G28" s="642"/>
      <c r="H28" s="382"/>
      <c r="I28" s="382"/>
      <c r="J28" s="382"/>
      <c r="K28" s="382"/>
      <c r="L28" s="382"/>
    </row>
    <row r="29" spans="1:12" ht="15.75">
      <c r="A29" s="382"/>
      <c r="B29" s="643" t="s">
        <v>431</v>
      </c>
      <c r="C29" s="643"/>
      <c r="D29" s="387" t="s">
        <v>432</v>
      </c>
      <c r="E29" s="387" t="s">
        <v>433</v>
      </c>
      <c r="F29" s="643" t="s">
        <v>434</v>
      </c>
      <c r="G29" s="643"/>
      <c r="H29" s="382"/>
      <c r="I29" s="382"/>
      <c r="J29" s="382"/>
      <c r="K29" s="382"/>
      <c r="L29" s="382"/>
    </row>
    <row r="30" spans="1:12" ht="15.75">
      <c r="A30" s="386" t="s">
        <v>435</v>
      </c>
      <c r="B30" s="638" t="s">
        <v>547</v>
      </c>
      <c r="C30" s="638"/>
      <c r="D30" s="385" t="s">
        <v>550</v>
      </c>
      <c r="E30" s="385" t="s">
        <v>436</v>
      </c>
      <c r="F30" s="638" t="s">
        <v>553</v>
      </c>
      <c r="G30" s="638"/>
      <c r="H30" s="382"/>
      <c r="I30" s="382"/>
      <c r="J30" s="382"/>
      <c r="K30" s="382"/>
      <c r="L30" s="382"/>
    </row>
    <row r="31" spans="1:12" ht="15.75">
      <c r="A31" s="386" t="s">
        <v>437</v>
      </c>
      <c r="B31" s="638" t="s">
        <v>548</v>
      </c>
      <c r="C31" s="638"/>
      <c r="D31" s="385" t="s">
        <v>551</v>
      </c>
      <c r="E31" s="385" t="s">
        <v>438</v>
      </c>
      <c r="F31" s="638" t="s">
        <v>554</v>
      </c>
      <c r="G31" s="638"/>
      <c r="H31" s="382"/>
      <c r="I31" s="382"/>
      <c r="J31" s="382"/>
      <c r="K31" s="382"/>
      <c r="L31" s="382"/>
    </row>
    <row r="32" spans="1:12" ht="15.75">
      <c r="A32" s="386" t="s">
        <v>439</v>
      </c>
      <c r="B32" s="638" t="s">
        <v>549</v>
      </c>
      <c r="C32" s="638"/>
      <c r="D32" s="385" t="s">
        <v>552</v>
      </c>
      <c r="E32" s="385" t="s">
        <v>440</v>
      </c>
      <c r="F32" s="638" t="s">
        <v>555</v>
      </c>
      <c r="G32" s="638"/>
      <c r="H32" s="382"/>
      <c r="I32" s="382"/>
      <c r="J32" s="382"/>
      <c r="K32" s="382"/>
      <c r="L32" s="382"/>
    </row>
    <row r="33" spans="1:12" ht="15.75">
      <c r="A33" s="382"/>
      <c r="B33" s="382"/>
      <c r="C33" s="382"/>
      <c r="D33" s="382"/>
      <c r="E33" s="382"/>
      <c r="F33" s="382"/>
      <c r="G33" s="382"/>
      <c r="H33" s="382"/>
      <c r="I33" s="382"/>
      <c r="J33" s="382"/>
      <c r="K33" s="382"/>
      <c r="L33" s="382"/>
    </row>
    <row r="34" spans="1:12" ht="15.75">
      <c r="A34" s="382"/>
      <c r="B34" s="382"/>
      <c r="C34" s="382"/>
      <c r="D34" s="382"/>
      <c r="E34" s="644" t="s">
        <v>441</v>
      </c>
      <c r="F34" s="641"/>
      <c r="G34" s="642"/>
      <c r="H34" s="382"/>
      <c r="I34" s="382"/>
      <c r="J34" s="382"/>
      <c r="K34" s="382"/>
      <c r="L34" s="382"/>
    </row>
    <row r="35" spans="1:12" ht="15.75">
      <c r="A35" s="382"/>
      <c r="B35" s="643" t="s">
        <v>442</v>
      </c>
      <c r="C35" s="643"/>
      <c r="D35" s="387" t="s">
        <v>433</v>
      </c>
      <c r="E35" s="387" t="s">
        <v>443</v>
      </c>
      <c r="F35" s="387" t="s">
        <v>100</v>
      </c>
      <c r="G35" s="387" t="s">
        <v>444</v>
      </c>
      <c r="H35" s="382"/>
      <c r="I35" s="382"/>
      <c r="J35" s="382"/>
      <c r="K35" s="382"/>
      <c r="L35" s="382"/>
    </row>
    <row r="36" spans="1:12" ht="15.75">
      <c r="A36" s="386" t="s">
        <v>435</v>
      </c>
      <c r="B36" s="645" t="s">
        <v>556</v>
      </c>
      <c r="C36" s="646"/>
      <c r="D36" s="388" t="s">
        <v>558</v>
      </c>
      <c r="E36" s="388" t="s">
        <v>445</v>
      </c>
      <c r="F36" s="389" t="s">
        <v>446</v>
      </c>
      <c r="G36" s="385" t="s">
        <v>561</v>
      </c>
      <c r="H36" s="382"/>
      <c r="I36" s="382"/>
      <c r="J36" s="382"/>
      <c r="K36" s="382"/>
      <c r="L36" s="382"/>
    </row>
    <row r="37" spans="1:12" ht="15.75">
      <c r="A37" s="386" t="s">
        <v>437</v>
      </c>
      <c r="B37" s="645" t="s">
        <v>557</v>
      </c>
      <c r="C37" s="646"/>
      <c r="D37" s="388" t="s">
        <v>559</v>
      </c>
      <c r="E37" s="388" t="s">
        <v>445</v>
      </c>
      <c r="F37" s="389" t="s">
        <v>447</v>
      </c>
      <c r="G37" s="390" t="s">
        <v>562</v>
      </c>
      <c r="H37" s="382"/>
      <c r="I37" s="382"/>
      <c r="J37" s="382"/>
      <c r="K37" s="382"/>
      <c r="L37" s="382"/>
    </row>
    <row r="38" spans="1:12" ht="15.75">
      <c r="A38" s="386" t="s">
        <v>439</v>
      </c>
      <c r="B38" s="645" t="s">
        <v>557</v>
      </c>
      <c r="C38" s="646"/>
      <c r="D38" s="388" t="s">
        <v>560</v>
      </c>
      <c r="E38" s="388" t="s">
        <v>445</v>
      </c>
      <c r="F38" s="389" t="s">
        <v>448</v>
      </c>
      <c r="G38" s="385" t="s">
        <v>563</v>
      </c>
      <c r="H38" s="382"/>
      <c r="I38" s="382"/>
      <c r="J38" s="382"/>
      <c r="K38" s="382"/>
      <c r="L38" s="382"/>
    </row>
    <row r="39" spans="1:12" ht="15.75">
      <c r="A39" s="382"/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</row>
    <row r="40" spans="1:12" ht="15.75">
      <c r="A40" s="391" t="s">
        <v>449</v>
      </c>
      <c r="B40" s="647" t="s">
        <v>564</v>
      </c>
      <c r="C40" s="647"/>
      <c r="D40" s="648" t="s">
        <v>450</v>
      </c>
      <c r="E40" s="648"/>
      <c r="F40" s="647" t="s">
        <v>565</v>
      </c>
      <c r="G40" s="647"/>
      <c r="H40" s="382"/>
      <c r="I40" s="382"/>
      <c r="J40" s="382"/>
      <c r="K40" s="382"/>
      <c r="L40" s="382"/>
    </row>
    <row r="41" spans="1:12" ht="15.75">
      <c r="A41" s="382"/>
      <c r="B41" s="382"/>
      <c r="C41" s="382"/>
      <c r="D41" s="382"/>
      <c r="E41" s="382"/>
      <c r="F41" s="382"/>
      <c r="G41" s="382"/>
      <c r="H41" s="382"/>
      <c r="I41" s="382"/>
      <c r="J41" s="382"/>
      <c r="K41" s="382"/>
      <c r="L41" s="382"/>
    </row>
    <row r="42" spans="1:12" ht="15.75">
      <c r="A42" s="382"/>
      <c r="B42" s="382"/>
      <c r="C42" s="382"/>
      <c r="D42" s="382"/>
      <c r="E42" s="382"/>
      <c r="F42" s="382"/>
      <c r="G42" s="382"/>
      <c r="H42" s="382"/>
      <c r="I42" s="382"/>
      <c r="J42" s="382"/>
      <c r="K42" s="382"/>
      <c r="L42" s="382"/>
    </row>
    <row r="43" spans="1:12" ht="15.75">
      <c r="A43" s="382"/>
      <c r="B43" s="382"/>
      <c r="C43" s="382"/>
      <c r="D43" s="382"/>
      <c r="E43" s="382"/>
      <c r="F43" s="382"/>
      <c r="G43" s="382"/>
      <c r="H43" s="382"/>
      <c r="I43" s="382"/>
      <c r="J43" s="382"/>
      <c r="K43" s="382"/>
      <c r="L43" s="382"/>
    </row>
    <row r="44" spans="1:12" ht="15.75">
      <c r="A44" s="382"/>
      <c r="B44" s="382"/>
      <c r="C44" s="382"/>
      <c r="D44" s="382"/>
      <c r="E44" s="382"/>
      <c r="F44" s="382"/>
      <c r="G44" s="382"/>
      <c r="H44" s="382"/>
      <c r="I44" s="382"/>
      <c r="J44" s="382"/>
      <c r="K44" s="382"/>
      <c r="L44" s="382"/>
    </row>
    <row r="45" spans="1:12" ht="15.75">
      <c r="A45" s="382"/>
      <c r="B45" s="382"/>
      <c r="C45" s="382"/>
      <c r="D45" s="382"/>
      <c r="E45" s="382"/>
      <c r="F45" s="382"/>
      <c r="G45" s="382"/>
      <c r="H45" s="382"/>
      <c r="I45" s="382"/>
      <c r="J45" s="382"/>
      <c r="K45" s="382"/>
      <c r="L45" s="382"/>
    </row>
    <row r="46" spans="1:12" ht="15.75">
      <c r="A46" s="382"/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2"/>
    </row>
    <row r="47" spans="1:12" ht="15.75">
      <c r="A47" s="382"/>
      <c r="B47" s="382"/>
      <c r="C47" s="382"/>
      <c r="D47" s="382"/>
      <c r="E47" s="382"/>
      <c r="F47" s="382"/>
      <c r="G47" s="382"/>
      <c r="H47" s="382"/>
      <c r="I47" s="382"/>
      <c r="J47" s="382"/>
      <c r="K47" s="382"/>
      <c r="L47" s="382"/>
    </row>
    <row r="48" spans="1:12" ht="15.75">
      <c r="A48" s="382"/>
      <c r="B48" s="382"/>
      <c r="C48" s="382"/>
      <c r="D48" s="382"/>
      <c r="E48" s="382"/>
      <c r="F48" s="382"/>
      <c r="G48" s="382"/>
      <c r="H48" s="382"/>
      <c r="I48" s="382"/>
      <c r="J48" s="382"/>
      <c r="K48" s="382"/>
      <c r="L48" s="382"/>
    </row>
    <row r="49" spans="1:12" ht="15.75">
      <c r="A49" s="382"/>
      <c r="B49" s="382"/>
      <c r="C49" s="382"/>
      <c r="D49" s="382"/>
      <c r="E49" s="382"/>
      <c r="F49" s="382"/>
      <c r="G49" s="382"/>
      <c r="H49" s="382"/>
      <c r="I49" s="382"/>
      <c r="J49" s="382"/>
      <c r="K49" s="382"/>
      <c r="L49" s="382"/>
    </row>
    <row r="50" spans="1:12" ht="15.75">
      <c r="A50" s="382"/>
      <c r="B50" s="382"/>
      <c r="C50" s="382"/>
      <c r="D50" s="382"/>
      <c r="E50" s="382"/>
      <c r="F50" s="382"/>
      <c r="G50" s="382"/>
      <c r="H50" s="382"/>
      <c r="I50" s="382"/>
      <c r="J50" s="382"/>
      <c r="K50" s="382"/>
      <c r="L50" s="382"/>
    </row>
    <row r="51" spans="1:12" ht="15.75">
      <c r="A51" s="382"/>
      <c r="B51" s="382"/>
      <c r="C51" s="382"/>
      <c r="D51" s="382"/>
      <c r="E51" s="382"/>
      <c r="F51" s="382"/>
      <c r="G51" s="382"/>
      <c r="H51" s="382"/>
      <c r="I51" s="382"/>
      <c r="J51" s="382"/>
      <c r="K51" s="382"/>
      <c r="L51" s="382"/>
    </row>
    <row r="52" spans="1:12" ht="15.75">
      <c r="A52" s="382"/>
      <c r="B52" s="382"/>
      <c r="C52" s="382"/>
      <c r="D52" s="382"/>
      <c r="E52" s="382"/>
      <c r="F52" s="382"/>
      <c r="G52" s="382"/>
      <c r="H52" s="382"/>
      <c r="I52" s="382"/>
      <c r="J52" s="382"/>
      <c r="K52" s="382"/>
      <c r="L52" s="382"/>
    </row>
    <row r="53" spans="1:12" ht="15.75">
      <c r="A53" s="382"/>
      <c r="B53" s="382"/>
      <c r="C53" s="382"/>
      <c r="D53" s="382"/>
      <c r="E53" s="382"/>
      <c r="F53" s="382"/>
      <c r="G53" s="382"/>
      <c r="H53" s="382"/>
      <c r="I53" s="382"/>
      <c r="J53" s="382"/>
      <c r="K53" s="382"/>
      <c r="L53" s="382"/>
    </row>
    <row r="54" spans="1:12" ht="15.75">
      <c r="A54" s="382"/>
      <c r="B54" s="382"/>
      <c r="C54" s="382"/>
      <c r="D54" s="382"/>
      <c r="E54" s="382"/>
      <c r="F54" s="382"/>
      <c r="G54" s="382"/>
      <c r="H54" s="382"/>
      <c r="I54" s="382"/>
      <c r="J54" s="382"/>
      <c r="K54" s="382"/>
      <c r="L54" s="382"/>
    </row>
    <row r="55" spans="1:12" ht="15.75">
      <c r="A55" s="382"/>
      <c r="B55" s="382"/>
      <c r="C55" s="382"/>
      <c r="D55" s="382"/>
      <c r="E55" s="382"/>
      <c r="F55" s="382"/>
      <c r="G55" s="382"/>
      <c r="H55" s="382"/>
      <c r="I55" s="382"/>
      <c r="J55" s="382"/>
      <c r="K55" s="382"/>
      <c r="L55" s="382"/>
    </row>
    <row r="56" spans="1:12" ht="15.75">
      <c r="A56" s="382"/>
      <c r="B56" s="382"/>
      <c r="C56" s="382"/>
      <c r="D56" s="382"/>
      <c r="E56" s="382"/>
      <c r="F56" s="382"/>
      <c r="G56" s="382"/>
      <c r="H56" s="382"/>
      <c r="I56" s="382"/>
      <c r="J56" s="382"/>
      <c r="K56" s="382"/>
      <c r="L56" s="382"/>
    </row>
    <row r="57" spans="1:12" ht="15.75">
      <c r="A57" s="382"/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>
      <c r="A59" s="382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2"/>
    </row>
    <row r="60" spans="1:12" ht="15.75">
      <c r="A60" s="382"/>
      <c r="B60" s="382"/>
      <c r="C60" s="382"/>
      <c r="D60" s="382"/>
      <c r="E60" s="382"/>
      <c r="F60" s="382"/>
      <c r="G60" s="382"/>
      <c r="H60" s="382"/>
      <c r="I60" s="382"/>
      <c r="J60" s="382"/>
      <c r="K60" s="382"/>
      <c r="L60" s="382"/>
    </row>
    <row r="61" spans="1:12" ht="15.75">
      <c r="A61" s="382"/>
      <c r="B61" s="382"/>
      <c r="C61" s="382"/>
      <c r="D61" s="382"/>
      <c r="E61" s="382"/>
      <c r="F61" s="382"/>
      <c r="G61" s="382"/>
      <c r="H61" s="382"/>
      <c r="I61" s="382"/>
      <c r="J61" s="382"/>
      <c r="K61" s="382"/>
      <c r="L61" s="382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" transitionEvaluation="1"/>
  <dimension ref="A1:N120"/>
  <sheetViews>
    <sheetView showGridLines="0" zoomScaleNormal="100" workbookViewId="0">
      <selection activeCell="K17" sqref="K17"/>
    </sheetView>
  </sheetViews>
  <sheetFormatPr defaultColWidth="12.5703125" defaultRowHeight="15.75"/>
  <cols>
    <col min="1" max="13" width="7" style="446" customWidth="1"/>
    <col min="14" max="14" width="7.140625" style="446" customWidth="1"/>
    <col min="15" max="16384" width="12.5703125" style="446"/>
  </cols>
  <sheetData>
    <row r="1" spans="1:14" ht="17.100000000000001" customHeight="1">
      <c r="A1" s="439" t="s">
        <v>271</v>
      </c>
      <c r="B1" s="440"/>
      <c r="C1" s="440"/>
      <c r="D1" s="440"/>
      <c r="E1" s="440"/>
      <c r="F1" s="440"/>
      <c r="G1" s="440"/>
      <c r="H1" s="440"/>
      <c r="I1" s="440"/>
      <c r="J1" s="441" t="s">
        <v>598</v>
      </c>
      <c r="K1" s="442"/>
      <c r="L1" s="443" t="s">
        <v>599</v>
      </c>
      <c r="M1" s="444"/>
      <c r="N1" s="445"/>
    </row>
    <row r="2" spans="1:14" ht="17.100000000000001" customHeight="1">
      <c r="A2" s="447" t="s">
        <v>600</v>
      </c>
      <c r="B2" s="448"/>
      <c r="C2" s="448"/>
      <c r="D2" s="448"/>
      <c r="E2" s="448"/>
      <c r="F2" s="448"/>
      <c r="G2" s="448"/>
      <c r="H2" s="448"/>
      <c r="I2" s="448"/>
      <c r="J2" s="449" t="s">
        <v>601</v>
      </c>
      <c r="K2" s="450"/>
      <c r="L2" s="451" t="s">
        <v>602</v>
      </c>
      <c r="M2" s="452"/>
      <c r="N2" s="445"/>
    </row>
    <row r="3" spans="1:14" ht="15.95" customHeight="1">
      <c r="A3" s="453"/>
      <c r="B3" s="454"/>
      <c r="C3" s="454"/>
      <c r="D3" s="454"/>
      <c r="E3" s="454"/>
      <c r="F3" s="454"/>
      <c r="G3" s="454"/>
      <c r="H3" s="454"/>
      <c r="I3" s="454"/>
      <c r="J3" s="449" t="s">
        <v>603</v>
      </c>
      <c r="K3" s="450"/>
      <c r="L3" s="455" t="s">
        <v>604</v>
      </c>
      <c r="M3" s="452"/>
      <c r="N3" s="445"/>
    </row>
    <row r="4" spans="1:14" ht="15.95" customHeight="1">
      <c r="A4" s="456"/>
      <c r="B4" s="454"/>
      <c r="C4" s="454"/>
      <c r="D4" s="454"/>
      <c r="E4" s="454"/>
      <c r="F4" s="454"/>
      <c r="G4" s="454"/>
      <c r="H4" s="454"/>
      <c r="I4" s="454"/>
      <c r="J4" s="449" t="s">
        <v>605</v>
      </c>
      <c r="K4" s="450"/>
      <c r="L4" s="455" t="s">
        <v>606</v>
      </c>
      <c r="M4" s="452"/>
      <c r="N4" s="445"/>
    </row>
    <row r="5" spans="1:14" ht="15.95" customHeight="1">
      <c r="A5" s="453"/>
      <c r="B5" s="454"/>
      <c r="C5" s="454"/>
      <c r="D5" s="454"/>
      <c r="E5" s="454"/>
      <c r="F5" s="454"/>
      <c r="G5" s="454"/>
      <c r="H5" s="454"/>
      <c r="I5" s="454"/>
      <c r="J5" s="449" t="s">
        <v>607</v>
      </c>
      <c r="K5" s="450"/>
      <c r="L5" s="451">
        <v>2</v>
      </c>
      <c r="M5" s="452"/>
      <c r="N5" s="445"/>
    </row>
    <row r="6" spans="1:14" ht="15.95" customHeight="1">
      <c r="A6" s="457" t="s">
        <v>608</v>
      </c>
      <c r="B6" s="454"/>
      <c r="C6" s="454"/>
      <c r="D6" s="454"/>
      <c r="E6" s="454"/>
      <c r="F6" s="454"/>
      <c r="G6" s="454"/>
      <c r="H6" s="454"/>
      <c r="I6" s="454"/>
      <c r="J6" s="449" t="s">
        <v>609</v>
      </c>
      <c r="K6" s="450"/>
      <c r="L6" s="451" t="s">
        <v>610</v>
      </c>
      <c r="M6" s="452"/>
      <c r="N6" s="445"/>
    </row>
    <row r="7" spans="1:14" ht="15.95" customHeight="1" thickBot="1">
      <c r="A7" s="458" t="s">
        <v>611</v>
      </c>
      <c r="B7" s="459"/>
      <c r="C7" s="459"/>
      <c r="D7" s="459"/>
      <c r="E7" s="459"/>
      <c r="F7" s="459"/>
      <c r="G7" s="459"/>
      <c r="H7" s="459"/>
      <c r="I7" s="459"/>
      <c r="J7" s="460" t="s">
        <v>612</v>
      </c>
      <c r="K7" s="461"/>
      <c r="L7" s="462" t="s">
        <v>613</v>
      </c>
      <c r="M7" s="463"/>
      <c r="N7" s="445"/>
    </row>
    <row r="8" spans="1:14" ht="15.95" customHeight="1">
      <c r="A8" s="464"/>
      <c r="B8" s="454"/>
      <c r="C8" s="454"/>
      <c r="D8" s="454"/>
      <c r="E8" s="454"/>
      <c r="F8" s="454"/>
      <c r="G8" s="454"/>
      <c r="H8" s="454"/>
      <c r="I8" s="454"/>
      <c r="J8" s="454"/>
      <c r="K8" s="465"/>
      <c r="L8" s="466"/>
      <c r="M8" s="467"/>
      <c r="N8" s="454"/>
    </row>
    <row r="9" spans="1:14" ht="12" customHeight="1">
      <c r="A9" s="468"/>
      <c r="B9" s="469" t="s">
        <v>614</v>
      </c>
      <c r="C9" s="470" t="s">
        <v>175</v>
      </c>
      <c r="D9" s="471"/>
      <c r="E9" s="471"/>
      <c r="F9" s="471"/>
      <c r="G9" s="471"/>
      <c r="H9" s="471"/>
      <c r="I9" s="471"/>
      <c r="J9" s="471"/>
      <c r="K9" s="472"/>
      <c r="L9" s="468"/>
      <c r="M9" s="471"/>
      <c r="N9" s="454"/>
    </row>
    <row r="10" spans="1:14" ht="12" customHeight="1">
      <c r="A10" s="468"/>
      <c r="B10" s="469" t="s">
        <v>615</v>
      </c>
      <c r="C10" s="473" t="s">
        <v>175</v>
      </c>
      <c r="D10" s="468"/>
      <c r="E10" s="468"/>
      <c r="F10" s="468"/>
      <c r="G10" s="468"/>
      <c r="H10" s="468"/>
      <c r="I10" s="468"/>
      <c r="J10" s="468"/>
      <c r="K10" s="468"/>
      <c r="L10" s="468"/>
      <c r="M10" s="468"/>
      <c r="N10" s="466"/>
    </row>
    <row r="11" spans="1:14" ht="16.5" thickBot="1">
      <c r="A11" s="466"/>
      <c r="B11" s="466"/>
      <c r="C11" s="466"/>
      <c r="D11" s="466"/>
      <c r="E11" s="466"/>
      <c r="F11" s="466"/>
      <c r="G11" s="466"/>
      <c r="H11" s="466"/>
      <c r="I11" s="466"/>
      <c r="J11" s="466"/>
      <c r="K11" s="466"/>
      <c r="L11" s="466"/>
      <c r="M11" s="466"/>
      <c r="N11" s="466"/>
    </row>
    <row r="12" spans="1:14" ht="20.100000000000001" customHeight="1" thickBot="1">
      <c r="A12" s="474" t="s">
        <v>616</v>
      </c>
      <c r="B12" s="475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476"/>
      <c r="N12" s="445"/>
    </row>
    <row r="13" spans="1:14" ht="12.95" customHeight="1" thickTop="1">
      <c r="A13" s="477"/>
      <c r="B13" s="469" t="s">
        <v>617</v>
      </c>
      <c r="C13" s="478">
        <v>450</v>
      </c>
      <c r="D13" s="468"/>
      <c r="E13" s="469" t="s">
        <v>618</v>
      </c>
      <c r="F13" s="478">
        <v>4000</v>
      </c>
      <c r="G13" s="468"/>
      <c r="H13" s="469" t="s">
        <v>619</v>
      </c>
      <c r="I13" s="478" t="s">
        <v>704</v>
      </c>
      <c r="J13" s="468"/>
      <c r="K13" s="468"/>
      <c r="L13" s="469" t="s">
        <v>620</v>
      </c>
      <c r="M13" s="479">
        <v>3600</v>
      </c>
      <c r="N13" s="445"/>
    </row>
    <row r="14" spans="1:14" ht="12.95" customHeight="1">
      <c r="A14" s="477"/>
      <c r="B14" s="469" t="s">
        <v>621</v>
      </c>
      <c r="C14" s="470" t="s">
        <v>194</v>
      </c>
      <c r="D14" s="468"/>
      <c r="E14" s="469" t="s">
        <v>622</v>
      </c>
      <c r="F14" s="480" t="s">
        <v>705</v>
      </c>
      <c r="G14" s="468"/>
      <c r="H14" s="469" t="s">
        <v>623</v>
      </c>
      <c r="I14" s="478">
        <v>60</v>
      </c>
      <c r="J14" s="468"/>
      <c r="K14" s="468"/>
      <c r="L14" s="469" t="s">
        <v>578</v>
      </c>
      <c r="M14" s="479">
        <v>3560</v>
      </c>
      <c r="N14" s="445"/>
    </row>
    <row r="15" spans="1:14" ht="12.95" customHeight="1">
      <c r="A15" s="477"/>
      <c r="B15" s="469" t="s">
        <v>624</v>
      </c>
      <c r="C15" s="478" t="s">
        <v>193</v>
      </c>
      <c r="D15" s="468"/>
      <c r="E15" s="469" t="s">
        <v>625</v>
      </c>
      <c r="F15" s="481" t="s">
        <v>706</v>
      </c>
      <c r="G15" s="468"/>
      <c r="H15" s="469" t="s">
        <v>626</v>
      </c>
      <c r="I15" s="480" t="s">
        <v>322</v>
      </c>
      <c r="J15" s="468"/>
      <c r="K15" s="468"/>
      <c r="L15" s="469" t="s">
        <v>627</v>
      </c>
      <c r="M15" s="479" t="s">
        <v>365</v>
      </c>
      <c r="N15" s="445"/>
    </row>
    <row r="16" spans="1:14" ht="12.95" customHeight="1">
      <c r="A16" s="477"/>
      <c r="B16" s="469" t="s">
        <v>628</v>
      </c>
      <c r="C16" s="478" t="s">
        <v>703</v>
      </c>
      <c r="D16" s="468"/>
      <c r="E16" s="469" t="s">
        <v>629</v>
      </c>
      <c r="F16" s="478" t="s">
        <v>445</v>
      </c>
      <c r="G16" s="468"/>
      <c r="H16" s="482" t="s">
        <v>630</v>
      </c>
      <c r="I16" s="483" t="s">
        <v>387</v>
      </c>
      <c r="J16" s="468"/>
      <c r="K16" s="468"/>
      <c r="L16" s="469" t="s">
        <v>631</v>
      </c>
      <c r="M16" s="479" t="s">
        <v>632</v>
      </c>
      <c r="N16" s="445"/>
    </row>
    <row r="17" spans="1:14" ht="12.95" customHeight="1">
      <c r="A17" s="477"/>
      <c r="B17" s="469" t="s">
        <v>633</v>
      </c>
      <c r="C17" s="470" t="s">
        <v>390</v>
      </c>
      <c r="D17" s="468"/>
      <c r="E17" s="469"/>
      <c r="F17" s="480"/>
      <c r="G17" s="468"/>
      <c r="H17" s="469" t="s">
        <v>634</v>
      </c>
      <c r="I17" s="483" t="s">
        <v>175</v>
      </c>
      <c r="J17" s="468"/>
      <c r="K17" s="468"/>
      <c r="L17" s="469"/>
      <c r="M17" s="484"/>
      <c r="N17" s="445"/>
    </row>
    <row r="18" spans="1:14" ht="12.95" customHeight="1" thickBot="1">
      <c r="A18" s="485"/>
      <c r="B18" s="486" t="s">
        <v>635</v>
      </c>
      <c r="C18" s="487" t="s">
        <v>175</v>
      </c>
      <c r="D18" s="488"/>
      <c r="E18" s="486" t="s">
        <v>636</v>
      </c>
      <c r="F18" s="487" t="s">
        <v>175</v>
      </c>
      <c r="G18" s="489"/>
      <c r="H18" s="486" t="s">
        <v>637</v>
      </c>
      <c r="I18" s="487" t="s">
        <v>175</v>
      </c>
      <c r="J18" s="488"/>
      <c r="K18" s="488"/>
      <c r="L18" s="488"/>
      <c r="M18" s="490"/>
      <c r="N18" s="445"/>
    </row>
    <row r="19" spans="1:14" ht="16.5" thickBot="1">
      <c r="A19" s="445"/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</row>
    <row r="20" spans="1:14" ht="20.100000000000001" customHeight="1" thickBot="1">
      <c r="A20" s="474"/>
      <c r="B20" s="475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476"/>
    </row>
    <row r="21" spans="1:14" ht="15.95" customHeight="1" thickTop="1">
      <c r="A21" s="491" t="s">
        <v>638</v>
      </c>
      <c r="B21" s="492"/>
      <c r="C21" s="466"/>
      <c r="D21" s="493"/>
      <c r="E21" s="494" t="s">
        <v>639</v>
      </c>
      <c r="F21" s="495"/>
      <c r="G21" s="495"/>
      <c r="H21" s="496"/>
      <c r="I21" s="497" t="s">
        <v>640</v>
      </c>
      <c r="J21" s="495"/>
      <c r="K21" s="495"/>
      <c r="L21" s="466"/>
      <c r="M21" s="498"/>
    </row>
    <row r="22" spans="1:14" ht="15.95" customHeight="1">
      <c r="A22" s="499"/>
      <c r="B22" s="468"/>
      <c r="C22" s="469" t="s">
        <v>641</v>
      </c>
      <c r="D22" s="500">
        <v>374</v>
      </c>
      <c r="E22" s="469"/>
      <c r="G22" s="482" t="s">
        <v>642</v>
      </c>
      <c r="H22" s="501">
        <v>664</v>
      </c>
      <c r="I22" s="469"/>
      <c r="J22" s="468"/>
      <c r="K22" s="469" t="s">
        <v>643</v>
      </c>
      <c r="L22" s="468" t="s">
        <v>644</v>
      </c>
      <c r="M22" s="484"/>
    </row>
    <row r="23" spans="1:14" ht="15.95" customHeight="1">
      <c r="A23" s="499"/>
      <c r="B23" s="469"/>
      <c r="C23" s="472"/>
      <c r="D23" s="502"/>
      <c r="E23" s="469"/>
      <c r="G23" s="469" t="s">
        <v>645</v>
      </c>
      <c r="H23" s="500">
        <v>125</v>
      </c>
      <c r="I23" s="468"/>
      <c r="J23" s="468"/>
      <c r="K23" s="469" t="s">
        <v>646</v>
      </c>
      <c r="L23" s="468" t="s">
        <v>644</v>
      </c>
      <c r="M23" s="484"/>
    </row>
    <row r="24" spans="1:14" ht="15.95" customHeight="1">
      <c r="A24" s="477"/>
      <c r="B24" s="469"/>
      <c r="C24" s="468"/>
      <c r="D24" s="502"/>
      <c r="E24" s="469"/>
      <c r="G24" s="482" t="s">
        <v>647</v>
      </c>
      <c r="H24" s="500">
        <v>275</v>
      </c>
      <c r="I24" s="468"/>
      <c r="J24" s="469"/>
      <c r="K24" s="468"/>
      <c r="L24" s="468"/>
      <c r="M24" s="484"/>
    </row>
    <row r="25" spans="1:14" ht="15.95" customHeight="1" thickBot="1">
      <c r="A25" s="485"/>
      <c r="B25" s="486"/>
      <c r="C25" s="488"/>
      <c r="D25" s="503"/>
      <c r="E25" s="486"/>
      <c r="F25" s="486"/>
      <c r="G25" s="486"/>
      <c r="H25" s="504"/>
      <c r="I25" s="488"/>
      <c r="J25" s="486"/>
      <c r="K25" s="488"/>
      <c r="L25" s="488"/>
      <c r="M25" s="490"/>
    </row>
    <row r="26" spans="1:14" ht="18.95" customHeight="1" thickBot="1">
      <c r="A26" s="464"/>
      <c r="B26" s="464"/>
      <c r="C26" s="464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</row>
    <row r="27" spans="1:14" ht="20.100000000000001" customHeight="1" thickBot="1">
      <c r="A27" s="505"/>
      <c r="B27" s="506"/>
      <c r="C27" s="506"/>
      <c r="D27" s="506"/>
      <c r="E27" s="506"/>
      <c r="F27" s="506"/>
      <c r="G27" s="507"/>
      <c r="H27" s="506"/>
      <c r="I27" s="506"/>
      <c r="J27" s="506"/>
      <c r="K27" s="506"/>
      <c r="L27" s="506"/>
      <c r="M27" s="508"/>
    </row>
    <row r="28" spans="1:14" ht="15.95" customHeight="1" thickTop="1">
      <c r="A28" s="509" t="s">
        <v>648</v>
      </c>
      <c r="B28" s="492"/>
      <c r="C28" s="466"/>
      <c r="D28" s="466"/>
      <c r="E28" s="495"/>
      <c r="F28" s="495"/>
      <c r="G28" s="510"/>
      <c r="H28" s="494" t="s">
        <v>649</v>
      </c>
      <c r="I28" s="495"/>
      <c r="J28" s="495"/>
      <c r="K28" s="494"/>
      <c r="L28" s="495"/>
      <c r="M28" s="498"/>
    </row>
    <row r="29" spans="1:14" ht="15.95" customHeight="1">
      <c r="A29" s="477"/>
      <c r="B29" s="469"/>
      <c r="C29" s="469" t="s">
        <v>650</v>
      </c>
      <c r="D29" s="511">
        <v>94</v>
      </c>
      <c r="E29" s="469"/>
      <c r="F29" s="469"/>
      <c r="G29" s="510"/>
      <c r="H29" s="482"/>
      <c r="I29" s="469"/>
      <c r="J29" s="469" t="s">
        <v>650</v>
      </c>
      <c r="K29" s="511">
        <v>86</v>
      </c>
      <c r="L29" s="468"/>
      <c r="M29" s="484"/>
    </row>
    <row r="30" spans="1:14" ht="15.95" customHeight="1">
      <c r="A30" s="512"/>
      <c r="B30" s="468"/>
      <c r="C30" s="469" t="s">
        <v>651</v>
      </c>
      <c r="D30" s="511">
        <v>93.7</v>
      </c>
      <c r="E30" s="469"/>
      <c r="F30" s="469"/>
      <c r="G30" s="510"/>
      <c r="H30" s="469"/>
      <c r="I30" s="468"/>
      <c r="J30" s="469" t="s">
        <v>651</v>
      </c>
      <c r="K30" s="511">
        <v>83.1</v>
      </c>
      <c r="L30" s="468"/>
      <c r="M30" s="484"/>
    </row>
    <row r="31" spans="1:14" ht="15.95" customHeight="1">
      <c r="A31" s="477"/>
      <c r="B31" s="469"/>
      <c r="C31" s="469" t="s">
        <v>652</v>
      </c>
      <c r="D31" s="511">
        <v>92.5</v>
      </c>
      <c r="E31" s="469"/>
      <c r="F31" s="469"/>
      <c r="G31" s="510"/>
      <c r="H31" s="469"/>
      <c r="I31" s="468"/>
      <c r="J31" s="469" t="s">
        <v>652</v>
      </c>
      <c r="K31" s="511">
        <v>75.7</v>
      </c>
      <c r="L31" s="469"/>
      <c r="M31" s="484"/>
    </row>
    <row r="32" spans="1:14" ht="15.95" customHeight="1" thickBot="1">
      <c r="A32" s="485"/>
      <c r="B32" s="486"/>
      <c r="C32" s="488"/>
      <c r="D32" s="488"/>
      <c r="E32" s="486"/>
      <c r="F32" s="486"/>
      <c r="G32" s="513"/>
      <c r="H32" s="486"/>
      <c r="I32" s="488"/>
      <c r="J32" s="486"/>
      <c r="K32" s="488"/>
      <c r="L32" s="486"/>
      <c r="M32" s="490"/>
    </row>
    <row r="33" spans="1:14" ht="20.100000000000001" customHeight="1" thickBot="1">
      <c r="A33" s="514"/>
      <c r="B33" s="514"/>
      <c r="C33" s="514"/>
      <c r="D33" s="514"/>
      <c r="E33" s="514"/>
      <c r="F33" s="514"/>
      <c r="G33" s="514"/>
      <c r="H33" s="514"/>
      <c r="I33" s="514"/>
      <c r="J33" s="514"/>
      <c r="K33" s="514"/>
      <c r="L33" s="514"/>
      <c r="M33" s="514"/>
      <c r="N33" s="514"/>
    </row>
    <row r="34" spans="1:14" ht="20.100000000000001" customHeight="1" thickBot="1">
      <c r="A34" s="515"/>
      <c r="B34" s="516"/>
      <c r="C34" s="516"/>
      <c r="D34" s="516"/>
      <c r="E34" s="516"/>
      <c r="F34" s="516"/>
      <c r="G34" s="516"/>
      <c r="H34" s="516"/>
      <c r="I34" s="516"/>
      <c r="J34" s="516"/>
      <c r="K34" s="516"/>
      <c r="L34" s="516"/>
      <c r="M34" s="517"/>
    </row>
    <row r="35" spans="1:14" ht="15.95" customHeight="1" thickTop="1">
      <c r="A35" s="518" t="s">
        <v>653</v>
      </c>
      <c r="B35" s="472"/>
      <c r="C35" s="472"/>
      <c r="D35" s="472"/>
      <c r="E35" s="472"/>
      <c r="F35" s="472"/>
      <c r="G35" s="472"/>
      <c r="H35" s="472"/>
      <c r="I35" s="472"/>
      <c r="J35" s="472"/>
      <c r="K35" s="472"/>
      <c r="L35" s="472"/>
      <c r="M35" s="519"/>
    </row>
    <row r="36" spans="1:14" ht="15.95" customHeight="1">
      <c r="A36" s="512" t="s">
        <v>654</v>
      </c>
      <c r="B36" s="472"/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519"/>
    </row>
    <row r="37" spans="1:14" ht="15.95" customHeight="1">
      <c r="A37" s="520" t="s">
        <v>655</v>
      </c>
      <c r="B37" s="472"/>
      <c r="C37" s="472"/>
      <c r="D37" s="472"/>
      <c r="E37" s="521"/>
      <c r="F37" s="472"/>
      <c r="G37" s="472"/>
      <c r="H37" s="472"/>
      <c r="I37" s="472"/>
      <c r="J37" s="472"/>
      <c r="K37" s="472"/>
      <c r="L37" s="472"/>
      <c r="M37" s="519"/>
    </row>
    <row r="38" spans="1:14" ht="15.95" customHeight="1">
      <c r="A38" s="522" t="s">
        <v>656</v>
      </c>
      <c r="B38" s="472"/>
      <c r="C38" s="472"/>
      <c r="D38" s="472"/>
      <c r="E38" s="472"/>
      <c r="F38" s="472"/>
      <c r="G38" s="472"/>
      <c r="H38" s="472"/>
      <c r="I38" s="472"/>
      <c r="J38" s="472"/>
      <c r="K38" s="472"/>
      <c r="L38" s="472"/>
      <c r="M38" s="519"/>
    </row>
    <row r="39" spans="1:14" ht="15.95" customHeight="1">
      <c r="A39" s="523" t="s">
        <v>657</v>
      </c>
      <c r="B39" s="472"/>
      <c r="C39" s="472"/>
      <c r="D39" s="472"/>
      <c r="E39" s="472"/>
      <c r="F39" s="472"/>
      <c r="G39" s="472"/>
      <c r="H39" s="472"/>
      <c r="I39" s="472"/>
      <c r="J39" s="472"/>
      <c r="K39" s="472"/>
      <c r="L39" s="472"/>
      <c r="M39" s="519"/>
    </row>
    <row r="40" spans="1:14" ht="15.95" customHeight="1" thickBot="1">
      <c r="A40" s="524" t="s">
        <v>658</v>
      </c>
      <c r="B40" s="525"/>
      <c r="C40" s="525"/>
      <c r="D40" s="525"/>
      <c r="E40" s="525"/>
      <c r="F40" s="525"/>
      <c r="G40" s="525"/>
      <c r="H40" s="525"/>
      <c r="I40" s="525"/>
      <c r="J40" s="525"/>
      <c r="K40" s="525"/>
      <c r="L40" s="525"/>
      <c r="M40" s="526"/>
    </row>
    <row r="41" spans="1:14" ht="15.95" customHeight="1"/>
    <row r="42" spans="1:14" ht="18">
      <c r="A42" s="527"/>
      <c r="B42" s="527"/>
      <c r="C42" s="527"/>
      <c r="D42" s="527"/>
      <c r="E42" s="527"/>
      <c r="F42" s="527"/>
      <c r="G42" s="527"/>
      <c r="H42" s="445"/>
      <c r="I42" s="445"/>
      <c r="J42" s="528" t="s">
        <v>659</v>
      </c>
      <c r="K42" s="649" t="s">
        <v>660</v>
      </c>
      <c r="L42" s="649"/>
      <c r="M42" s="649"/>
      <c r="N42" s="527"/>
    </row>
    <row r="43" spans="1:14" ht="7.5" customHeight="1">
      <c r="H43" s="445"/>
      <c r="I43" s="445"/>
      <c r="J43" s="445"/>
      <c r="K43" s="445"/>
      <c r="L43" s="445"/>
      <c r="M43" s="445"/>
    </row>
    <row r="44" spans="1:14" ht="16.5">
      <c r="H44" s="445"/>
      <c r="I44" s="445"/>
      <c r="J44" s="528" t="s">
        <v>661</v>
      </c>
      <c r="K44" s="650">
        <v>43307</v>
      </c>
      <c r="L44" s="650"/>
      <c r="M44" s="650"/>
    </row>
    <row r="59" spans="1:5">
      <c r="A59" s="446" t="s">
        <v>175</v>
      </c>
      <c r="B59" s="446" t="s">
        <v>662</v>
      </c>
      <c r="D59" s="446">
        <v>1</v>
      </c>
      <c r="E59" s="529" t="s">
        <v>175</v>
      </c>
    </row>
    <row r="60" spans="1:5">
      <c r="A60" s="446" t="s">
        <v>663</v>
      </c>
      <c r="B60" s="446" t="s">
        <v>664</v>
      </c>
      <c r="D60" s="446">
        <v>1.1499999999999999</v>
      </c>
      <c r="E60" s="529" t="s">
        <v>184</v>
      </c>
    </row>
    <row r="61" spans="1:5">
      <c r="A61" s="446" t="s">
        <v>665</v>
      </c>
      <c r="B61" s="446" t="s">
        <v>666</v>
      </c>
      <c r="E61" s="529" t="s">
        <v>322</v>
      </c>
    </row>
    <row r="62" spans="1:5">
      <c r="B62" s="446" t="s">
        <v>667</v>
      </c>
    </row>
    <row r="63" spans="1:5">
      <c r="B63" s="446" t="s">
        <v>668</v>
      </c>
    </row>
    <row r="64" spans="1:5">
      <c r="B64" s="446" t="s">
        <v>669</v>
      </c>
    </row>
    <row r="65" spans="2:2">
      <c r="B65" s="446" t="s">
        <v>670</v>
      </c>
    </row>
    <row r="66" spans="2:2">
      <c r="B66" s="446" t="s">
        <v>671</v>
      </c>
    </row>
    <row r="67" spans="2:2">
      <c r="B67" s="446" t="s">
        <v>672</v>
      </c>
    </row>
    <row r="68" spans="2:2">
      <c r="B68" s="446" t="s">
        <v>673</v>
      </c>
    </row>
    <row r="69" spans="2:2">
      <c r="B69" s="446" t="s">
        <v>674</v>
      </c>
    </row>
    <row r="70" spans="2:2">
      <c r="B70" s="446" t="s">
        <v>675</v>
      </c>
    </row>
    <row r="71" spans="2:2">
      <c r="B71" s="446" t="s">
        <v>676</v>
      </c>
    </row>
    <row r="72" spans="2:2">
      <c r="B72" s="446" t="s">
        <v>677</v>
      </c>
    </row>
    <row r="73" spans="2:2">
      <c r="B73" s="446" t="s">
        <v>678</v>
      </c>
    </row>
    <row r="74" spans="2:2">
      <c r="B74" s="446" t="s">
        <v>679</v>
      </c>
    </row>
    <row r="75" spans="2:2">
      <c r="B75" s="446" t="s">
        <v>680</v>
      </c>
    </row>
    <row r="76" spans="2:2">
      <c r="B76" s="446" t="s">
        <v>681</v>
      </c>
    </row>
    <row r="77" spans="2:2">
      <c r="B77" s="446" t="s">
        <v>682</v>
      </c>
    </row>
    <row r="78" spans="2:2">
      <c r="B78" s="446" t="s">
        <v>683</v>
      </c>
    </row>
    <row r="79" spans="2:2">
      <c r="B79" s="446" t="s">
        <v>684</v>
      </c>
    </row>
    <row r="80" spans="2:2">
      <c r="B80" s="446">
        <v>6312</v>
      </c>
    </row>
    <row r="81" spans="2:2">
      <c r="B81" s="446" t="s">
        <v>685</v>
      </c>
    </row>
    <row r="82" spans="2:2">
      <c r="B82" s="446" t="s">
        <v>686</v>
      </c>
    </row>
    <row r="83" spans="2:2">
      <c r="B83" s="446" t="s">
        <v>687</v>
      </c>
    </row>
    <row r="84" spans="2:2">
      <c r="B84" s="446" t="s">
        <v>688</v>
      </c>
    </row>
    <row r="85" spans="2:2">
      <c r="B85" s="446">
        <v>6313</v>
      </c>
    </row>
    <row r="86" spans="2:2">
      <c r="B86" s="446" t="s">
        <v>689</v>
      </c>
    </row>
    <row r="87" spans="2:2">
      <c r="B87" s="446" t="s">
        <v>690</v>
      </c>
    </row>
    <row r="88" spans="2:2">
      <c r="B88" s="446" t="s">
        <v>691</v>
      </c>
    </row>
    <row r="89" spans="2:2">
      <c r="B89" s="446">
        <v>6314</v>
      </c>
    </row>
    <row r="90" spans="2:2">
      <c r="B90" s="446" t="s">
        <v>692</v>
      </c>
    </row>
    <row r="91" spans="2:2">
      <c r="B91" s="446">
        <v>6317</v>
      </c>
    </row>
    <row r="92" spans="2:2">
      <c r="B92" s="446" t="s">
        <v>693</v>
      </c>
    </row>
    <row r="93" spans="2:2">
      <c r="B93" s="446">
        <v>6318</v>
      </c>
    </row>
    <row r="94" spans="2:2">
      <c r="B94" s="446" t="s">
        <v>694</v>
      </c>
    </row>
    <row r="95" spans="2:2">
      <c r="B95" s="446" t="s">
        <v>695</v>
      </c>
    </row>
    <row r="96" spans="2:2">
      <c r="B96" s="446" t="s">
        <v>696</v>
      </c>
    </row>
    <row r="97" spans="2:2">
      <c r="B97" s="446">
        <v>6320</v>
      </c>
    </row>
    <row r="98" spans="2:2">
      <c r="B98" s="446" t="s">
        <v>697</v>
      </c>
    </row>
    <row r="99" spans="2:2">
      <c r="B99" s="446" t="s">
        <v>698</v>
      </c>
    </row>
    <row r="100" spans="2:2">
      <c r="B100" s="446" t="s">
        <v>699</v>
      </c>
    </row>
    <row r="101" spans="2:2">
      <c r="B101" s="446" t="s">
        <v>700</v>
      </c>
    </row>
    <row r="102" spans="2:2">
      <c r="B102" s="446" t="s">
        <v>700</v>
      </c>
    </row>
    <row r="118" spans="2:2">
      <c r="B118" s="446" t="s">
        <v>701</v>
      </c>
    </row>
    <row r="120" spans="2:2">
      <c r="B120" s="446" t="s">
        <v>702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7"/>
  <sheetViews>
    <sheetView workbookViewId="0">
      <selection activeCell="K20" sqref="K20"/>
    </sheetView>
  </sheetViews>
  <sheetFormatPr defaultColWidth="9.140625" defaultRowHeight="12.75"/>
  <cols>
    <col min="1" max="6" width="16.7109375" style="380" customWidth="1"/>
    <col min="7" max="16384" width="9.140625" style="380"/>
  </cols>
  <sheetData>
    <row r="1" spans="1:6" ht="18.95" customHeight="1">
      <c r="A1" s="393"/>
      <c r="B1" s="394"/>
      <c r="C1" s="394"/>
      <c r="D1" s="394"/>
      <c r="E1" s="394"/>
      <c r="F1" s="395"/>
    </row>
    <row r="2" spans="1:6" ht="26.1" customHeight="1">
      <c r="A2" s="396" t="s">
        <v>271</v>
      </c>
      <c r="B2" s="397"/>
      <c r="C2" s="397"/>
      <c r="D2" s="397"/>
      <c r="E2" s="397"/>
      <c r="F2" s="398"/>
    </row>
    <row r="3" spans="1:6" ht="18.95" customHeight="1">
      <c r="A3" s="399" t="s">
        <v>566</v>
      </c>
      <c r="B3" s="397"/>
      <c r="C3" s="397"/>
      <c r="D3" s="397"/>
      <c r="E3" s="397"/>
      <c r="F3" s="398"/>
    </row>
    <row r="4" spans="1:6" ht="18.95" customHeight="1">
      <c r="A4" s="400"/>
      <c r="B4" s="401"/>
      <c r="C4" s="401"/>
      <c r="D4" s="401"/>
      <c r="E4" s="401"/>
      <c r="F4" s="402"/>
    </row>
    <row r="5" spans="1:6" ht="18.95" customHeight="1">
      <c r="A5" s="400"/>
      <c r="B5" s="401"/>
      <c r="C5" s="401"/>
      <c r="D5" s="401"/>
      <c r="E5" s="401"/>
      <c r="F5" s="402"/>
    </row>
    <row r="6" spans="1:6" ht="18.95" customHeight="1">
      <c r="A6" s="403" t="s">
        <v>567</v>
      </c>
      <c r="B6" s="651" t="str">
        <f>'Performance Data Sheet'!C17</f>
        <v>4501WTAL11E-AH</v>
      </c>
      <c r="C6" s="652"/>
      <c r="D6" s="653"/>
      <c r="E6" s="403" t="s">
        <v>568</v>
      </c>
      <c r="F6" s="404">
        <f>'Performance Data Sheet'!I14</f>
        <v>60</v>
      </c>
    </row>
    <row r="7" spans="1:6" ht="18.95" customHeight="1">
      <c r="A7" s="403" t="s">
        <v>569</v>
      </c>
      <c r="B7" s="404" t="str">
        <f>'Performance Data Sheet'!F14</f>
        <v>WP-II</v>
      </c>
      <c r="C7" s="403" t="s">
        <v>570</v>
      </c>
      <c r="D7" s="404" t="str">
        <f>'Performance Data Sheet'!F13 &amp; " V"</f>
        <v>4000 V</v>
      </c>
      <c r="E7" s="403" t="s">
        <v>571</v>
      </c>
      <c r="F7" s="404" t="str">
        <f>'Performance Data Sheet'!C14</f>
        <v>5012USS</v>
      </c>
    </row>
    <row r="8" spans="1:6" ht="18.95" customHeight="1">
      <c r="A8" s="403" t="s">
        <v>572</v>
      </c>
      <c r="B8" s="404">
        <v>2</v>
      </c>
      <c r="C8" s="403" t="s">
        <v>573</v>
      </c>
      <c r="D8" s="404" t="s">
        <v>574</v>
      </c>
      <c r="E8" s="403" t="s">
        <v>575</v>
      </c>
      <c r="F8" s="404" t="str">
        <f>'Performance Data Sheet'!M15</f>
        <v>F</v>
      </c>
    </row>
    <row r="9" spans="1:6" ht="18.95" customHeight="1">
      <c r="A9" s="403" t="s">
        <v>576</v>
      </c>
      <c r="B9" s="404">
        <f>'Performance Data Sheet'!C13</f>
        <v>450</v>
      </c>
      <c r="C9" s="403" t="s">
        <v>577</v>
      </c>
      <c r="D9" s="404" t="s">
        <v>587</v>
      </c>
      <c r="E9" s="403" t="s">
        <v>2</v>
      </c>
      <c r="F9" s="405">
        <f>'Performance Data Sheet'!K44</f>
        <v>43307</v>
      </c>
    </row>
    <row r="10" spans="1:6" ht="18.95" customHeight="1">
      <c r="A10" s="403" t="s">
        <v>578</v>
      </c>
      <c r="B10" s="404">
        <f>'Performance Data Sheet'!M14</f>
        <v>3560</v>
      </c>
      <c r="C10" s="403" t="s">
        <v>404</v>
      </c>
      <c r="D10" s="404" t="s">
        <v>588</v>
      </c>
      <c r="E10" s="403" t="s">
        <v>1</v>
      </c>
      <c r="F10" s="404" t="s">
        <v>381</v>
      </c>
    </row>
    <row r="11" spans="1:6" ht="18.95" customHeight="1">
      <c r="A11" s="400"/>
      <c r="B11" s="401"/>
      <c r="C11" s="401"/>
      <c r="D11" s="401"/>
      <c r="E11" s="401"/>
      <c r="F11" s="402"/>
    </row>
    <row r="12" spans="1:6" ht="18.95" customHeight="1">
      <c r="A12" s="400"/>
      <c r="B12" s="406" t="s">
        <v>579</v>
      </c>
      <c r="C12" s="407" t="str">
        <f>'Performance Data Sheet'!D22 &amp; " A"</f>
        <v>374 A</v>
      </c>
      <c r="D12" s="406" t="s">
        <v>403</v>
      </c>
      <c r="E12" s="407" t="s">
        <v>407</v>
      </c>
      <c r="F12" s="402"/>
    </row>
    <row r="13" spans="1:6" ht="18.95" customHeight="1">
      <c r="A13" s="400"/>
      <c r="B13" s="406" t="s">
        <v>580</v>
      </c>
      <c r="C13" s="408">
        <f>'Performance Data Sheet'!H23/100</f>
        <v>1.25</v>
      </c>
      <c r="D13" s="406" t="s">
        <v>581</v>
      </c>
      <c r="E13" s="407" t="s">
        <v>589</v>
      </c>
      <c r="F13" s="402"/>
    </row>
    <row r="14" spans="1:6" ht="18.95" customHeight="1">
      <c r="A14" s="400"/>
      <c r="B14" s="406" t="s">
        <v>582</v>
      </c>
      <c r="C14" s="408">
        <v>2.75</v>
      </c>
      <c r="D14" s="406" t="s">
        <v>405</v>
      </c>
      <c r="E14" s="407" t="s">
        <v>410</v>
      </c>
      <c r="F14" s="402"/>
    </row>
    <row r="15" spans="1:6" ht="18.95" customHeight="1">
      <c r="A15" s="400"/>
      <c r="B15" s="406" t="s">
        <v>406</v>
      </c>
      <c r="C15" s="407" t="str">
        <f>'Performance Data Sheet'!H22 &amp; " lb-ft"</f>
        <v>664 lb-ft</v>
      </c>
      <c r="D15" s="401"/>
      <c r="E15" s="401"/>
      <c r="F15" s="402"/>
    </row>
    <row r="16" spans="1:6" ht="18.95" customHeight="1">
      <c r="A16" s="400"/>
      <c r="B16" s="401"/>
      <c r="C16" s="401"/>
      <c r="D16" s="401"/>
      <c r="E16" s="401"/>
      <c r="F16" s="402"/>
    </row>
    <row r="17" spans="1:6" ht="18.95" customHeight="1">
      <c r="A17" s="400"/>
      <c r="B17" s="401"/>
      <c r="C17" s="401"/>
      <c r="D17" s="401"/>
      <c r="E17" s="401"/>
      <c r="F17" s="402"/>
    </row>
    <row r="18" spans="1:6" ht="18.95" customHeight="1">
      <c r="A18" s="400"/>
      <c r="B18" s="401"/>
      <c r="C18" s="401"/>
      <c r="D18" s="401"/>
      <c r="E18" s="401"/>
      <c r="F18" s="402"/>
    </row>
    <row r="19" spans="1:6" ht="18.95" customHeight="1">
      <c r="A19" s="400"/>
      <c r="B19" s="401"/>
      <c r="C19" s="401"/>
      <c r="D19" s="401"/>
      <c r="E19" s="401"/>
      <c r="F19" s="402"/>
    </row>
    <row r="20" spans="1:6" ht="18.95" customHeight="1">
      <c r="A20" s="400"/>
      <c r="B20" s="401"/>
      <c r="C20" s="401"/>
      <c r="D20" s="401"/>
      <c r="E20" s="401"/>
      <c r="F20" s="402"/>
    </row>
    <row r="21" spans="1:6" ht="18.95" customHeight="1">
      <c r="A21" s="400"/>
      <c r="B21" s="401"/>
      <c r="C21" s="401"/>
      <c r="D21" s="401"/>
      <c r="E21" s="401"/>
      <c r="F21" s="402"/>
    </row>
    <row r="22" spans="1:6" ht="18.95" customHeight="1">
      <c r="A22" s="400"/>
      <c r="B22" s="401"/>
      <c r="C22" s="401"/>
      <c r="D22" s="401"/>
      <c r="E22" s="401"/>
      <c r="F22" s="402"/>
    </row>
    <row r="23" spans="1:6" ht="18.95" customHeight="1">
      <c r="A23" s="400"/>
      <c r="B23" s="401"/>
      <c r="C23" s="401"/>
      <c r="D23" s="401"/>
      <c r="E23" s="401"/>
      <c r="F23" s="402"/>
    </row>
    <row r="24" spans="1:6" ht="18.95" customHeight="1">
      <c r="A24" s="400"/>
      <c r="B24" s="401"/>
      <c r="C24" s="401"/>
      <c r="D24" s="401"/>
      <c r="E24" s="401"/>
      <c r="F24" s="402"/>
    </row>
    <row r="25" spans="1:6" ht="18.95" customHeight="1">
      <c r="A25" s="400"/>
      <c r="B25" s="401"/>
      <c r="C25" s="401"/>
      <c r="D25" s="401"/>
      <c r="E25" s="401"/>
      <c r="F25" s="402"/>
    </row>
    <row r="26" spans="1:6" ht="18.95" customHeight="1">
      <c r="A26" s="400"/>
      <c r="B26" s="401"/>
      <c r="C26" s="401"/>
      <c r="D26" s="401"/>
      <c r="E26" s="401"/>
      <c r="F26" s="402"/>
    </row>
    <row r="27" spans="1:6" ht="18.95" customHeight="1">
      <c r="A27" s="400"/>
      <c r="B27" s="401"/>
      <c r="C27" s="401"/>
      <c r="D27" s="401"/>
      <c r="E27" s="401"/>
      <c r="F27" s="402"/>
    </row>
    <row r="28" spans="1:6" ht="18.95" customHeight="1">
      <c r="A28" s="400"/>
      <c r="B28" s="401"/>
      <c r="C28" s="401"/>
      <c r="D28" s="401"/>
      <c r="E28" s="401"/>
      <c r="F28" s="402"/>
    </row>
    <row r="29" spans="1:6" ht="18.95" customHeight="1">
      <c r="A29" s="400"/>
      <c r="B29" s="401"/>
      <c r="C29" s="401"/>
      <c r="D29" s="401"/>
      <c r="E29" s="401"/>
      <c r="F29" s="402"/>
    </row>
    <row r="30" spans="1:6" ht="18.95" customHeight="1">
      <c r="A30" s="400"/>
      <c r="B30" s="401"/>
      <c r="C30" s="401"/>
      <c r="D30" s="401"/>
      <c r="E30" s="401"/>
      <c r="F30" s="402"/>
    </row>
    <row r="31" spans="1:6" ht="18.95" customHeight="1">
      <c r="A31" s="400"/>
      <c r="B31" s="401"/>
      <c r="C31" s="401"/>
      <c r="D31" s="401"/>
      <c r="E31" s="401"/>
      <c r="F31" s="402"/>
    </row>
    <row r="32" spans="1:6" ht="18.95" customHeight="1">
      <c r="A32" s="400"/>
      <c r="B32" s="401"/>
      <c r="C32" s="401"/>
      <c r="D32" s="401"/>
      <c r="E32" s="401"/>
      <c r="F32" s="402"/>
    </row>
    <row r="33" spans="1:6" ht="18.95" customHeight="1">
      <c r="A33" s="400"/>
      <c r="B33" s="401"/>
      <c r="C33" s="401"/>
      <c r="D33" s="401"/>
      <c r="E33" s="401"/>
      <c r="F33" s="402"/>
    </row>
    <row r="34" spans="1:6" ht="18.95" customHeight="1">
      <c r="A34" s="400"/>
      <c r="B34" s="401"/>
      <c r="C34" s="401"/>
      <c r="D34" s="401"/>
      <c r="E34" s="401"/>
      <c r="F34" s="402"/>
    </row>
    <row r="35" spans="1:6" ht="18.95" customHeight="1">
      <c r="A35" s="400"/>
      <c r="B35" s="401"/>
      <c r="C35" s="401"/>
      <c r="D35" s="401"/>
      <c r="E35" s="401"/>
      <c r="F35" s="402"/>
    </row>
    <row r="36" spans="1:6" ht="18.95" customHeight="1">
      <c r="A36" s="400"/>
      <c r="B36" s="401"/>
      <c r="C36" s="401"/>
      <c r="D36" s="401"/>
      <c r="E36" s="401"/>
      <c r="F36" s="402"/>
    </row>
    <row r="37" spans="1:6" ht="18.95" customHeight="1">
      <c r="A37" s="400"/>
      <c r="B37" s="401"/>
      <c r="C37" s="401"/>
      <c r="D37" s="401"/>
      <c r="E37" s="401"/>
      <c r="F37" s="402"/>
    </row>
    <row r="38" spans="1:6" ht="18.95" customHeight="1">
      <c r="A38" s="400"/>
      <c r="B38" s="401"/>
      <c r="C38" s="401"/>
      <c r="D38" s="401"/>
      <c r="E38" s="401"/>
      <c r="F38" s="402"/>
    </row>
    <row r="39" spans="1:6" ht="18.95" customHeight="1">
      <c r="A39" s="409" t="s">
        <v>583</v>
      </c>
      <c r="B39" s="410" t="s">
        <v>372</v>
      </c>
      <c r="C39" s="530" t="str">
        <f>'Performance Data Sheet'!C10</f>
        <v>-</v>
      </c>
      <c r="D39" s="401"/>
      <c r="E39" s="406" t="s">
        <v>584</v>
      </c>
      <c r="F39" s="411" t="str">
        <f>F10</f>
        <v>1T2450K</v>
      </c>
    </row>
    <row r="40" spans="1:6" ht="18.95" customHeight="1">
      <c r="A40" s="400"/>
      <c r="B40" s="410"/>
      <c r="C40" s="410"/>
      <c r="D40" s="401"/>
      <c r="E40" s="401"/>
      <c r="F40" s="402"/>
    </row>
    <row r="41" spans="1:6" ht="18.95" customHeight="1">
      <c r="A41" s="400"/>
      <c r="B41" s="410"/>
      <c r="C41" s="410"/>
      <c r="D41" s="401"/>
      <c r="E41" s="401"/>
      <c r="F41" s="402"/>
    </row>
    <row r="42" spans="1:6" ht="18.95" customHeight="1">
      <c r="A42" s="400"/>
      <c r="B42" s="401"/>
      <c r="C42" s="401"/>
      <c r="D42" s="401"/>
      <c r="E42" s="401"/>
      <c r="F42" s="402"/>
    </row>
    <row r="43" spans="1:6" ht="18.95" customHeight="1">
      <c r="A43" s="412"/>
      <c r="B43" s="410"/>
      <c r="C43" s="413" t="s">
        <v>585</v>
      </c>
      <c r="D43" s="414" t="str">
        <f>'Performance Data Sheet'!K42</f>
        <v>Zichao Xie</v>
      </c>
      <c r="E43" s="413" t="s">
        <v>586</v>
      </c>
      <c r="F43" s="41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65" t="s">
        <v>402</v>
      </c>
      <c r="E53" s="365"/>
      <c r="F53" s="365"/>
      <c r="G53" s="365"/>
      <c r="H53" s="365"/>
      <c r="I53" s="365"/>
      <c r="J53" s="365"/>
      <c r="K53" s="365"/>
      <c r="L53" s="365"/>
    </row>
    <row r="54" spans="1:12" ht="15" customHeight="1">
      <c r="A54" s="369">
        <v>100</v>
      </c>
      <c r="B54" s="365">
        <v>0</v>
      </c>
      <c r="C54" s="365">
        <v>0.29391905665397644</v>
      </c>
      <c r="D54" s="365">
        <v>100</v>
      </c>
      <c r="E54" s="365"/>
      <c r="F54" s="365"/>
      <c r="G54" s="365"/>
      <c r="H54" s="365"/>
      <c r="I54" s="365"/>
      <c r="J54" s="365"/>
      <c r="K54" s="365"/>
      <c r="L54" s="365"/>
    </row>
    <row r="55" spans="1:12" ht="15" customHeight="1">
      <c r="A55" s="369">
        <v>98.980000056326389</v>
      </c>
      <c r="B55" s="365">
        <v>87.951374512068853</v>
      </c>
      <c r="C55" s="365">
        <v>93.295494079589844</v>
      </c>
      <c r="D55" s="365">
        <v>97.943672180175781</v>
      </c>
      <c r="E55" s="365"/>
      <c r="F55" s="365"/>
      <c r="G55" s="365"/>
      <c r="H55" s="365"/>
      <c r="I55" s="365"/>
      <c r="J55" s="365"/>
      <c r="K55" s="365"/>
      <c r="L55" s="365"/>
    </row>
    <row r="56" spans="1:12" ht="15" customHeight="1">
      <c r="A56" s="369">
        <v>94.900000095367432</v>
      </c>
      <c r="B56" s="365">
        <v>275</v>
      </c>
      <c r="C56" s="365">
        <v>349.620361328125</v>
      </c>
      <c r="D56" s="365">
        <v>86.735130310058594</v>
      </c>
      <c r="E56" s="365"/>
      <c r="F56" s="365"/>
      <c r="G56" s="365"/>
      <c r="H56" s="365"/>
      <c r="I56" s="365"/>
      <c r="J56" s="365"/>
      <c r="K56" s="365"/>
      <c r="L56" s="365"/>
    </row>
    <row r="57" spans="1:12">
      <c r="A57" s="369">
        <v>89.90769237279892</v>
      </c>
      <c r="B57" s="365">
        <v>227.24464603590593</v>
      </c>
      <c r="C57" s="365">
        <v>483.703369140625</v>
      </c>
      <c r="D57" s="365">
        <v>73.756523132324219</v>
      </c>
      <c r="E57" s="365"/>
      <c r="F57" s="365"/>
      <c r="G57" s="365"/>
      <c r="H57" s="365"/>
      <c r="I57" s="365"/>
      <c r="J57" s="365"/>
      <c r="K57" s="365"/>
      <c r="L57" s="365"/>
    </row>
    <row r="58" spans="1:12">
      <c r="A58" s="369">
        <v>84.915384650230408</v>
      </c>
      <c r="B58" s="365">
        <v>172.81028269323079</v>
      </c>
      <c r="C58" s="365">
        <v>534.4578857421875</v>
      </c>
      <c r="D58" s="365">
        <v>60.811622619628906</v>
      </c>
      <c r="E58" s="365"/>
      <c r="F58" s="365"/>
      <c r="G58" s="365"/>
      <c r="H58" s="365"/>
      <c r="I58" s="365"/>
      <c r="J58" s="365"/>
      <c r="K58" s="365"/>
      <c r="L58" s="365"/>
    </row>
    <row r="59" spans="1:12">
      <c r="A59" s="369">
        <v>79.923076927661896</v>
      </c>
      <c r="B59" s="365">
        <v>142.57393371864859</v>
      </c>
      <c r="C59" s="365">
        <v>558.19232177734375</v>
      </c>
      <c r="D59" s="365">
        <v>49.868709564208984</v>
      </c>
      <c r="E59" s="365"/>
      <c r="F59" s="365"/>
      <c r="G59" s="365"/>
      <c r="H59" s="365"/>
      <c r="I59" s="365"/>
      <c r="J59" s="365"/>
      <c r="K59" s="365"/>
      <c r="L59" s="365"/>
    </row>
    <row r="60" spans="1:12">
      <c r="A60" s="369">
        <v>69.938459992408752</v>
      </c>
      <c r="B60" s="365">
        <v>121.78323420904758</v>
      </c>
      <c r="C60" s="365">
        <v>580.45697021484375</v>
      </c>
      <c r="D60" s="365">
        <v>32.932079315185547</v>
      </c>
      <c r="E60" s="365"/>
      <c r="F60" s="365"/>
      <c r="G60" s="365"/>
      <c r="H60" s="365"/>
      <c r="I60" s="365"/>
      <c r="J60" s="365"/>
      <c r="K60" s="365"/>
      <c r="L60" s="365"/>
    </row>
    <row r="61" spans="1:12">
      <c r="A61" s="369">
        <v>59.953844547271729</v>
      </c>
      <c r="B61" s="365">
        <v>114.23659959858549</v>
      </c>
      <c r="C61" s="365">
        <v>592.0709228515625</v>
      </c>
      <c r="D61" s="365">
        <v>21.962989807128906</v>
      </c>
      <c r="E61" s="365"/>
      <c r="F61" s="365"/>
      <c r="G61" s="365"/>
      <c r="H61" s="365"/>
      <c r="I61" s="365"/>
      <c r="J61" s="365"/>
      <c r="K61" s="365"/>
      <c r="L61" s="365"/>
    </row>
    <row r="62" spans="1:12">
      <c r="A62" s="369">
        <v>49.969232082366943</v>
      </c>
      <c r="B62" s="365">
        <v>111.41440268277448</v>
      </c>
      <c r="C62" s="365">
        <v>600.29327392578125</v>
      </c>
      <c r="D62" s="365">
        <v>13.98153018951416</v>
      </c>
      <c r="E62" s="365"/>
      <c r="F62" s="365"/>
      <c r="G62" s="365"/>
      <c r="H62" s="365"/>
      <c r="I62" s="365"/>
      <c r="J62" s="365"/>
      <c r="K62" s="365"/>
      <c r="L62" s="365"/>
    </row>
    <row r="63" spans="1:12">
      <c r="A63" s="369">
        <v>39.984613656997681</v>
      </c>
      <c r="B63" s="365">
        <v>110.36854437130623</v>
      </c>
      <c r="C63" s="365">
        <v>607.0399169921875</v>
      </c>
      <c r="D63" s="365">
        <v>7.996922492980957</v>
      </c>
      <c r="E63" s="365"/>
      <c r="F63" s="365"/>
      <c r="G63" s="365"/>
      <c r="H63" s="365"/>
      <c r="I63" s="365"/>
      <c r="J63" s="365"/>
      <c r="K63" s="365"/>
      <c r="L63" s="365"/>
    </row>
    <row r="64" spans="1:12">
      <c r="A64" s="369">
        <v>30.000001192092896</v>
      </c>
      <c r="B64" s="365">
        <v>110</v>
      </c>
      <c r="C64" s="365">
        <v>612.73468017578125</v>
      </c>
      <c r="D64" s="365">
        <v>5.9999995231628418</v>
      </c>
      <c r="E64" s="365"/>
      <c r="F64" s="365"/>
      <c r="G64" s="365"/>
      <c r="H64" s="365"/>
      <c r="I64" s="365"/>
      <c r="J64" s="365"/>
      <c r="K64" s="365"/>
      <c r="L64" s="365"/>
    </row>
    <row r="65" spans="1:12">
      <c r="A65" s="369">
        <v>19.999998807907104</v>
      </c>
      <c r="B65" s="365">
        <v>112.30580928855926</v>
      </c>
      <c r="C65" s="365">
        <v>617.83746337890625</v>
      </c>
      <c r="D65" s="365">
        <v>8.0000009536743164</v>
      </c>
      <c r="E65" s="365"/>
      <c r="F65" s="365"/>
      <c r="G65" s="365"/>
      <c r="H65" s="365"/>
      <c r="I65" s="365"/>
      <c r="J65" s="365"/>
      <c r="K65" s="365"/>
      <c r="L65" s="365"/>
    </row>
    <row r="66" spans="1:12">
      <c r="A66" s="369">
        <v>10.000002384185791</v>
      </c>
      <c r="B66" s="365">
        <v>116.87332231064104</v>
      </c>
      <c r="C66" s="365">
        <v>622.46282958984375</v>
      </c>
      <c r="D66" s="365">
        <v>14.999996185302734</v>
      </c>
      <c r="E66" s="365"/>
      <c r="F66" s="365"/>
      <c r="G66" s="365"/>
      <c r="H66" s="365"/>
      <c r="I66" s="365"/>
      <c r="J66" s="365"/>
      <c r="K66" s="365"/>
      <c r="L66" s="365"/>
    </row>
    <row r="67" spans="1:12">
      <c r="A67" s="370">
        <v>0</v>
      </c>
      <c r="B67" s="365">
        <v>125</v>
      </c>
      <c r="C67" s="365">
        <v>626.66668701171875</v>
      </c>
      <c r="D67" s="365">
        <v>30</v>
      </c>
      <c r="E67" s="365"/>
      <c r="F67" s="365"/>
      <c r="G67" s="365"/>
      <c r="H67" s="365"/>
      <c r="I67" s="365"/>
      <c r="J67" s="365"/>
      <c r="K67" s="365"/>
      <c r="L67" s="365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H26" sqref="H26"/>
    </sheetView>
  </sheetViews>
  <sheetFormatPr defaultColWidth="9.140625" defaultRowHeight="12.75"/>
  <cols>
    <col min="1" max="6" width="16.7109375" style="380" customWidth="1"/>
    <col min="7" max="16384" width="9.140625" style="380"/>
  </cols>
  <sheetData>
    <row r="1" spans="1:6" ht="18.95" customHeight="1">
      <c r="A1" s="393"/>
      <c r="B1" s="394"/>
      <c r="C1" s="394"/>
      <c r="D1" s="394"/>
      <c r="E1" s="394"/>
      <c r="F1" s="395"/>
    </row>
    <row r="2" spans="1:6" ht="26.1" customHeight="1">
      <c r="A2" s="396" t="s">
        <v>271</v>
      </c>
      <c r="B2" s="397"/>
      <c r="C2" s="397"/>
      <c r="D2" s="397"/>
      <c r="E2" s="397"/>
      <c r="F2" s="398"/>
    </row>
    <row r="3" spans="1:6" ht="18.95" customHeight="1">
      <c r="A3" s="654" t="s">
        <v>590</v>
      </c>
      <c r="B3" s="655"/>
      <c r="C3" s="655"/>
      <c r="D3" s="655"/>
      <c r="E3" s="655"/>
      <c r="F3" s="656"/>
    </row>
    <row r="4" spans="1:6" ht="18.95" customHeight="1">
      <c r="A4" s="657" t="s">
        <v>591</v>
      </c>
      <c r="B4" s="658"/>
      <c r="C4" s="658"/>
      <c r="D4" s="658"/>
      <c r="E4" s="658"/>
      <c r="F4" s="659"/>
    </row>
    <row r="5" spans="1:6" ht="18.95" customHeight="1">
      <c r="A5" s="400"/>
      <c r="B5" s="401"/>
      <c r="C5" s="401"/>
      <c r="D5" s="401"/>
      <c r="E5" s="401"/>
      <c r="F5" s="402"/>
    </row>
    <row r="6" spans="1:6" ht="18.95" customHeight="1">
      <c r="A6" s="403" t="s">
        <v>567</v>
      </c>
      <c r="B6" s="651" t="str">
        <f>'Performance Data Sheet'!C17</f>
        <v>4501WTAL11E-AH</v>
      </c>
      <c r="C6" s="652"/>
      <c r="D6" s="653"/>
      <c r="E6" s="403" t="s">
        <v>568</v>
      </c>
      <c r="F6" s="404">
        <f>'Performance Data Sheet'!I14</f>
        <v>60</v>
      </c>
    </row>
    <row r="7" spans="1:6" ht="18.95" customHeight="1">
      <c r="A7" s="403" t="s">
        <v>569</v>
      </c>
      <c r="B7" s="404" t="str">
        <f>'Performance Data Sheet'!F14</f>
        <v>WP-II</v>
      </c>
      <c r="C7" s="403" t="s">
        <v>570</v>
      </c>
      <c r="D7" s="404" t="str">
        <f>'Performance Data Sheet'!F13 &amp; " V"</f>
        <v>4000 V</v>
      </c>
      <c r="E7" s="403" t="s">
        <v>571</v>
      </c>
      <c r="F7" s="404" t="str">
        <f>'Performance Data Sheet'!C14</f>
        <v>5012USS</v>
      </c>
    </row>
    <row r="8" spans="1:6" ht="18.95" customHeight="1">
      <c r="A8" s="403" t="s">
        <v>572</v>
      </c>
      <c r="B8" s="404">
        <v>2</v>
      </c>
      <c r="C8" s="403" t="s">
        <v>573</v>
      </c>
      <c r="D8" s="404" t="s">
        <v>574</v>
      </c>
      <c r="E8" s="403" t="s">
        <v>575</v>
      </c>
      <c r="F8" s="404" t="str">
        <f>'Performance Data Sheet'!M15</f>
        <v>F</v>
      </c>
    </row>
    <row r="9" spans="1:6" ht="18.95" customHeight="1">
      <c r="A9" s="403" t="s">
        <v>576</v>
      </c>
      <c r="B9" s="404">
        <f>'Performance Data Sheet'!C13</f>
        <v>450</v>
      </c>
      <c r="C9" s="403" t="s">
        <v>577</v>
      </c>
      <c r="D9" s="404" t="s">
        <v>587</v>
      </c>
      <c r="E9" s="403" t="s">
        <v>2</v>
      </c>
      <c r="F9" s="405">
        <f>'Performance Data Sheet'!K44</f>
        <v>43307</v>
      </c>
    </row>
    <row r="10" spans="1:6" ht="18.95" customHeight="1">
      <c r="A10" s="403" t="s">
        <v>578</v>
      </c>
      <c r="B10" s="404">
        <f>'Performance Data Sheet'!M14</f>
        <v>3560</v>
      </c>
      <c r="C10" s="403" t="s">
        <v>404</v>
      </c>
      <c r="D10" s="404" t="s">
        <v>588</v>
      </c>
      <c r="E10" s="403" t="s">
        <v>1</v>
      </c>
      <c r="F10" s="404" t="s">
        <v>381</v>
      </c>
    </row>
    <row r="11" spans="1:6" ht="18.95" customHeight="1">
      <c r="A11" s="400"/>
      <c r="B11" s="401"/>
      <c r="C11" s="401"/>
      <c r="D11" s="401"/>
      <c r="E11" s="401"/>
      <c r="F11" s="402"/>
    </row>
    <row r="12" spans="1:6" ht="18.95" customHeight="1">
      <c r="A12" s="400"/>
      <c r="B12" s="406"/>
      <c r="C12" s="407" t="str">
        <f>'Performance Data Sheet'!D22 &amp; " A"</f>
        <v>374 A</v>
      </c>
      <c r="D12" s="406"/>
      <c r="E12" s="407"/>
      <c r="F12" s="402"/>
    </row>
    <row r="13" spans="1:6" ht="18.95" customHeight="1">
      <c r="A13" s="400"/>
      <c r="B13" s="406"/>
      <c r="C13" s="408">
        <f>'Performance Data Sheet'!H23/100</f>
        <v>1.25</v>
      </c>
      <c r="D13" s="406"/>
      <c r="E13" s="407"/>
      <c r="F13" s="402"/>
    </row>
    <row r="14" spans="1:6" ht="18.95" customHeight="1">
      <c r="A14" s="400"/>
      <c r="B14" s="406"/>
      <c r="C14" s="408"/>
      <c r="D14" s="406"/>
      <c r="E14" s="407"/>
      <c r="F14" s="402"/>
    </row>
    <row r="15" spans="1:6" ht="18.95" customHeight="1">
      <c r="A15" s="400"/>
      <c r="B15" s="406"/>
      <c r="C15" s="407" t="str">
        <f>'Performance Data Sheet'!H22 &amp; " lb-ft"</f>
        <v>664 lb-ft</v>
      </c>
      <c r="D15" s="401"/>
      <c r="E15" s="401"/>
      <c r="F15" s="402"/>
    </row>
    <row r="16" spans="1:6" ht="18.95" customHeight="1">
      <c r="A16" s="400"/>
      <c r="B16" s="401"/>
      <c r="C16" s="401"/>
      <c r="D16" s="401"/>
      <c r="E16" s="401"/>
      <c r="F16" s="402"/>
    </row>
    <row r="17" spans="1:6" ht="18.95" customHeight="1">
      <c r="A17" s="400"/>
      <c r="B17" s="401"/>
      <c r="C17" s="401"/>
      <c r="D17" s="401"/>
      <c r="E17" s="401"/>
      <c r="F17" s="402"/>
    </row>
    <row r="18" spans="1:6" ht="18.95" customHeight="1">
      <c r="A18" s="400"/>
      <c r="B18" s="401"/>
      <c r="C18" s="401"/>
      <c r="D18" s="401"/>
      <c r="E18" s="401"/>
      <c r="F18" s="402"/>
    </row>
    <row r="19" spans="1:6" ht="18.95" customHeight="1">
      <c r="A19" s="400"/>
      <c r="B19" s="401"/>
      <c r="C19" s="401"/>
      <c r="D19" s="401"/>
      <c r="E19" s="401"/>
      <c r="F19" s="402"/>
    </row>
    <row r="20" spans="1:6" ht="18.95" customHeight="1">
      <c r="A20" s="400"/>
      <c r="B20" s="401"/>
      <c r="C20" s="401"/>
      <c r="D20" s="401"/>
      <c r="E20" s="401"/>
      <c r="F20" s="402"/>
    </row>
    <row r="21" spans="1:6" ht="18.95" customHeight="1">
      <c r="A21" s="400"/>
      <c r="B21" s="401"/>
      <c r="C21" s="401"/>
      <c r="D21" s="401"/>
      <c r="E21" s="401"/>
      <c r="F21" s="402"/>
    </row>
    <row r="22" spans="1:6" ht="18.95" customHeight="1">
      <c r="A22" s="400"/>
      <c r="B22" s="401"/>
      <c r="C22" s="401"/>
      <c r="D22" s="401"/>
      <c r="E22" s="401"/>
      <c r="F22" s="402"/>
    </row>
    <row r="23" spans="1:6" ht="18.95" customHeight="1">
      <c r="A23" s="400"/>
      <c r="B23" s="401"/>
      <c r="C23" s="401"/>
      <c r="D23" s="401"/>
      <c r="E23" s="401"/>
      <c r="F23" s="402"/>
    </row>
    <row r="24" spans="1:6" ht="18.95" customHeight="1">
      <c r="A24" s="400"/>
      <c r="B24" s="401"/>
      <c r="C24" s="401"/>
      <c r="D24" s="401"/>
      <c r="E24" s="401"/>
      <c r="F24" s="402"/>
    </row>
    <row r="25" spans="1:6" ht="18.95" customHeight="1">
      <c r="A25" s="400"/>
      <c r="B25" s="401"/>
      <c r="C25" s="401"/>
      <c r="D25" s="401"/>
      <c r="E25" s="401"/>
      <c r="F25" s="402"/>
    </row>
    <row r="26" spans="1:6" ht="18.95" customHeight="1">
      <c r="A26" s="400"/>
      <c r="B26" s="401"/>
      <c r="C26" s="401"/>
      <c r="D26" s="401"/>
      <c r="E26" s="401"/>
      <c r="F26" s="402"/>
    </row>
    <row r="27" spans="1:6" ht="18.95" customHeight="1">
      <c r="A27" s="400"/>
      <c r="B27" s="401"/>
      <c r="C27" s="401"/>
      <c r="D27" s="401"/>
      <c r="E27" s="401"/>
      <c r="F27" s="402"/>
    </row>
    <row r="28" spans="1:6" ht="18.95" customHeight="1">
      <c r="A28" s="400"/>
      <c r="B28" s="401"/>
      <c r="C28" s="401"/>
      <c r="D28" s="401"/>
      <c r="E28" s="401"/>
      <c r="F28" s="402"/>
    </row>
    <row r="29" spans="1:6" ht="18.95" customHeight="1">
      <c r="A29" s="400"/>
      <c r="B29" s="401"/>
      <c r="C29" s="401"/>
      <c r="D29" s="401"/>
      <c r="E29" s="401"/>
      <c r="F29" s="402"/>
    </row>
    <row r="30" spans="1:6" ht="18.95" customHeight="1">
      <c r="A30" s="400"/>
      <c r="B30" s="401"/>
      <c r="C30" s="401"/>
      <c r="D30" s="401"/>
      <c r="E30" s="401"/>
      <c r="F30" s="402"/>
    </row>
    <row r="31" spans="1:6" ht="18.95" customHeight="1">
      <c r="A31" s="400"/>
      <c r="B31" s="401"/>
      <c r="C31" s="401"/>
      <c r="D31" s="401"/>
      <c r="E31" s="401"/>
      <c r="F31" s="402"/>
    </row>
    <row r="32" spans="1:6" ht="18.95" customHeight="1">
      <c r="A32" s="400"/>
      <c r="B32" s="401"/>
      <c r="C32" s="401"/>
      <c r="D32" s="401"/>
      <c r="E32" s="401"/>
      <c r="F32" s="402"/>
    </row>
    <row r="33" spans="1:6" ht="18.95" customHeight="1">
      <c r="A33" s="400"/>
      <c r="B33" s="401"/>
      <c r="C33" s="401"/>
      <c r="D33" s="401"/>
      <c r="E33" s="401"/>
      <c r="F33" s="402"/>
    </row>
    <row r="34" spans="1:6" ht="18.95" customHeight="1">
      <c r="A34" s="400"/>
      <c r="B34" s="401"/>
      <c r="C34" s="401"/>
      <c r="D34" s="401"/>
      <c r="E34" s="401"/>
      <c r="F34" s="402"/>
    </row>
    <row r="35" spans="1:6" ht="18.95" customHeight="1">
      <c r="A35" s="400"/>
      <c r="B35" s="401"/>
      <c r="C35" s="401"/>
      <c r="D35" s="401"/>
      <c r="E35" s="401"/>
      <c r="F35" s="402"/>
    </row>
    <row r="36" spans="1:6" ht="18.95" customHeight="1">
      <c r="A36" s="400"/>
      <c r="B36" s="401"/>
      <c r="C36" s="401"/>
      <c r="D36" s="401"/>
      <c r="E36" s="401"/>
      <c r="F36" s="402"/>
    </row>
    <row r="37" spans="1:6" ht="18.95" customHeight="1">
      <c r="A37" s="400"/>
      <c r="B37" s="401"/>
      <c r="C37" s="401"/>
      <c r="D37" s="401"/>
      <c r="E37" s="401"/>
      <c r="F37" s="402"/>
    </row>
    <row r="38" spans="1:6" ht="18.95" customHeight="1">
      <c r="A38" s="400"/>
      <c r="B38" s="401"/>
      <c r="C38" s="401"/>
      <c r="D38" s="401"/>
      <c r="E38" s="401"/>
      <c r="F38" s="402"/>
    </row>
    <row r="39" spans="1:6" ht="18.95" customHeight="1">
      <c r="A39" s="409" t="s">
        <v>583</v>
      </c>
      <c r="B39" s="410" t="s">
        <v>372</v>
      </c>
      <c r="C39" s="530" t="str">
        <f>'Performance Data Sheet'!C10</f>
        <v>-</v>
      </c>
      <c r="D39" s="401"/>
      <c r="E39" s="406" t="s">
        <v>584</v>
      </c>
      <c r="F39" s="411" t="str">
        <f>F10</f>
        <v>1T2450K</v>
      </c>
    </row>
    <row r="40" spans="1:6" ht="18.95" customHeight="1">
      <c r="A40" s="400"/>
      <c r="B40" s="410"/>
      <c r="C40" s="410"/>
      <c r="D40" s="401"/>
      <c r="E40" s="401"/>
      <c r="F40" s="402"/>
    </row>
    <row r="41" spans="1:6" ht="18.95" customHeight="1">
      <c r="A41" s="400"/>
      <c r="B41" s="410"/>
      <c r="C41" s="410"/>
      <c r="D41" s="401"/>
      <c r="E41" s="401"/>
      <c r="F41" s="402"/>
    </row>
    <row r="42" spans="1:6" ht="18.95" customHeight="1">
      <c r="A42" s="400"/>
      <c r="B42" s="401"/>
      <c r="C42" s="401"/>
      <c r="D42" s="401"/>
      <c r="E42" s="401"/>
      <c r="F42" s="402"/>
    </row>
    <row r="43" spans="1:6" ht="18.95" customHeight="1">
      <c r="A43" s="412"/>
      <c r="B43" s="410"/>
      <c r="C43" s="413" t="s">
        <v>585</v>
      </c>
      <c r="D43" s="414" t="str">
        <f>'Performance Data Sheet'!K42</f>
        <v>Zichao Xie</v>
      </c>
      <c r="E43" s="413" t="s">
        <v>586</v>
      </c>
      <c r="F43" s="41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8" t="e">
        <f>5252.1*B50/D53</f>
        <v>#DIV/0!</v>
      </c>
      <c r="G50" s="418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9"/>
    </row>
    <row r="63" spans="6:9">
      <c r="I63" s="380" t="s">
        <v>39</v>
      </c>
    </row>
    <row r="66" spans="1:6">
      <c r="D66" s="418" t="e">
        <f>D65/D64</f>
        <v>#DIV/0!</v>
      </c>
    </row>
    <row r="67" spans="1:6">
      <c r="A67" s="420" t="s">
        <v>399</v>
      </c>
      <c r="B67" s="420" t="s">
        <v>592</v>
      </c>
      <c r="C67" s="420" t="s">
        <v>593</v>
      </c>
      <c r="E67" s="420" t="s">
        <v>594</v>
      </c>
      <c r="F67" s="420" t="s">
        <v>595</v>
      </c>
    </row>
    <row r="68" spans="1:6">
      <c r="A68" s="421">
        <v>626.66666666666663</v>
      </c>
      <c r="B68" s="422">
        <v>17.070057732718332</v>
      </c>
      <c r="C68" s="422">
        <v>11.585595267159599</v>
      </c>
      <c r="E68" s="421">
        <f>A68</f>
        <v>626.66666666666663</v>
      </c>
      <c r="F68" s="422">
        <v>1E-4</v>
      </c>
    </row>
    <row r="69" spans="1:6">
      <c r="A69" s="421">
        <f>FLOOR(A68,100)</f>
        <v>600</v>
      </c>
      <c r="B69" s="422">
        <f>((A68/A69)^2)*B68</f>
        <v>18.621114830407304</v>
      </c>
      <c r="C69" s="422">
        <f>((A68/A69)^2)*C68</f>
        <v>12.638311084027432</v>
      </c>
      <c r="E69" s="421">
        <v>624.5</v>
      </c>
      <c r="F69" s="422">
        <v>0.79199999570846558</v>
      </c>
    </row>
    <row r="70" spans="1:6">
      <c r="A70" s="421">
        <f>A69-100</f>
        <v>500</v>
      </c>
      <c r="B70" s="422">
        <f>((A68/A70)^2)*B68</f>
        <v>26.814405355786516</v>
      </c>
      <c r="C70" s="422">
        <f>((A68/A70)^2)*C68</f>
        <v>18.1991679609995</v>
      </c>
      <c r="E70" s="421">
        <v>620.16666666666663</v>
      </c>
      <c r="F70" s="422">
        <v>1.5479999780654907</v>
      </c>
    </row>
    <row r="71" spans="1:6">
      <c r="A71" s="421">
        <f>A70-100</f>
        <v>400</v>
      </c>
      <c r="B71" s="422">
        <f>((A68/A71)^2)*B68</f>
        <v>41.897508368416439</v>
      </c>
      <c r="C71" s="422">
        <f>((A68/A71)^2)*C68</f>
        <v>28.436199939061726</v>
      </c>
      <c r="E71" s="421">
        <v>615.33333333333337</v>
      </c>
      <c r="F71" s="422">
        <v>2.2960000038146973</v>
      </c>
    </row>
    <row r="72" spans="1:6">
      <c r="A72" s="421">
        <f>A71-100</f>
        <v>300</v>
      </c>
      <c r="B72" s="422">
        <f>((A68/A72)^2)*B68</f>
        <v>74.484459321629217</v>
      </c>
      <c r="C72" s="422"/>
      <c r="E72" s="421">
        <v>609.83333333333337</v>
      </c>
      <c r="F72" s="422">
        <v>3.0499999523162842</v>
      </c>
    </row>
    <row r="73" spans="1:6">
      <c r="A73" s="421">
        <f>A72-100</f>
        <v>200</v>
      </c>
      <c r="B73" s="422">
        <f>((A68/A73)^2)*B68</f>
        <v>167.59003347366576</v>
      </c>
      <c r="C73" s="422"/>
      <c r="E73" s="421">
        <v>603.66666666666663</v>
      </c>
      <c r="F73" s="422">
        <v>3.8289999961853027</v>
      </c>
    </row>
    <row r="74" spans="1:6">
      <c r="A74" s="421">
        <v>275</v>
      </c>
      <c r="B74" s="422">
        <f>((A68/A74)^2)*B68</f>
        <v>88.642662333178592</v>
      </c>
      <c r="C74" s="422">
        <f>((A68/A74)^2)*C68</f>
        <v>60.162538714047955</v>
      </c>
      <c r="E74" s="421">
        <v>596.16666666666663</v>
      </c>
      <c r="F74" s="422">
        <v>4.6490001678466797</v>
      </c>
    </row>
    <row r="75" spans="1:6">
      <c r="A75" s="423">
        <v>180</v>
      </c>
      <c r="B75" s="422">
        <f>((A68/A75)^2)*B69</f>
        <v>225.70119429558153</v>
      </c>
      <c r="C75" s="422">
        <f>((A68/A75)^2)*C68</f>
        <v>140.42567871141594</v>
      </c>
      <c r="E75" s="421">
        <v>586.33333333333337</v>
      </c>
      <c r="F75" s="422">
        <v>5.508000373840332</v>
      </c>
    </row>
    <row r="76" spans="1:6">
      <c r="A76" s="423">
        <v>145</v>
      </c>
      <c r="B76" s="422">
        <f>((A68/A76)^2)*B68</f>
        <v>318.83954049686707</v>
      </c>
      <c r="C76" s="422">
        <f>((A68/A76)^2)*C68</f>
        <v>216.39914341259816</v>
      </c>
      <c r="E76" s="421">
        <v>569.33333333333337</v>
      </c>
      <c r="F76" s="422">
        <v>6.3650002479553223</v>
      </c>
    </row>
    <row r="77" spans="1:6">
      <c r="A77" s="423">
        <v>125</v>
      </c>
      <c r="B77" s="422"/>
      <c r="C77" s="421">
        <f>CEILING(C76*2,100)</f>
        <v>500</v>
      </c>
      <c r="E77" s="421">
        <v>546.33333333333337</v>
      </c>
      <c r="F77" s="422">
        <v>6.7450003623962402</v>
      </c>
    </row>
    <row r="78" spans="1:6">
      <c r="A78" s="423">
        <v>125</v>
      </c>
      <c r="B78" s="422"/>
      <c r="C78" s="421">
        <f>2*C77</f>
        <v>1000</v>
      </c>
      <c r="E78" s="421">
        <v>508.99999999999994</v>
      </c>
      <c r="F78" s="422">
        <v>7.0380005836486816</v>
      </c>
    </row>
    <row r="79" spans="1:6">
      <c r="A79" s="423">
        <v>125</v>
      </c>
      <c r="B79" s="423"/>
      <c r="C79" s="423">
        <v>10000</v>
      </c>
      <c r="E79" s="421">
        <v>416.66666666666669</v>
      </c>
      <c r="F79" s="422">
        <v>7.2660007476806641</v>
      </c>
    </row>
    <row r="80" spans="1:6">
      <c r="E80" s="421">
        <f>A77</f>
        <v>125</v>
      </c>
      <c r="F80" s="422">
        <v>7.6150007247924805</v>
      </c>
    </row>
    <row r="81" spans="5:6">
      <c r="E81" s="421"/>
      <c r="F81" s="422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67"/>
  <sheetViews>
    <sheetView workbookViewId="0">
      <selection activeCell="M5" sqref="M5"/>
    </sheetView>
  </sheetViews>
  <sheetFormatPr defaultColWidth="9.140625" defaultRowHeight="12.75"/>
  <cols>
    <col min="1" max="6" width="16.7109375" style="380" customWidth="1"/>
    <col min="7" max="16384" width="9.140625" style="380"/>
  </cols>
  <sheetData>
    <row r="1" spans="1:6" ht="18.95" customHeight="1">
      <c r="A1" s="393"/>
      <c r="B1" s="394"/>
      <c r="C1" s="394"/>
      <c r="D1" s="394"/>
      <c r="E1" s="394"/>
      <c r="F1" s="395"/>
    </row>
    <row r="2" spans="1:6" ht="26.1" customHeight="1">
      <c r="A2" s="396" t="s">
        <v>271</v>
      </c>
      <c r="B2" s="397"/>
      <c r="C2" s="397"/>
      <c r="D2" s="397"/>
      <c r="E2" s="397"/>
      <c r="F2" s="398"/>
    </row>
    <row r="3" spans="1:6" ht="18.95" customHeight="1">
      <c r="A3" s="399" t="s">
        <v>596</v>
      </c>
      <c r="B3" s="397"/>
      <c r="C3" s="397"/>
      <c r="D3" s="397"/>
      <c r="E3" s="397"/>
      <c r="F3" s="398"/>
    </row>
    <row r="4" spans="1:6" ht="18.95" customHeight="1">
      <c r="A4" s="657" t="s">
        <v>591</v>
      </c>
      <c r="B4" s="658"/>
      <c r="C4" s="658"/>
      <c r="D4" s="658"/>
      <c r="E4" s="658"/>
      <c r="F4" s="659"/>
    </row>
    <row r="5" spans="1:6" ht="18.95" customHeight="1">
      <c r="A5" s="400"/>
      <c r="B5" s="401"/>
      <c r="C5" s="401"/>
      <c r="D5" s="401"/>
      <c r="E5" s="401"/>
      <c r="F5" s="402"/>
    </row>
    <row r="6" spans="1:6" ht="18.95" customHeight="1">
      <c r="A6" s="403" t="s">
        <v>567</v>
      </c>
      <c r="B6" s="651" t="str">
        <f>'Performance Data Sheet'!C17</f>
        <v>4501WTAL11E-AH</v>
      </c>
      <c r="C6" s="652"/>
      <c r="D6" s="653"/>
      <c r="E6" s="403" t="s">
        <v>568</v>
      </c>
      <c r="F6" s="404">
        <f>'Performance Data Sheet'!I14</f>
        <v>60</v>
      </c>
    </row>
    <row r="7" spans="1:6" ht="18.95" customHeight="1">
      <c r="A7" s="403" t="s">
        <v>569</v>
      </c>
      <c r="B7" s="404" t="str">
        <f>'Performance Data Sheet'!F14</f>
        <v>WP-II</v>
      </c>
      <c r="C7" s="403" t="s">
        <v>570</v>
      </c>
      <c r="D7" s="404" t="str">
        <f>'Performance Data Sheet'!F13 &amp; " V"</f>
        <v>4000 V</v>
      </c>
      <c r="E7" s="403" t="s">
        <v>571</v>
      </c>
      <c r="F7" s="404" t="str">
        <f>'Performance Data Sheet'!C14</f>
        <v>5012USS</v>
      </c>
    </row>
    <row r="8" spans="1:6" ht="18.95" customHeight="1">
      <c r="A8" s="403" t="s">
        <v>572</v>
      </c>
      <c r="B8" s="404">
        <v>2</v>
      </c>
      <c r="C8" s="403" t="s">
        <v>573</v>
      </c>
      <c r="D8" s="404" t="s">
        <v>574</v>
      </c>
      <c r="E8" s="403" t="s">
        <v>575</v>
      </c>
      <c r="F8" s="404" t="str">
        <f>'Performance Data Sheet'!M15</f>
        <v>F</v>
      </c>
    </row>
    <row r="9" spans="1:6" ht="18.95" customHeight="1">
      <c r="A9" s="403" t="s">
        <v>576</v>
      </c>
      <c r="B9" s="404">
        <f>'Performance Data Sheet'!C13</f>
        <v>450</v>
      </c>
      <c r="C9" s="403" t="s">
        <v>577</v>
      </c>
      <c r="D9" s="404" t="s">
        <v>587</v>
      </c>
      <c r="E9" s="403" t="s">
        <v>2</v>
      </c>
      <c r="F9" s="405">
        <f>'Performance Data Sheet'!K44</f>
        <v>43307</v>
      </c>
    </row>
    <row r="10" spans="1:6" ht="18.95" customHeight="1">
      <c r="A10" s="403" t="s">
        <v>578</v>
      </c>
      <c r="B10" s="404">
        <f>'Performance Data Sheet'!M14</f>
        <v>3560</v>
      </c>
      <c r="C10" s="403" t="s">
        <v>404</v>
      </c>
      <c r="D10" s="404" t="s">
        <v>588</v>
      </c>
      <c r="E10" s="403" t="s">
        <v>1</v>
      </c>
      <c r="F10" s="404" t="s">
        <v>381</v>
      </c>
    </row>
    <row r="11" spans="1:6" ht="18.95" customHeight="1">
      <c r="A11" s="400"/>
      <c r="B11" s="401"/>
      <c r="C11" s="401"/>
      <c r="D11" s="401"/>
      <c r="E11" s="401"/>
      <c r="F11" s="402"/>
    </row>
    <row r="12" spans="1:6" ht="18.95" customHeight="1">
      <c r="A12" s="400"/>
      <c r="B12" s="406" t="s">
        <v>579</v>
      </c>
      <c r="C12" s="407" t="str">
        <f>'Performance Data Sheet'!D22 &amp; " A"</f>
        <v>374 A</v>
      </c>
      <c r="D12" s="406" t="s">
        <v>403</v>
      </c>
      <c r="E12" s="407" t="s">
        <v>407</v>
      </c>
      <c r="F12" s="402"/>
    </row>
    <row r="13" spans="1:6" ht="18.95" customHeight="1">
      <c r="A13" s="400"/>
      <c r="B13" s="406" t="s">
        <v>580</v>
      </c>
      <c r="C13" s="408">
        <f>'Performance Data Sheet'!H23/100</f>
        <v>1.25</v>
      </c>
      <c r="D13" s="406" t="s">
        <v>581</v>
      </c>
      <c r="E13" s="407" t="s">
        <v>589</v>
      </c>
      <c r="F13" s="402"/>
    </row>
    <row r="14" spans="1:6" ht="18.95" customHeight="1">
      <c r="A14" s="400"/>
      <c r="B14" s="406" t="s">
        <v>582</v>
      </c>
      <c r="C14" s="408">
        <v>2.75</v>
      </c>
      <c r="D14" s="406" t="s">
        <v>405</v>
      </c>
      <c r="E14" s="407" t="s">
        <v>410</v>
      </c>
      <c r="F14" s="402"/>
    </row>
    <row r="15" spans="1:6" ht="18.95" customHeight="1">
      <c r="A15" s="400"/>
      <c r="B15" s="406" t="s">
        <v>406</v>
      </c>
      <c r="C15" s="407" t="str">
        <f>'Performance Data Sheet'!H22 &amp; " lb-ft"</f>
        <v>664 lb-ft</v>
      </c>
      <c r="D15" s="401"/>
      <c r="E15" s="401"/>
      <c r="F15" s="402"/>
    </row>
    <row r="16" spans="1:6" ht="18.95" customHeight="1">
      <c r="A16" s="400"/>
      <c r="B16" s="401"/>
      <c r="C16" s="401"/>
      <c r="D16" s="401"/>
      <c r="E16" s="401"/>
      <c r="F16" s="402"/>
    </row>
    <row r="17" spans="1:8" ht="18.95" customHeight="1">
      <c r="A17" s="400"/>
      <c r="B17" s="401"/>
      <c r="C17" s="401"/>
      <c r="D17" s="401"/>
      <c r="E17" s="401"/>
      <c r="F17" s="402"/>
    </row>
    <row r="18" spans="1:8" ht="18.95" customHeight="1">
      <c r="A18" s="400"/>
      <c r="B18" s="401"/>
      <c r="C18" s="401"/>
      <c r="D18" s="401"/>
      <c r="E18" s="401"/>
      <c r="F18" s="402"/>
    </row>
    <row r="19" spans="1:8" ht="18.95" customHeight="1">
      <c r="A19" s="400"/>
      <c r="B19" s="401"/>
      <c r="C19" s="401"/>
      <c r="D19" s="401"/>
      <c r="E19" s="401"/>
      <c r="F19" s="402"/>
    </row>
    <row r="20" spans="1:8" ht="18.95" customHeight="1">
      <c r="A20" s="400"/>
      <c r="B20" s="401"/>
      <c r="C20" s="401"/>
      <c r="D20" s="401"/>
      <c r="E20" s="401"/>
      <c r="F20" s="402"/>
    </row>
    <row r="21" spans="1:8" ht="18.95" customHeight="1">
      <c r="A21" s="400"/>
      <c r="B21" s="401"/>
      <c r="C21" s="401"/>
      <c r="D21" s="401"/>
      <c r="E21" s="401"/>
      <c r="F21" s="402"/>
    </row>
    <row r="22" spans="1:8" ht="18.95" customHeight="1">
      <c r="A22" s="400"/>
      <c r="B22" s="401"/>
      <c r="C22" s="401"/>
      <c r="D22" s="401"/>
      <c r="E22" s="401"/>
      <c r="F22" s="402"/>
    </row>
    <row r="23" spans="1:8" ht="18.95" customHeight="1">
      <c r="A23" s="400"/>
      <c r="B23" s="401"/>
      <c r="C23" s="401"/>
      <c r="D23" s="401"/>
      <c r="E23" s="401"/>
      <c r="F23" s="402"/>
    </row>
    <row r="24" spans="1:8" ht="18.95" customHeight="1">
      <c r="A24" s="400"/>
      <c r="B24" s="401"/>
      <c r="C24" s="401"/>
      <c r="D24" s="401"/>
      <c r="E24" s="401"/>
      <c r="F24" s="402"/>
      <c r="H24" s="424"/>
    </row>
    <row r="25" spans="1:8" ht="18.95" customHeight="1">
      <c r="A25" s="400"/>
      <c r="B25" s="401"/>
      <c r="C25" s="401"/>
      <c r="D25" s="401"/>
      <c r="E25" s="401"/>
      <c r="F25" s="402"/>
    </row>
    <row r="26" spans="1:8" ht="18.95" customHeight="1">
      <c r="A26" s="400"/>
      <c r="B26" s="401"/>
      <c r="C26" s="401"/>
      <c r="D26" s="401"/>
      <c r="E26" s="401"/>
      <c r="F26" s="402"/>
    </row>
    <row r="27" spans="1:8" ht="18.95" customHeight="1">
      <c r="A27" s="400"/>
      <c r="B27" s="401"/>
      <c r="C27" s="401"/>
      <c r="D27" s="401"/>
      <c r="E27" s="401"/>
      <c r="F27" s="402"/>
    </row>
    <row r="28" spans="1:8" ht="18.95" customHeight="1">
      <c r="A28" s="400"/>
      <c r="B28" s="401"/>
      <c r="C28" s="401"/>
      <c r="D28" s="401"/>
      <c r="E28" s="401"/>
      <c r="F28" s="402"/>
    </row>
    <row r="29" spans="1:8" ht="18.95" customHeight="1">
      <c r="A29" s="400"/>
      <c r="B29" s="401"/>
      <c r="C29" s="401"/>
      <c r="D29" s="401"/>
      <c r="E29" s="401"/>
      <c r="F29" s="402"/>
    </row>
    <row r="30" spans="1:8" ht="18.95" customHeight="1">
      <c r="A30" s="400"/>
      <c r="B30" s="401"/>
      <c r="C30" s="401"/>
      <c r="D30" s="401"/>
      <c r="E30" s="401"/>
      <c r="F30" s="402"/>
    </row>
    <row r="31" spans="1:8" ht="18.95" customHeight="1">
      <c r="A31" s="400"/>
      <c r="B31" s="401"/>
      <c r="C31" s="401"/>
      <c r="D31" s="401"/>
      <c r="E31" s="401"/>
      <c r="F31" s="402"/>
    </row>
    <row r="32" spans="1:8" ht="18.95" customHeight="1">
      <c r="A32" s="400"/>
      <c r="B32" s="401"/>
      <c r="C32" s="401"/>
      <c r="D32" s="401"/>
      <c r="E32" s="401"/>
      <c r="F32" s="402"/>
    </row>
    <row r="33" spans="1:6" ht="18.95" customHeight="1">
      <c r="A33" s="400"/>
      <c r="B33" s="401"/>
      <c r="C33" s="401"/>
      <c r="D33" s="401"/>
      <c r="E33" s="401"/>
      <c r="F33" s="402"/>
    </row>
    <row r="34" spans="1:6" ht="18.95" customHeight="1">
      <c r="A34" s="400"/>
      <c r="B34" s="401"/>
      <c r="C34" s="401"/>
      <c r="D34" s="401"/>
      <c r="E34" s="401"/>
      <c r="F34" s="402"/>
    </row>
    <row r="35" spans="1:6" ht="18.95" customHeight="1">
      <c r="A35" s="400"/>
      <c r="B35" s="401"/>
      <c r="C35" s="401"/>
      <c r="D35" s="401"/>
      <c r="E35" s="401"/>
      <c r="F35" s="402"/>
    </row>
    <row r="36" spans="1:6" ht="18.95" customHeight="1">
      <c r="A36" s="400"/>
      <c r="B36" s="401"/>
      <c r="C36" s="401"/>
      <c r="D36" s="401"/>
      <c r="E36" s="401"/>
      <c r="F36" s="402"/>
    </row>
    <row r="37" spans="1:6" ht="18.95" customHeight="1">
      <c r="A37" s="400"/>
      <c r="B37" s="401"/>
      <c r="C37" s="401"/>
      <c r="D37" s="401"/>
      <c r="E37" s="401"/>
      <c r="F37" s="402"/>
    </row>
    <row r="38" spans="1:6" ht="18.95" customHeight="1">
      <c r="A38" s="400"/>
      <c r="B38" s="401"/>
      <c r="C38" s="401"/>
      <c r="D38" s="401"/>
      <c r="E38" s="401"/>
      <c r="F38" s="402"/>
    </row>
    <row r="39" spans="1:6" ht="18.95" customHeight="1">
      <c r="A39" s="409" t="s">
        <v>583</v>
      </c>
      <c r="B39" s="410" t="s">
        <v>372</v>
      </c>
      <c r="C39" s="530" t="str">
        <f>'Performance Data Sheet'!C10</f>
        <v>-</v>
      </c>
      <c r="D39" s="401"/>
      <c r="E39" s="406" t="s">
        <v>584</v>
      </c>
      <c r="F39" s="411" t="str">
        <f>F10</f>
        <v>1T2450K</v>
      </c>
    </row>
    <row r="40" spans="1:6" ht="18.95" customHeight="1">
      <c r="A40" s="400"/>
      <c r="B40" s="410"/>
      <c r="C40" s="410"/>
      <c r="D40" s="401"/>
      <c r="E40" s="401"/>
      <c r="F40" s="402"/>
    </row>
    <row r="41" spans="1:6" ht="18.95" customHeight="1">
      <c r="A41" s="400"/>
      <c r="B41" s="410"/>
      <c r="C41" s="410"/>
      <c r="D41" s="401"/>
      <c r="E41" s="401"/>
      <c r="F41" s="402"/>
    </row>
    <row r="42" spans="1:6" ht="18.95" customHeight="1">
      <c r="A42" s="400"/>
      <c r="B42" s="401"/>
      <c r="C42" s="401"/>
      <c r="D42" s="401"/>
      <c r="E42" s="401"/>
      <c r="F42" s="402"/>
    </row>
    <row r="43" spans="1:6" ht="18.95" customHeight="1">
      <c r="A43" s="412"/>
      <c r="B43" s="410"/>
      <c r="C43" s="413" t="s">
        <v>585</v>
      </c>
      <c r="D43" s="414" t="str">
        <f>'Performance Data Sheet'!K42</f>
        <v>Zichao Xie</v>
      </c>
      <c r="E43" s="413" t="s">
        <v>586</v>
      </c>
      <c r="F43" s="41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5" t="s">
        <v>402</v>
      </c>
      <c r="B53" s="425" t="s">
        <v>142</v>
      </c>
      <c r="C53" s="425" t="s">
        <v>120</v>
      </c>
      <c r="D53" s="425" t="s">
        <v>135</v>
      </c>
      <c r="E53" s="425" t="s">
        <v>5</v>
      </c>
      <c r="F53" s="426" t="s">
        <v>597</v>
      </c>
    </row>
    <row r="54" spans="1:6" ht="15" customHeight="1">
      <c r="A54" s="427">
        <v>0</v>
      </c>
      <c r="B54" s="428"/>
      <c r="C54" s="429"/>
      <c r="D54" s="429">
        <v>18.460467507084765</v>
      </c>
      <c r="E54" s="429">
        <v>100</v>
      </c>
      <c r="F54" s="430">
        <f>7430/10000</f>
        <v>0.74299999999999999</v>
      </c>
    </row>
    <row r="55" spans="1:6" ht="15" customHeight="1">
      <c r="A55" s="431">
        <v>25</v>
      </c>
      <c r="B55" s="432">
        <v>88.213859558105469</v>
      </c>
      <c r="C55" s="433">
        <v>55.373710632324219</v>
      </c>
      <c r="D55" s="433">
        <v>24.799219131469727</v>
      </c>
      <c r="E55" s="433">
        <v>65.24260997718568</v>
      </c>
      <c r="F55" s="434">
        <v>9.5137019758516921</v>
      </c>
    </row>
    <row r="56" spans="1:6" ht="15" customHeight="1">
      <c r="A56" s="431">
        <v>50</v>
      </c>
      <c r="B56" s="432">
        <v>92.461601257324219</v>
      </c>
      <c r="C56" s="433">
        <v>75.723373413085938</v>
      </c>
      <c r="D56" s="433">
        <v>34.603271484375</v>
      </c>
      <c r="E56" s="433">
        <v>50.545956050513709</v>
      </c>
      <c r="F56" s="434">
        <v>18.153275249070251</v>
      </c>
    </row>
    <row r="57" spans="1:6">
      <c r="A57" s="431">
        <v>75</v>
      </c>
      <c r="B57" s="432">
        <v>93.652626037597656</v>
      </c>
      <c r="C57" s="433">
        <v>83.061714172363281</v>
      </c>
      <c r="D57" s="433">
        <v>46.717422485351563</v>
      </c>
      <c r="E57" s="433">
        <v>35.580220493038262</v>
      </c>
      <c r="F57" s="434">
        <v>26.883614880065714</v>
      </c>
    </row>
    <row r="58" spans="1:6">
      <c r="A58" s="431">
        <v>100</v>
      </c>
      <c r="B58" s="432">
        <v>94.026260375976563</v>
      </c>
      <c r="C58" s="433">
        <v>86.018974304199219</v>
      </c>
      <c r="D58" s="433">
        <v>59.909412384033203</v>
      </c>
      <c r="E58" s="433">
        <v>20.259118896343153</v>
      </c>
      <c r="F58" s="434">
        <v>35.702383080338926</v>
      </c>
    </row>
    <row r="59" spans="1:6" ht="13.5" thickBot="1">
      <c r="A59" s="435">
        <v>125</v>
      </c>
      <c r="B59" s="436">
        <v>94.050216674804688</v>
      </c>
      <c r="C59" s="437">
        <v>87.187828063964844</v>
      </c>
      <c r="D59" s="437">
        <v>73.863998413085938</v>
      </c>
      <c r="E59" s="437">
        <v>4.7624592070503624</v>
      </c>
      <c r="F59" s="438">
        <v>44.616606921654764</v>
      </c>
    </row>
    <row r="60" spans="1:6">
      <c r="A60" s="415"/>
      <c r="B60" s="416"/>
      <c r="C60" s="416"/>
    </row>
    <row r="61" spans="1:6">
      <c r="A61" s="415"/>
      <c r="B61" s="416"/>
      <c r="C61" s="416"/>
    </row>
    <row r="62" spans="1:6">
      <c r="A62" s="415"/>
      <c r="B62" s="416"/>
      <c r="C62" s="416"/>
    </row>
    <row r="63" spans="1:6">
      <c r="A63" s="415"/>
      <c r="B63" s="416"/>
      <c r="C63" s="416"/>
    </row>
    <row r="64" spans="1:6">
      <c r="A64" s="415"/>
      <c r="B64" s="416"/>
      <c r="C64" s="416"/>
    </row>
    <row r="65" spans="1:3">
      <c r="A65" s="415"/>
      <c r="B65" s="416"/>
      <c r="C65" s="416"/>
    </row>
    <row r="66" spans="1:3">
      <c r="A66" s="415"/>
      <c r="B66" s="416"/>
      <c r="C66" s="416"/>
    </row>
    <row r="67" spans="1:3">
      <c r="A67" s="417"/>
      <c r="B67" s="416"/>
      <c r="C67" s="41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Guerrettaz, Andrew</cp:lastModifiedBy>
  <cp:lastPrinted>2017-05-22T14:20:14Z</cp:lastPrinted>
  <dcterms:created xsi:type="dcterms:W3CDTF">1997-10-03T20:37:30Z</dcterms:created>
  <dcterms:modified xsi:type="dcterms:W3CDTF">2025-12-19T14:44:40Z</dcterms:modified>
</cp:coreProperties>
</file>