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G:\DESPRO\BASE MV DESIGNS\TOP HAT - WPII\"/>
    </mc:Choice>
  </mc:AlternateContent>
  <xr:revisionPtr revIDLastSave="0" documentId="13_ncr:1_{A5370504-78AA-4F5B-8B48-805CC99C3E51}" xr6:coauthVersionLast="47" xr6:coauthVersionMax="47" xr10:uidLastSave="{00000000-0000-0000-0000-000000000000}"/>
  <bookViews>
    <workbookView xWindow="28680" yWindow="-120" windowWidth="29040" windowHeight="15720" tabRatio="701" activeTab="1" xr2:uid="{00000000-000D-0000-FFFF-FFFF00000000}"/>
  </bookViews>
  <sheets>
    <sheet name="DesignSheet" sheetId="2" r:id="rId1"/>
    <sheet name="Data Sheet" sheetId="3" r:id="rId2"/>
    <sheet name="LoginSheet" sheetId="4" r:id="rId3"/>
    <sheet name="Performance Data Sheet" sheetId="11" r:id="rId4"/>
    <sheet name="STCurve" sheetId="5" r:id="rId5"/>
    <sheet name="Thermdam" sheetId="9" r:id="rId6"/>
    <sheet name="Performance 4000V" sheetId="10" r:id="rId7"/>
    <sheet name="Performance 2300V" sheetId="12" r:id="rId8"/>
    <sheet name="StallTime" sheetId="8" r:id="rId9"/>
  </sheets>
  <definedNames>
    <definedName name="_Regression_Int" localSheetId="3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7">'Performance 2300V'!$A$1:$F$43</definedName>
    <definedName name="_xlnm.Print_Area" localSheetId="6">'Performance 4000V'!$A$1:$F$43</definedName>
    <definedName name="_xlnm.Print_Area" localSheetId="3">'Performance Data Sheet'!$A$1:$M$44</definedName>
    <definedName name="_xlnm.Print_Area" localSheetId="8">StallTime!$A$1:$G$40</definedName>
    <definedName name="_xlnm.Print_Area" localSheetId="4">STCurve!$A$1:$F$43</definedName>
    <definedName name="_xlnm.Print_Area" localSheetId="5">Thermdam!$A$1:$F$43</definedName>
    <definedName name="Print_Area_MI">'Performance Data Sheet'!$A$10:$N$42</definedName>
    <definedName name="Z_852987ED_B4F5_11D1_ABEC_0000832EB49E_.wvu.PrintArea" localSheetId="7" hidden="1">'Performance 2300V'!$A$1:$F$43</definedName>
    <definedName name="Z_852987ED_B4F5_11D1_ABEC_0000832EB49E_.wvu.PrintArea" localSheetId="6" hidden="1">'Performance 4000V'!$A$1:$F$43</definedName>
    <definedName name="Z_852987ED_B4F5_11D1_ABEC_0000832EB49E_.wvu.PrintArea" localSheetId="4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2" l="1"/>
  <c r="F39" i="12"/>
  <c r="C39" i="12"/>
  <c r="F9" i="12"/>
  <c r="F7" i="12"/>
  <c r="B7" i="12"/>
  <c r="B6" i="12"/>
  <c r="F9" i="9"/>
  <c r="F7" i="9"/>
  <c r="D7" i="9"/>
  <c r="B7" i="9"/>
  <c r="F6" i="9"/>
  <c r="B6" i="9"/>
  <c r="F9" i="10"/>
  <c r="F7" i="10"/>
  <c r="B7" i="10"/>
  <c r="B6" i="10"/>
  <c r="D43" i="10"/>
  <c r="F39" i="10"/>
  <c r="C39" i="10"/>
  <c r="D43" i="9"/>
  <c r="F39" i="9"/>
  <c r="C39" i="9"/>
  <c r="F39" i="5"/>
  <c r="D43" i="5"/>
  <c r="C39" i="5"/>
  <c r="C12" i="5"/>
  <c r="F6" i="5"/>
  <c r="D7" i="5"/>
  <c r="F9" i="5"/>
  <c r="F7" i="5"/>
  <c r="B7" i="5"/>
  <c r="B6" i="5"/>
  <c r="C76" i="9"/>
  <c r="C77" i="9" s="1"/>
  <c r="C78" i="9" s="1"/>
  <c r="B76" i="9"/>
  <c r="C75" i="9"/>
  <c r="C74" i="9"/>
  <c r="B74" i="9"/>
  <c r="C69" i="9"/>
  <c r="E68" i="9"/>
  <c r="D66" i="9"/>
  <c r="F50" i="9"/>
  <c r="M55" i="2"/>
  <c r="P31" i="2"/>
  <c r="P32" i="2"/>
  <c r="P33" i="2"/>
  <c r="P34" i="2"/>
  <c r="P30" i="2"/>
  <c r="M52" i="2"/>
  <c r="L41" i="2"/>
  <c r="L40" i="2"/>
  <c r="N40" i="2" s="1"/>
  <c r="M39" i="2"/>
  <c r="L39" i="2"/>
  <c r="M38" i="2"/>
  <c r="L38" i="2"/>
  <c r="M33" i="2"/>
  <c r="M32" i="2"/>
  <c r="M31" i="2"/>
  <c r="M30" i="2"/>
  <c r="M29" i="2"/>
  <c r="M50" i="2"/>
  <c r="M49" i="2"/>
  <c r="M48" i="2"/>
  <c r="M46" i="2"/>
  <c r="M47" i="2"/>
  <c r="M53" i="2" l="1"/>
  <c r="N38" i="2"/>
  <c r="B69" i="9"/>
  <c r="B75" i="9" s="1"/>
  <c r="N41" i="2"/>
  <c r="N39" i="2"/>
  <c r="C70" i="9" l="1"/>
  <c r="B70" i="9"/>
  <c r="C71" i="9" l="1"/>
  <c r="B71" i="9"/>
  <c r="A72" i="9"/>
  <c r="A73" i="9" l="1"/>
  <c r="B73" i="9" s="1"/>
  <c r="B7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<sst xmlns="http://schemas.openxmlformats.org/spreadsheetml/2006/main" count="980" uniqueCount="722">
  <si>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</si>
  <si>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</si>
  <si>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</si>
  <si>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</si>
  <si>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</si>
  <si>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</si>
  <si>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</si>
  <si>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</si>
  <si>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</si>
  <si>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</si>
  <si>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</si>
  <si>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</si>
  <si>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</si>
  <si>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</si>
  <si>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</si>
  <si>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</si>
  <si>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</si>
  <si>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</si>
  <si>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</si>
  <si>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</si>
  <si>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</si>
  <si>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</si>
  <si>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</si>
  <si>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</si>
  <si>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</si>
  <si>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</si>
  <si>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</si>
  <si>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</si>
  <si>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</si>
  <si>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</si>
  <si>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</si>
  <si>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</si>
  <si>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</si>
  <si>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</si>
  <si>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</si>
  <si>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</si>
  <si>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</si>
  <si>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</si>
  <si>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</si>
  <si>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</si>
  <si>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</si>
  <si>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</si>
  <si>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</si>
  <si>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</si>
  <si>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</si>
  <si>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</si>
  <si>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</si>
  <si>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</si>
  <si>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</si>
  <si>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</si>
  <si>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</si>
  <si>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</si>
  <si>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</si>
  <si>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</si>
  <si>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</si>
  <si>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</si>
  <si>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</si>
  <si>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</si>
  <si>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</si>
  <si>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</si>
  <si>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</si>
  <si>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</si>
  <si>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</si>
  <si>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</si>
  <si>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</si>
  <si>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</si>
  <si>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</si>
  <si>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</si>
  <si>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</si>
  <si>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</si>
  <si>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</si>
  <si>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</si>
  <si>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</si>
  <si>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</si>
  <si>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</si>
  <si>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</si>
  <si>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</si>
  <si>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</si>
  <si>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</si>
  <si>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</si>
  <si>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</si>
  <si>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</si>
  <si>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</si>
  <si>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</si>
  <si>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</si>
  <si>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</si>
  <si>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</si>
  <si>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</si>
  <si>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</si>
  <si>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</si>
  <si>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</si>
  <si>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</si>
  <si>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</si>
  <si>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</si>
  <si>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</si>
  <si>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</si>
  <si>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</si>
  <si>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</si>
  <si>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</si>
  <si>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</si>
  <si>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</si>
  <si>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</si>
  <si>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</si>
  <si>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</si>
  <si>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</si>
  <si>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</si>
  <si>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</si>
  <si>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</si>
  <si>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</si>
  <si>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</si>
  <si>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</si>
  <si>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</si>
  <si>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</si>
  <si>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</si>
  <si>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</si>
  <si>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</si>
  <si>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</si>
  <si>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</si>
  <si>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</si>
  <si>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</si>
  <si>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</si>
  <si>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</si>
  <si>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</si>
  <si>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</si>
  <si>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</si>
  <si>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</si>
  <si>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</si>
  <si>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</si>
  <si>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</si>
  <si>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</si>
  <si>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</si>
  <si>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</si>
  <si>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</si>
  <si>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</si>
  <si>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</si>
  <si>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</si>
  <si>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</si>
  <si>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</si>
  <si>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</si>
  <si>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</si>
  <si>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</si>
  <si>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</si>
  <si>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</si>
  <si>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</si>
  <si>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Double Cage Data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</si>
  <si>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</si>
  <si>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</si>
  <si>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</si>
  <si>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</si>
  <si>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</si>
  <si>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</si>
  <si>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</si>
  <si>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</si>
  <si>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</si>
  <si>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</si>
  <si>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</si>
  <si>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</si>
  <si>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</si>
  <si>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</si>
  <si>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</si>
  <si>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</si>
  <si>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</si>
  <si>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</si>
  <si>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</si>
  <si>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</si>
  <si>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</si>
  <si>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</si>
  <si>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</si>
  <si>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</si>
  <si>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</si>
  <si>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</si>
  <si>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</si>
  <si>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</si>
  <si>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</si>
  <si>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</si>
  <si>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</si>
  <si>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</si>
  <si>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</si>
  <si>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</si>
  <si>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</si>
  <si>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</si>
  <si>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</si>
  <si>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</si>
  <si>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</si>
  <si>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</si>
  <si>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</si>
  <si>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</si>
  <si>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</si>
  <si>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</si>
  <si>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</si>
  <si>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</si>
  <si>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</si>
  <si>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</si>
  <si>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r>
      <t>Kline/in</t>
    </r>
    <r>
      <rPr>
        <i/>
        <vertAlign val="superscript"/>
        <sz val="10"/>
        <rFont val="Times New Roman"/>
        <family val="1"/>
      </rPr>
      <t>2</t>
    </r>
  </si>
  <si>
    <t>DCKW</t>
  </si>
  <si>
    <t>Open</t>
  </si>
  <si>
    <t>Dbl - Closed</t>
  </si>
  <si>
    <t>14.00 - 14.00</t>
  </si>
  <si>
    <t>1.20 - 2.40</t>
  </si>
  <si>
    <t>Normal</t>
  </si>
  <si>
    <t>11 x 6</t>
  </si>
  <si>
    <t>10 x 8</t>
  </si>
  <si>
    <t>1 ~ 14</t>
  </si>
  <si>
    <t>(.102"x.204")x1</t>
  </si>
  <si>
    <t>(.102"x.182")x1</t>
  </si>
  <si>
    <t>Wye</t>
  </si>
  <si>
    <t>(105°C)</t>
  </si>
  <si>
    <t>CU</t>
  </si>
  <si>
    <t>AL</t>
  </si>
  <si>
    <t>ERD1: 246.2</t>
  </si>
  <si>
    <t>ERD2: 332.2</t>
  </si>
  <si>
    <t>LB:  -</t>
  </si>
  <si>
    <t>LER:  -</t>
  </si>
  <si>
    <t>UB: 417.4</t>
  </si>
  <si>
    <t>UER: 2800.0</t>
  </si>
  <si>
    <t>ERT: 70.0</t>
  </si>
  <si>
    <t>(Coeff.: 0.0677)</t>
  </si>
  <si>
    <t>Skew R.: 0.00</t>
  </si>
  <si>
    <t>N:\DESPRO\RAT FILES\1T2900K.rat</t>
  </si>
  <si>
    <t>2-2-2-0-1-2</t>
  </si>
  <si>
    <t>B.L.-1  P.F.-1</t>
  </si>
  <si>
    <t>8545.2 / 9113.6</t>
  </si>
  <si>
    <t>7332.7 / 8546.8</t>
  </si>
  <si>
    <t>11483.4 / 7333.8</t>
  </si>
  <si>
    <t>3000.0 / 2460.4</t>
  </si>
  <si>
    <t>8207.4 / 4646.9</t>
  </si>
  <si>
    <t>1752.4 / 992.2</t>
  </si>
  <si>
    <t>6455.0 / 3654.8</t>
  </si>
  <si>
    <t>1.50 / 0.85</t>
  </si>
  <si>
    <t>68 / 66</t>
  </si>
  <si>
    <t>Temp. Rise @ 100%:</t>
  </si>
  <si>
    <t>Stray Loss</t>
  </si>
  <si>
    <t>0.931 / 0.914</t>
  </si>
  <si>
    <t>0.957 / 0.940</t>
  </si>
  <si>
    <t>0.962 / 0.945</t>
  </si>
  <si>
    <t>0.960 / 0.943</t>
  </si>
  <si>
    <t>0.712 / 0.697</t>
  </si>
  <si>
    <t>0.866 / 0.848</t>
  </si>
  <si>
    <t>0.905 / 0.886</t>
  </si>
  <si>
    <t>0.915 / 0.896</t>
  </si>
  <si>
    <t>0.914 / 0.895</t>
  </si>
  <si>
    <t>36.58 / 38.03</t>
  </si>
  <si>
    <t>58.51 / 60.82</t>
  </si>
  <si>
    <t>83.46 / 86.76</t>
  </si>
  <si>
    <t>110.04 / 114.39</t>
  </si>
  <si>
    <t>138.09 / 143.55</t>
  </si>
  <si>
    <t>4.44 / 4.62</t>
  </si>
  <si>
    <t>UB: 3.81 / 3.96</t>
  </si>
  <si>
    <t>UER: 3.08 / 3.20</t>
  </si>
  <si>
    <t>3590.8 / 3584.6</t>
  </si>
  <si>
    <t>3581.8 / 3575.6</t>
  </si>
  <si>
    <t>3572.5 / 3566.3</t>
  </si>
  <si>
    <t>3562.7 / 3556.5</t>
  </si>
  <si>
    <t>3553.2 / 3547.0</t>
  </si>
  <si>
    <t>0.0025 / 0.0043</t>
  </si>
  <si>
    <t>0.0051 / 0.0068</t>
  </si>
  <si>
    <t>0.0076 / 0.0094</t>
  </si>
  <si>
    <t>0.0104 / 0.0121</t>
  </si>
  <si>
    <t>0.0130 / 0.0147</t>
  </si>
  <si>
    <t>22.840 / 20.714</t>
  </si>
  <si>
    <t>1.183 / 1.073</t>
  </si>
  <si>
    <t>22.87 / 20.74</t>
  </si>
  <si>
    <t>600.1 / 602.6</t>
  </si>
  <si>
    <t>545.3 / 547.7</t>
  </si>
  <si>
    <t>218.8 / 193.8</t>
  </si>
  <si>
    <t>119.2 / 105.6</t>
  </si>
  <si>
    <t>228.5 / 227.0</t>
  </si>
  <si>
    <t>Correlated to: 1T2900K.dat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</si>
  <si>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</si>
  <si>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</si>
  <si>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</si>
  <si>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</si>
  <si>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</si>
  <si>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</si>
  <si>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</si>
  <si>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</si>
  <si>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</si>
  <si>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</si>
  <si>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</si>
  <si>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NL &amp; Impedance Test</t>
  </si>
  <si>
    <t>EQP-III</t>
  </si>
  <si>
    <t>M36 - 26Ga.</t>
  </si>
  <si>
    <t>No load amps</t>
  </si>
  <si>
    <t>Exp.Prf.</t>
  </si>
  <si>
    <t>NCB1 - 26Ga.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</si>
  <si>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</si>
  <si>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</si>
  <si>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</si>
  <si>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</si>
  <si>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</si>
  <si>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</si>
  <si>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</si>
  <si>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</si>
  <si>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</si>
  <si>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</si>
  <si>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</si>
  <si>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</si>
  <si>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</si>
  <si>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</si>
  <si>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</si>
  <si>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</si>
  <si>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</si>
  <si>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</si>
  <si>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</si>
  <si>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</si>
  <si>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</si>
  <si>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</si>
  <si>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</si>
  <si>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</si>
  <si>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</si>
  <si>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</si>
  <si>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</si>
  <si>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</si>
  <si>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</si>
  <si>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</si>
  <si>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</si>
  <si>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</si>
  <si>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</si>
  <si>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</si>
  <si>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</si>
  <si>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</si>
  <si>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</si>
  <si>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</si>
  <si>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</si>
  <si>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</si>
  <si>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</si>
  <si>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</si>
  <si>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</si>
  <si>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</si>
  <si>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</si>
  <si>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</si>
  <si>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</si>
  <si>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</si>
  <si>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</si>
  <si>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</si>
  <si>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</si>
  <si>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</si>
  <si>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</si>
  <si>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</si>
  <si>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</si>
  <si>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</si>
  <si>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</si>
  <si>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</si>
  <si>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</si>
  <si>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</si>
  <si>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</si>
  <si>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</si>
  <si>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</si>
  <si>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</si>
  <si>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</si>
  <si>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</si>
  <si>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</si>
  <si>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</si>
  <si>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</si>
  <si>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</si>
  <si>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</si>
  <si>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</si>
  <si>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</si>
  <si>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</si>
  <si>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</si>
  <si>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</si>
  <si>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</si>
  <si>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</si>
  <si>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</si>
  <si>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</si>
  <si>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</si>
  <si>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</si>
  <si>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</si>
  <si>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</si>
  <si>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</si>
  <si>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</si>
  <si>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</si>
  <si>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</si>
  <si>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</si>
  <si>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</si>
  <si>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</si>
  <si>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</si>
  <si>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</si>
  <si>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</si>
  <si>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1T2900K</t>
  </si>
  <si>
    <t>Type: TIKK - Form: DCKW - 2 Pole - 900 HP - 2300 / 4000 V - 60 Hz - 5012 - Class F</t>
  </si>
  <si>
    <t>16 x 2</t>
  </si>
  <si>
    <t>1D / 1Y</t>
  </si>
  <si>
    <t xml:space="preserve"> - </t>
  </si>
  <si>
    <t>197 / 114</t>
  </si>
  <si>
    <t>36 / 21</t>
  </si>
  <si>
    <t>1044/ 603</t>
  </si>
  <si>
    <t>68 / 90</t>
  </si>
  <si>
    <t>462 / 2444</t>
  </si>
  <si>
    <t>396 / 320</t>
  </si>
  <si>
    <t>9003WTAK11F-A1</t>
  </si>
  <si>
    <t>QC Limits: 1T2900K</t>
  </si>
  <si>
    <t>A. Gracia</t>
  </si>
  <si>
    <t>REV1. CHG DESIGN FROM 7.5 TURNS TO</t>
  </si>
  <si>
    <t>8 TURNS. 1/2 TURNS ARE NOT ALLOWED.</t>
  </si>
  <si>
    <t>JROD 10/17/2022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</si>
  <si>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</si>
  <si>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</si>
  <si>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</si>
  <si>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</si>
  <si>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</si>
  <si>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</si>
  <si>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</si>
  <si>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</si>
  <si>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</si>
  <si>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</si>
  <si>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</si>
  <si>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</si>
  <si>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</si>
  <si>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</si>
  <si>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</si>
  <si>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</si>
  <si>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</si>
  <si>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</si>
  <si>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</si>
  <si>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</si>
  <si>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</si>
  <si>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</si>
  <si>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</si>
  <si>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</si>
  <si>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</si>
  <si>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</si>
  <si>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</si>
  <si>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</si>
  <si>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</si>
  <si>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</si>
  <si>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133.2 lb-ft²</t>
  </si>
  <si>
    <t>1330 lb-ft</t>
  </si>
  <si>
    <t>603 A</t>
  </si>
  <si>
    <t>1T2900K REV1</t>
  </si>
  <si>
    <t>Load</t>
  </si>
  <si>
    <t>Fan / Pump</t>
  </si>
  <si>
    <t>Acceleration Data (FV V)</t>
  </si>
  <si>
    <t>183.6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</si>
  <si>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</si>
  <si>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</si>
  <si>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</si>
  <si>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</si>
  <si>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</si>
  <si>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</si>
  <si>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</si>
  <si>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</si>
  <si>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</si>
  <si>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</si>
  <si>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</si>
  <si>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</si>
  <si>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</si>
  <si>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</si>
  <si>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</si>
  <si>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</si>
  <si>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</si>
  <si>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</si>
  <si>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</si>
  <si>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</si>
  <si>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</si>
  <si>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</si>
  <si>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</si>
  <si>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</si>
  <si>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</si>
  <si>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</si>
  <si>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</si>
  <si>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</si>
  <si>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</si>
  <si>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</si>
  <si>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</si>
  <si>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</si>
  <si>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</si>
  <si>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</si>
  <si>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</si>
  <si>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</si>
  <si>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</si>
  <si>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</si>
  <si>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</si>
  <si>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- 900.0 HP - 3600 RPM - 4000 V - 60 Hz</t>
  </si>
  <si>
    <t>0~360</t>
  </si>
  <si>
    <t>360~720</t>
  </si>
  <si>
    <t>720~1080</t>
  </si>
  <si>
    <t>1080~1440</t>
  </si>
  <si>
    <t>1440~1800</t>
  </si>
  <si>
    <t>1800~2160</t>
  </si>
  <si>
    <t>2160~2530</t>
  </si>
  <si>
    <t>2530~2901</t>
  </si>
  <si>
    <t>2901~3086</t>
  </si>
  <si>
    <t>3086~3271</t>
  </si>
  <si>
    <t>3271~3456</t>
  </si>
  <si>
    <t>3456~3563</t>
  </si>
  <si>
    <t/>
  </si>
  <si>
    <t>98.2</t>
  </si>
  <si>
    <t>87.1</t>
  </si>
  <si>
    <t>80.4</t>
  </si>
  <si>
    <t>76.5</t>
  </si>
  <si>
    <t>74.5</t>
  </si>
  <si>
    <t>73.7</t>
  </si>
  <si>
    <t>76.7</t>
  </si>
  <si>
    <t>88.7</t>
  </si>
  <si>
    <t>110.4</t>
  </si>
  <si>
    <t>147.5</t>
  </si>
  <si>
    <t>198.4</t>
  </si>
  <si>
    <t>162.5</t>
  </si>
  <si>
    <t>22.5</t>
  </si>
  <si>
    <t>11.5</t>
  </si>
  <si>
    <t>7.0</t>
  </si>
  <si>
    <t>11.0</t>
  </si>
  <si>
    <t>18.0</t>
  </si>
  <si>
    <t>27.7</t>
  </si>
  <si>
    <t>42.4</t>
  </si>
  <si>
    <t>57.1</t>
  </si>
  <si>
    <t>69.5</t>
  </si>
  <si>
    <t>83.0</t>
  </si>
  <si>
    <t>94.1</t>
  </si>
  <si>
    <t>600.6</t>
  </si>
  <si>
    <t>595.7</t>
  </si>
  <si>
    <t>590.4</t>
  </si>
  <si>
    <t>584.4</t>
  </si>
  <si>
    <t>577.7</t>
  </si>
  <si>
    <t>570.0</t>
  </si>
  <si>
    <t>560.3</t>
  </si>
  <si>
    <t>544.7</t>
  </si>
  <si>
    <t>523.9</t>
  </si>
  <si>
    <t>490.2</t>
  </si>
  <si>
    <t>404.4</t>
  </si>
  <si>
    <t>216.1</t>
  </si>
  <si>
    <t>100.8</t>
  </si>
  <si>
    <t>72°C</t>
  </si>
  <si>
    <t>4.7°C / s</t>
  </si>
  <si>
    <t>28.9°C / s</t>
  </si>
  <si>
    <t>14.8°C / s</t>
  </si>
  <si>
    <t>299.1 kW</t>
  </si>
  <si>
    <t>518.9 kW</t>
  </si>
  <si>
    <t>186.1 kW</t>
  </si>
  <si>
    <t>34.2 s</t>
  </si>
  <si>
    <t>9.0 s</t>
  </si>
  <si>
    <t>12.1 s</t>
  </si>
  <si>
    <t>68°C    +</t>
  </si>
  <si>
    <t>91°C    +</t>
  </si>
  <si>
    <t>92°C    +</t>
  </si>
  <si>
    <t>169°C   +</t>
  </si>
  <si>
    <t>89°C   +</t>
  </si>
  <si>
    <t>19.6 s</t>
  </si>
  <si>
    <t>5.9 s</t>
  </si>
  <si>
    <t>6.0 s</t>
  </si>
  <si>
    <t>9.2 s</t>
  </si>
  <si>
    <t>4.6 s</t>
  </si>
  <si>
    <t>34.5 kg.m²</t>
  </si>
  <si>
    <t>4.7 (s)</t>
  </si>
  <si>
    <t>Load Type: Fan / Pump - 204.9 lb-ft²</t>
  </si>
  <si>
    <t>0.394</t>
  </si>
  <si>
    <t>0.406</t>
  </si>
  <si>
    <t>0.429</t>
  </si>
  <si>
    <t>0.469</t>
  </si>
  <si>
    <t>0.535</t>
  </si>
  <si>
    <t>0.627</t>
  </si>
  <si>
    <t>0.661</t>
  </si>
  <si>
    <t>0.288</t>
  </si>
  <si>
    <t>0.197</t>
  </si>
  <si>
    <t>0.133</t>
  </si>
  <si>
    <t>0.129</t>
  </si>
  <si>
    <t>101.0</t>
  </si>
  <si>
    <t>99.6</t>
  </si>
  <si>
    <t>104.5</t>
  </si>
  <si>
    <t>111.9</t>
  </si>
  <si>
    <t>124.5</t>
  </si>
  <si>
    <t>141.7</t>
  </si>
  <si>
    <t>143.5</t>
  </si>
  <si>
    <t>58.0</t>
  </si>
  <si>
    <t>36.5</t>
  </si>
  <si>
    <t>20.5</t>
  </si>
  <si>
    <t>1.2</t>
  </si>
  <si>
    <t>331.3</t>
  </si>
  <si>
    <t>259.7</t>
  </si>
  <si>
    <t>215.8</t>
  </si>
  <si>
    <t>187.5</t>
  </si>
  <si>
    <t>169.6</t>
  </si>
  <si>
    <t>158.3</t>
  </si>
  <si>
    <t>143.6</t>
  </si>
  <si>
    <t>122.2</t>
  </si>
  <si>
    <t>85.0</t>
  </si>
  <si>
    <t>53.9</t>
  </si>
  <si>
    <t>32.5</t>
  </si>
  <si>
    <t>8.2</t>
  </si>
  <si>
    <t>1044 kW / s</t>
  </si>
  <si>
    <t>1301 kW / s</t>
  </si>
  <si>
    <t>467 kW / s</t>
  </si>
  <si>
    <t>16°C</t>
  </si>
  <si>
    <t>37°C</t>
  </si>
  <si>
    <t>33°C</t>
  </si>
  <si>
    <t>145°C</t>
  </si>
  <si>
    <t>74°C</t>
  </si>
  <si>
    <t>Acceleration Time:  4.7 s</t>
  </si>
  <si>
    <t>Design Values (For Reference Only)</t>
  </si>
  <si>
    <t>Cold</t>
  </si>
  <si>
    <t>Hot</t>
  </si>
  <si>
    <t>CURRENT (%)</t>
  </si>
  <si>
    <t>Accel. Time</t>
  </si>
  <si>
    <t>Thermal Limit Curve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</si>
  <si>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</si>
  <si>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</si>
  <si>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</si>
  <si>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</si>
  <si>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</si>
  <si>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</si>
  <si>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</si>
  <si>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</si>
  <si>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</si>
  <si>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</si>
  <si>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</si>
  <si>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</si>
  <si>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</si>
  <si>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</si>
  <si>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</si>
  <si>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</si>
  <si>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</si>
  <si>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</si>
  <si>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</si>
  <si>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</si>
  <si>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</si>
  <si>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</si>
  <si>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</si>
  <si>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</si>
  <si>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</si>
  <si>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</si>
  <si>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</si>
  <si>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</si>
  <si>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</si>
  <si>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</si>
  <si>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</si>
  <si>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</si>
  <si>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</si>
  <si>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</si>
  <si>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</si>
  <si>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</si>
  <si>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</si>
  <si>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</si>
  <si>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</si>
  <si>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</si>
  <si>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</si>
  <si>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</si>
  <si>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</si>
  <si>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</si>
  <si>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</si>
  <si>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</si>
  <si>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</si>
  <si>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</si>
  <si>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</si>
  <si>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</si>
  <si>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</si>
  <si>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</si>
  <si>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</si>
  <si>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</si>
  <si>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</si>
  <si>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</si>
  <si>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</si>
  <si>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</si>
  <si>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</si>
  <si>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</si>
  <si>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</si>
  <si>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</si>
  <si>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</si>
  <si>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</si>
  <si>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</si>
  <si>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6205ZZ</t>
  </si>
  <si>
    <t>TEFC</t>
  </si>
  <si>
    <t>6206UU</t>
  </si>
  <si>
    <t>ODP</t>
  </si>
  <si>
    <t>6207ZZ</t>
  </si>
  <si>
    <t>B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</si>
  <si>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</si>
  <si>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</si>
  <si>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</si>
  <si>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</si>
  <si>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</si>
  <si>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</si>
  <si>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</si>
  <si>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</si>
  <si>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</si>
  <si>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</si>
  <si>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</si>
  <si>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</si>
  <si>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</si>
  <si>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</si>
  <si>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</si>
  <si>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</si>
  <si>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</si>
  <si>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</si>
  <si>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</si>
  <si>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</si>
  <si>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</si>
  <si>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</si>
  <si>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</si>
  <si>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</si>
  <si>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</si>
  <si>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</si>
  <si>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</si>
  <si>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</si>
  <si>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</si>
  <si>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</si>
  <si>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</si>
  <si>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</si>
  <si>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</si>
  <si>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</si>
  <si>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</si>
  <si>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</si>
  <si>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TIKK</t>
  </si>
  <si>
    <t>60 Hz</t>
  </si>
  <si>
    <t>QUOTE 32309</t>
  </si>
  <si>
    <t>5012USS</t>
  </si>
  <si>
    <t>WP-I</t>
  </si>
  <si>
    <t>197/114</t>
  </si>
  <si>
    <t>2300/4000</t>
  </si>
  <si>
    <t>1.15</t>
  </si>
  <si>
    <t>JERRY R</t>
  </si>
  <si>
    <t>114 A</t>
  </si>
  <si>
    <t>1044/603</t>
  </si>
  <si>
    <t>1044 A</t>
  </si>
  <si>
    <t>2300 V</t>
  </si>
  <si>
    <t>197 A</t>
  </si>
  <si>
    <t>Top Hat:135-R123-100</t>
  </si>
  <si>
    <t>247 / 206</t>
  </si>
  <si>
    <t>460 / 1150</t>
  </si>
  <si>
    <t xml:space="preserve">NOT SUITABLE FOR API ORDER DUE TO SHAFT VIBRATION. </t>
  </si>
  <si>
    <t xml:space="preserve">LINK: </t>
  </si>
  <si>
    <t>1T2900K.rat &amp; dat -&gt; 1T2900K_REV1.rat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</si>
</sst>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</numFmts>
  <fonts count="78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5">
    <xf numFmtId="0" fontId="0" fillId="0" borderId="0"/>
    <xf numFmtId="0" fontId="24" fillId="0" borderId="0"/>
    <xf numFmtId="0" fontId="1" fillId="0" borderId="0"/>
    <xf numFmtId="0" fontId="1" fillId="0" borderId="0"/>
    <xf numFmtId="172" fontId="64" fillId="0" borderId="0"/>
  </cellStyleXfs>
  <cellXfs count="658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12" fillId="0" borderId="47" xfId="0" applyFont="1" applyBorder="1" applyAlignment="1">
      <alignment horizontal="right"/>
    </xf>
    <xf numFmtId="0" fontId="3" fillId="0" borderId="1" xfId="0" applyFont="1" applyBorder="1"/>
    <xf numFmtId="0" fontId="3" fillId="0" borderId="11" xfId="0" applyFont="1" applyBorder="1"/>
    <xf numFmtId="1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7" fontId="1" fillId="0" borderId="9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167" fontId="1" fillId="0" borderId="33" xfId="0" applyNumberFormat="1" applyFont="1" applyBorder="1" applyAlignment="1">
      <alignment horizontal="center"/>
    </xf>
    <xf numFmtId="0" fontId="1" fillId="0" borderId="0" xfId="0" applyFont="1"/>
    <xf numFmtId="167" fontId="1" fillId="0" borderId="0" xfId="0" applyNumberFormat="1" applyFont="1"/>
    <xf numFmtId="167" fontId="1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66" fontId="22" fillId="0" borderId="1" xfId="0" applyNumberFormat="1" applyFont="1" applyBorder="1" applyAlignment="1">
      <alignment horizontal="center"/>
    </xf>
    <xf numFmtId="166" fontId="22" fillId="0" borderId="9" xfId="0" applyNumberFormat="1" applyFont="1" applyBorder="1" applyAlignment="1">
      <alignment horizontal="center"/>
    </xf>
    <xf numFmtId="165" fontId="22" fillId="0" borderId="1" xfId="0" applyNumberFormat="1" applyFont="1" applyBorder="1" applyAlignment="1">
      <alignment horizontal="center"/>
    </xf>
    <xf numFmtId="165" fontId="22" fillId="0" borderId="9" xfId="0" applyNumberFormat="1" applyFont="1" applyBorder="1" applyAlignment="1">
      <alignment horizontal="center"/>
    </xf>
    <xf numFmtId="167" fontId="22" fillId="0" borderId="1" xfId="0" applyNumberFormat="1" applyFont="1" applyBorder="1" applyAlignment="1">
      <alignment horizontal="center"/>
    </xf>
    <xf numFmtId="167" fontId="22" fillId="0" borderId="9" xfId="0" applyNumberFormat="1" applyFont="1" applyBorder="1" applyAlignment="1">
      <alignment horizontal="center"/>
    </xf>
    <xf numFmtId="166" fontId="22" fillId="0" borderId="11" xfId="0" applyNumberFormat="1" applyFont="1" applyBorder="1" applyAlignment="1">
      <alignment horizontal="center"/>
    </xf>
    <xf numFmtId="166" fontId="23" fillId="0" borderId="31" xfId="0" applyNumberFormat="1" applyFont="1" applyBorder="1" applyAlignment="1">
      <alignment horizontal="center"/>
    </xf>
    <xf numFmtId="166" fontId="23" fillId="0" borderId="51" xfId="0" applyNumberFormat="1" applyFont="1" applyBorder="1" applyAlignment="1">
      <alignment horizontal="center"/>
    </xf>
    <xf numFmtId="166" fontId="23" fillId="0" borderId="32" xfId="0" applyNumberFormat="1" applyFont="1" applyBorder="1" applyAlignment="1">
      <alignment horizontal="center"/>
    </xf>
    <xf numFmtId="0" fontId="26" fillId="0" borderId="0" xfId="1" applyFont="1"/>
    <xf numFmtId="0" fontId="27" fillId="0" borderId="0" xfId="1" applyFont="1"/>
    <xf numFmtId="0" fontId="28" fillId="5" borderId="0" xfId="1" applyFont="1" applyFill="1" applyAlignment="1">
      <alignment horizontal="center"/>
    </xf>
    <xf numFmtId="0" fontId="29" fillId="5" borderId="0" xfId="1" applyFont="1" applyFill="1" applyAlignment="1">
      <alignment horizontal="right"/>
    </xf>
    <xf numFmtId="0" fontId="30" fillId="5" borderId="0" xfId="1" applyFont="1" applyFill="1"/>
    <xf numFmtId="0" fontId="31" fillId="5" borderId="0" xfId="1" applyFont="1" applyFill="1"/>
    <xf numFmtId="0" fontId="32" fillId="0" borderId="52" xfId="1" applyFont="1" applyBorder="1" applyAlignment="1">
      <alignment horizontal="left" vertical="center"/>
    </xf>
    <xf numFmtId="0" fontId="32" fillId="0" borderId="53" xfId="1" applyFont="1" applyBorder="1" applyAlignment="1">
      <alignment vertical="center"/>
    </xf>
    <xf numFmtId="0" fontId="24" fillId="0" borderId="53" xfId="1" applyBorder="1"/>
    <xf numFmtId="0" fontId="32" fillId="0" borderId="54" xfId="1" applyFont="1" applyBorder="1" applyAlignment="1">
      <alignment horizontal="right" vertical="center"/>
    </xf>
    <xf numFmtId="0" fontId="19" fillId="0" borderId="0" xfId="1" applyFont="1"/>
    <xf numFmtId="0" fontId="33" fillId="0" borderId="52" xfId="1" applyFont="1" applyBorder="1"/>
    <xf numFmtId="0" fontId="19" fillId="0" borderId="54" xfId="1" applyFont="1" applyBorder="1"/>
    <xf numFmtId="0" fontId="33" fillId="0" borderId="54" xfId="1" applyFont="1" applyBorder="1"/>
    <xf numFmtId="0" fontId="34" fillId="0" borderId="0" xfId="1" applyFont="1"/>
    <xf numFmtId="0" fontId="35" fillId="5" borderId="13" xfId="1" applyFont="1" applyFill="1" applyBorder="1" applyAlignment="1">
      <alignment horizontal="center"/>
    </xf>
    <xf numFmtId="0" fontId="35" fillId="5" borderId="55" xfId="1" applyFont="1" applyFill="1" applyBorder="1" applyAlignment="1">
      <alignment horizontal="center"/>
    </xf>
    <xf numFmtId="0" fontId="35" fillId="5" borderId="0" xfId="1" quotePrefix="1" applyFont="1" applyFill="1" applyAlignment="1">
      <alignment horizontal="left"/>
    </xf>
    <xf numFmtId="0" fontId="18" fillId="5" borderId="56" xfId="1" applyFont="1" applyFill="1" applyBorder="1" applyAlignment="1">
      <alignment horizontal="right"/>
    </xf>
    <xf numFmtId="0" fontId="35" fillId="5" borderId="57" xfId="1" applyFont="1" applyFill="1" applyBorder="1" applyAlignment="1">
      <alignment horizontal="center"/>
    </xf>
    <xf numFmtId="0" fontId="35" fillId="5" borderId="21" xfId="1" applyFont="1" applyFill="1" applyBorder="1" applyAlignment="1">
      <alignment horizontal="center"/>
    </xf>
    <xf numFmtId="0" fontId="33" fillId="0" borderId="45" xfId="1" applyFont="1" applyBorder="1"/>
    <xf numFmtId="0" fontId="19" fillId="0" borderId="21" xfId="1" applyFont="1" applyBorder="1"/>
    <xf numFmtId="0" fontId="33" fillId="0" borderId="21" xfId="1" applyFont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3" fillId="0" borderId="46" xfId="1" applyFont="1" applyBorder="1"/>
    <xf numFmtId="0" fontId="33" fillId="0" borderId="24" xfId="1" applyFont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36" fillId="5" borderId="63" xfId="1" quotePrefix="1" applyFont="1" applyFill="1" applyBorder="1" applyAlignment="1">
      <alignment horizontal="left"/>
    </xf>
    <xf numFmtId="0" fontId="34" fillId="0" borderId="69" xfId="1" applyFont="1" applyBorder="1"/>
    <xf numFmtId="0" fontId="19" fillId="0" borderId="24" xfId="1" applyFont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20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69" xfId="1" applyFont="1" applyFill="1" applyBorder="1" applyAlignment="1">
      <alignment horizontal="left"/>
    </xf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20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4" fillId="0" borderId="93" xfId="1" applyFont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4" fillId="0" borderId="96" xfId="1" applyFont="1" applyBorder="1"/>
    <xf numFmtId="0" fontId="38" fillId="0" borderId="96" xfId="1" applyFont="1" applyBorder="1" applyAlignment="1">
      <alignment horizontal="center"/>
    </xf>
    <xf numFmtId="0" fontId="38" fillId="0" borderId="97" xfId="1" applyFont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69" xfId="1" applyFont="1" applyBorder="1" applyAlignment="1">
      <alignment horizontal="center"/>
    </xf>
    <xf numFmtId="0" fontId="38" fillId="0" borderId="74" xfId="1" applyFont="1" applyBorder="1" applyAlignment="1">
      <alignment horizontal="center"/>
    </xf>
    <xf numFmtId="0" fontId="38" fillId="0" borderId="46" xfId="1" applyFont="1" applyBorder="1"/>
    <xf numFmtId="0" fontId="43" fillId="0" borderId="24" xfId="1" applyFont="1" applyBorder="1"/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1" fillId="5" borderId="103" xfId="1" applyFont="1" applyFill="1" applyBorder="1" applyAlignment="1">
      <alignment horizontal="center"/>
    </xf>
    <xf numFmtId="167" fontId="38" fillId="0" borderId="69" xfId="1" applyNumberFormat="1" applyFont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4" fillId="0" borderId="78" xfId="1" applyFont="1" applyBorder="1"/>
    <xf numFmtId="0" fontId="34" fillId="0" borderId="79" xfId="1" applyFont="1" applyBorder="1"/>
    <xf numFmtId="0" fontId="34" fillId="0" borderId="87" xfId="1" applyFont="1" applyBorder="1"/>
    <xf numFmtId="0" fontId="36" fillId="5" borderId="96" xfId="1" applyFont="1" applyFill="1" applyBorder="1"/>
    <xf numFmtId="0" fontId="20" fillId="5" borderId="64" xfId="1" applyFont="1" applyFill="1" applyBorder="1" applyAlignment="1">
      <alignment horizontal="right" shrinkToFit="1"/>
    </xf>
    <xf numFmtId="0" fontId="36" fillId="5" borderId="83" xfId="1" applyFont="1" applyFill="1" applyBorder="1"/>
    <xf numFmtId="0" fontId="36" fillId="5" borderId="56" xfId="1" applyFont="1" applyFill="1" applyBorder="1"/>
    <xf numFmtId="0" fontId="20" fillId="5" borderId="64" xfId="1" applyFont="1" applyFill="1" applyBorder="1" applyAlignment="1">
      <alignment horizontal="right"/>
    </xf>
    <xf numFmtId="2" fontId="38" fillId="5" borderId="64" xfId="1" applyNumberFormat="1" applyFont="1" applyFill="1" applyBorder="1" applyAlignment="1">
      <alignment horizontal="center"/>
    </xf>
    <xf numFmtId="0" fontId="20" fillId="5" borderId="56" xfId="1" applyFont="1" applyFill="1" applyBorder="1" applyAlignment="1">
      <alignment horizontal="right"/>
    </xf>
    <xf numFmtId="0" fontId="20" fillId="5" borderId="64" xfId="1" applyFont="1" applyFill="1" applyBorder="1"/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20" fillId="5" borderId="112" xfId="1" applyFont="1" applyFill="1" applyBorder="1"/>
    <xf numFmtId="167" fontId="38" fillId="5" borderId="112" xfId="1" applyNumberFormat="1" applyFont="1" applyFill="1" applyBorder="1" applyAlignment="1">
      <alignment horizontal="center"/>
    </xf>
    <xf numFmtId="0" fontId="38" fillId="5" borderId="113" xfId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5" fillId="0" borderId="0" xfId="1" quotePrefix="1" applyFont="1" applyAlignment="1">
      <alignment horizontal="left"/>
    </xf>
    <xf numFmtId="0" fontId="36" fillId="5" borderId="0" xfId="1" applyFont="1" applyFill="1"/>
    <xf numFmtId="0" fontId="36" fillId="5" borderId="86" xfId="1" applyFont="1" applyFill="1" applyBorder="1" applyAlignment="1">
      <alignment horizontal="lef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9" fillId="5" borderId="80" xfId="1" applyFont="1" applyFill="1" applyBorder="1" applyAlignment="1">
      <alignment horizontal="left"/>
    </xf>
    <xf numFmtId="0" fontId="29" fillId="5" borderId="81" xfId="1" applyFont="1" applyFill="1" applyBorder="1" applyAlignment="1">
      <alignment horizontal="left"/>
    </xf>
    <xf numFmtId="0" fontId="29" fillId="5" borderId="82" xfId="1" applyFont="1" applyFill="1" applyBorder="1" applyAlignment="1">
      <alignment horizontal="left"/>
    </xf>
    <xf numFmtId="0" fontId="31" fillId="5" borderId="83" xfId="1" applyFont="1" applyFill="1" applyBorder="1"/>
    <xf numFmtId="0" fontId="34" fillId="5" borderId="72" xfId="1" applyFont="1" applyFill="1" applyBorder="1" applyAlignment="1">
      <alignment horizontal="left"/>
    </xf>
    <xf numFmtId="0" fontId="34" fillId="5" borderId="84" xfId="1" applyFont="1" applyFill="1" applyBorder="1" applyAlignment="1">
      <alignment horizontal="left"/>
    </xf>
    <xf numFmtId="0" fontId="31" fillId="5" borderId="68" xfId="1" applyFont="1" applyFill="1" applyBorder="1" applyAlignment="1">
      <alignment horizontal="left"/>
    </xf>
    <xf numFmtId="0" fontId="31" fillId="5" borderId="74" xfId="1" applyFont="1" applyFill="1" applyBorder="1" applyAlignment="1">
      <alignment horizontal="left"/>
    </xf>
    <xf numFmtId="0" fontId="46" fillId="0" borderId="0" xfId="1" applyFont="1"/>
    <xf numFmtId="0" fontId="36" fillId="0" borderId="116" xfId="1" applyFont="1" applyBorder="1"/>
    <xf numFmtId="0" fontId="36" fillId="5" borderId="119" xfId="1" applyFont="1" applyFill="1" applyBorder="1"/>
    <xf numFmtId="0" fontId="31" fillId="5" borderId="45" xfId="1" applyFont="1" applyFill="1" applyBorder="1"/>
    <xf numFmtId="0" fontId="36" fillId="5" borderId="121" xfId="1" applyFont="1" applyFill="1" applyBorder="1"/>
    <xf numFmtId="0" fontId="36" fillId="5" borderId="23" xfId="1" applyFont="1" applyFill="1" applyBorder="1"/>
    <xf numFmtId="14" fontId="19" fillId="5" borderId="124" xfId="1" applyNumberFormat="1" applyFont="1" applyFill="1" applyBorder="1" applyAlignment="1">
      <alignment horizontal="center"/>
    </xf>
    <xf numFmtId="0" fontId="31" fillId="0" borderId="23" xfId="1" applyFont="1" applyBorder="1"/>
    <xf numFmtId="0" fontId="31" fillId="5" borderId="125" xfId="1" applyFont="1" applyFill="1" applyBorder="1" applyAlignment="1">
      <alignment horizontal="left"/>
    </xf>
    <xf numFmtId="0" fontId="31" fillId="5" borderId="126" xfId="1" applyFont="1" applyFill="1" applyBorder="1" applyAlignment="1">
      <alignment horizontal="left"/>
    </xf>
    <xf numFmtId="0" fontId="31" fillId="0" borderId="0" xfId="1" applyFont="1"/>
    <xf numFmtId="0" fontId="1" fillId="0" borderId="6" xfId="2" applyBorder="1"/>
    <xf numFmtId="0" fontId="1" fillId="0" borderId="7" xfId="2" applyBorder="1"/>
    <xf numFmtId="0" fontId="1" fillId="0" borderId="41" xfId="2" applyBorder="1"/>
    <xf numFmtId="0" fontId="1" fillId="0" borderId="41" xfId="2" applyBorder="1" applyAlignment="1">
      <alignment horizontal="center"/>
    </xf>
    <xf numFmtId="0" fontId="50" fillId="0" borderId="41" xfId="2" applyFont="1" applyBorder="1" applyAlignment="1">
      <alignment horizontal="center"/>
    </xf>
    <xf numFmtId="0" fontId="1" fillId="0" borderId="0" xfId="2"/>
    <xf numFmtId="0" fontId="51" fillId="0" borderId="45" xfId="2" applyFont="1" applyBorder="1" applyAlignment="1">
      <alignment horizontal="center"/>
    </xf>
    <xf numFmtId="0" fontId="51" fillId="0" borderId="0" xfId="2" applyFont="1" applyAlignment="1">
      <alignment horizontal="center"/>
    </xf>
    <xf numFmtId="0" fontId="51" fillId="0" borderId="127" xfId="2" applyFont="1" applyBorder="1" applyAlignment="1">
      <alignment horizontal="center"/>
    </xf>
    <xf numFmtId="0" fontId="1" fillId="0" borderId="127" xfId="2" applyBorder="1" applyAlignment="1">
      <alignment horizontal="center"/>
    </xf>
    <xf numFmtId="0" fontId="50" fillId="0" borderId="127" xfId="2" applyFont="1" applyBorder="1" applyAlignment="1">
      <alignment horizontal="center"/>
    </xf>
    <xf numFmtId="0" fontId="1" fillId="0" borderId="45" xfId="2" applyBorder="1"/>
    <xf numFmtId="0" fontId="52" fillId="0" borderId="0" xfId="2" applyFont="1"/>
    <xf numFmtId="0" fontId="1" fillId="0" borderId="127" xfId="2" applyBorder="1"/>
    <xf numFmtId="0" fontId="50" fillId="0" borderId="0" xfId="2" applyFont="1"/>
    <xf numFmtId="0" fontId="50" fillId="0" borderId="127" xfId="2" applyFont="1" applyBorder="1"/>
    <xf numFmtId="170" fontId="1" fillId="0" borderId="3" xfId="2" applyNumberFormat="1" applyBorder="1"/>
    <xf numFmtId="49" fontId="1" fillId="0" borderId="1" xfId="2" applyNumberFormat="1" applyBorder="1" applyAlignment="1">
      <alignment horizontal="center"/>
    </xf>
    <xf numFmtId="49" fontId="1" fillId="0" borderId="1" xfId="2" applyNumberFormat="1" applyBorder="1"/>
    <xf numFmtId="49" fontId="50" fillId="0" borderId="1" xfId="2" applyNumberFormat="1" applyFont="1" applyBorder="1"/>
    <xf numFmtId="171" fontId="50" fillId="0" borderId="1" xfId="2" applyNumberFormat="1" applyFont="1" applyBorder="1"/>
    <xf numFmtId="0" fontId="1" fillId="0" borderId="1" xfId="2" applyBorder="1"/>
    <xf numFmtId="0" fontId="1" fillId="0" borderId="9" xfId="2" applyBorder="1"/>
    <xf numFmtId="171" fontId="1" fillId="0" borderId="1" xfId="2" applyNumberFormat="1" applyBorder="1"/>
    <xf numFmtId="0" fontId="1" fillId="0" borderId="1" xfId="2" applyBorder="1" applyAlignment="1">
      <alignment horizontal="center"/>
    </xf>
    <xf numFmtId="170" fontId="1" fillId="0" borderId="18" xfId="2" applyNumberFormat="1" applyBorder="1"/>
    <xf numFmtId="49" fontId="1" fillId="0" borderId="26" xfId="2" applyNumberFormat="1" applyBorder="1"/>
    <xf numFmtId="171" fontId="1" fillId="0" borderId="26" xfId="2" applyNumberFormat="1" applyBorder="1"/>
    <xf numFmtId="0" fontId="1" fillId="0" borderId="26" xfId="2" applyBorder="1"/>
    <xf numFmtId="0" fontId="1" fillId="0" borderId="128" xfId="2" applyBorder="1"/>
    <xf numFmtId="0" fontId="50" fillId="0" borderId="129" xfId="2" applyFont="1" applyBorder="1" applyAlignment="1">
      <alignment horizontal="center"/>
    </xf>
    <xf numFmtId="0" fontId="50" fillId="0" borderId="130" xfId="2" applyFont="1" applyBorder="1" applyAlignment="1">
      <alignment horizontal="center"/>
    </xf>
    <xf numFmtId="49" fontId="50" fillId="0" borderId="2" xfId="2" applyNumberFormat="1" applyFont="1" applyBorder="1" applyAlignment="1">
      <alignment horizontal="center"/>
    </xf>
    <xf numFmtId="0" fontId="1" fillId="0" borderId="55" xfId="2" applyBorder="1" applyAlignment="1">
      <alignment horizontal="left"/>
    </xf>
    <xf numFmtId="49" fontId="1" fillId="0" borderId="3" xfId="2" applyNumberFormat="1" applyBorder="1"/>
    <xf numFmtId="0" fontId="1" fillId="0" borderId="132" xfId="2" applyBorder="1" applyAlignment="1">
      <alignment horizontal="left"/>
    </xf>
    <xf numFmtId="49" fontId="1" fillId="0" borderId="4" xfId="2" applyNumberFormat="1" applyBorder="1"/>
    <xf numFmtId="0" fontId="1" fillId="0" borderId="133" xfId="2" applyBorder="1" applyAlignment="1">
      <alignment horizontal="left"/>
    </xf>
    <xf numFmtId="0" fontId="29" fillId="5" borderId="120" xfId="1" applyFont="1" applyFill="1" applyBorder="1" applyAlignment="1">
      <alignment horizontal="center" shrinkToFit="1"/>
    </xf>
    <xf numFmtId="167" fontId="2" fillId="0" borderId="0" xfId="0" applyNumberFormat="1" applyFont="1" applyAlignment="1">
      <alignment horizontal="center"/>
    </xf>
    <xf numFmtId="0" fontId="53" fillId="0" borderId="61" xfId="3" applyFont="1" applyBorder="1"/>
    <xf numFmtId="0" fontId="53" fillId="0" borderId="62" xfId="3" applyFont="1" applyBorder="1"/>
    <xf numFmtId="0" fontId="53" fillId="0" borderId="38" xfId="3" applyFont="1" applyBorder="1"/>
    <xf numFmtId="0" fontId="1" fillId="0" borderId="0" xfId="3"/>
    <xf numFmtId="0" fontId="54" fillId="0" borderId="83" xfId="3" applyFont="1" applyBorder="1" applyAlignment="1">
      <alignment horizontal="centerContinuous"/>
    </xf>
    <xf numFmtId="0" fontId="53" fillId="0" borderId="0" xfId="3" applyFont="1" applyAlignment="1">
      <alignment horizontal="centerContinuous"/>
    </xf>
    <xf numFmtId="0" fontId="53" fillId="0" borderId="108" xfId="3" applyFont="1" applyBorder="1" applyAlignment="1">
      <alignment horizontal="centerContinuous"/>
    </xf>
    <xf numFmtId="0" fontId="55" fillId="0" borderId="83" xfId="3" applyFont="1" applyBorder="1" applyAlignment="1">
      <alignment horizontal="centerContinuous"/>
    </xf>
    <xf numFmtId="0" fontId="53" fillId="0" borderId="83" xfId="3" applyFont="1" applyBorder="1"/>
    <xf numFmtId="0" fontId="53" fillId="0" borderId="0" xfId="3" applyFont="1"/>
    <xf numFmtId="0" fontId="53" fillId="0" borderId="108" xfId="3" applyFont="1" applyBorder="1"/>
    <xf numFmtId="0" fontId="56" fillId="0" borderId="1" xfId="3" applyFont="1" applyBorder="1" applyAlignment="1">
      <alignment horizontal="right"/>
    </xf>
    <xf numFmtId="0" fontId="53" fillId="0" borderId="1" xfId="3" applyFont="1" applyBorder="1" applyAlignment="1">
      <alignment horizontal="center"/>
    </xf>
    <xf numFmtId="14" fontId="53" fillId="0" borderId="1" xfId="3" applyNumberFormat="1" applyFont="1" applyBorder="1" applyAlignment="1">
      <alignment horizontal="center"/>
    </xf>
    <xf numFmtId="0" fontId="56" fillId="0" borderId="0" xfId="3" applyFont="1" applyAlignment="1">
      <alignment horizontal="right"/>
    </xf>
    <xf numFmtId="0" fontId="53" fillId="0" borderId="0" xfId="3" applyFont="1" applyAlignment="1">
      <alignment horizontal="center"/>
    </xf>
    <xf numFmtId="9" fontId="53" fillId="0" borderId="0" xfId="3" applyNumberFormat="1" applyFont="1" applyAlignment="1">
      <alignment horizontal="center"/>
    </xf>
    <xf numFmtId="0" fontId="56" fillId="0" borderId="83" xfId="3" applyFont="1" applyBorder="1" applyAlignment="1">
      <alignment horizontal="right"/>
    </xf>
    <xf numFmtId="0" fontId="53" fillId="0" borderId="40" xfId="3" applyFont="1" applyBorder="1"/>
    <xf numFmtId="0" fontId="53" fillId="0" borderId="39" xfId="3" applyFont="1" applyBorder="1" applyAlignment="1">
      <alignment horizontal="center"/>
    </xf>
    <xf numFmtId="0" fontId="53" fillId="0" borderId="85" xfId="3" applyFont="1" applyBorder="1"/>
    <xf numFmtId="0" fontId="56" fillId="0" borderId="17" xfId="3" applyFont="1" applyBorder="1" applyAlignment="1">
      <alignment horizontal="right"/>
    </xf>
    <xf numFmtId="0" fontId="53" fillId="0" borderId="132" xfId="3" applyFont="1" applyBorder="1"/>
    <xf numFmtId="167" fontId="3" fillId="0" borderId="0" xfId="3" quotePrefix="1" applyNumberFormat="1" applyFont="1" applyAlignment="1">
      <alignment horizontal="center"/>
    </xf>
    <xf numFmtId="167" fontId="2" fillId="0" borderId="0" xfId="3" applyNumberFormat="1" applyFont="1" applyAlignment="1">
      <alignment horizontal="center"/>
    </xf>
    <xf numFmtId="167" fontId="3" fillId="0" borderId="0" xfId="3" applyNumberFormat="1" applyFont="1" applyAlignment="1">
      <alignment horizontal="center"/>
    </xf>
    <xf numFmtId="167" fontId="3" fillId="0" borderId="0" xfId="0" quotePrefix="1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7" fontId="2" fillId="0" borderId="134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7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7" fontId="2" fillId="0" borderId="0" xfId="0" applyNumberFormat="1" applyFont="1" applyAlignment="1">
      <alignment horizontal="centerContinuous"/>
    </xf>
    <xf numFmtId="167" fontId="2" fillId="0" borderId="23" xfId="0" applyNumberFormat="1" applyFont="1" applyBorder="1" applyAlignment="1">
      <alignment horizontal="centerContinuous"/>
    </xf>
    <xf numFmtId="0" fontId="6" fillId="0" borderId="0" xfId="3" applyFont="1" applyAlignment="1">
      <alignment horizontal="right"/>
    </xf>
    <xf numFmtId="0" fontId="25" fillId="0" borderId="0" xfId="3" applyFont="1"/>
    <xf numFmtId="0" fontId="57" fillId="0" borderId="0" xfId="3" applyFont="1"/>
    <xf numFmtId="0" fontId="58" fillId="0" borderId="26" xfId="3" applyFont="1" applyBorder="1" applyAlignment="1">
      <alignment horizontal="center"/>
    </xf>
    <xf numFmtId="0" fontId="58" fillId="0" borderId="28" xfId="3" applyFont="1" applyBorder="1" applyAlignment="1">
      <alignment horizontal="center"/>
    </xf>
    <xf numFmtId="0" fontId="57" fillId="0" borderId="1" xfId="3" applyFont="1" applyBorder="1" applyAlignment="1">
      <alignment horizontal="center"/>
    </xf>
    <xf numFmtId="0" fontId="58" fillId="0" borderId="1" xfId="3" applyFont="1" applyBorder="1" applyAlignment="1">
      <alignment horizontal="center"/>
    </xf>
    <xf numFmtId="0" fontId="58" fillId="0" borderId="1" xfId="3" applyFont="1" applyBorder="1" applyAlignment="1">
      <alignment horizontal="right"/>
    </xf>
    <xf numFmtId="0" fontId="57" fillId="0" borderId="131" xfId="3" applyFont="1" applyBorder="1" applyAlignment="1">
      <alignment horizontal="center"/>
    </xf>
    <xf numFmtId="0" fontId="57" fillId="0" borderId="132" xfId="3" quotePrefix="1" applyFont="1" applyBorder="1" applyAlignment="1">
      <alignment horizontal="center"/>
    </xf>
    <xf numFmtId="0" fontId="57" fillId="0" borderId="132" xfId="3" applyFont="1" applyBorder="1" applyAlignment="1">
      <alignment horizontal="center"/>
    </xf>
    <xf numFmtId="0" fontId="58" fillId="0" borderId="0" xfId="3" applyFont="1" applyAlignment="1">
      <alignment horizontal="right"/>
    </xf>
    <xf numFmtId="0" fontId="57" fillId="0" borderId="62" xfId="3" applyFont="1" applyBorder="1" applyAlignment="1">
      <alignment horizontal="center"/>
    </xf>
    <xf numFmtId="0" fontId="61" fillId="0" borderId="0" xfId="3" applyFont="1"/>
    <xf numFmtId="0" fontId="62" fillId="0" borderId="0" xfId="3" applyFont="1"/>
    <xf numFmtId="0" fontId="2" fillId="0" borderId="1" xfId="3" applyFont="1" applyBorder="1" applyAlignment="1">
      <alignment horizontal="center"/>
    </xf>
    <xf numFmtId="1" fontId="2" fillId="5" borderId="1" xfId="3" applyNumberFormat="1" applyFont="1" applyFill="1" applyBorder="1" applyAlignment="1">
      <alignment horizontal="center"/>
    </xf>
    <xf numFmtId="2" fontId="2" fillId="5" borderId="1" xfId="3" applyNumberFormat="1" applyFont="1" applyFill="1" applyBorder="1" applyAlignment="1">
      <alignment horizontal="center"/>
    </xf>
    <xf numFmtId="0" fontId="2" fillId="5" borderId="1" xfId="3" applyFont="1" applyFill="1" applyBorder="1" applyAlignment="1">
      <alignment horizontal="center"/>
    </xf>
    <xf numFmtId="0" fontId="63" fillId="0" borderId="0" xfId="3" applyFont="1"/>
    <xf numFmtId="0" fontId="2" fillId="0" borderId="44" xfId="3" applyFont="1" applyBorder="1" applyAlignment="1">
      <alignment horizontal="center"/>
    </xf>
    <xf numFmtId="0" fontId="2" fillId="0" borderId="54" xfId="3" applyFont="1" applyBorder="1" applyAlignment="1">
      <alignment horizontal="center"/>
    </xf>
    <xf numFmtId="167" fontId="3" fillId="0" borderId="135" xfId="3" quotePrefix="1" applyNumberFormat="1" applyFont="1" applyBorder="1" applyAlignment="1">
      <alignment horizontal="center"/>
    </xf>
    <xf numFmtId="167" fontId="2" fillId="0" borderId="39" xfId="3" applyNumberFormat="1" applyFont="1" applyBorder="1" applyAlignment="1">
      <alignment horizontal="center"/>
    </xf>
    <xf numFmtId="167" fontId="2" fillId="0" borderId="28" xfId="3" applyNumberFormat="1" applyFont="1" applyBorder="1" applyAlignment="1">
      <alignment horizontal="center"/>
    </xf>
    <xf numFmtId="167" fontId="2" fillId="0" borderId="136" xfId="3" applyNumberFormat="1" applyFont="1" applyBorder="1" applyAlignment="1">
      <alignment horizontal="center"/>
    </xf>
    <xf numFmtId="167" fontId="3" fillId="0" borderId="137" xfId="3" quotePrefix="1" applyNumberFormat="1" applyFont="1" applyBorder="1" applyAlignment="1">
      <alignment horizontal="center"/>
    </xf>
    <xf numFmtId="167" fontId="2" fillId="0" borderId="132" xfId="3" applyNumberFormat="1" applyFont="1" applyBorder="1" applyAlignment="1">
      <alignment horizontal="center"/>
    </xf>
    <xf numFmtId="167" fontId="2" fillId="0" borderId="1" xfId="3" applyNumberFormat="1" applyFont="1" applyBorder="1" applyAlignment="1">
      <alignment horizontal="center"/>
    </xf>
    <xf numFmtId="167" fontId="2" fillId="0" borderId="9" xfId="3" applyNumberFormat="1" applyFont="1" applyBorder="1" applyAlignment="1">
      <alignment horizontal="center"/>
    </xf>
    <xf numFmtId="167" fontId="3" fillId="0" borderId="25" xfId="3" quotePrefix="1" applyNumberFormat="1" applyFont="1" applyBorder="1" applyAlignment="1">
      <alignment horizontal="center"/>
    </xf>
    <xf numFmtId="167" fontId="2" fillId="0" borderId="133" xfId="3" applyNumberFormat="1" applyFont="1" applyBorder="1" applyAlignment="1">
      <alignment horizontal="center"/>
    </xf>
    <xf numFmtId="167" fontId="2" fillId="0" borderId="11" xfId="3" applyNumberFormat="1" applyFont="1" applyBorder="1" applyAlignment="1">
      <alignment horizontal="center"/>
    </xf>
    <xf numFmtId="167" fontId="2" fillId="0" borderId="33" xfId="3" applyNumberFormat="1" applyFont="1" applyBorder="1" applyAlignment="1">
      <alignment horizontal="center"/>
    </xf>
    <xf numFmtId="172" fontId="65" fillId="0" borderId="6" xfId="4" applyFont="1" applyBorder="1" applyAlignment="1">
      <alignment horizontal="centerContinuous"/>
    </xf>
    <xf numFmtId="172" fontId="65" fillId="0" borderId="7" xfId="4" applyFont="1" applyBorder="1" applyAlignment="1">
      <alignment horizontal="centerContinuous"/>
    </xf>
    <xf numFmtId="172" fontId="66" fillId="0" borderId="12" xfId="4" applyFont="1" applyBorder="1" applyAlignment="1">
      <alignment horizontal="left"/>
    </xf>
    <xf numFmtId="172" fontId="67" fillId="0" borderId="55" xfId="4" applyFont="1" applyBorder="1"/>
    <xf numFmtId="172" fontId="66" fillId="0" borderId="13" xfId="4" applyFont="1" applyBorder="1" applyAlignment="1">
      <alignment horizontal="centerContinuous"/>
    </xf>
    <xf numFmtId="172" fontId="67" fillId="0" borderId="14" xfId="4" applyFont="1" applyBorder="1" applyAlignment="1">
      <alignment horizontal="centerContinuous"/>
    </xf>
    <xf numFmtId="172" fontId="68" fillId="0" borderId="0" xfId="4" applyFont="1"/>
    <xf numFmtId="172" fontId="64" fillId="0" borderId="0" xfId="4"/>
    <xf numFmtId="172" fontId="65" fillId="0" borderId="45" xfId="4" applyFont="1" applyBorder="1" applyAlignment="1">
      <alignment horizontal="centerContinuous"/>
    </xf>
    <xf numFmtId="172" fontId="65" fillId="0" borderId="0" xfId="4" applyFont="1" applyAlignment="1">
      <alignment horizontal="centerContinuous"/>
    </xf>
    <xf numFmtId="172" fontId="66" fillId="0" borderId="109" xfId="4" applyFont="1" applyBorder="1" applyAlignment="1">
      <alignment horizontal="left"/>
    </xf>
    <xf numFmtId="172" fontId="67" fillId="0" borderId="39" xfId="4" applyFont="1" applyBorder="1"/>
    <xf numFmtId="172" fontId="66" fillId="0" borderId="40" xfId="4" applyFont="1" applyBorder="1" applyAlignment="1">
      <alignment horizontal="centerContinuous"/>
    </xf>
    <xf numFmtId="172" fontId="67" fillId="0" borderId="29" xfId="4" applyFont="1" applyBorder="1" applyAlignment="1">
      <alignment horizontal="centerContinuous"/>
    </xf>
    <xf numFmtId="172" fontId="67" fillId="0" borderId="45" xfId="4" applyFont="1" applyBorder="1" applyAlignment="1">
      <alignment horizontal="centerContinuous"/>
    </xf>
    <xf numFmtId="172" fontId="67" fillId="0" borderId="0" xfId="4" applyFont="1" applyAlignment="1">
      <alignment horizontal="centerContinuous"/>
    </xf>
    <xf numFmtId="172" fontId="66" fillId="0" borderId="40" xfId="4" quotePrefix="1" applyFont="1" applyBorder="1" applyAlignment="1">
      <alignment horizontal="centerContinuous"/>
    </xf>
    <xf numFmtId="172" fontId="69" fillId="0" borderId="45" xfId="4" applyFont="1" applyBorder="1" applyAlignment="1">
      <alignment horizontal="centerContinuous"/>
    </xf>
    <xf numFmtId="172" fontId="68" fillId="0" borderId="45" xfId="4" applyFont="1" applyBorder="1" applyAlignment="1">
      <alignment horizontal="centerContinuous"/>
    </xf>
    <xf numFmtId="172" fontId="68" fillId="0" borderId="46" xfId="4" applyFont="1" applyBorder="1" applyAlignment="1">
      <alignment horizontal="centerContinuous"/>
    </xf>
    <xf numFmtId="172" fontId="67" fillId="0" borderId="23" xfId="4" applyFont="1" applyBorder="1" applyAlignment="1">
      <alignment horizontal="centerContinuous"/>
    </xf>
    <xf numFmtId="172" fontId="66" fillId="0" borderId="46" xfId="4" applyFont="1" applyBorder="1" applyAlignment="1">
      <alignment horizontal="left"/>
    </xf>
    <xf numFmtId="172" fontId="67" fillId="0" borderId="48" xfId="4" applyFont="1" applyBorder="1"/>
    <xf numFmtId="172" fontId="70" fillId="0" borderId="23" xfId="4" applyFont="1" applyBorder="1" applyAlignment="1">
      <alignment horizontal="centerContinuous"/>
    </xf>
    <xf numFmtId="172" fontId="67" fillId="0" borderId="24" xfId="4" applyFont="1" applyBorder="1" applyAlignment="1">
      <alignment horizontal="centerContinuous"/>
    </xf>
    <xf numFmtId="172" fontId="68" fillId="0" borderId="0" xfId="4" applyFont="1" applyAlignment="1">
      <alignment horizontal="centerContinuous"/>
    </xf>
    <xf numFmtId="172" fontId="66" fillId="0" borderId="0" xfId="4" applyFont="1" applyAlignment="1">
      <alignment horizontal="left"/>
    </xf>
    <xf numFmtId="172" fontId="67" fillId="0" borderId="0" xfId="4" applyFont="1"/>
    <xf numFmtId="172" fontId="66" fillId="0" borderId="0" xfId="4" applyFont="1" applyAlignment="1">
      <alignment horizontal="centerContinuous"/>
    </xf>
    <xf numFmtId="172" fontId="71" fillId="0" borderId="0" xfId="4" applyFont="1"/>
    <xf numFmtId="172" fontId="71" fillId="0" borderId="0" xfId="4" applyFont="1" applyAlignment="1">
      <alignment horizontal="right"/>
    </xf>
    <xf numFmtId="172" fontId="71" fillId="0" borderId="0" xfId="4" applyFont="1" applyAlignment="1" applyProtection="1">
      <alignment horizontal="left"/>
      <protection locked="0"/>
    </xf>
    <xf numFmtId="172" fontId="71" fillId="0" borderId="0" xfId="4" applyFont="1" applyAlignment="1">
      <alignment horizontal="centerContinuous"/>
    </xf>
    <xf numFmtId="172" fontId="71" fillId="0" borderId="0" xfId="4" applyFont="1" applyAlignment="1">
      <alignment horizontal="left"/>
    </xf>
    <xf numFmtId="49" fontId="71" fillId="0" borderId="0" xfId="4" quotePrefix="1" applyNumberFormat="1" applyFont="1" applyAlignment="1" applyProtection="1">
      <alignment horizontal="left"/>
      <protection locked="0"/>
    </xf>
    <xf numFmtId="172" fontId="72" fillId="0" borderId="138" xfId="4" applyFont="1" applyBorder="1" applyAlignment="1">
      <alignment horizontal="centerContinuous"/>
    </xf>
    <xf numFmtId="172" fontId="68" fillId="0" borderId="139" xfId="4" applyFont="1" applyBorder="1" applyAlignment="1">
      <alignment horizontal="centerContinuous"/>
    </xf>
    <xf numFmtId="172" fontId="68" fillId="0" borderId="140" xfId="4" applyFont="1" applyBorder="1" applyAlignment="1">
      <alignment horizontal="centerContinuous"/>
    </xf>
    <xf numFmtId="172" fontId="71" fillId="0" borderId="45" xfId="4" applyFont="1" applyBorder="1"/>
    <xf numFmtId="172" fontId="71" fillId="0" borderId="0" xfId="4" applyFont="1" applyAlignment="1" applyProtection="1">
      <alignment horizontal="center"/>
      <protection locked="0"/>
    </xf>
    <xf numFmtId="172" fontId="71" fillId="0" borderId="21" xfId="4" applyFont="1" applyBorder="1" applyAlignment="1" applyProtection="1">
      <alignment horizontal="center"/>
      <protection locked="0"/>
    </xf>
    <xf numFmtId="172" fontId="71" fillId="0" borderId="0" xfId="4" applyFont="1" applyAlignment="1">
      <alignment horizontal="center"/>
    </xf>
    <xf numFmtId="49" fontId="71" fillId="0" borderId="0" xfId="4" applyNumberFormat="1" applyFont="1" applyAlignment="1">
      <alignment horizontal="center"/>
    </xf>
    <xf numFmtId="172" fontId="71" fillId="0" borderId="0" xfId="4" quotePrefix="1" applyFont="1" applyAlignment="1">
      <alignment horizontal="right"/>
    </xf>
    <xf numFmtId="172" fontId="71" fillId="0" borderId="0" xfId="4" quotePrefix="1" applyFont="1" applyAlignment="1" applyProtection="1">
      <alignment horizontal="center"/>
      <protection locked="0"/>
    </xf>
    <xf numFmtId="172" fontId="71" fillId="0" borderId="21" xfId="4" applyFont="1" applyBorder="1"/>
    <xf numFmtId="172" fontId="71" fillId="0" borderId="46" xfId="4" applyFont="1" applyBorder="1"/>
    <xf numFmtId="172" fontId="71" fillId="0" borderId="23" xfId="4" applyFont="1" applyBorder="1" applyAlignment="1">
      <alignment horizontal="right"/>
    </xf>
    <xf numFmtId="167" fontId="71" fillId="0" borderId="23" xfId="4" quotePrefix="1" applyNumberFormat="1" applyFont="1" applyBorder="1" applyAlignment="1" applyProtection="1">
      <alignment horizontal="center"/>
      <protection locked="0"/>
    </xf>
    <xf numFmtId="172" fontId="71" fillId="0" borderId="23" xfId="4" applyFont="1" applyBorder="1"/>
    <xf numFmtId="167" fontId="71" fillId="0" borderId="23" xfId="4" applyNumberFormat="1" applyFont="1" applyBorder="1"/>
    <xf numFmtId="172" fontId="71" fillId="0" borderId="24" xfId="4" applyFont="1" applyBorder="1"/>
    <xf numFmtId="172" fontId="73" fillId="0" borderId="45" xfId="4" quotePrefix="1" applyFont="1" applyBorder="1" applyAlignment="1">
      <alignment horizontal="left"/>
    </xf>
    <xf numFmtId="172" fontId="67" fillId="0" borderId="0" xfId="4" quotePrefix="1" applyFont="1" applyAlignment="1">
      <alignment horizontal="right"/>
    </xf>
    <xf numFmtId="172" fontId="67" fillId="0" borderId="108" xfId="4" applyFont="1" applyBorder="1"/>
    <xf numFmtId="172" fontId="73" fillId="0" borderId="0" xfId="4" applyFont="1" applyAlignment="1">
      <alignment horizontal="left"/>
    </xf>
    <xf numFmtId="172" fontId="67" fillId="0" borderId="0" xfId="4" applyFont="1" applyAlignment="1">
      <alignment horizontal="right"/>
    </xf>
    <xf numFmtId="172" fontId="67" fillId="0" borderId="108" xfId="4" applyFont="1" applyBorder="1" applyAlignment="1">
      <alignment horizontal="right"/>
    </xf>
    <xf numFmtId="172" fontId="73" fillId="0" borderId="0" xfId="4" quotePrefix="1" applyFont="1" applyAlignment="1">
      <alignment horizontal="left"/>
    </xf>
    <xf numFmtId="172" fontId="67" fillId="0" borderId="21" xfId="4" applyFont="1" applyBorder="1"/>
    <xf numFmtId="172" fontId="64" fillId="0" borderId="45" xfId="4" applyBorder="1"/>
    <xf numFmtId="172" fontId="71" fillId="0" borderId="108" xfId="4" applyFont="1" applyBorder="1" applyAlignment="1" applyProtection="1">
      <alignment horizontal="center"/>
      <protection locked="0"/>
    </xf>
    <xf numFmtId="1" fontId="71" fillId="0" borderId="108" xfId="4" applyNumberFormat="1" applyFont="1" applyBorder="1" applyAlignment="1">
      <alignment horizontal="center"/>
    </xf>
    <xf numFmtId="172" fontId="71" fillId="0" borderId="108" xfId="4" applyFont="1" applyBorder="1"/>
    <xf numFmtId="172" fontId="71" fillId="0" borderId="48" xfId="4" applyFont="1" applyBorder="1"/>
    <xf numFmtId="172" fontId="71" fillId="0" borderId="48" xfId="4" applyFont="1" applyBorder="1" applyAlignment="1">
      <alignment horizontal="left"/>
    </xf>
    <xf numFmtId="172" fontId="72" fillId="0" borderId="141" xfId="4" applyFont="1" applyBorder="1" applyAlignment="1">
      <alignment horizontal="centerContinuous"/>
    </xf>
    <xf numFmtId="172" fontId="68" fillId="0" borderId="142" xfId="4" applyFont="1" applyBorder="1" applyAlignment="1">
      <alignment horizontal="centerContinuous"/>
    </xf>
    <xf numFmtId="172" fontId="64" fillId="0" borderId="143" xfId="4" applyBorder="1"/>
    <xf numFmtId="172" fontId="68" fillId="0" borderId="144" xfId="4" applyFont="1" applyBorder="1" applyAlignment="1">
      <alignment horizontal="centerContinuous"/>
    </xf>
    <xf numFmtId="172" fontId="73" fillId="0" borderId="45" xfId="4" applyFont="1" applyBorder="1" applyAlignment="1">
      <alignment horizontal="left"/>
    </xf>
    <xf numFmtId="172" fontId="64" fillId="0" borderId="108" xfId="4" applyBorder="1"/>
    <xf numFmtId="167" fontId="71" fillId="0" borderId="0" xfId="4" applyNumberFormat="1" applyFont="1" applyAlignment="1" applyProtection="1">
      <alignment horizontal="center"/>
      <protection locked="0"/>
    </xf>
    <xf numFmtId="172" fontId="71" fillId="0" borderId="45" xfId="4" applyFont="1" applyBorder="1" applyAlignment="1">
      <alignment horizontal="left"/>
    </xf>
    <xf numFmtId="172" fontId="64" fillId="0" borderId="48" xfId="4" applyBorder="1"/>
    <xf numFmtId="172" fontId="68" fillId="0" borderId="0" xfId="4" applyFont="1" applyAlignment="1">
      <alignment horizontal="left"/>
    </xf>
    <xf numFmtId="172" fontId="68" fillId="0" borderId="141" xfId="4" applyFont="1" applyBorder="1"/>
    <xf numFmtId="172" fontId="67" fillId="0" borderId="142" xfId="4" applyFont="1" applyBorder="1" applyAlignment="1">
      <alignment horizontal="left"/>
    </xf>
    <xf numFmtId="172" fontId="67" fillId="0" borderId="144" xfId="4" applyFont="1" applyBorder="1" applyAlignment="1">
      <alignment horizontal="left"/>
    </xf>
    <xf numFmtId="172" fontId="71" fillId="0" borderId="45" xfId="4" quotePrefix="1" applyFont="1" applyBorder="1" applyAlignment="1">
      <alignment horizontal="left"/>
    </xf>
    <xf numFmtId="172" fontId="71" fillId="0" borderId="21" xfId="4" applyFont="1" applyBorder="1" applyAlignment="1">
      <alignment horizontal="left"/>
    </xf>
    <xf numFmtId="172" fontId="74" fillId="0" borderId="145" xfId="4" applyFont="1" applyBorder="1"/>
    <xf numFmtId="172" fontId="71" fillId="0" borderId="0" xfId="4" quotePrefix="1" applyFont="1" applyAlignment="1">
      <alignment horizontal="left"/>
    </xf>
    <xf numFmtId="172" fontId="71" fillId="0" borderId="146" xfId="4" quotePrefix="1" applyFont="1" applyBorder="1" applyAlignment="1">
      <alignment horizontal="left"/>
    </xf>
    <xf numFmtId="172" fontId="71" fillId="0" borderId="147" xfId="4" quotePrefix="1" applyFont="1" applyBorder="1" applyAlignment="1">
      <alignment horizontal="left"/>
    </xf>
    <xf numFmtId="172" fontId="71" fillId="0" borderId="46" xfId="4" applyFont="1" applyBorder="1" applyAlignment="1">
      <alignment horizontal="left"/>
    </xf>
    <xf numFmtId="172" fontId="71" fillId="0" borderId="23" xfId="4" applyFont="1" applyBorder="1" applyAlignment="1">
      <alignment horizontal="left"/>
    </xf>
    <xf numFmtId="172" fontId="71" fillId="0" borderId="24" xfId="4" applyFont="1" applyBorder="1" applyAlignment="1">
      <alignment horizontal="left"/>
    </xf>
    <xf numFmtId="172" fontId="67" fillId="0" borderId="0" xfId="4" applyFont="1" applyAlignment="1">
      <alignment horizontal="left"/>
    </xf>
    <xf numFmtId="172" fontId="75" fillId="0" borderId="0" xfId="4" applyFont="1" applyAlignment="1">
      <alignment horizontal="right"/>
    </xf>
    <xf numFmtId="172" fontId="64" fillId="0" borderId="0" xfId="4" applyAlignment="1">
      <alignment horizontal="right"/>
    </xf>
    <xf numFmtId="49" fontId="53" fillId="0" borderId="40" xfId="3" applyNumberFormat="1" applyFont="1" applyBorder="1"/>
    <xf numFmtId="0" fontId="77" fillId="5" borderId="68" xfId="1" applyFont="1" applyFill="1" applyBorder="1" applyAlignment="1">
      <alignment horizontal="left"/>
    </xf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9" fillId="5" borderId="61" xfId="1" applyFont="1" applyFill="1" applyBorder="1" applyAlignment="1">
      <alignment horizontal="left"/>
    </xf>
    <xf numFmtId="0" fontId="29" fillId="5" borderId="62" xfId="1" applyFont="1" applyFill="1" applyBorder="1" applyAlignment="1">
      <alignment horizontal="left"/>
    </xf>
    <xf numFmtId="0" fontId="29" fillId="5" borderId="27" xfId="1" applyFont="1" applyFill="1" applyBorder="1" applyAlignment="1">
      <alignment horizontal="left"/>
    </xf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34" fillId="0" borderId="45" xfId="1" applyFont="1" applyBorder="1" applyAlignment="1">
      <alignment horizontal="center"/>
    </xf>
    <xf numFmtId="0" fontId="34" fillId="0" borderId="0" xfId="1" applyFont="1" applyAlignment="1">
      <alignment horizontal="center"/>
    </xf>
    <xf numFmtId="0" fontId="34" fillId="0" borderId="108" xfId="1" applyFont="1" applyBorder="1" applyAlignment="1">
      <alignment horizontal="center"/>
    </xf>
    <xf numFmtId="0" fontId="34" fillId="0" borderId="109" xfId="1" applyFont="1" applyBorder="1" applyAlignment="1">
      <alignment horizontal="center"/>
    </xf>
    <xf numFmtId="0" fontId="34" fillId="0" borderId="40" xfId="1" applyFont="1" applyBorder="1" applyAlignment="1">
      <alignment horizontal="center"/>
    </xf>
    <xf numFmtId="0" fontId="34" fillId="0" borderId="39" xfId="1" applyFont="1" applyBorder="1" applyAlignment="1">
      <alignment horizontal="center"/>
    </xf>
    <xf numFmtId="0" fontId="29" fillId="0" borderId="38" xfId="1" applyFont="1" applyBorder="1" applyAlignment="1">
      <alignment horizontal="left"/>
    </xf>
    <xf numFmtId="0" fontId="34" fillId="0" borderId="46" xfId="1" applyFont="1" applyBorder="1" applyAlignment="1">
      <alignment horizontal="center"/>
    </xf>
    <xf numFmtId="0" fontId="34" fillId="0" borderId="23" xfId="1" applyFont="1" applyBorder="1" applyAlignment="1">
      <alignment horizontal="center"/>
    </xf>
    <xf numFmtId="0" fontId="34" fillId="0" borderId="48" xfId="1" applyFont="1" applyBorder="1" applyAlignment="1">
      <alignment horizontal="center"/>
    </xf>
    <xf numFmtId="0" fontId="47" fillId="5" borderId="117" xfId="1" applyFont="1" applyFill="1" applyBorder="1" applyAlignment="1">
      <alignment horizontal="center"/>
    </xf>
    <xf numFmtId="0" fontId="47" fillId="5" borderId="118" xfId="1" applyFont="1" applyFill="1" applyBorder="1" applyAlignment="1">
      <alignment horizontal="center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29" fillId="0" borderId="80" xfId="1" applyFont="1" applyBorder="1" applyAlignment="1">
      <alignment horizontal="left"/>
    </xf>
    <xf numFmtId="0" fontId="29" fillId="0" borderId="81" xfId="1" applyFont="1" applyBorder="1" applyAlignment="1">
      <alignment horizontal="left"/>
    </xf>
    <xf numFmtId="0" fontId="29" fillId="0" borderId="82" xfId="1" applyFont="1" applyBorder="1" applyAlignment="1">
      <alignment horizontal="left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Border="1" applyAlignment="1">
      <alignment horizontal="center"/>
    </xf>
    <xf numFmtId="0" fontId="38" fillId="0" borderId="66" xfId="1" applyFont="1" applyBorder="1" applyAlignment="1">
      <alignment horizontal="center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8" fillId="0" borderId="65" xfId="1" applyFont="1" applyBorder="1" applyAlignment="1">
      <alignment horizontal="center"/>
    </xf>
    <xf numFmtId="169" fontId="38" fillId="5" borderId="65" xfId="1" applyNumberFormat="1" applyFont="1" applyFill="1" applyBorder="1" applyAlignment="1">
      <alignment horizontal="center"/>
    </xf>
    <xf numFmtId="169" fontId="38" fillId="5" borderId="66" xfId="1" applyNumberFormat="1" applyFont="1" applyFill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4" fillId="0" borderId="107" xfId="1" applyFont="1" applyBorder="1" applyAlignment="1">
      <alignment horizontal="left"/>
    </xf>
    <xf numFmtId="0" fontId="34" fillId="0" borderId="77" xfId="1" applyFont="1" applyBorder="1" applyAlignment="1">
      <alignment horizontal="left"/>
    </xf>
    <xf numFmtId="0" fontId="36" fillId="0" borderId="75" xfId="1" applyFont="1" applyBorder="1" applyAlignment="1">
      <alignment horizontal="left"/>
    </xf>
    <xf numFmtId="0" fontId="36" fillId="0" borderId="68" xfId="1" applyFont="1" applyBorder="1" applyAlignment="1">
      <alignment horizontal="left"/>
    </xf>
    <xf numFmtId="0" fontId="36" fillId="0" borderId="69" xfId="1" applyFont="1" applyBorder="1" applyAlignment="1">
      <alignment horizontal="left"/>
    </xf>
    <xf numFmtId="167" fontId="38" fillId="0" borderId="65" xfId="1" applyNumberFormat="1" applyFont="1" applyBorder="1" applyAlignment="1">
      <alignment horizontal="center"/>
    </xf>
    <xf numFmtId="167" fontId="38" fillId="0" borderId="66" xfId="1" applyNumberFormat="1" applyFont="1" applyBorder="1" applyAlignment="1">
      <alignment horizontal="center"/>
    </xf>
    <xf numFmtId="0" fontId="36" fillId="0" borderId="63" xfId="1" applyFont="1" applyBorder="1" applyAlignment="1">
      <alignment horizontal="left"/>
    </xf>
    <xf numFmtId="0" fontId="36" fillId="0" borderId="64" xfId="1" applyFont="1" applyBorder="1" applyAlignment="1">
      <alignment horizontal="left"/>
    </xf>
    <xf numFmtId="2" fontId="38" fillId="0" borderId="65" xfId="1" applyNumberFormat="1" applyFont="1" applyBorder="1" applyAlignment="1">
      <alignment horizontal="center"/>
    </xf>
    <xf numFmtId="2" fontId="38" fillId="0" borderId="66" xfId="1" applyNumberFormat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8" fillId="5" borderId="0" xfId="1" applyFont="1" applyFill="1" applyAlignment="1">
      <alignment horizontal="center"/>
    </xf>
    <xf numFmtId="0" fontId="30" fillId="5" borderId="23" xfId="1" applyFont="1" applyFill="1" applyBorder="1" applyAlignment="1">
      <alignment horizontal="center"/>
    </xf>
    <xf numFmtId="0" fontId="35" fillId="5" borderId="12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left"/>
    </xf>
    <xf numFmtId="0" fontId="36" fillId="0" borderId="58" xfId="1" applyFont="1" applyBorder="1" applyAlignment="1">
      <alignment horizontal="left"/>
    </xf>
    <xf numFmtId="0" fontId="36" fillId="0" borderId="59" xfId="1" applyFont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1" fillId="0" borderId="17" xfId="2" applyBorder="1" applyAlignment="1">
      <alignment horizontal="left"/>
    </xf>
    <xf numFmtId="0" fontId="1" fillId="0" borderId="131" xfId="2" applyBorder="1" applyAlignment="1">
      <alignment horizontal="left"/>
    </xf>
    <xf numFmtId="170" fontId="1" fillId="0" borderId="17" xfId="2" applyNumberFormat="1" applyBorder="1" applyAlignment="1">
      <alignment horizontal="center"/>
    </xf>
    <xf numFmtId="170" fontId="1" fillId="0" borderId="131" xfId="2" applyNumberFormat="1" applyBorder="1" applyAlignment="1">
      <alignment horizontal="center"/>
    </xf>
    <xf numFmtId="170" fontId="1" fillId="0" borderId="132" xfId="2" applyNumberFormat="1" applyBorder="1" applyAlignment="1">
      <alignment horizontal="center"/>
    </xf>
    <xf numFmtId="49" fontId="1" fillId="0" borderId="17" xfId="2" applyNumberFormat="1" applyBorder="1" applyAlignment="1">
      <alignment horizontal="center"/>
    </xf>
    <xf numFmtId="49" fontId="1" fillId="0" borderId="131" xfId="2" applyNumberFormat="1" applyBorder="1" applyAlignment="1">
      <alignment horizontal="center"/>
    </xf>
    <xf numFmtId="49" fontId="1" fillId="0" borderId="16" xfId="2" applyNumberFormat="1" applyBorder="1" applyAlignment="1">
      <alignment horizontal="center"/>
    </xf>
    <xf numFmtId="0" fontId="1" fillId="0" borderId="31" xfId="2" applyBorder="1" applyAlignment="1">
      <alignment horizontal="left"/>
    </xf>
    <xf numFmtId="0" fontId="1" fillId="0" borderId="51" xfId="2" applyBorder="1" applyAlignment="1">
      <alignment horizontal="left"/>
    </xf>
    <xf numFmtId="170" fontId="1" fillId="0" borderId="31" xfId="2" applyNumberFormat="1" applyBorder="1" applyAlignment="1">
      <alignment horizontal="center"/>
    </xf>
    <xf numFmtId="170" fontId="1" fillId="0" borderId="51" xfId="2" applyNumberFormat="1" applyBorder="1" applyAlignment="1">
      <alignment horizontal="center"/>
    </xf>
    <xf numFmtId="170" fontId="1" fillId="0" borderId="133" xfId="2" applyNumberFormat="1" applyBorder="1" applyAlignment="1">
      <alignment horizontal="center"/>
    </xf>
    <xf numFmtId="49" fontId="1" fillId="0" borderId="31" xfId="2" applyNumberFormat="1" applyBorder="1" applyAlignment="1">
      <alignment horizontal="center"/>
    </xf>
    <xf numFmtId="49" fontId="1" fillId="0" borderId="51" xfId="2" applyNumberFormat="1" applyBorder="1" applyAlignment="1">
      <alignment horizontal="center"/>
    </xf>
    <xf numFmtId="49" fontId="1" fillId="0" borderId="32" xfId="2" applyNumberFormat="1" applyBorder="1" applyAlignment="1">
      <alignment horizontal="center"/>
    </xf>
    <xf numFmtId="0" fontId="1" fillId="0" borderId="50" xfId="2" applyBorder="1" applyAlignment="1">
      <alignment horizontal="left"/>
    </xf>
    <xf numFmtId="0" fontId="1" fillId="0" borderId="13" xfId="2" applyBorder="1" applyAlignment="1">
      <alignment horizontal="left"/>
    </xf>
    <xf numFmtId="170" fontId="1" fillId="0" borderId="50" xfId="2" applyNumberFormat="1" applyBorder="1" applyAlignment="1">
      <alignment horizontal="center"/>
    </xf>
    <xf numFmtId="170" fontId="1" fillId="0" borderId="13" xfId="2" applyNumberFormat="1" applyBorder="1" applyAlignment="1">
      <alignment horizontal="center"/>
    </xf>
    <xf numFmtId="170" fontId="1" fillId="0" borderId="55" xfId="2" applyNumberFormat="1" applyBorder="1" applyAlignment="1">
      <alignment horizontal="center"/>
    </xf>
    <xf numFmtId="49" fontId="1" fillId="0" borderId="50" xfId="2" applyNumberFormat="1" applyBorder="1" applyAlignment="1">
      <alignment horizontal="center"/>
    </xf>
    <xf numFmtId="49" fontId="1" fillId="0" borderId="13" xfId="2" applyNumberFormat="1" applyBorder="1" applyAlignment="1">
      <alignment horizontal="center"/>
    </xf>
    <xf numFmtId="49" fontId="1" fillId="0" borderId="14" xfId="2" applyNumberFormat="1" applyBorder="1" applyAlignment="1">
      <alignment horizontal="center"/>
    </xf>
    <xf numFmtId="0" fontId="51" fillId="0" borderId="45" xfId="2" applyFont="1" applyBorder="1" applyAlignment="1">
      <alignment horizontal="center"/>
    </xf>
    <xf numFmtId="0" fontId="51" fillId="0" borderId="0" xfId="2" applyFont="1" applyAlignment="1">
      <alignment horizontal="center"/>
    </xf>
    <xf numFmtId="0" fontId="51" fillId="0" borderId="53" xfId="2" applyFont="1" applyBorder="1" applyAlignment="1">
      <alignment horizontal="center"/>
    </xf>
    <xf numFmtId="0" fontId="50" fillId="0" borderId="15" xfId="2" applyFont="1" applyBorder="1" applyAlignment="1">
      <alignment horizontal="center"/>
    </xf>
    <xf numFmtId="0" fontId="50" fillId="0" borderId="7" xfId="2" applyFont="1" applyBorder="1" applyAlignment="1">
      <alignment horizontal="center"/>
    </xf>
    <xf numFmtId="0" fontId="50" fillId="0" borderId="130" xfId="2" applyFont="1" applyBorder="1" applyAlignment="1">
      <alignment horizontal="center"/>
    </xf>
    <xf numFmtId="0" fontId="50" fillId="0" borderId="8" xfId="2" applyFont="1" applyBorder="1" applyAlignment="1">
      <alignment horizontal="center"/>
    </xf>
    <xf numFmtId="172" fontId="76" fillId="0" borderId="148" xfId="4" applyFont="1" applyBorder="1" applyAlignment="1" applyProtection="1">
      <alignment horizontal="center"/>
      <protection locked="0"/>
    </xf>
    <xf numFmtId="14" fontId="24" fillId="0" borderId="148" xfId="4" quotePrefix="1" applyNumberFormat="1" applyFont="1" applyBorder="1" applyAlignment="1" applyProtection="1">
      <alignment horizontal="center"/>
      <protection locked="0"/>
    </xf>
    <xf numFmtId="0" fontId="53" fillId="0" borderId="17" xfId="3" applyFont="1" applyBorder="1" applyAlignment="1">
      <alignment horizontal="center"/>
    </xf>
    <xf numFmtId="0" fontId="53" fillId="0" borderId="131" xfId="3" applyFont="1" applyBorder="1" applyAlignment="1">
      <alignment horizontal="center"/>
    </xf>
    <xf numFmtId="0" fontId="53" fillId="0" borderId="132" xfId="3" applyFont="1" applyBorder="1" applyAlignment="1">
      <alignment horizontal="center"/>
    </xf>
    <xf numFmtId="0" fontId="55" fillId="0" borderId="83" xfId="3" applyFont="1" applyBorder="1" applyAlignment="1">
      <alignment horizontal="center"/>
    </xf>
    <xf numFmtId="0" fontId="55" fillId="0" borderId="0" xfId="3" applyFont="1" applyAlignment="1">
      <alignment horizontal="center"/>
    </xf>
    <xf numFmtId="0" fontId="55" fillId="0" borderId="108" xfId="3" applyFont="1" applyBorder="1" applyAlignment="1">
      <alignment horizontal="center"/>
    </xf>
    <xf numFmtId="0" fontId="60" fillId="0" borderId="83" xfId="3" applyFont="1" applyBorder="1" applyAlignment="1">
      <alignment horizontal="center"/>
    </xf>
    <xf numFmtId="0" fontId="60" fillId="0" borderId="0" xfId="3" applyFont="1" applyAlignment="1">
      <alignment horizontal="center"/>
    </xf>
    <xf numFmtId="0" fontId="60" fillId="0" borderId="108" xfId="3" applyFont="1" applyBorder="1" applyAlignment="1">
      <alignment horizontal="center"/>
    </xf>
    <xf numFmtId="0" fontId="57" fillId="0" borderId="17" xfId="3" applyFont="1" applyBorder="1" applyAlignment="1">
      <alignment horizontal="right"/>
    </xf>
    <xf numFmtId="0" fontId="57" fillId="0" borderId="131" xfId="3" applyFont="1" applyBorder="1" applyAlignment="1">
      <alignment horizontal="right"/>
    </xf>
    <xf numFmtId="0" fontId="32" fillId="0" borderId="0" xfId="3" applyFont="1" applyAlignment="1">
      <alignment horizontal="center"/>
    </xf>
    <xf numFmtId="0" fontId="58" fillId="0" borderId="0" xfId="3" applyFont="1" applyAlignment="1">
      <alignment horizontal="right"/>
    </xf>
    <xf numFmtId="0" fontId="57" fillId="0" borderId="1" xfId="3" applyFont="1" applyBorder="1" applyAlignment="1">
      <alignment horizontal="center"/>
    </xf>
    <xf numFmtId="0" fontId="32" fillId="0" borderId="17" xfId="3" applyFont="1" applyBorder="1" applyAlignment="1">
      <alignment horizontal="center"/>
    </xf>
    <xf numFmtId="0" fontId="32" fillId="0" borderId="131" xfId="3" applyFont="1" applyBorder="1" applyAlignment="1">
      <alignment horizontal="center"/>
    </xf>
    <xf numFmtId="0" fontId="32" fillId="0" borderId="132" xfId="3" applyFont="1" applyBorder="1" applyAlignment="1">
      <alignment horizontal="center"/>
    </xf>
    <xf numFmtId="0" fontId="58" fillId="0" borderId="1" xfId="3" applyFont="1" applyBorder="1" applyAlignment="1">
      <alignment horizontal="center"/>
    </xf>
    <xf numFmtId="0" fontId="6" fillId="0" borderId="0" xfId="3" applyFont="1" applyAlignment="1">
      <alignment horizontal="center"/>
    </xf>
    <xf numFmtId="0" fontId="59" fillId="0" borderId="17" xfId="3" applyFont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rmal 4" xfId="4" xr:uid="{00000000-0005-0000-0000-000003000000}"/>
    <cellStyle name="Normal_PROJ_REV_HIST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73.219229829192557</c:v>
                </c:pt>
                <c:pt idx="2">
                  <c:v>225</c:v>
                </c:pt>
                <c:pt idx="3">
                  <c:v>171.82635845230351</c:v>
                </c:pt>
                <c:pt idx="4">
                  <c:v>123.22372500852882</c:v>
                </c:pt>
                <c:pt idx="5">
                  <c:v>97.564850927585212</c:v>
                </c:pt>
                <c:pt idx="6">
                  <c:v>79.878041597602049</c:v>
                </c:pt>
                <c:pt idx="7">
                  <c:v>73.5</c:v>
                </c:pt>
                <c:pt idx="8">
                  <c:v>73.837935527232716</c:v>
                </c:pt>
                <c:pt idx="9">
                  <c:v>75.147652944090339</c:v>
                </c:pt>
                <c:pt idx="10">
                  <c:v>77.919082319893832</c:v>
                </c:pt>
                <c:pt idx="11">
                  <c:v>82.902451353867306</c:v>
                </c:pt>
                <c:pt idx="12">
                  <c:v>91.31780941271947</c:v>
                </c:pt>
                <c:pt idx="13">
                  <c:v>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67-4850-B9FA-26199C30148A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98.400001525878906</c:v>
                </c:pt>
                <c:pt idx="2">
                  <c:v>89.75</c:v>
                </c:pt>
                <c:pt idx="3">
                  <c:v>76.228569030761719</c:v>
                </c:pt>
                <c:pt idx="4">
                  <c:v>62.857139587402344</c:v>
                </c:pt>
                <c:pt idx="5">
                  <c:v>51.25714111328125</c:v>
                </c:pt>
                <c:pt idx="6">
                  <c:v>33.485713958740234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467-4850-B9FA-26199C301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247272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0.20061810314655304</c:v>
                </c:pt>
                <c:pt idx="1">
                  <c:v>79.415153503417969</c:v>
                </c:pt>
                <c:pt idx="2">
                  <c:v>299.70626831054688</c:v>
                </c:pt>
                <c:pt idx="3">
                  <c:v>409.80865478515625</c:v>
                </c:pt>
                <c:pt idx="4">
                  <c:v>450.24554443359375</c:v>
                </c:pt>
                <c:pt idx="5">
                  <c:v>468.88885498046875</c:v>
                </c:pt>
                <c:pt idx="6">
                  <c:v>486.64703369140625</c:v>
                </c:pt>
                <c:pt idx="7">
                  <c:v>496.389892578125</c:v>
                </c:pt>
                <c:pt idx="8">
                  <c:v>503.6629638671875</c:v>
                </c:pt>
                <c:pt idx="9">
                  <c:v>509.85635375976563</c:v>
                </c:pt>
                <c:pt idx="10">
                  <c:v>515.40191650390625</c:v>
                </c:pt>
                <c:pt idx="11">
                  <c:v>520.29998779296875</c:v>
                </c:pt>
                <c:pt idx="12">
                  <c:v>524.8045654296875</c:v>
                </c:pt>
                <c:pt idx="13">
                  <c:v>528.9473876953125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67-4850-B9FA-26199C301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61247272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61247272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19552008"/>
          <c:y val="2.85171408788625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73.219229829192557</c:v>
                </c:pt>
                <c:pt idx="2">
                  <c:v>225</c:v>
                </c:pt>
                <c:pt idx="3">
                  <c:v>171.82635845230351</c:v>
                </c:pt>
                <c:pt idx="4">
                  <c:v>123.22372500852882</c:v>
                </c:pt>
                <c:pt idx="5">
                  <c:v>97.564850927585212</c:v>
                </c:pt>
                <c:pt idx="6">
                  <c:v>79.878041597602049</c:v>
                </c:pt>
                <c:pt idx="7">
                  <c:v>73.5</c:v>
                </c:pt>
                <c:pt idx="8">
                  <c:v>73.837935527232716</c:v>
                </c:pt>
                <c:pt idx="9">
                  <c:v>75.147652944090339</c:v>
                </c:pt>
                <c:pt idx="10">
                  <c:v>77.919082319893832</c:v>
                </c:pt>
                <c:pt idx="11">
                  <c:v>82.902451353867306</c:v>
                </c:pt>
                <c:pt idx="12">
                  <c:v>91.31780941271947</c:v>
                </c:pt>
                <c:pt idx="13">
                  <c:v>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6F-4D7B-B439-95CB4D13E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156200"/>
        <c:axId val="1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0.20061810314655304</c:v>
                </c:pt>
                <c:pt idx="1">
                  <c:v>79.415153503417969</c:v>
                </c:pt>
                <c:pt idx="2">
                  <c:v>299.70626831054688</c:v>
                </c:pt>
                <c:pt idx="3">
                  <c:v>409.80865478515625</c:v>
                </c:pt>
                <c:pt idx="4">
                  <c:v>450.24554443359375</c:v>
                </c:pt>
                <c:pt idx="5">
                  <c:v>468.88885498046875</c:v>
                </c:pt>
                <c:pt idx="6">
                  <c:v>486.64703369140625</c:v>
                </c:pt>
                <c:pt idx="7">
                  <c:v>496.389892578125</c:v>
                </c:pt>
                <c:pt idx="8">
                  <c:v>503.6629638671875</c:v>
                </c:pt>
                <c:pt idx="9">
                  <c:v>509.85635375976563</c:v>
                </c:pt>
                <c:pt idx="10">
                  <c:v>515.40191650390625</c:v>
                </c:pt>
                <c:pt idx="11">
                  <c:v>520.29998779296875</c:v>
                </c:pt>
                <c:pt idx="12">
                  <c:v>524.8045654296875</c:v>
                </c:pt>
                <c:pt idx="13">
                  <c:v>528.9473876953125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6F-4D7B-B439-95CB4D13E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643156200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6807607955"/>
              <c:y val="0.846008445646748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47053536117E-2"/>
              <c:y val="0.296578063861649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43156200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741487793"/>
              <c:y val="0.2927759125968149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657570200985149"/>
          <c:y val="0.9401842503582758"/>
          <c:w val="0.29863049653039947"/>
          <c:h val="4.294478527607359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528.9473684210526</c:v>
                </c:pt>
                <c:pt idx="1">
                  <c:v>459.30521052631576</c:v>
                </c:pt>
                <c:pt idx="2">
                  <c:v>389.64215789473684</c:v>
                </c:pt>
                <c:pt idx="3">
                  <c:v>320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13.129310607910156</c:v>
                </c:pt>
                <c:pt idx="1">
                  <c:v>17.412619099094801</c:v>
                </c:pt>
                <c:pt idx="2">
                  <c:v>24.195520248826849</c:v>
                </c:pt>
                <c:pt idx="3">
                  <c:v>35.87293311427257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42-44A1-9F95-211EBAEA4790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528.9473684210526</c:v>
                </c:pt>
                <c:pt idx="1">
                  <c:v>459.30521052631576</c:v>
                </c:pt>
                <c:pt idx="2">
                  <c:v>389.64215789473684</c:v>
                </c:pt>
                <c:pt idx="3">
                  <c:v>320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6.5169784000941693</c:v>
                </c:pt>
                <c:pt idx="1">
                  <c:v>8.6430785245875672</c:v>
                </c:pt>
                <c:pt idx="2">
                  <c:v>12.00989812409842</c:v>
                </c:pt>
                <c:pt idx="3">
                  <c:v>17.806199977696267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42-44A1-9F95-211EBAEA4790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220</c:v>
                </c:pt>
                <c:pt idx="1">
                  <c:v>120</c:v>
                </c:pt>
                <c:pt idx="2">
                  <c:v>225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36.016886473404398</c:v>
                </c:pt>
                <c:pt idx="3">
                  <c:v>56.276385114694385</c:v>
                </c:pt>
                <c:pt idx="4">
                  <c:v>86.72318086640179</c:v>
                </c:pt>
                <c:pt idx="5" formatCode="0">
                  <c:v>200</c:v>
                </c:pt>
                <c:pt idx="6" formatCode="0">
                  <c:v>400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42-44A1-9F95-211EBAEA4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588712"/>
        <c:axId val="1"/>
      </c:scatterChart>
      <c:valAx>
        <c:axId val="96458871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36488268916"/>
              <c:y val="0.94970480271111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02075755759E-2"/>
              <c:y val="0.375739950763911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458871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4000V'!$B$54:$B$59</c:f>
              <c:numCache>
                <c:formatCode>0.0</c:formatCode>
                <c:ptCount val="6"/>
                <c:pt idx="1">
                  <c:v>91.416275024414063</c:v>
                </c:pt>
                <c:pt idx="2">
                  <c:v>93.978996276855469</c:v>
                </c:pt>
                <c:pt idx="3">
                  <c:v>94.521675109863281</c:v>
                </c:pt>
                <c:pt idx="4">
                  <c:v>94.517562866210938</c:v>
                </c:pt>
                <c:pt idx="5">
                  <c:v>94.297409057617188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06-466C-8BF7-DDB844B423B7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4000V'!$A$55:$A$59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4000V'!$C$55:$C$59</c:f>
              <c:numCache>
                <c:formatCode>0.0</c:formatCode>
                <c:ptCount val="5"/>
                <c:pt idx="0">
                  <c:v>69.679374694824219</c:v>
                </c:pt>
                <c:pt idx="1">
                  <c:v>84.760627746582031</c:v>
                </c:pt>
                <c:pt idx="2">
                  <c:v>88.614799499511719</c:v>
                </c:pt>
                <c:pt idx="3">
                  <c:v>89.619064331054688</c:v>
                </c:pt>
                <c:pt idx="4">
                  <c:v>89.475593566894531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06-466C-8BF7-DDB844B423B7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4000V'!$E$54:$E$59</c:f>
              <c:numCache>
                <c:formatCode>0.0</c:formatCode>
                <c:ptCount val="6"/>
                <c:pt idx="0">
                  <c:v>100</c:v>
                </c:pt>
                <c:pt idx="1">
                  <c:v>82.939900876660417</c:v>
                </c:pt>
                <c:pt idx="2">
                  <c:v>73.888071429787885</c:v>
                </c:pt>
                <c:pt idx="3">
                  <c:v>64.618119524518903</c:v>
                </c:pt>
                <c:pt idx="4">
                  <c:v>54.813881172005097</c:v>
                </c:pt>
                <c:pt idx="5">
                  <c:v>45.344791869173086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06-466C-8BF7-DDB844B423B7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4000V'!$F$54:$F$59</c:f>
              <c:numCache>
                <c:formatCode>0.0</c:formatCode>
                <c:ptCount val="6"/>
                <c:pt idx="0">
                  <c:v>2</c:v>
                </c:pt>
                <c:pt idx="1">
                  <c:v>10.164144747922077</c:v>
                </c:pt>
                <c:pt idx="2">
                  <c:v>19.773955419990582</c:v>
                </c:pt>
                <c:pt idx="3">
                  <c:v>29.490642096463926</c:v>
                </c:pt>
                <c:pt idx="4">
                  <c:v>39.322562655714265</c:v>
                </c:pt>
                <c:pt idx="5">
                  <c:v>49.267963767279738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06-466C-8BF7-DDB844B42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349232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4000V'!$D$54:$D$59</c:f>
              <c:numCache>
                <c:formatCode>0.0</c:formatCode>
                <c:ptCount val="6"/>
                <c:pt idx="0">
                  <c:v>23.693801131128733</c:v>
                </c:pt>
                <c:pt idx="1">
                  <c:v>37.899303436279297</c:v>
                </c:pt>
                <c:pt idx="2">
                  <c:v>60.612751007080078</c:v>
                </c:pt>
                <c:pt idx="3">
                  <c:v>86.465446472167969</c:v>
                </c:pt>
                <c:pt idx="4">
                  <c:v>114.00031280517578</c:v>
                </c:pt>
                <c:pt idx="5">
                  <c:v>143.06211853027344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06-466C-8BF7-DDB844B42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68349232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1626058835"/>
              <c:y val="0.920456412414097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4424174911"/>
              <c:y val="0.255682314519845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8349232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184806102"/>
              <c:y val="0.32007633587786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2300V'!$B$54:$B$59</c:f>
              <c:numCache>
                <c:formatCode>0.0</c:formatCode>
                <c:ptCount val="6"/>
                <c:pt idx="1">
                  <c:v>91.416275024414063</c:v>
                </c:pt>
                <c:pt idx="2">
                  <c:v>93.978996276855469</c:v>
                </c:pt>
                <c:pt idx="3">
                  <c:v>94.521675109863281</c:v>
                </c:pt>
                <c:pt idx="4">
                  <c:v>94.517562866210938</c:v>
                </c:pt>
                <c:pt idx="5">
                  <c:v>94.297409057617188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26-4F6C-9E58-347644391FE1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2300V'!$A$55:$A$59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2300V'!$C$55:$C$59</c:f>
              <c:numCache>
                <c:formatCode>0.0</c:formatCode>
                <c:ptCount val="5"/>
                <c:pt idx="0">
                  <c:v>69.679374694824219</c:v>
                </c:pt>
                <c:pt idx="1">
                  <c:v>84.760627746582031</c:v>
                </c:pt>
                <c:pt idx="2">
                  <c:v>88.614799499511719</c:v>
                </c:pt>
                <c:pt idx="3">
                  <c:v>89.619064331054688</c:v>
                </c:pt>
                <c:pt idx="4">
                  <c:v>89.475593566894531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26-4F6C-9E58-347644391FE1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2300V'!$E$54:$E$59</c:f>
              <c:numCache>
                <c:formatCode>0.0</c:formatCode>
                <c:ptCount val="6"/>
                <c:pt idx="0">
                  <c:v>100</c:v>
                </c:pt>
                <c:pt idx="1">
                  <c:v>82.939900876660417</c:v>
                </c:pt>
                <c:pt idx="2">
                  <c:v>73.888071429787885</c:v>
                </c:pt>
                <c:pt idx="3">
                  <c:v>64.618119524518903</c:v>
                </c:pt>
                <c:pt idx="4">
                  <c:v>54.813881172005097</c:v>
                </c:pt>
                <c:pt idx="5">
                  <c:v>45.344791869173086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26-4F6C-9E58-347644391FE1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2300V'!$F$54:$F$59</c:f>
              <c:numCache>
                <c:formatCode>0.0</c:formatCode>
                <c:ptCount val="6"/>
                <c:pt idx="0">
                  <c:v>2</c:v>
                </c:pt>
                <c:pt idx="1">
                  <c:v>10.164144747922077</c:v>
                </c:pt>
                <c:pt idx="2">
                  <c:v>19.773955419990582</c:v>
                </c:pt>
                <c:pt idx="3">
                  <c:v>29.490642096463926</c:v>
                </c:pt>
                <c:pt idx="4">
                  <c:v>39.322562655714265</c:v>
                </c:pt>
                <c:pt idx="5">
                  <c:v>49.267963767279738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26-4F6C-9E58-347644391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349232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2300V'!$D$54:$D$59</c:f>
              <c:numCache>
                <c:formatCode>0.0</c:formatCode>
                <c:ptCount val="6"/>
                <c:pt idx="0">
                  <c:v>23.693801131128733</c:v>
                </c:pt>
                <c:pt idx="1">
                  <c:v>37.899303436279297</c:v>
                </c:pt>
                <c:pt idx="2">
                  <c:v>60.612751007080078</c:v>
                </c:pt>
                <c:pt idx="3">
                  <c:v>86.465446472167969</c:v>
                </c:pt>
                <c:pt idx="4">
                  <c:v>114.00031280517578</c:v>
                </c:pt>
                <c:pt idx="5">
                  <c:v>143.06211853027344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026-4F6C-9E58-347644391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68349232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1626058835"/>
              <c:y val="0.920456412414097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4424174911"/>
              <c:y val="0.255682314519845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8349232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184806102"/>
              <c:y val="0.32007633587786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56</xdr:row>
      <xdr:rowOff>7620</xdr:rowOff>
    </xdr:from>
    <xdr:to>
      <xdr:col>9</xdr:col>
      <xdr:colOff>838200</xdr:colOff>
      <xdr:row>67</xdr:row>
      <xdr:rowOff>182880</xdr:rowOff>
    </xdr:to>
    <xdr:graphicFrame macro="">
      <xdr:nvGraphicFramePr>
        <xdr:cNvPr id="2066" name="Chart 1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358140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402580" y="9883140"/>
          <a:ext cx="2057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</xdr:colOff>
      <xdr:row>43</xdr:row>
      <xdr:rowOff>0</xdr:rowOff>
    </xdr:from>
    <xdr:to>
      <xdr:col>9</xdr:col>
      <xdr:colOff>320040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265420" y="988314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30480</xdr:colOff>
      <xdr:row>43</xdr:row>
      <xdr:rowOff>0</xdr:rowOff>
    </xdr:from>
    <xdr:to>
      <xdr:col>9</xdr:col>
      <xdr:colOff>335280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280660" y="988314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403860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250180" y="9883140"/>
          <a:ext cx="4038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137160</xdr:colOff>
      <xdr:row>43</xdr:row>
      <xdr:rowOff>0</xdr:rowOff>
    </xdr:from>
    <xdr:to>
      <xdr:col>9</xdr:col>
      <xdr:colOff>350520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387340" y="9883140"/>
          <a:ext cx="2133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29</xdr:row>
      <xdr:rowOff>85725</xdr:rowOff>
    </xdr:from>
    <xdr:to>
      <xdr:col>3</xdr:col>
      <xdr:colOff>449636</xdr:colOff>
      <xdr:row>29</xdr:row>
      <xdr:rowOff>202266</xdr:rowOff>
    </xdr:to>
    <xdr:sp macro="" textlink="">
      <xdr:nvSpPr>
        <xdr:cNvPr id="7" name="Depth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861185" y="6768465"/>
          <a:ext cx="249611" cy="116541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57.0</a:t>
          </a:r>
        </a:p>
      </xdr:txBody>
    </xdr:sp>
    <xdr:clientData/>
  </xdr:twoCellAnchor>
  <xdr:twoCellAnchor>
    <xdr:from>
      <xdr:col>1</xdr:col>
      <xdr:colOff>87630</xdr:colOff>
      <xdr:row>31</xdr:row>
      <xdr:rowOff>0</xdr:rowOff>
    </xdr:from>
    <xdr:to>
      <xdr:col>2</xdr:col>
      <xdr:colOff>76276</xdr:colOff>
      <xdr:row>31</xdr:row>
      <xdr:rowOff>104775</xdr:rowOff>
    </xdr:to>
    <xdr:sp macro="" textlink="">
      <xdr:nvSpPr>
        <xdr:cNvPr id="8" name="Tip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880110" y="7139940"/>
          <a:ext cx="392506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211455</xdr:colOff>
      <xdr:row>26</xdr:row>
      <xdr:rowOff>200025</xdr:rowOff>
    </xdr:from>
    <xdr:to>
      <xdr:col>3</xdr:col>
      <xdr:colOff>47725</xdr:colOff>
      <xdr:row>27</xdr:row>
      <xdr:rowOff>66675</xdr:rowOff>
    </xdr:to>
    <xdr:sp macro="" textlink="">
      <xdr:nvSpPr>
        <xdr:cNvPr id="9" name="Width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07795" y="6196965"/>
          <a:ext cx="30109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14.0</a:t>
          </a:r>
        </a:p>
      </xdr:txBody>
    </xdr:sp>
    <xdr:clientData/>
  </xdr:twoCellAnchor>
  <xdr:twoCellAnchor>
    <xdr:from>
      <xdr:col>1</xdr:col>
      <xdr:colOff>388620</xdr:colOff>
      <xdr:row>27</xdr:row>
      <xdr:rowOff>60960</xdr:rowOff>
    </xdr:from>
    <xdr:to>
      <xdr:col>3</xdr:col>
      <xdr:colOff>434340</xdr:colOff>
      <xdr:row>31</xdr:row>
      <xdr:rowOff>220980</xdr:rowOff>
    </xdr:to>
    <xdr:grpSp>
      <xdr:nvGrpSpPr>
        <xdr:cNvPr id="10" name="Group 53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>
          <a:grpSpLocks/>
        </xdr:cNvGrpSpPr>
      </xdr:nvGrpSpPr>
      <xdr:grpSpPr bwMode="auto">
        <a:xfrm>
          <a:off x="1160145" y="6299835"/>
          <a:ext cx="883920" cy="1074420"/>
          <a:chOff x="126" y="661"/>
          <a:chExt cx="99" cy="113"/>
        </a:xfrm>
      </xdr:grpSpPr>
      <xdr:sp macro="" textlink="">
        <xdr:nvSpPr>
          <xdr:cNvPr id="11" name="Line 298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675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99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2" y="676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00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675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01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>
            <a:off x="144" y="676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02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03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8" y="753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04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05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53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06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145" y="75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07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63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08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9" y="763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09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>
            <a:off x="198" y="677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10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8" y="678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11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>
            <a:off x="208" y="732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12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64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13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3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14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>
            <a:off x="126" y="748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15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1" y="661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16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" y="662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317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152" y="66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18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667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9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0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21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8" y="746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22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747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422910</xdr:colOff>
      <xdr:row>42</xdr:row>
      <xdr:rowOff>180975</xdr:rowOff>
    </xdr:from>
    <xdr:to>
      <xdr:col>3</xdr:col>
      <xdr:colOff>297269</xdr:colOff>
      <xdr:row>43</xdr:row>
      <xdr:rowOff>66675</xdr:rowOff>
    </xdr:to>
    <xdr:sp macro="" textlink="">
      <xdr:nvSpPr>
        <xdr:cNvPr id="36" name="Area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1619250" y="9835515"/>
          <a:ext cx="339179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2800.0</a:t>
          </a:r>
        </a:p>
      </xdr:txBody>
    </xdr:sp>
    <xdr:clientData/>
  </xdr:twoCellAnchor>
  <xdr:twoCellAnchor>
    <xdr:from>
      <xdr:col>1</xdr:col>
      <xdr:colOff>249555</xdr:colOff>
      <xdr:row>40</xdr:row>
      <xdr:rowOff>200025</xdr:rowOff>
    </xdr:from>
    <xdr:to>
      <xdr:col>2</xdr:col>
      <xdr:colOff>240030</xdr:colOff>
      <xdr:row>41</xdr:row>
      <xdr:rowOff>104775</xdr:rowOff>
    </xdr:to>
    <xdr:sp macro="" textlink="">
      <xdr:nvSpPr>
        <xdr:cNvPr id="37" name="OD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1042035" y="9397365"/>
          <a:ext cx="394335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332.2</a:t>
          </a:r>
        </a:p>
      </xdr:txBody>
    </xdr:sp>
    <xdr:clientData/>
  </xdr:twoCellAnchor>
  <xdr:twoCellAnchor>
    <xdr:from>
      <xdr:col>2</xdr:col>
      <xdr:colOff>66675</xdr:colOff>
      <xdr:row>40</xdr:row>
      <xdr:rowOff>57150</xdr:rowOff>
    </xdr:from>
    <xdr:to>
      <xdr:col>2</xdr:col>
      <xdr:colOff>335227</xdr:colOff>
      <xdr:row>40</xdr:row>
      <xdr:rowOff>152400</xdr:rowOff>
    </xdr:to>
    <xdr:sp macro="" textlink="">
      <xdr:nvSpPr>
        <xdr:cNvPr id="38" name="Height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1263015" y="9254490"/>
          <a:ext cx="268552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43.0</a:t>
          </a:r>
        </a:p>
      </xdr:txBody>
    </xdr:sp>
    <xdr:clientData/>
  </xdr:twoCellAnchor>
  <xdr:twoCellAnchor>
    <xdr:from>
      <xdr:col>2</xdr:col>
      <xdr:colOff>344805</xdr:colOff>
      <xdr:row>40</xdr:row>
      <xdr:rowOff>57150</xdr:rowOff>
    </xdr:from>
    <xdr:to>
      <xdr:col>3</xdr:col>
      <xdr:colOff>173355</xdr:colOff>
      <xdr:row>40</xdr:row>
      <xdr:rowOff>180975</xdr:rowOff>
    </xdr:to>
    <xdr:sp macro="" textlink="">
      <xdr:nvSpPr>
        <xdr:cNvPr id="39" name="Thickness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1541145" y="9254490"/>
          <a:ext cx="29337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70.0</a:t>
          </a:r>
        </a:p>
      </xdr:txBody>
    </xdr:sp>
    <xdr:clientData/>
  </xdr:twoCellAnchor>
  <xdr:twoCellAnchor>
    <xdr:from>
      <xdr:col>1</xdr:col>
      <xdr:colOff>287655</xdr:colOff>
      <xdr:row>42</xdr:row>
      <xdr:rowOff>0</xdr:rowOff>
    </xdr:from>
    <xdr:to>
      <xdr:col>2</xdr:col>
      <xdr:colOff>182880</xdr:colOff>
      <xdr:row>42</xdr:row>
      <xdr:rowOff>123825</xdr:rowOff>
    </xdr:to>
    <xdr:sp macro="" textlink="">
      <xdr:nvSpPr>
        <xdr:cNvPr id="40" name="ID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080135" y="9654540"/>
          <a:ext cx="29908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246.2</a:t>
          </a:r>
        </a:p>
      </xdr:txBody>
    </xdr:sp>
    <xdr:clientData/>
  </xdr:twoCellAnchor>
  <xdr:twoCellAnchor>
    <xdr:from>
      <xdr:col>3</xdr:col>
      <xdr:colOff>125730</xdr:colOff>
      <xdr:row>32</xdr:row>
      <xdr:rowOff>85725</xdr:rowOff>
    </xdr:from>
    <xdr:to>
      <xdr:col>3</xdr:col>
      <xdr:colOff>373380</xdr:colOff>
      <xdr:row>32</xdr:row>
      <xdr:rowOff>200025</xdr:rowOff>
    </xdr:to>
    <xdr:sp macro="" textlink="">
      <xdr:nvSpPr>
        <xdr:cNvPr id="41" name="Tip2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1786890" y="7454265"/>
          <a:ext cx="24765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1.00</a:t>
          </a:r>
        </a:p>
      </xdr:txBody>
    </xdr:sp>
    <xdr:clientData/>
  </xdr:twoCellAnchor>
  <xdr:twoCellAnchor>
    <xdr:from>
      <xdr:col>3</xdr:col>
      <xdr:colOff>201930</xdr:colOff>
      <xdr:row>35</xdr:row>
      <xdr:rowOff>47625</xdr:rowOff>
    </xdr:from>
    <xdr:to>
      <xdr:col>3</xdr:col>
      <xdr:colOff>470482</xdr:colOff>
      <xdr:row>35</xdr:row>
      <xdr:rowOff>161925</xdr:rowOff>
    </xdr:to>
    <xdr:sp macro="" textlink="">
      <xdr:nvSpPr>
        <xdr:cNvPr id="42" name="Depth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863090" y="8101965"/>
          <a:ext cx="268552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35.00</a:t>
          </a:r>
        </a:p>
      </xdr:txBody>
    </xdr:sp>
    <xdr:clientData/>
  </xdr:twoCellAnchor>
  <xdr:twoCellAnchor>
    <xdr:from>
      <xdr:col>2</xdr:col>
      <xdr:colOff>394335</xdr:colOff>
      <xdr:row>33</xdr:row>
      <xdr:rowOff>142875</xdr:rowOff>
    </xdr:from>
    <xdr:to>
      <xdr:col>3</xdr:col>
      <xdr:colOff>163767</xdr:colOff>
      <xdr:row>34</xdr:row>
      <xdr:rowOff>9525</xdr:rowOff>
    </xdr:to>
    <xdr:sp macro="" textlink="">
      <xdr:nvSpPr>
        <xdr:cNvPr id="43" name="Hat Depth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1590675" y="7740015"/>
          <a:ext cx="234252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2.0</a:t>
          </a:r>
        </a:p>
      </xdr:txBody>
    </xdr:sp>
    <xdr:clientData/>
  </xdr:twoCellAnchor>
  <xdr:twoCellAnchor>
    <xdr:from>
      <xdr:col>2</xdr:col>
      <xdr:colOff>382905</xdr:colOff>
      <xdr:row>34</xdr:row>
      <xdr:rowOff>38100</xdr:rowOff>
    </xdr:from>
    <xdr:to>
      <xdr:col>3</xdr:col>
      <xdr:colOff>173355</xdr:colOff>
      <xdr:row>34</xdr:row>
      <xdr:rowOff>161925</xdr:rowOff>
    </xdr:to>
    <xdr:sp macro="" textlink="">
      <xdr:nvSpPr>
        <xdr:cNvPr id="44" name="Up Bar Depth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1579245" y="7863840"/>
          <a:ext cx="25527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10.0</a:t>
          </a:r>
        </a:p>
      </xdr:txBody>
    </xdr:sp>
    <xdr:clientData/>
  </xdr:twoCellAnchor>
  <xdr:twoCellAnchor>
    <xdr:from>
      <xdr:col>1</xdr:col>
      <xdr:colOff>352425</xdr:colOff>
      <xdr:row>34</xdr:row>
      <xdr:rowOff>19050</xdr:rowOff>
    </xdr:from>
    <xdr:to>
      <xdr:col>2</xdr:col>
      <xdr:colOff>135402</xdr:colOff>
      <xdr:row>34</xdr:row>
      <xdr:rowOff>171450</xdr:rowOff>
    </xdr:to>
    <xdr:sp macro="" textlink="">
      <xdr:nvSpPr>
        <xdr:cNvPr id="45" name="Up Bar Width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1144905" y="7844790"/>
          <a:ext cx="186837" cy="1524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7.0</a:t>
          </a:r>
        </a:p>
      </xdr:txBody>
    </xdr:sp>
    <xdr:clientData/>
  </xdr:twoCellAnchor>
  <xdr:twoCellAnchor>
    <xdr:from>
      <xdr:col>2</xdr:col>
      <xdr:colOff>163830</xdr:colOff>
      <xdr:row>35</xdr:row>
      <xdr:rowOff>85725</xdr:rowOff>
    </xdr:from>
    <xdr:to>
      <xdr:col>2</xdr:col>
      <xdr:colOff>459105</xdr:colOff>
      <xdr:row>35</xdr:row>
      <xdr:rowOff>190500</xdr:rowOff>
    </xdr:to>
    <xdr:sp macro="" textlink="">
      <xdr:nvSpPr>
        <xdr:cNvPr id="46" name="Width2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1360170" y="8140065"/>
          <a:ext cx="2952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17.51</a:t>
          </a:r>
        </a:p>
      </xdr:txBody>
    </xdr:sp>
    <xdr:clientData/>
  </xdr:twoCellAnchor>
  <xdr:twoCellAnchor>
    <xdr:from>
      <xdr:col>3</xdr:col>
      <xdr:colOff>49530</xdr:colOff>
      <xdr:row>36</xdr:row>
      <xdr:rowOff>19050</xdr:rowOff>
    </xdr:from>
    <xdr:to>
      <xdr:col>3</xdr:col>
      <xdr:colOff>344805</xdr:colOff>
      <xdr:row>36</xdr:row>
      <xdr:rowOff>142875</xdr:rowOff>
    </xdr:to>
    <xdr:sp macro="" textlink="">
      <xdr:nvSpPr>
        <xdr:cNvPr id="47" name="Low Bar Depth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1710690" y="8301990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22.00</a:t>
          </a:r>
        </a:p>
      </xdr:txBody>
    </xdr:sp>
    <xdr:clientData/>
  </xdr:twoCellAnchor>
  <xdr:twoCellAnchor>
    <xdr:from>
      <xdr:col>2</xdr:col>
      <xdr:colOff>182880</xdr:colOff>
      <xdr:row>36</xdr:row>
      <xdr:rowOff>152400</xdr:rowOff>
    </xdr:from>
    <xdr:to>
      <xdr:col>2</xdr:col>
      <xdr:colOff>411480</xdr:colOff>
      <xdr:row>37</xdr:row>
      <xdr:rowOff>28575</xdr:rowOff>
    </xdr:to>
    <xdr:sp macro="" textlink="">
      <xdr:nvSpPr>
        <xdr:cNvPr id="48" name="Width3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1379220" y="8435340"/>
          <a:ext cx="2286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13.43</a:t>
          </a:r>
        </a:p>
      </xdr:txBody>
    </xdr:sp>
    <xdr:clientData/>
  </xdr:twoCellAnchor>
  <xdr:twoCellAnchor>
    <xdr:from>
      <xdr:col>1</xdr:col>
      <xdr:colOff>160020</xdr:colOff>
      <xdr:row>39</xdr:row>
      <xdr:rowOff>91440</xdr:rowOff>
    </xdr:from>
    <xdr:to>
      <xdr:col>3</xdr:col>
      <xdr:colOff>533400</xdr:colOff>
      <xdr:row>43</xdr:row>
      <xdr:rowOff>68580</xdr:rowOff>
    </xdr:to>
    <xdr:grpSp>
      <xdr:nvGrpSpPr>
        <xdr:cNvPr id="49" name="Group 512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GrpSpPr>
          <a:grpSpLocks/>
        </xdr:cNvGrpSpPr>
      </xdr:nvGrpSpPr>
      <xdr:grpSpPr bwMode="auto">
        <a:xfrm>
          <a:off x="931545" y="9073515"/>
          <a:ext cx="1211580" cy="891540"/>
          <a:chOff x="102" y="929"/>
          <a:chExt cx="133" cy="93"/>
        </a:xfrm>
      </xdr:grpSpPr>
      <xdr:sp macro="" textlink="">
        <xdr:nvSpPr>
          <xdr:cNvPr id="50" name="Line 47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1" y="989"/>
            <a:ext cx="0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48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48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8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48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48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8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48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48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48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489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49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49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Text 1067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4" name="Text 1068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65" name="Text 1069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66" name="Line 49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49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49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498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499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0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0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50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503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50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0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06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Text 1067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Text 1068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80" name="Text 1069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81" name="Text 1071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63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sp macro="" textlink="">
        <xdr:nvSpPr>
          <xdr:cNvPr id="82" name="Text 107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91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358140</xdr:colOff>
      <xdr:row>44</xdr:row>
      <xdr:rowOff>0</xdr:rowOff>
    </xdr:to>
    <xdr:sp macro="" textlink="">
      <xdr:nvSpPr>
        <xdr:cNvPr id="83" name="Rectangle 513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rrowheads="1"/>
        </xdr:cNvSpPr>
      </xdr:nvSpPr>
      <xdr:spPr bwMode="auto">
        <a:xfrm>
          <a:off x="5402580" y="10096500"/>
          <a:ext cx="2057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</xdr:colOff>
      <xdr:row>44</xdr:row>
      <xdr:rowOff>0</xdr:rowOff>
    </xdr:from>
    <xdr:to>
      <xdr:col>9</xdr:col>
      <xdr:colOff>320040</xdr:colOff>
      <xdr:row>44</xdr:row>
      <xdr:rowOff>0</xdr:rowOff>
    </xdr:to>
    <xdr:sp macro="" textlink="">
      <xdr:nvSpPr>
        <xdr:cNvPr id="84" name="Rectangle 514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rrowheads="1"/>
        </xdr:cNvSpPr>
      </xdr:nvSpPr>
      <xdr:spPr bwMode="auto">
        <a:xfrm>
          <a:off x="5265420" y="1009650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30480</xdr:colOff>
      <xdr:row>44</xdr:row>
      <xdr:rowOff>0</xdr:rowOff>
    </xdr:from>
    <xdr:to>
      <xdr:col>9</xdr:col>
      <xdr:colOff>335280</xdr:colOff>
      <xdr:row>44</xdr:row>
      <xdr:rowOff>0</xdr:rowOff>
    </xdr:to>
    <xdr:sp macro="" textlink="">
      <xdr:nvSpPr>
        <xdr:cNvPr id="85" name="Rectangle 515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rrowheads="1"/>
        </xdr:cNvSpPr>
      </xdr:nvSpPr>
      <xdr:spPr bwMode="auto">
        <a:xfrm>
          <a:off x="5280660" y="1009650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403860</xdr:colOff>
      <xdr:row>44</xdr:row>
      <xdr:rowOff>0</xdr:rowOff>
    </xdr:to>
    <xdr:sp macro="" textlink="">
      <xdr:nvSpPr>
        <xdr:cNvPr id="86" name="Rectangle 51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rrowheads="1"/>
        </xdr:cNvSpPr>
      </xdr:nvSpPr>
      <xdr:spPr bwMode="auto">
        <a:xfrm>
          <a:off x="5250180" y="10096500"/>
          <a:ext cx="4038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137160</xdr:colOff>
      <xdr:row>44</xdr:row>
      <xdr:rowOff>0</xdr:rowOff>
    </xdr:from>
    <xdr:to>
      <xdr:col>9</xdr:col>
      <xdr:colOff>350520</xdr:colOff>
      <xdr:row>44</xdr:row>
      <xdr:rowOff>0</xdr:rowOff>
    </xdr:to>
    <xdr:sp macro="" textlink="">
      <xdr:nvSpPr>
        <xdr:cNvPr id="87" name="Rectangle 517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rrowheads="1"/>
        </xdr:cNvSpPr>
      </xdr:nvSpPr>
      <xdr:spPr bwMode="auto">
        <a:xfrm>
          <a:off x="5387340" y="10096500"/>
          <a:ext cx="2133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373380</xdr:colOff>
      <xdr:row>32</xdr:row>
      <xdr:rowOff>182880</xdr:rowOff>
    </xdr:from>
    <xdr:to>
      <xdr:col>3</xdr:col>
      <xdr:colOff>320040</xdr:colOff>
      <xdr:row>37</xdr:row>
      <xdr:rowOff>152400</xdr:rowOff>
    </xdr:to>
    <xdr:grpSp>
      <xdr:nvGrpSpPr>
        <xdr:cNvPr id="88" name="Group 523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GrpSpPr>
          <a:grpSpLocks/>
        </xdr:cNvGrpSpPr>
      </xdr:nvGrpSpPr>
      <xdr:grpSpPr bwMode="auto">
        <a:xfrm>
          <a:off x="1144905" y="7564755"/>
          <a:ext cx="784860" cy="1112520"/>
          <a:chOff x="774" y="670"/>
          <a:chExt cx="87" cy="117"/>
        </a:xfrm>
      </xdr:grpSpPr>
      <xdr:grpSp>
        <xdr:nvGrpSpPr>
          <xdr:cNvPr id="89" name="Group 522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GrpSpPr>
            <a:grpSpLocks/>
          </xdr:cNvGrpSpPr>
        </xdr:nvGrpSpPr>
        <xdr:grpSpPr bwMode="auto">
          <a:xfrm>
            <a:off x="774" y="670"/>
            <a:ext cx="87" cy="117"/>
            <a:chOff x="774" y="670"/>
            <a:chExt cx="87" cy="117"/>
          </a:xfrm>
        </xdr:grpSpPr>
        <xdr:sp macro="" textlink="">
          <xdr:nvSpPr>
            <xdr:cNvPr id="91" name="Line 404">
              <a:extLst>
                <a:ext uri="{FF2B5EF4-FFF2-40B4-BE49-F238E27FC236}">
                  <a16:creationId xmlns:a16="http://schemas.microsoft.com/office/drawing/2014/main" id="{00000000-0008-0000-0100-00005B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88"/>
              <a:ext cx="10" cy="1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2" name="Line 405">
              <a:extLst>
                <a:ext uri="{FF2B5EF4-FFF2-40B4-BE49-F238E27FC236}">
                  <a16:creationId xmlns:a16="http://schemas.microsoft.com/office/drawing/2014/main" id="{00000000-0008-0000-0100-00005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12" cy="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" name="Line 406">
              <a:extLst>
                <a:ext uri="{FF2B5EF4-FFF2-40B4-BE49-F238E27FC236}">
                  <a16:creationId xmlns:a16="http://schemas.microsoft.com/office/drawing/2014/main" id="{00000000-0008-0000-0100-00005D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99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" name="Line 407">
              <a:extLst>
                <a:ext uri="{FF2B5EF4-FFF2-40B4-BE49-F238E27FC236}">
                  <a16:creationId xmlns:a16="http://schemas.microsoft.com/office/drawing/2014/main" id="{00000000-0008-0000-0100-00005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5" name="Line 408">
              <a:extLst>
                <a:ext uri="{FF2B5EF4-FFF2-40B4-BE49-F238E27FC236}">
                  <a16:creationId xmlns:a16="http://schemas.microsoft.com/office/drawing/2014/main" id="{00000000-0008-0000-0100-00005F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85" y="721"/>
              <a:ext cx="1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6" name="Line 409">
              <a:extLst>
                <a:ext uri="{FF2B5EF4-FFF2-40B4-BE49-F238E27FC236}">
                  <a16:creationId xmlns:a16="http://schemas.microsoft.com/office/drawing/2014/main" id="{00000000-0008-0000-0100-00006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21"/>
              <a:ext cx="1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Line 410">
              <a:extLst>
                <a:ext uri="{FF2B5EF4-FFF2-40B4-BE49-F238E27FC236}">
                  <a16:creationId xmlns:a16="http://schemas.microsoft.com/office/drawing/2014/main" id="{00000000-0008-0000-0100-00006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87"/>
              <a:ext cx="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8" name="Line 411">
              <a:extLst>
                <a:ext uri="{FF2B5EF4-FFF2-40B4-BE49-F238E27FC236}">
                  <a16:creationId xmlns:a16="http://schemas.microsoft.com/office/drawing/2014/main" id="{00000000-0008-0000-0100-00006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85" y="721"/>
              <a:ext cx="7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9" name="Line 412">
              <a:extLst>
                <a:ext uri="{FF2B5EF4-FFF2-40B4-BE49-F238E27FC236}">
                  <a16:creationId xmlns:a16="http://schemas.microsoft.com/office/drawing/2014/main" id="{00000000-0008-0000-0100-000063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24" y="721"/>
              <a:ext cx="8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0" name="Line 413">
              <a:extLst>
                <a:ext uri="{FF2B5EF4-FFF2-40B4-BE49-F238E27FC236}">
                  <a16:creationId xmlns:a16="http://schemas.microsoft.com/office/drawing/2014/main" id="{00000000-0008-0000-0100-000064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74" y="684"/>
              <a:ext cx="8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1" name="Line 414">
              <a:extLst>
                <a:ext uri="{FF2B5EF4-FFF2-40B4-BE49-F238E27FC236}">
                  <a16:creationId xmlns:a16="http://schemas.microsoft.com/office/drawing/2014/main" id="{00000000-0008-0000-0100-00006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8" y="711"/>
              <a:ext cx="2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2" name="Line 415">
              <a:extLst>
                <a:ext uri="{FF2B5EF4-FFF2-40B4-BE49-F238E27FC236}">
                  <a16:creationId xmlns:a16="http://schemas.microsoft.com/office/drawing/2014/main" id="{00000000-0008-0000-0100-00006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3" name="Line 416">
              <a:extLst>
                <a:ext uri="{FF2B5EF4-FFF2-40B4-BE49-F238E27FC236}">
                  <a16:creationId xmlns:a16="http://schemas.microsoft.com/office/drawing/2014/main" id="{00000000-0008-0000-0100-00006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2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4" name="Line 417">
              <a:extLst>
                <a:ext uri="{FF2B5EF4-FFF2-40B4-BE49-F238E27FC236}">
                  <a16:creationId xmlns:a16="http://schemas.microsoft.com/office/drawing/2014/main" id="{00000000-0008-0000-0100-000068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39"/>
              <a:ext cx="1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" name="Line 418">
              <a:extLst>
                <a:ext uri="{FF2B5EF4-FFF2-40B4-BE49-F238E27FC236}">
                  <a16:creationId xmlns:a16="http://schemas.microsoft.com/office/drawing/2014/main" id="{00000000-0008-0000-0100-00006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3" y="739"/>
              <a:ext cx="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" name="Line 419">
              <a:extLst>
                <a:ext uri="{FF2B5EF4-FFF2-40B4-BE49-F238E27FC236}">
                  <a16:creationId xmlns:a16="http://schemas.microsoft.com/office/drawing/2014/main" id="{00000000-0008-0000-0100-00006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11"/>
              <a:ext cx="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" name="Line 420">
              <a:extLst>
                <a:ext uri="{FF2B5EF4-FFF2-40B4-BE49-F238E27FC236}">
                  <a16:creationId xmlns:a16="http://schemas.microsoft.com/office/drawing/2014/main" id="{00000000-0008-0000-0100-00006B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" name="Line 421">
              <a:extLst>
                <a:ext uri="{FF2B5EF4-FFF2-40B4-BE49-F238E27FC236}">
                  <a16:creationId xmlns:a16="http://schemas.microsoft.com/office/drawing/2014/main" id="{00000000-0008-0000-0100-00006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" name="Line 422">
              <a:extLst>
                <a:ext uri="{FF2B5EF4-FFF2-40B4-BE49-F238E27FC236}">
                  <a16:creationId xmlns:a16="http://schemas.microsoft.com/office/drawing/2014/main" id="{00000000-0008-0000-0100-00006D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87"/>
              <a:ext cx="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Line 423">
              <a:extLst>
                <a:ext uri="{FF2B5EF4-FFF2-40B4-BE49-F238E27FC236}">
                  <a16:creationId xmlns:a16="http://schemas.microsoft.com/office/drawing/2014/main" id="{00000000-0008-0000-0100-00006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Line 424">
              <a:extLst>
                <a:ext uri="{FF2B5EF4-FFF2-40B4-BE49-F238E27FC236}">
                  <a16:creationId xmlns:a16="http://schemas.microsoft.com/office/drawing/2014/main" id="{00000000-0008-0000-0100-00006F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43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" name="Line 425">
              <a:extLst>
                <a:ext uri="{FF2B5EF4-FFF2-40B4-BE49-F238E27FC236}">
                  <a16:creationId xmlns:a16="http://schemas.microsoft.com/office/drawing/2014/main" id="{00000000-0008-0000-0100-00007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Line 426">
              <a:extLst>
                <a:ext uri="{FF2B5EF4-FFF2-40B4-BE49-F238E27FC236}">
                  <a16:creationId xmlns:a16="http://schemas.microsoft.com/office/drawing/2014/main" id="{00000000-0008-0000-0100-000071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43" y="67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4" name="Line 427">
              <a:extLst>
                <a:ext uri="{FF2B5EF4-FFF2-40B4-BE49-F238E27FC236}">
                  <a16:creationId xmlns:a16="http://schemas.microsoft.com/office/drawing/2014/main" id="{00000000-0008-0000-0100-00007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683"/>
              <a:ext cx="0" cy="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5" name="Line 429">
              <a:extLst>
                <a:ext uri="{FF2B5EF4-FFF2-40B4-BE49-F238E27FC236}">
                  <a16:creationId xmlns:a16="http://schemas.microsoft.com/office/drawing/2014/main" id="{00000000-0008-0000-0100-000073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430">
              <a:extLst>
                <a:ext uri="{FF2B5EF4-FFF2-40B4-BE49-F238E27FC236}">
                  <a16:creationId xmlns:a16="http://schemas.microsoft.com/office/drawing/2014/main" id="{00000000-0008-0000-0100-000074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792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431">
              <a:extLst>
                <a:ext uri="{FF2B5EF4-FFF2-40B4-BE49-F238E27FC236}">
                  <a16:creationId xmlns:a16="http://schemas.microsoft.com/office/drawing/2014/main" id="{00000000-0008-0000-0100-000075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432">
              <a:extLst>
                <a:ext uri="{FF2B5EF4-FFF2-40B4-BE49-F238E27FC236}">
                  <a16:creationId xmlns:a16="http://schemas.microsoft.com/office/drawing/2014/main" id="{00000000-0008-0000-0100-00007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2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433">
              <a:extLst>
                <a:ext uri="{FF2B5EF4-FFF2-40B4-BE49-F238E27FC236}">
                  <a16:creationId xmlns:a16="http://schemas.microsoft.com/office/drawing/2014/main" id="{00000000-0008-0000-0100-00007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17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434">
              <a:extLst>
                <a:ext uri="{FF2B5EF4-FFF2-40B4-BE49-F238E27FC236}">
                  <a16:creationId xmlns:a16="http://schemas.microsoft.com/office/drawing/2014/main" id="{00000000-0008-0000-0100-000078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57" y="684"/>
              <a:ext cx="0" cy="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435">
              <a:extLst>
                <a:ext uri="{FF2B5EF4-FFF2-40B4-BE49-F238E27FC236}">
                  <a16:creationId xmlns:a16="http://schemas.microsoft.com/office/drawing/2014/main" id="{00000000-0008-0000-0100-00007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7" y="743"/>
              <a:ext cx="0" cy="4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0" name="Line 521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43" y="68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670560</xdr:colOff>
      <xdr:row>28</xdr:row>
      <xdr:rowOff>200025</xdr:rowOff>
    </xdr:from>
    <xdr:to>
      <xdr:col>4</xdr:col>
      <xdr:colOff>724004</xdr:colOff>
      <xdr:row>29</xdr:row>
      <xdr:rowOff>133350</xdr:rowOff>
    </xdr:to>
    <xdr:sp macro="" textlink="">
      <xdr:nvSpPr>
        <xdr:cNvPr id="122" name="Text 219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2331720" y="6654165"/>
          <a:ext cx="891644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670560</xdr:colOff>
      <xdr:row>34</xdr:row>
      <xdr:rowOff>209550</xdr:rowOff>
    </xdr:from>
    <xdr:to>
      <xdr:col>4</xdr:col>
      <xdr:colOff>724004</xdr:colOff>
      <xdr:row>35</xdr:row>
      <xdr:rowOff>142875</xdr:rowOff>
    </xdr:to>
    <xdr:sp macro="" textlink="">
      <xdr:nvSpPr>
        <xdr:cNvPr id="123" name="Text 219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2331720" y="8035290"/>
          <a:ext cx="891644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670560</xdr:colOff>
      <xdr:row>40</xdr:row>
      <xdr:rowOff>152400</xdr:rowOff>
    </xdr:from>
    <xdr:to>
      <xdr:col>4</xdr:col>
      <xdr:colOff>724004</xdr:colOff>
      <xdr:row>41</xdr:row>
      <xdr:rowOff>85725</xdr:rowOff>
    </xdr:to>
    <xdr:sp macro="" textlink="">
      <xdr:nvSpPr>
        <xdr:cNvPr id="124" name="Text 219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2331720" y="9349740"/>
          <a:ext cx="891644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350-</a:t>
          </a:r>
        </a:p>
      </xdr:txBody>
    </xdr:sp>
    <xdr:clientData/>
  </xdr:twoCellAnchor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>
          <a:spLocks noChangeArrowheads="1"/>
        </xdr:cNvSpPr>
      </xdr:nvSpPr>
      <xdr:spPr bwMode="auto">
        <a:xfrm>
          <a:off x="5661660" y="9883140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>
          <a:spLocks noChangeArrowheads="1"/>
        </xdr:cNvSpPr>
      </xdr:nvSpPr>
      <xdr:spPr bwMode="auto">
        <a:xfrm>
          <a:off x="5528310" y="9883140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>
          <a:spLocks noChangeArrowheads="1"/>
        </xdr:cNvSpPr>
      </xdr:nvSpPr>
      <xdr:spPr bwMode="auto">
        <a:xfrm>
          <a:off x="5537835" y="9883140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 noChangeArrowheads="1"/>
        </xdr:cNvSpPr>
      </xdr:nvSpPr>
      <xdr:spPr bwMode="auto">
        <a:xfrm>
          <a:off x="5509260" y="9883140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Arrowheads="1"/>
        </xdr:cNvSpPr>
      </xdr:nvSpPr>
      <xdr:spPr bwMode="auto">
        <a:xfrm>
          <a:off x="5652135" y="988314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30" name="Rectangle 513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>
          <a:spLocks noChangeArrowheads="1"/>
        </xdr:cNvSpPr>
      </xdr:nvSpPr>
      <xdr:spPr bwMode="auto">
        <a:xfrm>
          <a:off x="5661660" y="10096500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131" name="Rectangle 514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>
          <a:spLocks noChangeArrowheads="1"/>
        </xdr:cNvSpPr>
      </xdr:nvSpPr>
      <xdr:spPr bwMode="auto">
        <a:xfrm>
          <a:off x="5528310" y="10096500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32" name="Rectangle 515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>
          <a:spLocks noChangeArrowheads="1"/>
        </xdr:cNvSpPr>
      </xdr:nvSpPr>
      <xdr:spPr bwMode="auto">
        <a:xfrm>
          <a:off x="5537835" y="10096500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33" name="Rectangle 516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>
          <a:spLocks noChangeArrowheads="1"/>
        </xdr:cNvSpPr>
      </xdr:nvSpPr>
      <xdr:spPr bwMode="auto">
        <a:xfrm>
          <a:off x="5509260" y="10096500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34" name="Rectangle 517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>
          <a:spLocks noChangeArrowheads="1"/>
        </xdr:cNvSpPr>
      </xdr:nvSpPr>
      <xdr:spPr bwMode="auto">
        <a:xfrm>
          <a:off x="5652135" y="1009650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594360" y="1272540"/>
          <a:ext cx="92202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7620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594360" y="1440180"/>
          <a:ext cx="11628120" cy="762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597640" y="480060"/>
          <a:ext cx="0" cy="16002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597640" y="480060"/>
          <a:ext cx="0" cy="16002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7620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594360" y="487680"/>
          <a:ext cx="0" cy="77724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822960</xdr:colOff>
      <xdr:row>15</xdr:row>
      <xdr:rowOff>160020</xdr:rowOff>
    </xdr:from>
    <xdr:to>
      <xdr:col>5</xdr:col>
      <xdr:colOff>670560</xdr:colOff>
      <xdr:row>36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320040</xdr:colOff>
      <xdr:row>11</xdr:row>
      <xdr:rowOff>0</xdr:rowOff>
    </xdr:from>
    <xdr:to>
      <xdr:col>5</xdr:col>
      <xdr:colOff>609600</xdr:colOff>
      <xdr:row>38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0.63871</cdr:x>
      <cdr:y>0.65025</cdr:y>
    </cdr:from>
    <cdr:to>
      <cdr:x>0.878</cdr:x>
      <cdr:y>0.67094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0.63871</cdr:x>
      <cdr:y>0.54409</cdr:y>
    </cdr:from>
    <cdr:to>
      <cdr:x>0.92546</cdr:x>
      <cdr:y>0.56946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0.29342</cdr:x>
      <cdr:y>0.36133</cdr:y>
    </cdr:from>
    <cdr:to>
      <cdr:x>0.62247</cdr:x>
      <cdr:y>0.38867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0.62223</cdr:x>
      <cdr:y>0.19335</cdr:y>
    </cdr:from>
    <cdr:to>
      <cdr:x>0.95202</cdr:x>
      <cdr:y>0.22217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16</xdr:row>
      <xdr:rowOff>15240</xdr:rowOff>
    </xdr:from>
    <xdr:to>
      <xdr:col>5</xdr:col>
      <xdr:colOff>929640</xdr:colOff>
      <xdr:row>37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598072</xdr:colOff>
      <xdr:row>16</xdr:row>
      <xdr:rowOff>83820</xdr:rowOff>
    </xdr:from>
    <xdr:to>
      <xdr:col>0</xdr:col>
      <xdr:colOff>1135380</xdr:colOff>
      <xdr:row>17</xdr:row>
      <xdr:rowOff>57150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598072" y="39547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582832</xdr:colOff>
      <xdr:row>18</xdr:row>
      <xdr:rowOff>30480</xdr:rowOff>
    </xdr:from>
    <xdr:to>
      <xdr:col>0</xdr:col>
      <xdr:colOff>1120140</xdr:colOff>
      <xdr:row>19</xdr:row>
      <xdr:rowOff>3810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582832" y="43738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3590</a:t>
          </a:r>
        </a:p>
      </xdr:txBody>
    </xdr:sp>
    <xdr:clientData/>
  </xdr:twoCellAnchor>
  <xdr:twoCellAnchor>
    <xdr:from>
      <xdr:col>0</xdr:col>
      <xdr:colOff>575212</xdr:colOff>
      <xdr:row>19</xdr:row>
      <xdr:rowOff>198120</xdr:rowOff>
    </xdr:from>
    <xdr:to>
      <xdr:col>0</xdr:col>
      <xdr:colOff>1112520</xdr:colOff>
      <xdr:row>20</xdr:row>
      <xdr:rowOff>171450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575212" y="47777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3580</a:t>
          </a:r>
        </a:p>
      </xdr:txBody>
    </xdr:sp>
    <xdr:clientData/>
  </xdr:twoCellAnchor>
  <xdr:twoCellAnchor>
    <xdr:from>
      <xdr:col>0</xdr:col>
      <xdr:colOff>575212</xdr:colOff>
      <xdr:row>21</xdr:row>
      <xdr:rowOff>129540</xdr:rowOff>
    </xdr:from>
    <xdr:to>
      <xdr:col>0</xdr:col>
      <xdr:colOff>1112520</xdr:colOff>
      <xdr:row>22</xdr:row>
      <xdr:rowOff>102870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575212" y="51816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3570</a:t>
          </a:r>
        </a:p>
      </xdr:txBody>
    </xdr:sp>
    <xdr:clientData/>
  </xdr:twoCellAnchor>
  <xdr:twoCellAnchor>
    <xdr:from>
      <xdr:col>0</xdr:col>
      <xdr:colOff>582832</xdr:colOff>
      <xdr:row>23</xdr:row>
      <xdr:rowOff>68580</xdr:rowOff>
    </xdr:from>
    <xdr:to>
      <xdr:col>0</xdr:col>
      <xdr:colOff>1120140</xdr:colOff>
      <xdr:row>24</xdr:row>
      <xdr:rowOff>33528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582832" y="559308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3560</a:t>
          </a:r>
        </a:p>
      </xdr:txBody>
    </xdr:sp>
    <xdr:clientData/>
  </xdr:twoCellAnchor>
  <xdr:twoCellAnchor>
    <xdr:from>
      <xdr:col>0</xdr:col>
      <xdr:colOff>582832</xdr:colOff>
      <xdr:row>25</xdr:row>
      <xdr:rowOff>0</xdr:rowOff>
    </xdr:from>
    <xdr:to>
      <xdr:col>0</xdr:col>
      <xdr:colOff>1120140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>
          <a:spLocks noChangeArrowheads="1"/>
        </xdr:cNvSpPr>
      </xdr:nvSpPr>
      <xdr:spPr bwMode="auto">
        <a:xfrm>
          <a:off x="582832" y="59969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3550</a:t>
          </a:r>
        </a:p>
      </xdr:txBody>
    </xdr:sp>
    <xdr:clientData/>
  </xdr:twoCellAnchor>
  <xdr:twoCellAnchor>
    <xdr:from>
      <xdr:col>0</xdr:col>
      <xdr:colOff>575212</xdr:colOff>
      <xdr:row>26</xdr:row>
      <xdr:rowOff>167640</xdr:rowOff>
    </xdr:from>
    <xdr:to>
      <xdr:col>0</xdr:col>
      <xdr:colOff>1112520</xdr:colOff>
      <xdr:row>27</xdr:row>
      <xdr:rowOff>140970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575212" y="64008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3540</a:t>
          </a:r>
        </a:p>
      </xdr:txBody>
    </xdr:sp>
    <xdr:clientData/>
  </xdr:twoCellAnchor>
  <xdr:twoCellAnchor>
    <xdr:from>
      <xdr:col>0</xdr:col>
      <xdr:colOff>567592</xdr:colOff>
      <xdr:row>28</xdr:row>
      <xdr:rowOff>106680</xdr:rowOff>
    </xdr:from>
    <xdr:to>
      <xdr:col>0</xdr:col>
      <xdr:colOff>1104900</xdr:colOff>
      <xdr:row>29</xdr:row>
      <xdr:rowOff>80010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567592" y="68122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3530</a:t>
          </a:r>
        </a:p>
      </xdr:txBody>
    </xdr:sp>
    <xdr:clientData/>
  </xdr:twoCellAnchor>
  <xdr:twoCellAnchor>
    <xdr:from>
      <xdr:col>0</xdr:col>
      <xdr:colOff>567592</xdr:colOff>
      <xdr:row>30</xdr:row>
      <xdr:rowOff>45720</xdr:rowOff>
    </xdr:from>
    <xdr:to>
      <xdr:col>0</xdr:col>
      <xdr:colOff>1104900</xdr:colOff>
      <xdr:row>31</xdr:row>
      <xdr:rowOff>19050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567592" y="722376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3520</a:t>
          </a:r>
        </a:p>
      </xdr:txBody>
    </xdr:sp>
    <xdr:clientData/>
  </xdr:twoCellAnchor>
  <xdr:twoCellAnchor>
    <xdr:from>
      <xdr:col>0</xdr:col>
      <xdr:colOff>567592</xdr:colOff>
      <xdr:row>31</xdr:row>
      <xdr:rowOff>220980</xdr:rowOff>
    </xdr:from>
    <xdr:to>
      <xdr:col>0</xdr:col>
      <xdr:colOff>1104900</xdr:colOff>
      <xdr:row>32</xdr:row>
      <xdr:rowOff>185928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>
          <a:spLocks noChangeArrowheads="1"/>
        </xdr:cNvSpPr>
      </xdr:nvSpPr>
      <xdr:spPr bwMode="auto">
        <a:xfrm>
          <a:off x="567592" y="763524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3510</a:t>
          </a:r>
        </a:p>
      </xdr:txBody>
    </xdr:sp>
    <xdr:clientData/>
  </xdr:twoCellAnchor>
  <xdr:twoCellAnchor>
    <xdr:from>
      <xdr:col>0</xdr:col>
      <xdr:colOff>575212</xdr:colOff>
      <xdr:row>33</xdr:row>
      <xdr:rowOff>152400</xdr:rowOff>
    </xdr:from>
    <xdr:to>
      <xdr:col>0</xdr:col>
      <xdr:colOff>1112520</xdr:colOff>
      <xdr:row>34</xdr:row>
      <xdr:rowOff>125730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>
          <a:spLocks noChangeArrowheads="1"/>
        </xdr:cNvSpPr>
      </xdr:nvSpPr>
      <xdr:spPr bwMode="auto">
        <a:xfrm>
          <a:off x="575212" y="80391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3500</a:t>
          </a:r>
        </a:p>
      </xdr:txBody>
    </xdr:sp>
    <xdr:clientData/>
  </xdr:twoCellAnchor>
  <xdr:twoCellAnchor>
    <xdr:from>
      <xdr:col>0</xdr:col>
      <xdr:colOff>201930</xdr:colOff>
      <xdr:row>24</xdr:row>
      <xdr:rowOff>135255</xdr:rowOff>
    </xdr:from>
    <xdr:to>
      <xdr:col>0</xdr:col>
      <xdr:colOff>415290</xdr:colOff>
      <xdr:row>26</xdr:row>
      <xdr:rowOff>234315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>
          <a:spLocks noChangeArrowheads="1"/>
        </xdr:cNvSpPr>
      </xdr:nvSpPr>
      <xdr:spPr bwMode="auto">
        <a:xfrm>
          <a:off x="201930" y="5895975"/>
          <a:ext cx="21336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358140</xdr:colOff>
      <xdr:row>16</xdr:row>
      <xdr:rowOff>83821</xdr:rowOff>
    </xdr:from>
    <xdr:to>
      <xdr:col>5</xdr:col>
      <xdr:colOff>846602</xdr:colOff>
      <xdr:row>17</xdr:row>
      <xdr:rowOff>9526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>
          <a:spLocks noChangeArrowheads="1"/>
        </xdr:cNvSpPr>
      </xdr:nvSpPr>
      <xdr:spPr bwMode="auto">
        <a:xfrm>
          <a:off x="6073140" y="39547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5</xdr:col>
      <xdr:colOff>388620</xdr:colOff>
      <xdr:row>25</xdr:row>
      <xdr:rowOff>0</xdr:rowOff>
    </xdr:from>
    <xdr:to>
      <xdr:col>5</xdr:col>
      <xdr:colOff>935697</xdr:colOff>
      <xdr:row>25</xdr:row>
      <xdr:rowOff>168402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>
          <a:spLocks noChangeArrowheads="1"/>
        </xdr:cNvSpPr>
      </xdr:nvSpPr>
      <xdr:spPr bwMode="auto">
        <a:xfrm>
          <a:off x="6103620" y="5996940"/>
          <a:ext cx="547077" cy="1684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900</a:t>
          </a:r>
        </a:p>
      </xdr:txBody>
    </xdr:sp>
    <xdr:clientData/>
  </xdr:twoCellAnchor>
  <xdr:twoCellAnchor>
    <xdr:from>
      <xdr:col>5</xdr:col>
      <xdr:colOff>381000</xdr:colOff>
      <xdr:row>26</xdr:row>
      <xdr:rowOff>182880</xdr:rowOff>
    </xdr:from>
    <xdr:to>
      <xdr:col>5</xdr:col>
      <xdr:colOff>869462</xdr:colOff>
      <xdr:row>27</xdr:row>
      <xdr:rowOff>102108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>
          <a:spLocks noChangeArrowheads="1"/>
        </xdr:cNvSpPr>
      </xdr:nvSpPr>
      <xdr:spPr bwMode="auto">
        <a:xfrm>
          <a:off x="6096000" y="64160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720</a:t>
          </a:r>
        </a:p>
      </xdr:txBody>
    </xdr:sp>
    <xdr:clientData/>
  </xdr:twoCellAnchor>
  <xdr:twoCellAnchor>
    <xdr:from>
      <xdr:col>5</xdr:col>
      <xdr:colOff>388620</xdr:colOff>
      <xdr:row>28</xdr:row>
      <xdr:rowOff>114301</xdr:rowOff>
    </xdr:from>
    <xdr:to>
      <xdr:col>5</xdr:col>
      <xdr:colOff>877082</xdr:colOff>
      <xdr:row>29</xdr:row>
      <xdr:rowOff>40006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>
          <a:spLocks noChangeArrowheads="1"/>
        </xdr:cNvSpPr>
      </xdr:nvSpPr>
      <xdr:spPr bwMode="auto">
        <a:xfrm>
          <a:off x="6103620" y="68199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540</a:t>
          </a:r>
        </a:p>
      </xdr:txBody>
    </xdr:sp>
    <xdr:clientData/>
  </xdr:twoCellAnchor>
  <xdr:twoCellAnchor>
    <xdr:from>
      <xdr:col>5</xdr:col>
      <xdr:colOff>381000</xdr:colOff>
      <xdr:row>30</xdr:row>
      <xdr:rowOff>38101</xdr:rowOff>
    </xdr:from>
    <xdr:to>
      <xdr:col>5</xdr:col>
      <xdr:colOff>869462</xdr:colOff>
      <xdr:row>30</xdr:row>
      <xdr:rowOff>200026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>
          <a:spLocks noChangeArrowheads="1"/>
        </xdr:cNvSpPr>
      </xdr:nvSpPr>
      <xdr:spPr bwMode="auto">
        <a:xfrm>
          <a:off x="6096000" y="72161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</a:t>
          </a:r>
        </a:p>
      </xdr:txBody>
    </xdr:sp>
    <xdr:clientData/>
  </xdr:twoCellAnchor>
  <xdr:twoCellAnchor>
    <xdr:from>
      <xdr:col>5</xdr:col>
      <xdr:colOff>381000</xdr:colOff>
      <xdr:row>31</xdr:row>
      <xdr:rowOff>220980</xdr:rowOff>
    </xdr:from>
    <xdr:to>
      <xdr:col>5</xdr:col>
      <xdr:colOff>869462</xdr:colOff>
      <xdr:row>32</xdr:row>
      <xdr:rowOff>140208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>
          <a:spLocks noChangeArrowheads="1"/>
        </xdr:cNvSpPr>
      </xdr:nvSpPr>
      <xdr:spPr bwMode="auto">
        <a:xfrm>
          <a:off x="6096000" y="76352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</a:t>
          </a:r>
        </a:p>
      </xdr:txBody>
    </xdr:sp>
    <xdr:clientData/>
  </xdr:twoCellAnchor>
  <xdr:twoCellAnchor>
    <xdr:from>
      <xdr:col>5</xdr:col>
      <xdr:colOff>842010</xdr:colOff>
      <xdr:row>22</xdr:row>
      <xdr:rowOff>186690</xdr:rowOff>
    </xdr:from>
    <xdr:to>
      <xdr:col>5</xdr:col>
      <xdr:colOff>1070610</xdr:colOff>
      <xdr:row>28</xdr:row>
      <xdr:rowOff>87630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>
          <a:spLocks noChangeArrowheads="1"/>
        </xdr:cNvSpPr>
      </xdr:nvSpPr>
      <xdr:spPr bwMode="auto">
        <a:xfrm>
          <a:off x="6557010" y="5474970"/>
          <a:ext cx="228600" cy="1318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381000</xdr:colOff>
      <xdr:row>23</xdr:row>
      <xdr:rowOff>68580</xdr:rowOff>
    </xdr:from>
    <xdr:to>
      <xdr:col>5</xdr:col>
      <xdr:colOff>869462</xdr:colOff>
      <xdr:row>23</xdr:row>
      <xdr:rowOff>224028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>
          <a:spLocks noChangeArrowheads="1"/>
        </xdr:cNvSpPr>
      </xdr:nvSpPr>
      <xdr:spPr bwMode="auto">
        <a:xfrm>
          <a:off x="6096000" y="559308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1080</a:t>
          </a:r>
        </a:p>
      </xdr:txBody>
    </xdr:sp>
    <xdr:clientData/>
  </xdr:twoCellAnchor>
  <xdr:twoCellAnchor>
    <xdr:from>
      <xdr:col>5</xdr:col>
      <xdr:colOff>381000</xdr:colOff>
      <xdr:row>21</xdr:row>
      <xdr:rowOff>129541</xdr:rowOff>
    </xdr:from>
    <xdr:to>
      <xdr:col>5</xdr:col>
      <xdr:colOff>869462</xdr:colOff>
      <xdr:row>22</xdr:row>
      <xdr:rowOff>55246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>
          <a:spLocks noChangeArrowheads="1"/>
        </xdr:cNvSpPr>
      </xdr:nvSpPr>
      <xdr:spPr bwMode="auto">
        <a:xfrm>
          <a:off x="6096000" y="51816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1260</a:t>
          </a:r>
        </a:p>
      </xdr:txBody>
    </xdr:sp>
    <xdr:clientData/>
  </xdr:twoCellAnchor>
  <xdr:twoCellAnchor>
    <xdr:from>
      <xdr:col>5</xdr:col>
      <xdr:colOff>373380</xdr:colOff>
      <xdr:row>19</xdr:row>
      <xdr:rowOff>198121</xdr:rowOff>
    </xdr:from>
    <xdr:to>
      <xdr:col>5</xdr:col>
      <xdr:colOff>861842</xdr:colOff>
      <xdr:row>20</xdr:row>
      <xdr:rowOff>123826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>
          <a:spLocks noChangeArrowheads="1"/>
        </xdr:cNvSpPr>
      </xdr:nvSpPr>
      <xdr:spPr bwMode="auto">
        <a:xfrm>
          <a:off x="6088380" y="47777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1440</a:t>
          </a:r>
        </a:p>
      </xdr:txBody>
    </xdr:sp>
    <xdr:clientData/>
  </xdr:twoCellAnchor>
  <xdr:twoCellAnchor>
    <xdr:from>
      <xdr:col>5</xdr:col>
      <xdr:colOff>373380</xdr:colOff>
      <xdr:row>18</xdr:row>
      <xdr:rowOff>30481</xdr:rowOff>
    </xdr:from>
    <xdr:to>
      <xdr:col>5</xdr:col>
      <xdr:colOff>861842</xdr:colOff>
      <xdr:row>18</xdr:row>
      <xdr:rowOff>192406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>
          <a:spLocks noChangeArrowheads="1"/>
        </xdr:cNvSpPr>
      </xdr:nvSpPr>
      <xdr:spPr bwMode="auto">
        <a:xfrm>
          <a:off x="6088380" y="43738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1620</a:t>
          </a:r>
        </a:p>
      </xdr:txBody>
    </xdr:sp>
    <xdr:clientData/>
  </xdr:twoCellAnchor>
  <xdr:twoCellAnchor>
    <xdr:from>
      <xdr:col>2</xdr:col>
      <xdr:colOff>1072515</xdr:colOff>
      <xdr:row>16</xdr:row>
      <xdr:rowOff>180975</xdr:rowOff>
    </xdr:from>
    <xdr:to>
      <xdr:col>3</xdr:col>
      <xdr:colOff>293251</xdr:colOff>
      <xdr:row>17</xdr:row>
      <xdr:rowOff>95568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>
          <a:spLocks noChangeArrowheads="1"/>
        </xdr:cNvSpPr>
      </xdr:nvSpPr>
      <xdr:spPr bwMode="auto">
        <a:xfrm>
          <a:off x="3358515" y="4051935"/>
          <a:ext cx="363736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975360</xdr:colOff>
      <xdr:row>18</xdr:row>
      <xdr:rowOff>190500</xdr:rowOff>
    </xdr:from>
    <xdr:to>
      <xdr:col>4</xdr:col>
      <xdr:colOff>178908</xdr:colOff>
      <xdr:row>19</xdr:row>
      <xdr:rowOff>131532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>
          <a:spLocks noChangeArrowheads="1"/>
        </xdr:cNvSpPr>
      </xdr:nvSpPr>
      <xdr:spPr bwMode="auto">
        <a:xfrm>
          <a:off x="4404360" y="4533900"/>
          <a:ext cx="346548" cy="177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771525</xdr:colOff>
      <xdr:row>21</xdr:row>
      <xdr:rowOff>198120</xdr:rowOff>
    </xdr:from>
    <xdr:to>
      <xdr:col>1</xdr:col>
      <xdr:colOff>1122045</xdr:colOff>
      <xdr:row>22</xdr:row>
      <xdr:rowOff>112713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>
          <a:spLocks noChangeArrowheads="1"/>
        </xdr:cNvSpPr>
      </xdr:nvSpPr>
      <xdr:spPr bwMode="auto">
        <a:xfrm>
          <a:off x="1914525" y="5250180"/>
          <a:ext cx="350520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811530</xdr:colOff>
      <xdr:row>28</xdr:row>
      <xdr:rowOff>198120</xdr:rowOff>
    </xdr:from>
    <xdr:to>
      <xdr:col>2</xdr:col>
      <xdr:colOff>112672</xdr:colOff>
      <xdr:row>29</xdr:row>
      <xdr:rowOff>114300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>
          <a:spLocks noChangeArrowheads="1"/>
        </xdr:cNvSpPr>
      </xdr:nvSpPr>
      <xdr:spPr bwMode="auto">
        <a:xfrm>
          <a:off x="1954530" y="6903720"/>
          <a:ext cx="444142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102870</xdr:colOff>
      <xdr:row>32</xdr:row>
      <xdr:rowOff>148590</xdr:rowOff>
    </xdr:from>
    <xdr:to>
      <xdr:col>2</xdr:col>
      <xdr:colOff>622993</xdr:colOff>
      <xdr:row>33</xdr:row>
      <xdr:rowOff>70786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>
          <a:spLocks noChangeArrowheads="1"/>
        </xdr:cNvSpPr>
      </xdr:nvSpPr>
      <xdr:spPr bwMode="auto">
        <a:xfrm>
          <a:off x="2388870" y="7799070"/>
          <a:ext cx="520123" cy="158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373380</xdr:colOff>
      <xdr:row>33</xdr:row>
      <xdr:rowOff>144780</xdr:rowOff>
    </xdr:from>
    <xdr:to>
      <xdr:col>5</xdr:col>
      <xdr:colOff>769620</xdr:colOff>
      <xdr:row>34</xdr:row>
      <xdr:rowOff>106680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>
          <a:spLocks noChangeArrowheads="1"/>
        </xdr:cNvSpPr>
      </xdr:nvSpPr>
      <xdr:spPr bwMode="auto">
        <a:xfrm>
          <a:off x="6088380" y="8031480"/>
          <a:ext cx="396240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16</xdr:row>
      <xdr:rowOff>15240</xdr:rowOff>
    </xdr:from>
    <xdr:to>
      <xdr:col>5</xdr:col>
      <xdr:colOff>929640</xdr:colOff>
      <xdr:row>37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598072</xdr:colOff>
      <xdr:row>16</xdr:row>
      <xdr:rowOff>83820</xdr:rowOff>
    </xdr:from>
    <xdr:to>
      <xdr:col>0</xdr:col>
      <xdr:colOff>1135380</xdr:colOff>
      <xdr:row>17</xdr:row>
      <xdr:rowOff>57150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598072" y="39547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582832</xdr:colOff>
      <xdr:row>18</xdr:row>
      <xdr:rowOff>30480</xdr:rowOff>
    </xdr:from>
    <xdr:to>
      <xdr:col>0</xdr:col>
      <xdr:colOff>1120140</xdr:colOff>
      <xdr:row>19</xdr:row>
      <xdr:rowOff>3810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582832" y="43738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3590</a:t>
          </a:r>
        </a:p>
      </xdr:txBody>
    </xdr:sp>
    <xdr:clientData/>
  </xdr:twoCellAnchor>
  <xdr:twoCellAnchor>
    <xdr:from>
      <xdr:col>0</xdr:col>
      <xdr:colOff>575212</xdr:colOff>
      <xdr:row>19</xdr:row>
      <xdr:rowOff>198120</xdr:rowOff>
    </xdr:from>
    <xdr:to>
      <xdr:col>0</xdr:col>
      <xdr:colOff>1112520</xdr:colOff>
      <xdr:row>20</xdr:row>
      <xdr:rowOff>171450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575212" y="47777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3580</a:t>
          </a:r>
        </a:p>
      </xdr:txBody>
    </xdr:sp>
    <xdr:clientData/>
  </xdr:twoCellAnchor>
  <xdr:twoCellAnchor>
    <xdr:from>
      <xdr:col>0</xdr:col>
      <xdr:colOff>575212</xdr:colOff>
      <xdr:row>21</xdr:row>
      <xdr:rowOff>129540</xdr:rowOff>
    </xdr:from>
    <xdr:to>
      <xdr:col>0</xdr:col>
      <xdr:colOff>1112520</xdr:colOff>
      <xdr:row>22</xdr:row>
      <xdr:rowOff>102870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575212" y="51816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3570</a:t>
          </a:r>
        </a:p>
      </xdr:txBody>
    </xdr:sp>
    <xdr:clientData/>
  </xdr:twoCellAnchor>
  <xdr:twoCellAnchor>
    <xdr:from>
      <xdr:col>0</xdr:col>
      <xdr:colOff>582832</xdr:colOff>
      <xdr:row>23</xdr:row>
      <xdr:rowOff>68580</xdr:rowOff>
    </xdr:from>
    <xdr:to>
      <xdr:col>0</xdr:col>
      <xdr:colOff>1120140</xdr:colOff>
      <xdr:row>24</xdr:row>
      <xdr:rowOff>33528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582832" y="559308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3560</a:t>
          </a:r>
        </a:p>
      </xdr:txBody>
    </xdr:sp>
    <xdr:clientData/>
  </xdr:twoCellAnchor>
  <xdr:twoCellAnchor>
    <xdr:from>
      <xdr:col>0</xdr:col>
      <xdr:colOff>582832</xdr:colOff>
      <xdr:row>25</xdr:row>
      <xdr:rowOff>0</xdr:rowOff>
    </xdr:from>
    <xdr:to>
      <xdr:col>0</xdr:col>
      <xdr:colOff>1120140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582832" y="59969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3550</a:t>
          </a:r>
        </a:p>
      </xdr:txBody>
    </xdr:sp>
    <xdr:clientData/>
  </xdr:twoCellAnchor>
  <xdr:twoCellAnchor>
    <xdr:from>
      <xdr:col>0</xdr:col>
      <xdr:colOff>575212</xdr:colOff>
      <xdr:row>26</xdr:row>
      <xdr:rowOff>167640</xdr:rowOff>
    </xdr:from>
    <xdr:to>
      <xdr:col>0</xdr:col>
      <xdr:colOff>1112520</xdr:colOff>
      <xdr:row>27</xdr:row>
      <xdr:rowOff>140970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575212" y="64008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3540</a:t>
          </a:r>
        </a:p>
      </xdr:txBody>
    </xdr:sp>
    <xdr:clientData/>
  </xdr:twoCellAnchor>
  <xdr:twoCellAnchor>
    <xdr:from>
      <xdr:col>0</xdr:col>
      <xdr:colOff>567592</xdr:colOff>
      <xdr:row>28</xdr:row>
      <xdr:rowOff>106680</xdr:rowOff>
    </xdr:from>
    <xdr:to>
      <xdr:col>0</xdr:col>
      <xdr:colOff>1104900</xdr:colOff>
      <xdr:row>29</xdr:row>
      <xdr:rowOff>80010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567592" y="68122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3530</a:t>
          </a:r>
        </a:p>
      </xdr:txBody>
    </xdr:sp>
    <xdr:clientData/>
  </xdr:twoCellAnchor>
  <xdr:twoCellAnchor>
    <xdr:from>
      <xdr:col>0</xdr:col>
      <xdr:colOff>567592</xdr:colOff>
      <xdr:row>30</xdr:row>
      <xdr:rowOff>45720</xdr:rowOff>
    </xdr:from>
    <xdr:to>
      <xdr:col>0</xdr:col>
      <xdr:colOff>1104900</xdr:colOff>
      <xdr:row>31</xdr:row>
      <xdr:rowOff>19050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567592" y="722376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3520</a:t>
          </a:r>
        </a:p>
      </xdr:txBody>
    </xdr:sp>
    <xdr:clientData/>
  </xdr:twoCellAnchor>
  <xdr:twoCellAnchor>
    <xdr:from>
      <xdr:col>0</xdr:col>
      <xdr:colOff>567592</xdr:colOff>
      <xdr:row>31</xdr:row>
      <xdr:rowOff>220980</xdr:rowOff>
    </xdr:from>
    <xdr:to>
      <xdr:col>0</xdr:col>
      <xdr:colOff>1104900</xdr:colOff>
      <xdr:row>32</xdr:row>
      <xdr:rowOff>185928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567592" y="763524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3510</a:t>
          </a:r>
        </a:p>
      </xdr:txBody>
    </xdr:sp>
    <xdr:clientData/>
  </xdr:twoCellAnchor>
  <xdr:twoCellAnchor>
    <xdr:from>
      <xdr:col>0</xdr:col>
      <xdr:colOff>575212</xdr:colOff>
      <xdr:row>33</xdr:row>
      <xdr:rowOff>152400</xdr:rowOff>
    </xdr:from>
    <xdr:to>
      <xdr:col>0</xdr:col>
      <xdr:colOff>1112520</xdr:colOff>
      <xdr:row>34</xdr:row>
      <xdr:rowOff>125730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>
          <a:spLocks noChangeArrowheads="1"/>
        </xdr:cNvSpPr>
      </xdr:nvSpPr>
      <xdr:spPr bwMode="auto">
        <a:xfrm>
          <a:off x="575212" y="80391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3500</a:t>
          </a:r>
        </a:p>
      </xdr:txBody>
    </xdr:sp>
    <xdr:clientData/>
  </xdr:twoCellAnchor>
  <xdr:twoCellAnchor>
    <xdr:from>
      <xdr:col>0</xdr:col>
      <xdr:colOff>201930</xdr:colOff>
      <xdr:row>24</xdr:row>
      <xdr:rowOff>135255</xdr:rowOff>
    </xdr:from>
    <xdr:to>
      <xdr:col>0</xdr:col>
      <xdr:colOff>415290</xdr:colOff>
      <xdr:row>26</xdr:row>
      <xdr:rowOff>234315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>
          <a:spLocks noChangeArrowheads="1"/>
        </xdr:cNvSpPr>
      </xdr:nvSpPr>
      <xdr:spPr bwMode="auto">
        <a:xfrm>
          <a:off x="201930" y="5895975"/>
          <a:ext cx="21336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358140</xdr:colOff>
      <xdr:row>16</xdr:row>
      <xdr:rowOff>83821</xdr:rowOff>
    </xdr:from>
    <xdr:to>
      <xdr:col>5</xdr:col>
      <xdr:colOff>846602</xdr:colOff>
      <xdr:row>17</xdr:row>
      <xdr:rowOff>9526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>
          <a:spLocks noChangeArrowheads="1"/>
        </xdr:cNvSpPr>
      </xdr:nvSpPr>
      <xdr:spPr bwMode="auto">
        <a:xfrm>
          <a:off x="6073140" y="39547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5</xdr:col>
      <xdr:colOff>388620</xdr:colOff>
      <xdr:row>25</xdr:row>
      <xdr:rowOff>0</xdr:rowOff>
    </xdr:from>
    <xdr:to>
      <xdr:col>5</xdr:col>
      <xdr:colOff>935697</xdr:colOff>
      <xdr:row>25</xdr:row>
      <xdr:rowOff>168402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6103620" y="5996940"/>
          <a:ext cx="547077" cy="1684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900</a:t>
          </a:r>
        </a:p>
      </xdr:txBody>
    </xdr:sp>
    <xdr:clientData/>
  </xdr:twoCellAnchor>
  <xdr:twoCellAnchor>
    <xdr:from>
      <xdr:col>5</xdr:col>
      <xdr:colOff>381000</xdr:colOff>
      <xdr:row>26</xdr:row>
      <xdr:rowOff>182880</xdr:rowOff>
    </xdr:from>
    <xdr:to>
      <xdr:col>5</xdr:col>
      <xdr:colOff>869462</xdr:colOff>
      <xdr:row>27</xdr:row>
      <xdr:rowOff>102108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6096000" y="64160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720</a:t>
          </a:r>
        </a:p>
      </xdr:txBody>
    </xdr:sp>
    <xdr:clientData/>
  </xdr:twoCellAnchor>
  <xdr:twoCellAnchor>
    <xdr:from>
      <xdr:col>5</xdr:col>
      <xdr:colOff>388620</xdr:colOff>
      <xdr:row>28</xdr:row>
      <xdr:rowOff>114301</xdr:rowOff>
    </xdr:from>
    <xdr:to>
      <xdr:col>5</xdr:col>
      <xdr:colOff>877082</xdr:colOff>
      <xdr:row>29</xdr:row>
      <xdr:rowOff>40006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>
          <a:spLocks noChangeArrowheads="1"/>
        </xdr:cNvSpPr>
      </xdr:nvSpPr>
      <xdr:spPr bwMode="auto">
        <a:xfrm>
          <a:off x="6103620" y="68199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540</a:t>
          </a:r>
        </a:p>
      </xdr:txBody>
    </xdr:sp>
    <xdr:clientData/>
  </xdr:twoCellAnchor>
  <xdr:twoCellAnchor>
    <xdr:from>
      <xdr:col>5</xdr:col>
      <xdr:colOff>381000</xdr:colOff>
      <xdr:row>30</xdr:row>
      <xdr:rowOff>38101</xdr:rowOff>
    </xdr:from>
    <xdr:to>
      <xdr:col>5</xdr:col>
      <xdr:colOff>869462</xdr:colOff>
      <xdr:row>30</xdr:row>
      <xdr:rowOff>200026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>
          <a:spLocks noChangeArrowheads="1"/>
        </xdr:cNvSpPr>
      </xdr:nvSpPr>
      <xdr:spPr bwMode="auto">
        <a:xfrm>
          <a:off x="6096000" y="72161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</a:t>
          </a:r>
        </a:p>
      </xdr:txBody>
    </xdr:sp>
    <xdr:clientData/>
  </xdr:twoCellAnchor>
  <xdr:twoCellAnchor>
    <xdr:from>
      <xdr:col>5</xdr:col>
      <xdr:colOff>381000</xdr:colOff>
      <xdr:row>31</xdr:row>
      <xdr:rowOff>220980</xdr:rowOff>
    </xdr:from>
    <xdr:to>
      <xdr:col>5</xdr:col>
      <xdr:colOff>869462</xdr:colOff>
      <xdr:row>32</xdr:row>
      <xdr:rowOff>140208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6096000" y="76352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</a:t>
          </a:r>
        </a:p>
      </xdr:txBody>
    </xdr:sp>
    <xdr:clientData/>
  </xdr:twoCellAnchor>
  <xdr:twoCellAnchor>
    <xdr:from>
      <xdr:col>5</xdr:col>
      <xdr:colOff>842010</xdr:colOff>
      <xdr:row>22</xdr:row>
      <xdr:rowOff>186690</xdr:rowOff>
    </xdr:from>
    <xdr:to>
      <xdr:col>5</xdr:col>
      <xdr:colOff>1070610</xdr:colOff>
      <xdr:row>28</xdr:row>
      <xdr:rowOff>87630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6557010" y="5474970"/>
          <a:ext cx="228600" cy="1318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381000</xdr:colOff>
      <xdr:row>23</xdr:row>
      <xdr:rowOff>68580</xdr:rowOff>
    </xdr:from>
    <xdr:to>
      <xdr:col>5</xdr:col>
      <xdr:colOff>869462</xdr:colOff>
      <xdr:row>23</xdr:row>
      <xdr:rowOff>224028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6096000" y="559308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1080</a:t>
          </a:r>
        </a:p>
      </xdr:txBody>
    </xdr:sp>
    <xdr:clientData/>
  </xdr:twoCellAnchor>
  <xdr:twoCellAnchor>
    <xdr:from>
      <xdr:col>5</xdr:col>
      <xdr:colOff>381000</xdr:colOff>
      <xdr:row>21</xdr:row>
      <xdr:rowOff>129541</xdr:rowOff>
    </xdr:from>
    <xdr:to>
      <xdr:col>5</xdr:col>
      <xdr:colOff>869462</xdr:colOff>
      <xdr:row>22</xdr:row>
      <xdr:rowOff>55246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6096000" y="51816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1260</a:t>
          </a:r>
        </a:p>
      </xdr:txBody>
    </xdr:sp>
    <xdr:clientData/>
  </xdr:twoCellAnchor>
  <xdr:twoCellAnchor>
    <xdr:from>
      <xdr:col>5</xdr:col>
      <xdr:colOff>373380</xdr:colOff>
      <xdr:row>19</xdr:row>
      <xdr:rowOff>198121</xdr:rowOff>
    </xdr:from>
    <xdr:to>
      <xdr:col>5</xdr:col>
      <xdr:colOff>861842</xdr:colOff>
      <xdr:row>20</xdr:row>
      <xdr:rowOff>123826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>
          <a:spLocks noChangeArrowheads="1"/>
        </xdr:cNvSpPr>
      </xdr:nvSpPr>
      <xdr:spPr bwMode="auto">
        <a:xfrm>
          <a:off x="6088380" y="47777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1440</a:t>
          </a:r>
        </a:p>
      </xdr:txBody>
    </xdr:sp>
    <xdr:clientData/>
  </xdr:twoCellAnchor>
  <xdr:twoCellAnchor>
    <xdr:from>
      <xdr:col>5</xdr:col>
      <xdr:colOff>373380</xdr:colOff>
      <xdr:row>18</xdr:row>
      <xdr:rowOff>30481</xdr:rowOff>
    </xdr:from>
    <xdr:to>
      <xdr:col>5</xdr:col>
      <xdr:colOff>861842</xdr:colOff>
      <xdr:row>18</xdr:row>
      <xdr:rowOff>192406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>
          <a:spLocks noChangeArrowheads="1"/>
        </xdr:cNvSpPr>
      </xdr:nvSpPr>
      <xdr:spPr bwMode="auto">
        <a:xfrm>
          <a:off x="6088380" y="43738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1620</a:t>
          </a:r>
        </a:p>
      </xdr:txBody>
    </xdr:sp>
    <xdr:clientData/>
  </xdr:twoCellAnchor>
  <xdr:twoCellAnchor>
    <xdr:from>
      <xdr:col>2</xdr:col>
      <xdr:colOff>1072515</xdr:colOff>
      <xdr:row>16</xdr:row>
      <xdr:rowOff>180975</xdr:rowOff>
    </xdr:from>
    <xdr:to>
      <xdr:col>3</xdr:col>
      <xdr:colOff>293251</xdr:colOff>
      <xdr:row>17</xdr:row>
      <xdr:rowOff>95568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3358515" y="4051935"/>
          <a:ext cx="363736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975360</xdr:colOff>
      <xdr:row>18</xdr:row>
      <xdr:rowOff>190500</xdr:rowOff>
    </xdr:from>
    <xdr:to>
      <xdr:col>4</xdr:col>
      <xdr:colOff>178908</xdr:colOff>
      <xdr:row>19</xdr:row>
      <xdr:rowOff>131532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>
          <a:spLocks noChangeArrowheads="1"/>
        </xdr:cNvSpPr>
      </xdr:nvSpPr>
      <xdr:spPr bwMode="auto">
        <a:xfrm>
          <a:off x="4404360" y="4533900"/>
          <a:ext cx="346548" cy="177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771525</xdr:colOff>
      <xdr:row>21</xdr:row>
      <xdr:rowOff>198120</xdr:rowOff>
    </xdr:from>
    <xdr:to>
      <xdr:col>1</xdr:col>
      <xdr:colOff>1122045</xdr:colOff>
      <xdr:row>22</xdr:row>
      <xdr:rowOff>112713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>
          <a:spLocks noChangeArrowheads="1"/>
        </xdr:cNvSpPr>
      </xdr:nvSpPr>
      <xdr:spPr bwMode="auto">
        <a:xfrm>
          <a:off x="1914525" y="5250180"/>
          <a:ext cx="350520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811530</xdr:colOff>
      <xdr:row>28</xdr:row>
      <xdr:rowOff>198120</xdr:rowOff>
    </xdr:from>
    <xdr:to>
      <xdr:col>2</xdr:col>
      <xdr:colOff>112672</xdr:colOff>
      <xdr:row>29</xdr:row>
      <xdr:rowOff>114300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>
          <a:spLocks noChangeArrowheads="1"/>
        </xdr:cNvSpPr>
      </xdr:nvSpPr>
      <xdr:spPr bwMode="auto">
        <a:xfrm>
          <a:off x="1954530" y="6903720"/>
          <a:ext cx="444142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102870</xdr:colOff>
      <xdr:row>32</xdr:row>
      <xdr:rowOff>148590</xdr:rowOff>
    </xdr:from>
    <xdr:to>
      <xdr:col>2</xdr:col>
      <xdr:colOff>622993</xdr:colOff>
      <xdr:row>33</xdr:row>
      <xdr:rowOff>70786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>
          <a:spLocks noChangeArrowheads="1"/>
        </xdr:cNvSpPr>
      </xdr:nvSpPr>
      <xdr:spPr bwMode="auto">
        <a:xfrm>
          <a:off x="2388870" y="7799070"/>
          <a:ext cx="520123" cy="158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373380</xdr:colOff>
      <xdr:row>33</xdr:row>
      <xdr:rowOff>144780</xdr:rowOff>
    </xdr:from>
    <xdr:to>
      <xdr:col>5</xdr:col>
      <xdr:colOff>769620</xdr:colOff>
      <xdr:row>34</xdr:row>
      <xdr:rowOff>106680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>
          <a:spLocks noChangeArrowheads="1"/>
        </xdr:cNvSpPr>
      </xdr:nvSpPr>
      <xdr:spPr bwMode="auto">
        <a:xfrm>
          <a:off x="6088380" y="8031480"/>
          <a:ext cx="396240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Q113"/>
  <sheetViews>
    <sheetView zoomScale="95" zoomScaleNormal="95" workbookViewId="0">
      <selection activeCell="M42" sqref="M42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2" t="s">
        <v>168</v>
      </c>
      <c r="B1" s="2"/>
      <c r="C1" s="2"/>
      <c r="D1" s="2"/>
      <c r="E1" s="2"/>
      <c r="F1" s="2"/>
      <c r="G1" s="2"/>
      <c r="H1" s="2"/>
      <c r="I1" s="122" t="s">
        <v>0</v>
      </c>
      <c r="J1" s="122" t="s">
        <v>219</v>
      </c>
    </row>
    <row r="2" spans="1:10" ht="18.75">
      <c r="A2" s="32" t="s">
        <v>174</v>
      </c>
      <c r="B2" s="2"/>
      <c r="C2" s="2"/>
      <c r="D2" s="2"/>
      <c r="E2" s="2"/>
      <c r="F2" s="2"/>
      <c r="G2" s="2"/>
      <c r="H2" s="2"/>
      <c r="I2" s="2"/>
      <c r="J2" s="128" t="s">
        <v>220</v>
      </c>
    </row>
    <row r="3" spans="1:10" ht="15" customHeight="1" thickBot="1">
      <c r="A3" s="47" t="s">
        <v>1</v>
      </c>
      <c r="B3" s="94" t="s">
        <v>218</v>
      </c>
      <c r="C3" s="1"/>
      <c r="D3" s="47"/>
      <c r="E3" s="1"/>
      <c r="F3" s="1"/>
      <c r="G3" s="47" t="s">
        <v>2</v>
      </c>
      <c r="H3" s="172">
        <v>44851</v>
      </c>
      <c r="I3" s="47" t="s">
        <v>3</v>
      </c>
      <c r="J3" s="173">
        <v>0.53466435185185179</v>
      </c>
    </row>
    <row r="4" spans="1:10" ht="15" customHeight="1" thickBot="1">
      <c r="A4" s="11" t="s">
        <v>4</v>
      </c>
      <c r="B4" s="11" t="s">
        <v>172</v>
      </c>
      <c r="C4" s="11" t="s">
        <v>5</v>
      </c>
      <c r="D4" s="11" t="s">
        <v>173</v>
      </c>
      <c r="E4" s="155" t="s">
        <v>6</v>
      </c>
      <c r="F4" s="11" t="s">
        <v>7</v>
      </c>
      <c r="G4" s="11" t="s">
        <v>176</v>
      </c>
      <c r="H4" s="11" t="s">
        <v>8</v>
      </c>
      <c r="I4" s="11" t="s">
        <v>9</v>
      </c>
      <c r="J4" s="11" t="s">
        <v>10</v>
      </c>
    </row>
    <row r="5" spans="1:10" ht="15" customHeight="1" thickBot="1">
      <c r="A5" s="48">
        <v>2</v>
      </c>
      <c r="B5" s="110">
        <v>900.00003272662536</v>
      </c>
      <c r="C5" s="138">
        <v>3600</v>
      </c>
      <c r="D5" s="48" t="s">
        <v>194</v>
      </c>
      <c r="E5" s="156">
        <v>4000</v>
      </c>
      <c r="F5" s="138">
        <v>60</v>
      </c>
      <c r="G5" s="48">
        <v>105</v>
      </c>
      <c r="H5" s="76" t="s">
        <v>252</v>
      </c>
      <c r="I5" s="75" t="s">
        <v>257</v>
      </c>
      <c r="J5" s="48">
        <v>5012</v>
      </c>
    </row>
    <row r="6" spans="1:10" ht="15" customHeight="1" thickBot="1">
      <c r="A6" s="22" t="s">
        <v>11</v>
      </c>
      <c r="B6" s="23"/>
      <c r="C6" s="24"/>
      <c r="D6" s="106" t="s">
        <v>12</v>
      </c>
      <c r="E6" s="152"/>
      <c r="F6" s="13"/>
      <c r="G6" s="14"/>
      <c r="H6" s="41" t="s">
        <v>13</v>
      </c>
      <c r="I6" s="17"/>
      <c r="J6" s="28"/>
    </row>
    <row r="7" spans="1:10" ht="15" customHeight="1" thickBot="1">
      <c r="A7" s="140"/>
      <c r="B7" s="3" t="s">
        <v>14</v>
      </c>
      <c r="C7" s="15" t="s">
        <v>15</v>
      </c>
      <c r="D7" s="140"/>
      <c r="E7" s="157"/>
      <c r="F7" s="3" t="s">
        <v>16</v>
      </c>
      <c r="G7" s="15" t="s">
        <v>17</v>
      </c>
      <c r="H7" s="9" t="s">
        <v>18</v>
      </c>
      <c r="I7" s="66">
        <v>25.431919047619047</v>
      </c>
      <c r="J7" s="104" t="s">
        <v>19</v>
      </c>
    </row>
    <row r="8" spans="1:10" ht="15" customHeight="1">
      <c r="A8" s="9" t="s">
        <v>20</v>
      </c>
      <c r="B8" s="67">
        <v>2.9000000953674316</v>
      </c>
      <c r="C8" s="50"/>
      <c r="D8" s="5"/>
      <c r="E8" s="49"/>
      <c r="F8" s="3"/>
      <c r="G8" s="15"/>
      <c r="H8" s="9" t="s">
        <v>21</v>
      </c>
      <c r="I8" s="66">
        <v>30.879981688258507</v>
      </c>
      <c r="J8" s="101" t="s">
        <v>22</v>
      </c>
    </row>
    <row r="9" spans="1:10" ht="15" customHeight="1" thickBot="1">
      <c r="A9" s="9" t="s">
        <v>23</v>
      </c>
      <c r="B9" s="67">
        <v>0.93000000715255737</v>
      </c>
      <c r="C9" s="50"/>
      <c r="D9" s="9" t="s">
        <v>24</v>
      </c>
      <c r="E9" s="51" t="s">
        <v>202</v>
      </c>
      <c r="F9" s="105" t="s">
        <v>25</v>
      </c>
      <c r="G9" s="29"/>
      <c r="H9" s="9" t="s">
        <v>26</v>
      </c>
      <c r="I9" s="67">
        <v>28.155950367938779</v>
      </c>
      <c r="J9" s="102">
        <v>614.78377365654239</v>
      </c>
    </row>
    <row r="10" spans="1:10" ht="15" customHeight="1">
      <c r="A10" s="9" t="s">
        <v>27</v>
      </c>
      <c r="B10" s="67">
        <v>530</v>
      </c>
      <c r="C10" s="71">
        <v>530</v>
      </c>
      <c r="D10" s="5"/>
      <c r="E10" s="49"/>
      <c r="F10" s="114" t="s">
        <v>213</v>
      </c>
      <c r="G10" s="112" t="s">
        <v>214</v>
      </c>
      <c r="H10" s="9" t="s">
        <v>28</v>
      </c>
      <c r="I10" s="66">
        <v>18.247458461573483</v>
      </c>
      <c r="J10" s="101" t="s">
        <v>29</v>
      </c>
    </row>
    <row r="11" spans="1:10" ht="15" customHeight="1" thickBot="1">
      <c r="A11" s="9" t="s">
        <v>30</v>
      </c>
      <c r="B11" s="67">
        <v>590</v>
      </c>
      <c r="C11" s="71">
        <v>334.19999980926514</v>
      </c>
      <c r="D11" s="9" t="s">
        <v>31</v>
      </c>
      <c r="E11" s="66">
        <v>0.61898571428571425</v>
      </c>
      <c r="F11" s="115"/>
      <c r="G11" s="111" t="s">
        <v>215</v>
      </c>
      <c r="H11" s="9" t="s">
        <v>32</v>
      </c>
      <c r="I11" s="66">
        <v>30.879981688258507</v>
      </c>
      <c r="J11" s="102">
        <v>35681.916577013457</v>
      </c>
    </row>
    <row r="12" spans="1:10" ht="15" customHeight="1">
      <c r="A12" s="9" t="s">
        <v>33</v>
      </c>
      <c r="B12" s="67">
        <v>340</v>
      </c>
      <c r="C12" s="71">
        <v>155</v>
      </c>
      <c r="D12" s="9" t="s">
        <v>34</v>
      </c>
      <c r="E12" s="151" t="s">
        <v>175</v>
      </c>
      <c r="F12" s="121"/>
      <c r="G12" s="113" t="s">
        <v>209</v>
      </c>
      <c r="H12" s="9" t="s">
        <v>35</v>
      </c>
      <c r="I12" s="66">
        <v>1.3937239041357459</v>
      </c>
      <c r="J12" s="101" t="s">
        <v>36</v>
      </c>
    </row>
    <row r="13" spans="1:10" ht="15" customHeight="1" thickBot="1">
      <c r="A13" s="9" t="s">
        <v>37</v>
      </c>
      <c r="B13" s="67">
        <v>68</v>
      </c>
      <c r="C13" s="71">
        <v>54.599999904632568</v>
      </c>
      <c r="D13" s="9" t="s">
        <v>38</v>
      </c>
      <c r="E13" s="68">
        <v>16</v>
      </c>
      <c r="F13" s="121"/>
      <c r="G13" s="113" t="s">
        <v>210</v>
      </c>
      <c r="H13" s="9" t="s">
        <v>40</v>
      </c>
      <c r="I13" s="66">
        <v>1</v>
      </c>
      <c r="J13" s="102">
        <v>110.03890991210938</v>
      </c>
    </row>
    <row r="14" spans="1:10" ht="15" customHeight="1" thickBot="1">
      <c r="A14" s="158" t="s">
        <v>41</v>
      </c>
      <c r="B14" s="131">
        <v>431.51998901367188</v>
      </c>
      <c r="C14" s="132">
        <v>418.5</v>
      </c>
      <c r="D14" s="9" t="s">
        <v>42</v>
      </c>
      <c r="E14" s="49" t="s">
        <v>203</v>
      </c>
      <c r="F14" s="49"/>
      <c r="G14" s="113"/>
      <c r="H14" s="47" t="s">
        <v>43</v>
      </c>
      <c r="I14" s="66">
        <v>1.3937239041357459</v>
      </c>
      <c r="J14" s="101" t="s">
        <v>44</v>
      </c>
    </row>
    <row r="15" spans="1:10" ht="15" customHeight="1" thickBot="1">
      <c r="A15" s="12" t="s">
        <v>45</v>
      </c>
      <c r="B15" s="136"/>
      <c r="C15" s="137"/>
      <c r="D15" s="9" t="s">
        <v>46</v>
      </c>
      <c r="E15" s="49" t="s">
        <v>204</v>
      </c>
      <c r="F15" s="49"/>
      <c r="G15" s="113"/>
      <c r="H15" s="9" t="s">
        <v>47</v>
      </c>
      <c r="I15" s="66">
        <v>0.82618353059296434</v>
      </c>
      <c r="J15" s="102">
        <v>20.620256696428573</v>
      </c>
    </row>
    <row r="16" spans="1:10" ht="15" customHeight="1">
      <c r="A16" s="9" t="s">
        <v>48</v>
      </c>
      <c r="B16" s="49">
        <v>42</v>
      </c>
      <c r="C16" s="50">
        <v>34</v>
      </c>
      <c r="D16" s="9" t="s">
        <v>49</v>
      </c>
      <c r="E16" s="49">
        <v>1</v>
      </c>
      <c r="F16" s="49"/>
      <c r="G16" s="113"/>
      <c r="H16" s="9" t="s">
        <v>50</v>
      </c>
      <c r="I16" s="66">
        <v>0.9556462151235352</v>
      </c>
      <c r="J16" s="103" t="s">
        <v>51</v>
      </c>
    </row>
    <row r="17" spans="1:17" ht="15" customHeight="1" thickBot="1">
      <c r="A17" s="9" t="s">
        <v>52</v>
      </c>
      <c r="B17" s="49" t="s">
        <v>195</v>
      </c>
      <c r="C17" s="50" t="s">
        <v>196</v>
      </c>
      <c r="D17" s="47" t="s">
        <v>53</v>
      </c>
      <c r="E17" s="49" t="s">
        <v>205</v>
      </c>
      <c r="F17" s="49"/>
      <c r="G17" s="113"/>
      <c r="H17" s="9" t="s">
        <v>54</v>
      </c>
      <c r="I17" s="66">
        <v>0.78953916400856583</v>
      </c>
      <c r="J17" s="102">
        <v>692.28851951641479</v>
      </c>
    </row>
    <row r="18" spans="1:17" ht="15" customHeight="1">
      <c r="A18" s="9" t="s">
        <v>55</v>
      </c>
      <c r="B18" s="49" t="s">
        <v>175</v>
      </c>
      <c r="C18" s="71">
        <v>0</v>
      </c>
      <c r="D18" s="9" t="s">
        <v>56</v>
      </c>
      <c r="E18" s="135">
        <v>1120</v>
      </c>
      <c r="F18" s="68">
        <v>600</v>
      </c>
      <c r="G18" s="72"/>
      <c r="H18" s="12" t="s">
        <v>57</v>
      </c>
      <c r="I18" s="129" t="s">
        <v>216</v>
      </c>
      <c r="J18" s="130"/>
    </row>
    <row r="19" spans="1:17" ht="15" customHeight="1">
      <c r="A19" s="9" t="s">
        <v>58</v>
      </c>
      <c r="B19" s="67">
        <v>57</v>
      </c>
      <c r="C19" s="71">
        <v>35</v>
      </c>
      <c r="D19" s="9" t="s">
        <v>59</v>
      </c>
      <c r="E19" s="68">
        <v>224</v>
      </c>
      <c r="F19" s="49"/>
      <c r="G19" s="50"/>
      <c r="H19" s="141"/>
      <c r="I19" s="3" t="s">
        <v>60</v>
      </c>
      <c r="J19" s="30" t="s">
        <v>61</v>
      </c>
    </row>
    <row r="20" spans="1:17" ht="15" customHeight="1">
      <c r="A20" s="9" t="s">
        <v>62</v>
      </c>
      <c r="B20" s="67" t="s">
        <v>197</v>
      </c>
      <c r="C20" s="71"/>
      <c r="D20" s="9" t="s">
        <v>167</v>
      </c>
      <c r="E20" s="163">
        <v>0.1763425331234113</v>
      </c>
      <c r="F20" s="49"/>
      <c r="G20" s="50"/>
      <c r="H20" s="9" t="s">
        <v>63</v>
      </c>
      <c r="I20" s="66">
        <v>11.78604793548584</v>
      </c>
      <c r="J20" s="70">
        <v>11.78604793548584</v>
      </c>
    </row>
    <row r="21" spans="1:17" ht="15" customHeight="1">
      <c r="A21" s="9" t="s">
        <v>64</v>
      </c>
      <c r="B21" s="67">
        <v>14</v>
      </c>
      <c r="C21" s="71">
        <v>0</v>
      </c>
      <c r="D21" s="9" t="s">
        <v>206</v>
      </c>
      <c r="E21" s="65">
        <v>0.23523886049272352</v>
      </c>
      <c r="F21" s="65">
        <v>0.17286701500415802</v>
      </c>
      <c r="G21" s="69">
        <v>6.1996567213830407E-2</v>
      </c>
      <c r="H21" s="9" t="s">
        <v>65</v>
      </c>
      <c r="I21" s="66">
        <v>27.797115325927734</v>
      </c>
      <c r="J21" s="70">
        <v>14.951472282409668</v>
      </c>
    </row>
    <row r="22" spans="1:17" ht="15" customHeight="1">
      <c r="A22" s="9" t="s">
        <v>66</v>
      </c>
      <c r="B22" s="67">
        <v>2.8299999237060547</v>
      </c>
      <c r="C22" s="71">
        <v>1</v>
      </c>
      <c r="D22" s="9" t="s">
        <v>67</v>
      </c>
      <c r="E22" s="49" t="s">
        <v>207</v>
      </c>
      <c r="F22" s="49" t="s">
        <v>208</v>
      </c>
      <c r="G22" s="50" t="s">
        <v>208</v>
      </c>
      <c r="H22" s="9" t="s">
        <v>68</v>
      </c>
      <c r="I22" s="66">
        <v>7.0829815864562988</v>
      </c>
      <c r="J22" s="70">
        <v>6.3395671844482422</v>
      </c>
    </row>
    <row r="23" spans="1:17" ht="15" customHeight="1">
      <c r="A23" s="9" t="s">
        <v>69</v>
      </c>
      <c r="B23" s="67">
        <v>11.431919097900391</v>
      </c>
      <c r="C23" s="71">
        <v>11</v>
      </c>
      <c r="D23" s="9" t="s">
        <v>70</v>
      </c>
      <c r="E23" s="66">
        <v>1.7419999837875366</v>
      </c>
      <c r="F23" s="66">
        <v>3.25</v>
      </c>
      <c r="G23" s="70">
        <v>3.25</v>
      </c>
      <c r="H23" s="9" t="s">
        <v>71</v>
      </c>
      <c r="I23" s="66">
        <v>16.645536140268458</v>
      </c>
      <c r="J23" s="15" t="s">
        <v>217</v>
      </c>
    </row>
    <row r="24" spans="1:17" ht="15" customHeight="1">
      <c r="A24" s="9" t="s">
        <v>72</v>
      </c>
      <c r="B24" s="67">
        <v>0</v>
      </c>
      <c r="C24" s="71">
        <v>2</v>
      </c>
      <c r="D24" s="9" t="s">
        <v>73</v>
      </c>
      <c r="E24" s="66">
        <v>8.8900003433227539</v>
      </c>
      <c r="F24" s="66">
        <v>2.6700000762939453</v>
      </c>
      <c r="G24" s="70">
        <v>2.6700000762939453</v>
      </c>
      <c r="H24" s="9" t="s">
        <v>74</v>
      </c>
      <c r="I24" s="66">
        <v>5.8606569418680206</v>
      </c>
      <c r="J24" s="70">
        <v>5.3001741480088782</v>
      </c>
    </row>
    <row r="25" spans="1:17" ht="15" customHeight="1">
      <c r="A25" s="9" t="s">
        <v>75</v>
      </c>
      <c r="B25" s="49" t="s">
        <v>175</v>
      </c>
      <c r="C25" s="71">
        <v>2</v>
      </c>
      <c r="D25" s="107" t="s">
        <v>76</v>
      </c>
      <c r="E25" s="51"/>
      <c r="F25" s="51"/>
      <c r="G25" s="58"/>
      <c r="H25" s="9" t="s">
        <v>77</v>
      </c>
      <c r="I25" s="66">
        <v>0.47010242938995361</v>
      </c>
      <c r="J25" s="70">
        <v>0.98227787017822266</v>
      </c>
    </row>
    <row r="26" spans="1:17" ht="15" customHeight="1">
      <c r="A26" s="9" t="s">
        <v>78</v>
      </c>
      <c r="B26" s="51" t="s">
        <v>198</v>
      </c>
      <c r="C26" s="58" t="s">
        <v>199</v>
      </c>
      <c r="D26" s="9" t="s">
        <v>79</v>
      </c>
      <c r="E26" s="67">
        <v>87.755161869014188</v>
      </c>
      <c r="F26" s="67">
        <v>20.083022385581284</v>
      </c>
      <c r="G26" s="71">
        <v>14.007364998670198</v>
      </c>
      <c r="H26" s="9" t="s">
        <v>80</v>
      </c>
      <c r="I26" s="66">
        <v>4.6828022003173828</v>
      </c>
      <c r="J26" s="70">
        <v>3.7212131023406982</v>
      </c>
    </row>
    <row r="27" spans="1:17" ht="15" customHeight="1" thickBot="1">
      <c r="A27" s="9" t="s">
        <v>81</v>
      </c>
      <c r="B27" s="49" t="s">
        <v>200</v>
      </c>
      <c r="C27" s="50" t="s">
        <v>201</v>
      </c>
      <c r="D27" s="10" t="s">
        <v>82</v>
      </c>
      <c r="E27" s="78">
        <v>78.068379591936946</v>
      </c>
      <c r="F27" s="78" t="s">
        <v>175</v>
      </c>
      <c r="G27" s="80" t="s">
        <v>175</v>
      </c>
      <c r="H27" s="10" t="s">
        <v>83</v>
      </c>
      <c r="I27" s="77">
        <v>4.7063398361206055</v>
      </c>
      <c r="J27" s="79">
        <v>3.8486747741699219</v>
      </c>
      <c r="M27" s="169"/>
      <c r="N27" s="169"/>
      <c r="O27" s="169"/>
      <c r="P27" s="169"/>
      <c r="Q27" s="169"/>
    </row>
    <row r="28" spans="1:17" ht="15" customHeight="1">
      <c r="A28" s="5" t="s">
        <v>84</v>
      </c>
      <c r="B28" s="1"/>
      <c r="C28" s="37"/>
      <c r="D28" s="12" t="s">
        <v>85</v>
      </c>
      <c r="E28" s="21"/>
      <c r="F28" s="18"/>
      <c r="G28" s="40"/>
      <c r="H28" s="14"/>
      <c r="I28" s="27" t="s">
        <v>86</v>
      </c>
      <c r="J28" s="14"/>
      <c r="M28" s="169"/>
      <c r="N28" s="169"/>
      <c r="O28" s="169"/>
      <c r="P28" s="169"/>
      <c r="Q28" s="169"/>
    </row>
    <row r="29" spans="1:17" ht="15" customHeight="1">
      <c r="A29" s="6"/>
      <c r="B29" s="33" t="s">
        <v>87</v>
      </c>
      <c r="C29" s="73">
        <v>33.987912486317896</v>
      </c>
      <c r="D29" s="6"/>
      <c r="E29" s="3" t="s">
        <v>88</v>
      </c>
      <c r="F29" s="3" t="s">
        <v>89</v>
      </c>
      <c r="G29" s="3" t="s">
        <v>90</v>
      </c>
      <c r="H29" s="15" t="s">
        <v>91</v>
      </c>
      <c r="I29" s="3" t="s">
        <v>92</v>
      </c>
      <c r="J29" s="15" t="s">
        <v>93</v>
      </c>
      <c r="M29" s="170" t="str">
        <f>RIGHT(F$41,SEARCH("/",F$41,1)-1)</f>
        <v xml:space="preserve"> 3547.0</v>
      </c>
      <c r="N29" s="169" t="s">
        <v>187</v>
      </c>
      <c r="O29" s="169"/>
      <c r="P29" s="3" t="s">
        <v>193</v>
      </c>
      <c r="Q29" s="169"/>
    </row>
    <row r="30" spans="1:17" ht="15" customHeight="1" thickBot="1">
      <c r="A30" s="7"/>
      <c r="B30" s="61" t="s">
        <v>94</v>
      </c>
      <c r="C30" s="74">
        <v>33.99654522834512</v>
      </c>
      <c r="D30" s="9" t="s">
        <v>95</v>
      </c>
      <c r="E30" s="164">
        <v>46.338452500000002</v>
      </c>
      <c r="F30" s="164">
        <v>586.8671850585938</v>
      </c>
      <c r="G30" s="164">
        <v>16.704994732218093</v>
      </c>
      <c r="H30" s="165">
        <v>663.18841292784691</v>
      </c>
      <c r="I30" s="68">
        <v>48120.467685604744</v>
      </c>
      <c r="J30" s="72">
        <v>3920.1695699578636</v>
      </c>
      <c r="M30" s="170" t="str">
        <f>RIGHT(E$41,SEARCH("/",E$41,1)-1)</f>
        <v xml:space="preserve"> 3556.5</v>
      </c>
      <c r="N30" s="169" t="s">
        <v>188</v>
      </c>
      <c r="O30" s="169"/>
      <c r="P30" s="171">
        <f>G30*6.4516</f>
        <v>107.77394401437824</v>
      </c>
      <c r="Q30" s="169"/>
    </row>
    <row r="31" spans="1:17" ht="15" customHeight="1">
      <c r="A31" s="22" t="s">
        <v>96</v>
      </c>
      <c r="B31" s="142"/>
      <c r="C31" s="26"/>
      <c r="D31" s="9" t="s">
        <v>97</v>
      </c>
      <c r="E31" s="164">
        <v>5.7</v>
      </c>
      <c r="F31" s="164">
        <v>1035.9513367415441</v>
      </c>
      <c r="G31" s="164">
        <v>9.4633916548160588</v>
      </c>
      <c r="H31" s="165">
        <v>11.565047672395481</v>
      </c>
      <c r="I31" s="68">
        <v>11809.845238853602</v>
      </c>
      <c r="J31" s="72">
        <v>383.18101501715148</v>
      </c>
      <c r="M31" s="170" t="str">
        <f>RIGHT(D$41,SEARCH("/",D$41,1)-1)</f>
        <v xml:space="preserve"> 3566.3</v>
      </c>
      <c r="N31" s="169" t="s">
        <v>189</v>
      </c>
      <c r="O31" s="169"/>
      <c r="P31" s="171">
        <f>G31*6.4516</f>
        <v>61.054017600211282</v>
      </c>
      <c r="Q31" s="169"/>
    </row>
    <row r="32" spans="1:17" ht="15" customHeight="1">
      <c r="A32" s="5" t="s">
        <v>98</v>
      </c>
      <c r="B32" s="66" t="s">
        <v>259</v>
      </c>
      <c r="C32" s="108"/>
      <c r="D32" s="9" t="s">
        <v>99</v>
      </c>
      <c r="E32" s="164">
        <v>20.750201935019732</v>
      </c>
      <c r="F32" s="164">
        <v>673.22699920177456</v>
      </c>
      <c r="G32" s="164">
        <v>14.562121315008648</v>
      </c>
      <c r="H32" s="165">
        <v>165.91204540774137</v>
      </c>
      <c r="I32" s="8" t="s">
        <v>100</v>
      </c>
      <c r="J32" s="72">
        <v>4303.3505849750154</v>
      </c>
      <c r="M32" s="170" t="str">
        <f>RIGHT(C$41,SEARCH("/",C$41,1)-1)</f>
        <v xml:space="preserve"> 3575.6</v>
      </c>
      <c r="N32" s="169" t="s">
        <v>190</v>
      </c>
      <c r="O32" s="169"/>
      <c r="P32" s="171">
        <f>G32*6.4516</f>
        <v>93.948981875909794</v>
      </c>
      <c r="Q32" s="169"/>
    </row>
    <row r="33" spans="1:17" ht="15" customHeight="1">
      <c r="A33" s="5" t="s">
        <v>101</v>
      </c>
      <c r="B33" s="66" t="s">
        <v>260</v>
      </c>
      <c r="C33" s="109" t="s">
        <v>102</v>
      </c>
      <c r="D33" s="9" t="s">
        <v>97</v>
      </c>
      <c r="E33" s="164">
        <v>3.5</v>
      </c>
      <c r="F33" s="164">
        <v>782.59500000000003</v>
      </c>
      <c r="G33" s="164">
        <v>12.527058357024348</v>
      </c>
      <c r="H33" s="165">
        <v>16.016241656846567</v>
      </c>
      <c r="I33" s="8" t="s">
        <v>103</v>
      </c>
      <c r="J33" s="71" t="s">
        <v>228</v>
      </c>
      <c r="M33" s="170" t="str">
        <f>RIGHT(B$41,SEARCH("/",B$41,1)-1)</f>
        <v xml:space="preserve"> 3584.6</v>
      </c>
      <c r="N33" s="169" t="s">
        <v>191</v>
      </c>
      <c r="O33" s="169"/>
      <c r="P33" s="171">
        <f>G33*6.4516</f>
        <v>80.819569696178277</v>
      </c>
      <c r="Q33" s="169"/>
    </row>
    <row r="34" spans="1:17" ht="15" customHeight="1" thickBot="1">
      <c r="A34" s="16" t="s">
        <v>104</v>
      </c>
      <c r="B34" s="77" t="s">
        <v>261</v>
      </c>
      <c r="C34" s="162">
        <v>9.8036132349154705</v>
      </c>
      <c r="D34" s="10" t="s">
        <v>20</v>
      </c>
      <c r="E34" s="166">
        <v>0.29000000953674315</v>
      </c>
      <c r="F34" s="167">
        <v>1751.2085885572073</v>
      </c>
      <c r="G34" s="167">
        <v>5.5981984664616737</v>
      </c>
      <c r="H34" s="168">
        <v>1291.9235233293225</v>
      </c>
      <c r="I34" s="8" t="s">
        <v>105</v>
      </c>
      <c r="J34" s="71">
        <v>6.0500001907348633</v>
      </c>
      <c r="M34" s="169"/>
      <c r="N34" s="169"/>
      <c r="O34" s="169"/>
      <c r="P34" s="171">
        <f>G34*6.4516</f>
        <v>36.117337226224137</v>
      </c>
      <c r="Q34" s="169"/>
    </row>
    <row r="35" spans="1:17" ht="15" customHeight="1">
      <c r="A35" s="12" t="s">
        <v>106</v>
      </c>
      <c r="B35" s="13"/>
      <c r="C35" s="13"/>
      <c r="D35" s="133" t="s">
        <v>230</v>
      </c>
      <c r="E35" s="143" t="s">
        <v>229</v>
      </c>
      <c r="F35" s="14"/>
      <c r="G35" s="25" t="s">
        <v>107</v>
      </c>
      <c r="H35" s="83" t="s">
        <v>223</v>
      </c>
      <c r="I35" s="9" t="s">
        <v>108</v>
      </c>
      <c r="J35" s="72" t="s">
        <v>227</v>
      </c>
      <c r="M35" s="169"/>
      <c r="N35" s="169"/>
      <c r="O35" s="169"/>
      <c r="P35" s="169"/>
      <c r="Q35" s="169"/>
    </row>
    <row r="36" spans="1:17" ht="15" customHeight="1">
      <c r="A36" s="5" t="s">
        <v>109</v>
      </c>
      <c r="B36" s="3">
        <v>25</v>
      </c>
      <c r="C36" s="3">
        <v>50</v>
      </c>
      <c r="D36" s="3">
        <v>75</v>
      </c>
      <c r="E36" s="3">
        <v>100</v>
      </c>
      <c r="F36" s="15">
        <v>125</v>
      </c>
      <c r="G36" s="9" t="s">
        <v>110</v>
      </c>
      <c r="H36" s="72" t="s">
        <v>221</v>
      </c>
      <c r="I36" s="9" t="s">
        <v>111</v>
      </c>
      <c r="J36" s="72" t="s">
        <v>226</v>
      </c>
      <c r="M36" s="169"/>
      <c r="N36" s="169"/>
      <c r="O36" s="169"/>
      <c r="P36" s="169"/>
      <c r="Q36" s="169"/>
    </row>
    <row r="37" spans="1:17" ht="15" customHeight="1" thickBot="1">
      <c r="A37" s="9" t="s">
        <v>112</v>
      </c>
      <c r="B37" s="174" t="s">
        <v>241</v>
      </c>
      <c r="C37" s="174" t="s">
        <v>242</v>
      </c>
      <c r="D37" s="174" t="s">
        <v>243</v>
      </c>
      <c r="E37" s="174" t="s">
        <v>244</v>
      </c>
      <c r="F37" s="175" t="s">
        <v>245</v>
      </c>
      <c r="G37" s="9" t="s">
        <v>113</v>
      </c>
      <c r="H37" s="72" t="s">
        <v>222</v>
      </c>
      <c r="I37" s="10" t="s">
        <v>114</v>
      </c>
      <c r="J37" s="81" t="s">
        <v>225</v>
      </c>
      <c r="O37" s="148"/>
    </row>
    <row r="38" spans="1:17" ht="15" customHeight="1" thickBot="1">
      <c r="A38" s="9" t="s">
        <v>115</v>
      </c>
      <c r="B38" s="176" t="s">
        <v>232</v>
      </c>
      <c r="C38" s="176" t="s">
        <v>233</v>
      </c>
      <c r="D38" s="176" t="s">
        <v>234</v>
      </c>
      <c r="E38" s="176" t="s">
        <v>234</v>
      </c>
      <c r="F38" s="177" t="s">
        <v>235</v>
      </c>
      <c r="G38" s="16" t="s">
        <v>116</v>
      </c>
      <c r="H38" s="81" t="s">
        <v>224</v>
      </c>
      <c r="I38" s="134" t="s">
        <v>231</v>
      </c>
      <c r="J38" s="82">
        <v>14026.8134765625</v>
      </c>
      <c r="L38" t="str">
        <f>LEFT(E38,SEARCH("/",E38,1)-1)</f>
        <v xml:space="preserve">0.962 </v>
      </c>
      <c r="M38" t="str">
        <f>RIGHT(E38,SEARCH("/",E38,1)-1)</f>
        <v xml:space="preserve"> 0.945</v>
      </c>
      <c r="N38" s="149">
        <f>M38/L38</f>
        <v>0.98232848232848236</v>
      </c>
      <c r="O38" s="148" t="s">
        <v>178</v>
      </c>
    </row>
    <row r="39" spans="1:17" ht="15" customHeight="1">
      <c r="A39" s="9" t="s">
        <v>117</v>
      </c>
      <c r="B39" s="176" t="s">
        <v>236</v>
      </c>
      <c r="C39" s="176" t="s">
        <v>237</v>
      </c>
      <c r="D39" s="176" t="s">
        <v>238</v>
      </c>
      <c r="E39" s="176" t="s">
        <v>239</v>
      </c>
      <c r="F39" s="177" t="s">
        <v>240</v>
      </c>
      <c r="G39" s="12" t="s">
        <v>118</v>
      </c>
      <c r="H39" s="13"/>
      <c r="I39" s="38" t="s">
        <v>119</v>
      </c>
      <c r="J39" s="39" t="s">
        <v>120</v>
      </c>
      <c r="L39" t="str">
        <f>LEFT(E39,SEARCH("/",E39,1)-1)</f>
        <v xml:space="preserve">0.915 </v>
      </c>
      <c r="M39" t="str">
        <f>RIGHT(E39,SEARCH("/",E39,1)-1)</f>
        <v xml:space="preserve"> 0.896</v>
      </c>
      <c r="N39" s="149">
        <f>M39/L39</f>
        <v>0.97923497267759563</v>
      </c>
      <c r="O39" s="148" t="s">
        <v>179</v>
      </c>
    </row>
    <row r="40" spans="1:17" ht="15" customHeight="1">
      <c r="A40" s="9" t="s">
        <v>119</v>
      </c>
      <c r="B40" s="178" t="s">
        <v>254</v>
      </c>
      <c r="C40" s="178" t="s">
        <v>255</v>
      </c>
      <c r="D40" s="178" t="s">
        <v>256</v>
      </c>
      <c r="E40" s="178" t="s">
        <v>257</v>
      </c>
      <c r="F40" s="179" t="s">
        <v>258</v>
      </c>
      <c r="G40" s="34" t="s">
        <v>121</v>
      </c>
      <c r="H40" s="89" t="s">
        <v>262</v>
      </c>
      <c r="I40" s="53"/>
      <c r="J40" s="54"/>
      <c r="L40" t="str">
        <f>LEFT(E37,SEARCH("/",E37,1)-1)</f>
        <v xml:space="preserve">110.04 </v>
      </c>
      <c r="M40">
        <v>114</v>
      </c>
      <c r="N40" s="149">
        <f>M40/L40</f>
        <v>1.0359869138495092</v>
      </c>
      <c r="O40" s="148" t="s">
        <v>177</v>
      </c>
    </row>
    <row r="41" spans="1:17" ht="15" customHeight="1">
      <c r="A41" s="9" t="s">
        <v>5</v>
      </c>
      <c r="B41" s="180" t="s">
        <v>249</v>
      </c>
      <c r="C41" s="180" t="s">
        <v>250</v>
      </c>
      <c r="D41" s="180" t="s">
        <v>251</v>
      </c>
      <c r="E41" s="180" t="s">
        <v>252</v>
      </c>
      <c r="F41" s="181" t="s">
        <v>253</v>
      </c>
      <c r="G41" s="35" t="s">
        <v>122</v>
      </c>
      <c r="H41" s="90" t="s">
        <v>263</v>
      </c>
      <c r="I41" s="55"/>
      <c r="J41" s="56"/>
      <c r="L41" t="str">
        <f>LEFT(E41,SEARCH("/",E41,1)-1)</f>
        <v xml:space="preserve">3562.7 </v>
      </c>
      <c r="M41">
        <v>3555</v>
      </c>
      <c r="N41" s="149">
        <f>M41/L41</f>
        <v>0.99783871782636768</v>
      </c>
      <c r="O41" s="148" t="s">
        <v>5</v>
      </c>
    </row>
    <row r="42" spans="1:17" ht="15" customHeight="1">
      <c r="A42" s="9" t="s">
        <v>123</v>
      </c>
      <c r="B42" s="176">
        <v>9.7542055936269367</v>
      </c>
      <c r="C42" s="176">
        <v>8.5014894113007848</v>
      </c>
      <c r="D42" s="176">
        <v>7.9181918558129327</v>
      </c>
      <c r="E42" s="176">
        <v>7.578403190315365</v>
      </c>
      <c r="F42" s="177">
        <v>7.3664126197033584</v>
      </c>
      <c r="G42" s="34" t="s">
        <v>124</v>
      </c>
      <c r="H42" s="89" t="s">
        <v>264</v>
      </c>
      <c r="I42" s="53"/>
      <c r="J42" s="95">
        <v>0.25523256720047094</v>
      </c>
    </row>
    <row r="43" spans="1:17" ht="15" customHeight="1" thickBot="1">
      <c r="A43" s="10" t="s">
        <v>125</v>
      </c>
      <c r="B43" s="182">
        <v>15.614134644884029</v>
      </c>
      <c r="C43" s="183"/>
      <c r="D43" s="184" t="s">
        <v>267</v>
      </c>
      <c r="E43" s="184"/>
      <c r="F43" s="185"/>
      <c r="G43" s="35" t="s">
        <v>122</v>
      </c>
      <c r="H43" s="90" t="s">
        <v>265</v>
      </c>
      <c r="I43" s="55"/>
      <c r="J43" s="56"/>
    </row>
    <row r="44" spans="1:17" ht="15" customHeight="1">
      <c r="A44" s="4" t="s">
        <v>126</v>
      </c>
      <c r="B44" s="139"/>
      <c r="C44" s="1"/>
      <c r="D44" s="1"/>
      <c r="E44" s="4" t="s">
        <v>127</v>
      </c>
      <c r="F44" s="19"/>
      <c r="G44" s="34" t="s">
        <v>128</v>
      </c>
      <c r="H44" s="91">
        <v>1550.4327016188668</v>
      </c>
      <c r="I44" s="88">
        <v>5.0091331272845763E-2</v>
      </c>
      <c r="J44" s="95">
        <v>0.6254426763100549</v>
      </c>
    </row>
    <row r="45" spans="1:17" ht="15" customHeight="1">
      <c r="A45" s="9" t="s">
        <v>129</v>
      </c>
      <c r="B45" s="66">
        <v>0.22388680279254913</v>
      </c>
      <c r="C45" s="159" t="s">
        <v>130</v>
      </c>
      <c r="D45" s="70">
        <v>1.1241434141993523E-2</v>
      </c>
      <c r="E45" s="9" t="s">
        <v>131</v>
      </c>
      <c r="F45" s="72">
        <v>345.16904162658602</v>
      </c>
      <c r="G45" s="36" t="s">
        <v>122</v>
      </c>
      <c r="H45" s="84" t="s">
        <v>266</v>
      </c>
      <c r="I45" s="57"/>
      <c r="J45" s="58"/>
    </row>
    <row r="46" spans="1:17" ht="15" customHeight="1">
      <c r="A46" s="9" t="s">
        <v>132</v>
      </c>
      <c r="B46" s="66">
        <v>0.20685118436813354</v>
      </c>
      <c r="C46" s="159" t="s">
        <v>133</v>
      </c>
      <c r="D46" s="70">
        <v>1.0374516248703003E-2</v>
      </c>
      <c r="E46" s="9" t="s">
        <v>134</v>
      </c>
      <c r="F46" s="72">
        <v>549.39414788312331</v>
      </c>
      <c r="G46" s="35" t="s">
        <v>135</v>
      </c>
      <c r="H46" s="92">
        <v>339.87084764030283</v>
      </c>
      <c r="I46" s="55"/>
      <c r="J46" s="56"/>
      <c r="L46" s="144" t="s">
        <v>180</v>
      </c>
      <c r="M46" s="146">
        <f>B5^0.95</f>
        <v>640.51661373893785</v>
      </c>
    </row>
    <row r="47" spans="1:17" ht="15" customHeight="1">
      <c r="A47" s="9" t="s">
        <v>136</v>
      </c>
      <c r="B47" s="66">
        <v>0.43073797225952148</v>
      </c>
      <c r="C47" s="159" t="s">
        <v>137</v>
      </c>
      <c r="D47" s="70">
        <v>4.4682752341032028E-3</v>
      </c>
      <c r="E47" s="9" t="s">
        <v>138</v>
      </c>
      <c r="F47" s="72">
        <v>196.89183924674117</v>
      </c>
      <c r="G47" s="62" t="s">
        <v>139</v>
      </c>
      <c r="H47" s="91">
        <v>1474.8057929877825</v>
      </c>
      <c r="I47" s="88">
        <v>4.7531657341399219E-2</v>
      </c>
      <c r="J47" s="93">
        <v>0.64337132519911444</v>
      </c>
      <c r="L47" s="144" t="s">
        <v>181</v>
      </c>
      <c r="M47" s="146">
        <f>B5^1.5</f>
        <v>27000.001472698143</v>
      </c>
    </row>
    <row r="48" spans="1:17" ht="15" customHeight="1">
      <c r="A48" s="9" t="s">
        <v>140</v>
      </c>
      <c r="B48" s="66">
        <v>1.0722932405769825E-2</v>
      </c>
      <c r="C48" s="159" t="s">
        <v>100</v>
      </c>
      <c r="D48" s="70">
        <v>3.6807157099246979E-2</v>
      </c>
      <c r="E48" s="9" t="s">
        <v>141</v>
      </c>
      <c r="F48" s="72">
        <v>87.122716966215847</v>
      </c>
      <c r="G48" s="63" t="s">
        <v>122</v>
      </c>
      <c r="H48" s="84">
        <v>219.66126591592848</v>
      </c>
      <c r="I48" s="57"/>
      <c r="J48" s="58"/>
      <c r="L48" s="144" t="s">
        <v>182</v>
      </c>
      <c r="M48" s="145">
        <f>IF(A5="",0,(7200/(1000*A5))^2.4)</f>
        <v>21.633460842025631</v>
      </c>
    </row>
    <row r="49" spans="1:13" ht="15" customHeight="1" thickBot="1">
      <c r="A49" s="7"/>
      <c r="B49" s="52"/>
      <c r="C49" s="160" t="s">
        <v>142</v>
      </c>
      <c r="D49" s="79">
        <v>0.96319282054901123</v>
      </c>
      <c r="E49" s="10" t="s">
        <v>143</v>
      </c>
      <c r="F49" s="81">
        <v>211.19720242457495</v>
      </c>
      <c r="G49" s="64" t="s">
        <v>135</v>
      </c>
      <c r="H49" s="92">
        <v>330.85659002186196</v>
      </c>
      <c r="I49" s="55"/>
      <c r="J49" s="59"/>
      <c r="L49" s="144" t="s">
        <v>183</v>
      </c>
      <c r="M49" s="145">
        <f>IF(A5="",0,(7200/(1000*A5))^1.8)</f>
        <v>10.031006258647469</v>
      </c>
    </row>
    <row r="50" spans="1:13" ht="15" customHeight="1">
      <c r="A50" s="12" t="s">
        <v>144</v>
      </c>
      <c r="B50" s="13"/>
      <c r="C50" s="13"/>
      <c r="D50" s="13"/>
      <c r="E50" s="13"/>
      <c r="F50" s="14"/>
      <c r="G50" s="12" t="s">
        <v>145</v>
      </c>
      <c r="H50" s="13"/>
      <c r="I50" s="40"/>
      <c r="J50" s="26"/>
      <c r="L50" s="144" t="s">
        <v>184</v>
      </c>
      <c r="M50" s="147">
        <f>IF(A5=2,27,24)</f>
        <v>27</v>
      </c>
    </row>
    <row r="51" spans="1:13" ht="15" customHeight="1">
      <c r="A51" s="9" t="s">
        <v>146</v>
      </c>
      <c r="B51" s="49">
        <v>34</v>
      </c>
      <c r="C51" s="8" t="s">
        <v>147</v>
      </c>
      <c r="D51" s="67">
        <v>7</v>
      </c>
      <c r="E51" s="8" t="s">
        <v>148</v>
      </c>
      <c r="F51" s="71">
        <v>11</v>
      </c>
      <c r="G51" s="8" t="s">
        <v>149</v>
      </c>
      <c r="H51" s="65">
        <v>0.12496630873385878</v>
      </c>
      <c r="I51" s="43" t="s">
        <v>150</v>
      </c>
      <c r="J51" s="37"/>
      <c r="L51" s="144" t="s">
        <v>185</v>
      </c>
      <c r="M51" s="147">
        <v>6.8500000000000005E-2</v>
      </c>
    </row>
    <row r="52" spans="1:13" ht="15" customHeight="1">
      <c r="A52" s="9" t="s">
        <v>58</v>
      </c>
      <c r="B52" s="67">
        <v>35</v>
      </c>
      <c r="C52" s="8" t="s">
        <v>151</v>
      </c>
      <c r="D52" s="67">
        <v>8</v>
      </c>
      <c r="E52" s="8" t="s">
        <v>152</v>
      </c>
      <c r="F52" s="71">
        <v>0</v>
      </c>
      <c r="G52" s="8" t="s">
        <v>169</v>
      </c>
      <c r="H52" s="67">
        <v>50260.337942630773</v>
      </c>
      <c r="I52" s="96" t="s">
        <v>246</v>
      </c>
      <c r="J52" s="60"/>
      <c r="L52" s="144" t="s">
        <v>192</v>
      </c>
      <c r="M52" s="161">
        <f>F5</f>
        <v>60</v>
      </c>
    </row>
    <row r="53" spans="1:13" ht="15" customHeight="1">
      <c r="A53" s="9" t="s">
        <v>64</v>
      </c>
      <c r="B53" s="67">
        <v>0</v>
      </c>
      <c r="C53" s="8" t="s">
        <v>153</v>
      </c>
      <c r="D53" s="67">
        <v>17.511787414550781</v>
      </c>
      <c r="E53" s="8" t="s">
        <v>154</v>
      </c>
      <c r="F53" s="71">
        <v>0</v>
      </c>
      <c r="G53" s="8" t="s">
        <v>170</v>
      </c>
      <c r="H53" s="66">
        <v>22.454236178732888</v>
      </c>
      <c r="I53" s="42" t="s">
        <v>155</v>
      </c>
      <c r="J53" s="37"/>
      <c r="L53" s="144" t="s">
        <v>186</v>
      </c>
      <c r="M53" s="150">
        <f>IF(F5=60,M50*M46/M48-M51*M47/M49,IF(F5&lt;&gt;60,(60/M52)^2*(M50*M46/M48-M51*M47/M49),0))</f>
        <v>615.02907284660466</v>
      </c>
    </row>
    <row r="54" spans="1:13" ht="15" customHeight="1">
      <c r="A54" s="9" t="s">
        <v>66</v>
      </c>
      <c r="B54" s="67">
        <v>1</v>
      </c>
      <c r="C54" s="8" t="s">
        <v>156</v>
      </c>
      <c r="D54" s="67">
        <v>13.434589514283759</v>
      </c>
      <c r="E54" s="8" t="s">
        <v>154</v>
      </c>
      <c r="F54" s="71">
        <v>11</v>
      </c>
      <c r="G54" s="8" t="s">
        <v>171</v>
      </c>
      <c r="H54" s="68">
        <v>161518.39999999999</v>
      </c>
      <c r="I54" s="97" t="s">
        <v>247</v>
      </c>
      <c r="J54" s="98" t="s">
        <v>211</v>
      </c>
    </row>
    <row r="55" spans="1:13" ht="15" customHeight="1">
      <c r="A55" s="9" t="s">
        <v>157</v>
      </c>
      <c r="B55" s="67">
        <v>7</v>
      </c>
      <c r="C55" s="8" t="s">
        <v>158</v>
      </c>
      <c r="D55" s="67">
        <v>22</v>
      </c>
      <c r="E55" s="8" t="s">
        <v>159</v>
      </c>
      <c r="F55" s="71">
        <v>0</v>
      </c>
      <c r="G55" s="8" t="s">
        <v>160</v>
      </c>
      <c r="H55" s="67">
        <v>1</v>
      </c>
      <c r="I55" s="42" t="s">
        <v>161</v>
      </c>
      <c r="J55" s="37"/>
      <c r="M55">
        <f>615*0.33333</f>
        <v>204.99795</v>
      </c>
    </row>
    <row r="56" spans="1:13" ht="15" customHeight="1" thickBot="1">
      <c r="A56" s="10" t="s">
        <v>162</v>
      </c>
      <c r="B56" s="78">
        <v>2</v>
      </c>
      <c r="C56" s="20" t="s">
        <v>163</v>
      </c>
      <c r="D56" s="78">
        <v>22.955984629434976</v>
      </c>
      <c r="E56" s="20" t="s">
        <v>164</v>
      </c>
      <c r="F56" s="80">
        <v>0</v>
      </c>
      <c r="G56" s="20" t="s">
        <v>165</v>
      </c>
      <c r="H56" s="77">
        <v>0.67847857142857138</v>
      </c>
      <c r="I56" s="99" t="s">
        <v>248</v>
      </c>
      <c r="J56" s="59" t="s">
        <v>212</v>
      </c>
    </row>
    <row r="57" spans="1:13" ht="15" customHeight="1">
      <c r="A57" s="22" t="s">
        <v>396</v>
      </c>
      <c r="B57" s="40"/>
      <c r="C57" s="40"/>
      <c r="D57" s="40"/>
      <c r="E57" s="40"/>
      <c r="F57" s="26"/>
      <c r="G57" s="116"/>
      <c r="H57" s="117"/>
      <c r="I57" s="117"/>
      <c r="J57" s="118"/>
    </row>
    <row r="58" spans="1:13" ht="15" customHeight="1">
      <c r="A58" s="100" t="s">
        <v>119</v>
      </c>
      <c r="B58" s="3" t="s">
        <v>166</v>
      </c>
      <c r="C58" s="15" t="s">
        <v>397</v>
      </c>
      <c r="D58" s="3" t="s">
        <v>119</v>
      </c>
      <c r="E58" s="3" t="s">
        <v>166</v>
      </c>
      <c r="F58" s="15" t="s">
        <v>398</v>
      </c>
      <c r="G58" s="119"/>
      <c r="H58" s="31"/>
      <c r="I58" s="31"/>
      <c r="J58" s="44"/>
    </row>
    <row r="59" spans="1:13" ht="15" customHeight="1">
      <c r="A59" s="123">
        <v>0</v>
      </c>
      <c r="B59" s="84">
        <v>0</v>
      </c>
      <c r="C59" s="85">
        <v>0.20061810314655304</v>
      </c>
      <c r="D59" s="125">
        <v>0.69999998807907104</v>
      </c>
      <c r="E59" s="84">
        <v>77.919082319893832</v>
      </c>
      <c r="F59" s="85">
        <v>515.40191650390625</v>
      </c>
      <c r="G59" s="119"/>
      <c r="H59" s="31"/>
      <c r="I59" s="31"/>
      <c r="J59" s="44"/>
    </row>
    <row r="60" spans="1:13" ht="15" customHeight="1">
      <c r="A60" s="127">
        <v>7.9999994486570358E-3</v>
      </c>
      <c r="B60" s="84">
        <v>73.219229829192557</v>
      </c>
      <c r="C60" s="85">
        <v>79.415153503417969</v>
      </c>
      <c r="D60" s="125">
        <v>0.80000001192092896</v>
      </c>
      <c r="E60" s="84">
        <v>82.902451353867306</v>
      </c>
      <c r="F60" s="85">
        <v>520.29998779296875</v>
      </c>
      <c r="G60" s="119"/>
      <c r="H60" s="31"/>
      <c r="I60" s="31"/>
      <c r="J60" s="44"/>
    </row>
    <row r="61" spans="1:13" ht="15" customHeight="1">
      <c r="A61" s="127">
        <v>3.9999999105930328E-2</v>
      </c>
      <c r="B61" s="84">
        <v>225</v>
      </c>
      <c r="C61" s="85">
        <v>299.70626831054688</v>
      </c>
      <c r="D61" s="125">
        <v>0.89999997615814209</v>
      </c>
      <c r="E61" s="84">
        <v>91.31780941271947</v>
      </c>
      <c r="F61" s="85">
        <v>524.8045654296875</v>
      </c>
      <c r="G61" s="119"/>
      <c r="H61" s="31"/>
      <c r="I61" s="31"/>
      <c r="J61" s="44"/>
    </row>
    <row r="62" spans="1:13" ht="15" customHeight="1">
      <c r="A62" s="123">
        <v>9.1428570449352264E-2</v>
      </c>
      <c r="B62" s="84">
        <v>171.82635845230351</v>
      </c>
      <c r="C62" s="85">
        <v>409.80865478515625</v>
      </c>
      <c r="D62" s="126">
        <v>1</v>
      </c>
      <c r="E62" s="84">
        <v>105</v>
      </c>
      <c r="F62" s="85">
        <v>528.9473876953125</v>
      </c>
      <c r="G62" s="119"/>
      <c r="H62" s="31"/>
      <c r="I62" s="31"/>
      <c r="J62" s="44"/>
    </row>
    <row r="63" spans="1:13" ht="15" customHeight="1" thickBot="1">
      <c r="A63" s="123">
        <v>0.1428571492433548</v>
      </c>
      <c r="B63" s="84">
        <v>123.22372500852882</v>
      </c>
      <c r="C63" s="85">
        <v>450.24554443359375</v>
      </c>
      <c r="D63" s="397"/>
      <c r="E63" s="86"/>
      <c r="F63" s="398"/>
      <c r="G63" s="119"/>
      <c r="H63" s="31"/>
      <c r="I63" s="31"/>
      <c r="J63" s="44"/>
    </row>
    <row r="64" spans="1:13" ht="15" customHeight="1">
      <c r="A64" s="123">
        <v>0.19428572058677673</v>
      </c>
      <c r="B64" s="84">
        <v>97.564850927585212</v>
      </c>
      <c r="C64" s="85">
        <v>468.88885498046875</v>
      </c>
      <c r="D64" s="399" t="s">
        <v>432</v>
      </c>
      <c r="E64" s="400"/>
      <c r="F64" s="400"/>
      <c r="G64" s="119"/>
      <c r="H64" s="31"/>
      <c r="I64" s="31"/>
      <c r="J64" s="44"/>
    </row>
    <row r="65" spans="1:10" ht="15" customHeight="1">
      <c r="A65" s="123">
        <v>0.29714286327362061</v>
      </c>
      <c r="B65" s="84">
        <v>79.878041597602049</v>
      </c>
      <c r="C65" s="85">
        <v>486.64703369140625</v>
      </c>
      <c r="D65" s="401" t="s">
        <v>415</v>
      </c>
      <c r="E65" s="403" t="s">
        <v>431</v>
      </c>
      <c r="F65" s="403"/>
      <c r="G65" s="119"/>
      <c r="H65" s="31"/>
      <c r="I65" s="31"/>
      <c r="J65" s="44"/>
    </row>
    <row r="66" spans="1:10" ht="15" customHeight="1">
      <c r="A66" s="123">
        <v>0.40000000596046448</v>
      </c>
      <c r="B66" s="84">
        <v>73.5</v>
      </c>
      <c r="C66" s="85">
        <v>496.389892578125</v>
      </c>
      <c r="D66" s="401" t="s">
        <v>412</v>
      </c>
      <c r="E66" s="403" t="s">
        <v>543</v>
      </c>
      <c r="F66" s="403"/>
      <c r="G66" s="119"/>
      <c r="H66" s="31"/>
      <c r="I66" s="31"/>
      <c r="J66" s="44"/>
    </row>
    <row r="67" spans="1:10" ht="15" customHeight="1">
      <c r="A67" s="123">
        <v>0.5</v>
      </c>
      <c r="B67" s="84">
        <v>73.837935527232716</v>
      </c>
      <c r="C67" s="85">
        <v>503.6629638671875</v>
      </c>
      <c r="D67" s="401" t="s">
        <v>419</v>
      </c>
      <c r="E67" s="403" t="s">
        <v>544</v>
      </c>
      <c r="F67" s="403"/>
      <c r="G67" s="119"/>
      <c r="H67" s="31"/>
      <c r="I67" s="31"/>
      <c r="J67" s="44"/>
    </row>
    <row r="68" spans="1:10" ht="15" customHeight="1" thickBot="1">
      <c r="A68" s="124">
        <v>0.60000002384185791</v>
      </c>
      <c r="B68" s="86">
        <v>75.147652944090339</v>
      </c>
      <c r="C68" s="87">
        <v>509.85635375976563</v>
      </c>
      <c r="D68" s="402" t="s">
        <v>420</v>
      </c>
      <c r="E68" s="404" t="s">
        <v>433</v>
      </c>
      <c r="F68" s="404"/>
      <c r="G68" s="120"/>
      <c r="H68" s="45"/>
      <c r="I68" s="45"/>
      <c r="J68" s="46"/>
    </row>
    <row r="69" spans="1:10" ht="15" customHeight="1">
      <c r="A69" s="153"/>
      <c r="B69" s="154"/>
      <c r="C69" s="31"/>
      <c r="D69" s="31"/>
      <c r="E69" s="31"/>
      <c r="F69" s="31"/>
      <c r="G69" s="31"/>
      <c r="H69" s="31"/>
      <c r="I69" s="31"/>
      <c r="J69" s="31"/>
    </row>
    <row r="70" spans="1:10" ht="1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68" t="s">
        <v>430</v>
      </c>
      <c r="B99" s="368"/>
      <c r="C99" s="368"/>
      <c r="D99" s="368"/>
      <c r="E99" s="368"/>
      <c r="F99" s="368"/>
      <c r="G99" s="368"/>
      <c r="H99" s="368"/>
      <c r="I99" s="368"/>
    </row>
    <row r="100" spans="1:9">
      <c r="A100" s="368">
        <v>100</v>
      </c>
      <c r="B100" s="368"/>
      <c r="C100" s="368"/>
      <c r="D100" s="368"/>
      <c r="E100" s="368"/>
      <c r="F100" s="368"/>
      <c r="G100" s="368"/>
      <c r="H100" s="368"/>
      <c r="I100" s="368"/>
    </row>
    <row r="101" spans="1:9">
      <c r="A101" s="368">
        <v>98.400001525878906</v>
      </c>
      <c r="B101" s="368"/>
      <c r="C101" s="368"/>
      <c r="D101" s="368"/>
      <c r="E101" s="368"/>
      <c r="F101" s="368"/>
      <c r="G101" s="368"/>
      <c r="H101" s="368"/>
      <c r="I101" s="368"/>
    </row>
    <row r="102" spans="1:9">
      <c r="A102" s="368">
        <v>89.75</v>
      </c>
      <c r="B102" s="368"/>
      <c r="C102" s="368"/>
      <c r="D102" s="368"/>
      <c r="E102" s="368"/>
      <c r="F102" s="368"/>
      <c r="G102" s="368"/>
      <c r="H102" s="368"/>
      <c r="I102" s="368"/>
    </row>
    <row r="103" spans="1:9">
      <c r="A103" s="368">
        <v>76.228569030761719</v>
      </c>
      <c r="B103" s="368"/>
      <c r="C103" s="368"/>
      <c r="D103" s="368"/>
      <c r="E103" s="368"/>
      <c r="F103" s="368"/>
      <c r="G103" s="368"/>
      <c r="H103" s="368"/>
      <c r="I103" s="368"/>
    </row>
    <row r="104" spans="1:9">
      <c r="A104" s="368">
        <v>62.857139587402344</v>
      </c>
      <c r="B104" s="368"/>
      <c r="C104" s="368"/>
      <c r="D104" s="368"/>
      <c r="E104" s="368"/>
      <c r="F104" s="368"/>
      <c r="G104" s="368"/>
      <c r="H104" s="368"/>
      <c r="I104" s="368"/>
    </row>
    <row r="105" spans="1:9">
      <c r="A105" s="368">
        <v>51.25714111328125</v>
      </c>
      <c r="B105" s="368"/>
      <c r="C105" s="368"/>
      <c r="D105" s="368"/>
      <c r="E105" s="368"/>
      <c r="F105" s="368"/>
      <c r="G105" s="368"/>
      <c r="H105" s="368"/>
      <c r="I105" s="368"/>
    </row>
    <row r="106" spans="1:9">
      <c r="A106" s="368">
        <v>33.485713958740234</v>
      </c>
      <c r="B106" s="368"/>
      <c r="C106" s="368"/>
      <c r="D106" s="368"/>
      <c r="E106" s="368"/>
      <c r="F106" s="368"/>
      <c r="G106" s="368"/>
      <c r="H106" s="368"/>
      <c r="I106" s="368"/>
    </row>
    <row r="107" spans="1:9">
      <c r="A107" s="368">
        <v>22</v>
      </c>
      <c r="B107" s="368"/>
      <c r="C107" s="368"/>
      <c r="D107" s="368"/>
      <c r="E107" s="368"/>
      <c r="F107" s="368"/>
      <c r="G107" s="368"/>
      <c r="H107" s="368"/>
      <c r="I107" s="368"/>
    </row>
    <row r="108" spans="1:9">
      <c r="A108" s="368">
        <v>14</v>
      </c>
      <c r="B108" s="368"/>
      <c r="C108" s="368"/>
      <c r="D108" s="368"/>
      <c r="E108" s="368"/>
      <c r="F108" s="368"/>
      <c r="G108" s="368"/>
      <c r="H108" s="368"/>
      <c r="I108" s="368"/>
    </row>
    <row r="109" spans="1:9">
      <c r="A109" s="368">
        <v>7.9999995231628418</v>
      </c>
      <c r="B109" s="368"/>
      <c r="C109" s="368"/>
      <c r="D109" s="368"/>
      <c r="E109" s="368"/>
      <c r="F109" s="368"/>
      <c r="G109" s="368"/>
      <c r="H109" s="368"/>
      <c r="I109" s="368"/>
    </row>
    <row r="110" spans="1:9">
      <c r="A110" s="368">
        <v>5.9999995231628418</v>
      </c>
      <c r="B110" s="368"/>
      <c r="C110" s="368"/>
      <c r="D110" s="368"/>
      <c r="E110" s="368"/>
      <c r="F110" s="368"/>
      <c r="G110" s="368"/>
      <c r="H110" s="368"/>
      <c r="I110" s="368"/>
    </row>
    <row r="111" spans="1:9">
      <c r="A111" s="368">
        <v>8.0000009536743164</v>
      </c>
      <c r="B111" s="368"/>
      <c r="C111" s="368"/>
      <c r="D111" s="368"/>
      <c r="E111" s="368"/>
      <c r="F111" s="368"/>
      <c r="G111" s="368"/>
      <c r="H111" s="368"/>
      <c r="I111" s="368"/>
    </row>
    <row r="112" spans="1:9">
      <c r="A112" s="368">
        <v>14.999996185302734</v>
      </c>
      <c r="B112" s="368"/>
      <c r="C112" s="368"/>
      <c r="D112" s="368"/>
      <c r="E112" s="368"/>
      <c r="F112" s="368"/>
      <c r="G112" s="368"/>
      <c r="H112" s="368"/>
      <c r="I112" s="368"/>
    </row>
    <row r="113" spans="1:9">
      <c r="A113" s="368">
        <v>30</v>
      </c>
      <c r="B113" s="368"/>
      <c r="C113" s="368"/>
      <c r="D113" s="368"/>
      <c r="E113" s="368"/>
      <c r="F113" s="368"/>
      <c r="G113" s="368"/>
      <c r="H113" s="368"/>
      <c r="I113" s="368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workbookViewId="0">
      <selection activeCell="K8" sqref="K8"/>
    </sheetView>
  </sheetViews>
  <sheetFormatPr defaultColWidth="10.85546875" defaultRowHeight="15.75"/>
  <cols>
    <col min="1" max="1" width="11.5703125" style="328" customWidth="1"/>
    <col min="2" max="2" width="5.85546875" style="328" customWidth="1"/>
    <col min="3" max="3" width="6.7109375" style="328" customWidth="1"/>
    <col min="4" max="4" width="12.28515625" style="328" customWidth="1"/>
    <col min="5" max="5" width="12" style="328" customWidth="1"/>
    <col min="6" max="6" width="9" style="328" customWidth="1"/>
    <col min="7" max="7" width="5.42578125" style="328" customWidth="1"/>
    <col min="8" max="8" width="7.42578125" style="328" customWidth="1"/>
    <col min="9" max="9" width="6.28515625" style="328" customWidth="1"/>
    <col min="10" max="11" width="11.42578125" style="328" customWidth="1"/>
    <col min="12" max="26" width="10.85546875" style="186"/>
    <col min="27" max="16384" width="10.85546875" style="187"/>
  </cols>
  <sheetData>
    <row r="1" spans="1:26" ht="20.25" customHeight="1">
      <c r="A1" s="596" t="s">
        <v>268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</row>
    <row r="2" spans="1:26" ht="20.25" customHeight="1">
      <c r="A2" s="597" t="s">
        <v>269</v>
      </c>
      <c r="B2" s="597"/>
      <c r="C2" s="597"/>
      <c r="D2" s="597"/>
      <c r="E2" s="597"/>
      <c r="F2" s="597"/>
      <c r="G2" s="597"/>
      <c r="H2" s="597"/>
      <c r="I2" s="597"/>
      <c r="J2" s="597"/>
      <c r="K2" s="597"/>
    </row>
    <row r="3" spans="1:26" ht="18.75" customHeight="1" thickBot="1">
      <c r="A3" s="189" t="s">
        <v>1</v>
      </c>
      <c r="B3" s="190" t="s">
        <v>379</v>
      </c>
      <c r="C3" s="191"/>
      <c r="D3" s="191"/>
      <c r="E3" s="191"/>
      <c r="F3" s="188"/>
      <c r="G3" s="191"/>
      <c r="H3" s="191"/>
      <c r="I3" s="189" t="s">
        <v>270</v>
      </c>
      <c r="J3" s="598" t="s">
        <v>390</v>
      </c>
      <c r="K3" s="598"/>
    </row>
    <row r="4" spans="1:26" s="200" customFormat="1" ht="18.399999999999999" customHeight="1" thickBot="1">
      <c r="A4" s="192" t="s">
        <v>380</v>
      </c>
      <c r="B4" s="193"/>
      <c r="C4" s="194"/>
      <c r="D4" s="194"/>
      <c r="E4" s="194"/>
      <c r="F4" s="194"/>
      <c r="G4" s="194"/>
      <c r="H4" s="194"/>
      <c r="I4" s="194"/>
      <c r="J4" s="194"/>
      <c r="K4" s="195"/>
      <c r="L4" s="196"/>
      <c r="M4" s="196"/>
      <c r="N4" s="196"/>
      <c r="O4" s="196"/>
      <c r="P4" s="196"/>
      <c r="Q4" s="197" t="s">
        <v>271</v>
      </c>
      <c r="R4" s="198"/>
      <c r="S4" s="196"/>
      <c r="T4" s="197" t="s">
        <v>272</v>
      </c>
      <c r="U4" s="199"/>
      <c r="V4" s="196"/>
      <c r="W4" s="196"/>
      <c r="X4" s="196"/>
      <c r="Y4" s="196"/>
      <c r="Z4" s="196"/>
    </row>
    <row r="5" spans="1:26" s="200" customFormat="1" ht="18.399999999999999" customHeight="1">
      <c r="A5" s="599" t="s">
        <v>273</v>
      </c>
      <c r="B5" s="600"/>
      <c r="C5" s="600"/>
      <c r="D5" s="201"/>
      <c r="E5" s="202"/>
      <c r="F5" s="203" t="s">
        <v>274</v>
      </c>
      <c r="G5" s="191"/>
      <c r="H5" s="191"/>
      <c r="I5" s="204"/>
      <c r="J5" s="205" t="s">
        <v>275</v>
      </c>
      <c r="K5" s="206" t="s">
        <v>276</v>
      </c>
      <c r="L5" s="196"/>
      <c r="M5" s="196"/>
      <c r="N5" s="196"/>
      <c r="O5" s="196"/>
      <c r="P5" s="196"/>
      <c r="Q5" s="207" t="s">
        <v>277</v>
      </c>
      <c r="R5" s="208"/>
      <c r="S5" s="196"/>
      <c r="T5" s="207" t="s">
        <v>278</v>
      </c>
      <c r="U5" s="209"/>
      <c r="V5" s="196"/>
      <c r="W5" s="196"/>
      <c r="X5" s="196"/>
      <c r="Y5" s="196"/>
      <c r="Z5" s="196"/>
    </row>
    <row r="6" spans="1:26" s="200" customFormat="1" ht="18.399999999999999" customHeight="1">
      <c r="A6" s="601" t="s">
        <v>67</v>
      </c>
      <c r="B6" s="602"/>
      <c r="C6" s="602"/>
      <c r="D6" s="603" t="s">
        <v>278</v>
      </c>
      <c r="E6" s="604"/>
      <c r="F6" s="534" t="s">
        <v>279</v>
      </c>
      <c r="G6" s="535"/>
      <c r="H6" s="535"/>
      <c r="I6" s="535"/>
      <c r="J6" s="535"/>
      <c r="K6" s="536"/>
      <c r="L6" s="196"/>
      <c r="M6" s="196"/>
      <c r="N6" s="196"/>
      <c r="O6" s="196"/>
      <c r="P6" s="196"/>
      <c r="Q6" s="207" t="s">
        <v>280</v>
      </c>
      <c r="R6" s="208"/>
      <c r="S6" s="196"/>
      <c r="T6" s="207" t="s">
        <v>281</v>
      </c>
      <c r="U6" s="209"/>
      <c r="V6" s="196"/>
      <c r="W6" s="196"/>
      <c r="X6" s="196"/>
      <c r="Y6" s="196"/>
      <c r="Z6" s="196"/>
    </row>
    <row r="7" spans="1:26" s="200" customFormat="1" ht="18.399999999999999" customHeight="1">
      <c r="A7" s="592" t="s">
        <v>20</v>
      </c>
      <c r="B7" s="593"/>
      <c r="C7" s="593"/>
      <c r="D7" s="594">
        <v>2.9000000953674299</v>
      </c>
      <c r="E7" s="595"/>
      <c r="F7" s="210" t="s">
        <v>282</v>
      </c>
      <c r="G7" s="211"/>
      <c r="H7" s="212"/>
      <c r="I7" s="213"/>
      <c r="J7" s="214" t="s">
        <v>385</v>
      </c>
      <c r="K7" s="215" t="s">
        <v>175</v>
      </c>
      <c r="L7" s="196"/>
      <c r="M7" s="196"/>
      <c r="N7" s="196"/>
      <c r="O7" s="196"/>
      <c r="P7" s="196"/>
      <c r="Q7" s="207" t="s">
        <v>283</v>
      </c>
      <c r="R7" s="208"/>
      <c r="S7" s="196"/>
      <c r="T7" s="207" t="s">
        <v>284</v>
      </c>
      <c r="U7" s="209"/>
      <c r="V7" s="196"/>
      <c r="W7" s="196"/>
      <c r="X7" s="196"/>
      <c r="Y7" s="196"/>
      <c r="Z7" s="196"/>
    </row>
    <row r="8" spans="1:26" s="200" customFormat="1" ht="18.399999999999999" customHeight="1">
      <c r="A8" s="592" t="s">
        <v>285</v>
      </c>
      <c r="B8" s="593"/>
      <c r="C8" s="593"/>
      <c r="D8" s="578">
        <v>530</v>
      </c>
      <c r="E8" s="574"/>
      <c r="F8" s="216" t="s">
        <v>286</v>
      </c>
      <c r="G8" s="217"/>
      <c r="H8" s="218"/>
      <c r="I8" s="219"/>
      <c r="J8" s="220">
        <v>7334</v>
      </c>
      <c r="K8" s="221" t="s">
        <v>175</v>
      </c>
      <c r="L8" s="196"/>
      <c r="M8" s="196"/>
      <c r="N8" s="196"/>
      <c r="O8" s="196"/>
      <c r="P8" s="196"/>
      <c r="Q8" s="207" t="s">
        <v>287</v>
      </c>
      <c r="R8" s="208"/>
      <c r="S8" s="196"/>
      <c r="T8" s="207" t="s">
        <v>288</v>
      </c>
      <c r="U8" s="209"/>
      <c r="V8" s="196"/>
      <c r="W8" s="196"/>
      <c r="X8" s="196"/>
      <c r="Y8" s="196"/>
      <c r="Z8" s="196"/>
    </row>
    <row r="9" spans="1:26" s="200" customFormat="1" ht="18.399999999999999" customHeight="1">
      <c r="A9" s="587" t="s">
        <v>289</v>
      </c>
      <c r="B9" s="588"/>
      <c r="C9" s="589"/>
      <c r="D9" s="578">
        <v>8</v>
      </c>
      <c r="E9" s="574"/>
      <c r="F9" s="210" t="s">
        <v>290</v>
      </c>
      <c r="G9" s="211"/>
      <c r="H9" s="222">
        <v>3</v>
      </c>
      <c r="I9" s="223" t="s">
        <v>291</v>
      </c>
      <c r="J9" s="224" t="s">
        <v>717</v>
      </c>
      <c r="K9" s="221" t="s">
        <v>175</v>
      </c>
      <c r="L9" s="196"/>
      <c r="M9" s="196"/>
      <c r="N9" s="196"/>
      <c r="O9" s="196"/>
      <c r="P9" s="196"/>
      <c r="Q9" s="207" t="s">
        <v>292</v>
      </c>
      <c r="R9" s="208"/>
      <c r="S9" s="196"/>
      <c r="T9" s="207" t="s">
        <v>293</v>
      </c>
      <c r="U9" s="209"/>
      <c r="V9" s="196"/>
      <c r="W9" s="196"/>
      <c r="X9" s="196"/>
      <c r="Y9" s="196"/>
      <c r="Z9" s="196"/>
    </row>
    <row r="10" spans="1:26" s="200" customFormat="1" ht="18.399999999999999" customHeight="1" thickBot="1">
      <c r="A10" s="587" t="s">
        <v>294</v>
      </c>
      <c r="B10" s="588"/>
      <c r="C10" s="589"/>
      <c r="D10" s="561" t="s">
        <v>203</v>
      </c>
      <c r="E10" s="562"/>
      <c r="F10" s="210" t="s">
        <v>295</v>
      </c>
      <c r="G10" s="211"/>
      <c r="H10" s="222">
        <v>3</v>
      </c>
      <c r="I10" s="223" t="s">
        <v>291</v>
      </c>
      <c r="J10" s="224" t="s">
        <v>718</v>
      </c>
      <c r="K10" s="221" t="s">
        <v>175</v>
      </c>
      <c r="L10" s="196"/>
      <c r="M10" s="196"/>
      <c r="N10" s="196"/>
      <c r="O10" s="196"/>
      <c r="P10" s="196"/>
      <c r="Q10" s="207" t="s">
        <v>296</v>
      </c>
      <c r="R10" s="208"/>
      <c r="S10" s="196"/>
      <c r="T10" s="225" t="s">
        <v>297</v>
      </c>
      <c r="U10" s="226"/>
      <c r="V10" s="196"/>
      <c r="W10" s="196"/>
      <c r="X10" s="196"/>
      <c r="Y10" s="196"/>
      <c r="Z10" s="196"/>
    </row>
    <row r="11" spans="1:26" s="200" customFormat="1" ht="18.399999999999999" customHeight="1" thickBot="1">
      <c r="A11" s="587" t="s">
        <v>298</v>
      </c>
      <c r="B11" s="588"/>
      <c r="C11" s="589"/>
      <c r="D11" s="556" t="s">
        <v>204</v>
      </c>
      <c r="E11" s="557"/>
      <c r="F11" s="227" t="s">
        <v>299</v>
      </c>
      <c r="G11" s="228"/>
      <c r="H11" s="229">
        <v>3</v>
      </c>
      <c r="I11" s="223" t="s">
        <v>291</v>
      </c>
      <c r="J11" s="230">
        <v>35682</v>
      </c>
      <c r="K11" s="231" t="s">
        <v>175</v>
      </c>
      <c r="L11" s="196"/>
      <c r="M11" s="196"/>
      <c r="N11" s="196"/>
      <c r="O11" s="196"/>
      <c r="P11" s="196"/>
      <c r="Q11" s="207" t="s">
        <v>300</v>
      </c>
      <c r="R11" s="208"/>
      <c r="S11" s="196"/>
      <c r="T11" s="197" t="s">
        <v>301</v>
      </c>
      <c r="U11" s="199"/>
      <c r="V11" s="196"/>
      <c r="W11" s="196"/>
      <c r="X11" s="196"/>
      <c r="Y11" s="196"/>
      <c r="Z11" s="196"/>
    </row>
    <row r="12" spans="1:26" s="200" customFormat="1" ht="18.399999999999999" customHeight="1" thickBot="1">
      <c r="A12" s="232" t="s">
        <v>302</v>
      </c>
      <c r="C12" s="233"/>
      <c r="D12" s="590" t="s">
        <v>175</v>
      </c>
      <c r="E12" s="591"/>
      <c r="F12" s="558" t="s">
        <v>303</v>
      </c>
      <c r="G12" s="559"/>
      <c r="H12" s="559"/>
      <c r="I12" s="559"/>
      <c r="J12" s="559"/>
      <c r="K12" s="560"/>
      <c r="L12" s="196"/>
      <c r="M12" s="196"/>
      <c r="N12" s="196"/>
      <c r="O12" s="196"/>
      <c r="P12" s="196"/>
      <c r="Q12" s="225" t="s">
        <v>304</v>
      </c>
      <c r="R12" s="234"/>
      <c r="S12" s="196"/>
      <c r="T12" s="196"/>
      <c r="U12" s="196"/>
      <c r="V12" s="196"/>
      <c r="W12" s="196"/>
      <c r="X12" s="196"/>
      <c r="Y12" s="196"/>
      <c r="Z12" s="196"/>
    </row>
    <row r="13" spans="1:26" s="200" customFormat="1" ht="18.399999999999999" customHeight="1">
      <c r="A13" s="587" t="s">
        <v>53</v>
      </c>
      <c r="B13" s="588"/>
      <c r="C13" s="589"/>
      <c r="D13" s="581" t="s">
        <v>382</v>
      </c>
      <c r="E13" s="582"/>
      <c r="F13" s="235"/>
      <c r="G13" s="236" t="s">
        <v>305</v>
      </c>
      <c r="H13" s="237"/>
      <c r="I13" s="238" t="s">
        <v>306</v>
      </c>
      <c r="J13" s="239" t="s">
        <v>387</v>
      </c>
      <c r="K13" s="240" t="s">
        <v>175</v>
      </c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spans="1:26" s="200" customFormat="1" ht="18.399999999999999" customHeight="1">
      <c r="A14" s="587" t="s">
        <v>56</v>
      </c>
      <c r="B14" s="588"/>
      <c r="C14" s="589"/>
      <c r="D14" s="590">
        <v>1120</v>
      </c>
      <c r="E14" s="591"/>
      <c r="F14" s="235"/>
      <c r="G14" s="241" t="s">
        <v>10</v>
      </c>
      <c r="H14" s="242"/>
      <c r="I14" s="242"/>
      <c r="J14" s="224" t="s">
        <v>175</v>
      </c>
      <c r="K14" s="221" t="s">
        <v>175</v>
      </c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spans="1:26" s="200" customFormat="1" ht="18.399999999999999" customHeight="1">
      <c r="A15" s="575" t="s">
        <v>307</v>
      </c>
      <c r="B15" s="576"/>
      <c r="C15" s="577"/>
      <c r="D15" s="554">
        <v>9.5172004699707031</v>
      </c>
      <c r="E15" s="555"/>
      <c r="F15" s="235"/>
      <c r="G15" s="241" t="s">
        <v>308</v>
      </c>
      <c r="H15" s="242"/>
      <c r="I15" s="242"/>
      <c r="J15" s="224" t="s">
        <v>175</v>
      </c>
      <c r="K15" s="221" t="s">
        <v>175</v>
      </c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spans="1:26" s="200" customFormat="1" ht="18.399999999999999" customHeight="1">
      <c r="A16" s="551" t="s">
        <v>309</v>
      </c>
      <c r="B16" s="552"/>
      <c r="C16" s="553"/>
      <c r="D16" s="554">
        <v>3.7956001758575439</v>
      </c>
      <c r="E16" s="555"/>
      <c r="F16" s="244"/>
      <c r="G16" s="245" t="s">
        <v>17</v>
      </c>
      <c r="H16" s="246"/>
      <c r="I16" s="246"/>
      <c r="J16" s="230" t="s">
        <v>175</v>
      </c>
      <c r="K16" s="231" t="s">
        <v>175</v>
      </c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spans="1:26" s="200" customFormat="1" ht="18.399999999999999" customHeight="1">
      <c r="A17" s="247" t="s">
        <v>310</v>
      </c>
      <c r="B17" s="248"/>
      <c r="C17" s="249"/>
      <c r="D17" s="556" t="s">
        <v>381</v>
      </c>
      <c r="E17" s="557"/>
      <c r="F17" s="558" t="s">
        <v>311</v>
      </c>
      <c r="G17" s="559"/>
      <c r="H17" s="559"/>
      <c r="I17" s="559"/>
      <c r="J17" s="559"/>
      <c r="K17" s="560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spans="1:26" s="200" customFormat="1" ht="18.399999999999999" customHeight="1">
      <c r="A18" s="250" t="s">
        <v>312</v>
      </c>
      <c r="B18" s="251"/>
      <c r="C18" s="249"/>
      <c r="D18" s="561" t="s">
        <v>175</v>
      </c>
      <c r="E18" s="562"/>
      <c r="F18" s="563"/>
      <c r="G18" s="564"/>
      <c r="H18" s="252" t="s">
        <v>313</v>
      </c>
      <c r="I18" s="253"/>
      <c r="J18" s="220" t="s">
        <v>384</v>
      </c>
      <c r="K18" s="221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spans="1:26" s="200" customFormat="1" ht="18.399999999999999" customHeight="1">
      <c r="A19" s="569" t="s">
        <v>314</v>
      </c>
      <c r="B19" s="570"/>
      <c r="C19" s="571"/>
      <c r="D19" s="572" t="s">
        <v>175</v>
      </c>
      <c r="E19" s="557"/>
      <c r="F19" s="565"/>
      <c r="G19" s="566"/>
      <c r="H19" s="252" t="s">
        <v>5</v>
      </c>
      <c r="I19" s="213"/>
      <c r="J19" s="220">
        <v>3555</v>
      </c>
      <c r="K19" s="221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spans="1:26" s="200" customFormat="1" ht="18.399999999999999" customHeight="1" thickBot="1">
      <c r="A20" s="254" t="s">
        <v>315</v>
      </c>
      <c r="C20" s="255"/>
      <c r="D20" s="573" t="s">
        <v>202</v>
      </c>
      <c r="E20" s="574"/>
      <c r="F20" s="565"/>
      <c r="G20" s="566"/>
      <c r="H20" s="252" t="s">
        <v>316</v>
      </c>
      <c r="I20" s="213"/>
      <c r="J20" s="224" t="s">
        <v>356</v>
      </c>
      <c r="K20" s="221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spans="1:26" s="200" customFormat="1" ht="18.399999999999999" customHeight="1" thickBot="1">
      <c r="A21" s="575" t="s">
        <v>317</v>
      </c>
      <c r="B21" s="576"/>
      <c r="C21" s="577"/>
      <c r="D21" s="578" t="s">
        <v>175</v>
      </c>
      <c r="E21" s="574"/>
      <c r="F21" s="565"/>
      <c r="G21" s="566"/>
      <c r="H21" s="256" t="s">
        <v>318</v>
      </c>
      <c r="I21" s="213"/>
      <c r="J21" s="224">
        <v>1.1499999999999999</v>
      </c>
      <c r="K21" s="221"/>
      <c r="L21" s="196"/>
      <c r="M21" s="196"/>
      <c r="N21" s="196"/>
      <c r="O21" s="196"/>
      <c r="P21" s="196"/>
      <c r="Q21" s="197" t="s">
        <v>319</v>
      </c>
      <c r="R21" s="199"/>
      <c r="S21" s="196"/>
      <c r="T21" s="196"/>
      <c r="U21" s="196"/>
      <c r="V21" s="196"/>
      <c r="W21" s="196"/>
      <c r="X21" s="196"/>
      <c r="Y21" s="196"/>
      <c r="Z21" s="196"/>
    </row>
    <row r="22" spans="1:26" s="200" customFormat="1" ht="18.399999999999999" customHeight="1">
      <c r="A22" s="250" t="s">
        <v>320</v>
      </c>
      <c r="B22" s="257"/>
      <c r="C22" s="257"/>
      <c r="D22" s="579">
        <v>0.17630000412464142</v>
      </c>
      <c r="E22" s="580"/>
      <c r="F22" s="565"/>
      <c r="G22" s="566"/>
      <c r="H22" s="252" t="s">
        <v>275</v>
      </c>
      <c r="I22" s="213"/>
      <c r="J22" s="224"/>
      <c r="K22" s="221"/>
      <c r="L22" s="196"/>
      <c r="M22" s="196"/>
      <c r="N22" s="196"/>
      <c r="O22" s="196"/>
      <c r="P22" s="196"/>
      <c r="Q22" s="207" t="s">
        <v>321</v>
      </c>
      <c r="R22" s="209"/>
      <c r="S22" s="196"/>
      <c r="T22" s="196"/>
      <c r="U22" s="196"/>
      <c r="V22" s="196"/>
      <c r="W22" s="196"/>
      <c r="X22" s="196"/>
      <c r="Y22" s="196"/>
      <c r="Z22" s="196"/>
    </row>
    <row r="23" spans="1:26" s="200" customFormat="1" ht="18.399999999999999" customHeight="1">
      <c r="A23" s="258" t="s">
        <v>322</v>
      </c>
      <c r="B23" s="259" t="s">
        <v>323</v>
      </c>
      <c r="C23" s="260"/>
      <c r="D23" s="581">
        <v>193.1</v>
      </c>
      <c r="E23" s="582"/>
      <c r="F23" s="565"/>
      <c r="G23" s="566"/>
      <c r="H23" s="261" t="s">
        <v>324</v>
      </c>
      <c r="I23" s="262"/>
      <c r="J23" s="263"/>
      <c r="K23" s="264"/>
      <c r="L23" s="196"/>
      <c r="Q23" s="207" t="s">
        <v>325</v>
      </c>
      <c r="R23" s="209"/>
      <c r="S23" s="196"/>
      <c r="T23" s="196"/>
      <c r="U23" s="196"/>
      <c r="V23" s="196"/>
      <c r="W23" s="196"/>
      <c r="X23" s="196"/>
      <c r="Y23" s="196"/>
      <c r="Z23" s="196"/>
    </row>
    <row r="24" spans="1:26" s="200" customFormat="1" ht="18.399999999999999" customHeight="1" thickBot="1">
      <c r="A24" s="265" t="s">
        <v>326</v>
      </c>
      <c r="B24" s="266" t="s">
        <v>327</v>
      </c>
      <c r="C24" s="267"/>
      <c r="D24" s="583">
        <v>171.8</v>
      </c>
      <c r="E24" s="584"/>
      <c r="F24" s="565"/>
      <c r="G24" s="566"/>
      <c r="H24" s="252" t="s">
        <v>328</v>
      </c>
      <c r="I24" s="233"/>
      <c r="J24" s="268"/>
      <c r="K24" s="269"/>
      <c r="Q24" s="270" t="s">
        <v>175</v>
      </c>
      <c r="R24" s="271"/>
      <c r="S24" s="196"/>
      <c r="T24" s="196"/>
      <c r="U24" s="196"/>
      <c r="V24" s="196"/>
      <c r="W24" s="196"/>
      <c r="X24" s="196"/>
      <c r="Y24" s="196"/>
      <c r="Z24" s="196"/>
    </row>
    <row r="25" spans="1:26" s="200" customFormat="1" ht="18.399999999999999" customHeight="1">
      <c r="A25" s="272" t="s">
        <v>329</v>
      </c>
      <c r="B25" s="273"/>
      <c r="C25" s="273"/>
      <c r="D25" s="274"/>
      <c r="E25" s="274" t="s">
        <v>330</v>
      </c>
      <c r="F25" s="565"/>
      <c r="G25" s="566"/>
      <c r="H25" s="252" t="s">
        <v>331</v>
      </c>
      <c r="I25" s="233"/>
      <c r="J25" s="275">
        <v>89.5</v>
      </c>
      <c r="K25" s="269"/>
      <c r="R25" s="196"/>
      <c r="S25" s="196"/>
      <c r="T25" s="196"/>
      <c r="U25" s="196"/>
      <c r="V25" s="196"/>
      <c r="W25" s="196"/>
      <c r="X25" s="196"/>
      <c r="Y25" s="196"/>
      <c r="Z25" s="196"/>
    </row>
    <row r="26" spans="1:26" s="200" customFormat="1" ht="18.399999999999999" customHeight="1">
      <c r="A26" s="276" t="s">
        <v>332</v>
      </c>
      <c r="B26" s="277"/>
      <c r="C26" s="278"/>
      <c r="D26" s="279" t="s">
        <v>388</v>
      </c>
      <c r="E26" s="279" t="s">
        <v>389</v>
      </c>
      <c r="F26" s="567"/>
      <c r="G26" s="568"/>
      <c r="H26" s="585"/>
      <c r="I26" s="586"/>
      <c r="J26" s="280"/>
      <c r="K26" s="281"/>
      <c r="R26" s="196"/>
      <c r="S26" s="196"/>
      <c r="T26" s="196"/>
      <c r="U26" s="196"/>
      <c r="V26" s="196"/>
      <c r="W26" s="196"/>
      <c r="X26" s="196"/>
      <c r="Y26" s="196"/>
      <c r="Z26" s="196"/>
    </row>
    <row r="27" spans="1:26" s="200" customFormat="1" ht="18.399999999999999" customHeight="1">
      <c r="A27" s="532" t="s">
        <v>333</v>
      </c>
      <c r="B27" s="533"/>
      <c r="C27" s="533"/>
      <c r="D27" s="533"/>
      <c r="E27" s="533"/>
      <c r="F27" s="534" t="s">
        <v>334</v>
      </c>
      <c r="G27" s="535"/>
      <c r="H27" s="535"/>
      <c r="I27" s="535"/>
      <c r="J27" s="535"/>
      <c r="K27" s="536"/>
      <c r="R27" s="196"/>
      <c r="S27" s="196"/>
      <c r="T27" s="196"/>
      <c r="U27" s="196"/>
      <c r="V27" s="196"/>
      <c r="W27" s="196"/>
      <c r="X27" s="196"/>
      <c r="Y27" s="196"/>
      <c r="Z27" s="196"/>
    </row>
    <row r="28" spans="1:26" s="200" customFormat="1" ht="18.399999999999999" customHeight="1">
      <c r="A28" s="539"/>
      <c r="B28" s="540"/>
      <c r="C28" s="540"/>
      <c r="D28" s="540"/>
      <c r="E28" s="541"/>
      <c r="F28" s="282"/>
      <c r="G28" s="283"/>
      <c r="H28" s="241" t="s">
        <v>335</v>
      </c>
      <c r="I28" s="284" t="s">
        <v>383</v>
      </c>
      <c r="J28" s="220" t="s">
        <v>386</v>
      </c>
      <c r="K28" s="215" t="s">
        <v>175</v>
      </c>
      <c r="R28" s="196"/>
      <c r="S28" s="196"/>
      <c r="T28" s="196"/>
      <c r="U28" s="196"/>
      <c r="V28" s="196"/>
      <c r="W28" s="196"/>
      <c r="X28" s="196"/>
      <c r="Y28" s="196"/>
      <c r="Z28" s="196"/>
    </row>
    <row r="29" spans="1:26" s="200" customFormat="1" ht="18.399999999999999" customHeight="1">
      <c r="A29" s="539"/>
      <c r="B29" s="540"/>
      <c r="C29" s="540"/>
      <c r="D29" s="540"/>
      <c r="E29" s="541"/>
      <c r="F29" s="285"/>
      <c r="G29" s="286"/>
      <c r="H29" s="241" t="s">
        <v>336</v>
      </c>
      <c r="I29" s="287">
        <v>60</v>
      </c>
      <c r="J29" s="220">
        <v>105</v>
      </c>
      <c r="K29" s="215" t="s">
        <v>175</v>
      </c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spans="1:26" s="200" customFormat="1" ht="18.399999999999999" customHeight="1">
      <c r="A30" s="539"/>
      <c r="B30" s="540"/>
      <c r="C30" s="540"/>
      <c r="D30" s="540"/>
      <c r="E30" s="541"/>
      <c r="F30" s="285"/>
      <c r="G30" s="286"/>
      <c r="H30" s="241" t="s">
        <v>337</v>
      </c>
      <c r="I30" s="287">
        <v>175</v>
      </c>
      <c r="J30" s="220">
        <v>227</v>
      </c>
      <c r="K30" s="215" t="s">
        <v>175</v>
      </c>
      <c r="L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spans="1:26" s="200" customFormat="1" ht="18.399999999999999" customHeight="1">
      <c r="A31" s="539"/>
      <c r="B31" s="540"/>
      <c r="C31" s="540"/>
      <c r="D31" s="540"/>
      <c r="E31" s="541"/>
      <c r="F31" s="285"/>
      <c r="G31" s="286"/>
      <c r="H31" s="241" t="s">
        <v>338</v>
      </c>
      <c r="I31" s="242"/>
      <c r="J31" s="288">
        <v>1.21</v>
      </c>
      <c r="K31" s="215" t="s">
        <v>175</v>
      </c>
      <c r="L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spans="1:26" s="200" customFormat="1" ht="18.399999999999999" customHeight="1">
      <c r="A32" s="542"/>
      <c r="B32" s="543"/>
      <c r="C32" s="543"/>
      <c r="D32" s="543"/>
      <c r="E32" s="544"/>
      <c r="F32" s="285"/>
      <c r="G32" s="289" t="s">
        <v>339</v>
      </c>
      <c r="H32" s="241" t="s">
        <v>340</v>
      </c>
      <c r="I32" s="290"/>
      <c r="J32" s="214">
        <v>94.5</v>
      </c>
      <c r="K32" s="215" t="s">
        <v>175</v>
      </c>
      <c r="L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spans="1:26" s="200" customFormat="1" ht="18.399999999999999" customHeight="1">
      <c r="A33" s="532" t="s">
        <v>341</v>
      </c>
      <c r="B33" s="533"/>
      <c r="C33" s="533"/>
      <c r="D33" s="533"/>
      <c r="E33" s="545"/>
      <c r="F33" s="291"/>
      <c r="G33" s="292"/>
      <c r="H33" s="293" t="s">
        <v>342</v>
      </c>
      <c r="I33" s="294"/>
      <c r="J33" s="295">
        <v>89.6</v>
      </c>
      <c r="K33" s="296" t="s">
        <v>175</v>
      </c>
      <c r="L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spans="1:26" s="200" customFormat="1" ht="18.399999999999999" customHeight="1">
      <c r="A34" s="539"/>
      <c r="B34" s="540"/>
      <c r="C34" s="540"/>
      <c r="D34" s="540"/>
      <c r="E34" s="541"/>
      <c r="F34" s="216" t="s">
        <v>343</v>
      </c>
      <c r="G34" s="297"/>
      <c r="H34" s="298" t="s">
        <v>14</v>
      </c>
      <c r="I34" s="299"/>
      <c r="J34" s="300">
        <v>9114</v>
      </c>
      <c r="K34" s="301" t="s">
        <v>175</v>
      </c>
      <c r="L34" s="302"/>
      <c r="R34" s="196"/>
      <c r="S34" s="196"/>
      <c r="T34" s="196"/>
      <c r="U34" s="196"/>
      <c r="V34" s="196"/>
      <c r="W34" s="196"/>
      <c r="X34" s="196"/>
      <c r="Y34" s="196"/>
      <c r="Z34" s="196"/>
    </row>
    <row r="35" spans="1:26" s="200" customFormat="1" ht="18.399999999999999" customHeight="1">
      <c r="A35" s="539"/>
      <c r="B35" s="540"/>
      <c r="C35" s="540"/>
      <c r="D35" s="540"/>
      <c r="E35" s="541"/>
      <c r="F35" s="235"/>
      <c r="G35" s="303"/>
      <c r="H35" s="304" t="s">
        <v>15</v>
      </c>
      <c r="I35" s="243"/>
      <c r="J35" s="220">
        <v>8547</v>
      </c>
      <c r="K35" s="215" t="s">
        <v>175</v>
      </c>
      <c r="R35" s="196"/>
      <c r="S35" s="196"/>
      <c r="T35" s="196"/>
      <c r="U35" s="196"/>
      <c r="V35" s="196"/>
      <c r="W35" s="196"/>
      <c r="X35" s="196"/>
      <c r="Y35" s="196"/>
      <c r="Z35" s="196"/>
    </row>
    <row r="36" spans="1:26" s="200" customFormat="1" ht="18.399999999999999" customHeight="1">
      <c r="A36" s="539"/>
      <c r="B36" s="540"/>
      <c r="C36" s="540"/>
      <c r="D36" s="540"/>
      <c r="E36" s="541"/>
      <c r="F36" s="235"/>
      <c r="G36" s="303"/>
      <c r="H36" s="304" t="s">
        <v>344</v>
      </c>
      <c r="I36" s="243"/>
      <c r="J36" s="220">
        <v>4647</v>
      </c>
      <c r="K36" s="215" t="s">
        <v>175</v>
      </c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spans="1:26" s="200" customFormat="1" ht="18.399999999999999" customHeight="1">
      <c r="A37" s="539"/>
      <c r="B37" s="540"/>
      <c r="C37" s="540"/>
      <c r="D37" s="540"/>
      <c r="E37" s="541"/>
      <c r="F37" s="285"/>
      <c r="G37" s="303"/>
      <c r="H37" s="304" t="s">
        <v>345</v>
      </c>
      <c r="I37" s="243"/>
      <c r="J37" s="220">
        <v>2460</v>
      </c>
      <c r="K37" s="215" t="s">
        <v>175</v>
      </c>
      <c r="R37" s="196"/>
      <c r="S37" s="196"/>
      <c r="T37" s="196"/>
      <c r="U37" s="196"/>
      <c r="V37" s="196"/>
      <c r="W37" s="196"/>
      <c r="X37" s="196"/>
      <c r="Y37" s="196"/>
      <c r="Z37" s="196"/>
    </row>
    <row r="38" spans="1:26" s="200" customFormat="1" ht="18.399999999999999" customHeight="1">
      <c r="A38" s="542"/>
      <c r="B38" s="543"/>
      <c r="C38" s="543"/>
      <c r="D38" s="543"/>
      <c r="E38" s="544"/>
      <c r="F38" s="244"/>
      <c r="G38" s="305"/>
      <c r="H38" s="306" t="s">
        <v>346</v>
      </c>
      <c r="I38" s="307"/>
      <c r="J38" s="308">
        <v>14027</v>
      </c>
      <c r="K38" s="309" t="s">
        <v>175</v>
      </c>
      <c r="R38" s="196"/>
      <c r="S38" s="196"/>
      <c r="T38" s="196"/>
      <c r="U38" s="196"/>
      <c r="V38" s="196"/>
      <c r="W38" s="196"/>
      <c r="X38" s="196"/>
      <c r="Y38" s="196"/>
      <c r="Z38" s="196"/>
    </row>
    <row r="39" spans="1:26" s="200" customFormat="1" ht="18.399999999999999" customHeight="1">
      <c r="A39" s="532" t="s">
        <v>347</v>
      </c>
      <c r="B39" s="533"/>
      <c r="C39" s="533"/>
      <c r="D39" s="533"/>
      <c r="E39" s="533"/>
      <c r="F39" s="310" t="s">
        <v>348</v>
      </c>
      <c r="G39" s="311"/>
      <c r="H39" s="311"/>
      <c r="I39" s="311"/>
      <c r="J39" s="311"/>
      <c r="K39" s="312"/>
      <c r="R39" s="196"/>
      <c r="S39" s="196"/>
      <c r="T39" s="196"/>
      <c r="U39" s="196"/>
      <c r="V39" s="196"/>
      <c r="W39" s="196"/>
      <c r="X39" s="196"/>
      <c r="Y39" s="196"/>
      <c r="Z39" s="196"/>
    </row>
    <row r="40" spans="1:26" s="200" customFormat="1" ht="18.399999999999999" customHeight="1">
      <c r="A40" s="539"/>
      <c r="B40" s="540"/>
      <c r="C40" s="540"/>
      <c r="D40" s="540"/>
      <c r="E40" s="541"/>
      <c r="F40" s="313"/>
      <c r="G40" s="314" t="s">
        <v>391</v>
      </c>
      <c r="H40" s="314"/>
      <c r="I40" s="314"/>
      <c r="J40" s="314"/>
      <c r="K40" s="315"/>
      <c r="R40" s="196"/>
      <c r="S40" s="196"/>
      <c r="T40" s="196"/>
      <c r="U40" s="196"/>
      <c r="V40" s="196"/>
      <c r="W40" s="196"/>
      <c r="X40" s="196"/>
      <c r="Y40" s="196"/>
      <c r="Z40" s="196"/>
    </row>
    <row r="41" spans="1:26" s="200" customFormat="1" ht="18.399999999999999" customHeight="1">
      <c r="A41" s="539"/>
      <c r="B41" s="540"/>
      <c r="C41" s="540"/>
      <c r="D41" s="540"/>
      <c r="E41" s="541"/>
      <c r="F41" s="313"/>
      <c r="G41" s="316" t="s">
        <v>716</v>
      </c>
      <c r="H41" s="316"/>
      <c r="I41" s="316"/>
      <c r="J41" s="316"/>
      <c r="K41" s="317"/>
      <c r="L41" s="318"/>
      <c r="R41" s="196"/>
      <c r="S41" s="196"/>
      <c r="T41" s="196"/>
      <c r="U41" s="196"/>
      <c r="V41" s="196"/>
      <c r="W41" s="196"/>
      <c r="X41" s="196"/>
      <c r="Y41" s="196"/>
      <c r="Z41" s="196"/>
    </row>
    <row r="42" spans="1:26" s="200" customFormat="1" ht="18.399999999999999" customHeight="1">
      <c r="A42" s="539"/>
      <c r="B42" s="540"/>
      <c r="C42" s="540"/>
      <c r="D42" s="540"/>
      <c r="E42" s="541"/>
      <c r="F42" s="313" t="s">
        <v>720</v>
      </c>
      <c r="G42" s="316" t="s">
        <v>721</v>
      </c>
      <c r="H42" s="316"/>
      <c r="I42" s="316"/>
      <c r="J42" s="316"/>
      <c r="K42" s="317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spans="1:26" s="200" customFormat="1" ht="18.399999999999999" customHeight="1">
      <c r="A43" s="539"/>
      <c r="B43" s="540"/>
      <c r="C43" s="540"/>
      <c r="D43" s="540"/>
      <c r="E43" s="541"/>
      <c r="F43" s="313"/>
      <c r="G43" s="531" t="s">
        <v>719</v>
      </c>
      <c r="H43" s="316"/>
      <c r="I43" s="316"/>
      <c r="J43" s="316"/>
      <c r="K43" s="317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spans="1:26" s="200" customFormat="1" ht="17.100000000000001" customHeight="1" thickBot="1">
      <c r="A44" s="546"/>
      <c r="B44" s="547"/>
      <c r="C44" s="547"/>
      <c r="D44" s="547"/>
      <c r="E44" s="548"/>
      <c r="F44" s="313"/>
      <c r="G44" s="316"/>
      <c r="H44" s="316"/>
      <c r="I44" s="316"/>
      <c r="J44" s="316"/>
      <c r="K44" s="317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spans="1:26" s="200" customFormat="1" ht="17.100000000000001" customHeight="1">
      <c r="A45" s="319" t="s">
        <v>349</v>
      </c>
      <c r="B45" s="549"/>
      <c r="C45" s="550"/>
      <c r="D45" s="320" t="s">
        <v>350</v>
      </c>
      <c r="E45" s="367" t="s">
        <v>392</v>
      </c>
      <c r="F45" s="321"/>
      <c r="G45" s="316"/>
      <c r="H45" s="316"/>
      <c r="I45" s="316"/>
      <c r="J45" s="316"/>
      <c r="K45" s="317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spans="1:26" s="200" customFormat="1" ht="17.100000000000001" customHeight="1" thickBot="1">
      <c r="A46" s="322" t="s">
        <v>351</v>
      </c>
      <c r="B46" s="537"/>
      <c r="C46" s="538"/>
      <c r="D46" s="323" t="s">
        <v>351</v>
      </c>
      <c r="E46" s="324">
        <v>43019</v>
      </c>
      <c r="F46" s="325"/>
      <c r="G46" s="326" t="s">
        <v>393</v>
      </c>
      <c r="H46" s="326"/>
      <c r="I46" s="326"/>
      <c r="J46" s="326"/>
      <c r="K46" s="327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spans="1:26" s="200" customFormat="1" ht="17.100000000000001" customHeight="1">
      <c r="F47" s="328"/>
      <c r="G47" s="196" t="s">
        <v>394</v>
      </c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</row>
    <row r="48" spans="1:26" s="200" customFormat="1" ht="17.100000000000001" customHeight="1">
      <c r="F48" s="196"/>
      <c r="G48" s="196" t="s">
        <v>395</v>
      </c>
      <c r="H48" s="196"/>
      <c r="I48" s="196"/>
      <c r="J48" s="196"/>
      <c r="K48" s="196"/>
    </row>
    <row r="49" spans="2:26" ht="17.100000000000001" customHeight="1">
      <c r="F49" s="186"/>
      <c r="G49" s="186"/>
      <c r="H49" s="186"/>
      <c r="I49" s="186"/>
      <c r="J49" s="186"/>
      <c r="K49" s="186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spans="2:26">
      <c r="F50" s="186"/>
      <c r="G50" s="186"/>
      <c r="H50" s="186"/>
      <c r="I50" s="186"/>
      <c r="J50" s="186"/>
      <c r="K50" s="186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spans="2:26">
      <c r="F51" s="186"/>
      <c r="G51" s="186"/>
      <c r="H51" s="186"/>
      <c r="I51" s="186"/>
      <c r="J51" s="186"/>
      <c r="K51" s="186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spans="2:26"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spans="2:26">
      <c r="F53" s="186"/>
      <c r="G53" s="186"/>
      <c r="H53" s="186"/>
      <c r="I53" s="186"/>
      <c r="J53" s="186"/>
      <c r="K53" s="186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</mergeCells>
  <dataValidations count="3">
    <dataValidation type="list" allowBlank="1" showInputMessage="1" sqref="D6:E6" xr:uid="{00000000-0002-0000-0100-000000000000}">
      <formula1>$T$5:$T$11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$Q$5:$Q$12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43" zoomScale="75" zoomScaleNormal="75" workbookViewId="0">
      <selection activeCell="K4" sqref="K4"/>
    </sheetView>
  </sheetViews>
  <sheetFormatPr defaultColWidth="8.7109375" defaultRowHeight="12.75"/>
  <cols>
    <col min="1" max="1" width="8.7109375" style="334" customWidth="1"/>
    <col min="2" max="2" width="17.28515625" style="334" customWidth="1"/>
    <col min="3" max="3" width="20.5703125" style="334" customWidth="1"/>
    <col min="4" max="4" width="20.28515625" style="334" bestFit="1" customWidth="1"/>
    <col min="5" max="5" width="6.5703125" style="334" bestFit="1" customWidth="1"/>
    <col min="6" max="6" width="28.28515625" style="334" customWidth="1"/>
    <col min="7" max="7" width="41.5703125" style="334" customWidth="1"/>
    <col min="8" max="8" width="16.28515625" style="334" customWidth="1"/>
    <col min="9" max="9" width="7.42578125" style="334" customWidth="1"/>
    <col min="10" max="10" width="2.28515625" style="334" bestFit="1" customWidth="1"/>
    <col min="11" max="12" width="2.28515625" style="334" customWidth="1"/>
    <col min="13" max="13" width="2.42578125" style="334" bestFit="1" customWidth="1"/>
    <col min="14" max="14" width="2.28515625" style="334" bestFit="1" customWidth="1"/>
    <col min="15" max="16384" width="8.7109375" style="334"/>
  </cols>
  <sheetData>
    <row r="1" spans="2:14" ht="12.75" customHeight="1">
      <c r="B1" s="329"/>
      <c r="C1" s="330"/>
      <c r="D1" s="330"/>
      <c r="E1" s="330"/>
      <c r="F1" s="330"/>
      <c r="G1" s="330"/>
      <c r="H1" s="331"/>
      <c r="I1" s="332"/>
      <c r="J1" s="333" t="s">
        <v>352</v>
      </c>
      <c r="K1" s="333" t="s">
        <v>353</v>
      </c>
      <c r="L1" s="333" t="s">
        <v>354</v>
      </c>
      <c r="M1" s="333" t="s">
        <v>353</v>
      </c>
      <c r="N1" s="333"/>
    </row>
    <row r="2" spans="2:14" ht="12.75" customHeight="1">
      <c r="B2" s="629" t="s">
        <v>355</v>
      </c>
      <c r="C2" s="630"/>
      <c r="D2" s="630"/>
      <c r="E2" s="630"/>
      <c r="F2" s="630"/>
      <c r="G2" s="630"/>
      <c r="H2" s="337"/>
      <c r="I2" s="338"/>
      <c r="J2" s="339" t="s">
        <v>356</v>
      </c>
      <c r="K2" s="339" t="s">
        <v>357</v>
      </c>
      <c r="L2" s="339" t="s">
        <v>358</v>
      </c>
      <c r="M2" s="339" t="s">
        <v>359</v>
      </c>
      <c r="N2" s="339" t="s">
        <v>360</v>
      </c>
    </row>
    <row r="3" spans="2:14" ht="12.75" customHeight="1">
      <c r="B3" s="629"/>
      <c r="C3" s="630"/>
      <c r="D3" s="630"/>
      <c r="E3" s="630"/>
      <c r="F3" s="630"/>
      <c r="G3" s="630"/>
      <c r="H3" s="337"/>
      <c r="I3" s="338"/>
      <c r="J3" s="339" t="s">
        <v>361</v>
      </c>
      <c r="K3" s="339"/>
      <c r="L3" s="339" t="s">
        <v>362</v>
      </c>
      <c r="M3" s="339" t="s">
        <v>352</v>
      </c>
      <c r="N3" s="339"/>
    </row>
    <row r="4" spans="2:14" ht="12.75" customHeight="1">
      <c r="B4" s="629"/>
      <c r="C4" s="630"/>
      <c r="D4" s="630"/>
      <c r="E4" s="630"/>
      <c r="F4" s="630"/>
      <c r="G4" s="630"/>
      <c r="H4" s="337"/>
      <c r="I4" s="338"/>
      <c r="J4" s="339" t="s">
        <v>363</v>
      </c>
      <c r="K4" s="339"/>
      <c r="L4" s="339" t="s">
        <v>358</v>
      </c>
      <c r="M4" s="339" t="s">
        <v>356</v>
      </c>
      <c r="N4" s="339"/>
    </row>
    <row r="5" spans="2:14" ht="12.75" customHeight="1">
      <c r="B5" s="335"/>
      <c r="C5" s="336"/>
      <c r="D5" s="336"/>
      <c r="E5" s="336"/>
      <c r="F5" s="336"/>
      <c r="G5" s="336"/>
      <c r="H5" s="337"/>
      <c r="I5" s="338"/>
      <c r="J5" s="339"/>
      <c r="K5" s="339" t="s">
        <v>364</v>
      </c>
      <c r="L5" s="339" t="s">
        <v>353</v>
      </c>
      <c r="M5" s="339"/>
      <c r="N5" s="339" t="s">
        <v>358</v>
      </c>
    </row>
    <row r="6" spans="2:14" ht="12" customHeight="1">
      <c r="B6" s="340"/>
      <c r="C6" s="341"/>
      <c r="D6" s="341"/>
      <c r="F6" s="341"/>
      <c r="H6" s="342"/>
      <c r="I6" s="338"/>
      <c r="J6" s="339" t="s">
        <v>357</v>
      </c>
      <c r="K6" s="339" t="s">
        <v>365</v>
      </c>
      <c r="L6" s="339"/>
      <c r="M6" s="339" t="s">
        <v>353</v>
      </c>
      <c r="N6" s="339" t="s">
        <v>366</v>
      </c>
    </row>
    <row r="7" spans="2:14" ht="12.75" customHeight="1">
      <c r="B7" s="340"/>
      <c r="D7" s="343"/>
      <c r="H7" s="342"/>
      <c r="I7" s="338"/>
      <c r="J7" s="339" t="s">
        <v>184</v>
      </c>
      <c r="K7" s="339" t="s">
        <v>361</v>
      </c>
      <c r="L7" s="339" t="s">
        <v>361</v>
      </c>
      <c r="M7" s="339" t="s">
        <v>356</v>
      </c>
      <c r="N7" s="339" t="s">
        <v>367</v>
      </c>
    </row>
    <row r="8" spans="2:14" ht="12.75" customHeight="1">
      <c r="B8" s="340"/>
      <c r="G8" s="343"/>
      <c r="H8" s="344"/>
      <c r="I8" s="339" t="s">
        <v>367</v>
      </c>
      <c r="J8" s="339" t="s">
        <v>353</v>
      </c>
      <c r="K8" s="339" t="s">
        <v>368</v>
      </c>
      <c r="L8" s="339" t="s">
        <v>356</v>
      </c>
      <c r="M8" s="339" t="s">
        <v>367</v>
      </c>
      <c r="N8" s="339" t="s">
        <v>365</v>
      </c>
    </row>
    <row r="9" spans="2:14">
      <c r="B9" s="339" t="s">
        <v>369</v>
      </c>
      <c r="C9" s="344" t="s">
        <v>370</v>
      </c>
      <c r="D9" s="344" t="s">
        <v>371</v>
      </c>
      <c r="E9" s="344" t="s">
        <v>372</v>
      </c>
      <c r="F9" s="339" t="s">
        <v>373</v>
      </c>
      <c r="G9" s="339" t="s">
        <v>374</v>
      </c>
      <c r="H9" s="339" t="s">
        <v>375</v>
      </c>
      <c r="I9" s="339" t="s">
        <v>363</v>
      </c>
      <c r="J9" s="339" t="s">
        <v>184</v>
      </c>
      <c r="K9" s="339" t="s">
        <v>356</v>
      </c>
      <c r="L9" s="339" t="s">
        <v>368</v>
      </c>
      <c r="M9" s="339" t="s">
        <v>353</v>
      </c>
      <c r="N9" s="339" t="s">
        <v>354</v>
      </c>
    </row>
    <row r="10" spans="2:14" ht="15" customHeight="1">
      <c r="B10" s="345"/>
      <c r="C10" s="346"/>
      <c r="D10" s="346"/>
      <c r="E10" s="346"/>
      <c r="F10" s="347"/>
      <c r="G10" s="348"/>
      <c r="H10" s="348"/>
      <c r="I10" s="349"/>
      <c r="J10" s="350"/>
      <c r="K10" s="350"/>
      <c r="L10" s="350"/>
      <c r="M10" s="350"/>
      <c r="N10" s="351"/>
    </row>
    <row r="11" spans="2:14" ht="15" customHeight="1">
      <c r="B11" s="345"/>
      <c r="C11" s="347"/>
      <c r="D11" s="347"/>
      <c r="E11" s="347"/>
      <c r="F11" s="347"/>
      <c r="G11" s="347"/>
      <c r="H11" s="347"/>
      <c r="I11" s="352"/>
      <c r="J11" s="350"/>
      <c r="K11" s="350"/>
      <c r="L11" s="350"/>
      <c r="M11" s="350"/>
      <c r="N11" s="351"/>
    </row>
    <row r="12" spans="2:14" ht="15" customHeight="1">
      <c r="B12" s="345"/>
      <c r="C12" s="347"/>
      <c r="D12" s="347"/>
      <c r="E12" s="347"/>
      <c r="F12" s="347"/>
      <c r="G12" s="347"/>
      <c r="H12" s="347"/>
      <c r="I12" s="352"/>
      <c r="J12" s="353"/>
      <c r="K12" s="350"/>
      <c r="L12" s="350"/>
      <c r="M12" s="350"/>
      <c r="N12" s="351"/>
    </row>
    <row r="13" spans="2:14" ht="15" customHeight="1">
      <c r="B13" s="345"/>
      <c r="C13" s="347"/>
      <c r="D13" s="347"/>
      <c r="E13" s="347"/>
      <c r="F13" s="347"/>
      <c r="G13" s="347"/>
      <c r="H13" s="347"/>
      <c r="I13" s="352"/>
      <c r="J13" s="350"/>
      <c r="K13" s="350"/>
      <c r="L13" s="350"/>
      <c r="M13" s="350"/>
      <c r="N13" s="351"/>
    </row>
    <row r="14" spans="2:14" ht="15" customHeight="1">
      <c r="B14" s="345"/>
      <c r="C14" s="347"/>
      <c r="D14" s="347"/>
      <c r="E14" s="347"/>
      <c r="F14" s="347"/>
      <c r="G14" s="347"/>
      <c r="H14" s="347"/>
      <c r="I14" s="352"/>
      <c r="J14" s="350"/>
      <c r="K14" s="350"/>
      <c r="L14" s="350"/>
      <c r="M14" s="350"/>
      <c r="N14" s="351"/>
    </row>
    <row r="15" spans="2:14" ht="15" customHeight="1">
      <c r="B15" s="345"/>
      <c r="C15" s="347"/>
      <c r="D15" s="347"/>
      <c r="E15" s="347"/>
      <c r="F15" s="347"/>
      <c r="G15" s="347"/>
      <c r="H15" s="347"/>
      <c r="I15" s="352"/>
      <c r="J15" s="350"/>
      <c r="K15" s="350"/>
      <c r="L15" s="350"/>
      <c r="M15" s="350"/>
      <c r="N15" s="351"/>
    </row>
    <row r="16" spans="2:14" ht="15" customHeight="1">
      <c r="B16" s="345"/>
      <c r="C16" s="347"/>
      <c r="D16" s="347"/>
      <c r="E16" s="347"/>
      <c r="F16" s="347"/>
      <c r="G16" s="347"/>
      <c r="H16" s="347"/>
      <c r="I16" s="352"/>
      <c r="J16" s="350"/>
      <c r="K16" s="350"/>
      <c r="L16" s="350"/>
      <c r="M16" s="350"/>
      <c r="N16" s="351"/>
    </row>
    <row r="17" spans="2:14" ht="15" customHeight="1">
      <c r="B17" s="345"/>
      <c r="C17" s="347"/>
      <c r="D17" s="347"/>
      <c r="E17" s="347"/>
      <c r="F17" s="347"/>
      <c r="G17" s="347"/>
      <c r="H17" s="347"/>
      <c r="I17" s="352"/>
      <c r="J17" s="350"/>
      <c r="K17" s="350"/>
      <c r="L17" s="350"/>
      <c r="M17" s="350"/>
      <c r="N17" s="351"/>
    </row>
    <row r="18" spans="2:14" ht="15" customHeight="1">
      <c r="B18" s="345"/>
      <c r="C18" s="347"/>
      <c r="D18" s="347"/>
      <c r="E18" s="347"/>
      <c r="F18" s="347"/>
      <c r="G18" s="347"/>
      <c r="H18" s="347"/>
      <c r="I18" s="352"/>
      <c r="J18" s="350"/>
      <c r="K18" s="350"/>
      <c r="L18" s="350"/>
      <c r="M18" s="350"/>
      <c r="N18" s="351"/>
    </row>
    <row r="19" spans="2:14" ht="15" customHeight="1">
      <c r="B19" s="345"/>
      <c r="C19" s="347"/>
      <c r="D19" s="347"/>
      <c r="E19" s="347"/>
      <c r="F19" s="347"/>
      <c r="G19" s="347"/>
      <c r="H19" s="347"/>
      <c r="I19" s="352"/>
      <c r="J19" s="350"/>
      <c r="K19" s="350"/>
      <c r="L19" s="350"/>
      <c r="M19" s="350"/>
      <c r="N19" s="351"/>
    </row>
    <row r="20" spans="2:14" ht="15" customHeight="1">
      <c r="B20" s="345"/>
      <c r="C20" s="347"/>
      <c r="D20" s="347"/>
      <c r="E20" s="347"/>
      <c r="F20" s="347"/>
      <c r="G20" s="347"/>
      <c r="H20" s="347"/>
      <c r="I20" s="352"/>
      <c r="J20" s="350"/>
      <c r="K20" s="350"/>
      <c r="L20" s="350"/>
      <c r="M20" s="350"/>
      <c r="N20" s="351"/>
    </row>
    <row r="21" spans="2:14" ht="15" customHeight="1">
      <c r="B21" s="345"/>
      <c r="C21" s="347"/>
      <c r="D21" s="347"/>
      <c r="E21" s="347"/>
      <c r="F21" s="347"/>
      <c r="G21" s="347"/>
      <c r="H21" s="347"/>
      <c r="I21" s="352"/>
      <c r="J21" s="350"/>
      <c r="K21" s="350"/>
      <c r="L21" s="350"/>
      <c r="M21" s="350"/>
      <c r="N21" s="351"/>
    </row>
    <row r="22" spans="2:14" ht="15" customHeight="1">
      <c r="B22" s="345"/>
      <c r="C22" s="347"/>
      <c r="D22" s="347"/>
      <c r="E22" s="347"/>
      <c r="F22" s="347"/>
      <c r="G22" s="347"/>
      <c r="H22" s="347"/>
      <c r="I22" s="352"/>
      <c r="J22" s="350"/>
      <c r="K22" s="350"/>
      <c r="L22" s="350"/>
      <c r="M22" s="350"/>
      <c r="N22" s="351"/>
    </row>
    <row r="23" spans="2:14" ht="15" customHeight="1">
      <c r="B23" s="345"/>
      <c r="C23" s="347"/>
      <c r="D23" s="347"/>
      <c r="E23" s="347"/>
      <c r="F23" s="347"/>
      <c r="G23" s="347"/>
      <c r="H23" s="347"/>
      <c r="I23" s="352"/>
      <c r="J23" s="350"/>
      <c r="K23" s="350"/>
      <c r="L23" s="350"/>
      <c r="M23" s="350"/>
      <c r="N23" s="351"/>
    </row>
    <row r="24" spans="2:14" ht="15" customHeight="1">
      <c r="B24" s="345"/>
      <c r="C24" s="347"/>
      <c r="D24" s="347"/>
      <c r="E24" s="347"/>
      <c r="F24" s="347"/>
      <c r="G24" s="347"/>
      <c r="H24" s="347"/>
      <c r="I24" s="352"/>
      <c r="J24" s="350"/>
      <c r="K24" s="350"/>
      <c r="L24" s="350"/>
      <c r="M24" s="350"/>
      <c r="N24" s="351"/>
    </row>
    <row r="25" spans="2:14" ht="15" customHeight="1">
      <c r="B25" s="345"/>
      <c r="C25" s="347"/>
      <c r="D25" s="347"/>
      <c r="E25" s="347"/>
      <c r="F25" s="347"/>
      <c r="G25" s="347"/>
      <c r="H25" s="347"/>
      <c r="I25" s="352"/>
      <c r="J25" s="350"/>
      <c r="K25" s="350"/>
      <c r="L25" s="350"/>
      <c r="M25" s="350"/>
      <c r="N25" s="351"/>
    </row>
    <row r="26" spans="2:14" ht="15" customHeight="1">
      <c r="B26" s="345"/>
      <c r="C26" s="347"/>
      <c r="D26" s="347"/>
      <c r="E26" s="347"/>
      <c r="F26" s="347"/>
      <c r="G26" s="347"/>
      <c r="H26" s="347"/>
      <c r="I26" s="352"/>
      <c r="J26" s="350"/>
      <c r="K26" s="350"/>
      <c r="L26" s="350"/>
      <c r="M26" s="350"/>
      <c r="N26" s="351"/>
    </row>
    <row r="27" spans="2:14" ht="15" customHeight="1">
      <c r="B27" s="345"/>
      <c r="C27" s="347"/>
      <c r="D27" s="347"/>
      <c r="E27" s="347"/>
      <c r="F27" s="347"/>
      <c r="G27" s="347"/>
      <c r="H27" s="347"/>
      <c r="I27" s="352"/>
      <c r="J27" s="350"/>
      <c r="K27" s="350"/>
      <c r="L27" s="350"/>
      <c r="M27" s="350"/>
      <c r="N27" s="351"/>
    </row>
    <row r="28" spans="2:14" ht="15" customHeight="1">
      <c r="B28" s="345"/>
      <c r="C28" s="347"/>
      <c r="D28" s="347"/>
      <c r="E28" s="347"/>
      <c r="F28" s="347"/>
      <c r="G28" s="347"/>
      <c r="H28" s="347"/>
      <c r="I28" s="352"/>
      <c r="J28" s="350"/>
      <c r="K28" s="350"/>
      <c r="L28" s="350"/>
      <c r="M28" s="350"/>
      <c r="N28" s="351"/>
    </row>
    <row r="29" spans="2:14" ht="15" customHeight="1">
      <c r="B29" s="345"/>
      <c r="C29" s="347"/>
      <c r="D29" s="347"/>
      <c r="E29" s="347"/>
      <c r="F29" s="347"/>
      <c r="G29" s="347"/>
      <c r="H29" s="347"/>
      <c r="I29" s="352"/>
      <c r="J29" s="350"/>
      <c r="K29" s="350"/>
      <c r="L29" s="350"/>
      <c r="M29" s="350"/>
      <c r="N29" s="351"/>
    </row>
    <row r="30" spans="2:14" ht="15" customHeight="1">
      <c r="B30" s="345"/>
      <c r="C30" s="347"/>
      <c r="D30" s="347"/>
      <c r="E30" s="347"/>
      <c r="F30" s="347"/>
      <c r="G30" s="347"/>
      <c r="H30" s="347"/>
      <c r="I30" s="352"/>
      <c r="J30" s="350"/>
      <c r="K30" s="350"/>
      <c r="L30" s="350"/>
      <c r="M30" s="350"/>
      <c r="N30" s="351"/>
    </row>
    <row r="31" spans="2:14" ht="15" customHeight="1">
      <c r="B31" s="345"/>
      <c r="C31" s="347"/>
      <c r="D31" s="347"/>
      <c r="E31" s="347"/>
      <c r="F31" s="347"/>
      <c r="G31" s="347"/>
      <c r="H31" s="347"/>
      <c r="I31" s="352"/>
      <c r="J31" s="350"/>
      <c r="K31" s="350"/>
      <c r="L31" s="350"/>
      <c r="M31" s="350"/>
      <c r="N31" s="351"/>
    </row>
    <row r="32" spans="2:14" ht="15" customHeight="1">
      <c r="B32" s="345"/>
      <c r="C32" s="347"/>
      <c r="D32" s="347"/>
      <c r="E32" s="347"/>
      <c r="F32" s="347"/>
      <c r="G32" s="347"/>
      <c r="H32" s="347"/>
      <c r="I32" s="352"/>
      <c r="J32" s="350"/>
      <c r="K32" s="350"/>
      <c r="L32" s="350"/>
      <c r="M32" s="350"/>
      <c r="N32" s="351"/>
    </row>
    <row r="33" spans="2:14" ht="15" customHeight="1">
      <c r="B33" s="345"/>
      <c r="C33" s="347"/>
      <c r="D33" s="347"/>
      <c r="E33" s="347"/>
      <c r="F33" s="347"/>
      <c r="G33" s="347"/>
      <c r="H33" s="347"/>
      <c r="I33" s="352"/>
      <c r="J33" s="350"/>
      <c r="K33" s="350"/>
      <c r="L33" s="350"/>
      <c r="M33" s="350"/>
      <c r="N33" s="351"/>
    </row>
    <row r="34" spans="2:14" ht="15" customHeight="1">
      <c r="B34" s="345"/>
      <c r="C34" s="347"/>
      <c r="D34" s="347"/>
      <c r="E34" s="347"/>
      <c r="F34" s="347"/>
      <c r="G34" s="347"/>
      <c r="H34" s="347"/>
      <c r="I34" s="352"/>
      <c r="J34" s="350"/>
      <c r="K34" s="350"/>
      <c r="L34" s="350"/>
      <c r="M34" s="350"/>
      <c r="N34" s="351"/>
    </row>
    <row r="35" spans="2:14" ht="15" customHeight="1">
      <c r="B35" s="345"/>
      <c r="C35" s="347"/>
      <c r="D35" s="347"/>
      <c r="E35" s="347"/>
      <c r="F35" s="347"/>
      <c r="G35" s="347"/>
      <c r="H35" s="347"/>
      <c r="I35" s="352"/>
      <c r="J35" s="350"/>
      <c r="K35" s="350"/>
      <c r="L35" s="350"/>
      <c r="M35" s="350"/>
      <c r="N35" s="351"/>
    </row>
    <row r="36" spans="2:14" ht="15" customHeight="1">
      <c r="B36" s="345"/>
      <c r="C36" s="347"/>
      <c r="D36" s="347"/>
      <c r="E36" s="347"/>
      <c r="F36" s="347"/>
      <c r="G36" s="347"/>
      <c r="H36" s="347"/>
      <c r="I36" s="352"/>
      <c r="J36" s="350"/>
      <c r="K36" s="350"/>
      <c r="L36" s="350"/>
      <c r="M36" s="350"/>
      <c r="N36" s="351"/>
    </row>
    <row r="37" spans="2:14" ht="15" customHeight="1">
      <c r="B37" s="345"/>
      <c r="C37" s="347"/>
      <c r="D37" s="347"/>
      <c r="E37" s="347"/>
      <c r="F37" s="347"/>
      <c r="G37" s="347"/>
      <c r="H37" s="347"/>
      <c r="I37" s="352"/>
      <c r="J37" s="350"/>
      <c r="K37" s="350"/>
      <c r="L37" s="350"/>
      <c r="M37" s="350"/>
      <c r="N37" s="351"/>
    </row>
    <row r="38" spans="2:14" ht="15" customHeight="1">
      <c r="B38" s="345"/>
      <c r="C38" s="347"/>
      <c r="D38" s="347"/>
      <c r="E38" s="347"/>
      <c r="F38" s="347"/>
      <c r="G38" s="347"/>
      <c r="H38" s="347"/>
      <c r="I38" s="352"/>
      <c r="J38" s="350"/>
      <c r="K38" s="350"/>
      <c r="L38" s="350"/>
      <c r="M38" s="350"/>
      <c r="N38" s="351"/>
    </row>
    <row r="39" spans="2:14" ht="15" customHeight="1">
      <c r="B39" s="345"/>
      <c r="C39" s="347"/>
      <c r="D39" s="347"/>
      <c r="E39" s="347"/>
      <c r="F39" s="347"/>
      <c r="G39" s="347"/>
      <c r="H39" s="347"/>
      <c r="I39" s="352"/>
      <c r="J39" s="350"/>
      <c r="K39" s="350"/>
      <c r="L39" s="350"/>
      <c r="M39" s="350"/>
      <c r="N39" s="351"/>
    </row>
    <row r="40" spans="2:14" ht="15" customHeight="1">
      <c r="B40" s="345"/>
      <c r="C40" s="347"/>
      <c r="D40" s="347"/>
      <c r="E40" s="347"/>
      <c r="F40" s="347"/>
      <c r="G40" s="347"/>
      <c r="H40" s="347"/>
      <c r="I40" s="352"/>
      <c r="J40" s="350"/>
      <c r="K40" s="350"/>
      <c r="L40" s="350"/>
      <c r="M40" s="350"/>
      <c r="N40" s="351"/>
    </row>
    <row r="41" spans="2:14" ht="15" customHeight="1">
      <c r="B41" s="345"/>
      <c r="C41" s="347"/>
      <c r="D41" s="347"/>
      <c r="E41" s="347"/>
      <c r="F41" s="347"/>
      <c r="G41" s="347"/>
      <c r="H41" s="347"/>
      <c r="I41" s="352"/>
      <c r="J41" s="350"/>
      <c r="K41" s="350"/>
      <c r="L41" s="350"/>
      <c r="M41" s="350"/>
      <c r="N41" s="351"/>
    </row>
    <row r="42" spans="2:14" ht="15" customHeight="1">
      <c r="B42" s="345"/>
      <c r="C42" s="347"/>
      <c r="D42" s="347"/>
      <c r="E42" s="347"/>
      <c r="F42" s="347"/>
      <c r="G42" s="347"/>
      <c r="H42" s="347"/>
      <c r="I42" s="352"/>
      <c r="J42" s="350"/>
      <c r="K42" s="350"/>
      <c r="L42" s="350"/>
      <c r="M42" s="350"/>
      <c r="N42" s="351"/>
    </row>
    <row r="43" spans="2:14" ht="15" customHeight="1">
      <c r="B43" s="345"/>
      <c r="C43" s="347"/>
      <c r="D43" s="347"/>
      <c r="E43" s="347"/>
      <c r="F43" s="347"/>
      <c r="G43" s="347"/>
      <c r="H43" s="347"/>
      <c r="I43" s="352"/>
      <c r="J43" s="350"/>
      <c r="K43" s="350"/>
      <c r="L43" s="350"/>
      <c r="M43" s="350"/>
      <c r="N43" s="351"/>
    </row>
    <row r="44" spans="2:14" ht="15" customHeight="1">
      <c r="B44" s="345"/>
      <c r="C44" s="347"/>
      <c r="D44" s="347"/>
      <c r="E44" s="347"/>
      <c r="F44" s="347"/>
      <c r="G44" s="347"/>
      <c r="H44" s="347"/>
      <c r="I44" s="352"/>
      <c r="J44" s="350"/>
      <c r="K44" s="350"/>
      <c r="L44" s="350"/>
      <c r="M44" s="350"/>
      <c r="N44" s="351"/>
    </row>
    <row r="45" spans="2:14" ht="15" customHeight="1">
      <c r="B45" s="345"/>
      <c r="C45" s="347"/>
      <c r="D45" s="347"/>
      <c r="E45" s="347"/>
      <c r="F45" s="347"/>
      <c r="G45" s="347"/>
      <c r="H45" s="347"/>
      <c r="I45" s="352"/>
      <c r="J45" s="350"/>
      <c r="K45" s="350"/>
      <c r="L45" s="350"/>
      <c r="M45" s="350"/>
      <c r="N45" s="351"/>
    </row>
    <row r="46" spans="2:14" ht="15" customHeight="1">
      <c r="B46" s="345"/>
      <c r="C46" s="347"/>
      <c r="D46" s="347"/>
      <c r="E46" s="347"/>
      <c r="F46" s="347"/>
      <c r="G46" s="347"/>
      <c r="H46" s="347"/>
      <c r="I46" s="352"/>
      <c r="J46" s="350"/>
      <c r="K46" s="350"/>
      <c r="L46" s="350"/>
      <c r="M46" s="350"/>
      <c r="N46" s="351"/>
    </row>
    <row r="47" spans="2:14" ht="15" customHeight="1">
      <c r="B47" s="345"/>
      <c r="C47" s="347"/>
      <c r="D47" s="347"/>
      <c r="E47" s="347"/>
      <c r="F47" s="347"/>
      <c r="G47" s="347"/>
      <c r="H47" s="347"/>
      <c r="I47" s="352"/>
      <c r="J47" s="350"/>
      <c r="K47" s="350"/>
      <c r="L47" s="350"/>
      <c r="M47" s="350"/>
      <c r="N47" s="351"/>
    </row>
    <row r="48" spans="2:14" ht="15" customHeight="1">
      <c r="B48" s="345"/>
      <c r="C48" s="347"/>
      <c r="D48" s="347"/>
      <c r="E48" s="347"/>
      <c r="F48" s="347"/>
      <c r="G48" s="347"/>
      <c r="H48" s="347"/>
      <c r="I48" s="352"/>
      <c r="J48" s="350"/>
      <c r="K48" s="350"/>
      <c r="L48" s="350"/>
      <c r="M48" s="350"/>
      <c r="N48" s="351"/>
    </row>
    <row r="49" spans="2:14" ht="15" customHeight="1">
      <c r="B49" s="345"/>
      <c r="C49" s="347"/>
      <c r="D49" s="347"/>
      <c r="E49" s="347"/>
      <c r="F49" s="347"/>
      <c r="G49" s="347"/>
      <c r="H49" s="347"/>
      <c r="I49" s="352"/>
      <c r="J49" s="350"/>
      <c r="K49" s="350"/>
      <c r="L49" s="350"/>
      <c r="M49" s="350"/>
      <c r="N49" s="351"/>
    </row>
    <row r="50" spans="2:14" ht="15" customHeight="1">
      <c r="B50" s="345"/>
      <c r="C50" s="347"/>
      <c r="D50" s="347"/>
      <c r="E50" s="347"/>
      <c r="F50" s="347"/>
      <c r="G50" s="347"/>
      <c r="H50" s="347"/>
      <c r="I50" s="352"/>
      <c r="J50" s="350"/>
      <c r="K50" s="350"/>
      <c r="L50" s="350"/>
      <c r="M50" s="350"/>
      <c r="N50" s="351"/>
    </row>
    <row r="51" spans="2:14" ht="15" customHeight="1">
      <c r="B51" s="345"/>
      <c r="C51" s="347"/>
      <c r="D51" s="347"/>
      <c r="E51" s="347"/>
      <c r="F51" s="347"/>
      <c r="G51" s="347"/>
      <c r="H51" s="347"/>
      <c r="I51" s="352"/>
      <c r="J51" s="350"/>
      <c r="K51" s="350"/>
      <c r="L51" s="350"/>
      <c r="M51" s="350"/>
      <c r="N51" s="351"/>
    </row>
    <row r="52" spans="2:14" ht="15" customHeight="1" thickBot="1">
      <c r="B52" s="354"/>
      <c r="C52" s="355"/>
      <c r="D52" s="355"/>
      <c r="E52" s="355"/>
      <c r="F52" s="355"/>
      <c r="G52" s="355"/>
      <c r="H52" s="355"/>
      <c r="I52" s="356"/>
      <c r="J52" s="357"/>
      <c r="K52" s="357"/>
      <c r="L52" s="357"/>
      <c r="M52" s="357"/>
      <c r="N52" s="358"/>
    </row>
    <row r="53" spans="2:14" ht="20.25" customHeight="1" thickBot="1">
      <c r="B53" s="631" t="s">
        <v>376</v>
      </c>
      <c r="C53" s="631"/>
      <c r="D53" s="631"/>
      <c r="E53" s="631"/>
      <c r="F53" s="631"/>
      <c r="G53" s="631"/>
      <c r="H53" s="631"/>
      <c r="I53" s="631"/>
      <c r="J53" s="631"/>
      <c r="K53" s="631"/>
      <c r="L53" s="631"/>
      <c r="M53" s="631"/>
      <c r="N53" s="631"/>
    </row>
    <row r="54" spans="2:14" ht="15" customHeight="1" thickBot="1">
      <c r="B54" s="359" t="s">
        <v>377</v>
      </c>
      <c r="C54" s="632" t="s">
        <v>374</v>
      </c>
      <c r="D54" s="633"/>
      <c r="E54" s="633"/>
      <c r="F54" s="633"/>
      <c r="G54" s="633"/>
      <c r="H54" s="360"/>
      <c r="I54" s="632" t="s">
        <v>369</v>
      </c>
      <c r="J54" s="633"/>
      <c r="K54" s="634"/>
      <c r="L54" s="632" t="s">
        <v>378</v>
      </c>
      <c r="M54" s="633"/>
      <c r="N54" s="635"/>
    </row>
    <row r="55" spans="2:14" ht="15" customHeight="1">
      <c r="B55" s="361"/>
      <c r="C55" s="621"/>
      <c r="D55" s="622"/>
      <c r="E55" s="622"/>
      <c r="F55" s="622"/>
      <c r="G55" s="622"/>
      <c r="H55" s="362"/>
      <c r="I55" s="623"/>
      <c r="J55" s="624"/>
      <c r="K55" s="625"/>
      <c r="L55" s="626"/>
      <c r="M55" s="627"/>
      <c r="N55" s="628"/>
    </row>
    <row r="56" spans="2:14" ht="15" customHeight="1">
      <c r="B56" s="363"/>
      <c r="C56" s="605"/>
      <c r="D56" s="606"/>
      <c r="E56" s="606"/>
      <c r="F56" s="606"/>
      <c r="G56" s="606"/>
      <c r="H56" s="364"/>
      <c r="I56" s="607"/>
      <c r="J56" s="608"/>
      <c r="K56" s="609"/>
      <c r="L56" s="610"/>
      <c r="M56" s="611"/>
      <c r="N56" s="612"/>
    </row>
    <row r="57" spans="2:14" ht="15" customHeight="1">
      <c r="B57" s="363"/>
      <c r="C57" s="605"/>
      <c r="D57" s="606"/>
      <c r="E57" s="606"/>
      <c r="F57" s="606"/>
      <c r="G57" s="606"/>
      <c r="H57" s="364"/>
      <c r="I57" s="607"/>
      <c r="J57" s="608"/>
      <c r="K57" s="609"/>
      <c r="L57" s="610"/>
      <c r="M57" s="611"/>
      <c r="N57" s="612"/>
    </row>
    <row r="58" spans="2:14" ht="15" customHeight="1">
      <c r="B58" s="363"/>
      <c r="C58" s="605"/>
      <c r="D58" s="606"/>
      <c r="E58" s="606"/>
      <c r="F58" s="606"/>
      <c r="G58" s="606"/>
      <c r="H58" s="364"/>
      <c r="I58" s="607"/>
      <c r="J58" s="608"/>
      <c r="K58" s="609"/>
      <c r="L58" s="610"/>
      <c r="M58" s="611"/>
      <c r="N58" s="612"/>
    </row>
    <row r="59" spans="2:14" ht="15" customHeight="1">
      <c r="B59" s="363"/>
      <c r="C59" s="605"/>
      <c r="D59" s="606"/>
      <c r="E59" s="606"/>
      <c r="F59" s="606"/>
      <c r="G59" s="606"/>
      <c r="H59" s="364"/>
      <c r="I59" s="607"/>
      <c r="J59" s="608"/>
      <c r="K59" s="609"/>
      <c r="L59" s="610"/>
      <c r="M59" s="611"/>
      <c r="N59" s="612"/>
    </row>
    <row r="60" spans="2:14" ht="15" customHeight="1">
      <c r="B60" s="363"/>
      <c r="C60" s="605"/>
      <c r="D60" s="606"/>
      <c r="E60" s="606"/>
      <c r="F60" s="606"/>
      <c r="G60" s="606"/>
      <c r="H60" s="364"/>
      <c r="I60" s="607"/>
      <c r="J60" s="608"/>
      <c r="K60" s="609"/>
      <c r="L60" s="610"/>
      <c r="M60" s="611"/>
      <c r="N60" s="612"/>
    </row>
    <row r="61" spans="2:14" ht="15" customHeight="1">
      <c r="B61" s="363"/>
      <c r="C61" s="605"/>
      <c r="D61" s="606"/>
      <c r="E61" s="606"/>
      <c r="F61" s="606"/>
      <c r="G61" s="606"/>
      <c r="H61" s="364"/>
      <c r="I61" s="607"/>
      <c r="J61" s="608"/>
      <c r="K61" s="609"/>
      <c r="L61" s="610"/>
      <c r="M61" s="611"/>
      <c r="N61" s="612"/>
    </row>
    <row r="62" spans="2:14" ht="15" customHeight="1">
      <c r="B62" s="363"/>
      <c r="C62" s="605"/>
      <c r="D62" s="606"/>
      <c r="E62" s="606"/>
      <c r="F62" s="606"/>
      <c r="G62" s="606"/>
      <c r="H62" s="364"/>
      <c r="I62" s="607"/>
      <c r="J62" s="608"/>
      <c r="K62" s="609"/>
      <c r="L62" s="610"/>
      <c r="M62" s="611"/>
      <c r="N62" s="612"/>
    </row>
    <row r="63" spans="2:14" ht="15" customHeight="1">
      <c r="B63" s="363"/>
      <c r="C63" s="605"/>
      <c r="D63" s="606"/>
      <c r="E63" s="606"/>
      <c r="F63" s="606"/>
      <c r="G63" s="606"/>
      <c r="H63" s="364"/>
      <c r="I63" s="607"/>
      <c r="J63" s="608"/>
      <c r="K63" s="609"/>
      <c r="L63" s="610"/>
      <c r="M63" s="611"/>
      <c r="N63" s="612"/>
    </row>
    <row r="64" spans="2:14" ht="15" customHeight="1">
      <c r="B64" s="363"/>
      <c r="C64" s="605"/>
      <c r="D64" s="606"/>
      <c r="E64" s="606"/>
      <c r="F64" s="606"/>
      <c r="G64" s="606"/>
      <c r="H64" s="364"/>
      <c r="I64" s="607"/>
      <c r="J64" s="608"/>
      <c r="K64" s="609"/>
      <c r="L64" s="610"/>
      <c r="M64" s="611"/>
      <c r="N64" s="612"/>
    </row>
    <row r="65" spans="2:14" ht="15" customHeight="1">
      <c r="B65" s="363"/>
      <c r="C65" s="605"/>
      <c r="D65" s="606"/>
      <c r="E65" s="606"/>
      <c r="F65" s="606"/>
      <c r="G65" s="606"/>
      <c r="H65" s="364"/>
      <c r="I65" s="607"/>
      <c r="J65" s="608"/>
      <c r="K65" s="609"/>
      <c r="L65" s="610"/>
      <c r="M65" s="611"/>
      <c r="N65" s="612"/>
    </row>
    <row r="66" spans="2:14" ht="15" customHeight="1">
      <c r="B66" s="363"/>
      <c r="C66" s="605"/>
      <c r="D66" s="606"/>
      <c r="E66" s="606"/>
      <c r="F66" s="606"/>
      <c r="G66" s="606"/>
      <c r="H66" s="364"/>
      <c r="I66" s="607"/>
      <c r="J66" s="608"/>
      <c r="K66" s="609"/>
      <c r="L66" s="610"/>
      <c r="M66" s="611"/>
      <c r="N66" s="612"/>
    </row>
    <row r="67" spans="2:14" ht="15" customHeight="1">
      <c r="B67" s="363"/>
      <c r="C67" s="605"/>
      <c r="D67" s="606"/>
      <c r="E67" s="606"/>
      <c r="F67" s="606"/>
      <c r="G67" s="606"/>
      <c r="H67" s="364"/>
      <c r="I67" s="607"/>
      <c r="J67" s="608"/>
      <c r="K67" s="609"/>
      <c r="L67" s="610"/>
      <c r="M67" s="611"/>
      <c r="N67" s="612"/>
    </row>
    <row r="68" spans="2:14" ht="15" customHeight="1">
      <c r="B68" s="363"/>
      <c r="C68" s="605"/>
      <c r="D68" s="606"/>
      <c r="E68" s="606"/>
      <c r="F68" s="606"/>
      <c r="G68" s="606"/>
      <c r="H68" s="364"/>
      <c r="I68" s="607"/>
      <c r="J68" s="608"/>
      <c r="K68" s="609"/>
      <c r="L68" s="610"/>
      <c r="M68" s="611"/>
      <c r="N68" s="612"/>
    </row>
    <row r="69" spans="2:14" ht="15" customHeight="1">
      <c r="B69" s="363"/>
      <c r="C69" s="605"/>
      <c r="D69" s="606"/>
      <c r="E69" s="606"/>
      <c r="F69" s="606"/>
      <c r="G69" s="606"/>
      <c r="H69" s="364"/>
      <c r="I69" s="607"/>
      <c r="J69" s="608"/>
      <c r="K69" s="609"/>
      <c r="L69" s="610"/>
      <c r="M69" s="611"/>
      <c r="N69" s="612"/>
    </row>
    <row r="70" spans="2:14" ht="15" customHeight="1">
      <c r="B70" s="363"/>
      <c r="C70" s="605"/>
      <c r="D70" s="606"/>
      <c r="E70" s="606"/>
      <c r="F70" s="606"/>
      <c r="G70" s="606"/>
      <c r="H70" s="364"/>
      <c r="I70" s="607"/>
      <c r="J70" s="608"/>
      <c r="K70" s="609"/>
      <c r="L70" s="610"/>
      <c r="M70" s="611"/>
      <c r="N70" s="612"/>
    </row>
    <row r="71" spans="2:14" ht="15" customHeight="1">
      <c r="B71" s="363"/>
      <c r="C71" s="605"/>
      <c r="D71" s="606"/>
      <c r="E71" s="606"/>
      <c r="F71" s="606"/>
      <c r="G71" s="606"/>
      <c r="H71" s="364"/>
      <c r="I71" s="607"/>
      <c r="J71" s="608"/>
      <c r="K71" s="609"/>
      <c r="L71" s="610"/>
      <c r="M71" s="611"/>
      <c r="N71" s="612"/>
    </row>
    <row r="72" spans="2:14">
      <c r="B72" s="363"/>
      <c r="C72" s="605"/>
      <c r="D72" s="606"/>
      <c r="E72" s="606"/>
      <c r="F72" s="606"/>
      <c r="G72" s="606"/>
      <c r="H72" s="364"/>
      <c r="I72" s="607"/>
      <c r="J72" s="608"/>
      <c r="K72" s="609"/>
      <c r="L72" s="610"/>
      <c r="M72" s="611"/>
      <c r="N72" s="612"/>
    </row>
    <row r="73" spans="2:14">
      <c r="B73" s="363"/>
      <c r="C73" s="605"/>
      <c r="D73" s="606"/>
      <c r="E73" s="606"/>
      <c r="F73" s="606"/>
      <c r="G73" s="606"/>
      <c r="H73" s="364"/>
      <c r="I73" s="607"/>
      <c r="J73" s="608"/>
      <c r="K73" s="609"/>
      <c r="L73" s="610"/>
      <c r="M73" s="611"/>
      <c r="N73" s="612"/>
    </row>
    <row r="74" spans="2:14">
      <c r="B74" s="363"/>
      <c r="C74" s="605"/>
      <c r="D74" s="606"/>
      <c r="E74" s="606"/>
      <c r="F74" s="606"/>
      <c r="G74" s="606"/>
      <c r="H74" s="364"/>
      <c r="I74" s="607"/>
      <c r="J74" s="608"/>
      <c r="K74" s="609"/>
      <c r="L74" s="610"/>
      <c r="M74" s="611"/>
      <c r="N74" s="612"/>
    </row>
    <row r="75" spans="2:14">
      <c r="B75" s="363"/>
      <c r="C75" s="605"/>
      <c r="D75" s="606"/>
      <c r="E75" s="606"/>
      <c r="F75" s="606"/>
      <c r="G75" s="606"/>
      <c r="H75" s="364"/>
      <c r="I75" s="607"/>
      <c r="J75" s="608"/>
      <c r="K75" s="609"/>
      <c r="L75" s="610"/>
      <c r="M75" s="611"/>
      <c r="N75" s="612"/>
    </row>
    <row r="76" spans="2:14">
      <c r="B76" s="363"/>
      <c r="C76" s="605"/>
      <c r="D76" s="606"/>
      <c r="E76" s="606"/>
      <c r="F76" s="606"/>
      <c r="G76" s="606"/>
      <c r="H76" s="364"/>
      <c r="I76" s="607"/>
      <c r="J76" s="608"/>
      <c r="K76" s="609"/>
      <c r="L76" s="610"/>
      <c r="M76" s="611"/>
      <c r="N76" s="612"/>
    </row>
    <row r="77" spans="2:14">
      <c r="B77" s="363"/>
      <c r="C77" s="605"/>
      <c r="D77" s="606"/>
      <c r="E77" s="606"/>
      <c r="F77" s="606"/>
      <c r="G77" s="606"/>
      <c r="H77" s="364"/>
      <c r="I77" s="607"/>
      <c r="J77" s="608"/>
      <c r="K77" s="609"/>
      <c r="L77" s="610"/>
      <c r="M77" s="611"/>
      <c r="N77" s="612"/>
    </row>
    <row r="78" spans="2:14">
      <c r="B78" s="363"/>
      <c r="C78" s="605"/>
      <c r="D78" s="606"/>
      <c r="E78" s="606"/>
      <c r="F78" s="606"/>
      <c r="G78" s="606"/>
      <c r="H78" s="364"/>
      <c r="I78" s="607"/>
      <c r="J78" s="608"/>
      <c r="K78" s="609"/>
      <c r="L78" s="610"/>
      <c r="M78" s="611"/>
      <c r="N78" s="612"/>
    </row>
    <row r="79" spans="2:14" ht="13.5" thickBot="1">
      <c r="B79" s="365"/>
      <c r="C79" s="613"/>
      <c r="D79" s="614"/>
      <c r="E79" s="614"/>
      <c r="F79" s="614"/>
      <c r="G79" s="614"/>
      <c r="H79" s="366"/>
      <c r="I79" s="615"/>
      <c r="J79" s="616"/>
      <c r="K79" s="617"/>
      <c r="L79" s="618"/>
      <c r="M79" s="619"/>
      <c r="N79" s="620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syncVertical="1" syncRef="A21" transitionEvaluation="1"/>
  <dimension ref="A1:N120"/>
  <sheetViews>
    <sheetView showGridLines="0" topLeftCell="A21" zoomScaleNormal="100" workbookViewId="0">
      <selection activeCell="D23" sqref="D23"/>
    </sheetView>
  </sheetViews>
  <sheetFormatPr defaultColWidth="12" defaultRowHeight="15.75"/>
  <cols>
    <col min="1" max="5" width="6.7109375" style="446" customWidth="1"/>
    <col min="6" max="6" width="8.7109375" style="446" customWidth="1"/>
    <col min="7" max="14" width="6.7109375" style="446" customWidth="1"/>
    <col min="15" max="16384" width="12" style="446"/>
  </cols>
  <sheetData>
    <row r="1" spans="1:14" ht="17.100000000000001" customHeight="1">
      <c r="A1" s="439" t="s">
        <v>268</v>
      </c>
      <c r="B1" s="440"/>
      <c r="C1" s="440"/>
      <c r="D1" s="440"/>
      <c r="E1" s="440"/>
      <c r="F1" s="440"/>
      <c r="G1" s="440"/>
      <c r="H1" s="440"/>
      <c r="I1" s="440"/>
      <c r="J1" s="441" t="s">
        <v>597</v>
      </c>
      <c r="K1" s="442"/>
      <c r="L1" s="443" t="s">
        <v>598</v>
      </c>
      <c r="M1" s="444"/>
      <c r="N1" s="445"/>
    </row>
    <row r="2" spans="1:14" ht="17.100000000000001" customHeight="1">
      <c r="A2" s="447" t="s">
        <v>599</v>
      </c>
      <c r="B2" s="448"/>
      <c r="C2" s="448"/>
      <c r="D2" s="448"/>
      <c r="E2" s="448"/>
      <c r="F2" s="448"/>
      <c r="G2" s="448"/>
      <c r="H2" s="448"/>
      <c r="I2" s="448"/>
      <c r="J2" s="449" t="s">
        <v>600</v>
      </c>
      <c r="K2" s="450"/>
      <c r="L2" s="451" t="s">
        <v>601</v>
      </c>
      <c r="M2" s="452"/>
      <c r="N2" s="445"/>
    </row>
    <row r="3" spans="1:14" ht="15.95" customHeight="1">
      <c r="A3" s="453"/>
      <c r="B3" s="454"/>
      <c r="C3" s="454"/>
      <c r="D3" s="454"/>
      <c r="E3" s="454"/>
      <c r="F3" s="454"/>
      <c r="G3" s="454"/>
      <c r="H3" s="454"/>
      <c r="I3" s="454"/>
      <c r="J3" s="449" t="s">
        <v>602</v>
      </c>
      <c r="K3" s="450"/>
      <c r="L3" s="455" t="s">
        <v>603</v>
      </c>
      <c r="M3" s="452"/>
      <c r="N3" s="445"/>
    </row>
    <row r="4" spans="1:14" ht="15.95" customHeight="1">
      <c r="A4" s="456"/>
      <c r="B4" s="454"/>
      <c r="C4" s="454"/>
      <c r="D4" s="454"/>
      <c r="E4" s="454"/>
      <c r="F4" s="454"/>
      <c r="G4" s="454"/>
      <c r="H4" s="454"/>
      <c r="I4" s="454"/>
      <c r="J4" s="449" t="s">
        <v>604</v>
      </c>
      <c r="K4" s="450"/>
      <c r="L4" s="455" t="s">
        <v>605</v>
      </c>
      <c r="M4" s="452"/>
      <c r="N4" s="445"/>
    </row>
    <row r="5" spans="1:14" ht="15.95" customHeight="1">
      <c r="A5" s="453"/>
      <c r="B5" s="454"/>
      <c r="C5" s="454"/>
      <c r="D5" s="454"/>
      <c r="E5" s="454"/>
      <c r="F5" s="454"/>
      <c r="G5" s="454"/>
      <c r="H5" s="454"/>
      <c r="I5" s="454"/>
      <c r="J5" s="449" t="s">
        <v>606</v>
      </c>
      <c r="K5" s="450"/>
      <c r="L5" s="451">
        <v>2</v>
      </c>
      <c r="M5" s="452"/>
      <c r="N5" s="445"/>
    </row>
    <row r="6" spans="1:14" ht="15.95" customHeight="1">
      <c r="A6" s="457" t="s">
        <v>607</v>
      </c>
      <c r="B6" s="454"/>
      <c r="C6" s="454"/>
      <c r="D6" s="454"/>
      <c r="E6" s="454"/>
      <c r="F6" s="454"/>
      <c r="G6" s="454"/>
      <c r="H6" s="454"/>
      <c r="I6" s="454"/>
      <c r="J6" s="449" t="s">
        <v>608</v>
      </c>
      <c r="K6" s="450"/>
      <c r="L6" s="451" t="s">
        <v>609</v>
      </c>
      <c r="M6" s="452"/>
      <c r="N6" s="445"/>
    </row>
    <row r="7" spans="1:14" ht="15.95" customHeight="1" thickBot="1">
      <c r="A7" s="458" t="s">
        <v>610</v>
      </c>
      <c r="B7" s="459"/>
      <c r="C7" s="459"/>
      <c r="D7" s="459"/>
      <c r="E7" s="459"/>
      <c r="F7" s="459"/>
      <c r="G7" s="459"/>
      <c r="H7" s="459"/>
      <c r="I7" s="459"/>
      <c r="J7" s="460" t="s">
        <v>611</v>
      </c>
      <c r="K7" s="461"/>
      <c r="L7" s="462" t="s">
        <v>612</v>
      </c>
      <c r="M7" s="463"/>
      <c r="N7" s="445"/>
    </row>
    <row r="8" spans="1:14" ht="15.95" customHeight="1">
      <c r="A8" s="464"/>
      <c r="B8" s="454"/>
      <c r="C8" s="454"/>
      <c r="D8" s="454"/>
      <c r="E8" s="454"/>
      <c r="F8" s="454"/>
      <c r="G8" s="454"/>
      <c r="H8" s="454"/>
      <c r="I8" s="454"/>
      <c r="J8" s="454"/>
      <c r="K8" s="465"/>
      <c r="L8" s="466"/>
      <c r="M8" s="467"/>
      <c r="N8" s="454"/>
    </row>
    <row r="9" spans="1:14" ht="12" customHeight="1">
      <c r="A9" s="468"/>
      <c r="B9" s="469" t="s">
        <v>613</v>
      </c>
      <c r="C9" s="470"/>
      <c r="D9" s="471"/>
      <c r="E9" s="471"/>
      <c r="F9" s="471"/>
      <c r="G9" s="471"/>
      <c r="H9" s="471"/>
      <c r="I9" s="471"/>
      <c r="J9" s="471"/>
      <c r="K9" s="472"/>
      <c r="L9" s="468"/>
      <c r="M9" s="471"/>
      <c r="N9" s="454"/>
    </row>
    <row r="10" spans="1:14" ht="12" customHeight="1">
      <c r="A10" s="468"/>
      <c r="B10" s="469" t="s">
        <v>614</v>
      </c>
      <c r="C10" s="473" t="s">
        <v>704</v>
      </c>
      <c r="D10" s="468"/>
      <c r="E10" s="468"/>
      <c r="F10" s="468"/>
      <c r="G10" s="468"/>
      <c r="H10" s="468"/>
      <c r="I10" s="468"/>
      <c r="J10" s="468"/>
      <c r="K10" s="468"/>
      <c r="L10" s="468"/>
      <c r="M10" s="468"/>
      <c r="N10" s="466"/>
    </row>
    <row r="11" spans="1:14" ht="16.5" thickBot="1">
      <c r="A11" s="466"/>
      <c r="B11" s="466"/>
      <c r="C11" s="466"/>
      <c r="D11" s="466"/>
      <c r="E11" s="466"/>
      <c r="F11" s="466"/>
      <c r="G11" s="466"/>
      <c r="H11" s="466"/>
      <c r="I11" s="466"/>
      <c r="J11" s="466"/>
      <c r="K11" s="466"/>
      <c r="L11" s="466"/>
      <c r="M11" s="466"/>
      <c r="N11" s="466"/>
    </row>
    <row r="12" spans="1:14" ht="20.100000000000001" customHeight="1" thickBot="1">
      <c r="A12" s="474" t="s">
        <v>615</v>
      </c>
      <c r="B12" s="475"/>
      <c r="C12" s="475"/>
      <c r="D12" s="475"/>
      <c r="E12" s="475"/>
      <c r="F12" s="475"/>
      <c r="G12" s="475"/>
      <c r="H12" s="475"/>
      <c r="I12" s="475"/>
      <c r="J12" s="475"/>
      <c r="K12" s="475"/>
      <c r="L12" s="475"/>
      <c r="M12" s="476"/>
      <c r="N12" s="445"/>
    </row>
    <row r="13" spans="1:14" ht="12.95" customHeight="1" thickTop="1">
      <c r="A13" s="477"/>
      <c r="B13" s="469" t="s">
        <v>616</v>
      </c>
      <c r="C13" s="478">
        <v>900</v>
      </c>
      <c r="D13" s="468"/>
      <c r="E13" s="469" t="s">
        <v>617</v>
      </c>
      <c r="F13" s="478" t="s">
        <v>708</v>
      </c>
      <c r="G13" s="468"/>
      <c r="H13" s="469" t="s">
        <v>618</v>
      </c>
      <c r="I13" s="478" t="s">
        <v>703</v>
      </c>
      <c r="J13" s="468"/>
      <c r="K13" s="468"/>
      <c r="L13" s="469" t="s">
        <v>619</v>
      </c>
      <c r="M13" s="479">
        <v>3600</v>
      </c>
      <c r="N13" s="445"/>
    </row>
    <row r="14" spans="1:14" ht="12.95" customHeight="1">
      <c r="A14" s="477"/>
      <c r="B14" s="469" t="s">
        <v>620</v>
      </c>
      <c r="C14" s="478" t="s">
        <v>705</v>
      </c>
      <c r="D14" s="468"/>
      <c r="E14" s="469" t="s">
        <v>621</v>
      </c>
      <c r="F14" s="480" t="s">
        <v>706</v>
      </c>
      <c r="G14" s="468"/>
      <c r="H14" s="469" t="s">
        <v>622</v>
      </c>
      <c r="I14" s="478" t="s">
        <v>707</v>
      </c>
      <c r="J14" s="468"/>
      <c r="K14" s="468"/>
      <c r="L14" s="469" t="s">
        <v>411</v>
      </c>
      <c r="M14" s="479">
        <v>3555</v>
      </c>
      <c r="N14" s="445"/>
    </row>
    <row r="15" spans="1:14" ht="12.95" customHeight="1">
      <c r="A15" s="477"/>
      <c r="B15" s="469" t="s">
        <v>623</v>
      </c>
      <c r="C15" s="478" t="s">
        <v>194</v>
      </c>
      <c r="D15" s="468"/>
      <c r="E15" s="469" t="s">
        <v>624</v>
      </c>
      <c r="F15" s="481" t="s">
        <v>709</v>
      </c>
      <c r="G15" s="468"/>
      <c r="H15" s="469" t="s">
        <v>625</v>
      </c>
      <c r="I15" s="480" t="s">
        <v>175</v>
      </c>
      <c r="J15" s="468"/>
      <c r="K15" s="468"/>
      <c r="L15" s="469" t="s">
        <v>626</v>
      </c>
      <c r="M15" s="479" t="s">
        <v>363</v>
      </c>
      <c r="N15" s="445"/>
    </row>
    <row r="16" spans="1:14" ht="12.95" customHeight="1">
      <c r="A16" s="477"/>
      <c r="B16" s="469" t="s">
        <v>627</v>
      </c>
      <c r="C16" s="478" t="s">
        <v>702</v>
      </c>
      <c r="D16" s="468"/>
      <c r="E16" s="469" t="s">
        <v>628</v>
      </c>
      <c r="F16" s="478" t="s">
        <v>467</v>
      </c>
      <c r="G16" s="468"/>
      <c r="H16" s="482" t="s">
        <v>629</v>
      </c>
      <c r="I16" s="483" t="s">
        <v>356</v>
      </c>
      <c r="J16" s="468"/>
      <c r="K16" s="468"/>
      <c r="L16" s="469" t="s">
        <v>630</v>
      </c>
      <c r="M16" s="479" t="s">
        <v>631</v>
      </c>
      <c r="N16" s="445"/>
    </row>
    <row r="17" spans="1:14" ht="12.95" customHeight="1">
      <c r="A17" s="477"/>
      <c r="B17" s="469" t="s">
        <v>632</v>
      </c>
      <c r="C17" s="470" t="s">
        <v>704</v>
      </c>
      <c r="D17" s="468"/>
      <c r="E17" s="469"/>
      <c r="F17" s="480"/>
      <c r="G17" s="468"/>
      <c r="H17" s="469" t="s">
        <v>633</v>
      </c>
      <c r="I17" s="483"/>
      <c r="J17" s="468"/>
      <c r="K17" s="468"/>
      <c r="L17" s="469"/>
      <c r="M17" s="484"/>
      <c r="N17" s="445"/>
    </row>
    <row r="18" spans="1:14" ht="12.95" customHeight="1" thickBot="1">
      <c r="A18" s="485"/>
      <c r="B18" s="486" t="s">
        <v>634</v>
      </c>
      <c r="C18" s="487"/>
      <c r="D18" s="488"/>
      <c r="E18" s="486" t="s">
        <v>635</v>
      </c>
      <c r="F18" s="487"/>
      <c r="G18" s="489"/>
      <c r="H18" s="486" t="s">
        <v>636</v>
      </c>
      <c r="I18" s="487"/>
      <c r="J18" s="488"/>
      <c r="K18" s="488"/>
      <c r="L18" s="488"/>
      <c r="M18" s="490"/>
      <c r="N18" s="445"/>
    </row>
    <row r="19" spans="1:14" ht="16.5" thickBot="1">
      <c r="A19" s="445"/>
      <c r="B19" s="445"/>
      <c r="C19" s="445"/>
      <c r="D19" s="445"/>
      <c r="E19" s="445"/>
      <c r="F19" s="445"/>
      <c r="G19" s="445"/>
      <c r="H19" s="445"/>
      <c r="I19" s="445"/>
      <c r="J19" s="445"/>
      <c r="K19" s="445"/>
      <c r="L19" s="445"/>
      <c r="M19" s="445"/>
      <c r="N19" s="445"/>
    </row>
    <row r="20" spans="1:14" ht="20.100000000000001" customHeight="1" thickBot="1">
      <c r="A20" s="474"/>
      <c r="B20" s="475"/>
      <c r="C20" s="475"/>
      <c r="D20" s="475"/>
      <c r="E20" s="475"/>
      <c r="F20" s="475"/>
      <c r="G20" s="475"/>
      <c r="H20" s="475"/>
      <c r="I20" s="475"/>
      <c r="J20" s="475"/>
      <c r="K20" s="475"/>
      <c r="L20" s="475"/>
      <c r="M20" s="476"/>
    </row>
    <row r="21" spans="1:14" ht="15.95" customHeight="1" thickTop="1">
      <c r="A21" s="491" t="s">
        <v>637</v>
      </c>
      <c r="B21" s="492"/>
      <c r="C21" s="466"/>
      <c r="D21" s="493"/>
      <c r="E21" s="494" t="s">
        <v>638</v>
      </c>
      <c r="F21" s="495"/>
      <c r="G21" s="495"/>
      <c r="H21" s="496"/>
      <c r="I21" s="497" t="s">
        <v>639</v>
      </c>
      <c r="J21" s="495"/>
      <c r="K21" s="495"/>
      <c r="L21" s="466"/>
      <c r="M21" s="498"/>
    </row>
    <row r="22" spans="1:14" ht="15.95" customHeight="1">
      <c r="A22" s="499"/>
      <c r="B22" s="468"/>
      <c r="C22" s="469" t="s">
        <v>640</v>
      </c>
      <c r="D22" s="500" t="s">
        <v>712</v>
      </c>
      <c r="E22" s="469"/>
      <c r="G22" s="482" t="s">
        <v>641</v>
      </c>
      <c r="H22" s="501">
        <v>1330</v>
      </c>
      <c r="I22" s="469"/>
      <c r="J22" s="468"/>
      <c r="K22" s="469" t="s">
        <v>642</v>
      </c>
      <c r="L22" s="468" t="s">
        <v>643</v>
      </c>
      <c r="M22" s="484"/>
    </row>
    <row r="23" spans="1:14" ht="15.95" customHeight="1">
      <c r="A23" s="499"/>
      <c r="B23" s="469"/>
      <c r="C23" s="472"/>
      <c r="D23" s="502"/>
      <c r="E23" s="469"/>
      <c r="G23" s="469" t="s">
        <v>644</v>
      </c>
      <c r="H23" s="500">
        <v>105</v>
      </c>
      <c r="I23" s="468"/>
      <c r="J23" s="468"/>
      <c r="K23" s="469" t="s">
        <v>645</v>
      </c>
      <c r="L23" s="468" t="s">
        <v>643</v>
      </c>
      <c r="M23" s="484"/>
    </row>
    <row r="24" spans="1:14" ht="15.95" customHeight="1">
      <c r="A24" s="477"/>
      <c r="B24" s="469"/>
      <c r="C24" s="468"/>
      <c r="D24" s="502"/>
      <c r="E24" s="469"/>
      <c r="G24" s="482" t="s">
        <v>646</v>
      </c>
      <c r="H24" s="500">
        <v>225</v>
      </c>
      <c r="I24" s="468"/>
      <c r="J24" s="469"/>
      <c r="K24" s="468"/>
      <c r="L24" s="468"/>
      <c r="M24" s="484"/>
    </row>
    <row r="25" spans="1:14" ht="15.95" customHeight="1" thickBot="1">
      <c r="A25" s="485"/>
      <c r="B25" s="486"/>
      <c r="C25" s="488"/>
      <c r="D25" s="503"/>
      <c r="E25" s="486"/>
      <c r="F25" s="486"/>
      <c r="G25" s="486"/>
      <c r="H25" s="504"/>
      <c r="I25" s="488"/>
      <c r="J25" s="486"/>
      <c r="K25" s="488"/>
      <c r="L25" s="488"/>
      <c r="M25" s="490"/>
    </row>
    <row r="26" spans="1:14" ht="18.95" customHeight="1" thickBot="1">
      <c r="A26" s="464"/>
      <c r="B26" s="464"/>
      <c r="C26" s="464"/>
      <c r="D26" s="445"/>
      <c r="E26" s="445"/>
      <c r="F26" s="445"/>
      <c r="G26" s="445"/>
      <c r="H26" s="445"/>
      <c r="I26" s="445"/>
      <c r="J26" s="445"/>
      <c r="K26" s="445"/>
      <c r="L26" s="445"/>
      <c r="M26" s="445"/>
      <c r="N26" s="445"/>
    </row>
    <row r="27" spans="1:14" ht="20.100000000000001" customHeight="1" thickBot="1">
      <c r="A27" s="505"/>
      <c r="B27" s="506"/>
      <c r="C27" s="506"/>
      <c r="D27" s="506"/>
      <c r="E27" s="506"/>
      <c r="F27" s="506"/>
      <c r="G27" s="507"/>
      <c r="H27" s="506"/>
      <c r="I27" s="506"/>
      <c r="J27" s="506"/>
      <c r="K27" s="506"/>
      <c r="L27" s="506"/>
      <c r="M27" s="508"/>
    </row>
    <row r="28" spans="1:14" ht="15.95" customHeight="1" thickTop="1">
      <c r="A28" s="509" t="s">
        <v>647</v>
      </c>
      <c r="B28" s="492"/>
      <c r="C28" s="466"/>
      <c r="D28" s="466"/>
      <c r="E28" s="495"/>
      <c r="F28" s="495"/>
      <c r="G28" s="510"/>
      <c r="H28" s="494" t="s">
        <v>648</v>
      </c>
      <c r="I28" s="495"/>
      <c r="J28" s="495"/>
      <c r="K28" s="494"/>
      <c r="L28" s="495"/>
      <c r="M28" s="498"/>
    </row>
    <row r="29" spans="1:14" ht="15.95" customHeight="1">
      <c r="A29" s="477"/>
      <c r="B29" s="469"/>
      <c r="C29" s="469" t="s">
        <v>649</v>
      </c>
      <c r="D29" s="511">
        <v>94.5</v>
      </c>
      <c r="E29" s="469"/>
      <c r="F29" s="469"/>
      <c r="G29" s="510"/>
      <c r="H29" s="482"/>
      <c r="I29" s="469"/>
      <c r="J29" s="469" t="s">
        <v>649</v>
      </c>
      <c r="K29" s="511">
        <v>89.6</v>
      </c>
      <c r="L29" s="468"/>
      <c r="M29" s="484"/>
    </row>
    <row r="30" spans="1:14" ht="15.95" customHeight="1">
      <c r="A30" s="512"/>
      <c r="B30" s="468"/>
      <c r="C30" s="469" t="s">
        <v>650</v>
      </c>
      <c r="D30" s="511">
        <v>94.5</v>
      </c>
      <c r="E30" s="469"/>
      <c r="F30" s="469"/>
      <c r="G30" s="510"/>
      <c r="H30" s="469"/>
      <c r="I30" s="468"/>
      <c r="J30" s="469" t="s">
        <v>650</v>
      </c>
      <c r="K30" s="511">
        <v>88.6</v>
      </c>
      <c r="L30" s="468"/>
      <c r="M30" s="484"/>
    </row>
    <row r="31" spans="1:14" ht="15.95" customHeight="1">
      <c r="A31" s="477"/>
      <c r="B31" s="469"/>
      <c r="C31" s="469" t="s">
        <v>651</v>
      </c>
      <c r="D31" s="511">
        <v>94</v>
      </c>
      <c r="E31" s="469"/>
      <c r="F31" s="469"/>
      <c r="G31" s="510"/>
      <c r="H31" s="469"/>
      <c r="I31" s="468"/>
      <c r="J31" s="469" t="s">
        <v>651</v>
      </c>
      <c r="K31" s="511">
        <v>84.8</v>
      </c>
      <c r="L31" s="469"/>
      <c r="M31" s="484"/>
    </row>
    <row r="32" spans="1:14" ht="15.95" customHeight="1" thickBot="1">
      <c r="A32" s="485"/>
      <c r="B32" s="486"/>
      <c r="C32" s="488"/>
      <c r="D32" s="488"/>
      <c r="E32" s="486"/>
      <c r="F32" s="486"/>
      <c r="G32" s="513"/>
      <c r="H32" s="486"/>
      <c r="I32" s="488"/>
      <c r="J32" s="486"/>
      <c r="K32" s="488"/>
      <c r="L32" s="486"/>
      <c r="M32" s="490"/>
    </row>
    <row r="33" spans="1:14" ht="20.100000000000001" customHeight="1" thickBot="1">
      <c r="A33" s="514"/>
      <c r="B33" s="514"/>
      <c r="C33" s="514"/>
      <c r="D33" s="514"/>
      <c r="E33" s="514"/>
      <c r="F33" s="514"/>
      <c r="G33" s="514"/>
      <c r="H33" s="514"/>
      <c r="I33" s="514"/>
      <c r="J33" s="514"/>
      <c r="K33" s="514"/>
      <c r="L33" s="514"/>
      <c r="M33" s="514"/>
      <c r="N33" s="514"/>
    </row>
    <row r="34" spans="1:14" ht="20.100000000000001" customHeight="1" thickBot="1">
      <c r="A34" s="515"/>
      <c r="B34" s="516"/>
      <c r="C34" s="516"/>
      <c r="D34" s="516"/>
      <c r="E34" s="516"/>
      <c r="F34" s="516"/>
      <c r="G34" s="516"/>
      <c r="H34" s="516"/>
      <c r="I34" s="516"/>
      <c r="J34" s="516"/>
      <c r="K34" s="516"/>
      <c r="L34" s="516"/>
      <c r="M34" s="517"/>
    </row>
    <row r="35" spans="1:14" ht="15.95" customHeight="1" thickTop="1">
      <c r="A35" s="518" t="s">
        <v>652</v>
      </c>
      <c r="B35" s="472"/>
      <c r="C35" s="472"/>
      <c r="D35" s="472"/>
      <c r="E35" s="472"/>
      <c r="F35" s="472"/>
      <c r="G35" s="472"/>
      <c r="H35" s="472"/>
      <c r="I35" s="472"/>
      <c r="J35" s="472"/>
      <c r="K35" s="472"/>
      <c r="L35" s="472"/>
      <c r="M35" s="519"/>
    </row>
    <row r="36" spans="1:14" ht="15.95" customHeight="1">
      <c r="A36" s="512" t="s">
        <v>653</v>
      </c>
      <c r="B36" s="472"/>
      <c r="C36" s="472"/>
      <c r="D36" s="472"/>
      <c r="E36" s="472"/>
      <c r="F36" s="472"/>
      <c r="G36" s="472"/>
      <c r="H36" s="472"/>
      <c r="I36" s="472"/>
      <c r="J36" s="472"/>
      <c r="K36" s="472"/>
      <c r="L36" s="472"/>
      <c r="M36" s="519"/>
    </row>
    <row r="37" spans="1:14" ht="15.95" customHeight="1">
      <c r="A37" s="520" t="s">
        <v>654</v>
      </c>
      <c r="B37" s="472"/>
      <c r="C37" s="472"/>
      <c r="D37" s="472"/>
      <c r="E37" s="521"/>
      <c r="F37" s="472"/>
      <c r="G37" s="472"/>
      <c r="H37" s="472"/>
      <c r="I37" s="472"/>
      <c r="J37" s="472"/>
      <c r="K37" s="472"/>
      <c r="L37" s="472"/>
      <c r="M37" s="519"/>
    </row>
    <row r="38" spans="1:14" ht="15.95" customHeight="1">
      <c r="A38" s="522" t="s">
        <v>655</v>
      </c>
      <c r="B38" s="472"/>
      <c r="C38" s="472"/>
      <c r="D38" s="472"/>
      <c r="E38" s="472"/>
      <c r="F38" s="472"/>
      <c r="G38" s="472"/>
      <c r="H38" s="472"/>
      <c r="I38" s="472"/>
      <c r="J38" s="472"/>
      <c r="K38" s="472"/>
      <c r="L38" s="472"/>
      <c r="M38" s="519"/>
    </row>
    <row r="39" spans="1:14" ht="15.95" customHeight="1">
      <c r="A39" s="523" t="s">
        <v>656</v>
      </c>
      <c r="B39" s="472"/>
      <c r="C39" s="472"/>
      <c r="D39" s="472"/>
      <c r="E39" s="472"/>
      <c r="F39" s="472"/>
      <c r="G39" s="472"/>
      <c r="H39" s="472"/>
      <c r="I39" s="472"/>
      <c r="J39" s="472"/>
      <c r="K39" s="472"/>
      <c r="L39" s="472"/>
      <c r="M39" s="519"/>
    </row>
    <row r="40" spans="1:14" ht="15.95" customHeight="1" thickBot="1">
      <c r="A40" s="524" t="s">
        <v>657</v>
      </c>
      <c r="B40" s="525"/>
      <c r="C40" s="525"/>
      <c r="D40" s="525"/>
      <c r="E40" s="525"/>
      <c r="F40" s="525"/>
      <c r="G40" s="525"/>
      <c r="H40" s="525"/>
      <c r="I40" s="525"/>
      <c r="J40" s="525"/>
      <c r="K40" s="525"/>
      <c r="L40" s="525"/>
      <c r="M40" s="526"/>
    </row>
    <row r="41" spans="1:14" ht="15.95" customHeight="1"/>
    <row r="42" spans="1:14" ht="18">
      <c r="A42" s="527"/>
      <c r="B42" s="527"/>
      <c r="C42" s="527"/>
      <c r="D42" s="527"/>
      <c r="E42" s="527"/>
      <c r="F42" s="527"/>
      <c r="G42" s="527"/>
      <c r="H42" s="445"/>
      <c r="I42" s="445"/>
      <c r="J42" s="528" t="s">
        <v>658</v>
      </c>
      <c r="K42" s="636" t="s">
        <v>710</v>
      </c>
      <c r="L42" s="636"/>
      <c r="M42" s="636"/>
      <c r="N42" s="527"/>
    </row>
    <row r="43" spans="1:14" ht="7.5" customHeight="1">
      <c r="H43" s="445"/>
      <c r="I43" s="445"/>
      <c r="J43" s="445"/>
      <c r="K43" s="445"/>
      <c r="L43" s="445"/>
      <c r="M43" s="445"/>
    </row>
    <row r="44" spans="1:14" ht="16.5">
      <c r="H44" s="445"/>
      <c r="I44" s="445"/>
      <c r="J44" s="528" t="s">
        <v>659</v>
      </c>
      <c r="K44" s="637">
        <v>44851</v>
      </c>
      <c r="L44" s="637"/>
      <c r="M44" s="637"/>
    </row>
    <row r="59" spans="1:5">
      <c r="A59" s="446" t="s">
        <v>175</v>
      </c>
      <c r="B59" s="446" t="s">
        <v>660</v>
      </c>
      <c r="D59" s="446">
        <v>1</v>
      </c>
      <c r="E59" s="529" t="s">
        <v>175</v>
      </c>
    </row>
    <row r="60" spans="1:5">
      <c r="A60" s="446" t="s">
        <v>661</v>
      </c>
      <c r="B60" s="446" t="s">
        <v>662</v>
      </c>
      <c r="D60" s="446">
        <v>1.1499999999999999</v>
      </c>
      <c r="E60" s="529" t="s">
        <v>184</v>
      </c>
    </row>
    <row r="61" spans="1:5">
      <c r="A61" s="446" t="s">
        <v>663</v>
      </c>
      <c r="B61" s="446" t="s">
        <v>664</v>
      </c>
      <c r="E61" s="529" t="s">
        <v>665</v>
      </c>
    </row>
    <row r="62" spans="1:5">
      <c r="B62" s="446" t="s">
        <v>666</v>
      </c>
    </row>
    <row r="63" spans="1:5">
      <c r="B63" s="446" t="s">
        <v>667</v>
      </c>
    </row>
    <row r="64" spans="1:5">
      <c r="B64" s="446" t="s">
        <v>668</v>
      </c>
    </row>
    <row r="65" spans="2:2">
      <c r="B65" s="446" t="s">
        <v>669</v>
      </c>
    </row>
    <row r="66" spans="2:2">
      <c r="B66" s="446" t="s">
        <v>670</v>
      </c>
    </row>
    <row r="67" spans="2:2">
      <c r="B67" s="446" t="s">
        <v>671</v>
      </c>
    </row>
    <row r="68" spans="2:2">
      <c r="B68" s="446" t="s">
        <v>672</v>
      </c>
    </row>
    <row r="69" spans="2:2">
      <c r="B69" s="446" t="s">
        <v>673</v>
      </c>
    </row>
    <row r="70" spans="2:2">
      <c r="B70" s="446" t="s">
        <v>674</v>
      </c>
    </row>
    <row r="71" spans="2:2">
      <c r="B71" s="446" t="s">
        <v>675</v>
      </c>
    </row>
    <row r="72" spans="2:2">
      <c r="B72" s="446" t="s">
        <v>676</v>
      </c>
    </row>
    <row r="73" spans="2:2">
      <c r="B73" s="446" t="s">
        <v>677</v>
      </c>
    </row>
    <row r="74" spans="2:2">
      <c r="B74" s="446" t="s">
        <v>678</v>
      </c>
    </row>
    <row r="75" spans="2:2">
      <c r="B75" s="446" t="s">
        <v>679</v>
      </c>
    </row>
    <row r="76" spans="2:2">
      <c r="B76" s="446" t="s">
        <v>680</v>
      </c>
    </row>
    <row r="77" spans="2:2">
      <c r="B77" s="446" t="s">
        <v>681</v>
      </c>
    </row>
    <row r="78" spans="2:2">
      <c r="B78" s="446" t="s">
        <v>682</v>
      </c>
    </row>
    <row r="79" spans="2:2">
      <c r="B79" s="446" t="s">
        <v>683</v>
      </c>
    </row>
    <row r="80" spans="2:2">
      <c r="B80" s="446">
        <v>6312</v>
      </c>
    </row>
    <row r="81" spans="2:2">
      <c r="B81" s="446" t="s">
        <v>684</v>
      </c>
    </row>
    <row r="82" spans="2:2">
      <c r="B82" s="446" t="s">
        <v>685</v>
      </c>
    </row>
    <row r="83" spans="2:2">
      <c r="B83" s="446" t="s">
        <v>686</v>
      </c>
    </row>
    <row r="84" spans="2:2">
      <c r="B84" s="446" t="s">
        <v>687</v>
      </c>
    </row>
    <row r="85" spans="2:2">
      <c r="B85" s="446">
        <v>6313</v>
      </c>
    </row>
    <row r="86" spans="2:2">
      <c r="B86" s="446" t="s">
        <v>688</v>
      </c>
    </row>
    <row r="87" spans="2:2">
      <c r="B87" s="446" t="s">
        <v>689</v>
      </c>
    </row>
    <row r="88" spans="2:2">
      <c r="B88" s="446" t="s">
        <v>690</v>
      </c>
    </row>
    <row r="89" spans="2:2">
      <c r="B89" s="446">
        <v>6314</v>
      </c>
    </row>
    <row r="90" spans="2:2">
      <c r="B90" s="446" t="s">
        <v>691</v>
      </c>
    </row>
    <row r="91" spans="2:2">
      <c r="B91" s="446">
        <v>6317</v>
      </c>
    </row>
    <row r="92" spans="2:2">
      <c r="B92" s="446" t="s">
        <v>692</v>
      </c>
    </row>
    <row r="93" spans="2:2">
      <c r="B93" s="446">
        <v>6318</v>
      </c>
    </row>
    <row r="94" spans="2:2">
      <c r="B94" s="446" t="s">
        <v>693</v>
      </c>
    </row>
    <row r="95" spans="2:2">
      <c r="B95" s="446" t="s">
        <v>694</v>
      </c>
    </row>
    <row r="96" spans="2:2">
      <c r="B96" s="446" t="s">
        <v>695</v>
      </c>
    </row>
    <row r="97" spans="2:2">
      <c r="B97" s="446">
        <v>6320</v>
      </c>
    </row>
    <row r="98" spans="2:2">
      <c r="B98" s="446" t="s">
        <v>696</v>
      </c>
    </row>
    <row r="99" spans="2:2">
      <c r="B99" s="446" t="s">
        <v>697</v>
      </c>
    </row>
    <row r="100" spans="2:2">
      <c r="B100" s="446" t="s">
        <v>698</v>
      </c>
    </row>
    <row r="101" spans="2:2">
      <c r="B101" s="446" t="s">
        <v>699</v>
      </c>
    </row>
    <row r="102" spans="2:2">
      <c r="B102" s="446" t="s">
        <v>699</v>
      </c>
    </row>
    <row r="118" spans="2:2">
      <c r="B118" s="446" t="s">
        <v>700</v>
      </c>
    </row>
    <row r="120" spans="2:2">
      <c r="B120" s="446" t="s">
        <v>701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67"/>
  <sheetViews>
    <sheetView workbookViewId="0">
      <selection activeCell="H16" sqref="H16"/>
    </sheetView>
  </sheetViews>
  <sheetFormatPr defaultColWidth="8.85546875" defaultRowHeight="12.75"/>
  <cols>
    <col min="1" max="6" width="16.7109375" style="372" customWidth="1"/>
    <col min="7" max="16384" width="8.85546875" style="372"/>
  </cols>
  <sheetData>
    <row r="1" spans="1:6" ht="18.95" customHeight="1">
      <c r="A1" s="369"/>
      <c r="B1" s="370"/>
      <c r="C1" s="370"/>
      <c r="D1" s="370"/>
      <c r="E1" s="370"/>
      <c r="F1" s="371"/>
    </row>
    <row r="2" spans="1:6" ht="26.1" customHeight="1">
      <c r="A2" s="373" t="s">
        <v>268</v>
      </c>
      <c r="B2" s="374"/>
      <c r="C2" s="374"/>
      <c r="D2" s="374"/>
      <c r="E2" s="374"/>
      <c r="F2" s="375"/>
    </row>
    <row r="3" spans="1:6" ht="18.95" customHeight="1">
      <c r="A3" s="376" t="s">
        <v>399</v>
      </c>
      <c r="B3" s="374"/>
      <c r="C3" s="374"/>
      <c r="D3" s="374"/>
      <c r="E3" s="374"/>
      <c r="F3" s="375"/>
    </row>
    <row r="4" spans="1:6" ht="18.95" customHeight="1">
      <c r="A4" s="377"/>
      <c r="B4" s="378"/>
      <c r="C4" s="378"/>
      <c r="D4" s="378"/>
      <c r="E4" s="378"/>
      <c r="F4" s="379"/>
    </row>
    <row r="5" spans="1:6" ht="18.95" customHeight="1">
      <c r="A5" s="377"/>
      <c r="B5" s="378"/>
      <c r="C5" s="378"/>
      <c r="D5" s="378"/>
      <c r="E5" s="378"/>
      <c r="F5" s="379"/>
    </row>
    <row r="6" spans="1:6" ht="18.95" customHeight="1">
      <c r="A6" s="380" t="s">
        <v>400</v>
      </c>
      <c r="B6" s="638" t="str">
        <f>'Performance Data Sheet'!C17</f>
        <v>QUOTE 32309</v>
      </c>
      <c r="C6" s="639"/>
      <c r="D6" s="640"/>
      <c r="E6" s="380" t="s">
        <v>401</v>
      </c>
      <c r="F6" s="381" t="str">
        <f>'Performance Data Sheet'!I14 &amp; " A"</f>
        <v>197/114 A</v>
      </c>
    </row>
    <row r="7" spans="1:6" ht="18.95" customHeight="1">
      <c r="A7" s="380" t="s">
        <v>402</v>
      </c>
      <c r="B7" s="381" t="str">
        <f>'Performance Data Sheet'!F14</f>
        <v>WP-I</v>
      </c>
      <c r="C7" s="380" t="s">
        <v>403</v>
      </c>
      <c r="D7" s="381" t="str">
        <f>'Performance Data Sheet'!F13 &amp; " V"</f>
        <v>2300/4000 V</v>
      </c>
      <c r="E7" s="380" t="s">
        <v>404</v>
      </c>
      <c r="F7" s="381" t="str">
        <f>'Performance Data Sheet'!C14</f>
        <v>5012USS</v>
      </c>
    </row>
    <row r="8" spans="1:6" ht="18.95" customHeight="1">
      <c r="A8" s="380" t="s">
        <v>405</v>
      </c>
      <c r="B8" s="381">
        <v>2</v>
      </c>
      <c r="C8" s="380" t="s">
        <v>406</v>
      </c>
      <c r="D8" s="381" t="s">
        <v>407</v>
      </c>
      <c r="E8" s="380" t="s">
        <v>408</v>
      </c>
      <c r="F8" s="381" t="s">
        <v>363</v>
      </c>
    </row>
    <row r="9" spans="1:6" ht="18.95" customHeight="1">
      <c r="A9" s="380" t="s">
        <v>409</v>
      </c>
      <c r="B9" s="381">
        <v>900</v>
      </c>
      <c r="C9" s="380" t="s">
        <v>410</v>
      </c>
      <c r="D9" s="381" t="s">
        <v>426</v>
      </c>
      <c r="E9" s="380" t="s">
        <v>2</v>
      </c>
      <c r="F9" s="382">
        <f>'Performance Data Sheet'!K44</f>
        <v>44851</v>
      </c>
    </row>
    <row r="10" spans="1:6" ht="18.95" customHeight="1">
      <c r="A10" s="380" t="s">
        <v>411</v>
      </c>
      <c r="B10" s="381">
        <v>3555</v>
      </c>
      <c r="C10" s="380" t="s">
        <v>412</v>
      </c>
      <c r="D10" s="381" t="s">
        <v>413</v>
      </c>
      <c r="E10" s="380" t="s">
        <v>1</v>
      </c>
      <c r="F10" s="381" t="s">
        <v>429</v>
      </c>
    </row>
    <row r="11" spans="1:6" ht="18.95" customHeight="1">
      <c r="A11" s="377"/>
      <c r="B11" s="378"/>
      <c r="C11" s="378"/>
      <c r="D11" s="378"/>
      <c r="E11" s="378"/>
      <c r="F11" s="379"/>
    </row>
    <row r="12" spans="1:6" ht="18.95" customHeight="1">
      <c r="A12" s="377"/>
      <c r="B12" s="383" t="s">
        <v>414</v>
      </c>
      <c r="C12" s="384" t="str">
        <f>'Performance Data Sheet'!D22 &amp; " A"</f>
        <v>1044/603 A</v>
      </c>
      <c r="D12" s="383" t="s">
        <v>415</v>
      </c>
      <c r="E12" s="384" t="s">
        <v>413</v>
      </c>
      <c r="F12" s="379"/>
    </row>
    <row r="13" spans="1:6" ht="18.95" customHeight="1">
      <c r="A13" s="377"/>
      <c r="B13" s="383" t="s">
        <v>416</v>
      </c>
      <c r="C13" s="385">
        <v>1.05</v>
      </c>
      <c r="D13" s="383" t="s">
        <v>417</v>
      </c>
      <c r="E13" s="384" t="s">
        <v>413</v>
      </c>
      <c r="F13" s="379"/>
    </row>
    <row r="14" spans="1:6" ht="18.95" customHeight="1">
      <c r="A14" s="377"/>
      <c r="B14" s="383" t="s">
        <v>418</v>
      </c>
      <c r="C14" s="385">
        <v>2.25</v>
      </c>
      <c r="D14" s="383" t="s">
        <v>419</v>
      </c>
      <c r="E14" s="384" t="s">
        <v>413</v>
      </c>
      <c r="F14" s="379"/>
    </row>
    <row r="15" spans="1:6" ht="18.95" customHeight="1">
      <c r="A15" s="377"/>
      <c r="B15" s="383" t="s">
        <v>420</v>
      </c>
      <c r="C15" s="384" t="s">
        <v>427</v>
      </c>
      <c r="D15" s="378"/>
      <c r="E15" s="378"/>
      <c r="F15" s="379"/>
    </row>
    <row r="16" spans="1:6" ht="18.95" customHeight="1">
      <c r="A16" s="377"/>
      <c r="B16" s="378"/>
      <c r="C16" s="378"/>
      <c r="D16" s="378"/>
      <c r="E16" s="378"/>
      <c r="F16" s="379"/>
    </row>
    <row r="17" spans="1:6" ht="18.95" customHeight="1">
      <c r="A17" s="377"/>
      <c r="B17" s="378"/>
      <c r="C17" s="378"/>
      <c r="D17" s="378"/>
      <c r="E17" s="378"/>
      <c r="F17" s="379"/>
    </row>
    <row r="18" spans="1:6" ht="18.95" customHeight="1">
      <c r="A18" s="377"/>
      <c r="B18" s="378"/>
      <c r="C18" s="378"/>
      <c r="D18" s="378"/>
      <c r="E18" s="378"/>
      <c r="F18" s="379"/>
    </row>
    <row r="19" spans="1:6" ht="18.95" customHeight="1">
      <c r="A19" s="377"/>
      <c r="B19" s="378"/>
      <c r="C19" s="378"/>
      <c r="D19" s="378"/>
      <c r="E19" s="378"/>
      <c r="F19" s="379"/>
    </row>
    <row r="20" spans="1:6" ht="18.95" customHeight="1">
      <c r="A20" s="377"/>
      <c r="B20" s="378"/>
      <c r="C20" s="378"/>
      <c r="D20" s="378"/>
      <c r="E20" s="378"/>
      <c r="F20" s="379"/>
    </row>
    <row r="21" spans="1:6" ht="18.95" customHeight="1">
      <c r="A21" s="377"/>
      <c r="B21" s="378"/>
      <c r="C21" s="378"/>
      <c r="D21" s="378"/>
      <c r="E21" s="378"/>
      <c r="F21" s="379"/>
    </row>
    <row r="22" spans="1:6" ht="18.95" customHeight="1">
      <c r="A22" s="377"/>
      <c r="B22" s="378"/>
      <c r="C22" s="378"/>
      <c r="D22" s="378"/>
      <c r="E22" s="378"/>
      <c r="F22" s="379"/>
    </row>
    <row r="23" spans="1:6" ht="18.95" customHeight="1">
      <c r="A23" s="377"/>
      <c r="B23" s="378"/>
      <c r="C23" s="378"/>
      <c r="D23" s="378"/>
      <c r="E23" s="378"/>
      <c r="F23" s="379"/>
    </row>
    <row r="24" spans="1:6" ht="18.95" customHeight="1">
      <c r="A24" s="377"/>
      <c r="B24" s="378"/>
      <c r="C24" s="378"/>
      <c r="D24" s="378"/>
      <c r="E24" s="378"/>
      <c r="F24" s="379"/>
    </row>
    <row r="25" spans="1:6" ht="18.95" customHeight="1">
      <c r="A25" s="377"/>
      <c r="B25" s="378"/>
      <c r="C25" s="378"/>
      <c r="D25" s="378"/>
      <c r="E25" s="378"/>
      <c r="F25" s="379"/>
    </row>
    <row r="26" spans="1:6" ht="18.95" customHeight="1">
      <c r="A26" s="377"/>
      <c r="B26" s="378"/>
      <c r="C26" s="378"/>
      <c r="D26" s="378"/>
      <c r="E26" s="378"/>
      <c r="F26" s="379"/>
    </row>
    <row r="27" spans="1:6" ht="18.95" customHeight="1">
      <c r="A27" s="377"/>
      <c r="B27" s="378"/>
      <c r="C27" s="378"/>
      <c r="D27" s="378"/>
      <c r="E27" s="378"/>
      <c r="F27" s="379"/>
    </row>
    <row r="28" spans="1:6" ht="18.95" customHeight="1">
      <c r="A28" s="377"/>
      <c r="B28" s="378"/>
      <c r="C28" s="378"/>
      <c r="D28" s="378"/>
      <c r="E28" s="378"/>
      <c r="F28" s="379"/>
    </row>
    <row r="29" spans="1:6" ht="18.95" customHeight="1">
      <c r="A29" s="377"/>
      <c r="B29" s="378"/>
      <c r="C29" s="378"/>
      <c r="D29" s="378"/>
      <c r="E29" s="378"/>
      <c r="F29" s="379"/>
    </row>
    <row r="30" spans="1:6" ht="18.95" customHeight="1">
      <c r="A30" s="377"/>
      <c r="B30" s="378"/>
      <c r="C30" s="378"/>
      <c r="D30" s="378"/>
      <c r="E30" s="378"/>
      <c r="F30" s="379"/>
    </row>
    <row r="31" spans="1:6" ht="18.95" customHeight="1">
      <c r="A31" s="377"/>
      <c r="B31" s="378"/>
      <c r="C31" s="378"/>
      <c r="D31" s="378"/>
      <c r="E31" s="378"/>
      <c r="F31" s="379"/>
    </row>
    <row r="32" spans="1:6" ht="18.95" customHeight="1">
      <c r="A32" s="377"/>
      <c r="B32" s="378"/>
      <c r="C32" s="378"/>
      <c r="D32" s="378"/>
      <c r="E32" s="378"/>
      <c r="F32" s="379"/>
    </row>
    <row r="33" spans="1:6" ht="18.95" customHeight="1">
      <c r="A33" s="377"/>
      <c r="B33" s="378"/>
      <c r="C33" s="378"/>
      <c r="D33" s="378"/>
      <c r="E33" s="378"/>
      <c r="F33" s="379"/>
    </row>
    <row r="34" spans="1:6" ht="18.95" customHeight="1">
      <c r="A34" s="377"/>
      <c r="B34" s="378"/>
      <c r="C34" s="378"/>
      <c r="D34" s="378"/>
      <c r="E34" s="378"/>
      <c r="F34" s="379"/>
    </row>
    <row r="35" spans="1:6" ht="18.95" customHeight="1">
      <c r="A35" s="377"/>
      <c r="B35" s="378"/>
      <c r="C35" s="378"/>
      <c r="D35" s="378"/>
      <c r="E35" s="378"/>
      <c r="F35" s="379"/>
    </row>
    <row r="36" spans="1:6" ht="18.95" customHeight="1">
      <c r="A36" s="377"/>
      <c r="B36" s="378"/>
      <c r="C36" s="378"/>
      <c r="D36" s="378"/>
      <c r="E36" s="378"/>
      <c r="F36" s="379"/>
    </row>
    <row r="37" spans="1:6" ht="18.95" customHeight="1">
      <c r="A37" s="377"/>
      <c r="B37" s="378"/>
      <c r="C37" s="378"/>
      <c r="D37" s="378"/>
      <c r="E37" s="378"/>
      <c r="F37" s="379"/>
    </row>
    <row r="38" spans="1:6" ht="18.95" customHeight="1">
      <c r="A38" s="377"/>
      <c r="B38" s="378"/>
      <c r="C38" s="378"/>
      <c r="D38" s="378"/>
      <c r="E38" s="378"/>
      <c r="F38" s="379"/>
    </row>
    <row r="39" spans="1:6" ht="18.95" customHeight="1">
      <c r="A39" s="386" t="s">
        <v>421</v>
      </c>
      <c r="B39" s="387" t="s">
        <v>370</v>
      </c>
      <c r="C39" s="530" t="str">
        <f>'Performance Data Sheet'!C10</f>
        <v>QUOTE 32309</v>
      </c>
      <c r="D39" s="378"/>
      <c r="E39" s="383" t="s">
        <v>422</v>
      </c>
      <c r="F39" s="388" t="str">
        <f>F10</f>
        <v>1T2900K REV1</v>
      </c>
    </row>
    <row r="40" spans="1:6" ht="18.95" customHeight="1">
      <c r="A40" s="377"/>
      <c r="B40" s="387"/>
      <c r="C40" s="387"/>
      <c r="D40" s="378"/>
      <c r="E40" s="378"/>
      <c r="F40" s="379"/>
    </row>
    <row r="41" spans="1:6" ht="18.95" customHeight="1">
      <c r="A41" s="377"/>
      <c r="B41" s="387"/>
      <c r="C41" s="387"/>
      <c r="D41" s="378"/>
      <c r="E41" s="378"/>
      <c r="F41" s="379"/>
    </row>
    <row r="42" spans="1:6" ht="18.95" customHeight="1">
      <c r="A42" s="377"/>
      <c r="B42" s="378"/>
      <c r="C42" s="378"/>
      <c r="D42" s="378"/>
      <c r="E42" s="378"/>
      <c r="F42" s="379"/>
    </row>
    <row r="43" spans="1:6" ht="18.95" customHeight="1">
      <c r="A43" s="389"/>
      <c r="B43" s="387"/>
      <c r="C43" s="390" t="s">
        <v>423</v>
      </c>
      <c r="D43" s="391" t="str">
        <f>'Performance Data Sheet'!K42</f>
        <v>JERRY R</v>
      </c>
      <c r="E43" s="390" t="s">
        <v>424</v>
      </c>
      <c r="F43" s="391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95">
        <v>100</v>
      </c>
      <c r="B54" s="368">
        <v>0</v>
      </c>
      <c r="C54" s="368">
        <v>0.20061810314655304</v>
      </c>
    </row>
    <row r="55" spans="1:3" ht="15" customHeight="1">
      <c r="A55" s="395">
        <v>99.200000055134296</v>
      </c>
      <c r="B55" s="368">
        <v>73.219229829192557</v>
      </c>
      <c r="C55" s="368">
        <v>79.415153503417969</v>
      </c>
    </row>
    <row r="56" spans="1:3" ht="15" customHeight="1">
      <c r="A56" s="395">
        <v>96.000000089406967</v>
      </c>
      <c r="B56" s="368">
        <v>225</v>
      </c>
      <c r="C56" s="368">
        <v>299.70626831054688</v>
      </c>
    </row>
    <row r="57" spans="1:3">
      <c r="A57" s="395">
        <v>90.857142955064774</v>
      </c>
      <c r="B57" s="368">
        <v>171.82635845230351</v>
      </c>
      <c r="C57" s="368">
        <v>409.80865478515625</v>
      </c>
    </row>
    <row r="58" spans="1:3">
      <c r="A58" s="395">
        <v>85.71428507566452</v>
      </c>
      <c r="B58" s="368">
        <v>123.22372500852882</v>
      </c>
      <c r="C58" s="368">
        <v>450.24554443359375</v>
      </c>
    </row>
    <row r="59" spans="1:3">
      <c r="A59" s="395">
        <v>80.571427941322327</v>
      </c>
      <c r="B59" s="368">
        <v>97.564850927585212</v>
      </c>
      <c r="C59" s="368">
        <v>468.88885498046875</v>
      </c>
    </row>
    <row r="60" spans="1:3">
      <c r="A60" s="395">
        <v>70.285713672637939</v>
      </c>
      <c r="B60" s="368">
        <v>79.878041597602049</v>
      </c>
      <c r="C60" s="368">
        <v>486.64703369140625</v>
      </c>
    </row>
    <row r="61" spans="1:3">
      <c r="A61" s="395">
        <v>59.999999403953552</v>
      </c>
      <c r="B61" s="368">
        <v>73.5</v>
      </c>
      <c r="C61" s="368">
        <v>496.389892578125</v>
      </c>
    </row>
    <row r="62" spans="1:3">
      <c r="A62" s="395">
        <v>50</v>
      </c>
      <c r="B62" s="368">
        <v>73.837935527232716</v>
      </c>
      <c r="C62" s="368">
        <v>503.6629638671875</v>
      </c>
    </row>
    <row r="63" spans="1:3">
      <c r="A63" s="395">
        <v>39.999997615814209</v>
      </c>
      <c r="B63" s="368">
        <v>75.147652944090339</v>
      </c>
      <c r="C63" s="368">
        <v>509.85635375976563</v>
      </c>
    </row>
    <row r="64" spans="1:3">
      <c r="A64" s="395">
        <v>30.000001192092896</v>
      </c>
      <c r="B64" s="368">
        <v>77.919082319893832</v>
      </c>
      <c r="C64" s="368">
        <v>515.40191650390625</v>
      </c>
    </row>
    <row r="65" spans="1:3">
      <c r="A65" s="395">
        <v>19.999998807907104</v>
      </c>
      <c r="B65" s="368">
        <v>82.902451353867306</v>
      </c>
      <c r="C65" s="368">
        <v>520.29998779296875</v>
      </c>
    </row>
    <row r="66" spans="1:3">
      <c r="A66" s="395">
        <v>10.000002384185791</v>
      </c>
      <c r="B66" s="368">
        <v>91.31780941271947</v>
      </c>
      <c r="C66" s="368">
        <v>524.8045654296875</v>
      </c>
    </row>
    <row r="67" spans="1:3">
      <c r="A67" s="396">
        <v>0</v>
      </c>
      <c r="B67" s="368">
        <v>105</v>
      </c>
      <c r="C67" s="368">
        <v>528.9473876953125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81"/>
  <sheetViews>
    <sheetView workbookViewId="0">
      <selection activeCell="A6" sqref="A6:F10"/>
    </sheetView>
  </sheetViews>
  <sheetFormatPr defaultColWidth="8.85546875" defaultRowHeight="12.75"/>
  <cols>
    <col min="1" max="6" width="16.7109375" style="372" customWidth="1"/>
    <col min="7" max="16384" width="8.85546875" style="372"/>
  </cols>
  <sheetData>
    <row r="1" spans="1:6" ht="18.95" customHeight="1">
      <c r="A1" s="369"/>
      <c r="B1" s="370"/>
      <c r="C1" s="370"/>
      <c r="D1" s="370"/>
      <c r="E1" s="370"/>
      <c r="F1" s="371"/>
    </row>
    <row r="2" spans="1:6" ht="26.1" customHeight="1">
      <c r="A2" s="373" t="s">
        <v>268</v>
      </c>
      <c r="B2" s="374"/>
      <c r="C2" s="374"/>
      <c r="D2" s="374"/>
      <c r="E2" s="374"/>
      <c r="F2" s="375"/>
    </row>
    <row r="3" spans="1:6" ht="18.95" customHeight="1">
      <c r="A3" s="641" t="s">
        <v>594</v>
      </c>
      <c r="B3" s="642"/>
      <c r="C3" s="642"/>
      <c r="D3" s="642"/>
      <c r="E3" s="642"/>
      <c r="F3" s="643"/>
    </row>
    <row r="4" spans="1:6" ht="18.95" customHeight="1">
      <c r="A4" s="644" t="s">
        <v>589</v>
      </c>
      <c r="B4" s="645"/>
      <c r="C4" s="645"/>
      <c r="D4" s="645"/>
      <c r="E4" s="645"/>
      <c r="F4" s="646"/>
    </row>
    <row r="5" spans="1:6" ht="18.95" customHeight="1">
      <c r="A5" s="377"/>
      <c r="B5" s="378"/>
      <c r="C5" s="378"/>
      <c r="D5" s="378"/>
      <c r="E5" s="378"/>
      <c r="F5" s="379"/>
    </row>
    <row r="6" spans="1:6" ht="18.95" customHeight="1">
      <c r="A6" s="380" t="s">
        <v>400</v>
      </c>
      <c r="B6" s="638" t="str">
        <f>'Performance Data Sheet'!C17</f>
        <v>QUOTE 32309</v>
      </c>
      <c r="C6" s="639"/>
      <c r="D6" s="640"/>
      <c r="E6" s="380" t="s">
        <v>401</v>
      </c>
      <c r="F6" s="381" t="str">
        <f>'Performance Data Sheet'!I14 &amp; " A"</f>
        <v>197/114 A</v>
      </c>
    </row>
    <row r="7" spans="1:6" ht="18.95" customHeight="1">
      <c r="A7" s="380" t="s">
        <v>402</v>
      </c>
      <c r="B7" s="381" t="str">
        <f>'Performance Data Sheet'!F14</f>
        <v>WP-I</v>
      </c>
      <c r="C7" s="380" t="s">
        <v>403</v>
      </c>
      <c r="D7" s="381" t="str">
        <f>'Performance Data Sheet'!F13 &amp; " V"</f>
        <v>2300/4000 V</v>
      </c>
      <c r="E7" s="380" t="s">
        <v>404</v>
      </c>
      <c r="F7" s="381" t="str">
        <f>'Performance Data Sheet'!C14</f>
        <v>5012USS</v>
      </c>
    </row>
    <row r="8" spans="1:6" ht="18.95" customHeight="1">
      <c r="A8" s="380" t="s">
        <v>405</v>
      </c>
      <c r="B8" s="381">
        <v>2</v>
      </c>
      <c r="C8" s="380" t="s">
        <v>406</v>
      </c>
      <c r="D8" s="381" t="s">
        <v>407</v>
      </c>
      <c r="E8" s="380" t="s">
        <v>408</v>
      </c>
      <c r="F8" s="381" t="s">
        <v>363</v>
      </c>
    </row>
    <row r="9" spans="1:6" ht="18.95" customHeight="1">
      <c r="A9" s="380" t="s">
        <v>409</v>
      </c>
      <c r="B9" s="381">
        <v>900</v>
      </c>
      <c r="C9" s="380" t="s">
        <v>410</v>
      </c>
      <c r="D9" s="381" t="s">
        <v>426</v>
      </c>
      <c r="E9" s="380" t="s">
        <v>2</v>
      </c>
      <c r="F9" s="382">
        <f>'Performance Data Sheet'!K44</f>
        <v>44851</v>
      </c>
    </row>
    <row r="10" spans="1:6" ht="18.95" customHeight="1">
      <c r="A10" s="380" t="s">
        <v>411</v>
      </c>
      <c r="B10" s="381">
        <v>3555</v>
      </c>
      <c r="C10" s="380" t="s">
        <v>412</v>
      </c>
      <c r="D10" s="381" t="s">
        <v>413</v>
      </c>
      <c r="E10" s="380" t="s">
        <v>1</v>
      </c>
      <c r="F10" s="381" t="s">
        <v>429</v>
      </c>
    </row>
    <row r="11" spans="1:6" ht="18.95" customHeight="1">
      <c r="A11" s="377"/>
      <c r="B11" s="378"/>
      <c r="C11" s="378"/>
      <c r="D11" s="378"/>
      <c r="E11" s="378"/>
      <c r="F11" s="379"/>
    </row>
    <row r="12" spans="1:6" ht="18.95" customHeight="1">
      <c r="A12" s="377"/>
      <c r="B12" s="383"/>
      <c r="C12" s="384"/>
      <c r="D12" s="383"/>
      <c r="E12" s="384"/>
      <c r="F12" s="379"/>
    </row>
    <row r="13" spans="1:6" ht="18.95" customHeight="1">
      <c r="A13" s="377"/>
      <c r="B13" s="383"/>
      <c r="C13" s="385"/>
      <c r="D13" s="383"/>
      <c r="E13" s="384"/>
      <c r="F13" s="379"/>
    </row>
    <row r="14" spans="1:6" ht="18.95" customHeight="1">
      <c r="A14" s="377"/>
      <c r="B14" s="383"/>
      <c r="C14" s="385"/>
      <c r="D14" s="383"/>
      <c r="E14" s="384"/>
      <c r="F14" s="379"/>
    </row>
    <row r="15" spans="1:6" ht="18.95" customHeight="1">
      <c r="A15" s="377"/>
      <c r="B15" s="383"/>
      <c r="C15" s="384"/>
      <c r="D15" s="378"/>
      <c r="E15" s="378"/>
      <c r="F15" s="379"/>
    </row>
    <row r="16" spans="1:6" ht="18.95" customHeight="1">
      <c r="A16" s="377"/>
      <c r="B16" s="378"/>
      <c r="C16" s="378"/>
      <c r="D16" s="378"/>
      <c r="E16" s="378"/>
      <c r="F16" s="379"/>
    </row>
    <row r="17" spans="1:6" ht="18.95" customHeight="1">
      <c r="A17" s="377"/>
      <c r="B17" s="378"/>
      <c r="C17" s="378"/>
      <c r="D17" s="378"/>
      <c r="E17" s="378"/>
      <c r="F17" s="379"/>
    </row>
    <row r="18" spans="1:6" ht="18.95" customHeight="1">
      <c r="A18" s="377"/>
      <c r="B18" s="378"/>
      <c r="C18" s="378"/>
      <c r="D18" s="378"/>
      <c r="E18" s="378"/>
      <c r="F18" s="379"/>
    </row>
    <row r="19" spans="1:6" ht="18.95" customHeight="1">
      <c r="A19" s="377"/>
      <c r="B19" s="378"/>
      <c r="C19" s="378"/>
      <c r="D19" s="378"/>
      <c r="E19" s="378"/>
      <c r="F19" s="379"/>
    </row>
    <row r="20" spans="1:6" ht="18.95" customHeight="1">
      <c r="A20" s="377"/>
      <c r="B20" s="378"/>
      <c r="C20" s="378"/>
      <c r="D20" s="378"/>
      <c r="E20" s="378"/>
      <c r="F20" s="379"/>
    </row>
    <row r="21" spans="1:6" ht="18.95" customHeight="1">
      <c r="A21" s="377"/>
      <c r="B21" s="378"/>
      <c r="C21" s="378"/>
      <c r="D21" s="378"/>
      <c r="E21" s="378"/>
      <c r="F21" s="379"/>
    </row>
    <row r="22" spans="1:6" ht="18.95" customHeight="1">
      <c r="A22" s="377"/>
      <c r="B22" s="378"/>
      <c r="C22" s="378"/>
      <c r="D22" s="378"/>
      <c r="E22" s="378"/>
      <c r="F22" s="379"/>
    </row>
    <row r="23" spans="1:6" ht="18.95" customHeight="1">
      <c r="A23" s="377"/>
      <c r="B23" s="378"/>
      <c r="C23" s="378"/>
      <c r="D23" s="378"/>
      <c r="E23" s="378"/>
      <c r="F23" s="379"/>
    </row>
    <row r="24" spans="1:6" ht="18.95" customHeight="1">
      <c r="A24" s="377"/>
      <c r="B24" s="378"/>
      <c r="C24" s="378"/>
      <c r="D24" s="378"/>
      <c r="E24" s="378"/>
      <c r="F24" s="379"/>
    </row>
    <row r="25" spans="1:6" ht="18.95" customHeight="1">
      <c r="A25" s="377"/>
      <c r="B25" s="378"/>
      <c r="C25" s="378"/>
      <c r="D25" s="378"/>
      <c r="E25" s="378"/>
      <c r="F25" s="379"/>
    </row>
    <row r="26" spans="1:6" ht="18.95" customHeight="1">
      <c r="A26" s="377"/>
      <c r="B26" s="378"/>
      <c r="C26" s="378"/>
      <c r="D26" s="378"/>
      <c r="E26" s="378"/>
      <c r="F26" s="379"/>
    </row>
    <row r="27" spans="1:6" ht="18.95" customHeight="1">
      <c r="A27" s="377"/>
      <c r="B27" s="378"/>
      <c r="C27" s="378"/>
      <c r="D27" s="378"/>
      <c r="E27" s="378"/>
      <c r="F27" s="379"/>
    </row>
    <row r="28" spans="1:6" ht="18.95" customHeight="1">
      <c r="A28" s="377"/>
      <c r="B28" s="378"/>
      <c r="C28" s="378"/>
      <c r="D28" s="378"/>
      <c r="E28" s="378"/>
      <c r="F28" s="379"/>
    </row>
    <row r="29" spans="1:6" ht="18.95" customHeight="1">
      <c r="A29" s="377"/>
      <c r="B29" s="378"/>
      <c r="C29" s="378"/>
      <c r="D29" s="378"/>
      <c r="E29" s="378"/>
      <c r="F29" s="379"/>
    </row>
    <row r="30" spans="1:6" ht="18.95" customHeight="1">
      <c r="A30" s="377"/>
      <c r="B30" s="378"/>
      <c r="C30" s="378"/>
      <c r="D30" s="378"/>
      <c r="E30" s="378"/>
      <c r="F30" s="379"/>
    </row>
    <row r="31" spans="1:6" ht="18.95" customHeight="1">
      <c r="A31" s="377"/>
      <c r="B31" s="378"/>
      <c r="C31" s="378"/>
      <c r="D31" s="378"/>
      <c r="E31" s="378"/>
      <c r="F31" s="379"/>
    </row>
    <row r="32" spans="1:6" ht="18.95" customHeight="1">
      <c r="A32" s="377"/>
      <c r="B32" s="378"/>
      <c r="C32" s="378"/>
      <c r="D32" s="378"/>
      <c r="E32" s="378"/>
      <c r="F32" s="379"/>
    </row>
    <row r="33" spans="1:6" ht="18.95" customHeight="1">
      <c r="A33" s="377"/>
      <c r="B33" s="378"/>
      <c r="C33" s="378"/>
      <c r="D33" s="378"/>
      <c r="E33" s="378"/>
      <c r="F33" s="379"/>
    </row>
    <row r="34" spans="1:6" ht="18.95" customHeight="1">
      <c r="A34" s="377"/>
      <c r="B34" s="378"/>
      <c r="C34" s="378"/>
      <c r="D34" s="378"/>
      <c r="E34" s="378"/>
      <c r="F34" s="379"/>
    </row>
    <row r="35" spans="1:6" ht="18.95" customHeight="1">
      <c r="A35" s="377"/>
      <c r="B35" s="378"/>
      <c r="C35" s="378"/>
      <c r="D35" s="378"/>
      <c r="E35" s="378"/>
      <c r="F35" s="379"/>
    </row>
    <row r="36" spans="1:6" ht="18.95" customHeight="1">
      <c r="A36" s="377"/>
      <c r="B36" s="378"/>
      <c r="C36" s="378"/>
      <c r="D36" s="378"/>
      <c r="E36" s="378"/>
      <c r="F36" s="379"/>
    </row>
    <row r="37" spans="1:6" ht="18.95" customHeight="1">
      <c r="A37" s="377"/>
      <c r="B37" s="378"/>
      <c r="C37" s="378"/>
      <c r="D37" s="378"/>
      <c r="E37" s="378"/>
      <c r="F37" s="379"/>
    </row>
    <row r="38" spans="1:6" ht="18.95" customHeight="1">
      <c r="A38" s="377"/>
      <c r="B38" s="378"/>
      <c r="C38" s="378"/>
      <c r="D38" s="378"/>
      <c r="E38" s="378"/>
      <c r="F38" s="379"/>
    </row>
    <row r="39" spans="1:6" ht="18.95" customHeight="1">
      <c r="A39" s="386" t="s">
        <v>421</v>
      </c>
      <c r="B39" s="387" t="s">
        <v>370</v>
      </c>
      <c r="C39" s="530" t="str">
        <f>'Performance Data Sheet'!C10</f>
        <v>QUOTE 32309</v>
      </c>
      <c r="D39" s="378"/>
      <c r="E39" s="383" t="s">
        <v>422</v>
      </c>
      <c r="F39" s="388" t="str">
        <f>F10</f>
        <v>1T2900K REV1</v>
      </c>
    </row>
    <row r="40" spans="1:6" ht="18.95" customHeight="1">
      <c r="A40" s="377"/>
      <c r="B40" s="387"/>
      <c r="C40" s="387"/>
      <c r="D40" s="378"/>
      <c r="E40" s="378"/>
      <c r="F40" s="379"/>
    </row>
    <row r="41" spans="1:6" ht="18.95" customHeight="1">
      <c r="A41" s="377"/>
      <c r="B41" s="387"/>
      <c r="C41" s="387"/>
      <c r="D41" s="378"/>
      <c r="E41" s="378"/>
      <c r="F41" s="379"/>
    </row>
    <row r="42" spans="1:6" ht="18.95" customHeight="1">
      <c r="A42" s="377"/>
      <c r="B42" s="378"/>
      <c r="C42" s="378"/>
      <c r="D42" s="378"/>
      <c r="E42" s="378"/>
      <c r="F42" s="379"/>
    </row>
    <row r="43" spans="1:6" ht="18.95" customHeight="1">
      <c r="A43" s="389"/>
      <c r="B43" s="387"/>
      <c r="C43" s="390" t="s">
        <v>423</v>
      </c>
      <c r="D43" s="391" t="str">
        <f>'Performance Data Sheet'!K42</f>
        <v>JERRY R</v>
      </c>
      <c r="E43" s="390" t="s">
        <v>424</v>
      </c>
      <c r="F43" s="391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8" t="e">
        <f>5252.1*B50/D53</f>
        <v>#DIV/0!</v>
      </c>
      <c r="G50" s="418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9"/>
    </row>
    <row r="63" spans="6:9">
      <c r="I63" s="372" t="s">
        <v>39</v>
      </c>
    </row>
    <row r="66" spans="1:6">
      <c r="D66" s="418" t="e">
        <f>D65/D64</f>
        <v>#DIV/0!</v>
      </c>
    </row>
    <row r="67" spans="1:6">
      <c r="A67" s="420" t="s">
        <v>397</v>
      </c>
      <c r="B67" s="420" t="s">
        <v>590</v>
      </c>
      <c r="C67" s="420" t="s">
        <v>591</v>
      </c>
      <c r="E67" s="420" t="s">
        <v>592</v>
      </c>
      <c r="F67" s="420" t="s">
        <v>593</v>
      </c>
    </row>
    <row r="68" spans="1:6">
      <c r="A68" s="421">
        <v>528.9473684210526</v>
      </c>
      <c r="B68" s="422">
        <v>13.129310607910156</v>
      </c>
      <c r="C68" s="422">
        <v>6.5169784000941693</v>
      </c>
      <c r="E68" s="421">
        <f>A68</f>
        <v>528.9473684210526</v>
      </c>
      <c r="F68" s="422">
        <v>1E-4</v>
      </c>
    </row>
    <row r="69" spans="1:6">
      <c r="A69" s="421">
        <v>459.30521052631576</v>
      </c>
      <c r="B69" s="422">
        <f>((A68/A69)^2)*B68</f>
        <v>17.412619099094801</v>
      </c>
      <c r="C69" s="422">
        <f>((A68/A69)^2)*C68</f>
        <v>8.6430785245875672</v>
      </c>
      <c r="E69" s="421">
        <v>526.84210526315792</v>
      </c>
      <c r="F69" s="422">
        <v>0.39399999380111694</v>
      </c>
    </row>
    <row r="70" spans="1:6">
      <c r="A70" s="421">
        <v>389.64215789473684</v>
      </c>
      <c r="B70" s="422">
        <f>((A68/A70)^2)*B68</f>
        <v>24.195520248826849</v>
      </c>
      <c r="C70" s="422">
        <f>((A68/A70)^2)*C68</f>
        <v>12.00989812409842</v>
      </c>
      <c r="E70" s="421">
        <v>522.54385964912285</v>
      </c>
      <c r="F70" s="422">
        <v>0.78799998760223389</v>
      </c>
    </row>
    <row r="71" spans="1:6">
      <c r="A71" s="421">
        <v>320</v>
      </c>
      <c r="B71" s="422">
        <f>((A68/A71)^2)*B68</f>
        <v>35.87293311427257</v>
      </c>
      <c r="C71" s="422">
        <f>((A68/A71)^2)*C68</f>
        <v>17.806199977696267</v>
      </c>
      <c r="E71" s="421">
        <v>517.89473684210532</v>
      </c>
      <c r="F71" s="422">
        <v>1.1940000057220459</v>
      </c>
    </row>
    <row r="72" spans="1:6">
      <c r="A72" s="421">
        <f>A71-100</f>
        <v>220</v>
      </c>
      <c r="B72" s="422">
        <f>((A68/A72)^2)*B68</f>
        <v>75.896453531022956</v>
      </c>
      <c r="C72" s="422"/>
      <c r="E72" s="421">
        <v>512.63157894736844</v>
      </c>
      <c r="F72" s="422">
        <v>1.6230000257492065</v>
      </c>
    </row>
    <row r="73" spans="1:6">
      <c r="A73" s="421">
        <f>A72-100</f>
        <v>120</v>
      </c>
      <c r="B73" s="422">
        <f>((A68/A73)^2)*B68</f>
        <v>255.09641325704942</v>
      </c>
      <c r="C73" s="422"/>
      <c r="E73" s="421">
        <v>506.75438596491233</v>
      </c>
      <c r="F73" s="422">
        <v>2.0920000076293945</v>
      </c>
    </row>
    <row r="74" spans="1:6">
      <c r="A74" s="421">
        <v>225</v>
      </c>
      <c r="B74" s="422">
        <f>((A68/A74)^2)*B68</f>
        <v>72.560757548671816</v>
      </c>
      <c r="C74" s="422">
        <f>((A68/A74)^2)*C68</f>
        <v>36.016886473404398</v>
      </c>
      <c r="E74" s="421">
        <v>500</v>
      </c>
      <c r="F74" s="422">
        <v>2.627000093460083</v>
      </c>
    </row>
    <row r="75" spans="1:6">
      <c r="A75" s="423">
        <v>180</v>
      </c>
      <c r="B75" s="422">
        <f>((A68/A75)^2)*B69</f>
        <v>150.36404881470563</v>
      </c>
      <c r="C75" s="422">
        <f>((A68/A75)^2)*C68</f>
        <v>56.276385114694385</v>
      </c>
      <c r="E75" s="421">
        <v>491.4912280701754</v>
      </c>
      <c r="F75" s="422">
        <v>3.254000186920166</v>
      </c>
    </row>
    <row r="76" spans="1:6">
      <c r="A76" s="423">
        <v>145</v>
      </c>
      <c r="B76" s="422">
        <f>((A68/A76)^2)*B68</f>
        <v>174.71526044715864</v>
      </c>
      <c r="C76" s="422">
        <f>((A68/A76)^2)*C68</f>
        <v>86.72318086640179</v>
      </c>
      <c r="E76" s="421">
        <v>477.80701754385973</v>
      </c>
      <c r="F76" s="422">
        <v>3.9150002002716064</v>
      </c>
    </row>
    <row r="77" spans="1:6">
      <c r="A77" s="423">
        <v>125</v>
      </c>
      <c r="B77" s="422"/>
      <c r="C77" s="421">
        <f>CEILING(C76*2,100)</f>
        <v>200</v>
      </c>
      <c r="E77" s="421">
        <v>459.56140350877195</v>
      </c>
      <c r="F77" s="422">
        <v>4.2030000686645508</v>
      </c>
    </row>
    <row r="78" spans="1:6">
      <c r="A78" s="423">
        <v>125</v>
      </c>
      <c r="B78" s="422"/>
      <c r="C78" s="421">
        <f>2*C77</f>
        <v>400</v>
      </c>
      <c r="E78" s="421">
        <v>430</v>
      </c>
      <c r="F78" s="422">
        <v>4.4000000953674316</v>
      </c>
    </row>
    <row r="79" spans="1:6">
      <c r="A79" s="423">
        <v>125</v>
      </c>
      <c r="B79" s="423"/>
      <c r="C79" s="423">
        <v>10000</v>
      </c>
      <c r="E79" s="421">
        <v>354.73684210526318</v>
      </c>
      <c r="F79" s="422">
        <v>4.5329999923706055</v>
      </c>
    </row>
    <row r="80" spans="1:6">
      <c r="E80" s="421">
        <v>0</v>
      </c>
      <c r="F80" s="422">
        <v>4.6620001792907715</v>
      </c>
    </row>
    <row r="81" spans="5:6">
      <c r="E81" s="421"/>
      <c r="F81" s="422"/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67"/>
  <sheetViews>
    <sheetView workbookViewId="0">
      <selection activeCell="I50" sqref="I50"/>
    </sheetView>
  </sheetViews>
  <sheetFormatPr defaultColWidth="8.85546875" defaultRowHeight="12.75"/>
  <cols>
    <col min="1" max="6" width="16.7109375" style="372" customWidth="1"/>
    <col min="7" max="16384" width="8.85546875" style="372"/>
  </cols>
  <sheetData>
    <row r="1" spans="1:6" ht="18.95" customHeight="1">
      <c r="A1" s="369"/>
      <c r="B1" s="370"/>
      <c r="C1" s="370"/>
      <c r="D1" s="370"/>
      <c r="E1" s="370"/>
      <c r="F1" s="371"/>
    </row>
    <row r="2" spans="1:6" ht="26.1" customHeight="1">
      <c r="A2" s="373" t="s">
        <v>268</v>
      </c>
      <c r="B2" s="374"/>
      <c r="C2" s="374"/>
      <c r="D2" s="374"/>
      <c r="E2" s="374"/>
      <c r="F2" s="375"/>
    </row>
    <row r="3" spans="1:6" ht="18.95" customHeight="1">
      <c r="A3" s="376" t="s">
        <v>595</v>
      </c>
      <c r="B3" s="374"/>
      <c r="C3" s="374"/>
      <c r="D3" s="374"/>
      <c r="E3" s="374"/>
      <c r="F3" s="375"/>
    </row>
    <row r="4" spans="1:6" ht="18.95" customHeight="1">
      <c r="A4" s="644" t="s">
        <v>589</v>
      </c>
      <c r="B4" s="645"/>
      <c r="C4" s="645"/>
      <c r="D4" s="645"/>
      <c r="E4" s="645"/>
      <c r="F4" s="646"/>
    </row>
    <row r="5" spans="1:6" ht="18.95" customHeight="1">
      <c r="A5" s="377"/>
      <c r="B5" s="378"/>
      <c r="C5" s="378"/>
      <c r="D5" s="378"/>
      <c r="E5" s="378"/>
      <c r="F5" s="379"/>
    </row>
    <row r="6" spans="1:6" ht="18.95" customHeight="1">
      <c r="A6" s="380" t="s">
        <v>400</v>
      </c>
      <c r="B6" s="638" t="str">
        <f>'Performance Data Sheet'!C17</f>
        <v>QUOTE 32309</v>
      </c>
      <c r="C6" s="639"/>
      <c r="D6" s="640"/>
      <c r="E6" s="380" t="s">
        <v>401</v>
      </c>
      <c r="F6" s="381" t="s">
        <v>711</v>
      </c>
    </row>
    <row r="7" spans="1:6" ht="18.95" customHeight="1">
      <c r="A7" s="380" t="s">
        <v>402</v>
      </c>
      <c r="B7" s="381" t="str">
        <f>'Performance Data Sheet'!F14</f>
        <v>WP-I</v>
      </c>
      <c r="C7" s="380" t="s">
        <v>403</v>
      </c>
      <c r="D7" s="381" t="s">
        <v>425</v>
      </c>
      <c r="E7" s="380" t="s">
        <v>404</v>
      </c>
      <c r="F7" s="381" t="str">
        <f>'Performance Data Sheet'!C14</f>
        <v>5012USS</v>
      </c>
    </row>
    <row r="8" spans="1:6" ht="18.95" customHeight="1">
      <c r="A8" s="380" t="s">
        <v>405</v>
      </c>
      <c r="B8" s="381">
        <v>2</v>
      </c>
      <c r="C8" s="380" t="s">
        <v>406</v>
      </c>
      <c r="D8" s="381" t="s">
        <v>407</v>
      </c>
      <c r="E8" s="380" t="s">
        <v>408</v>
      </c>
      <c r="F8" s="381" t="s">
        <v>363</v>
      </c>
    </row>
    <row r="9" spans="1:6" ht="18.95" customHeight="1">
      <c r="A9" s="380" t="s">
        <v>409</v>
      </c>
      <c r="B9" s="381">
        <v>900</v>
      </c>
      <c r="C9" s="380" t="s">
        <v>410</v>
      </c>
      <c r="D9" s="381" t="s">
        <v>426</v>
      </c>
      <c r="E9" s="380" t="s">
        <v>2</v>
      </c>
      <c r="F9" s="382">
        <f>'Performance Data Sheet'!K44</f>
        <v>44851</v>
      </c>
    </row>
    <row r="10" spans="1:6" ht="18.95" customHeight="1">
      <c r="A10" s="380" t="s">
        <v>411</v>
      </c>
      <c r="B10" s="381">
        <v>3555</v>
      </c>
      <c r="C10" s="380" t="s">
        <v>412</v>
      </c>
      <c r="D10" s="381" t="s">
        <v>413</v>
      </c>
      <c r="E10" s="380" t="s">
        <v>1</v>
      </c>
      <c r="F10" s="381" t="s">
        <v>429</v>
      </c>
    </row>
    <row r="11" spans="1:6" ht="18.95" customHeight="1">
      <c r="A11" s="377"/>
      <c r="B11" s="378"/>
      <c r="C11" s="378"/>
      <c r="D11" s="378"/>
      <c r="E11" s="378"/>
      <c r="F11" s="379"/>
    </row>
    <row r="12" spans="1:6" ht="18.95" customHeight="1">
      <c r="A12" s="377"/>
      <c r="B12" s="383" t="s">
        <v>414</v>
      </c>
      <c r="C12" s="384" t="s">
        <v>428</v>
      </c>
      <c r="D12" s="383" t="s">
        <v>415</v>
      </c>
      <c r="E12" s="384" t="s">
        <v>413</v>
      </c>
      <c r="F12" s="379"/>
    </row>
    <row r="13" spans="1:6" ht="18.95" customHeight="1">
      <c r="A13" s="377"/>
      <c r="B13" s="383" t="s">
        <v>416</v>
      </c>
      <c r="C13" s="385">
        <v>1.05</v>
      </c>
      <c r="D13" s="383" t="s">
        <v>417</v>
      </c>
      <c r="E13" s="384" t="s">
        <v>413</v>
      </c>
      <c r="F13" s="379"/>
    </row>
    <row r="14" spans="1:6" ht="18.95" customHeight="1">
      <c r="A14" s="377"/>
      <c r="B14" s="383" t="s">
        <v>418</v>
      </c>
      <c r="C14" s="385">
        <v>2.25</v>
      </c>
      <c r="D14" s="383" t="s">
        <v>419</v>
      </c>
      <c r="E14" s="384" t="s">
        <v>413</v>
      </c>
      <c r="F14" s="379"/>
    </row>
    <row r="15" spans="1:6" ht="18.95" customHeight="1">
      <c r="A15" s="377"/>
      <c r="B15" s="383" t="s">
        <v>420</v>
      </c>
      <c r="C15" s="384" t="s">
        <v>427</v>
      </c>
      <c r="D15" s="378"/>
      <c r="E15" s="378"/>
      <c r="F15" s="379"/>
    </row>
    <row r="16" spans="1:6" ht="18.95" customHeight="1">
      <c r="A16" s="377"/>
      <c r="B16" s="378"/>
      <c r="C16" s="378"/>
      <c r="D16" s="378"/>
      <c r="E16" s="378"/>
      <c r="F16" s="379"/>
    </row>
    <row r="17" spans="1:8" ht="18.95" customHeight="1">
      <c r="A17" s="377"/>
      <c r="B17" s="378"/>
      <c r="C17" s="378"/>
      <c r="D17" s="378"/>
      <c r="E17" s="378"/>
      <c r="F17" s="379"/>
    </row>
    <row r="18" spans="1:8" ht="18.95" customHeight="1">
      <c r="A18" s="377"/>
      <c r="B18" s="378"/>
      <c r="C18" s="378"/>
      <c r="D18" s="378"/>
      <c r="E18" s="378"/>
      <c r="F18" s="379"/>
    </row>
    <row r="19" spans="1:8" ht="18.95" customHeight="1">
      <c r="A19" s="377"/>
      <c r="B19" s="378"/>
      <c r="C19" s="378"/>
      <c r="D19" s="378"/>
      <c r="E19" s="378"/>
      <c r="F19" s="379"/>
    </row>
    <row r="20" spans="1:8" ht="18.95" customHeight="1">
      <c r="A20" s="377"/>
      <c r="B20" s="378"/>
      <c r="C20" s="378"/>
      <c r="D20" s="378"/>
      <c r="E20" s="378"/>
      <c r="F20" s="379"/>
    </row>
    <row r="21" spans="1:8" ht="18.95" customHeight="1">
      <c r="A21" s="377"/>
      <c r="B21" s="378"/>
      <c r="C21" s="378"/>
      <c r="D21" s="378"/>
      <c r="E21" s="378"/>
      <c r="F21" s="379"/>
    </row>
    <row r="22" spans="1:8" ht="18.95" customHeight="1">
      <c r="A22" s="377"/>
      <c r="B22" s="378"/>
      <c r="C22" s="378"/>
      <c r="D22" s="378"/>
      <c r="E22" s="378"/>
      <c r="F22" s="379"/>
    </row>
    <row r="23" spans="1:8" ht="18.95" customHeight="1">
      <c r="A23" s="377"/>
      <c r="B23" s="378"/>
      <c r="C23" s="378"/>
      <c r="D23" s="378"/>
      <c r="E23" s="378"/>
      <c r="F23" s="379"/>
    </row>
    <row r="24" spans="1:8" ht="18.95" customHeight="1">
      <c r="A24" s="377"/>
      <c r="B24" s="378"/>
      <c r="C24" s="378"/>
      <c r="D24" s="378"/>
      <c r="E24" s="378"/>
      <c r="F24" s="379"/>
      <c r="H24" s="424"/>
    </row>
    <row r="25" spans="1:8" ht="18.95" customHeight="1">
      <c r="A25" s="377"/>
      <c r="B25" s="378"/>
      <c r="C25" s="378"/>
      <c r="D25" s="378"/>
      <c r="E25" s="378"/>
      <c r="F25" s="379"/>
    </row>
    <row r="26" spans="1:8" ht="18.95" customHeight="1">
      <c r="A26" s="377"/>
      <c r="B26" s="378"/>
      <c r="C26" s="378"/>
      <c r="D26" s="378"/>
      <c r="E26" s="378"/>
      <c r="F26" s="379"/>
    </row>
    <row r="27" spans="1:8" ht="18.95" customHeight="1">
      <c r="A27" s="377"/>
      <c r="B27" s="378"/>
      <c r="C27" s="378"/>
      <c r="D27" s="378"/>
      <c r="E27" s="378"/>
      <c r="F27" s="379"/>
    </row>
    <row r="28" spans="1:8" ht="18.95" customHeight="1">
      <c r="A28" s="377"/>
      <c r="B28" s="378"/>
      <c r="C28" s="378"/>
      <c r="D28" s="378"/>
      <c r="E28" s="378"/>
      <c r="F28" s="379"/>
    </row>
    <row r="29" spans="1:8" ht="18.95" customHeight="1">
      <c r="A29" s="377"/>
      <c r="B29" s="378"/>
      <c r="C29" s="378"/>
      <c r="D29" s="378"/>
      <c r="E29" s="378"/>
      <c r="F29" s="379"/>
    </row>
    <row r="30" spans="1:8" ht="18.95" customHeight="1">
      <c r="A30" s="377"/>
      <c r="B30" s="378"/>
      <c r="C30" s="378"/>
      <c r="D30" s="378"/>
      <c r="E30" s="378"/>
      <c r="F30" s="379"/>
    </row>
    <row r="31" spans="1:8" ht="18.95" customHeight="1">
      <c r="A31" s="377"/>
      <c r="B31" s="378"/>
      <c r="C31" s="378"/>
      <c r="D31" s="378"/>
      <c r="E31" s="378"/>
      <c r="F31" s="379"/>
    </row>
    <row r="32" spans="1:8" ht="18.95" customHeight="1">
      <c r="A32" s="377"/>
      <c r="B32" s="378"/>
      <c r="C32" s="378"/>
      <c r="D32" s="378"/>
      <c r="E32" s="378"/>
      <c r="F32" s="379"/>
    </row>
    <row r="33" spans="1:6" ht="18.95" customHeight="1">
      <c r="A33" s="377"/>
      <c r="B33" s="378"/>
      <c r="C33" s="378"/>
      <c r="D33" s="378"/>
      <c r="E33" s="378"/>
      <c r="F33" s="379"/>
    </row>
    <row r="34" spans="1:6" ht="18.95" customHeight="1">
      <c r="A34" s="377"/>
      <c r="B34" s="378"/>
      <c r="C34" s="378"/>
      <c r="D34" s="378"/>
      <c r="E34" s="378"/>
      <c r="F34" s="379"/>
    </row>
    <row r="35" spans="1:6" ht="18.95" customHeight="1">
      <c r="A35" s="377"/>
      <c r="B35" s="378"/>
      <c r="C35" s="378"/>
      <c r="D35" s="378"/>
      <c r="E35" s="378"/>
      <c r="F35" s="379"/>
    </row>
    <row r="36" spans="1:6" ht="18.95" customHeight="1">
      <c r="A36" s="377"/>
      <c r="B36" s="378"/>
      <c r="C36" s="378"/>
      <c r="D36" s="378"/>
      <c r="E36" s="378"/>
      <c r="F36" s="379"/>
    </row>
    <row r="37" spans="1:6" ht="18.95" customHeight="1">
      <c r="A37" s="377"/>
      <c r="B37" s="378"/>
      <c r="C37" s="378"/>
      <c r="D37" s="378"/>
      <c r="E37" s="378"/>
      <c r="F37" s="379"/>
    </row>
    <row r="38" spans="1:6" ht="18.95" customHeight="1">
      <c r="A38" s="377"/>
      <c r="B38" s="378"/>
      <c r="C38" s="378"/>
      <c r="D38" s="378"/>
      <c r="E38" s="378"/>
      <c r="F38" s="379"/>
    </row>
    <row r="39" spans="1:6" ht="18.95" customHeight="1">
      <c r="A39" s="386" t="s">
        <v>421</v>
      </c>
      <c r="B39" s="387" t="s">
        <v>370</v>
      </c>
      <c r="C39" s="530" t="str">
        <f>'Performance Data Sheet'!C10</f>
        <v>QUOTE 32309</v>
      </c>
      <c r="D39" s="378"/>
      <c r="E39" s="383" t="s">
        <v>422</v>
      </c>
      <c r="F39" s="388" t="str">
        <f>F10</f>
        <v>1T2900K REV1</v>
      </c>
    </row>
    <row r="40" spans="1:6" ht="18.95" customHeight="1">
      <c r="A40" s="377"/>
      <c r="B40" s="387"/>
      <c r="C40" s="387"/>
      <c r="D40" s="378"/>
      <c r="E40" s="378"/>
      <c r="F40" s="379"/>
    </row>
    <row r="41" spans="1:6" ht="18.95" customHeight="1">
      <c r="A41" s="377"/>
      <c r="B41" s="387"/>
      <c r="C41" s="387"/>
      <c r="D41" s="378"/>
      <c r="E41" s="378"/>
      <c r="F41" s="379"/>
    </row>
    <row r="42" spans="1:6" ht="18.95" customHeight="1">
      <c r="A42" s="377"/>
      <c r="B42" s="378"/>
      <c r="C42" s="378"/>
      <c r="D42" s="378"/>
      <c r="E42" s="378"/>
      <c r="F42" s="379"/>
    </row>
    <row r="43" spans="1:6" ht="18.95" customHeight="1">
      <c r="A43" s="389"/>
      <c r="B43" s="387"/>
      <c r="C43" s="390" t="s">
        <v>423</v>
      </c>
      <c r="D43" s="391" t="str">
        <f>'Performance Data Sheet'!K42</f>
        <v>JERRY R</v>
      </c>
      <c r="E43" s="390" t="s">
        <v>424</v>
      </c>
      <c r="F43" s="391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5" t="s">
        <v>430</v>
      </c>
      <c r="B53" s="425" t="s">
        <v>142</v>
      </c>
      <c r="C53" s="425" t="s">
        <v>120</v>
      </c>
      <c r="D53" s="425" t="s">
        <v>135</v>
      </c>
      <c r="E53" s="425" t="s">
        <v>5</v>
      </c>
      <c r="F53" s="426" t="s">
        <v>596</v>
      </c>
    </row>
    <row r="54" spans="1:6" ht="15" customHeight="1">
      <c r="A54" s="427">
        <v>0</v>
      </c>
      <c r="B54" s="428"/>
      <c r="C54" s="429"/>
      <c r="D54" s="429">
        <v>23.693801131128733</v>
      </c>
      <c r="E54" s="429">
        <v>100</v>
      </c>
      <c r="F54" s="430">
        <v>2</v>
      </c>
    </row>
    <row r="55" spans="1:6" ht="15" customHeight="1">
      <c r="A55" s="431">
        <v>25</v>
      </c>
      <c r="B55" s="432">
        <v>91.416275024414063</v>
      </c>
      <c r="C55" s="433">
        <v>69.679374694824219</v>
      </c>
      <c r="D55" s="433">
        <v>37.899303436279297</v>
      </c>
      <c r="E55" s="433">
        <v>82.939900876660417</v>
      </c>
      <c r="F55" s="434">
        <v>10.164144747922077</v>
      </c>
    </row>
    <row r="56" spans="1:6" ht="15" customHeight="1">
      <c r="A56" s="431">
        <v>50</v>
      </c>
      <c r="B56" s="432">
        <v>93.978996276855469</v>
      </c>
      <c r="C56" s="433">
        <v>84.760627746582031</v>
      </c>
      <c r="D56" s="433">
        <v>60.612751007080078</v>
      </c>
      <c r="E56" s="433">
        <v>73.888071429787885</v>
      </c>
      <c r="F56" s="434">
        <v>19.773955419990582</v>
      </c>
    </row>
    <row r="57" spans="1:6">
      <c r="A57" s="431">
        <v>75</v>
      </c>
      <c r="B57" s="432">
        <v>94.521675109863281</v>
      </c>
      <c r="C57" s="433">
        <v>88.614799499511719</v>
      </c>
      <c r="D57" s="433">
        <v>86.465446472167969</v>
      </c>
      <c r="E57" s="433">
        <v>64.618119524518903</v>
      </c>
      <c r="F57" s="434">
        <v>29.490642096463926</v>
      </c>
    </row>
    <row r="58" spans="1:6">
      <c r="A58" s="431">
        <v>100</v>
      </c>
      <c r="B58" s="432">
        <v>94.517562866210938</v>
      </c>
      <c r="C58" s="433">
        <v>89.619064331054688</v>
      </c>
      <c r="D58" s="433">
        <v>114.00031280517578</v>
      </c>
      <c r="E58" s="433">
        <v>54.813881172005097</v>
      </c>
      <c r="F58" s="434">
        <v>39.322562655714265</v>
      </c>
    </row>
    <row r="59" spans="1:6" ht="13.5" thickBot="1">
      <c r="A59" s="435">
        <v>125</v>
      </c>
      <c r="B59" s="436">
        <v>94.297409057617188</v>
      </c>
      <c r="C59" s="437">
        <v>89.475593566894531</v>
      </c>
      <c r="D59" s="437">
        <v>143.06211853027344</v>
      </c>
      <c r="E59" s="437">
        <v>45.344791869173086</v>
      </c>
      <c r="F59" s="438">
        <v>49.267963767279738</v>
      </c>
    </row>
    <row r="60" spans="1:6">
      <c r="A60" s="392"/>
      <c r="B60" s="393"/>
      <c r="C60" s="393"/>
    </row>
    <row r="61" spans="1:6">
      <c r="A61" s="392"/>
      <c r="B61" s="393"/>
      <c r="C61" s="393"/>
    </row>
    <row r="62" spans="1:6">
      <c r="A62" s="392"/>
      <c r="B62" s="393"/>
      <c r="C62" s="393"/>
    </row>
    <row r="63" spans="1:6">
      <c r="A63" s="392"/>
      <c r="B63" s="393"/>
      <c r="C63" s="393"/>
    </row>
    <row r="64" spans="1:6">
      <c r="A64" s="392"/>
      <c r="B64" s="393"/>
      <c r="C64" s="393"/>
    </row>
    <row r="65" spans="1:3">
      <c r="A65" s="392"/>
      <c r="B65" s="393"/>
      <c r="C65" s="393"/>
    </row>
    <row r="66" spans="1:3">
      <c r="A66" s="392"/>
      <c r="B66" s="393"/>
      <c r="C66" s="393"/>
    </row>
    <row r="67" spans="1:3">
      <c r="A67" s="394"/>
      <c r="B67" s="393"/>
      <c r="C67" s="393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67"/>
  <sheetViews>
    <sheetView topLeftCell="A31" workbookViewId="0">
      <selection activeCell="F55" sqref="F55"/>
    </sheetView>
  </sheetViews>
  <sheetFormatPr defaultColWidth="8.85546875" defaultRowHeight="12.75"/>
  <cols>
    <col min="1" max="6" width="16.7109375" style="372" customWidth="1"/>
    <col min="7" max="16384" width="8.85546875" style="372"/>
  </cols>
  <sheetData>
    <row r="1" spans="1:6" ht="18.95" customHeight="1">
      <c r="A1" s="369"/>
      <c r="B1" s="370"/>
      <c r="C1" s="370"/>
      <c r="D1" s="370"/>
      <c r="E1" s="370"/>
      <c r="F1" s="371"/>
    </row>
    <row r="2" spans="1:6" ht="26.1" customHeight="1">
      <c r="A2" s="373" t="s">
        <v>268</v>
      </c>
      <c r="B2" s="374"/>
      <c r="C2" s="374"/>
      <c r="D2" s="374"/>
      <c r="E2" s="374"/>
      <c r="F2" s="375"/>
    </row>
    <row r="3" spans="1:6" ht="18.95" customHeight="1">
      <c r="A3" s="376" t="s">
        <v>595</v>
      </c>
      <c r="B3" s="374"/>
      <c r="C3" s="374"/>
      <c r="D3" s="374"/>
      <c r="E3" s="374"/>
      <c r="F3" s="375"/>
    </row>
    <row r="4" spans="1:6" ht="18.95" customHeight="1">
      <c r="A4" s="644" t="s">
        <v>589</v>
      </c>
      <c r="B4" s="645"/>
      <c r="C4" s="645"/>
      <c r="D4" s="645"/>
      <c r="E4" s="645"/>
      <c r="F4" s="646"/>
    </row>
    <row r="5" spans="1:6" ht="18.95" customHeight="1">
      <c r="A5" s="377"/>
      <c r="B5" s="378"/>
      <c r="C5" s="378"/>
      <c r="D5" s="378"/>
      <c r="E5" s="378"/>
      <c r="F5" s="379"/>
    </row>
    <row r="6" spans="1:6" ht="18.95" customHeight="1">
      <c r="A6" s="380" t="s">
        <v>400</v>
      </c>
      <c r="B6" s="638" t="str">
        <f>'Performance Data Sheet'!C17</f>
        <v>QUOTE 32309</v>
      </c>
      <c r="C6" s="639"/>
      <c r="D6" s="640"/>
      <c r="E6" s="380" t="s">
        <v>401</v>
      </c>
      <c r="F6" s="381" t="s">
        <v>715</v>
      </c>
    </row>
    <row r="7" spans="1:6" ht="18.95" customHeight="1">
      <c r="A7" s="380" t="s">
        <v>402</v>
      </c>
      <c r="B7" s="381" t="str">
        <f>'Performance Data Sheet'!F14</f>
        <v>WP-I</v>
      </c>
      <c r="C7" s="380" t="s">
        <v>403</v>
      </c>
      <c r="D7" s="381" t="s">
        <v>714</v>
      </c>
      <c r="E7" s="380" t="s">
        <v>404</v>
      </c>
      <c r="F7" s="381" t="str">
        <f>'Performance Data Sheet'!C14</f>
        <v>5012USS</v>
      </c>
    </row>
    <row r="8" spans="1:6" ht="18.95" customHeight="1">
      <c r="A8" s="380" t="s">
        <v>405</v>
      </c>
      <c r="B8" s="381">
        <v>2</v>
      </c>
      <c r="C8" s="380" t="s">
        <v>406</v>
      </c>
      <c r="D8" s="381" t="s">
        <v>407</v>
      </c>
      <c r="E8" s="380" t="s">
        <v>408</v>
      </c>
      <c r="F8" s="381" t="s">
        <v>363</v>
      </c>
    </row>
    <row r="9" spans="1:6" ht="18.95" customHeight="1">
      <c r="A9" s="380" t="s">
        <v>409</v>
      </c>
      <c r="B9" s="381">
        <v>900</v>
      </c>
      <c r="C9" s="380" t="s">
        <v>410</v>
      </c>
      <c r="D9" s="381" t="s">
        <v>426</v>
      </c>
      <c r="E9" s="380" t="s">
        <v>2</v>
      </c>
      <c r="F9" s="382">
        <f>'Performance Data Sheet'!K44</f>
        <v>44851</v>
      </c>
    </row>
    <row r="10" spans="1:6" ht="18.95" customHeight="1">
      <c r="A10" s="380" t="s">
        <v>411</v>
      </c>
      <c r="B10" s="381">
        <v>3555</v>
      </c>
      <c r="C10" s="380" t="s">
        <v>412</v>
      </c>
      <c r="D10" s="381" t="s">
        <v>413</v>
      </c>
      <c r="E10" s="380" t="s">
        <v>1</v>
      </c>
      <c r="F10" s="381" t="s">
        <v>429</v>
      </c>
    </row>
    <row r="11" spans="1:6" ht="18.95" customHeight="1">
      <c r="A11" s="377"/>
      <c r="B11" s="378"/>
      <c r="C11" s="378"/>
      <c r="D11" s="378"/>
      <c r="E11" s="378"/>
      <c r="F11" s="379"/>
    </row>
    <row r="12" spans="1:6" ht="18.95" customHeight="1">
      <c r="A12" s="377"/>
      <c r="B12" s="383" t="s">
        <v>414</v>
      </c>
      <c r="C12" s="384" t="s">
        <v>713</v>
      </c>
      <c r="D12" s="383" t="s">
        <v>415</v>
      </c>
      <c r="E12" s="384" t="s">
        <v>413</v>
      </c>
      <c r="F12" s="379"/>
    </row>
    <row r="13" spans="1:6" ht="18.95" customHeight="1">
      <c r="A13" s="377"/>
      <c r="B13" s="383" t="s">
        <v>416</v>
      </c>
      <c r="C13" s="385">
        <v>1.05</v>
      </c>
      <c r="D13" s="383" t="s">
        <v>417</v>
      </c>
      <c r="E13" s="384" t="s">
        <v>413</v>
      </c>
      <c r="F13" s="379"/>
    </row>
    <row r="14" spans="1:6" ht="18.95" customHeight="1">
      <c r="A14" s="377"/>
      <c r="B14" s="383" t="s">
        <v>418</v>
      </c>
      <c r="C14" s="385">
        <v>2.25</v>
      </c>
      <c r="D14" s="383" t="s">
        <v>419</v>
      </c>
      <c r="E14" s="384" t="s">
        <v>413</v>
      </c>
      <c r="F14" s="379"/>
    </row>
    <row r="15" spans="1:6" ht="18.95" customHeight="1">
      <c r="A15" s="377"/>
      <c r="B15" s="383" t="s">
        <v>420</v>
      </c>
      <c r="C15" s="384" t="s">
        <v>427</v>
      </c>
      <c r="D15" s="378"/>
      <c r="E15" s="378"/>
      <c r="F15" s="379"/>
    </row>
    <row r="16" spans="1:6" ht="18.95" customHeight="1">
      <c r="A16" s="377"/>
      <c r="B16" s="378"/>
      <c r="C16" s="378"/>
      <c r="D16" s="378"/>
      <c r="E16" s="378"/>
      <c r="F16" s="379"/>
    </row>
    <row r="17" spans="1:8" ht="18.95" customHeight="1">
      <c r="A17" s="377"/>
      <c r="B17" s="378"/>
      <c r="C17" s="378"/>
      <c r="D17" s="378"/>
      <c r="E17" s="378"/>
      <c r="F17" s="379"/>
    </row>
    <row r="18" spans="1:8" ht="18.95" customHeight="1">
      <c r="A18" s="377"/>
      <c r="B18" s="378"/>
      <c r="C18" s="378"/>
      <c r="D18" s="378"/>
      <c r="E18" s="378"/>
      <c r="F18" s="379"/>
    </row>
    <row r="19" spans="1:8" ht="18.95" customHeight="1">
      <c r="A19" s="377"/>
      <c r="B19" s="378"/>
      <c r="C19" s="378"/>
      <c r="D19" s="378"/>
      <c r="E19" s="378"/>
      <c r="F19" s="379"/>
    </row>
    <row r="20" spans="1:8" ht="18.95" customHeight="1">
      <c r="A20" s="377"/>
      <c r="B20" s="378"/>
      <c r="C20" s="378"/>
      <c r="D20" s="378"/>
      <c r="E20" s="378"/>
      <c r="F20" s="379"/>
    </row>
    <row r="21" spans="1:8" ht="18.95" customHeight="1">
      <c r="A21" s="377"/>
      <c r="B21" s="378"/>
      <c r="C21" s="378"/>
      <c r="D21" s="378"/>
      <c r="E21" s="378"/>
      <c r="F21" s="379"/>
    </row>
    <row r="22" spans="1:8" ht="18.95" customHeight="1">
      <c r="A22" s="377"/>
      <c r="B22" s="378"/>
      <c r="C22" s="378"/>
      <c r="D22" s="378"/>
      <c r="E22" s="378"/>
      <c r="F22" s="379"/>
    </row>
    <row r="23" spans="1:8" ht="18.95" customHeight="1">
      <c r="A23" s="377"/>
      <c r="B23" s="378"/>
      <c r="C23" s="378"/>
      <c r="D23" s="378"/>
      <c r="E23" s="378"/>
      <c r="F23" s="379"/>
    </row>
    <row r="24" spans="1:8" ht="18.95" customHeight="1">
      <c r="A24" s="377"/>
      <c r="B24" s="378"/>
      <c r="C24" s="378"/>
      <c r="D24" s="378"/>
      <c r="E24" s="378"/>
      <c r="F24" s="379"/>
      <c r="H24" s="424"/>
    </row>
    <row r="25" spans="1:8" ht="18.95" customHeight="1">
      <c r="A25" s="377"/>
      <c r="B25" s="378"/>
      <c r="C25" s="378"/>
      <c r="D25" s="378"/>
      <c r="E25" s="378"/>
      <c r="F25" s="379"/>
    </row>
    <row r="26" spans="1:8" ht="18.95" customHeight="1">
      <c r="A26" s="377"/>
      <c r="B26" s="378"/>
      <c r="C26" s="378"/>
      <c r="D26" s="378"/>
      <c r="E26" s="378"/>
      <c r="F26" s="379"/>
    </row>
    <row r="27" spans="1:8" ht="18.95" customHeight="1">
      <c r="A27" s="377"/>
      <c r="B27" s="378"/>
      <c r="C27" s="378"/>
      <c r="D27" s="378"/>
      <c r="E27" s="378"/>
      <c r="F27" s="379"/>
    </row>
    <row r="28" spans="1:8" ht="18.95" customHeight="1">
      <c r="A28" s="377"/>
      <c r="B28" s="378"/>
      <c r="C28" s="378"/>
      <c r="D28" s="378"/>
      <c r="E28" s="378"/>
      <c r="F28" s="379"/>
    </row>
    <row r="29" spans="1:8" ht="18.95" customHeight="1">
      <c r="A29" s="377"/>
      <c r="B29" s="378"/>
      <c r="C29" s="378"/>
      <c r="D29" s="378"/>
      <c r="E29" s="378"/>
      <c r="F29" s="379"/>
    </row>
    <row r="30" spans="1:8" ht="18.95" customHeight="1">
      <c r="A30" s="377"/>
      <c r="B30" s="378"/>
      <c r="C30" s="378"/>
      <c r="D30" s="378"/>
      <c r="E30" s="378"/>
      <c r="F30" s="379"/>
    </row>
    <row r="31" spans="1:8" ht="18.95" customHeight="1">
      <c r="A31" s="377"/>
      <c r="B31" s="378"/>
      <c r="C31" s="378"/>
      <c r="D31" s="378"/>
      <c r="E31" s="378"/>
      <c r="F31" s="379"/>
    </row>
    <row r="32" spans="1:8" ht="18.95" customHeight="1">
      <c r="A32" s="377"/>
      <c r="B32" s="378"/>
      <c r="C32" s="378"/>
      <c r="D32" s="378"/>
      <c r="E32" s="378"/>
      <c r="F32" s="379"/>
    </row>
    <row r="33" spans="1:6" ht="18.95" customHeight="1">
      <c r="A33" s="377"/>
      <c r="B33" s="378"/>
      <c r="C33" s="378"/>
      <c r="D33" s="378"/>
      <c r="E33" s="378"/>
      <c r="F33" s="379"/>
    </row>
    <row r="34" spans="1:6" ht="18.95" customHeight="1">
      <c r="A34" s="377"/>
      <c r="B34" s="378"/>
      <c r="C34" s="378"/>
      <c r="D34" s="378"/>
      <c r="E34" s="378"/>
      <c r="F34" s="379"/>
    </row>
    <row r="35" spans="1:6" ht="18.95" customHeight="1">
      <c r="A35" s="377"/>
      <c r="B35" s="378"/>
      <c r="C35" s="378"/>
      <c r="D35" s="378"/>
      <c r="E35" s="378"/>
      <c r="F35" s="379"/>
    </row>
    <row r="36" spans="1:6" ht="18.95" customHeight="1">
      <c r="A36" s="377"/>
      <c r="B36" s="378"/>
      <c r="C36" s="378"/>
      <c r="D36" s="378"/>
      <c r="E36" s="378"/>
      <c r="F36" s="379"/>
    </row>
    <row r="37" spans="1:6" ht="18.95" customHeight="1">
      <c r="A37" s="377"/>
      <c r="B37" s="378"/>
      <c r="C37" s="378"/>
      <c r="D37" s="378"/>
      <c r="E37" s="378"/>
      <c r="F37" s="379"/>
    </row>
    <row r="38" spans="1:6" ht="18.95" customHeight="1">
      <c r="A38" s="377"/>
      <c r="B38" s="378"/>
      <c r="C38" s="378"/>
      <c r="D38" s="378"/>
      <c r="E38" s="378"/>
      <c r="F38" s="379"/>
    </row>
    <row r="39" spans="1:6" ht="18.95" customHeight="1">
      <c r="A39" s="386" t="s">
        <v>421</v>
      </c>
      <c r="B39" s="387" t="s">
        <v>370</v>
      </c>
      <c r="C39" s="530" t="str">
        <f>'Performance Data Sheet'!C10</f>
        <v>QUOTE 32309</v>
      </c>
      <c r="D39" s="378"/>
      <c r="E39" s="383" t="s">
        <v>422</v>
      </c>
      <c r="F39" s="388" t="str">
        <f>F10</f>
        <v>1T2900K REV1</v>
      </c>
    </row>
    <row r="40" spans="1:6" ht="18.95" customHeight="1">
      <c r="A40" s="377"/>
      <c r="B40" s="387"/>
      <c r="C40" s="387"/>
      <c r="D40" s="378"/>
      <c r="E40" s="378"/>
      <c r="F40" s="379"/>
    </row>
    <row r="41" spans="1:6" ht="18.95" customHeight="1">
      <c r="A41" s="377"/>
      <c r="B41" s="387"/>
      <c r="C41" s="387"/>
      <c r="D41" s="378"/>
      <c r="E41" s="378"/>
      <c r="F41" s="379"/>
    </row>
    <row r="42" spans="1:6" ht="18.95" customHeight="1">
      <c r="A42" s="377"/>
      <c r="B42" s="378"/>
      <c r="C42" s="378"/>
      <c r="D42" s="378"/>
      <c r="E42" s="378"/>
      <c r="F42" s="379"/>
    </row>
    <row r="43" spans="1:6" ht="18.95" customHeight="1">
      <c r="A43" s="389"/>
      <c r="B43" s="387"/>
      <c r="C43" s="390" t="s">
        <v>423</v>
      </c>
      <c r="D43" s="391" t="str">
        <f>'Performance Data Sheet'!K42</f>
        <v>JERRY R</v>
      </c>
      <c r="E43" s="390" t="s">
        <v>424</v>
      </c>
      <c r="F43" s="391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5" t="s">
        <v>430</v>
      </c>
      <c r="B53" s="425" t="s">
        <v>142</v>
      </c>
      <c r="C53" s="425" t="s">
        <v>120</v>
      </c>
      <c r="D53" s="425" t="s">
        <v>135</v>
      </c>
      <c r="E53" s="425" t="s">
        <v>5</v>
      </c>
      <c r="F53" s="426" t="s">
        <v>596</v>
      </c>
    </row>
    <row r="54" spans="1:6" ht="15" customHeight="1">
      <c r="A54" s="427">
        <v>0</v>
      </c>
      <c r="B54" s="428"/>
      <c r="C54" s="429"/>
      <c r="D54" s="429">
        <v>23.693801131128733</v>
      </c>
      <c r="E54" s="429">
        <v>100</v>
      </c>
      <c r="F54" s="430">
        <v>2</v>
      </c>
    </row>
    <row r="55" spans="1:6" ht="15" customHeight="1">
      <c r="A55" s="431">
        <v>25</v>
      </c>
      <c r="B55" s="432">
        <v>91.416275024414063</v>
      </c>
      <c r="C55" s="433">
        <v>69.679374694824219</v>
      </c>
      <c r="D55" s="433">
        <v>37.899303436279297</v>
      </c>
      <c r="E55" s="433">
        <v>82.939900876660417</v>
      </c>
      <c r="F55" s="434">
        <v>10.164144747922077</v>
      </c>
    </row>
    <row r="56" spans="1:6" ht="15" customHeight="1">
      <c r="A56" s="431">
        <v>50</v>
      </c>
      <c r="B56" s="432">
        <v>93.978996276855469</v>
      </c>
      <c r="C56" s="433">
        <v>84.760627746582031</v>
      </c>
      <c r="D56" s="433">
        <v>60.612751007080078</v>
      </c>
      <c r="E56" s="433">
        <v>73.888071429787885</v>
      </c>
      <c r="F56" s="434">
        <v>19.773955419990582</v>
      </c>
    </row>
    <row r="57" spans="1:6">
      <c r="A57" s="431">
        <v>75</v>
      </c>
      <c r="B57" s="432">
        <v>94.521675109863281</v>
      </c>
      <c r="C57" s="433">
        <v>88.614799499511719</v>
      </c>
      <c r="D57" s="433">
        <v>86.465446472167969</v>
      </c>
      <c r="E57" s="433">
        <v>64.618119524518903</v>
      </c>
      <c r="F57" s="434">
        <v>29.490642096463926</v>
      </c>
    </row>
    <row r="58" spans="1:6">
      <c r="A58" s="431">
        <v>100</v>
      </c>
      <c r="B58" s="432">
        <v>94.517562866210938</v>
      </c>
      <c r="C58" s="433">
        <v>89.619064331054688</v>
      </c>
      <c r="D58" s="433">
        <v>114.00031280517578</v>
      </c>
      <c r="E58" s="433">
        <v>54.813881172005097</v>
      </c>
      <c r="F58" s="434">
        <v>39.322562655714265</v>
      </c>
    </row>
    <row r="59" spans="1:6" ht="13.5" thickBot="1">
      <c r="A59" s="435">
        <v>125</v>
      </c>
      <c r="B59" s="436">
        <v>94.297409057617188</v>
      </c>
      <c r="C59" s="437">
        <v>89.475593566894531</v>
      </c>
      <c r="D59" s="437">
        <v>143.06211853027344</v>
      </c>
      <c r="E59" s="437">
        <v>45.344791869173086</v>
      </c>
      <c r="F59" s="438">
        <v>49.267963767279738</v>
      </c>
    </row>
    <row r="60" spans="1:6">
      <c r="A60" s="392"/>
      <c r="B60" s="393"/>
      <c r="C60" s="393"/>
    </row>
    <row r="61" spans="1:6">
      <c r="A61" s="392"/>
      <c r="B61" s="393"/>
      <c r="C61" s="393"/>
    </row>
    <row r="62" spans="1:6">
      <c r="A62" s="392"/>
      <c r="B62" s="393"/>
      <c r="C62" s="393"/>
    </row>
    <row r="63" spans="1:6">
      <c r="A63" s="392"/>
      <c r="B63" s="393"/>
      <c r="C63" s="393"/>
    </row>
    <row r="64" spans="1:6">
      <c r="A64" s="392"/>
      <c r="B64" s="393"/>
      <c r="C64" s="393"/>
    </row>
    <row r="65" spans="1:3">
      <c r="A65" s="392"/>
      <c r="B65" s="393"/>
      <c r="C65" s="393"/>
    </row>
    <row r="66" spans="1:3">
      <c r="A66" s="392"/>
      <c r="B66" s="393"/>
      <c r="C66" s="393"/>
    </row>
    <row r="67" spans="1:3">
      <c r="A67" s="394"/>
      <c r="B67" s="393"/>
      <c r="C67" s="393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61"/>
  <sheetViews>
    <sheetView workbookViewId="0"/>
  </sheetViews>
  <sheetFormatPr defaultColWidth="8.85546875" defaultRowHeight="12.75"/>
  <cols>
    <col min="1" max="1" width="19.7109375" style="372" customWidth="1"/>
    <col min="2" max="7" width="10.7109375" style="372" customWidth="1"/>
    <col min="8" max="16384" width="8.85546875" style="372"/>
  </cols>
  <sheetData>
    <row r="1" spans="1:12" ht="21" customHeight="1">
      <c r="A1" s="405" t="s">
        <v>434</v>
      </c>
      <c r="B1" s="656" t="s">
        <v>473</v>
      </c>
      <c r="C1" s="656"/>
      <c r="D1" s="656"/>
      <c r="E1" s="656"/>
      <c r="F1" s="656"/>
      <c r="G1" s="656"/>
    </row>
    <row r="2" spans="1:12" ht="15" customHeight="1"/>
    <row r="3" spans="1:12" ht="20.25">
      <c r="A3" s="406" t="s">
        <v>435</v>
      </c>
    </row>
    <row r="4" spans="1:12" ht="12" customHeight="1">
      <c r="A4" s="407"/>
      <c r="B4" s="407"/>
      <c r="C4" s="407"/>
      <c r="D4" s="407" t="s">
        <v>545</v>
      </c>
      <c r="E4" s="407"/>
      <c r="F4" s="407"/>
      <c r="G4" s="407"/>
      <c r="H4" s="407"/>
      <c r="I4" s="407"/>
      <c r="J4" s="407"/>
      <c r="K4" s="407"/>
      <c r="L4" s="407"/>
    </row>
    <row r="5" spans="1:12" ht="15.6" customHeight="1">
      <c r="A5" s="408" t="s">
        <v>5</v>
      </c>
      <c r="B5" s="408" t="s">
        <v>436</v>
      </c>
      <c r="C5" s="408" t="s">
        <v>437</v>
      </c>
      <c r="D5" s="408" t="s">
        <v>438</v>
      </c>
      <c r="E5" s="408" t="s">
        <v>439</v>
      </c>
      <c r="F5" s="408" t="s">
        <v>440</v>
      </c>
      <c r="G5" s="408" t="s">
        <v>441</v>
      </c>
      <c r="H5" s="407"/>
      <c r="I5" s="407"/>
      <c r="J5" s="407"/>
      <c r="K5" s="407"/>
      <c r="L5" s="407"/>
    </row>
    <row r="6" spans="1:12" ht="15.6" customHeight="1">
      <c r="A6" s="409" t="s">
        <v>442</v>
      </c>
      <c r="B6" s="409" t="s">
        <v>166</v>
      </c>
      <c r="C6" s="409" t="s">
        <v>166</v>
      </c>
      <c r="D6" s="409" t="s">
        <v>443</v>
      </c>
      <c r="E6" s="409" t="s">
        <v>135</v>
      </c>
      <c r="F6" s="409" t="s">
        <v>444</v>
      </c>
      <c r="G6" s="409" t="s">
        <v>444</v>
      </c>
      <c r="H6" s="407"/>
      <c r="I6" s="407"/>
      <c r="J6" s="407"/>
      <c r="K6" s="407"/>
      <c r="L6" s="407"/>
    </row>
    <row r="7" spans="1:12" ht="15.95" customHeight="1">
      <c r="A7" s="410" t="s">
        <v>474</v>
      </c>
      <c r="B7" s="410" t="s">
        <v>487</v>
      </c>
      <c r="C7" s="410" t="s">
        <v>499</v>
      </c>
      <c r="D7" s="410" t="s">
        <v>546</v>
      </c>
      <c r="E7" s="410" t="s">
        <v>510</v>
      </c>
      <c r="F7" s="410" t="s">
        <v>557</v>
      </c>
      <c r="G7" s="410" t="s">
        <v>568</v>
      </c>
      <c r="H7" s="407"/>
      <c r="I7" s="407"/>
      <c r="J7" s="407"/>
      <c r="K7" s="407"/>
      <c r="L7" s="407"/>
    </row>
    <row r="8" spans="1:12" ht="15.95" customHeight="1">
      <c r="A8" s="410" t="s">
        <v>475</v>
      </c>
      <c r="B8" s="410" t="s">
        <v>488</v>
      </c>
      <c r="C8" s="410" t="s">
        <v>500</v>
      </c>
      <c r="D8" s="410" t="s">
        <v>546</v>
      </c>
      <c r="E8" s="410" t="s">
        <v>511</v>
      </c>
      <c r="F8" s="410" t="s">
        <v>558</v>
      </c>
      <c r="G8" s="410" t="s">
        <v>569</v>
      </c>
      <c r="H8" s="407"/>
      <c r="I8" s="407"/>
      <c r="J8" s="407"/>
      <c r="K8" s="407"/>
      <c r="L8" s="407"/>
    </row>
    <row r="9" spans="1:12" ht="15.95" customHeight="1">
      <c r="A9" s="410" t="s">
        <v>476</v>
      </c>
      <c r="B9" s="410" t="s">
        <v>489</v>
      </c>
      <c r="C9" s="410" t="s">
        <v>501</v>
      </c>
      <c r="D9" s="410" t="s">
        <v>547</v>
      </c>
      <c r="E9" s="410" t="s">
        <v>512</v>
      </c>
      <c r="F9" s="410" t="s">
        <v>522</v>
      </c>
      <c r="G9" s="410" t="s">
        <v>570</v>
      </c>
      <c r="H9" s="407"/>
      <c r="I9" s="407"/>
      <c r="J9" s="407"/>
      <c r="K9" s="407"/>
      <c r="L9" s="407"/>
    </row>
    <row r="10" spans="1:12" ht="15.95" customHeight="1">
      <c r="A10" s="410" t="s">
        <v>477</v>
      </c>
      <c r="B10" s="410" t="s">
        <v>490</v>
      </c>
      <c r="C10" s="410" t="s">
        <v>501</v>
      </c>
      <c r="D10" s="410" t="s">
        <v>548</v>
      </c>
      <c r="E10" s="410" t="s">
        <v>513</v>
      </c>
      <c r="F10" s="410" t="s">
        <v>559</v>
      </c>
      <c r="G10" s="410" t="s">
        <v>571</v>
      </c>
      <c r="H10" s="407"/>
      <c r="I10" s="407"/>
      <c r="J10" s="407"/>
      <c r="K10" s="407"/>
      <c r="L10" s="407"/>
    </row>
    <row r="11" spans="1:12" ht="15.95" customHeight="1">
      <c r="A11" s="410" t="s">
        <v>478</v>
      </c>
      <c r="B11" s="410" t="s">
        <v>491</v>
      </c>
      <c r="C11" s="410" t="s">
        <v>502</v>
      </c>
      <c r="D11" s="410" t="s">
        <v>549</v>
      </c>
      <c r="E11" s="410" t="s">
        <v>514</v>
      </c>
      <c r="F11" s="410" t="s">
        <v>560</v>
      </c>
      <c r="G11" s="410" t="s">
        <v>572</v>
      </c>
      <c r="H11" s="407"/>
      <c r="I11" s="407"/>
      <c r="J11" s="407"/>
      <c r="K11" s="407"/>
      <c r="L11" s="407"/>
    </row>
    <row r="12" spans="1:12" ht="15.95" customHeight="1">
      <c r="A12" s="410" t="s">
        <v>479</v>
      </c>
      <c r="B12" s="410" t="s">
        <v>492</v>
      </c>
      <c r="C12" s="410" t="s">
        <v>503</v>
      </c>
      <c r="D12" s="410" t="s">
        <v>550</v>
      </c>
      <c r="E12" s="410" t="s">
        <v>515</v>
      </c>
      <c r="F12" s="410" t="s">
        <v>561</v>
      </c>
      <c r="G12" s="410" t="s">
        <v>573</v>
      </c>
      <c r="H12" s="407"/>
      <c r="I12" s="407"/>
      <c r="J12" s="407"/>
      <c r="K12" s="407"/>
      <c r="L12" s="407"/>
    </row>
    <row r="13" spans="1:12" ht="15.95" customHeight="1">
      <c r="A13" s="410" t="s">
        <v>480</v>
      </c>
      <c r="B13" s="410" t="s">
        <v>493</v>
      </c>
      <c r="C13" s="410" t="s">
        <v>504</v>
      </c>
      <c r="D13" s="410" t="s">
        <v>551</v>
      </c>
      <c r="E13" s="410" t="s">
        <v>516</v>
      </c>
      <c r="F13" s="410" t="s">
        <v>562</v>
      </c>
      <c r="G13" s="410" t="s">
        <v>574</v>
      </c>
      <c r="H13" s="407"/>
      <c r="I13" s="407"/>
      <c r="J13" s="407"/>
      <c r="K13" s="407"/>
      <c r="L13" s="407"/>
    </row>
    <row r="14" spans="1:12" ht="15.95" customHeight="1">
      <c r="A14" s="410" t="s">
        <v>481</v>
      </c>
      <c r="B14" s="410" t="s">
        <v>494</v>
      </c>
      <c r="C14" s="410" t="s">
        <v>505</v>
      </c>
      <c r="D14" s="410" t="s">
        <v>552</v>
      </c>
      <c r="E14" s="410" t="s">
        <v>517</v>
      </c>
      <c r="F14" s="410" t="s">
        <v>563</v>
      </c>
      <c r="G14" s="410" t="s">
        <v>575</v>
      </c>
      <c r="H14" s="407"/>
      <c r="I14" s="407"/>
      <c r="J14" s="407"/>
      <c r="K14" s="407"/>
      <c r="L14" s="407"/>
    </row>
    <row r="15" spans="1:12" ht="15.95" customHeight="1">
      <c r="A15" s="410" t="s">
        <v>482</v>
      </c>
      <c r="B15" s="410" t="s">
        <v>495</v>
      </c>
      <c r="C15" s="410" t="s">
        <v>506</v>
      </c>
      <c r="D15" s="410" t="s">
        <v>553</v>
      </c>
      <c r="E15" s="410" t="s">
        <v>518</v>
      </c>
      <c r="F15" s="410" t="s">
        <v>564</v>
      </c>
      <c r="G15" s="410" t="s">
        <v>576</v>
      </c>
      <c r="H15" s="407"/>
      <c r="I15" s="407"/>
      <c r="J15" s="407"/>
      <c r="K15" s="407"/>
      <c r="L15" s="407"/>
    </row>
    <row r="16" spans="1:12" ht="15.95" customHeight="1">
      <c r="A16" s="410" t="s">
        <v>483</v>
      </c>
      <c r="B16" s="410" t="s">
        <v>496</v>
      </c>
      <c r="C16" s="410" t="s">
        <v>507</v>
      </c>
      <c r="D16" s="410" t="s">
        <v>554</v>
      </c>
      <c r="E16" s="410" t="s">
        <v>519</v>
      </c>
      <c r="F16" s="410" t="s">
        <v>565</v>
      </c>
      <c r="G16" s="410" t="s">
        <v>577</v>
      </c>
      <c r="H16" s="407"/>
      <c r="I16" s="407"/>
      <c r="J16" s="407"/>
      <c r="K16" s="407"/>
      <c r="L16" s="407"/>
    </row>
    <row r="17" spans="1:12" ht="15.95" customHeight="1">
      <c r="A17" s="410" t="s">
        <v>484</v>
      </c>
      <c r="B17" s="410" t="s">
        <v>497</v>
      </c>
      <c r="C17" s="410" t="s">
        <v>508</v>
      </c>
      <c r="D17" s="410" t="s">
        <v>555</v>
      </c>
      <c r="E17" s="410" t="s">
        <v>520</v>
      </c>
      <c r="F17" s="410" t="s">
        <v>566</v>
      </c>
      <c r="G17" s="410" t="s">
        <v>578</v>
      </c>
      <c r="H17" s="407"/>
      <c r="I17" s="407"/>
      <c r="J17" s="407"/>
      <c r="K17" s="407"/>
      <c r="L17" s="407"/>
    </row>
    <row r="18" spans="1:12" ht="15.95" customHeight="1">
      <c r="A18" s="410" t="s">
        <v>485</v>
      </c>
      <c r="B18" s="410" t="s">
        <v>498</v>
      </c>
      <c r="C18" s="410" t="s">
        <v>509</v>
      </c>
      <c r="D18" s="410" t="s">
        <v>556</v>
      </c>
      <c r="E18" s="410" t="s">
        <v>521</v>
      </c>
      <c r="F18" s="410" t="s">
        <v>567</v>
      </c>
      <c r="G18" s="410" t="s">
        <v>579</v>
      </c>
      <c r="H18" s="407"/>
      <c r="I18" s="407"/>
      <c r="J18" s="407"/>
      <c r="K18" s="407"/>
      <c r="L18" s="407"/>
    </row>
    <row r="19" spans="1:12" ht="15.95" customHeight="1">
      <c r="A19" s="417" t="s">
        <v>486</v>
      </c>
      <c r="B19" s="417" t="s">
        <v>486</v>
      </c>
      <c r="C19" s="417" t="s">
        <v>486</v>
      </c>
      <c r="D19" s="417" t="s">
        <v>486</v>
      </c>
      <c r="E19" s="417" t="s">
        <v>486</v>
      </c>
      <c r="F19" s="417" t="s">
        <v>486</v>
      </c>
      <c r="G19" s="417" t="s">
        <v>486</v>
      </c>
      <c r="H19" s="407"/>
      <c r="I19" s="407"/>
      <c r="J19" s="407"/>
      <c r="K19" s="407"/>
      <c r="L19" s="407"/>
    </row>
    <row r="20" spans="1:12" ht="15.75">
      <c r="A20" s="407"/>
      <c r="B20" s="407"/>
      <c r="C20" s="407"/>
      <c r="D20" s="407"/>
      <c r="E20" s="407"/>
      <c r="F20" s="407"/>
      <c r="G20" s="407"/>
      <c r="H20" s="407"/>
      <c r="I20" s="407"/>
      <c r="J20" s="407"/>
      <c r="K20" s="407"/>
      <c r="L20" s="407"/>
    </row>
    <row r="21" spans="1:12" ht="15.75">
      <c r="A21" s="407"/>
      <c r="B21" s="407"/>
      <c r="C21" s="407"/>
      <c r="D21" s="657" t="s">
        <v>588</v>
      </c>
      <c r="E21" s="653"/>
      <c r="F21" s="653"/>
      <c r="G21" s="654"/>
      <c r="H21" s="407"/>
      <c r="I21" s="407"/>
      <c r="J21" s="407"/>
      <c r="K21" s="407"/>
      <c r="L21" s="407"/>
    </row>
    <row r="22" spans="1:12" ht="17.25" customHeight="1">
      <c r="A22" s="407"/>
      <c r="B22" s="655" t="s">
        <v>445</v>
      </c>
      <c r="C22" s="655"/>
      <c r="D22" s="655" t="s">
        <v>446</v>
      </c>
      <c r="E22" s="655"/>
      <c r="F22" s="655" t="s">
        <v>447</v>
      </c>
      <c r="G22" s="655"/>
      <c r="H22" s="407"/>
      <c r="I22" s="407"/>
      <c r="J22" s="407"/>
      <c r="K22" s="407"/>
      <c r="L22" s="407"/>
    </row>
    <row r="23" spans="1:12" ht="15.75">
      <c r="A23" s="412" t="s">
        <v>448</v>
      </c>
      <c r="B23" s="651" t="s">
        <v>580</v>
      </c>
      <c r="C23" s="651"/>
      <c r="D23" s="651" t="s">
        <v>583</v>
      </c>
      <c r="E23" s="651"/>
      <c r="F23" s="651" t="s">
        <v>585</v>
      </c>
      <c r="G23" s="651"/>
      <c r="H23" s="407"/>
      <c r="I23" s="407"/>
      <c r="J23" s="407"/>
      <c r="K23" s="407"/>
      <c r="L23" s="407"/>
    </row>
    <row r="24" spans="1:12" ht="18" customHeight="1">
      <c r="A24" s="412" t="s">
        <v>449</v>
      </c>
      <c r="B24" s="651" t="s">
        <v>581</v>
      </c>
      <c r="C24" s="651"/>
      <c r="D24" s="651" t="s">
        <v>523</v>
      </c>
      <c r="E24" s="651"/>
      <c r="F24" s="651" t="s">
        <v>586</v>
      </c>
      <c r="G24" s="651"/>
      <c r="H24" s="407"/>
      <c r="I24" s="407"/>
      <c r="J24" s="407"/>
      <c r="K24" s="407"/>
      <c r="L24" s="407"/>
    </row>
    <row r="25" spans="1:12" ht="15.75">
      <c r="A25" s="412" t="s">
        <v>450</v>
      </c>
      <c r="B25" s="651" t="s">
        <v>582</v>
      </c>
      <c r="C25" s="651"/>
      <c r="D25" s="651" t="s">
        <v>584</v>
      </c>
      <c r="E25" s="651"/>
      <c r="F25" s="651" t="s">
        <v>587</v>
      </c>
      <c r="G25" s="651"/>
      <c r="H25" s="407"/>
      <c r="I25" s="407"/>
      <c r="J25" s="407"/>
      <c r="K25" s="407"/>
      <c r="L25" s="407"/>
    </row>
    <row r="26" spans="1:12" ht="15.75">
      <c r="A26" s="407"/>
      <c r="B26" s="407"/>
      <c r="C26" s="407"/>
      <c r="D26" s="407"/>
      <c r="E26" s="407"/>
      <c r="F26" s="407"/>
      <c r="G26" s="407"/>
      <c r="H26" s="407"/>
      <c r="I26" s="407"/>
      <c r="J26" s="407"/>
      <c r="K26" s="407"/>
      <c r="L26" s="407"/>
    </row>
    <row r="27" spans="1:12" ht="20.25">
      <c r="A27" s="406" t="s">
        <v>451</v>
      </c>
      <c r="B27" s="407"/>
      <c r="C27" s="407"/>
      <c r="D27" s="407"/>
      <c r="E27" s="407"/>
      <c r="F27" s="407"/>
      <c r="G27" s="407"/>
      <c r="H27" s="407"/>
      <c r="I27" s="407"/>
      <c r="J27" s="407"/>
      <c r="K27" s="407"/>
      <c r="L27" s="407"/>
    </row>
    <row r="28" spans="1:12" ht="15.75">
      <c r="A28" s="407"/>
      <c r="B28" s="407"/>
      <c r="C28" s="407"/>
      <c r="D28" s="407"/>
      <c r="E28" s="652" t="s">
        <v>452</v>
      </c>
      <c r="F28" s="653"/>
      <c r="G28" s="654"/>
      <c r="H28" s="407"/>
      <c r="I28" s="407"/>
      <c r="J28" s="407"/>
      <c r="K28" s="407"/>
      <c r="L28" s="407"/>
    </row>
    <row r="29" spans="1:12" ht="15.75">
      <c r="A29" s="407"/>
      <c r="B29" s="655" t="s">
        <v>453</v>
      </c>
      <c r="C29" s="655"/>
      <c r="D29" s="411" t="s">
        <v>454</v>
      </c>
      <c r="E29" s="411" t="s">
        <v>455</v>
      </c>
      <c r="F29" s="655" t="s">
        <v>456</v>
      </c>
      <c r="G29" s="655"/>
      <c r="H29" s="407"/>
      <c r="I29" s="407"/>
      <c r="J29" s="407"/>
      <c r="K29" s="407"/>
      <c r="L29" s="407"/>
    </row>
    <row r="30" spans="1:12" ht="15.75">
      <c r="A30" s="412" t="s">
        <v>457</v>
      </c>
      <c r="B30" s="651" t="s">
        <v>524</v>
      </c>
      <c r="C30" s="651"/>
      <c r="D30" s="410" t="s">
        <v>527</v>
      </c>
      <c r="E30" s="410" t="s">
        <v>458</v>
      </c>
      <c r="F30" s="651" t="s">
        <v>530</v>
      </c>
      <c r="G30" s="651"/>
      <c r="H30" s="407"/>
      <c r="I30" s="407"/>
      <c r="J30" s="407"/>
      <c r="K30" s="407"/>
      <c r="L30" s="407"/>
    </row>
    <row r="31" spans="1:12" ht="15.75">
      <c r="A31" s="412" t="s">
        <v>459</v>
      </c>
      <c r="B31" s="651" t="s">
        <v>525</v>
      </c>
      <c r="C31" s="651"/>
      <c r="D31" s="410" t="s">
        <v>528</v>
      </c>
      <c r="E31" s="410" t="s">
        <v>460</v>
      </c>
      <c r="F31" s="651" t="s">
        <v>531</v>
      </c>
      <c r="G31" s="651"/>
      <c r="H31" s="407"/>
      <c r="I31" s="407"/>
      <c r="J31" s="407"/>
      <c r="K31" s="407"/>
      <c r="L31" s="407"/>
    </row>
    <row r="32" spans="1:12" ht="15.75">
      <c r="A32" s="412" t="s">
        <v>461</v>
      </c>
      <c r="B32" s="651" t="s">
        <v>526</v>
      </c>
      <c r="C32" s="651"/>
      <c r="D32" s="410" t="s">
        <v>529</v>
      </c>
      <c r="E32" s="410" t="s">
        <v>462</v>
      </c>
      <c r="F32" s="651" t="s">
        <v>532</v>
      </c>
      <c r="G32" s="651"/>
      <c r="H32" s="407"/>
      <c r="I32" s="407"/>
      <c r="J32" s="407"/>
      <c r="K32" s="407"/>
      <c r="L32" s="407"/>
    </row>
    <row r="33" spans="1:12" ht="15.75">
      <c r="A33" s="407"/>
      <c r="B33" s="407"/>
      <c r="C33" s="407"/>
      <c r="D33" s="407"/>
      <c r="E33" s="407"/>
      <c r="F33" s="407"/>
      <c r="G33" s="407"/>
      <c r="H33" s="407"/>
      <c r="I33" s="407"/>
      <c r="J33" s="407"/>
      <c r="K33" s="407"/>
      <c r="L33" s="407"/>
    </row>
    <row r="34" spans="1:12" ht="15.75">
      <c r="A34" s="407"/>
      <c r="B34" s="407"/>
      <c r="C34" s="407"/>
      <c r="D34" s="407"/>
      <c r="E34" s="652" t="s">
        <v>463</v>
      </c>
      <c r="F34" s="653"/>
      <c r="G34" s="654"/>
      <c r="H34" s="407"/>
      <c r="I34" s="407"/>
      <c r="J34" s="407"/>
      <c r="K34" s="407"/>
      <c r="L34" s="407"/>
    </row>
    <row r="35" spans="1:12" ht="15.75">
      <c r="A35" s="407"/>
      <c r="B35" s="655" t="s">
        <v>464</v>
      </c>
      <c r="C35" s="655"/>
      <c r="D35" s="411" t="s">
        <v>455</v>
      </c>
      <c r="E35" s="411" t="s">
        <v>465</v>
      </c>
      <c r="F35" s="411" t="s">
        <v>100</v>
      </c>
      <c r="G35" s="411" t="s">
        <v>466</v>
      </c>
      <c r="H35" s="407"/>
      <c r="I35" s="407"/>
      <c r="J35" s="407"/>
      <c r="K35" s="407"/>
      <c r="L35" s="407"/>
    </row>
    <row r="36" spans="1:12" ht="15.75">
      <c r="A36" s="412" t="s">
        <v>457</v>
      </c>
      <c r="B36" s="647" t="s">
        <v>533</v>
      </c>
      <c r="C36" s="648"/>
      <c r="D36" s="413" t="s">
        <v>535</v>
      </c>
      <c r="E36" s="413" t="s">
        <v>467</v>
      </c>
      <c r="F36" s="414" t="s">
        <v>468</v>
      </c>
      <c r="G36" s="410" t="s">
        <v>538</v>
      </c>
      <c r="H36" s="407"/>
      <c r="I36" s="407"/>
      <c r="J36" s="407"/>
      <c r="K36" s="407"/>
      <c r="L36" s="407"/>
    </row>
    <row r="37" spans="1:12" ht="15.75">
      <c r="A37" s="412" t="s">
        <v>459</v>
      </c>
      <c r="B37" s="647" t="s">
        <v>534</v>
      </c>
      <c r="C37" s="648"/>
      <c r="D37" s="413" t="s">
        <v>536</v>
      </c>
      <c r="E37" s="413" t="s">
        <v>467</v>
      </c>
      <c r="F37" s="414" t="s">
        <v>469</v>
      </c>
      <c r="G37" s="415" t="s">
        <v>539</v>
      </c>
      <c r="H37" s="407"/>
      <c r="I37" s="407"/>
      <c r="J37" s="407"/>
      <c r="K37" s="407"/>
      <c r="L37" s="407"/>
    </row>
    <row r="38" spans="1:12" ht="15.75">
      <c r="A38" s="412" t="s">
        <v>461</v>
      </c>
      <c r="B38" s="647" t="s">
        <v>534</v>
      </c>
      <c r="C38" s="648"/>
      <c r="D38" s="413" t="s">
        <v>537</v>
      </c>
      <c r="E38" s="413" t="s">
        <v>467</v>
      </c>
      <c r="F38" s="414" t="s">
        <v>470</v>
      </c>
      <c r="G38" s="410" t="s">
        <v>540</v>
      </c>
      <c r="H38" s="407"/>
      <c r="I38" s="407"/>
      <c r="J38" s="407"/>
      <c r="K38" s="407"/>
      <c r="L38" s="407"/>
    </row>
    <row r="39" spans="1:12" ht="15.75">
      <c r="A39" s="407"/>
      <c r="B39" s="407"/>
      <c r="C39" s="407"/>
      <c r="D39" s="407"/>
      <c r="E39" s="407"/>
      <c r="F39" s="407"/>
      <c r="G39" s="407"/>
      <c r="H39" s="407"/>
      <c r="I39" s="407"/>
      <c r="J39" s="407"/>
      <c r="K39" s="407"/>
      <c r="L39" s="407"/>
    </row>
    <row r="40" spans="1:12" ht="15.75">
      <c r="A40" s="416" t="s">
        <v>471</v>
      </c>
      <c r="B40" s="649" t="s">
        <v>541</v>
      </c>
      <c r="C40" s="649"/>
      <c r="D40" s="650" t="s">
        <v>472</v>
      </c>
      <c r="E40" s="650"/>
      <c r="F40" s="649" t="s">
        <v>542</v>
      </c>
      <c r="G40" s="649"/>
      <c r="H40" s="407"/>
      <c r="I40" s="407"/>
      <c r="J40" s="407"/>
      <c r="K40" s="407"/>
      <c r="L40" s="407"/>
    </row>
    <row r="41" spans="1:12" ht="15.75">
      <c r="A41" s="407"/>
      <c r="B41" s="407"/>
      <c r="C41" s="407"/>
      <c r="D41" s="407"/>
      <c r="E41" s="407"/>
      <c r="F41" s="407"/>
      <c r="G41" s="407"/>
      <c r="H41" s="407"/>
      <c r="I41" s="407"/>
      <c r="J41" s="407"/>
      <c r="K41" s="407"/>
      <c r="L41" s="407"/>
    </row>
    <row r="42" spans="1:12" ht="15.75">
      <c r="A42" s="407"/>
      <c r="B42" s="407"/>
      <c r="C42" s="407"/>
      <c r="D42" s="407"/>
      <c r="E42" s="407"/>
      <c r="F42" s="407"/>
      <c r="G42" s="407"/>
      <c r="H42" s="407"/>
      <c r="I42" s="407"/>
      <c r="J42" s="407"/>
      <c r="K42" s="407"/>
      <c r="L42" s="407"/>
    </row>
    <row r="43" spans="1:12" ht="15.75">
      <c r="A43" s="407"/>
      <c r="B43" s="407"/>
      <c r="C43" s="407"/>
      <c r="D43" s="407"/>
      <c r="E43" s="407"/>
      <c r="F43" s="407"/>
      <c r="G43" s="407"/>
      <c r="H43" s="407"/>
      <c r="I43" s="407"/>
      <c r="J43" s="407"/>
      <c r="K43" s="407"/>
      <c r="L43" s="407"/>
    </row>
    <row r="44" spans="1:12" ht="15.75">
      <c r="A44" s="407"/>
      <c r="B44" s="407"/>
      <c r="C44" s="407"/>
      <c r="D44" s="407"/>
      <c r="E44" s="407"/>
      <c r="F44" s="407"/>
      <c r="G44" s="407"/>
      <c r="H44" s="407"/>
      <c r="I44" s="407"/>
      <c r="J44" s="407"/>
      <c r="K44" s="407"/>
      <c r="L44" s="407"/>
    </row>
    <row r="45" spans="1:12" ht="15.75">
      <c r="A45" s="407"/>
      <c r="B45" s="407"/>
      <c r="C45" s="407"/>
      <c r="D45" s="407"/>
      <c r="E45" s="407"/>
      <c r="F45" s="407"/>
      <c r="G45" s="407"/>
      <c r="H45" s="407"/>
      <c r="I45" s="407"/>
      <c r="J45" s="407"/>
      <c r="K45" s="407"/>
      <c r="L45" s="407"/>
    </row>
    <row r="46" spans="1:12" ht="15.75">
      <c r="A46" s="407"/>
      <c r="B46" s="407"/>
      <c r="C46" s="407"/>
      <c r="D46" s="407"/>
      <c r="E46" s="407"/>
      <c r="F46" s="407"/>
      <c r="G46" s="407"/>
      <c r="H46" s="407"/>
      <c r="I46" s="407"/>
      <c r="J46" s="407"/>
      <c r="K46" s="407"/>
      <c r="L46" s="407"/>
    </row>
    <row r="47" spans="1:12" ht="15.75">
      <c r="A47" s="407"/>
      <c r="B47" s="407"/>
      <c r="C47" s="407"/>
      <c r="D47" s="407"/>
      <c r="E47" s="407"/>
      <c r="F47" s="407"/>
      <c r="G47" s="407"/>
      <c r="H47" s="407"/>
      <c r="I47" s="407"/>
      <c r="J47" s="407"/>
      <c r="K47" s="407"/>
      <c r="L47" s="407"/>
    </row>
    <row r="48" spans="1:12" ht="15.75">
      <c r="A48" s="407"/>
      <c r="B48" s="407"/>
      <c r="C48" s="407"/>
      <c r="D48" s="407"/>
      <c r="E48" s="407"/>
      <c r="F48" s="407"/>
      <c r="G48" s="407"/>
      <c r="H48" s="407"/>
      <c r="I48" s="407"/>
      <c r="J48" s="407"/>
      <c r="K48" s="407"/>
      <c r="L48" s="407"/>
    </row>
    <row r="49" spans="1:12" ht="15.75">
      <c r="A49" s="407"/>
      <c r="B49" s="407"/>
      <c r="C49" s="407"/>
      <c r="D49" s="407"/>
      <c r="E49" s="407"/>
      <c r="F49" s="407"/>
      <c r="G49" s="407"/>
      <c r="H49" s="407"/>
      <c r="I49" s="407"/>
      <c r="J49" s="407"/>
      <c r="K49" s="407"/>
      <c r="L49" s="407"/>
    </row>
    <row r="50" spans="1:12" ht="15.75">
      <c r="A50" s="407"/>
      <c r="B50" s="407"/>
      <c r="C50" s="407"/>
      <c r="D50" s="407"/>
      <c r="E50" s="407"/>
      <c r="F50" s="407"/>
      <c r="G50" s="407"/>
      <c r="H50" s="407"/>
      <c r="I50" s="407"/>
      <c r="J50" s="407"/>
      <c r="K50" s="407"/>
      <c r="L50" s="407"/>
    </row>
    <row r="51" spans="1:12" ht="15.75">
      <c r="A51" s="407"/>
      <c r="B51" s="407"/>
      <c r="C51" s="407"/>
      <c r="D51" s="407"/>
      <c r="E51" s="407"/>
      <c r="F51" s="407"/>
      <c r="G51" s="407"/>
      <c r="H51" s="407"/>
      <c r="I51" s="407"/>
      <c r="J51" s="407"/>
      <c r="K51" s="407"/>
      <c r="L51" s="407"/>
    </row>
    <row r="52" spans="1:12" ht="15.75">
      <c r="A52" s="407"/>
      <c r="B52" s="407"/>
      <c r="C52" s="407"/>
      <c r="D52" s="407"/>
      <c r="E52" s="407"/>
      <c r="F52" s="407"/>
      <c r="G52" s="407"/>
      <c r="H52" s="407"/>
      <c r="I52" s="407"/>
      <c r="J52" s="407"/>
      <c r="K52" s="407"/>
      <c r="L52" s="407"/>
    </row>
    <row r="53" spans="1:12" ht="15.75">
      <c r="A53" s="407"/>
      <c r="B53" s="407"/>
      <c r="C53" s="407"/>
      <c r="D53" s="407"/>
      <c r="E53" s="407"/>
      <c r="F53" s="407"/>
      <c r="G53" s="407"/>
      <c r="H53" s="407"/>
      <c r="I53" s="407"/>
      <c r="J53" s="407"/>
      <c r="K53" s="407"/>
      <c r="L53" s="407"/>
    </row>
    <row r="54" spans="1:12" ht="15.75">
      <c r="A54" s="407"/>
      <c r="B54" s="407"/>
      <c r="C54" s="407"/>
      <c r="D54" s="407"/>
      <c r="E54" s="407"/>
      <c r="F54" s="407"/>
      <c r="G54" s="407"/>
      <c r="H54" s="407"/>
      <c r="I54" s="407"/>
      <c r="J54" s="407"/>
      <c r="K54" s="407"/>
      <c r="L54" s="407"/>
    </row>
    <row r="55" spans="1:12" ht="15.75">
      <c r="A55" s="407"/>
      <c r="B55" s="407"/>
      <c r="C55" s="407"/>
      <c r="D55" s="407"/>
      <c r="E55" s="407"/>
      <c r="F55" s="407"/>
      <c r="G55" s="407"/>
      <c r="H55" s="407"/>
      <c r="I55" s="407"/>
      <c r="J55" s="407"/>
      <c r="K55" s="407"/>
      <c r="L55" s="407"/>
    </row>
    <row r="56" spans="1:12" ht="15.75">
      <c r="A56" s="407"/>
      <c r="B56" s="407"/>
      <c r="C56" s="407"/>
      <c r="D56" s="407"/>
      <c r="E56" s="407"/>
      <c r="F56" s="407"/>
      <c r="G56" s="407"/>
      <c r="H56" s="407"/>
      <c r="I56" s="407"/>
      <c r="J56" s="407"/>
      <c r="K56" s="407"/>
      <c r="L56" s="407"/>
    </row>
    <row r="57" spans="1:12" ht="15.75">
      <c r="A57" s="407"/>
      <c r="B57" s="407"/>
      <c r="C57" s="407"/>
      <c r="D57" s="407"/>
      <c r="E57" s="407"/>
      <c r="F57" s="407"/>
      <c r="G57" s="407"/>
      <c r="H57" s="407"/>
      <c r="I57" s="407"/>
      <c r="J57" s="407"/>
      <c r="K57" s="407"/>
      <c r="L57" s="407"/>
    </row>
    <row r="58" spans="1:12" ht="15.75">
      <c r="A58" s="407"/>
      <c r="B58" s="407"/>
      <c r="C58" s="407"/>
      <c r="D58" s="407"/>
      <c r="E58" s="407"/>
      <c r="F58" s="407"/>
      <c r="G58" s="407"/>
      <c r="H58" s="407"/>
      <c r="I58" s="407"/>
      <c r="J58" s="407"/>
      <c r="K58" s="407"/>
      <c r="L58" s="407"/>
    </row>
    <row r="59" spans="1:12" ht="15.75">
      <c r="A59" s="407"/>
      <c r="B59" s="407"/>
      <c r="C59" s="407"/>
      <c r="D59" s="407"/>
      <c r="E59" s="407"/>
      <c r="F59" s="407"/>
      <c r="G59" s="407"/>
      <c r="H59" s="407"/>
      <c r="I59" s="407"/>
      <c r="J59" s="407"/>
      <c r="K59" s="407"/>
      <c r="L59" s="407"/>
    </row>
    <row r="60" spans="1:12" ht="15.75">
      <c r="A60" s="407"/>
      <c r="B60" s="407"/>
      <c r="C60" s="407"/>
      <c r="D60" s="407"/>
      <c r="E60" s="407"/>
      <c r="F60" s="407"/>
      <c r="G60" s="407"/>
      <c r="H60" s="407"/>
      <c r="I60" s="407"/>
      <c r="J60" s="407"/>
      <c r="K60" s="407"/>
      <c r="L60" s="407"/>
    </row>
    <row r="61" spans="1:12" ht="15.75">
      <c r="A61" s="407"/>
      <c r="B61" s="407"/>
      <c r="C61" s="407"/>
      <c r="D61" s="407"/>
      <c r="E61" s="407"/>
      <c r="F61" s="407"/>
      <c r="G61" s="407"/>
      <c r="H61" s="407"/>
      <c r="I61" s="407"/>
      <c r="J61" s="407"/>
      <c r="K61" s="407"/>
      <c r="L61" s="407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DesignSheet</vt:lpstr>
      <vt:lpstr>Data Sheet</vt:lpstr>
      <vt:lpstr>LoginSheet</vt:lpstr>
      <vt:lpstr>Performance Data Sheet</vt:lpstr>
      <vt:lpstr>STCurve</vt:lpstr>
      <vt:lpstr>Thermdam</vt:lpstr>
      <vt:lpstr>Performance 4000V</vt:lpstr>
      <vt:lpstr>Performance 2300V</vt:lpstr>
      <vt:lpstr>StallTime</vt:lpstr>
      <vt:lpstr>'Data Sheet'!Print_Area</vt:lpstr>
      <vt:lpstr>DesignSheet!Print_Area</vt:lpstr>
      <vt:lpstr>LoginSheet!Print_Area</vt:lpstr>
      <vt:lpstr>'Performance 2300V'!Print_Area</vt:lpstr>
      <vt:lpstr>'Performance 4000V'!Print_Area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Xie, Zichao (TIC)</cp:lastModifiedBy>
  <cp:lastPrinted>2017-05-22T14:20:14Z</cp:lastPrinted>
  <dcterms:created xsi:type="dcterms:W3CDTF">1997-10-03T20:37:30Z</dcterms:created>
  <dcterms:modified xsi:type="dcterms:W3CDTF">2025-03-07T16:45:12Z</dcterms:modified>
</cp:coreProperties>
</file>