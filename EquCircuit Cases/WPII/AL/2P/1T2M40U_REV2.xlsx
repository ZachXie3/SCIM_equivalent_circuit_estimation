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zxie\Desktop\2P 5812 WP-II AL\Standard Design\"/>
    </mc:Choice>
  </mc:AlternateContent>
  <bookViews>
    <workbookView xWindow="0" yWindow="0" windowWidth="24000" windowHeight="8475" tabRatio="847" activeTab="5"/>
  </bookViews>
  <sheets>
    <sheet name="DesignSheet" sheetId="9" r:id="rId1"/>
    <sheet name="Data Sheet" sheetId="10" r:id="rId2"/>
    <sheet name="LoginSheet" sheetId="11" r:id="rId3"/>
    <sheet name="StallTime" sheetId="18" r:id="rId4"/>
    <sheet name="Form" sheetId="12" r:id="rId5"/>
    <sheet name="Performance Data Sheet" sheetId="5" r:id="rId6"/>
    <sheet name="STCurve" sheetId="6" r:id="rId7"/>
    <sheet name="Thermdam" sheetId="7" r:id="rId8"/>
    <sheet name="Performance" sheetId="8" r:id="rId9"/>
  </sheets>
  <definedNames>
    <definedName name="_Regression_Int" localSheetId="5" hidden="1">1</definedName>
    <definedName name="_xlnm.Print_Area" localSheetId="1">'Data Sheet'!$A$1:$J$46</definedName>
    <definedName name="_xlnm.Print_Area" localSheetId="0">DesignSheet!$A$1:$J$68</definedName>
    <definedName name="_xlnm.Print_Area" localSheetId="4">Form!$A$1:$F$27</definedName>
    <definedName name="_xlnm.Print_Area" localSheetId="2">LoginSheet!$A$1:$N$50</definedName>
    <definedName name="_xlnm.Print_Area" localSheetId="8">Performance!$A$1:$F$43</definedName>
    <definedName name="_xlnm.Print_Area" localSheetId="5">'Performance Data Sheet'!$A$1:$M$44</definedName>
    <definedName name="_xlnm.Print_Area" localSheetId="3">StallTime!$A$1:$G$40</definedName>
    <definedName name="_xlnm.Print_Area" localSheetId="6">STCurve!$A$1:$F$43</definedName>
    <definedName name="_xlnm.Print_Area" localSheetId="7">Thermdam!$A$1:$F$43</definedName>
    <definedName name="Print_Area_MI">#REF!</definedName>
    <definedName name="Z_852987ED_B4F5_11D1_ABEC_0000832EB49E_.wvu.PrintArea" localSheetId="8" hidden="1">Performance!$A$1:$F$43</definedName>
    <definedName name="Z_852987ED_B4F5_11D1_ABEC_0000832EB49E_.wvu.PrintArea" localSheetId="6" hidden="1">STCurve!$A$1:$F$43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9" i="8" l="1"/>
  <c r="F58" i="8"/>
  <c r="F57" i="8"/>
  <c r="F56" i="8"/>
  <c r="F55" i="8"/>
  <c r="F54" i="8"/>
  <c r="O47" i="8"/>
  <c r="N47" i="8"/>
  <c r="O46" i="8"/>
  <c r="N46" i="8"/>
  <c r="O45" i="8"/>
  <c r="N45" i="8"/>
  <c r="O44" i="8"/>
  <c r="N44" i="8"/>
  <c r="O43" i="8"/>
  <c r="N43" i="8"/>
  <c r="D43" i="8"/>
  <c r="O42" i="8"/>
  <c r="N42" i="8"/>
  <c r="O41" i="8"/>
  <c r="N41" i="8"/>
  <c r="O40" i="8"/>
  <c r="N40" i="8"/>
  <c r="O39" i="8"/>
  <c r="N39" i="8"/>
  <c r="F39" i="8"/>
  <c r="C39" i="8"/>
  <c r="O38" i="8"/>
  <c r="N38" i="8"/>
  <c r="O37" i="8"/>
  <c r="N37" i="8"/>
  <c r="C15" i="8"/>
  <c r="C13" i="8"/>
  <c r="C12" i="8"/>
  <c r="B10" i="8"/>
  <c r="E59" i="8" s="1"/>
  <c r="F9" i="8"/>
  <c r="B9" i="8"/>
  <c r="F8" i="8"/>
  <c r="F7" i="8"/>
  <c r="D7" i="8"/>
  <c r="B7" i="8"/>
  <c r="F6" i="8"/>
  <c r="B6" i="8"/>
  <c r="E80" i="7"/>
  <c r="C76" i="7"/>
  <c r="C77" i="7" s="1"/>
  <c r="C78" i="7" s="1"/>
  <c r="B76" i="7"/>
  <c r="C75" i="7"/>
  <c r="B75" i="7"/>
  <c r="C74" i="7"/>
  <c r="B74" i="7"/>
  <c r="B73" i="7"/>
  <c r="B72" i="7"/>
  <c r="C71" i="7"/>
  <c r="B71" i="7"/>
  <c r="C70" i="7"/>
  <c r="B70" i="7"/>
  <c r="C69" i="7"/>
  <c r="B69" i="7"/>
  <c r="E68" i="7"/>
  <c r="D66" i="7"/>
  <c r="F50" i="7"/>
  <c r="D43" i="7"/>
  <c r="F39" i="7"/>
  <c r="C39" i="7"/>
  <c r="C15" i="7"/>
  <c r="C13" i="7"/>
  <c r="C12" i="7"/>
  <c r="B10" i="7"/>
  <c r="F9" i="7"/>
  <c r="B9" i="7"/>
  <c r="F8" i="7"/>
  <c r="F7" i="7"/>
  <c r="D7" i="7"/>
  <c r="B7" i="7"/>
  <c r="F6" i="7"/>
  <c r="B6" i="7"/>
  <c r="D43" i="6"/>
  <c r="F39" i="6"/>
  <c r="C39" i="6"/>
  <c r="C15" i="6"/>
  <c r="C13" i="6"/>
  <c r="C12" i="6"/>
  <c r="B10" i="6"/>
  <c r="F9" i="6"/>
  <c r="B9" i="6"/>
  <c r="F8" i="6"/>
  <c r="F7" i="6"/>
  <c r="D7" i="6"/>
  <c r="B7" i="6"/>
  <c r="F6" i="6"/>
  <c r="B6" i="6"/>
  <c r="E57" i="8" l="1"/>
  <c r="E58" i="8"/>
  <c r="E56" i="8"/>
  <c r="E55" i="8"/>
</calcChain>
</file>

<file path=xl/comments1.xml><?xml version="1.0" encoding="utf-8"?>
<comments xmlns="http://schemas.openxmlformats.org/spreadsheetml/2006/main">
  <authors>
    <author>Paulo Yoshiura</author>
  </authors>
  <commentList>
    <comment ref="D6" authorId="0" shapeId="0">
      <text>
        <r>
          <rPr>
            <b/>
            <sz val="8"/>
            <color indexed="81"/>
            <rFont val="Tahoma"/>
            <family val="2"/>
          </rPr>
          <t>Choose Steel Type
from list or input name</t>
        </r>
      </text>
    </comment>
    <comment ref="D21" authorId="0" shapeId="0">
      <text>
        <r>
          <rPr>
            <b/>
            <sz val="8"/>
            <color indexed="81"/>
            <rFont val="Tahoma"/>
            <family val="2"/>
          </rPr>
          <t>Choose Method of coil connection from list!</t>
        </r>
        <r>
          <rPr>
            <sz val="8"/>
            <color indexed="81"/>
            <rFont val="Tahoma"/>
            <family val="2"/>
          </rPr>
          <t xml:space="preserve">
</t>
        </r>
      </text>
    </comment>
  </commentList>
</comments>
</file>

<file path=xl/comments2.xml><?xml version="1.0" encoding="utf-8"?>
<comments xmlns="http://schemas.openxmlformats.org/spreadsheetml/2006/main">
  <authors>
    <author>Paulo Yoshiura</author>
  </authors>
  <commentList>
    <comment ref="L22" authorId="0" shapeId="0">
      <text>
        <r>
          <rPr>
            <b/>
            <sz val="8"/>
            <color indexed="81"/>
            <rFont val="Tahoma"/>
            <family val="2"/>
          </rPr>
          <t>Pick bearings from list!</t>
        </r>
      </text>
    </comment>
  </commentList>
</comments>
</file>

<file path=xl/sharedStrings.xml><?xml version="1.0" encoding="utf-8"?>
<sst xmlns="http://schemas.openxmlformats.org/spreadsheetml/2006/main" count="941" uniqueCount="723">
  <si>
    <t>6317C3XS</t>
  </si>
  <si>
    <t>6314C3XS</t>
  </si>
  <si>
    <t>NU324C3</t>
  </si>
  <si>
    <t>NU322C3</t>
  </si>
  <si>
    <t>NU322</t>
  </si>
  <si>
    <t>6320C3</t>
  </si>
  <si>
    <t>NU318C3</t>
  </si>
  <si>
    <t>6318C3</t>
  </si>
  <si>
    <t>NU318</t>
  </si>
  <si>
    <t>6317C3</t>
  </si>
  <si>
    <t>6314C3</t>
  </si>
  <si>
    <t>6313C3</t>
  </si>
  <si>
    <t>6313ZZC3</t>
  </si>
  <si>
    <t>6313ZZ</t>
  </si>
  <si>
    <t>6312C3XS</t>
  </si>
  <si>
    <t>6312ZZC3</t>
  </si>
  <si>
    <t>6312ZZ</t>
  </si>
  <si>
    <t>6312C3</t>
  </si>
  <si>
    <t>6310ZZC3</t>
  </si>
  <si>
    <t>6310C3XS</t>
  </si>
  <si>
    <t>6310C3</t>
  </si>
  <si>
    <t>6310ZZ</t>
  </si>
  <si>
    <t>6309ZC3</t>
  </si>
  <si>
    <t>6309C3XS</t>
  </si>
  <si>
    <t>6309C3</t>
  </si>
  <si>
    <t>6309UUC3</t>
  </si>
  <si>
    <t>6309UU</t>
  </si>
  <si>
    <t>6308ZC3</t>
  </si>
  <si>
    <t>6308UU</t>
  </si>
  <si>
    <t>6308C3</t>
  </si>
  <si>
    <t>6306UUC3</t>
  </si>
  <si>
    <t>6305UUC3</t>
  </si>
  <si>
    <t>6211ZZC3</t>
  </si>
  <si>
    <t>6211C3</t>
  </si>
  <si>
    <t>6211ZZ</t>
  </si>
  <si>
    <t>6208UU</t>
  </si>
  <si>
    <t>B</t>
  </si>
  <si>
    <t>6207ZZ</t>
  </si>
  <si>
    <t>ODP</t>
  </si>
  <si>
    <t>A</t>
  </si>
  <si>
    <t>6206UU</t>
  </si>
  <si>
    <t>TEFC</t>
  </si>
  <si>
    <t>-</t>
  </si>
  <si>
    <t>6205ZZ</t>
  </si>
  <si>
    <t>DATE:</t>
  </si>
  <si>
    <t>CERTIFIED BY:</t>
  </si>
  <si>
    <t>** BEARINGS ARE THE ONLY RECOMMENDED SPARE PART(S).</t>
  </si>
  <si>
    <t>DEFINED BY NEMA-MG-12 OR -20</t>
  </si>
  <si>
    <t>* TEMPERATURE RISE WILL BE CONSISTENT WITH INSULATION, AMBIENT AND SERVICE FACTOR AS</t>
  </si>
  <si>
    <t>THE DECLARED LOCKED ROTOR CURRENT HAS A TOLERANCE OF 20%</t>
  </si>
  <si>
    <t>FREQUENCY AND SINEWAVE POWER INPUT.</t>
  </si>
  <si>
    <t>ALL CHARACTERISTICS ARE AVERAGE EXPECTED VALUES BASED UPON RATED VOLTAGE,</t>
  </si>
  <si>
    <t>1/2 LOAD:</t>
  </si>
  <si>
    <t>3/4 LOAD:</t>
  </si>
  <si>
    <t>FULL LOAD:</t>
  </si>
  <si>
    <t>POWER FACTOR</t>
  </si>
  <si>
    <t>EFFICIENCY</t>
  </si>
  <si>
    <t>BREAK DOWN (%):</t>
  </si>
  <si>
    <t>OPPOSITE DRIVE END:</t>
  </si>
  <si>
    <t>LOCKED ROTOR (%):</t>
  </si>
  <si>
    <t>DRIVE END:</t>
  </si>
  <si>
    <t>FULL LOAD (lb-ft.):</t>
  </si>
  <si>
    <t>LOCKED ROTOR:</t>
  </si>
  <si>
    <t>**BEARINGS:</t>
  </si>
  <si>
    <t>TORQUES</t>
  </si>
  <si>
    <t>AMPERAGE</t>
  </si>
  <si>
    <t>P.F.:</t>
  </si>
  <si>
    <t>MIN. EFF.:</t>
  </si>
  <si>
    <t>NOM. EFF.:</t>
  </si>
  <si>
    <t>kW:</t>
  </si>
  <si>
    <t>MODEL No.:</t>
  </si>
  <si>
    <t>Cont.</t>
  </si>
  <si>
    <t>DUTY:</t>
  </si>
  <si>
    <t>CODE:</t>
  </si>
  <si>
    <t>40°C</t>
  </si>
  <si>
    <t>AMB.:</t>
  </si>
  <si>
    <t>TYPE:</t>
  </si>
  <si>
    <t>F</t>
  </si>
  <si>
    <t>INSUL CLASS:</t>
  </si>
  <si>
    <t>NEMA DESIGN:</t>
  </si>
  <si>
    <t>S.F.:</t>
  </si>
  <si>
    <t>DCW4</t>
  </si>
  <si>
    <t>FORM:</t>
  </si>
  <si>
    <t>FLRPM:</t>
  </si>
  <si>
    <t>FLAMPS:</t>
  </si>
  <si>
    <t>ENCL:</t>
  </si>
  <si>
    <t>5811USS</t>
  </si>
  <si>
    <t>FRAME:</t>
  </si>
  <si>
    <t>S. RPM:</t>
  </si>
  <si>
    <t>60 Hz</t>
  </si>
  <si>
    <t>3 PH /</t>
  </si>
  <si>
    <t>VOLTS:</t>
  </si>
  <si>
    <t>H.P.:</t>
  </si>
  <si>
    <t>MOTOR NAMEPLATE DATA</t>
  </si>
  <si>
    <t>TIC SR No.:</t>
  </si>
  <si>
    <t>CUSTOMER:</t>
  </si>
  <si>
    <t>PAA</t>
  </si>
  <si>
    <t>APPROVED BY</t>
  </si>
  <si>
    <t>PERFORMANCE SPECIFICATIONS</t>
  </si>
  <si>
    <t>MDC</t>
  </si>
  <si>
    <t>WRITTEN BY</t>
  </si>
  <si>
    <t>SQUIRREL CAGE INDUCTION MOTOR</t>
  </si>
  <si>
    <t>REVISION</t>
  </si>
  <si>
    <t>11/8/96</t>
  </si>
  <si>
    <t>SUPERSEDES</t>
  </si>
  <si>
    <t>7/31/13</t>
  </si>
  <si>
    <t>ISSUED</t>
  </si>
  <si>
    <t>1 of 1</t>
  </si>
  <si>
    <t>SHEET NO.</t>
  </si>
  <si>
    <t>Industrial Division / Houston Motor Plant</t>
  </si>
  <si>
    <t>MPCF-1033</t>
  </si>
  <si>
    <t>INDEX</t>
  </si>
  <si>
    <t>TOSHIBA INTERNATIONAL CORPORATION</t>
  </si>
  <si>
    <t>Load</t>
  </si>
  <si>
    <t>Checked by:</t>
  </si>
  <si>
    <t>Prepared by:</t>
  </si>
  <si>
    <t>D.E.Curve #:</t>
  </si>
  <si>
    <t>PROJECT</t>
  </si>
  <si>
    <t>Comments:</t>
  </si>
  <si>
    <t>Rated Torque:</t>
  </si>
  <si>
    <t>Accel. Time:</t>
  </si>
  <si>
    <t>Breakdown Torque:</t>
  </si>
  <si>
    <t>Starting at:</t>
  </si>
  <si>
    <t>Locked Rotor Torque:</t>
  </si>
  <si>
    <t>Fan / Pump</t>
  </si>
  <si>
    <t>Load Type:</t>
  </si>
  <si>
    <t>Locked Rotor Amps:</t>
  </si>
  <si>
    <t>File:</t>
  </si>
  <si>
    <t>Load Inertia:</t>
  </si>
  <si>
    <t>Date:</t>
  </si>
  <si>
    <t>222.9 lb-ft²</t>
  </si>
  <si>
    <t>Rotor Inertia:</t>
  </si>
  <si>
    <t>HP:</t>
  </si>
  <si>
    <t>Ins. Class:</t>
  </si>
  <si>
    <t>3 PH / 60 Hz</t>
  </si>
  <si>
    <t>Frequency:</t>
  </si>
  <si>
    <t>Pole:</t>
  </si>
  <si>
    <t>Frame:</t>
  </si>
  <si>
    <t>Voltage:</t>
  </si>
  <si>
    <t>Enclosure:</t>
  </si>
  <si>
    <t>FLAmps:</t>
  </si>
  <si>
    <t>Model #:</t>
  </si>
  <si>
    <t>Speed Torque/Current Curve</t>
  </si>
  <si>
    <t>Accel. Time</t>
  </si>
  <si>
    <t>CURRENT (%)</t>
  </si>
  <si>
    <t>Hot</t>
  </si>
  <si>
    <t>Cold</t>
  </si>
  <si>
    <t>Current (%)</t>
  </si>
  <si>
    <t xml:space="preserve"> </t>
  </si>
  <si>
    <t>Design Values (For Reference Only)</t>
  </si>
  <si>
    <t>Thermal Limit &amp; Acceleration Curves</t>
  </si>
  <si>
    <t>Input Watts</t>
  </si>
  <si>
    <t>RPM</t>
  </si>
  <si>
    <t>Amps</t>
  </si>
  <si>
    <t>PF</t>
  </si>
  <si>
    <t>Efficiency</t>
  </si>
  <si>
    <t>ORIGINAL</t>
  </si>
  <si>
    <t>ADJUSTED</t>
  </si>
  <si>
    <t>NEW kW UPPER RANGE</t>
  </si>
  <si>
    <t>NEW SPEED LOWER RANGE</t>
  </si>
  <si>
    <t>SYNC SPEED</t>
  </si>
  <si>
    <t>KW</t>
  </si>
  <si>
    <t>SPEED</t>
  </si>
  <si>
    <t>Performance Curve</t>
  </si>
  <si>
    <t>TIKK</t>
  </si>
  <si>
    <t>1.0</t>
  </si>
  <si>
    <t xml:space="preserve">                              TOSHIBA INTERNATIONAL CORPORATION</t>
  </si>
  <si>
    <t>Calc. Code:</t>
  </si>
  <si>
    <t>2-2-2-0-1-2</t>
  </si>
  <si>
    <t xml:space="preserve">             3-PHASE SQUIRREL CAGE INDUCTION MOTOR DESIGN SHEET</t>
  </si>
  <si>
    <t>B.L.-1  P.F.-1</t>
  </si>
  <si>
    <t>N:\DESPRO\RATFILE\1T2M35U.rat</t>
  </si>
  <si>
    <t>Time:</t>
  </si>
  <si>
    <t>Pole</t>
  </si>
  <si>
    <t>HP</t>
  </si>
  <si>
    <t>Form</t>
  </si>
  <si>
    <t>Voltage</t>
  </si>
  <si>
    <t>Frequency</t>
  </si>
  <si>
    <t>Temperature</t>
  </si>
  <si>
    <t>FLSpeed</t>
  </si>
  <si>
    <t>FLSlip</t>
  </si>
  <si>
    <t xml:space="preserve">Frame </t>
  </si>
  <si>
    <t>3569.4 / 3570.0</t>
  </si>
  <si>
    <t>0.0085 / 0.0083</t>
  </si>
  <si>
    <t>5811/12UDZ</t>
  </si>
  <si>
    <t>Core Data</t>
  </si>
  <si>
    <t>Winding Data</t>
  </si>
  <si>
    <t>Constant Data</t>
  </si>
  <si>
    <t>Primary</t>
  </si>
  <si>
    <t>Secondary</t>
  </si>
  <si>
    <t xml:space="preserve">Bar </t>
  </si>
  <si>
    <t>End Ring</t>
  </si>
  <si>
    <t xml:space="preserve">St. Slot Pitch </t>
  </si>
  <si>
    <t>LR Test Data</t>
  </si>
  <si>
    <t>Air Gap</t>
  </si>
  <si>
    <t>Rt. Slot Pitch</t>
  </si>
  <si>
    <t>ES</t>
  </si>
  <si>
    <t>Space Fac.</t>
  </si>
  <si>
    <t>Pitch</t>
  </si>
  <si>
    <t>1 ~ 16</t>
  </si>
  <si>
    <t>Cross Section Area</t>
  </si>
  <si>
    <t>Mean Value</t>
  </si>
  <si>
    <t>Core Length</t>
  </si>
  <si>
    <t>UB: 406.6</t>
  </si>
  <si>
    <t>UER: 3370.3</t>
  </si>
  <si>
    <t>Eff.T.W.St.</t>
  </si>
  <si>
    <t>WS</t>
  </si>
  <si>
    <t>OD</t>
  </si>
  <si>
    <t>Coil Pitch</t>
  </si>
  <si>
    <t>ERT: 85.0</t>
  </si>
  <si>
    <t>Eff.T.W.Rt.</t>
  </si>
  <si>
    <t>ID</t>
  </si>
  <si>
    <t>Slot Fill</t>
  </si>
  <si>
    <t>ERD1: 281.0</t>
  </si>
  <si>
    <t xml:space="preserve">St.Carter Fac. </t>
  </si>
  <si>
    <t>IS</t>
  </si>
  <si>
    <t>Core Depth</t>
  </si>
  <si>
    <t>Con./Slot</t>
  </si>
  <si>
    <t>ERD2: 367.0</t>
  </si>
  <si>
    <t>Rt.Carter Fac.</t>
  </si>
  <si>
    <t>Eff.Core L.</t>
  </si>
  <si>
    <t>Wire Size 1</t>
  </si>
  <si>
    <t>(.102"x.204")x2</t>
  </si>
  <si>
    <t>Carter Factor</t>
  </si>
  <si>
    <t>Volts / Turn</t>
  </si>
  <si>
    <t>Slot Data</t>
  </si>
  <si>
    <t>Wire Size 2</t>
  </si>
  <si>
    <t>Short. Factor</t>
  </si>
  <si>
    <t>Number</t>
  </si>
  <si>
    <t>// Circuits</t>
  </si>
  <si>
    <t>Distrib. Factor</t>
  </si>
  <si>
    <t>AC</t>
  </si>
  <si>
    <t>Kind</t>
  </si>
  <si>
    <t>Open</t>
  </si>
  <si>
    <t>Dbl - Closed</t>
  </si>
  <si>
    <t>Connection</t>
  </si>
  <si>
    <t>Wye</t>
  </si>
  <si>
    <t>Wind. Factor</t>
  </si>
  <si>
    <t>Skew</t>
  </si>
  <si>
    <t>MCL</t>
  </si>
  <si>
    <t>Reactance</t>
  </si>
  <si>
    <t>(Coeff.: 0.0267)</t>
  </si>
  <si>
    <t>Depth</t>
  </si>
  <si>
    <t>No.Cond./Ph.</t>
  </si>
  <si>
    <t>Running</t>
  </si>
  <si>
    <t>Start</t>
  </si>
  <si>
    <t>Width</t>
  </si>
  <si>
    <t>10.20 - 10.20</t>
  </si>
  <si>
    <t>Res.     (20°C)</t>
  </si>
  <si>
    <t>Stator Slot</t>
  </si>
  <si>
    <t>Opening</t>
  </si>
  <si>
    <t>(105°C)</t>
  </si>
  <si>
    <t>Rotor Slot</t>
  </si>
  <si>
    <t>Tip Depth</t>
  </si>
  <si>
    <t>Material</t>
  </si>
  <si>
    <t>CU</t>
  </si>
  <si>
    <t>AL</t>
  </si>
  <si>
    <t>Zigzag</t>
  </si>
  <si>
    <t>T.Min.Wid.</t>
  </si>
  <si>
    <t>Spec.Resist.</t>
  </si>
  <si>
    <t>Coil End</t>
  </si>
  <si>
    <t>Skew R.: 0.00</t>
  </si>
  <si>
    <t>Low. R.</t>
  </si>
  <si>
    <t>Spec.Gravity</t>
  </si>
  <si>
    <t>Belt Leakage</t>
  </si>
  <si>
    <t>Up. R.</t>
  </si>
  <si>
    <t>Weight (kg)</t>
  </si>
  <si>
    <t>Total Resist.</t>
  </si>
  <si>
    <t>Wedge Dep.</t>
  </si>
  <si>
    <t>2.83 - 2.00</t>
  </si>
  <si>
    <t>Magnetic</t>
  </si>
  <si>
    <t>Wire 1</t>
  </si>
  <si>
    <t>Total React.</t>
  </si>
  <si>
    <t>Duct</t>
  </si>
  <si>
    <t>10 x 10</t>
  </si>
  <si>
    <t>9 x 10</t>
  </si>
  <si>
    <t>Wire 2</t>
  </si>
  <si>
    <t>Impedance</t>
  </si>
  <si>
    <t>Effective Depth (S=1)</t>
  </si>
  <si>
    <t>Magnetic Circuit Data</t>
  </si>
  <si>
    <t>Core Loss Data</t>
  </si>
  <si>
    <t>Res.=</t>
  </si>
  <si>
    <t>Length</t>
  </si>
  <si>
    <t>Section</t>
  </si>
  <si>
    <t>Density</t>
  </si>
  <si>
    <t>AT</t>
  </si>
  <si>
    <t>Volume</t>
  </si>
  <si>
    <t>Loss</t>
  </si>
  <si>
    <t>Reac.=</t>
  </si>
  <si>
    <t>Primary Core</t>
  </si>
  <si>
    <t>Excitation Data</t>
  </si>
  <si>
    <t>Tooth</t>
  </si>
  <si>
    <t>Excit.Amps</t>
  </si>
  <si>
    <t>57.385 / 66.946</t>
  </si>
  <si>
    <t>Second.Core</t>
  </si>
  <si>
    <t>Total</t>
  </si>
  <si>
    <t>Core Loss</t>
  </si>
  <si>
    <t>2.314 / 2.700</t>
  </si>
  <si>
    <t>Flux / Pole</t>
  </si>
  <si>
    <t>C.L.C.</t>
  </si>
  <si>
    <t>1.75 / 1.59</t>
  </si>
  <si>
    <t>NoLoad</t>
  </si>
  <si>
    <t>57.43 / 67.00</t>
  </si>
  <si>
    <t>S.F.C.</t>
  </si>
  <si>
    <t>Load Characteristics</t>
  </si>
  <si>
    <t>Temp. Rise @ 100%:</t>
  </si>
  <si>
    <t>78 / 76</t>
  </si>
  <si>
    <t>No Load Loss</t>
  </si>
  <si>
    <t>22663.3 / 22696.2</t>
  </si>
  <si>
    <t>W.Loss</t>
  </si>
  <si>
    <t>14366.1 / 13042.7</t>
  </si>
  <si>
    <t>Load (%)</t>
  </si>
  <si>
    <t>Primary Loss</t>
  </si>
  <si>
    <t>11869.0 / 12437.8</t>
  </si>
  <si>
    <t>S.Loss</t>
  </si>
  <si>
    <t>1685.5 / 1530.3</t>
  </si>
  <si>
    <t>Current (A)</t>
  </si>
  <si>
    <t>81.47 / 83.38</t>
  </si>
  <si>
    <t>121.18 / 124.03</t>
  </si>
  <si>
    <t>168.16 / 172.11</t>
  </si>
  <si>
    <t>218.85 / 224.00</t>
  </si>
  <si>
    <t>272.50 / 278.91</t>
  </si>
  <si>
    <t>Second. Loss</t>
  </si>
  <si>
    <t>11563.3 / 9773.0</t>
  </si>
  <si>
    <t>Total C.Loss</t>
  </si>
  <si>
    <t>16051.6 / 14573.0</t>
  </si>
  <si>
    <t xml:space="preserve">Efficiency </t>
  </si>
  <si>
    <t>0.931 / 0.920</t>
  </si>
  <si>
    <t>0.959 / 0.947</t>
  </si>
  <si>
    <t>0.966 / 0.954</t>
  </si>
  <si>
    <t>0.967 / 0.956</t>
  </si>
  <si>
    <t>0.966 / 0.955</t>
  </si>
  <si>
    <t>Frict.&amp; Wind.</t>
  </si>
  <si>
    <t>6000.0 / 7275.0</t>
  </si>
  <si>
    <t>Stray Loss</t>
  </si>
  <si>
    <t>P.F.</t>
  </si>
  <si>
    <t>0.621 / 0.614</t>
  </si>
  <si>
    <t>0.811 / 0.802</t>
  </si>
  <si>
    <t>0.870 / 0.860</t>
  </si>
  <si>
    <t>0.890 / 0.880</t>
  </si>
  <si>
    <t>0.894 / 0.884</t>
  </si>
  <si>
    <t>Starting Data</t>
  </si>
  <si>
    <t>Slip</t>
  </si>
  <si>
    <t>0.0021 / 0.0020</t>
  </si>
  <si>
    <t>0.0042 / 0.0040</t>
  </si>
  <si>
    <t>0.0063 / 0.0062</t>
  </si>
  <si>
    <t>0.0107 / 0.0105</t>
  </si>
  <si>
    <t xml:space="preserve">LRA </t>
  </si>
  <si>
    <t>1202.2 / 1550.9</t>
  </si>
  <si>
    <t>3592.4 / 3593.0</t>
  </si>
  <si>
    <t>3584.9 / 3585.5</t>
  </si>
  <si>
    <t>3577.3 / 3577.8</t>
  </si>
  <si>
    <t>3561.5 / 3562.0</t>
  </si>
  <si>
    <t>%</t>
  </si>
  <si>
    <t>549.3 / 708.7</t>
  </si>
  <si>
    <t>L (Inv., MH)</t>
  </si>
  <si>
    <t>LRT (kg.m)</t>
  </si>
  <si>
    <t>476.9 / 711.5</t>
  </si>
  <si>
    <t>(No Load)</t>
  </si>
  <si>
    <t>Correlated to: 1T2M35U 4000V.dat</t>
  </si>
  <si>
    <t>133.9 / 199.7</t>
  </si>
  <si>
    <t>Design Parameters (Full Load)</t>
  </si>
  <si>
    <t>Magnetic Pull  &amp; Thrust</t>
  </si>
  <si>
    <t>BDT (kW)</t>
  </si>
  <si>
    <t>IM/IW</t>
  </si>
  <si>
    <t>I*R1/E</t>
  </si>
  <si>
    <t>Rosenberg</t>
  </si>
  <si>
    <t>225.1 / 239.6</t>
  </si>
  <si>
    <t>IW*X/E</t>
  </si>
  <si>
    <t>I*R2/E</t>
  </si>
  <si>
    <t>Schwisky</t>
  </si>
  <si>
    <t>SUM</t>
  </si>
  <si>
    <t>Friction/OP.</t>
  </si>
  <si>
    <t>Tsurumi</t>
  </si>
  <si>
    <t>Max. Output</t>
  </si>
  <si>
    <t>IH/I</t>
  </si>
  <si>
    <t>Thrust (1mm)</t>
  </si>
  <si>
    <t>Thrust (3 mm)</t>
  </si>
  <si>
    <t>Double Cage Data</t>
  </si>
  <si>
    <t>Miscellaneous Data</t>
  </si>
  <si>
    <t>Slot Number</t>
  </si>
  <si>
    <t>Slit Width</t>
  </si>
  <si>
    <t>T.M.Wid.Low.</t>
  </si>
  <si>
    <t>Watt Rad.</t>
  </si>
  <si>
    <t>Coil Cur. Density</t>
  </si>
  <si>
    <t>Slit Depth</t>
  </si>
  <si>
    <t>Cal.T.W.Up.</t>
  </si>
  <si>
    <r>
      <t>DG</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</si>
  <si>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t>4.17 / 4.27</t>
  </si>
  <si>
    <t>L.S.Up.Wid.</t>
  </si>
  <si>
    <t>Cal.M.T.Wid.</t>
  </si>
  <si>
    <r>
      <t>GD</t>
    </r>
    <r>
      <rPr>
        <i/>
        <vertAlign val="superscript"/>
        <sz val="10"/>
        <rFont val="Times New Roman"/>
        <family val="1"/>
      </rPr>
      <t>2</t>
    </r>
    <r>
      <rPr>
        <i/>
        <sz val="10"/>
        <rFont val="Times New Roman"/>
        <family val="1"/>
      </rPr>
      <t>L(kg.m</t>
    </r>
    <r>
      <rPr>
        <i/>
        <vertAlign val="superscript"/>
        <sz val="10"/>
        <rFont val="Times New Roman"/>
        <family val="1"/>
      </rPr>
      <t>2</t>
    </r>
    <r>
      <rPr>
        <i/>
        <sz val="10"/>
        <rFont val="Times New Roman"/>
        <family val="1"/>
      </rPr>
      <t>)</t>
    </r>
  </si>
  <si>
    <t>Bar Cur. Den.</t>
  </si>
  <si>
    <t>L.S.Low.Wid.</t>
  </si>
  <si>
    <r>
      <t>DO</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</si>
  <si>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t>UB: 4.36 / 4.47</t>
  </si>
  <si>
    <t>LB:  -</t>
  </si>
  <si>
    <t>Up. Sl. Wid.</t>
  </si>
  <si>
    <t>L.S.Depth</t>
  </si>
  <si>
    <t>X2S</t>
  </si>
  <si>
    <t>IMC</t>
  </si>
  <si>
    <t>ER Cur. Den.</t>
  </si>
  <si>
    <t>Up. Sl. Dep.</t>
  </si>
  <si>
    <t>T.M.Wid.Up.</t>
  </si>
  <si>
    <t>X3S</t>
  </si>
  <si>
    <t>Coil Pitch Ct.</t>
  </si>
  <si>
    <t>UER: 3.19 / 3.26</t>
  </si>
  <si>
    <t>LER:  -</t>
  </si>
  <si>
    <t>S-T Curve Data (Custom Values)</t>
  </si>
  <si>
    <t>Torque (%)</t>
  </si>
  <si>
    <t>Current(%)</t>
  </si>
  <si>
    <t>Acceleration Data (FV V)</t>
  </si>
  <si>
    <t>169.2 kg.m²</t>
  </si>
  <si>
    <t>4.0 (s)</t>
  </si>
  <si>
    <t>356.2 kg.m</t>
  </si>
  <si>
    <t>INDUCTION MOTOR DATA SHEET</t>
  </si>
  <si>
    <t>1T2M35U</t>
  </si>
  <si>
    <t>HRW / Model Number:</t>
  </si>
  <si>
    <t>BASE : M353WTQL11F-A</t>
  </si>
  <si>
    <t>Motor Type Selection</t>
  </si>
  <si>
    <t>Electrical Steel Table</t>
  </si>
  <si>
    <t>Motor Parameters</t>
  </si>
  <si>
    <t>PERFORMANCE</t>
  </si>
  <si>
    <t>DESIGN</t>
  </si>
  <si>
    <t>EPACT</t>
  </si>
  <si>
    <t>M22 - 26Ga.</t>
  </si>
  <si>
    <t>NL &amp; Impedance Test</t>
  </si>
  <si>
    <t>EQP-III</t>
  </si>
  <si>
    <t>M36 - 26Ga.</t>
  </si>
  <si>
    <t>No load amps</t>
  </si>
  <si>
    <t>Exp.Prf.</t>
  </si>
  <si>
    <t>NCB1 - 26Ga.</t>
  </si>
  <si>
    <t>Stack length</t>
  </si>
  <si>
    <t>No load watts</t>
  </si>
  <si>
    <t>Exp.Prf.-EQPIII</t>
  </si>
  <si>
    <t>M43 - 26Ga.</t>
  </si>
  <si>
    <t>Number of turns per coil</t>
  </si>
  <si>
    <t>Impedance amps</t>
  </si>
  <si>
    <t>f</t>
  </si>
  <si>
    <t>Prem. Eff.</t>
  </si>
  <si>
    <t>M45 - 26Ga.</t>
  </si>
  <si>
    <t>Wire 1 (061-0023-04)</t>
  </si>
  <si>
    <t>Impedance volts</t>
  </si>
  <si>
    <t>OWP</t>
  </si>
  <si>
    <t>M54 - 26Ga.</t>
  </si>
  <si>
    <t>Wire 2 (size &amp; number)</t>
  </si>
  <si>
    <t>Impedance watts</t>
  </si>
  <si>
    <t>Dry Kiln</t>
  </si>
  <si>
    <r>
      <t xml:space="preserve">Slot fill - </t>
    </r>
    <r>
      <rPr>
        <i/>
        <sz val="9"/>
        <color indexed="8"/>
        <rFont val="Times New Roman"/>
        <family val="1"/>
      </rPr>
      <t>circle/square method (%)</t>
    </r>
  </si>
  <si>
    <t>Temperature Rise (°C)</t>
  </si>
  <si>
    <t>2 x Wye</t>
  </si>
  <si>
    <t>Winding</t>
  </si>
  <si>
    <t>80/115</t>
  </si>
  <si>
    <t>Allowance for ins. depth</t>
  </si>
  <si>
    <t xml:space="preserve">Bearing  PS/OS </t>
  </si>
  <si>
    <t>Allowance for ins. width</t>
  </si>
  <si>
    <t>Slot/Wire arrangement</t>
  </si>
  <si>
    <t>18 x 2</t>
  </si>
  <si>
    <t>Effective cross section for coil</t>
  </si>
  <si>
    <t>FLC (A)</t>
  </si>
  <si>
    <t>Coil grouping</t>
  </si>
  <si>
    <t>Coil pitch (slot number)</t>
  </si>
  <si>
    <t>1 ~ 16 (intersperce One Coil)</t>
  </si>
  <si>
    <t>CODE</t>
  </si>
  <si>
    <t>Method of coil connection</t>
  </si>
  <si>
    <t>Adjacent</t>
  </si>
  <si>
    <t>S. F.</t>
  </si>
  <si>
    <t>Method of Connection</t>
  </si>
  <si>
    <t>Resistance per phase @ 20 °C</t>
  </si>
  <si>
    <t>Skip</t>
  </si>
  <si>
    <t>Coil Weight</t>
  </si>
  <si>
    <t>Wire1</t>
  </si>
  <si>
    <t xml:space="preserve">Nom.Eff. (%): </t>
  </si>
  <si>
    <t>(lbs.)</t>
  </si>
  <si>
    <t>Wire2</t>
  </si>
  <si>
    <t xml:space="preserve">Min.Eff. (%): </t>
  </si>
  <si>
    <r>
      <t>Current Densities (A/cm</t>
    </r>
    <r>
      <rPr>
        <b/>
        <i/>
        <vertAlign val="superscript"/>
        <sz val="12"/>
        <color indexed="8"/>
        <rFont val="Times New Roman"/>
        <family val="1"/>
      </rPr>
      <t>2</t>
    </r>
    <r>
      <rPr>
        <b/>
        <i/>
        <sz val="12"/>
        <color indexed="8"/>
        <rFont val="Times New Roman"/>
        <family val="1"/>
      </rPr>
      <t>)</t>
    </r>
  </si>
  <si>
    <t>Bar / ER</t>
  </si>
  <si>
    <t xml:space="preserve">P.F. (%): </t>
  </si>
  <si>
    <t>FL / LR</t>
  </si>
  <si>
    <t>427 / 2957</t>
  </si>
  <si>
    <t>447 / 326</t>
  </si>
  <si>
    <t>Stator Slot Shape                                       (Reference)</t>
  </si>
  <si>
    <t>Performance</t>
  </si>
  <si>
    <t>LRC (A)</t>
  </si>
  <si>
    <t xml:space="preserve"> - </t>
  </si>
  <si>
    <t>LRT (%)</t>
  </si>
  <si>
    <t>BDT (%)</t>
  </si>
  <si>
    <t>SLIP (%)</t>
  </si>
  <si>
    <t>IEEE-B</t>
  </si>
  <si>
    <t>Eff. (%)</t>
  </si>
  <si>
    <t>Rotor Slot Shape                                        (Reference)</t>
  </si>
  <si>
    <t>PF (%)</t>
  </si>
  <si>
    <t>Losses (Watts)</t>
  </si>
  <si>
    <t>Core</t>
  </si>
  <si>
    <t>F &amp; W</t>
  </si>
  <si>
    <t xml:space="preserve">Stray </t>
  </si>
  <si>
    <t>Note</t>
  </si>
  <si>
    <t>Top Hat WPII. Sleeve Bearing</t>
  </si>
  <si>
    <t>NOTE: 2000HP IS NOT SUITABLE FOR ASD DUTY</t>
  </si>
  <si>
    <t>F&amp;W Losses for A/F:  5000 W</t>
  </si>
  <si>
    <t>NOT SUITABLE FOR HAZARDOUS LOCATION</t>
  </si>
  <si>
    <t>SEE TIR-23847</t>
  </si>
  <si>
    <t>1T2M35U_REV1 Link to 1T2M35U_REV1 4000V</t>
  </si>
  <si>
    <t>Approved</t>
  </si>
  <si>
    <t>Design</t>
  </si>
  <si>
    <t>JERRY R</t>
  </si>
  <si>
    <t>Date</t>
  </si>
  <si>
    <t>REV0. FIRST ISSUE</t>
  </si>
  <si>
    <t>P</t>
  </si>
  <si>
    <t>T</t>
  </si>
  <si>
    <t>L</t>
  </si>
  <si>
    <t>PROJECT HISTORY</t>
  </si>
  <si>
    <t>E</t>
  </si>
  <si>
    <t>D</t>
  </si>
  <si>
    <t>I</t>
  </si>
  <si>
    <t>Y</t>
  </si>
  <si>
    <t>H</t>
  </si>
  <si>
    <t>R</t>
  </si>
  <si>
    <t>M</t>
  </si>
  <si>
    <t>C</t>
  </si>
  <si>
    <t>U</t>
  </si>
  <si>
    <t>N</t>
  </si>
  <si>
    <t>S</t>
  </si>
  <si>
    <t>V</t>
  </si>
  <si>
    <t>DATE</t>
  </si>
  <si>
    <t>SMART NUMBER</t>
  </si>
  <si>
    <t>QTY</t>
  </si>
  <si>
    <t>CUSTOMER</t>
  </si>
  <si>
    <t>REMARKS</t>
  </si>
  <si>
    <t>LIMIT CODE</t>
  </si>
  <si>
    <t>REVISION HISTORY</t>
  </si>
  <si>
    <t>REV</t>
  </si>
  <si>
    <t>INIT</t>
  </si>
  <si>
    <t>Winding Data Calculation</t>
  </si>
  <si>
    <t>MCL: 1295.0</t>
  </si>
  <si>
    <t>2 Wye Connection</t>
  </si>
  <si>
    <t>Coil Resistance</t>
  </si>
  <si>
    <t>Lead Resistance</t>
  </si>
  <si>
    <t xml:space="preserve">9T: </t>
  </si>
  <si>
    <t>0.0159 ~ 0.0153</t>
  </si>
  <si>
    <t>AWG. 3/0 x 3</t>
  </si>
  <si>
    <t/>
  </si>
  <si>
    <t>0.00058</t>
  </si>
  <si>
    <t>Coil Dimensions</t>
  </si>
  <si>
    <t>HM:</t>
  </si>
  <si>
    <t>9T: 25.12</t>
  </si>
  <si>
    <t>WM:</t>
  </si>
  <si>
    <t>9T: 10.76</t>
  </si>
  <si>
    <t>WT:</t>
  </si>
  <si>
    <t>14.60 ~ 14.20</t>
  </si>
  <si>
    <t>Insulation Allowance</t>
  </si>
  <si>
    <t>Wire Weight</t>
  </si>
  <si>
    <t>Depth:</t>
  </si>
  <si>
    <t>9.44</t>
  </si>
  <si>
    <t xml:space="preserve"> (.102"x.204")x 2: </t>
  </si>
  <si>
    <t>589 lbs.</t>
  </si>
  <si>
    <t>Width:</t>
  </si>
  <si>
    <t>3.74</t>
  </si>
  <si>
    <t>QC Resistance</t>
  </si>
  <si>
    <t xml:space="preserve">1-2, 2-3, 3-1: </t>
  </si>
  <si>
    <t>0.130 ~ 0.122</t>
  </si>
  <si>
    <t>Rating:</t>
  </si>
  <si>
    <t>Starting Performance</t>
  </si>
  <si>
    <t>Motor</t>
  </si>
  <si>
    <t xml:space="preserve">Load </t>
  </si>
  <si>
    <t>Accel.</t>
  </si>
  <si>
    <t xml:space="preserve"> Line</t>
  </si>
  <si>
    <t>Stator</t>
  </si>
  <si>
    <t>Rotor</t>
  </si>
  <si>
    <t>Speed Increment</t>
  </si>
  <si>
    <t>Time (s)</t>
  </si>
  <si>
    <t>kW / s</t>
  </si>
  <si>
    <t>0~360</t>
  </si>
  <si>
    <t>22.5</t>
  </si>
  <si>
    <t>360~720</t>
  </si>
  <si>
    <t>11.5</t>
  </si>
  <si>
    <t>720~1080</t>
  </si>
  <si>
    <t>7.0</t>
  </si>
  <si>
    <t>1080~1440</t>
  </si>
  <si>
    <t>1440~1800</t>
  </si>
  <si>
    <t>11.0</t>
  </si>
  <si>
    <t>1800~2160</t>
  </si>
  <si>
    <t>18.0</t>
  </si>
  <si>
    <t>2160~2520</t>
  </si>
  <si>
    <t>27.5</t>
  </si>
  <si>
    <t>2520~2880</t>
  </si>
  <si>
    <t>41.5</t>
  </si>
  <si>
    <t>2880~3060</t>
  </si>
  <si>
    <t>55.5</t>
  </si>
  <si>
    <t>3060~3240</t>
  </si>
  <si>
    <t>67.5</t>
  </si>
  <si>
    <t>3240~3420</t>
  </si>
  <si>
    <t>226.2</t>
  </si>
  <si>
    <t>80.5</t>
  </si>
  <si>
    <t>92.5</t>
  </si>
  <si>
    <t>Energy</t>
  </si>
  <si>
    <t>First Start</t>
  </si>
  <si>
    <t>Second Start</t>
  </si>
  <si>
    <t>Stator Winding Rise</t>
  </si>
  <si>
    <t>Rotor Bar Rise</t>
  </si>
  <si>
    <t>End Ring Rise</t>
  </si>
  <si>
    <t>Locked Rotor Thermal Capability</t>
  </si>
  <si>
    <t>Cold Condition</t>
  </si>
  <si>
    <t>Rate of Rise</t>
  </si>
  <si>
    <t>Power</t>
  </si>
  <si>
    <t>Rise Limit</t>
  </si>
  <si>
    <t>Max Time</t>
  </si>
  <si>
    <t>Stator Copper</t>
  </si>
  <si>
    <t>160°C</t>
  </si>
  <si>
    <t>Rotor Bar</t>
  </si>
  <si>
    <t>260°C</t>
  </si>
  <si>
    <t>Rotor ER</t>
  </si>
  <si>
    <t>180°C</t>
  </si>
  <si>
    <t>Hot Condition</t>
  </si>
  <si>
    <t>Hot Temp.</t>
  </si>
  <si>
    <t>Ambient</t>
  </si>
  <si>
    <t>Max.Time</t>
  </si>
  <si>
    <t>105°C    +</t>
  </si>
  <si>
    <t>55°C    +</t>
  </si>
  <si>
    <t>=    200°C</t>
  </si>
  <si>
    <t>149°C    +</t>
  </si>
  <si>
    <t>111°C   +</t>
  </si>
  <si>
    <t>=    300°C</t>
  </si>
  <si>
    <t>31°C   +</t>
  </si>
  <si>
    <t>=    220°C</t>
  </si>
  <si>
    <t>0.8 s</t>
  </si>
  <si>
    <t>Cold Stall Time:</t>
  </si>
  <si>
    <t>Hot Stall Time:</t>
  </si>
  <si>
    <t>DYKMAN ELECTRICAL</t>
  </si>
  <si>
    <t>2213503.1</t>
  </si>
  <si>
    <t>WP-II</t>
  </si>
  <si>
    <t>WT-10035612</t>
  </si>
  <si>
    <t>N/A</t>
  </si>
  <si>
    <t>H0102822</t>
  </si>
  <si>
    <t>M403WTQL11F-A</t>
  </si>
  <si>
    <r>
      <t>Type: TIKK - Form: DCW4 - 2 Pole -</t>
    </r>
    <r>
      <rPr>
        <b/>
        <sz val="12"/>
        <rFont val="Times New Roman"/>
        <family val="1"/>
      </rPr>
      <t>2000 HP - 4000 V - 60 Hz - 5811/12UDZ - Class F</t>
    </r>
  </si>
  <si>
    <t>Nameplate Data</t>
  </si>
  <si>
    <t>2 Pole - 2000.0 HP - 3600 RPM - 4000 V - 60 Hz</t>
  </si>
  <si>
    <t>Load Type: Fan / Pump - 1096.0 lb-ft²</t>
  </si>
  <si>
    <t>161.9</t>
  </si>
  <si>
    <t>0.376</t>
  </si>
  <si>
    <t>1477.2</t>
  </si>
  <si>
    <t>195.3</t>
  </si>
  <si>
    <t>953.0</t>
  </si>
  <si>
    <t>149.0</t>
  </si>
  <si>
    <t>0.381</t>
  </si>
  <si>
    <t>1466.9</t>
  </si>
  <si>
    <t>195.5</t>
  </si>
  <si>
    <t>786.9</t>
  </si>
  <si>
    <t>141.5</t>
  </si>
  <si>
    <t>0.389</t>
  </si>
  <si>
    <t>1455.3</t>
  </si>
  <si>
    <t>196.8</t>
  </si>
  <si>
    <t>670.4</t>
  </si>
  <si>
    <t>137.4</t>
  </si>
  <si>
    <t>0.401</t>
  </si>
  <si>
    <t>1442.5</t>
  </si>
  <si>
    <t>199.7</t>
  </si>
  <si>
    <t>582.2</t>
  </si>
  <si>
    <t>135.5</t>
  </si>
  <si>
    <t>0.421</t>
  </si>
  <si>
    <t>1428.0</t>
  </si>
  <si>
    <t>205.3</t>
  </si>
  <si>
    <t>512.3</t>
  </si>
  <si>
    <t>135.1</t>
  </si>
  <si>
    <t>0.447</t>
  </si>
  <si>
    <t>1411.4</t>
  </si>
  <si>
    <t>213.5</t>
  </si>
  <si>
    <t>450.4</t>
  </si>
  <si>
    <t>135.3</t>
  </si>
  <si>
    <t>0.486</t>
  </si>
  <si>
    <t>1391.3</t>
  </si>
  <si>
    <t>392.3</t>
  </si>
  <si>
    <t>138.5</t>
  </si>
  <si>
    <t>0.540</t>
  </si>
  <si>
    <t>1360.7</t>
  </si>
  <si>
    <t>243.4</t>
  </si>
  <si>
    <t>327.2</t>
  </si>
  <si>
    <t>147.8</t>
  </si>
  <si>
    <t>0.284</t>
  </si>
  <si>
    <t>1321.2</t>
  </si>
  <si>
    <t>120.8</t>
  </si>
  <si>
    <t>239.7</t>
  </si>
  <si>
    <t>168.4</t>
  </si>
  <si>
    <t>0.259</t>
  </si>
  <si>
    <t>1255.8</t>
  </si>
  <si>
    <t>104.0</t>
  </si>
  <si>
    <t>179.0</t>
  </si>
  <si>
    <t>196.4</t>
  </si>
  <si>
    <t>0.226</t>
  </si>
  <si>
    <t>1071.7</t>
  </si>
  <si>
    <t>78.4</t>
  </si>
  <si>
    <t>123.2</t>
  </si>
  <si>
    <t>3420~3565</t>
  </si>
  <si>
    <t>155.0</t>
  </si>
  <si>
    <t>0.336</t>
  </si>
  <si>
    <t>597.6</t>
  </si>
  <si>
    <t>5.1</t>
  </si>
  <si>
    <t>25.8</t>
  </si>
  <si>
    <t>Acceleration Time:  4.5 s</t>
  </si>
  <si>
    <t>1984 kW / s</t>
  </si>
  <si>
    <t>18°C</t>
  </si>
  <si>
    <t>37°C</t>
  </si>
  <si>
    <t>3981 kW / s</t>
  </si>
  <si>
    <t>359°C</t>
  </si>
  <si>
    <t>1262 kW / s</t>
  </si>
  <si>
    <t>76°C</t>
  </si>
  <si>
    <t>151°C</t>
  </si>
  <si>
    <t>6.3°C / s</t>
  </si>
  <si>
    <t>680.4 kW</t>
  </si>
  <si>
    <t>25.5 s</t>
  </si>
  <si>
    <t>86.9°C / s</t>
  </si>
  <si>
    <t>1926.0 kW</t>
  </si>
  <si>
    <t>3.0 s</t>
  </si>
  <si>
    <t>36.6°C / s</t>
  </si>
  <si>
    <t>610.4 kW</t>
  </si>
  <si>
    <t>4.9 s</t>
  </si>
  <si>
    <t>8.8 s</t>
  </si>
  <si>
    <t>1.3 s</t>
  </si>
  <si>
    <t>15.0 s</t>
  </si>
  <si>
    <t>7.0 s</t>
  </si>
  <si>
    <t>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</si>
</sst>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General_)"/>
    <numFmt numFmtId="165" formatCode="0.0"/>
    <numFmt numFmtId="166" formatCode="0.00000"/>
    <numFmt numFmtId="167" formatCode="0.0000"/>
    <numFmt numFmtId="168" formatCode="0.000"/>
    <numFmt numFmtId="169" formatCode="0.0%"/>
    <numFmt numFmtId="170" formatCode=".0000"/>
    <numFmt numFmtId="171" formatCode="mm/dd/yy"/>
    <numFmt numFmtId="172" formatCode="0.00_);\(0.00\)"/>
  </numFmts>
  <fonts count="66">
    <font>
      <sz val="11"/>
      <color theme="1"/>
      <name val="Calibri"/>
      <family val="2"/>
      <scheme val="minor"/>
    </font>
    <font>
      <sz val="12"/>
      <name val="Helv"/>
    </font>
    <font>
      <sz val="12"/>
      <name val="Univers (W1)"/>
    </font>
    <font>
      <b/>
      <sz val="13"/>
      <name val="Univers (W1)"/>
      <family val="2"/>
    </font>
    <font>
      <sz val="12"/>
      <name val="Univers (W1)"/>
      <family val="2"/>
    </font>
    <font>
      <sz val="10"/>
      <name val="Univers (W1)"/>
      <family val="2"/>
    </font>
    <font>
      <sz val="12"/>
      <name val="Lucida Handwriting"/>
      <family val="4"/>
    </font>
    <font>
      <sz val="9"/>
      <name val="Univers (W1)"/>
      <family val="2"/>
    </font>
    <font>
      <b/>
      <sz val="10"/>
      <name val="Univers (W1)"/>
      <family val="2"/>
    </font>
    <font>
      <sz val="13"/>
      <name val="Univers (W1)"/>
      <family val="2"/>
    </font>
    <font>
      <sz val="8"/>
      <name val="Univers (W1)"/>
      <family val="2"/>
    </font>
    <font>
      <sz val="12"/>
      <name val="Script"/>
      <family val="4"/>
      <charset val="255"/>
    </font>
    <font>
      <sz val="15"/>
      <name val="Univers (W1)"/>
      <family val="2"/>
    </font>
    <font>
      <sz val="14"/>
      <name val="Univers (W1)"/>
      <family val="2"/>
    </font>
    <font>
      <b/>
      <sz val="8"/>
      <color indexed="81"/>
      <name val="Tahoma"/>
      <family val="2"/>
    </font>
    <font>
      <sz val="8"/>
      <color indexed="81"/>
      <name val="Tahoma"/>
      <family val="2"/>
    </font>
    <font>
      <sz val="10"/>
      <name val="Arial"/>
      <family val="2"/>
    </font>
    <font>
      <sz val="10"/>
      <name val="Times New Roman"/>
      <family val="1"/>
    </font>
    <font>
      <i/>
      <sz val="10"/>
      <name val="Times New Roman"/>
      <family val="1"/>
    </font>
    <font>
      <sz val="14"/>
      <name val="Times New Roman"/>
      <family val="1"/>
    </font>
    <font>
      <b/>
      <i/>
      <sz val="14"/>
      <name val="Times New Roman"/>
      <family val="1"/>
    </font>
    <font>
      <b/>
      <u/>
      <sz val="16"/>
      <name val="Times New Roman"/>
      <family val="1"/>
    </font>
    <font>
      <b/>
      <u/>
      <sz val="22"/>
      <name val="Times New Roman"/>
      <family val="1"/>
    </font>
    <font>
      <sz val="10"/>
      <color indexed="9"/>
      <name val="Arial"/>
      <family val="2"/>
    </font>
    <font>
      <sz val="10"/>
      <color indexed="8"/>
      <name val="Arial"/>
      <family val="2"/>
    </font>
    <font>
      <b/>
      <i/>
      <u/>
      <sz val="14"/>
      <name val="Times New Roman"/>
      <family val="1"/>
    </font>
    <font>
      <sz val="10"/>
      <color indexed="10"/>
      <name val="Arial"/>
      <family val="2"/>
    </font>
    <font>
      <b/>
      <sz val="14"/>
      <name val="Times New Roman"/>
      <family val="1"/>
    </font>
    <font>
      <i/>
      <sz val="9"/>
      <name val="Times New Roman"/>
      <family val="1"/>
    </font>
    <font>
      <b/>
      <i/>
      <sz val="10"/>
      <name val="Times New Roman"/>
      <family val="1"/>
    </font>
    <font>
      <b/>
      <sz val="10"/>
      <name val="Times New Roman"/>
      <family val="1"/>
    </font>
    <font>
      <i/>
      <vertAlign val="superscript"/>
      <sz val="10"/>
      <name val="Times New Roman"/>
      <family val="1"/>
    </font>
    <font>
      <sz val="8"/>
      <name val="Times New Roman"/>
      <family val="1"/>
    </font>
    <font>
      <b/>
      <sz val="16"/>
      <name val="Times New Roman"/>
      <family val="1"/>
    </font>
    <font>
      <sz val="9"/>
      <color indexed="8"/>
      <name val="Times New Roman"/>
      <family val="1"/>
    </font>
    <font>
      <sz val="12"/>
      <color indexed="8"/>
      <name val="Univers (W1)"/>
    </font>
    <font>
      <b/>
      <sz val="14"/>
      <color indexed="8"/>
      <name val="Times New Roman"/>
      <family val="1"/>
    </font>
    <font>
      <b/>
      <i/>
      <sz val="12"/>
      <color indexed="8"/>
      <name val="Times New Roman"/>
      <family val="1"/>
    </font>
    <font>
      <sz val="12"/>
      <color indexed="8"/>
      <name val="Times New Roman"/>
      <family val="1"/>
    </font>
    <font>
      <sz val="11"/>
      <color indexed="8"/>
      <name val="Times New Roman"/>
      <family val="1"/>
    </font>
    <font>
      <b/>
      <sz val="12"/>
      <name val="Times New Roman"/>
      <family val="1"/>
    </font>
    <font>
      <sz val="10"/>
      <color indexed="8"/>
      <name val="Times New Roman"/>
      <family val="1"/>
    </font>
    <font>
      <b/>
      <sz val="12"/>
      <color indexed="8"/>
      <name val="Times New Roman"/>
      <family val="1"/>
    </font>
    <font>
      <sz val="10"/>
      <color indexed="8"/>
      <name val="Univers (W1)"/>
    </font>
    <font>
      <b/>
      <i/>
      <sz val="11"/>
      <color indexed="8"/>
      <name val="Times New Roman"/>
      <family val="1"/>
    </font>
    <font>
      <sz val="8"/>
      <color indexed="8"/>
      <name val="Times New Roman"/>
      <family val="1"/>
    </font>
    <font>
      <i/>
      <sz val="10"/>
      <color indexed="8"/>
      <name val="Times New Roman"/>
      <family val="1"/>
    </font>
    <font>
      <b/>
      <sz val="11"/>
      <color indexed="8"/>
      <name val="Univers (W1)"/>
      <family val="2"/>
    </font>
    <font>
      <b/>
      <sz val="10"/>
      <color indexed="8"/>
      <name val="Univers (W1)"/>
    </font>
    <font>
      <i/>
      <sz val="11"/>
      <color indexed="8"/>
      <name val="Times New Roman"/>
      <family val="1"/>
    </font>
    <font>
      <b/>
      <i/>
      <sz val="11"/>
      <color indexed="8"/>
      <name val="Univers (W1)"/>
      <family val="2"/>
    </font>
    <font>
      <i/>
      <sz val="11"/>
      <color indexed="8"/>
      <name val="Symbol"/>
      <family val="1"/>
      <charset val="2"/>
    </font>
    <font>
      <i/>
      <sz val="9"/>
      <color indexed="8"/>
      <name val="Times New Roman"/>
      <family val="1"/>
    </font>
    <font>
      <i/>
      <sz val="8"/>
      <color indexed="8"/>
      <name val="Times New Roman"/>
      <family val="1"/>
    </font>
    <font>
      <b/>
      <i/>
      <sz val="10"/>
      <color indexed="8"/>
      <name val="Times New Roman"/>
      <family val="1"/>
    </font>
    <font>
      <b/>
      <sz val="9"/>
      <color indexed="8"/>
      <name val="Univers (W1)"/>
    </font>
    <font>
      <b/>
      <sz val="10"/>
      <color indexed="8"/>
      <name val="Times New Roman"/>
      <family val="1"/>
    </font>
    <font>
      <b/>
      <i/>
      <vertAlign val="superscript"/>
      <sz val="12"/>
      <color indexed="8"/>
      <name val="Times New Roman"/>
      <family val="1"/>
    </font>
    <font>
      <b/>
      <i/>
      <sz val="12"/>
      <color indexed="8"/>
      <name val="Brush Script MT"/>
      <family val="4"/>
    </font>
    <font>
      <b/>
      <i/>
      <sz val="12"/>
      <color indexed="8"/>
      <name val="Bradley Hand ITC"/>
      <family val="4"/>
    </font>
    <font>
      <b/>
      <sz val="10"/>
      <name val="Arial"/>
      <family val="2"/>
    </font>
    <font>
      <b/>
      <sz val="14"/>
      <name val="Arial"/>
      <family val="2"/>
    </font>
    <font>
      <b/>
      <sz val="12"/>
      <name val="Arial"/>
      <family val="2"/>
    </font>
    <font>
      <sz val="12"/>
      <name val="Times New Roman"/>
      <family val="1"/>
    </font>
    <font>
      <b/>
      <i/>
      <sz val="12"/>
      <name val="Times New Roman"/>
      <family val="1"/>
    </font>
    <font>
      <i/>
      <sz val="12"/>
      <name val="Times New Roman"/>
      <family val="1"/>
    </font>
  </fonts>
  <fills count="5">
    <fill>
      <patternFill patternType="none"/>
    </fill>
    <fill>
      <patternFill patternType="gray125"/>
    </fill>
    <fill>
      <patternFill patternType="solid">
        <fgColor indexed="9"/>
        <bgColor indexed="64"/>
      </patternFill>
    </fill>
    <fill>
      <patternFill patternType="solid">
        <fgColor theme="9" tint="0.59999389629810485"/>
        <bgColor indexed="64"/>
      </patternFill>
    </fill>
    <fill>
      <patternFill patternType="solid">
        <fgColor theme="6" tint="0.59999389629810485"/>
        <bgColor indexed="64"/>
      </patternFill>
    </fill>
  </fills>
  <borders count="147">
    <border>
      <left/>
      <right/>
      <top/>
      <bottom/>
      <diagonal/>
    </border>
    <border>
      <left/>
      <right/>
      <top/>
      <bottom style="thin">
        <color indexed="8"/>
      </bottom>
      <diagonal/>
    </border>
    <border>
      <left/>
      <right style="medium">
        <color indexed="64"/>
      </right>
      <top style="dashed">
        <color indexed="64"/>
      </top>
      <bottom style="medium">
        <color indexed="64"/>
      </bottom>
      <diagonal/>
    </border>
    <border>
      <left/>
      <right/>
      <top style="dashed">
        <color indexed="64"/>
      </top>
      <bottom style="medium">
        <color indexed="64"/>
      </bottom>
      <diagonal/>
    </border>
    <border>
      <left style="medium">
        <color indexed="64"/>
      </left>
      <right/>
      <top style="dashed">
        <color indexed="64"/>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dotted">
        <color indexed="64"/>
      </top>
      <bottom style="dashed">
        <color indexed="64"/>
      </bottom>
      <diagonal/>
    </border>
    <border>
      <left/>
      <right/>
      <top style="dotted">
        <color indexed="64"/>
      </top>
      <bottom style="dashed">
        <color indexed="64"/>
      </bottom>
      <diagonal/>
    </border>
    <border>
      <left style="medium">
        <color indexed="64"/>
      </left>
      <right/>
      <top style="dotted">
        <color indexed="64"/>
      </top>
      <bottom style="dashed">
        <color indexed="64"/>
      </bottom>
      <diagonal/>
    </border>
    <border>
      <left/>
      <right style="medium">
        <color indexed="64"/>
      </right>
      <top/>
      <bottom style="dotted">
        <color indexed="64"/>
      </bottom>
      <diagonal/>
    </border>
    <border>
      <left/>
      <right/>
      <top/>
      <bottom style="dotted">
        <color indexed="64"/>
      </bottom>
      <diagonal/>
    </border>
    <border>
      <left style="medium">
        <color indexed="64"/>
      </left>
      <right/>
      <top/>
      <bottom style="dotted">
        <color indexed="64"/>
      </bottom>
      <diagonal/>
    </border>
    <border>
      <left/>
      <right style="medium">
        <color indexed="64"/>
      </right>
      <top style="medium">
        <color indexed="64"/>
      </top>
      <bottom style="double">
        <color indexed="64"/>
      </bottom>
      <diagonal/>
    </border>
    <border>
      <left/>
      <right/>
      <top style="medium">
        <color indexed="64"/>
      </top>
      <bottom style="double">
        <color indexed="64"/>
      </bottom>
      <diagonal/>
    </border>
    <border>
      <left style="medium">
        <color indexed="64"/>
      </left>
      <right/>
      <top style="medium">
        <color indexed="64"/>
      </top>
      <bottom style="double">
        <color indexed="64"/>
      </bottom>
      <diagonal/>
    </border>
    <border>
      <left/>
      <right style="medium">
        <color indexed="64"/>
      </right>
      <top/>
      <bottom style="medium">
        <color indexed="64"/>
      </bottom>
      <diagonal/>
    </border>
    <border>
      <left/>
      <right/>
      <top/>
      <bottom style="medium">
        <color indexed="64"/>
      </bottom>
      <diagonal/>
    </border>
    <border>
      <left/>
      <right style="thin">
        <color indexed="64"/>
      </right>
      <top/>
      <bottom style="medium">
        <color indexed="64"/>
      </bottom>
      <diagonal/>
    </border>
    <border>
      <left style="medium">
        <color indexed="64"/>
      </left>
      <right/>
      <top/>
      <bottom style="medium">
        <color indexed="64"/>
      </bottom>
      <diagonal/>
    </border>
    <border>
      <left/>
      <right style="thin">
        <color indexed="64"/>
      </right>
      <top/>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8"/>
      </bottom>
      <diagonal/>
    </border>
    <border>
      <left/>
      <right/>
      <top style="medium">
        <color indexed="64"/>
      </top>
      <bottom style="double">
        <color indexed="8"/>
      </bottom>
      <diagonal/>
    </border>
    <border>
      <left style="medium">
        <color indexed="64"/>
      </left>
      <right/>
      <top style="medium">
        <color indexed="64"/>
      </top>
      <bottom style="double">
        <color indexed="8"/>
      </bottom>
      <diagonal/>
    </border>
    <border>
      <left/>
      <right style="medium">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hair">
        <color indexed="23"/>
      </right>
      <top/>
      <bottom/>
      <diagonal/>
    </border>
    <border>
      <left style="hair">
        <color indexed="23"/>
      </left>
      <right style="hair">
        <color indexed="23"/>
      </right>
      <top/>
      <bottom/>
      <diagonal/>
    </border>
    <border>
      <left style="medium">
        <color indexed="64"/>
      </left>
      <right style="hair">
        <color indexed="23"/>
      </right>
      <top/>
      <bottom style="hair">
        <color indexed="23"/>
      </bottom>
      <diagonal/>
    </border>
    <border>
      <left style="hair">
        <color indexed="23"/>
      </left>
      <right style="hair">
        <color indexed="23"/>
      </right>
      <top/>
      <bottom style="hair">
        <color indexed="23"/>
      </bottom>
      <diagonal/>
    </border>
    <border>
      <left style="hair">
        <color indexed="23"/>
      </left>
      <right/>
      <top/>
      <bottom/>
      <diagonal/>
    </border>
    <border>
      <left style="medium">
        <color indexed="64"/>
      </left>
      <right style="hair">
        <color indexed="23"/>
      </right>
      <top style="hair">
        <color indexed="23"/>
      </top>
      <bottom style="hair">
        <color indexed="23"/>
      </bottom>
      <diagonal/>
    </border>
    <border>
      <left style="hair">
        <color indexed="23"/>
      </left>
      <right style="hair">
        <color indexed="23"/>
      </right>
      <top style="hair">
        <color indexed="23"/>
      </top>
      <bottom style="hair">
        <color indexed="23"/>
      </bottom>
      <diagonal/>
    </border>
    <border>
      <left style="hair">
        <color indexed="23"/>
      </left>
      <right/>
      <top style="hair">
        <color indexed="55"/>
      </top>
      <bottom style="hair">
        <color indexed="55"/>
      </bottom>
      <diagonal/>
    </border>
    <border>
      <left/>
      <right style="thin">
        <color indexed="64"/>
      </right>
      <top style="hair">
        <color indexed="55"/>
      </top>
      <bottom style="hair">
        <color indexed="55"/>
      </bottom>
      <diagonal/>
    </border>
    <border>
      <left style="thin">
        <color indexed="64"/>
      </left>
      <right/>
      <top style="hair">
        <color indexed="23"/>
      </top>
      <bottom style="hair">
        <color indexed="23"/>
      </bottom>
      <diagonal/>
    </border>
    <border>
      <left/>
      <right/>
      <top style="hair">
        <color indexed="23"/>
      </top>
      <bottom style="hair">
        <color indexed="23"/>
      </bottom>
      <diagonal/>
    </border>
    <border>
      <left/>
      <right style="hair">
        <color indexed="23"/>
      </right>
      <top style="hair">
        <color indexed="23"/>
      </top>
      <bottom style="hair">
        <color indexed="23"/>
      </bottom>
      <diagonal/>
    </border>
    <border>
      <left style="thin">
        <color indexed="64"/>
      </left>
      <right/>
      <top/>
      <bottom style="hair">
        <color indexed="23"/>
      </bottom>
      <diagonal/>
    </border>
    <border>
      <left/>
      <right/>
      <top/>
      <bottom style="hair">
        <color indexed="23"/>
      </bottom>
      <diagonal/>
    </border>
    <border>
      <left/>
      <right style="hair">
        <color indexed="23"/>
      </right>
      <top/>
      <bottom style="hair">
        <color indexed="23"/>
      </bottom>
      <diagonal/>
    </border>
    <border>
      <left style="medium">
        <color indexed="64"/>
      </left>
      <right/>
      <top style="hair">
        <color indexed="23"/>
      </top>
      <bottom style="hair">
        <color indexed="23"/>
      </bottom>
      <diagonal/>
    </border>
    <border>
      <left style="thin">
        <color indexed="64"/>
      </left>
      <right/>
      <top style="hair">
        <color indexed="23"/>
      </top>
      <bottom style="thin">
        <color indexed="64"/>
      </bottom>
      <diagonal/>
    </border>
    <border>
      <left/>
      <right/>
      <top style="hair">
        <color indexed="23"/>
      </top>
      <bottom style="thin">
        <color indexed="64"/>
      </bottom>
      <diagonal/>
    </border>
    <border>
      <left style="hair">
        <color indexed="23"/>
      </left>
      <right style="hair">
        <color indexed="23"/>
      </right>
      <top style="hair">
        <color indexed="23"/>
      </top>
      <bottom style="thin">
        <color indexed="64"/>
      </bottom>
      <diagonal/>
    </border>
    <border>
      <left style="thin">
        <color indexed="64"/>
      </left>
      <right/>
      <top style="thin">
        <color indexed="64"/>
      </top>
      <bottom style="hair">
        <color indexed="23"/>
      </bottom>
      <diagonal/>
    </border>
    <border>
      <left/>
      <right/>
      <top style="thin">
        <color indexed="64"/>
      </top>
      <bottom style="hair">
        <color indexed="23"/>
      </bottom>
      <diagonal/>
    </border>
    <border>
      <left style="hair">
        <color indexed="23"/>
      </left>
      <right/>
      <top style="hair">
        <color indexed="23"/>
      </top>
      <bottom style="hair">
        <color indexed="23"/>
      </bottom>
      <diagonal/>
    </border>
    <border>
      <left/>
      <right style="medium">
        <color indexed="64"/>
      </right>
      <top style="thin">
        <color indexed="64"/>
      </top>
      <bottom style="hair">
        <color indexed="23"/>
      </bottom>
      <diagonal/>
    </border>
    <border>
      <left style="thin">
        <color indexed="64"/>
      </left>
      <right/>
      <top style="hair">
        <color indexed="23"/>
      </top>
      <bottom/>
      <diagonal/>
    </border>
    <border>
      <left/>
      <right/>
      <top style="hair">
        <color indexed="23"/>
      </top>
      <bottom/>
      <diagonal/>
    </border>
    <border>
      <left style="medium">
        <color indexed="64"/>
      </left>
      <right/>
      <top style="hair">
        <color indexed="55"/>
      </top>
      <bottom style="hair">
        <color indexed="55"/>
      </bottom>
      <diagonal/>
    </border>
    <border>
      <left/>
      <right/>
      <top style="hair">
        <color indexed="55"/>
      </top>
      <bottom style="hair">
        <color indexed="55"/>
      </bottom>
      <diagonal/>
    </border>
    <border>
      <left/>
      <right style="hair">
        <color indexed="55"/>
      </right>
      <top style="hair">
        <color indexed="55"/>
      </top>
      <bottom style="hair">
        <color indexed="55"/>
      </bottom>
      <diagonal/>
    </border>
    <border>
      <left style="hair">
        <color indexed="55"/>
      </left>
      <right/>
      <top style="hair">
        <color indexed="55"/>
      </top>
      <bottom style="hair">
        <color indexed="55"/>
      </bottom>
      <diagonal/>
    </border>
    <border>
      <left/>
      <right style="hair">
        <color indexed="55"/>
      </right>
      <top style="hair">
        <color indexed="55"/>
      </top>
      <bottom style="hair">
        <color indexed="23"/>
      </bottom>
      <diagonal/>
    </border>
    <border>
      <left style="medium">
        <color indexed="64"/>
      </left>
      <right style="hair">
        <color indexed="23"/>
      </right>
      <top/>
      <bottom/>
      <diagonal/>
    </border>
    <border>
      <left style="hair">
        <color indexed="23"/>
      </left>
      <right/>
      <top style="hair">
        <color indexed="23"/>
      </top>
      <bottom/>
      <diagonal/>
    </border>
    <border>
      <left/>
      <right style="hair">
        <color indexed="23"/>
      </right>
      <top style="hair">
        <color indexed="23"/>
      </top>
      <bottom/>
      <diagonal/>
    </border>
    <border>
      <left style="medium">
        <color indexed="64"/>
      </left>
      <right style="hair">
        <color indexed="23"/>
      </right>
      <top/>
      <bottom style="thin">
        <color indexed="64"/>
      </bottom>
      <diagonal/>
    </border>
    <border>
      <left/>
      <right style="hair">
        <color indexed="23"/>
      </right>
      <top style="hair">
        <color indexed="23"/>
      </top>
      <bottom style="thin">
        <color indexed="64"/>
      </bottom>
      <diagonal/>
    </border>
    <border>
      <left style="hair">
        <color indexed="23"/>
      </left>
      <right/>
      <top style="hair">
        <color indexed="55"/>
      </top>
      <bottom style="thin">
        <color indexed="64"/>
      </bottom>
      <diagonal/>
    </border>
    <border>
      <left/>
      <right style="thin">
        <color indexed="64"/>
      </right>
      <top style="hair">
        <color indexed="55"/>
      </top>
      <bottom style="thin">
        <color indexed="64"/>
      </bottom>
      <diagonal/>
    </border>
    <border>
      <left style="medium">
        <color indexed="64"/>
      </left>
      <right/>
      <top style="thin">
        <color indexed="64"/>
      </top>
      <bottom/>
      <diagonal/>
    </border>
    <border>
      <left style="hair">
        <color indexed="23"/>
      </left>
      <right/>
      <top/>
      <bottom style="hair">
        <color indexed="23"/>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right style="hair">
        <color indexed="23"/>
      </right>
      <top style="hair">
        <color indexed="64"/>
      </top>
      <bottom style="thin">
        <color indexed="64"/>
      </bottom>
      <diagonal/>
    </border>
    <border>
      <left style="hair">
        <color indexed="23"/>
      </left>
      <right/>
      <top style="hair">
        <color indexed="23"/>
      </top>
      <bottom style="thin">
        <color indexed="64"/>
      </bottom>
      <diagonal/>
    </border>
    <border>
      <left style="thin">
        <color indexed="64"/>
      </left>
      <right/>
      <top/>
      <bottom style="hair">
        <color indexed="55"/>
      </bottom>
      <diagonal/>
    </border>
    <border>
      <left/>
      <right style="hair">
        <color indexed="23"/>
      </right>
      <top/>
      <bottom style="hair">
        <color indexed="55"/>
      </bottom>
      <diagonal/>
    </border>
    <border>
      <left style="hair">
        <color indexed="23"/>
      </left>
      <right style="hair">
        <color indexed="23"/>
      </right>
      <top style="hair">
        <color indexed="23"/>
      </top>
      <bottom style="hair">
        <color indexed="55"/>
      </bottom>
      <diagonal/>
    </border>
    <border>
      <left style="hair">
        <color indexed="23"/>
      </left>
      <right/>
      <top style="hair">
        <color indexed="23"/>
      </top>
      <bottom style="hair">
        <color indexed="55"/>
      </bottom>
      <diagonal/>
    </border>
    <border>
      <left style="medium">
        <color indexed="64"/>
      </left>
      <right style="hair">
        <color indexed="23"/>
      </right>
      <top style="medium">
        <color indexed="64"/>
      </top>
      <bottom style="hair">
        <color indexed="64"/>
      </bottom>
      <diagonal/>
    </border>
    <border>
      <left style="hair">
        <color indexed="23"/>
      </left>
      <right/>
      <top style="medium">
        <color indexed="64"/>
      </top>
      <bottom style="hair">
        <color indexed="23"/>
      </bottom>
      <diagonal/>
    </border>
    <border>
      <left/>
      <right style="hair">
        <color indexed="23"/>
      </right>
      <top style="medium">
        <color indexed="64"/>
      </top>
      <bottom style="hair">
        <color indexed="23"/>
      </bottom>
      <diagonal/>
    </border>
    <border>
      <left/>
      <right/>
      <top style="medium">
        <color indexed="64"/>
      </top>
      <bottom style="hair">
        <color indexed="23"/>
      </bottom>
      <diagonal/>
    </border>
    <border>
      <left style="hair">
        <color indexed="64"/>
      </left>
      <right style="medium">
        <color indexed="64"/>
      </right>
      <top style="medium">
        <color indexed="64"/>
      </top>
      <bottom style="hair">
        <color indexed="23"/>
      </bottom>
      <diagonal/>
    </border>
    <border>
      <left style="medium">
        <color indexed="64"/>
      </left>
      <right style="hair">
        <color indexed="64"/>
      </right>
      <top/>
      <bottom style="medium">
        <color indexed="64"/>
      </bottom>
      <diagonal/>
    </border>
    <border>
      <left style="hair">
        <color indexed="64"/>
      </left>
      <right/>
      <top style="hair">
        <color indexed="23"/>
      </top>
      <bottom style="medium">
        <color indexed="64"/>
      </bottom>
      <diagonal/>
    </border>
    <border>
      <left/>
      <right style="hair">
        <color indexed="23"/>
      </right>
      <top style="hair">
        <color indexed="23"/>
      </top>
      <bottom style="medium">
        <color indexed="64"/>
      </bottom>
      <diagonal/>
    </border>
    <border>
      <left style="hair">
        <color indexed="23"/>
      </left>
      <right style="medium">
        <color indexed="64"/>
      </right>
      <top/>
      <bottom style="medium">
        <color indexed="64"/>
      </bottom>
      <diagonal/>
    </border>
    <border>
      <left/>
      <right/>
      <top style="hair">
        <color indexed="23"/>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s>
  <cellStyleXfs count="7">
    <xf numFmtId="0" fontId="0" fillId="0" borderId="0"/>
    <xf numFmtId="164" fontId="1" fillId="0" borderId="0"/>
    <xf numFmtId="0" fontId="16" fillId="0" borderId="0"/>
    <xf numFmtId="0" fontId="2" fillId="0" borderId="0"/>
    <xf numFmtId="0" fontId="2" fillId="0" borderId="0"/>
    <xf numFmtId="0" fontId="16" fillId="0" borderId="0"/>
    <xf numFmtId="164" fontId="1" fillId="0" borderId="0"/>
  </cellStyleXfs>
  <cellXfs count="676">
    <xf numFmtId="0" fontId="0" fillId="0" borderId="0" xfId="0"/>
    <xf numFmtId="164" fontId="1" fillId="0" borderId="0" xfId="1"/>
    <xf numFmtId="164" fontId="1" fillId="0" borderId="0" xfId="1" applyAlignment="1">
      <alignment horizontal="right"/>
    </xf>
    <xf numFmtId="164" fontId="3" fillId="0" borderId="0" xfId="1" applyFont="1" applyAlignment="1" applyProtection="1">
      <alignment horizontal="right"/>
    </xf>
    <xf numFmtId="164" fontId="4" fillId="0" borderId="0" xfId="1" applyFont="1"/>
    <xf numFmtId="164" fontId="5" fillId="0" borderId="0" xfId="1" applyFont="1" applyAlignment="1">
      <alignment horizontal="left"/>
    </xf>
    <xf numFmtId="164" fontId="7" fillId="0" borderId="2" xfId="1" applyFont="1" applyBorder="1" applyAlignment="1">
      <alignment horizontal="left"/>
    </xf>
    <xf numFmtId="164" fontId="7" fillId="0" borderId="3" xfId="1" applyFont="1" applyBorder="1" applyAlignment="1">
      <alignment horizontal="left"/>
    </xf>
    <xf numFmtId="164" fontId="7" fillId="0" borderId="4" xfId="1" applyFont="1" applyBorder="1" applyAlignment="1">
      <alignment horizontal="left"/>
    </xf>
    <xf numFmtId="164" fontId="7" fillId="0" borderId="5" xfId="1" applyFont="1" applyBorder="1" applyAlignment="1">
      <alignment horizontal="left"/>
    </xf>
    <xf numFmtId="164" fontId="7" fillId="0" borderId="0" xfId="1" applyFont="1" applyBorder="1" applyAlignment="1">
      <alignment horizontal="left"/>
    </xf>
    <xf numFmtId="164" fontId="7" fillId="0" borderId="6" xfId="1" applyFont="1" applyBorder="1" applyAlignment="1">
      <alignment horizontal="left"/>
    </xf>
    <xf numFmtId="164" fontId="7" fillId="0" borderId="0" xfId="1" quotePrefix="1" applyFont="1" applyBorder="1" applyAlignment="1" applyProtection="1">
      <alignment horizontal="left"/>
    </xf>
    <xf numFmtId="164" fontId="7" fillId="0" borderId="6" xfId="1" quotePrefix="1" applyFont="1" applyBorder="1" applyAlignment="1" applyProtection="1">
      <alignment horizontal="left"/>
    </xf>
    <xf numFmtId="164" fontId="7" fillId="0" borderId="7" xfId="1" applyFont="1" applyBorder="1" applyAlignment="1">
      <alignment horizontal="left"/>
    </xf>
    <xf numFmtId="164" fontId="7" fillId="0" borderId="8" xfId="1" applyFont="1" applyBorder="1" applyAlignment="1">
      <alignment horizontal="left"/>
    </xf>
    <xf numFmtId="164" fontId="7" fillId="0" borderId="9" xfId="1" applyFont="1" applyBorder="1" applyAlignment="1">
      <alignment horizontal="left"/>
    </xf>
    <xf numFmtId="164" fontId="7" fillId="0" borderId="10" xfId="1" applyFont="1" applyBorder="1" applyAlignment="1">
      <alignment horizontal="left"/>
    </xf>
    <xf numFmtId="164" fontId="7" fillId="0" borderId="11" xfId="1" applyFont="1" applyBorder="1" applyAlignment="1">
      <alignment horizontal="left"/>
    </xf>
    <xf numFmtId="164" fontId="7" fillId="0" borderId="12" xfId="1" applyFont="1" applyBorder="1" applyAlignment="1">
      <alignment horizontal="left"/>
    </xf>
    <xf numFmtId="164" fontId="7" fillId="0" borderId="6" xfId="1" quotePrefix="1" applyFont="1" applyBorder="1" applyAlignment="1">
      <alignment horizontal="left"/>
    </xf>
    <xf numFmtId="164" fontId="5" fillId="0" borderId="13" xfId="1" applyFont="1" applyBorder="1" applyAlignment="1">
      <alignment horizontal="left"/>
    </xf>
    <xf numFmtId="164" fontId="5" fillId="0" borderId="14" xfId="1" applyFont="1" applyBorder="1" applyAlignment="1">
      <alignment horizontal="left"/>
    </xf>
    <xf numFmtId="164" fontId="4" fillId="0" borderId="15" xfId="1" applyFont="1" applyBorder="1"/>
    <xf numFmtId="164" fontId="4" fillId="0" borderId="0" xfId="1" applyFont="1" applyAlignment="1">
      <alignment horizontal="left"/>
    </xf>
    <xf numFmtId="164" fontId="4" fillId="0" borderId="0" xfId="1" applyFont="1" applyBorder="1" applyAlignment="1">
      <alignment horizontal="left"/>
    </xf>
    <xf numFmtId="164" fontId="7" fillId="0" borderId="16" xfId="1" applyFont="1" applyBorder="1"/>
    <xf numFmtId="164" fontId="7" fillId="0" borderId="17" xfId="1" applyFont="1" applyBorder="1" applyAlignment="1">
      <alignment horizontal="right"/>
    </xf>
    <xf numFmtId="164" fontId="7" fillId="0" borderId="17" xfId="1" applyFont="1" applyBorder="1"/>
    <xf numFmtId="164" fontId="1" fillId="0" borderId="18" xfId="1" applyBorder="1"/>
    <xf numFmtId="164" fontId="7" fillId="0" borderId="17" xfId="1" applyFont="1" applyBorder="1" applyAlignment="1" applyProtection="1">
      <alignment horizontal="right"/>
    </xf>
    <xf numFmtId="164" fontId="7" fillId="0" borderId="19" xfId="1" applyFont="1" applyBorder="1"/>
    <xf numFmtId="164" fontId="7" fillId="0" borderId="5" xfId="1" applyFont="1" applyBorder="1"/>
    <xf numFmtId="164" fontId="7" fillId="0" borderId="0" xfId="1" applyFont="1" applyBorder="1" applyAlignment="1" applyProtection="1">
      <alignment horizontal="right"/>
    </xf>
    <xf numFmtId="165" fontId="7" fillId="0" borderId="0" xfId="1" applyNumberFormat="1" applyFont="1" applyBorder="1" applyAlignment="1" applyProtection="1">
      <alignment horizontal="center"/>
      <protection locked="0"/>
    </xf>
    <xf numFmtId="164" fontId="7" fillId="0" borderId="0" xfId="1" applyFont="1" applyBorder="1" applyAlignment="1">
      <alignment horizontal="right"/>
    </xf>
    <xf numFmtId="164" fontId="7" fillId="0" borderId="0" xfId="1" applyFont="1" applyBorder="1"/>
    <xf numFmtId="164" fontId="1" fillId="0" borderId="20" xfId="1" applyBorder="1"/>
    <xf numFmtId="164" fontId="7" fillId="0" borderId="6" xfId="1" applyFont="1" applyBorder="1"/>
    <xf numFmtId="164" fontId="7" fillId="0" borderId="0" xfId="1" quotePrefix="1" applyFont="1" applyBorder="1" applyAlignment="1" applyProtection="1">
      <alignment horizontal="right"/>
    </xf>
    <xf numFmtId="164" fontId="5" fillId="0" borderId="5" xfId="1" applyFont="1" applyBorder="1"/>
    <xf numFmtId="164" fontId="5" fillId="0" borderId="0" xfId="1" applyFont="1" applyBorder="1" applyAlignment="1">
      <alignment horizontal="right"/>
    </xf>
    <xf numFmtId="164" fontId="8" fillId="0" borderId="0" xfId="1" applyFont="1" applyBorder="1" applyAlignment="1" applyProtection="1">
      <alignment horizontal="left"/>
    </xf>
    <xf numFmtId="164" fontId="5" fillId="0" borderId="0" xfId="1" applyFont="1" applyBorder="1" applyAlignment="1" applyProtection="1">
      <alignment horizontal="right"/>
    </xf>
    <xf numFmtId="164" fontId="5" fillId="0" borderId="0" xfId="1" applyFont="1" applyBorder="1"/>
    <xf numFmtId="164" fontId="5" fillId="0" borderId="0" xfId="1" quotePrefix="1" applyFont="1" applyBorder="1" applyAlignment="1" applyProtection="1">
      <alignment horizontal="right"/>
    </xf>
    <xf numFmtId="164" fontId="8" fillId="0" borderId="6" xfId="1" applyFont="1" applyBorder="1" applyAlignment="1">
      <alignment horizontal="left"/>
    </xf>
    <xf numFmtId="164" fontId="4" fillId="0" borderId="13" xfId="1" applyFont="1" applyBorder="1" applyAlignment="1">
      <alignment horizontal="centerContinuous"/>
    </xf>
    <xf numFmtId="164" fontId="4" fillId="0" borderId="14" xfId="1" applyFont="1" applyBorder="1" applyAlignment="1">
      <alignment horizontal="centerContinuous"/>
    </xf>
    <xf numFmtId="164" fontId="1" fillId="0" borderId="21" xfId="1" applyBorder="1"/>
    <xf numFmtId="164" fontId="9" fillId="0" borderId="15" xfId="1" applyFont="1" applyBorder="1" applyAlignment="1" applyProtection="1">
      <alignment horizontal="centerContinuous"/>
    </xf>
    <xf numFmtId="164" fontId="4" fillId="0" borderId="0" xfId="1" applyFont="1" applyBorder="1"/>
    <xf numFmtId="164" fontId="4" fillId="0" borderId="0" xfId="1" applyFont="1" applyBorder="1" applyAlignment="1">
      <alignment horizontal="centerContinuous"/>
    </xf>
    <xf numFmtId="164" fontId="7" fillId="0" borderId="18" xfId="1" applyFont="1" applyBorder="1" applyAlignment="1">
      <alignment horizontal="left"/>
    </xf>
    <xf numFmtId="164" fontId="7" fillId="0" borderId="18" xfId="1" applyFont="1" applyBorder="1"/>
    <xf numFmtId="164" fontId="7" fillId="0" borderId="20" xfId="1" applyFont="1" applyBorder="1" applyAlignment="1" applyProtection="1">
      <alignment horizontal="center"/>
      <protection locked="0"/>
    </xf>
    <xf numFmtId="164" fontId="7" fillId="0" borderId="20" xfId="1" applyFont="1" applyBorder="1"/>
    <xf numFmtId="164" fontId="1" fillId="0" borderId="6" xfId="1" applyBorder="1"/>
    <xf numFmtId="1" fontId="7" fillId="0" borderId="20" xfId="1" applyNumberFormat="1" applyFont="1" applyBorder="1" applyAlignment="1">
      <alignment horizontal="center"/>
    </xf>
    <xf numFmtId="164" fontId="8" fillId="0" borderId="0" xfId="1" quotePrefix="1" applyFont="1" applyBorder="1" applyAlignment="1" applyProtection="1">
      <alignment horizontal="left"/>
    </xf>
    <xf numFmtId="164" fontId="5" fillId="0" borderId="20" xfId="1" applyFont="1" applyBorder="1" applyAlignment="1" applyProtection="1">
      <alignment horizontal="right"/>
    </xf>
    <xf numFmtId="164" fontId="5" fillId="0" borderId="20" xfId="1" applyFont="1" applyBorder="1"/>
    <xf numFmtId="164" fontId="8" fillId="0" borderId="6" xfId="1" quotePrefix="1" applyFont="1" applyBorder="1" applyAlignment="1">
      <alignment horizontal="left"/>
    </xf>
    <xf numFmtId="164" fontId="4" fillId="0" borderId="22" xfId="1" applyFont="1" applyBorder="1" applyAlignment="1">
      <alignment horizontal="centerContinuous"/>
    </xf>
    <xf numFmtId="164" fontId="4" fillId="0" borderId="23" xfId="1" applyFont="1" applyBorder="1" applyAlignment="1">
      <alignment horizontal="centerContinuous"/>
    </xf>
    <xf numFmtId="164" fontId="9" fillId="0" borderId="24" xfId="1" applyFont="1" applyBorder="1" applyAlignment="1" applyProtection="1">
      <alignment horizontal="centerContinuous"/>
    </xf>
    <xf numFmtId="165" fontId="7" fillId="0" borderId="17" xfId="1" quotePrefix="1" applyNumberFormat="1" applyFont="1" applyBorder="1" applyAlignment="1" applyProtection="1">
      <alignment horizontal="center"/>
      <protection locked="0"/>
    </xf>
    <xf numFmtId="165" fontId="7" fillId="0" borderId="17" xfId="1" applyNumberFormat="1" applyFont="1" applyBorder="1" applyProtection="1"/>
    <xf numFmtId="164" fontId="7" fillId="0" borderId="0" xfId="1" quotePrefix="1" applyFont="1" applyBorder="1" applyAlignment="1" applyProtection="1">
      <alignment horizontal="center"/>
      <protection locked="0"/>
    </xf>
    <xf numFmtId="164" fontId="7" fillId="0" borderId="0" xfId="1" applyFont="1" applyBorder="1" applyAlignment="1">
      <alignment horizontal="center"/>
    </xf>
    <xf numFmtId="164" fontId="7" fillId="0" borderId="0" xfId="1" applyFont="1" applyBorder="1" applyAlignment="1" applyProtection="1">
      <alignment horizontal="left"/>
      <protection locked="0"/>
    </xf>
    <xf numFmtId="164" fontId="7" fillId="0" borderId="5" xfId="1" applyFont="1" applyBorder="1" applyAlignment="1" applyProtection="1">
      <alignment horizontal="center"/>
      <protection locked="0"/>
    </xf>
    <xf numFmtId="164" fontId="7" fillId="0" borderId="0" xfId="1" applyFont="1" applyBorder="1" applyAlignment="1" applyProtection="1">
      <alignment horizontal="center"/>
      <protection locked="0"/>
    </xf>
    <xf numFmtId="164" fontId="5" fillId="0" borderId="0" xfId="1" applyFont="1"/>
    <xf numFmtId="164" fontId="5" fillId="0" borderId="0" xfId="1" applyFont="1" applyBorder="1" applyAlignment="1">
      <alignment horizontal="centerContinuous"/>
    </xf>
    <xf numFmtId="164" fontId="7" fillId="0" borderId="0" xfId="1" applyFont="1" applyBorder="1" applyAlignment="1">
      <alignment horizontal="centerContinuous"/>
    </xf>
    <xf numFmtId="164" fontId="7" fillId="0" borderId="0" xfId="1" applyFont="1" applyBorder="1" applyAlignment="1" applyProtection="1">
      <alignment horizontal="left"/>
    </xf>
    <xf numFmtId="164" fontId="10" fillId="0" borderId="0" xfId="1" applyFont="1" applyBorder="1" applyAlignment="1">
      <alignment horizontal="centerContinuous"/>
    </xf>
    <xf numFmtId="164" fontId="10" fillId="0" borderId="0" xfId="1" applyFont="1" applyBorder="1" applyAlignment="1" applyProtection="1">
      <alignment horizontal="left"/>
    </xf>
    <xf numFmtId="164" fontId="4" fillId="0" borderId="0" xfId="1" applyFont="1" applyBorder="1" applyAlignment="1" applyProtection="1">
      <alignment horizontal="centerContinuous"/>
    </xf>
    <xf numFmtId="164" fontId="5" fillId="0" borderId="16" xfId="1" applyFont="1" applyBorder="1" applyAlignment="1">
      <alignment horizontal="centerContinuous"/>
    </xf>
    <xf numFmtId="164" fontId="11" fillId="0" borderId="17" xfId="1" applyFont="1" applyBorder="1" applyAlignment="1">
      <alignment horizontal="centerContinuous"/>
    </xf>
    <xf numFmtId="164" fontId="5" fillId="0" borderId="18" xfId="1" applyFont="1" applyBorder="1"/>
    <xf numFmtId="164" fontId="10" fillId="0" borderId="19" xfId="1" applyFont="1" applyBorder="1" applyAlignment="1" applyProtection="1">
      <alignment horizontal="left"/>
    </xf>
    <xf numFmtId="164" fontId="5" fillId="0" borderId="17" xfId="1" applyFont="1" applyBorder="1" applyAlignment="1">
      <alignment horizontal="centerContinuous"/>
    </xf>
    <xf numFmtId="164" fontId="4" fillId="0" borderId="19" xfId="1" applyFont="1" applyBorder="1" applyAlignment="1" applyProtection="1">
      <alignment horizontal="centerContinuous"/>
    </xf>
    <xf numFmtId="164" fontId="5" fillId="0" borderId="25" xfId="1" applyFont="1" applyBorder="1" applyAlignment="1">
      <alignment horizontal="centerContinuous"/>
    </xf>
    <xf numFmtId="164" fontId="10" fillId="0" borderId="26" xfId="1" applyFont="1" applyBorder="1" applyAlignment="1">
      <alignment horizontal="centerContinuous"/>
    </xf>
    <xf numFmtId="164" fontId="5" fillId="0" borderId="27" xfId="1" applyFont="1" applyBorder="1"/>
    <xf numFmtId="164" fontId="10" fillId="0" borderId="28" xfId="1" applyFont="1" applyBorder="1" applyAlignment="1" applyProtection="1">
      <alignment horizontal="left"/>
    </xf>
    <xf numFmtId="164" fontId="4" fillId="0" borderId="6" xfId="1" applyFont="1" applyBorder="1" applyAlignment="1">
      <alignment horizontal="centerContinuous"/>
    </xf>
    <xf numFmtId="164" fontId="10" fillId="0" borderId="26" xfId="1" applyFont="1" applyBorder="1" applyAlignment="1" applyProtection="1">
      <alignment horizontal="centerContinuous"/>
    </xf>
    <xf numFmtId="164" fontId="5" fillId="0" borderId="6" xfId="1" applyFont="1" applyBorder="1" applyAlignment="1">
      <alignment horizontal="centerContinuous"/>
    </xf>
    <xf numFmtId="164" fontId="10" fillId="0" borderId="26" xfId="1" quotePrefix="1" applyFont="1" applyBorder="1" applyAlignment="1" applyProtection="1">
      <alignment horizontal="centerContinuous"/>
    </xf>
    <xf numFmtId="164" fontId="12" fillId="0" borderId="6" xfId="1" applyFont="1" applyBorder="1" applyAlignment="1" applyProtection="1">
      <alignment horizontal="centerContinuous"/>
    </xf>
    <xf numFmtId="164" fontId="10" fillId="0" borderId="26" xfId="1" quotePrefix="1" applyFont="1" applyBorder="1" applyAlignment="1">
      <alignment horizontal="centerContinuous"/>
    </xf>
    <xf numFmtId="164" fontId="13" fillId="0" borderId="0" xfId="1" applyFont="1" applyBorder="1" applyAlignment="1">
      <alignment horizontal="centerContinuous"/>
    </xf>
    <xf numFmtId="164" fontId="13" fillId="0" borderId="6" xfId="1" applyFont="1" applyBorder="1" applyAlignment="1" applyProtection="1">
      <alignment horizontal="centerContinuous"/>
    </xf>
    <xf numFmtId="164" fontId="5" fillId="0" borderId="29" xfId="1" applyFont="1" applyBorder="1" applyAlignment="1">
      <alignment horizontal="centerContinuous"/>
    </xf>
    <xf numFmtId="164" fontId="10" fillId="0" borderId="30" xfId="1" applyFont="1" applyBorder="1" applyAlignment="1">
      <alignment horizontal="centerContinuous"/>
    </xf>
    <xf numFmtId="164" fontId="5" fillId="0" borderId="31" xfId="1" applyFont="1" applyBorder="1"/>
    <xf numFmtId="164" fontId="10" fillId="0" borderId="32" xfId="1" applyFont="1" applyBorder="1" applyAlignment="1" applyProtection="1">
      <alignment horizontal="left"/>
    </xf>
    <xf numFmtId="164" fontId="13" fillId="0" borderId="33" xfId="1" applyFont="1" applyBorder="1" applyAlignment="1">
      <alignment horizontal="centerContinuous"/>
    </xf>
    <xf numFmtId="164" fontId="13" fillId="0" borderId="34" xfId="1" applyFont="1" applyBorder="1" applyAlignment="1" applyProtection="1">
      <alignment horizontal="centerContinuous"/>
    </xf>
    <xf numFmtId="0" fontId="16" fillId="0" borderId="0" xfId="2"/>
    <xf numFmtId="165" fontId="17" fillId="0" borderId="0" xfId="2" applyNumberFormat="1" applyFont="1" applyAlignment="1">
      <alignment horizontal="center"/>
    </xf>
    <xf numFmtId="166" fontId="17" fillId="0" borderId="0" xfId="2" applyNumberFormat="1" applyFont="1" applyAlignment="1">
      <alignment horizontal="center"/>
    </xf>
    <xf numFmtId="165" fontId="17" fillId="0" borderId="0" xfId="2" applyNumberFormat="1" applyFont="1" applyBorder="1" applyAlignment="1">
      <alignment horizontal="center"/>
    </xf>
    <xf numFmtId="165" fontId="18" fillId="0" borderId="0" xfId="2" applyNumberFormat="1" applyFont="1" applyBorder="1" applyAlignment="1">
      <alignment horizontal="center"/>
    </xf>
    <xf numFmtId="165" fontId="18" fillId="0" borderId="0" xfId="2" quotePrefix="1" applyNumberFormat="1" applyFont="1" applyBorder="1" applyAlignment="1">
      <alignment horizontal="center"/>
    </xf>
    <xf numFmtId="0" fontId="19" fillId="0" borderId="35" xfId="2" applyFont="1" applyBorder="1"/>
    <xf numFmtId="0" fontId="20" fillId="0" borderId="36" xfId="2" applyFont="1" applyBorder="1" applyAlignment="1">
      <alignment horizontal="right"/>
    </xf>
    <xf numFmtId="0" fontId="19" fillId="0" borderId="26" xfId="2" applyFont="1" applyBorder="1"/>
    <xf numFmtId="0" fontId="19" fillId="0" borderId="37" xfId="2" applyFont="1" applyBorder="1"/>
    <xf numFmtId="0" fontId="19" fillId="0" borderId="20" xfId="2" applyFont="1" applyBorder="1"/>
    <xf numFmtId="0" fontId="19" fillId="0" borderId="0" xfId="2" applyFont="1" applyBorder="1"/>
    <xf numFmtId="0" fontId="19" fillId="0" borderId="38" xfId="2" applyFont="1" applyBorder="1"/>
    <xf numFmtId="0" fontId="19" fillId="0" borderId="27" xfId="2" applyFont="1" applyBorder="1" applyAlignment="1">
      <alignment horizontal="center"/>
    </xf>
    <xf numFmtId="0" fontId="20" fillId="0" borderId="0" xfId="2" applyFont="1" applyBorder="1" applyAlignment="1">
      <alignment horizontal="right"/>
    </xf>
    <xf numFmtId="0" fontId="20" fillId="0" borderId="38" xfId="2" applyFont="1" applyBorder="1" applyAlignment="1">
      <alignment horizontal="right"/>
    </xf>
    <xf numFmtId="0" fontId="19" fillId="0" borderId="0" xfId="2" applyFont="1" applyBorder="1" applyAlignment="1">
      <alignment horizontal="center"/>
    </xf>
    <xf numFmtId="9" fontId="19" fillId="0" borderId="0" xfId="2" applyNumberFormat="1" applyFont="1" applyBorder="1" applyAlignment="1">
      <alignment horizontal="center"/>
    </xf>
    <xf numFmtId="0" fontId="19" fillId="0" borderId="39" xfId="2" applyFont="1" applyBorder="1" applyAlignment="1">
      <alignment horizontal="center"/>
    </xf>
    <xf numFmtId="0" fontId="20" fillId="0" borderId="39" xfId="2" applyFont="1" applyBorder="1" applyAlignment="1">
      <alignment horizontal="right"/>
    </xf>
    <xf numFmtId="14" fontId="19" fillId="0" borderId="39" xfId="2" applyNumberFormat="1" applyFont="1" applyBorder="1" applyAlignment="1">
      <alignment horizontal="center"/>
    </xf>
    <xf numFmtId="0" fontId="19" fillId="0" borderId="20" xfId="2" applyFont="1" applyBorder="1" applyAlignment="1">
      <alignment horizontal="centerContinuous"/>
    </xf>
    <xf numFmtId="0" fontId="19" fillId="0" borderId="0" xfId="2" applyFont="1" applyBorder="1" applyAlignment="1">
      <alignment horizontal="centerContinuous"/>
    </xf>
    <xf numFmtId="0" fontId="21" fillId="0" borderId="38" xfId="2" applyFont="1" applyBorder="1" applyAlignment="1">
      <alignment horizontal="centerContinuous"/>
    </xf>
    <xf numFmtId="0" fontId="22" fillId="0" borderId="38" xfId="2" applyFont="1" applyBorder="1" applyAlignment="1">
      <alignment horizontal="centerContinuous"/>
    </xf>
    <xf numFmtId="0" fontId="19" fillId="0" borderId="41" xfId="2" applyFont="1" applyBorder="1"/>
    <xf numFmtId="0" fontId="19" fillId="0" borderId="42" xfId="2" applyFont="1" applyBorder="1"/>
    <xf numFmtId="0" fontId="19" fillId="0" borderId="43" xfId="2" applyFont="1" applyBorder="1"/>
    <xf numFmtId="2" fontId="17" fillId="2" borderId="39" xfId="2" applyNumberFormat="1" applyFont="1" applyFill="1" applyBorder="1" applyAlignment="1">
      <alignment horizontal="center"/>
    </xf>
    <xf numFmtId="1" fontId="17" fillId="2" borderId="39" xfId="2" applyNumberFormat="1" applyFont="1" applyFill="1" applyBorder="1" applyAlignment="1">
      <alignment horizontal="center"/>
    </xf>
    <xf numFmtId="0" fontId="17" fillId="2" borderId="39" xfId="2" applyFont="1" applyFill="1" applyBorder="1" applyAlignment="1">
      <alignment horizontal="center"/>
    </xf>
    <xf numFmtId="0" fontId="17" fillId="0" borderId="39" xfId="2" applyFont="1" applyBorder="1" applyAlignment="1">
      <alignment horizontal="center"/>
    </xf>
    <xf numFmtId="0" fontId="23" fillId="0" borderId="0" xfId="2" applyFont="1"/>
    <xf numFmtId="0" fontId="16" fillId="0" borderId="0" xfId="2" applyFont="1" applyFill="1" applyBorder="1"/>
    <xf numFmtId="0" fontId="24" fillId="0" borderId="0" xfId="2" applyFont="1" applyFill="1" applyBorder="1"/>
    <xf numFmtId="0" fontId="16" fillId="0" borderId="0" xfId="2" applyBorder="1"/>
    <xf numFmtId="165" fontId="17" fillId="0" borderId="44" xfId="2" applyNumberFormat="1" applyFont="1" applyBorder="1" applyAlignment="1">
      <alignment horizontal="center"/>
    </xf>
    <xf numFmtId="165" fontId="17" fillId="0" borderId="45" xfId="2" applyNumberFormat="1" applyFont="1" applyBorder="1" applyAlignment="1">
      <alignment horizontal="center"/>
    </xf>
    <xf numFmtId="165" fontId="17" fillId="0" borderId="46" xfId="2" applyNumberFormat="1" applyFont="1" applyBorder="1" applyAlignment="1">
      <alignment horizontal="center"/>
    </xf>
    <xf numFmtId="165" fontId="18" fillId="0" borderId="47" xfId="2" quotePrefix="1" applyNumberFormat="1" applyFont="1" applyBorder="1" applyAlignment="1">
      <alignment horizontal="center"/>
    </xf>
    <xf numFmtId="165" fontId="17" fillId="0" borderId="48" xfId="2" applyNumberFormat="1" applyFont="1" applyBorder="1" applyAlignment="1">
      <alignment horizontal="center"/>
    </xf>
    <xf numFmtId="165" fontId="17" fillId="0" borderId="39" xfId="2" applyNumberFormat="1" applyFont="1" applyBorder="1" applyAlignment="1">
      <alignment horizontal="center"/>
    </xf>
    <xf numFmtId="165" fontId="17" fillId="0" borderId="35" xfId="2" applyNumberFormat="1" applyFont="1" applyBorder="1" applyAlignment="1">
      <alignment horizontal="center"/>
    </xf>
    <xf numFmtId="165" fontId="18" fillId="0" borderId="49" xfId="2" quotePrefix="1" applyNumberFormat="1" applyFont="1" applyBorder="1" applyAlignment="1">
      <alignment horizontal="center"/>
    </xf>
    <xf numFmtId="165" fontId="17" fillId="0" borderId="50" xfId="2" applyNumberFormat="1" applyFont="1" applyBorder="1" applyAlignment="1">
      <alignment horizontal="center"/>
    </xf>
    <xf numFmtId="165" fontId="17" fillId="0" borderId="51" xfId="2" applyNumberFormat="1" applyFont="1" applyBorder="1" applyAlignment="1">
      <alignment horizontal="center"/>
    </xf>
    <xf numFmtId="165" fontId="17" fillId="0" borderId="27" xfId="2" applyNumberFormat="1" applyFont="1" applyBorder="1" applyAlignment="1">
      <alignment horizontal="center"/>
    </xf>
    <xf numFmtId="165" fontId="18" fillId="0" borderId="52" xfId="2" quotePrefix="1" applyNumberFormat="1" applyFont="1" applyBorder="1" applyAlignment="1">
      <alignment horizontal="center"/>
    </xf>
    <xf numFmtId="0" fontId="17" fillId="0" borderId="16" xfId="2" applyFont="1" applyBorder="1" applyAlignment="1">
      <alignment horizontal="center"/>
    </xf>
    <xf numFmtId="0" fontId="17" fillId="0" borderId="53" xfId="2" applyFont="1" applyBorder="1" applyAlignment="1">
      <alignment horizontal="center"/>
    </xf>
    <xf numFmtId="0" fontId="16" fillId="0" borderId="0" xfId="2" applyAlignment="1">
      <alignment horizontal="center"/>
    </xf>
    <xf numFmtId="0" fontId="16" fillId="3" borderId="0" xfId="2" applyFill="1"/>
    <xf numFmtId="0" fontId="16" fillId="0" borderId="0" xfId="2" applyAlignment="1">
      <alignment horizontal="right"/>
    </xf>
    <xf numFmtId="0" fontId="16" fillId="4" borderId="0" xfId="2" applyFill="1"/>
    <xf numFmtId="0" fontId="26" fillId="0" borderId="0" xfId="2" applyFont="1"/>
    <xf numFmtId="167" fontId="17" fillId="0" borderId="0" xfId="2" applyNumberFormat="1" applyFont="1" applyAlignment="1">
      <alignment horizontal="center"/>
    </xf>
    <xf numFmtId="0" fontId="27" fillId="0" borderId="0" xfId="2" applyFont="1" applyAlignment="1">
      <alignment horizontal="centerContinuous"/>
    </xf>
    <xf numFmtId="0" fontId="16" fillId="0" borderId="0" xfId="2" applyAlignment="1">
      <alignment horizontal="centerContinuous"/>
    </xf>
    <xf numFmtId="0" fontId="18" fillId="0" borderId="0" xfId="2" applyFont="1" applyAlignment="1">
      <alignment horizontal="centerContinuous"/>
    </xf>
    <xf numFmtId="0" fontId="28" fillId="0" borderId="0" xfId="2" applyFont="1" applyAlignment="1">
      <alignment horizontal="center"/>
    </xf>
    <xf numFmtId="0" fontId="18" fillId="0" borderId="0" xfId="2" applyFont="1" applyAlignment="1">
      <alignment horizontal="right"/>
    </xf>
    <xf numFmtId="0" fontId="18" fillId="0" borderId="0" xfId="2" applyFont="1"/>
    <xf numFmtId="0" fontId="17" fillId="0" borderId="0" xfId="2" applyFont="1"/>
    <xf numFmtId="14" fontId="18" fillId="0" borderId="0" xfId="2" applyNumberFormat="1" applyFont="1" applyAlignment="1">
      <alignment horizontal="center"/>
    </xf>
    <xf numFmtId="19" fontId="18" fillId="0" borderId="0" xfId="2" applyNumberFormat="1" applyFont="1"/>
    <xf numFmtId="0" fontId="29" fillId="0" borderId="57" xfId="2" applyFont="1" applyBorder="1" applyAlignment="1">
      <alignment horizontal="center"/>
    </xf>
    <xf numFmtId="0" fontId="17" fillId="0" borderId="47" xfId="2" applyFont="1" applyBorder="1" applyAlignment="1">
      <alignment horizontal="center"/>
    </xf>
    <xf numFmtId="2" fontId="17" fillId="0" borderId="47" xfId="2" applyNumberFormat="1" applyFont="1" applyBorder="1" applyAlignment="1">
      <alignment horizontal="center"/>
    </xf>
    <xf numFmtId="1" fontId="17" fillId="0" borderId="47" xfId="2" applyNumberFormat="1" applyFont="1" applyBorder="1" applyAlignment="1">
      <alignment horizontal="center"/>
    </xf>
    <xf numFmtId="165" fontId="17" fillId="0" borderId="47" xfId="2" applyNumberFormat="1" applyFont="1" applyBorder="1" applyAlignment="1">
      <alignment horizontal="center"/>
    </xf>
    <xf numFmtId="168" fontId="17" fillId="0" borderId="47" xfId="2" applyNumberFormat="1" applyFont="1" applyBorder="1" applyAlignment="1">
      <alignment horizontal="center"/>
    </xf>
    <xf numFmtId="0" fontId="29" fillId="0" borderId="32" xfId="2" applyFont="1" applyBorder="1"/>
    <xf numFmtId="0" fontId="18" fillId="0" borderId="30" xfId="2" applyFont="1" applyBorder="1" applyAlignment="1">
      <alignment horizontal="center"/>
    </xf>
    <xf numFmtId="0" fontId="18" fillId="0" borderId="29" xfId="2" applyFont="1" applyBorder="1" applyAlignment="1">
      <alignment horizontal="center"/>
    </xf>
    <xf numFmtId="0" fontId="29" fillId="0" borderId="32" xfId="2" applyFont="1" applyBorder="1" applyAlignment="1">
      <alignment horizontal="left"/>
    </xf>
    <xf numFmtId="0" fontId="17" fillId="0" borderId="30" xfId="2" applyFont="1" applyBorder="1"/>
    <xf numFmtId="0" fontId="17" fillId="0" borderId="33" xfId="2" applyFont="1" applyBorder="1"/>
    <xf numFmtId="0" fontId="17" fillId="0" borderId="58" xfId="2" applyFont="1" applyBorder="1"/>
    <xf numFmtId="0" fontId="29" fillId="0" borderId="0" xfId="2" applyFont="1" applyBorder="1"/>
    <xf numFmtId="0" fontId="17" fillId="0" borderId="0" xfId="2" applyFont="1" applyBorder="1" applyAlignment="1">
      <alignment horizontal="centerContinuous"/>
    </xf>
    <xf numFmtId="0" fontId="17" fillId="0" borderId="29" xfId="2" applyFont="1" applyBorder="1" applyAlignment="1">
      <alignment horizontal="centerContinuous"/>
    </xf>
    <xf numFmtId="0" fontId="16" fillId="0" borderId="6" xfId="2" applyFont="1" applyBorder="1"/>
    <xf numFmtId="0" fontId="18" fillId="0" borderId="39" xfId="2" applyFont="1" applyBorder="1" applyAlignment="1">
      <alignment horizontal="center"/>
    </xf>
    <xf numFmtId="0" fontId="18" fillId="0" borderId="48" xfId="2" applyFont="1" applyBorder="1" applyAlignment="1">
      <alignment horizontal="center"/>
    </xf>
    <xf numFmtId="0" fontId="18" fillId="0" borderId="59" xfId="2" applyFont="1" applyBorder="1" applyAlignment="1">
      <alignment horizontal="right"/>
    </xf>
    <xf numFmtId="168" fontId="17" fillId="0" borderId="39" xfId="2" applyNumberFormat="1" applyFont="1" applyBorder="1" applyAlignment="1">
      <alignment horizontal="center"/>
    </xf>
    <xf numFmtId="0" fontId="18" fillId="0" borderId="60" xfId="2" applyFont="1" applyBorder="1" applyAlignment="1">
      <alignment horizontal="center"/>
    </xf>
    <xf numFmtId="0" fontId="18" fillId="0" borderId="59" xfId="2" applyFont="1" applyBorder="1"/>
    <xf numFmtId="2" fontId="17" fillId="0" borderId="39" xfId="2" applyNumberFormat="1" applyFont="1" applyBorder="1" applyAlignment="1">
      <alignment horizontal="center"/>
    </xf>
    <xf numFmtId="0" fontId="17" fillId="0" borderId="48" xfId="2" applyFont="1" applyBorder="1" applyAlignment="1">
      <alignment horizontal="center"/>
    </xf>
    <xf numFmtId="0" fontId="18" fillId="0" borderId="61" xfId="2" applyFont="1" applyBorder="1" applyAlignment="1">
      <alignment horizontal="center"/>
    </xf>
    <xf numFmtId="0" fontId="17" fillId="0" borderId="0" xfId="2" applyFont="1" applyBorder="1" applyAlignment="1">
      <alignment horizontal="center"/>
    </xf>
    <xf numFmtId="0" fontId="18" fillId="0" borderId="36" xfId="2" applyFont="1" applyBorder="1" applyAlignment="1">
      <alignment horizontal="centerContinuous"/>
    </xf>
    <xf numFmtId="0" fontId="17" fillId="0" borderId="62" xfId="2" applyFont="1" applyBorder="1" applyAlignment="1">
      <alignment horizontal="centerContinuous"/>
    </xf>
    <xf numFmtId="165" fontId="17" fillId="0" borderId="53" xfId="2" applyNumberFormat="1" applyFont="1" applyBorder="1" applyAlignment="1">
      <alignment horizontal="center"/>
    </xf>
    <xf numFmtId="2" fontId="17" fillId="0" borderId="48" xfId="2" applyNumberFormat="1" applyFont="1" applyBorder="1" applyAlignment="1">
      <alignment horizontal="center"/>
    </xf>
    <xf numFmtId="0" fontId="17" fillId="0" borderId="63" xfId="2" applyFont="1" applyBorder="1" applyAlignment="1">
      <alignment horizontal="left"/>
    </xf>
    <xf numFmtId="0" fontId="17" fillId="0" borderId="5" xfId="2" applyFont="1" applyBorder="1" applyAlignment="1">
      <alignment horizontal="left"/>
    </xf>
    <xf numFmtId="0" fontId="17" fillId="0" borderId="51" xfId="2" applyFont="1" applyBorder="1" applyAlignment="1">
      <alignment horizontal="left"/>
    </xf>
    <xf numFmtId="0" fontId="17" fillId="0" borderId="25" xfId="2" applyFont="1" applyBorder="1" applyAlignment="1">
      <alignment horizontal="left"/>
    </xf>
    <xf numFmtId="169" fontId="17" fillId="0" borderId="39" xfId="2" applyNumberFormat="1" applyFont="1" applyBorder="1" applyAlignment="1">
      <alignment horizontal="center"/>
    </xf>
    <xf numFmtId="0" fontId="17" fillId="0" borderId="39" xfId="2" applyFont="1" applyBorder="1" applyAlignment="1">
      <alignment horizontal="left"/>
    </xf>
    <xf numFmtId="0" fontId="17" fillId="0" borderId="48" xfId="2" applyFont="1" applyBorder="1" applyAlignment="1">
      <alignment horizontal="left"/>
    </xf>
    <xf numFmtId="0" fontId="18" fillId="0" borderId="64" xfId="2" applyFont="1" applyBorder="1"/>
    <xf numFmtId="2" fontId="17" fillId="0" borderId="18" xfId="2" applyNumberFormat="1" applyFont="1" applyBorder="1" applyAlignment="1">
      <alignment horizontal="center"/>
    </xf>
    <xf numFmtId="2" fontId="17" fillId="0" borderId="16" xfId="2" applyNumberFormat="1" applyFont="1" applyBorder="1" applyAlignment="1">
      <alignment horizontal="center"/>
    </xf>
    <xf numFmtId="0" fontId="29" fillId="0" borderId="34" xfId="2" applyFont="1" applyBorder="1"/>
    <xf numFmtId="165" fontId="17" fillId="0" borderId="33" xfId="2" applyNumberFormat="1" applyFont="1" applyBorder="1" applyAlignment="1">
      <alignment horizontal="center"/>
    </xf>
    <xf numFmtId="165" fontId="17" fillId="0" borderId="58" xfId="2" applyNumberFormat="1" applyFont="1" applyBorder="1" applyAlignment="1">
      <alignment horizontal="center"/>
    </xf>
    <xf numFmtId="0" fontId="18" fillId="0" borderId="65" xfId="2" applyFont="1" applyBorder="1" applyAlignment="1">
      <alignment horizontal="center"/>
    </xf>
    <xf numFmtId="165" fontId="30" fillId="0" borderId="39" xfId="2" applyNumberFormat="1" applyFont="1" applyBorder="1" applyAlignment="1">
      <alignment horizontal="center"/>
    </xf>
    <xf numFmtId="0" fontId="29" fillId="0" borderId="33" xfId="2" applyFont="1" applyBorder="1" applyAlignment="1">
      <alignment horizontal="centerContinuous"/>
    </xf>
    <xf numFmtId="0" fontId="29" fillId="0" borderId="58" xfId="2" applyFont="1" applyBorder="1" applyAlignment="1">
      <alignment horizontal="centerContinuous"/>
    </xf>
    <xf numFmtId="0" fontId="16" fillId="0" borderId="59" xfId="2" applyFont="1" applyBorder="1"/>
    <xf numFmtId="0" fontId="18" fillId="0" borderId="48" xfId="2" applyFont="1" applyBorder="1" applyAlignment="1">
      <alignment horizontal="centerContinuous"/>
    </xf>
    <xf numFmtId="167" fontId="17" fillId="0" borderId="39" xfId="2" applyNumberFormat="1" applyFont="1" applyBorder="1" applyAlignment="1">
      <alignment horizontal="center"/>
    </xf>
    <xf numFmtId="168" fontId="17" fillId="0" borderId="48" xfId="2" applyNumberFormat="1" applyFont="1" applyBorder="1" applyAlignment="1">
      <alignment horizontal="center"/>
    </xf>
    <xf numFmtId="167" fontId="17" fillId="0" borderId="48" xfId="2" applyNumberFormat="1" applyFont="1" applyBorder="1" applyAlignment="1">
      <alignment horizontal="center"/>
    </xf>
    <xf numFmtId="0" fontId="18" fillId="0" borderId="6" xfId="2" applyFont="1" applyBorder="1"/>
    <xf numFmtId="0" fontId="17" fillId="0" borderId="5" xfId="2" applyFont="1" applyBorder="1" applyAlignment="1">
      <alignment horizontal="center"/>
    </xf>
    <xf numFmtId="0" fontId="18" fillId="0" borderId="66" xfId="2" applyFont="1" applyBorder="1" applyAlignment="1">
      <alignment horizontal="right"/>
    </xf>
    <xf numFmtId="2" fontId="17" fillId="0" borderId="45" xfId="2" applyNumberFormat="1" applyFont="1" applyBorder="1" applyAlignment="1">
      <alignment horizontal="center"/>
    </xf>
    <xf numFmtId="2" fontId="17" fillId="0" borderId="44" xfId="2" applyNumberFormat="1" applyFont="1" applyBorder="1" applyAlignment="1">
      <alignment horizontal="center"/>
    </xf>
    <xf numFmtId="168" fontId="17" fillId="0" borderId="45" xfId="2" applyNumberFormat="1" applyFont="1" applyBorder="1" applyAlignment="1">
      <alignment horizontal="center"/>
    </xf>
    <xf numFmtId="168" fontId="17" fillId="0" borderId="44" xfId="2" applyNumberFormat="1" applyFont="1" applyBorder="1" applyAlignment="1">
      <alignment horizontal="center"/>
    </xf>
    <xf numFmtId="0" fontId="17" fillId="0" borderId="0" xfId="2" applyFont="1" applyBorder="1"/>
    <xf numFmtId="0" fontId="17" fillId="0" borderId="5" xfId="2" applyFont="1" applyBorder="1"/>
    <xf numFmtId="0" fontId="18" fillId="0" borderId="33" xfId="2" applyFont="1" applyBorder="1" applyAlignment="1">
      <alignment horizontal="centerContinuous"/>
    </xf>
    <xf numFmtId="0" fontId="17" fillId="0" borderId="33" xfId="2" applyFont="1" applyBorder="1" applyAlignment="1">
      <alignment horizontal="centerContinuous"/>
    </xf>
    <xf numFmtId="0" fontId="29" fillId="0" borderId="67" xfId="2" applyFont="1" applyBorder="1"/>
    <xf numFmtId="0" fontId="17" fillId="0" borderId="59" xfId="2" applyFont="1" applyBorder="1"/>
    <xf numFmtId="0" fontId="17" fillId="0" borderId="36" xfId="2" applyFont="1" applyBorder="1" applyAlignment="1">
      <alignment horizontal="right"/>
    </xf>
    <xf numFmtId="2" fontId="17" fillId="0" borderId="62" xfId="2" applyNumberFormat="1" applyFont="1" applyBorder="1" applyAlignment="1">
      <alignment horizontal="center"/>
    </xf>
    <xf numFmtId="0" fontId="17" fillId="0" borderId="66" xfId="2" applyFont="1" applyBorder="1"/>
    <xf numFmtId="0" fontId="17" fillId="0" borderId="68" xfId="2" applyFont="1" applyBorder="1" applyAlignment="1">
      <alignment horizontal="right"/>
    </xf>
    <xf numFmtId="2" fontId="17" fillId="0" borderId="69" xfId="2" applyNumberFormat="1" applyFont="1" applyBorder="1" applyAlignment="1">
      <alignment horizontal="center"/>
    </xf>
    <xf numFmtId="0" fontId="16" fillId="0" borderId="30" xfId="2" applyFont="1" applyBorder="1"/>
    <xf numFmtId="0" fontId="17" fillId="0" borderId="29" xfId="2" applyFont="1" applyBorder="1"/>
    <xf numFmtId="0" fontId="17" fillId="0" borderId="62" xfId="2" applyFont="1" applyBorder="1" applyAlignment="1">
      <alignment horizontal="center"/>
    </xf>
    <xf numFmtId="0" fontId="18" fillId="0" borderId="39" xfId="2" applyFont="1" applyBorder="1" applyAlignment="1">
      <alignment horizontal="right"/>
    </xf>
    <xf numFmtId="0" fontId="18" fillId="0" borderId="0" xfId="2" applyFont="1" applyBorder="1" applyAlignment="1">
      <alignment horizontal="center"/>
    </xf>
    <xf numFmtId="0" fontId="18" fillId="0" borderId="66" xfId="2" applyFont="1" applyBorder="1"/>
    <xf numFmtId="168" fontId="17" fillId="0" borderId="0" xfId="2" applyNumberFormat="1" applyFont="1" applyBorder="1" applyAlignment="1">
      <alignment horizontal="center"/>
    </xf>
    <xf numFmtId="0" fontId="17" fillId="0" borderId="33" xfId="2" applyFont="1" applyBorder="1" applyAlignment="1">
      <alignment horizontal="right"/>
    </xf>
    <xf numFmtId="49" fontId="17" fillId="0" borderId="33" xfId="2" applyNumberFormat="1" applyFont="1" applyBorder="1" applyAlignment="1">
      <alignment horizontal="center"/>
    </xf>
    <xf numFmtId="0" fontId="18" fillId="0" borderId="70" xfId="2" applyFont="1" applyBorder="1" applyAlignment="1">
      <alignment horizontal="right"/>
    </xf>
    <xf numFmtId="165" fontId="17" fillId="0" borderId="71" xfId="2" applyNumberFormat="1" applyFont="1" applyBorder="1" applyAlignment="1">
      <alignment horizontal="center"/>
    </xf>
    <xf numFmtId="0" fontId="18" fillId="0" borderId="72" xfId="2" applyFont="1" applyBorder="1" applyAlignment="1">
      <alignment horizontal="right"/>
    </xf>
    <xf numFmtId="165" fontId="17" fillId="0" borderId="73" xfId="2" applyNumberFormat="1" applyFont="1" applyBorder="1" applyAlignment="1">
      <alignment horizontal="center"/>
    </xf>
    <xf numFmtId="0" fontId="18" fillId="0" borderId="74" xfId="2" applyFont="1" applyBorder="1" applyAlignment="1">
      <alignment horizontal="center"/>
    </xf>
    <xf numFmtId="0" fontId="18" fillId="0" borderId="71" xfId="2" applyFont="1" applyBorder="1" applyAlignment="1">
      <alignment horizontal="center"/>
    </xf>
    <xf numFmtId="0" fontId="18" fillId="0" borderId="75" xfId="2" applyFont="1" applyBorder="1" applyAlignment="1">
      <alignment horizontal="right"/>
    </xf>
    <xf numFmtId="165" fontId="17" fillId="0" borderId="41" xfId="2" applyNumberFormat="1" applyFont="1" applyBorder="1" applyAlignment="1">
      <alignment horizontal="center"/>
    </xf>
    <xf numFmtId="0" fontId="17" fillId="0" borderId="76" xfId="2" applyFont="1" applyBorder="1" applyAlignment="1">
      <alignment horizontal="center"/>
    </xf>
    <xf numFmtId="0" fontId="17" fillId="0" borderId="77" xfId="2" applyFont="1" applyBorder="1" applyAlignment="1">
      <alignment horizontal="center"/>
    </xf>
    <xf numFmtId="0" fontId="18" fillId="0" borderId="78" xfId="2" applyFont="1" applyBorder="1" applyAlignment="1">
      <alignment horizontal="right"/>
    </xf>
    <xf numFmtId="0" fontId="17" fillId="0" borderId="51" xfId="2" applyFont="1" applyBorder="1" applyAlignment="1">
      <alignment horizontal="center"/>
    </xf>
    <xf numFmtId="0" fontId="17" fillId="0" borderId="25" xfId="2" applyFont="1" applyBorder="1" applyAlignment="1">
      <alignment horizontal="center"/>
    </xf>
    <xf numFmtId="2" fontId="17" fillId="0" borderId="77" xfId="2" applyNumberFormat="1" applyFont="1" applyBorder="1" applyAlignment="1">
      <alignment horizontal="center"/>
    </xf>
    <xf numFmtId="0" fontId="29" fillId="0" borderId="70" xfId="2" applyFont="1" applyBorder="1"/>
    <xf numFmtId="0" fontId="17" fillId="0" borderId="79" xfId="2" applyFont="1" applyBorder="1"/>
    <xf numFmtId="0" fontId="17" fillId="0" borderId="71" xfId="2" applyFont="1" applyBorder="1"/>
    <xf numFmtId="165" fontId="17" fillId="0" borderId="76" xfId="2" applyNumberFormat="1" applyFont="1" applyBorder="1" applyAlignment="1">
      <alignment horizontal="center"/>
    </xf>
    <xf numFmtId="168" fontId="17" fillId="0" borderId="76" xfId="2" applyNumberFormat="1" applyFont="1" applyBorder="1" applyAlignment="1">
      <alignment horizontal="center"/>
    </xf>
    <xf numFmtId="0" fontId="18" fillId="0" borderId="39" xfId="2" applyFont="1" applyBorder="1"/>
    <xf numFmtId="0" fontId="18" fillId="0" borderId="80" xfId="2" applyFont="1" applyBorder="1" applyAlignment="1">
      <alignment horizontal="right"/>
    </xf>
    <xf numFmtId="165" fontId="17" fillId="0" borderId="63" xfId="2" applyNumberFormat="1" applyFont="1" applyBorder="1" applyAlignment="1">
      <alignment horizontal="center"/>
    </xf>
    <xf numFmtId="0" fontId="17" fillId="0" borderId="63" xfId="2" applyFont="1" applyBorder="1" applyAlignment="1">
      <alignment horizontal="center"/>
    </xf>
    <xf numFmtId="1" fontId="17" fillId="0" borderId="51" xfId="2" applyNumberFormat="1" applyFont="1" applyBorder="1" applyAlignment="1">
      <alignment horizontal="center"/>
    </xf>
    <xf numFmtId="0" fontId="18" fillId="0" borderId="76" xfId="2" applyFont="1" applyBorder="1" applyAlignment="1">
      <alignment horizontal="right"/>
    </xf>
    <xf numFmtId="2" fontId="17" fillId="0" borderId="5" xfId="2" applyNumberFormat="1" applyFont="1" applyBorder="1" applyAlignment="1">
      <alignment horizontal="center"/>
    </xf>
    <xf numFmtId="0" fontId="18" fillId="0" borderId="63" xfId="2" applyFont="1" applyBorder="1" applyAlignment="1">
      <alignment horizontal="right"/>
    </xf>
    <xf numFmtId="0" fontId="17" fillId="0" borderId="45" xfId="2" applyFont="1" applyBorder="1" applyAlignment="1">
      <alignment horizontal="center"/>
    </xf>
    <xf numFmtId="0" fontId="18" fillId="0" borderId="45" xfId="2" applyFont="1" applyBorder="1"/>
    <xf numFmtId="0" fontId="18" fillId="0" borderId="51" xfId="2" applyFont="1" applyBorder="1" applyAlignment="1">
      <alignment horizontal="right"/>
    </xf>
    <xf numFmtId="0" fontId="18" fillId="0" borderId="0" xfId="2" applyFont="1" applyBorder="1" applyAlignment="1">
      <alignment horizontal="left"/>
    </xf>
    <xf numFmtId="2" fontId="17" fillId="0" borderId="26" xfId="2" applyNumberFormat="1" applyFont="1" applyBorder="1" applyAlignment="1">
      <alignment horizontal="centerContinuous"/>
    </xf>
    <xf numFmtId="0" fontId="17" fillId="0" borderId="25" xfId="2" applyFont="1" applyBorder="1" applyAlignment="1">
      <alignment horizontal="centerContinuous"/>
    </xf>
    <xf numFmtId="0" fontId="17" fillId="0" borderId="26" xfId="2" applyFont="1" applyBorder="1" applyAlignment="1">
      <alignment horizontal="center"/>
    </xf>
    <xf numFmtId="0" fontId="18" fillId="0" borderId="45" xfId="2" applyFont="1" applyBorder="1" applyAlignment="1">
      <alignment horizontal="right"/>
    </xf>
    <xf numFmtId="0" fontId="17" fillId="0" borderId="17" xfId="2" applyFont="1" applyBorder="1" applyAlignment="1">
      <alignment horizontal="center"/>
    </xf>
    <xf numFmtId="0" fontId="32" fillId="0" borderId="32" xfId="2" applyFont="1" applyBorder="1"/>
    <xf numFmtId="0" fontId="32" fillId="0" borderId="30" xfId="2" applyFont="1" applyBorder="1"/>
    <xf numFmtId="0" fontId="32" fillId="0" borderId="29" xfId="2" applyFont="1" applyBorder="1"/>
    <xf numFmtId="0" fontId="18" fillId="0" borderId="59" xfId="2" applyFont="1" applyBorder="1" applyAlignment="1">
      <alignment horizontal="center"/>
    </xf>
    <xf numFmtId="0" fontId="32" fillId="0" borderId="6" xfId="2" applyFont="1" applyBorder="1"/>
    <xf numFmtId="0" fontId="32" fillId="0" borderId="0" xfId="2" applyFont="1" applyBorder="1"/>
    <xf numFmtId="0" fontId="32" fillId="0" borderId="5" xfId="2" applyFont="1" applyBorder="1"/>
    <xf numFmtId="2" fontId="18" fillId="0" borderId="80" xfId="2" quotePrefix="1" applyNumberFormat="1" applyFont="1" applyBorder="1" applyAlignment="1">
      <alignment horizontal="center"/>
    </xf>
    <xf numFmtId="165" fontId="17" fillId="0" borderId="81" xfId="2" applyNumberFormat="1" applyFont="1" applyBorder="1" applyAlignment="1">
      <alignment horizontal="center"/>
    </xf>
    <xf numFmtId="2" fontId="18" fillId="0" borderId="63" xfId="2" quotePrefix="1" applyNumberFormat="1" applyFont="1" applyBorder="1" applyAlignment="1">
      <alignment horizontal="center"/>
    </xf>
    <xf numFmtId="168" fontId="18" fillId="0" borderId="80" xfId="2" quotePrefix="1" applyNumberFormat="1" applyFont="1" applyBorder="1" applyAlignment="1">
      <alignment horizontal="center"/>
    </xf>
    <xf numFmtId="2" fontId="18" fillId="0" borderId="63" xfId="2" applyNumberFormat="1" applyFont="1" applyBorder="1" applyAlignment="1">
      <alignment horizontal="center"/>
    </xf>
    <xf numFmtId="2" fontId="18" fillId="0" borderId="82" xfId="2" applyNumberFormat="1" applyFont="1" applyFill="1" applyBorder="1" applyAlignment="1">
      <alignment horizontal="center"/>
    </xf>
    <xf numFmtId="165" fontId="17" fillId="0" borderId="82" xfId="2" applyNumberFormat="1" applyFont="1" applyFill="1" applyBorder="1" applyAlignment="1">
      <alignment horizontal="center"/>
    </xf>
    <xf numFmtId="165" fontId="17" fillId="0" borderId="83" xfId="2" applyNumberFormat="1" applyFont="1" applyFill="1" applyBorder="1" applyAlignment="1">
      <alignment horizontal="center"/>
    </xf>
    <xf numFmtId="2" fontId="29" fillId="0" borderId="26" xfId="2" applyNumberFormat="1" applyFont="1" applyFill="1" applyBorder="1" applyAlignment="1">
      <alignment horizontal="left"/>
    </xf>
    <xf numFmtId="165" fontId="30" fillId="0" borderId="26" xfId="2" applyNumberFormat="1" applyFont="1" applyFill="1" applyBorder="1" applyAlignment="1">
      <alignment horizontal="left"/>
    </xf>
    <xf numFmtId="2" fontId="18" fillId="0" borderId="0" xfId="2" applyNumberFormat="1" applyFont="1" applyFill="1" applyBorder="1" applyAlignment="1">
      <alignment horizontal="right"/>
    </xf>
    <xf numFmtId="165" fontId="17" fillId="0" borderId="0" xfId="2" applyNumberFormat="1" applyFont="1" applyFill="1" applyBorder="1" applyAlignment="1">
      <alignment horizontal="centerContinuous"/>
    </xf>
    <xf numFmtId="165" fontId="17" fillId="0" borderId="0" xfId="2" applyNumberFormat="1" applyFont="1" applyBorder="1" applyAlignment="1">
      <alignment horizontal="centerContinuous"/>
    </xf>
    <xf numFmtId="2" fontId="18" fillId="0" borderId="64" xfId="2" quotePrefix="1" applyNumberFormat="1" applyFont="1" applyBorder="1" applyAlignment="1">
      <alignment horizontal="center"/>
    </xf>
    <xf numFmtId="165" fontId="17" fillId="0" borderId="82" xfId="2" applyNumberFormat="1" applyFont="1" applyBorder="1" applyAlignment="1">
      <alignment horizontal="center"/>
    </xf>
    <xf numFmtId="165" fontId="17" fillId="0" borderId="84" xfId="2" applyNumberFormat="1" applyFont="1" applyBorder="1" applyAlignment="1">
      <alignment horizontal="center"/>
    </xf>
    <xf numFmtId="2" fontId="18" fillId="0" borderId="17" xfId="2" applyNumberFormat="1" applyFont="1" applyFill="1" applyBorder="1" applyAlignment="1">
      <alignment horizontal="right"/>
    </xf>
    <xf numFmtId="165" fontId="17" fillId="0" borderId="17" xfId="2" applyNumberFormat="1" applyFont="1" applyFill="1" applyBorder="1" applyAlignment="1">
      <alignment horizontal="centerContinuous"/>
    </xf>
    <xf numFmtId="0" fontId="32" fillId="0" borderId="19" xfId="2" applyFont="1" applyBorder="1"/>
    <xf numFmtId="0" fontId="32" fillId="0" borderId="17" xfId="2" applyFont="1" applyBorder="1"/>
    <xf numFmtId="0" fontId="32" fillId="0" borderId="16" xfId="2" applyFont="1" applyBorder="1"/>
    <xf numFmtId="0" fontId="32" fillId="0" borderId="0" xfId="2" applyFont="1"/>
    <xf numFmtId="0" fontId="34" fillId="0" borderId="0" xfId="3" applyFont="1" applyFill="1"/>
    <xf numFmtId="0" fontId="35" fillId="0" borderId="0" xfId="3" applyFont="1" applyFill="1"/>
    <xf numFmtId="0" fontId="37" fillId="2" borderId="0" xfId="3" applyFont="1" applyFill="1" applyAlignment="1">
      <alignment horizontal="right"/>
    </xf>
    <xf numFmtId="0" fontId="38" fillId="2" borderId="0" xfId="3" applyFont="1" applyFill="1"/>
    <xf numFmtId="0" fontId="39" fillId="2" borderId="0" xfId="3" applyFont="1" applyFill="1"/>
    <xf numFmtId="0" fontId="38" fillId="0" borderId="0" xfId="3" applyFont="1" applyFill="1"/>
    <xf numFmtId="0" fontId="40" fillId="0" borderId="56" xfId="3" applyFont="1" applyBorder="1" applyAlignment="1">
      <alignment horizontal="left" vertical="center"/>
    </xf>
    <xf numFmtId="0" fontId="40" fillId="0" borderId="55" xfId="3" applyFont="1" applyBorder="1" applyAlignment="1">
      <alignment vertical="center"/>
    </xf>
    <xf numFmtId="0" fontId="2" fillId="0" borderId="55" xfId="3" applyBorder="1"/>
    <xf numFmtId="0" fontId="41" fillId="0" borderId="54" xfId="3" applyFont="1" applyFill="1" applyBorder="1"/>
    <xf numFmtId="0" fontId="41" fillId="0" borderId="6" xfId="3" applyFont="1" applyFill="1" applyBorder="1"/>
    <xf numFmtId="0" fontId="41" fillId="0" borderId="0" xfId="3" applyFont="1" applyFill="1"/>
    <xf numFmtId="0" fontId="42" fillId="0" borderId="56" xfId="3" applyFont="1" applyFill="1" applyBorder="1"/>
    <xf numFmtId="0" fontId="42" fillId="0" borderId="54" xfId="3" applyFont="1" applyFill="1" applyBorder="1"/>
    <xf numFmtId="0" fontId="43" fillId="0" borderId="0" xfId="3" applyFont="1" applyFill="1"/>
    <xf numFmtId="0" fontId="44" fillId="2" borderId="30" xfId="3" applyFont="1" applyFill="1" applyBorder="1" applyAlignment="1">
      <alignment horizontal="center"/>
    </xf>
    <xf numFmtId="0" fontId="44" fillId="2" borderId="31" xfId="3" applyFont="1" applyFill="1" applyBorder="1" applyAlignment="1">
      <alignment horizontal="center"/>
    </xf>
    <xf numFmtId="0" fontId="44" fillId="2" borderId="0" xfId="3" quotePrefix="1" applyFont="1" applyFill="1" applyBorder="1" applyAlignment="1">
      <alignment horizontal="left"/>
    </xf>
    <xf numFmtId="0" fontId="39" fillId="2" borderId="0" xfId="3" applyFont="1" applyFill="1" applyBorder="1"/>
    <xf numFmtId="0" fontId="45" fillId="2" borderId="85" xfId="3" applyFont="1" applyFill="1" applyBorder="1" applyAlignment="1">
      <alignment horizontal="right"/>
    </xf>
    <xf numFmtId="0" fontId="44" fillId="2" borderId="86" xfId="3" applyFont="1" applyFill="1" applyBorder="1" applyAlignment="1">
      <alignment horizontal="center"/>
    </xf>
    <xf numFmtId="0" fontId="41" fillId="0" borderId="29" xfId="3" applyFont="1" applyFill="1" applyBorder="1"/>
    <xf numFmtId="0" fontId="42" fillId="0" borderId="6" xfId="3" applyFont="1" applyFill="1" applyBorder="1"/>
    <xf numFmtId="0" fontId="41" fillId="0" borderId="5" xfId="3" applyFont="1" applyFill="1" applyBorder="1"/>
    <xf numFmtId="0" fontId="42" fillId="0" borderId="5" xfId="3" applyFont="1" applyFill="1" applyBorder="1"/>
    <xf numFmtId="0" fontId="41" fillId="0" borderId="0" xfId="3" applyFont="1" applyFill="1" applyBorder="1"/>
    <xf numFmtId="0" fontId="46" fillId="2" borderId="94" xfId="3" applyFont="1" applyFill="1" applyBorder="1"/>
    <xf numFmtId="0" fontId="46" fillId="2" borderId="95" xfId="3" applyFont="1" applyFill="1" applyBorder="1"/>
    <xf numFmtId="0" fontId="49" fillId="2" borderId="95" xfId="3" applyFont="1" applyFill="1" applyBorder="1"/>
    <xf numFmtId="0" fontId="49" fillId="2" borderId="96" xfId="3" applyFont="1" applyFill="1" applyBorder="1"/>
    <xf numFmtId="165" fontId="48" fillId="2" borderId="91" xfId="3" applyNumberFormat="1" applyFont="1" applyFill="1" applyBorder="1" applyAlignment="1">
      <alignment horizontal="center"/>
    </xf>
    <xf numFmtId="0" fontId="48" fillId="2" borderId="95" xfId="3" applyFont="1" applyFill="1" applyBorder="1" applyAlignment="1">
      <alignment horizontal="center"/>
    </xf>
    <xf numFmtId="0" fontId="46" fillId="2" borderId="97" xfId="3" applyFont="1" applyFill="1" applyBorder="1"/>
    <xf numFmtId="0" fontId="46" fillId="2" borderId="98" xfId="3" applyFont="1" applyFill="1" applyBorder="1"/>
    <xf numFmtId="0" fontId="49" fillId="2" borderId="98" xfId="3" applyFont="1" applyFill="1" applyBorder="1"/>
    <xf numFmtId="0" fontId="49" fillId="2" borderId="99" xfId="3" applyFont="1" applyFill="1" applyBorder="1"/>
    <xf numFmtId="1" fontId="48" fillId="2" borderId="91" xfId="3" applyNumberFormat="1" applyFont="1" applyFill="1" applyBorder="1" applyAlignment="1">
      <alignment horizontal="center"/>
    </xf>
    <xf numFmtId="0" fontId="50" fillId="2" borderId="95" xfId="3" applyFont="1" applyFill="1" applyBorder="1"/>
    <xf numFmtId="0" fontId="51" fillId="2" borderId="96" xfId="3" applyFont="1" applyFill="1" applyBorder="1" applyAlignment="1">
      <alignment horizontal="left"/>
    </xf>
    <xf numFmtId="0" fontId="48" fillId="2" borderId="91" xfId="3" applyFont="1" applyFill="1" applyBorder="1" applyAlignment="1">
      <alignment horizontal="center"/>
    </xf>
    <xf numFmtId="0" fontId="42" fillId="0" borderId="19" xfId="3" applyFont="1" applyFill="1" applyBorder="1"/>
    <xf numFmtId="0" fontId="42" fillId="0" borderId="16" xfId="3" applyFont="1" applyFill="1" applyBorder="1"/>
    <xf numFmtId="0" fontId="46" fillId="2" borderId="101" xfId="3" applyFont="1" applyFill="1" applyBorder="1"/>
    <xf numFmtId="0" fontId="46" fillId="2" borderId="102" xfId="3" applyFont="1" applyFill="1" applyBorder="1"/>
    <xf numFmtId="0" fontId="50" fillId="2" borderId="102" xfId="3" applyFont="1" applyFill="1" applyBorder="1"/>
    <xf numFmtId="0" fontId="48" fillId="2" borderId="103" xfId="3" applyFont="1" applyFill="1" applyBorder="1" applyAlignment="1">
      <alignment horizontal="center"/>
    </xf>
    <xf numFmtId="0" fontId="48" fillId="2" borderId="102" xfId="3" applyFont="1" applyFill="1" applyBorder="1" applyAlignment="1">
      <alignment horizontal="center"/>
    </xf>
    <xf numFmtId="0" fontId="41" fillId="0" borderId="16" xfId="3" applyFont="1" applyFill="1" applyBorder="1"/>
    <xf numFmtId="0" fontId="46" fillId="2" borderId="90" xfId="3" quotePrefix="1" applyFont="1" applyFill="1" applyBorder="1" applyAlignment="1">
      <alignment horizontal="left"/>
    </xf>
    <xf numFmtId="0" fontId="43" fillId="0" borderId="96" xfId="3" applyFont="1" applyFill="1" applyBorder="1"/>
    <xf numFmtId="0" fontId="46" fillId="2" borderId="38" xfId="3" quotePrefix="1" applyFont="1" applyFill="1" applyBorder="1" applyAlignment="1">
      <alignment horizontal="left"/>
    </xf>
    <xf numFmtId="0" fontId="46" fillId="2" borderId="88" xfId="3" applyFont="1" applyFill="1" applyBorder="1"/>
    <xf numFmtId="0" fontId="49" fillId="2" borderId="88" xfId="3" applyFont="1" applyFill="1" applyBorder="1"/>
    <xf numFmtId="0" fontId="53" fillId="2" borderId="88" xfId="3" applyFont="1" applyFill="1" applyBorder="1" applyAlignment="1">
      <alignment horizontal="right"/>
    </xf>
    <xf numFmtId="0" fontId="48" fillId="2" borderId="98" xfId="3" applyFont="1" applyFill="1" applyBorder="1" applyAlignment="1">
      <alignment horizontal="center"/>
    </xf>
    <xf numFmtId="0" fontId="46" fillId="2" borderId="91" xfId="3" applyFont="1" applyFill="1" applyBorder="1"/>
    <xf numFmtId="0" fontId="49" fillId="2" borderId="91" xfId="3" applyFont="1" applyFill="1" applyBorder="1"/>
    <xf numFmtId="0" fontId="46" fillId="2" borderId="37" xfId="3" quotePrefix="1" applyFont="1" applyFill="1" applyBorder="1" applyAlignment="1">
      <alignment horizontal="left"/>
    </xf>
    <xf numFmtId="0" fontId="46" fillId="2" borderId="103" xfId="3" applyFont="1" applyFill="1" applyBorder="1"/>
    <xf numFmtId="0" fontId="49" fillId="2" borderId="103" xfId="3" applyFont="1" applyFill="1" applyBorder="1"/>
    <xf numFmtId="0" fontId="46" fillId="2" borderId="90" xfId="3" applyFont="1" applyFill="1" applyBorder="1" applyAlignment="1">
      <alignment horizontal="left"/>
    </xf>
    <xf numFmtId="0" fontId="41" fillId="2" borderId="106" xfId="3" applyFont="1" applyFill="1" applyBorder="1"/>
    <xf numFmtId="0" fontId="41" fillId="2" borderId="96" xfId="3" applyFont="1" applyFill="1" applyBorder="1"/>
    <xf numFmtId="0" fontId="46" fillId="2" borderId="90" xfId="3" applyFont="1" applyFill="1" applyBorder="1"/>
    <xf numFmtId="0" fontId="41" fillId="2" borderId="95" xfId="3" applyFont="1" applyFill="1" applyBorder="1"/>
    <xf numFmtId="0" fontId="46" fillId="2" borderId="106" xfId="3" applyFont="1" applyFill="1" applyBorder="1"/>
    <xf numFmtId="0" fontId="53" fillId="2" borderId="96" xfId="3" applyFont="1" applyFill="1" applyBorder="1" applyAlignment="1">
      <alignment horizontal="right"/>
    </xf>
    <xf numFmtId="0" fontId="46" fillId="2" borderId="87" xfId="3" quotePrefix="1" applyFont="1" applyFill="1" applyBorder="1" applyAlignment="1">
      <alignment horizontal="left"/>
    </xf>
    <xf numFmtId="0" fontId="43" fillId="0" borderId="114" xfId="3" applyFont="1" applyFill="1" applyBorder="1"/>
    <xf numFmtId="0" fontId="46" fillId="2" borderId="106" xfId="3" quotePrefix="1" applyFont="1" applyFill="1" applyBorder="1" applyAlignment="1">
      <alignment horizontal="left"/>
    </xf>
    <xf numFmtId="0" fontId="41" fillId="2" borderId="91" xfId="3" applyFont="1" applyFill="1" applyBorder="1"/>
    <xf numFmtId="0" fontId="48" fillId="2" borderId="91" xfId="3" quotePrefix="1" applyFont="1" applyFill="1" applyBorder="1" applyAlignment="1">
      <alignment horizontal="center"/>
    </xf>
    <xf numFmtId="0" fontId="46" fillId="2" borderId="115" xfId="3" applyFont="1" applyFill="1" applyBorder="1" applyAlignment="1">
      <alignment horizontal="left"/>
    </xf>
    <xf numFmtId="0" fontId="46" fillId="2" borderId="95" xfId="3" quotePrefix="1" applyFont="1" applyFill="1" applyBorder="1" applyAlignment="1">
      <alignment horizontal="center"/>
    </xf>
    <xf numFmtId="0" fontId="41" fillId="2" borderId="96" xfId="3" quotePrefix="1" applyFont="1" applyFill="1" applyBorder="1" applyAlignment="1">
      <alignment horizontal="center"/>
    </xf>
    <xf numFmtId="0" fontId="46" fillId="2" borderId="116" xfId="3" applyFont="1" applyFill="1" applyBorder="1"/>
    <xf numFmtId="0" fontId="43" fillId="0" borderId="117" xfId="3" applyFont="1" applyFill="1" applyBorder="1"/>
    <xf numFmtId="0" fontId="48" fillId="0" borderId="117" xfId="3" quotePrefix="1" applyNumberFormat="1" applyFont="1" applyFill="1" applyBorder="1" applyAlignment="1">
      <alignment horizontal="center"/>
    </xf>
    <xf numFmtId="0" fontId="48" fillId="0" borderId="109" xfId="3" applyFont="1" applyFill="1" applyBorder="1" applyAlignment="1">
      <alignment horizontal="center"/>
    </xf>
    <xf numFmtId="0" fontId="43" fillId="0" borderId="6" xfId="3" applyFont="1" applyFill="1" applyBorder="1"/>
    <xf numFmtId="0" fontId="46" fillId="2" borderId="118" xfId="3" applyFont="1" applyFill="1" applyBorder="1" applyAlignment="1">
      <alignment horizontal="center"/>
    </xf>
    <xf numFmtId="0" fontId="46" fillId="2" borderId="102" xfId="3" quotePrefix="1" applyFont="1" applyFill="1" applyBorder="1" applyAlignment="1">
      <alignment horizontal="center"/>
    </xf>
    <xf numFmtId="0" fontId="41" fillId="2" borderId="119" xfId="3" quotePrefix="1" applyFont="1" applyFill="1" applyBorder="1" applyAlignment="1">
      <alignment horizontal="center"/>
    </xf>
    <xf numFmtId="0" fontId="48" fillId="0" borderId="96" xfId="3" quotePrefix="1" applyNumberFormat="1" applyFont="1" applyFill="1" applyBorder="1" applyAlignment="1">
      <alignment horizontal="center"/>
    </xf>
    <xf numFmtId="0" fontId="48" fillId="0" borderId="95" xfId="3" applyFont="1" applyFill="1" applyBorder="1" applyAlignment="1">
      <alignment horizontal="center"/>
    </xf>
    <xf numFmtId="0" fontId="48" fillId="0" borderId="19" xfId="3" applyFont="1" applyFill="1" applyBorder="1"/>
    <xf numFmtId="0" fontId="56" fillId="0" borderId="16" xfId="3" applyFont="1" applyFill="1" applyBorder="1"/>
    <xf numFmtId="0" fontId="37" fillId="0" borderId="122" xfId="3" applyFont="1" applyFill="1" applyBorder="1" applyAlignment="1">
      <alignment horizontal="left"/>
    </xf>
    <xf numFmtId="0" fontId="37" fillId="0" borderId="42" xfId="3" applyFont="1" applyFill="1" applyBorder="1" applyAlignment="1">
      <alignment horizontal="left"/>
    </xf>
    <xf numFmtId="0" fontId="54" fillId="2" borderId="123" xfId="3" applyFont="1" applyFill="1" applyBorder="1" applyAlignment="1">
      <alignment horizontal="center"/>
    </xf>
    <xf numFmtId="165" fontId="48" fillId="0" borderId="96" xfId="3" quotePrefix="1" applyNumberFormat="1" applyFont="1" applyFill="1" applyBorder="1" applyAlignment="1">
      <alignment horizontal="center"/>
    </xf>
    <xf numFmtId="0" fontId="46" fillId="2" borderId="124" xfId="3" applyFont="1" applyFill="1" applyBorder="1" applyAlignment="1">
      <alignment horizontal="left"/>
    </xf>
    <xf numFmtId="0" fontId="41" fillId="2" borderId="125" xfId="3" applyFont="1" applyFill="1" applyBorder="1"/>
    <xf numFmtId="0" fontId="41" fillId="2" borderId="126" xfId="3" applyFont="1" applyFill="1" applyBorder="1"/>
    <xf numFmtId="0" fontId="48" fillId="2" borderId="127" xfId="3" applyFont="1" applyFill="1" applyBorder="1" applyAlignment="1">
      <alignment horizontal="center"/>
    </xf>
    <xf numFmtId="0" fontId="43" fillId="0" borderId="103" xfId="3" applyFont="1" applyFill="1" applyBorder="1"/>
    <xf numFmtId="0" fontId="43" fillId="0" borderId="102" xfId="3" applyFont="1" applyFill="1" applyBorder="1"/>
    <xf numFmtId="0" fontId="43" fillId="0" borderId="0" xfId="3" applyFont="1" applyFill="1" applyBorder="1"/>
    <xf numFmtId="0" fontId="43" fillId="0" borderId="108" xfId="3" applyFont="1" applyFill="1" applyBorder="1"/>
    <xf numFmtId="0" fontId="46" fillId="2" borderId="117" xfId="3" applyFont="1" applyFill="1" applyBorder="1"/>
    <xf numFmtId="0" fontId="53" fillId="2" borderId="91" xfId="3" applyFont="1" applyFill="1" applyBorder="1" applyAlignment="1">
      <alignment horizontal="right" shrinkToFit="1"/>
    </xf>
    <xf numFmtId="0" fontId="48" fillId="2" borderId="106" xfId="3" applyFont="1" applyFill="1" applyBorder="1" applyAlignment="1">
      <alignment horizontal="center"/>
    </xf>
    <xf numFmtId="0" fontId="46" fillId="2" borderId="38" xfId="3" applyFont="1" applyFill="1" applyBorder="1"/>
    <xf numFmtId="0" fontId="46" fillId="2" borderId="85" xfId="3" applyFont="1" applyFill="1" applyBorder="1"/>
    <xf numFmtId="0" fontId="53" fillId="2" borderId="91" xfId="3" applyFont="1" applyFill="1" applyBorder="1" applyAlignment="1">
      <alignment horizontal="right"/>
    </xf>
    <xf numFmtId="0" fontId="53" fillId="2" borderId="85" xfId="3" applyFont="1" applyFill="1" applyBorder="1" applyAlignment="1">
      <alignment horizontal="right"/>
    </xf>
    <xf numFmtId="0" fontId="53" fillId="2" borderId="91" xfId="3" applyFont="1" applyFill="1" applyBorder="1"/>
    <xf numFmtId="0" fontId="46" fillId="2" borderId="128" xfId="3" applyFont="1" applyFill="1" applyBorder="1"/>
    <xf numFmtId="0" fontId="46" fillId="2" borderId="129" xfId="3" applyFont="1" applyFill="1" applyBorder="1"/>
    <xf numFmtId="0" fontId="46" fillId="2" borderId="130" xfId="3" applyFont="1" applyFill="1" applyBorder="1"/>
    <xf numFmtId="0" fontId="53" fillId="2" borderId="130" xfId="3" applyFont="1" applyFill="1" applyBorder="1"/>
    <xf numFmtId="0" fontId="48" fillId="2" borderId="131" xfId="3" applyFont="1" applyFill="1" applyBorder="1" applyAlignment="1">
      <alignment horizontal="center"/>
    </xf>
    <xf numFmtId="0" fontId="46" fillId="2" borderId="99" xfId="3" applyFont="1" applyFill="1" applyBorder="1"/>
    <xf numFmtId="0" fontId="46" fillId="2" borderId="123" xfId="3" applyFont="1" applyFill="1" applyBorder="1" applyAlignment="1">
      <alignment horizontal="left"/>
    </xf>
    <xf numFmtId="0" fontId="46" fillId="2" borderId="99" xfId="3" applyFont="1" applyFill="1" applyBorder="1" applyAlignment="1">
      <alignment horizontal="left"/>
    </xf>
    <xf numFmtId="0" fontId="48" fillId="2" borderId="123" xfId="3" applyFont="1" applyFill="1" applyBorder="1" applyAlignment="1">
      <alignment horizontal="center"/>
    </xf>
    <xf numFmtId="0" fontId="46" fillId="2" borderId="0" xfId="3" applyFont="1" applyFill="1" applyBorder="1"/>
    <xf numFmtId="0" fontId="46" fillId="2" borderId="106" xfId="3" applyFont="1" applyFill="1" applyBorder="1" applyAlignment="1">
      <alignment horizontal="left"/>
    </xf>
    <xf numFmtId="0" fontId="46" fillId="2" borderId="96" xfId="3" applyFont="1" applyFill="1" applyBorder="1" applyAlignment="1">
      <alignment horizontal="left"/>
    </xf>
    <xf numFmtId="0" fontId="46" fillId="2" borderId="26" xfId="3" applyFont="1" applyFill="1" applyBorder="1"/>
    <xf numFmtId="0" fontId="46" fillId="2" borderId="127" xfId="3" applyFont="1" applyFill="1" applyBorder="1" applyAlignment="1">
      <alignment horizontal="left"/>
    </xf>
    <xf numFmtId="0" fontId="46" fillId="2" borderId="119" xfId="3" applyFont="1" applyFill="1" applyBorder="1" applyAlignment="1">
      <alignment horizontal="left"/>
    </xf>
    <xf numFmtId="0" fontId="37" fillId="2" borderId="104" xfId="3" applyFont="1" applyFill="1" applyBorder="1" applyAlignment="1">
      <alignment horizontal="left"/>
    </xf>
    <xf numFmtId="0" fontId="44" fillId="2" borderId="105" xfId="4" applyFont="1" applyFill="1" applyBorder="1" applyAlignment="1">
      <alignment horizontal="left"/>
    </xf>
    <xf numFmtId="0" fontId="37" fillId="2" borderId="105" xfId="3" applyFont="1" applyFill="1" applyBorder="1" applyAlignment="1">
      <alignment horizontal="left"/>
    </xf>
    <xf numFmtId="0" fontId="39" fillId="2" borderId="38" xfId="3" applyFont="1" applyFill="1" applyBorder="1"/>
    <xf numFmtId="0" fontId="44" fillId="2" borderId="98" xfId="4" applyFont="1" applyFill="1" applyBorder="1" applyAlignment="1">
      <alignment horizontal="left"/>
    </xf>
    <xf numFmtId="0" fontId="43" fillId="2" borderId="98" xfId="3" applyFont="1" applyFill="1" applyBorder="1" applyAlignment="1">
      <alignment horizontal="left"/>
    </xf>
    <xf numFmtId="0" fontId="39" fillId="2" borderId="95" xfId="3" applyFont="1" applyFill="1" applyBorder="1" applyAlignment="1">
      <alignment horizontal="left"/>
    </xf>
    <xf numFmtId="0" fontId="46" fillId="0" borderId="132" xfId="3" applyFont="1" applyFill="1" applyBorder="1"/>
    <xf numFmtId="0" fontId="46" fillId="2" borderId="135" xfId="3" applyFont="1" applyFill="1" applyBorder="1"/>
    <xf numFmtId="0" fontId="59" fillId="2" borderId="136" xfId="4" applyFont="1" applyFill="1" applyBorder="1" applyAlignment="1">
      <alignment horizontal="center"/>
    </xf>
    <xf numFmtId="0" fontId="39" fillId="2" borderId="6" xfId="3" applyFont="1" applyFill="1" applyBorder="1"/>
    <xf numFmtId="0" fontId="46" fillId="2" borderId="137" xfId="3" applyFont="1" applyFill="1" applyBorder="1"/>
    <xf numFmtId="0" fontId="46" fillId="2" borderId="17" xfId="3" applyFont="1" applyFill="1" applyBorder="1"/>
    <xf numFmtId="14" fontId="41" fillId="2" borderId="140" xfId="4" applyNumberFormat="1" applyFont="1" applyFill="1" applyBorder="1" applyAlignment="1">
      <alignment horizontal="center"/>
    </xf>
    <xf numFmtId="0" fontId="39" fillId="0" borderId="17" xfId="3" applyFont="1" applyFill="1" applyBorder="1"/>
    <xf numFmtId="0" fontId="39" fillId="2" borderId="141" xfId="3" applyFont="1" applyFill="1" applyBorder="1" applyAlignment="1">
      <alignment horizontal="left"/>
    </xf>
    <xf numFmtId="0" fontId="39" fillId="0" borderId="0" xfId="3" applyFont="1" applyFill="1"/>
    <xf numFmtId="0" fontId="44" fillId="2" borderId="135" xfId="4" applyFont="1" applyFill="1" applyBorder="1" applyAlignment="1">
      <alignment horizontal="left"/>
    </xf>
    <xf numFmtId="0" fontId="44" fillId="2" borderId="109" xfId="4" applyFont="1" applyFill="1" applyBorder="1" applyAlignment="1">
      <alignment horizontal="left"/>
    </xf>
    <xf numFmtId="0" fontId="39" fillId="0" borderId="0" xfId="3" applyFont="1" applyFill="1" applyBorder="1"/>
    <xf numFmtId="0" fontId="16" fillId="0" borderId="34" xfId="5" applyBorder="1"/>
    <xf numFmtId="0" fontId="16" fillId="0" borderId="33" xfId="5" applyBorder="1"/>
    <xf numFmtId="0" fontId="16" fillId="0" borderId="61" xfId="5" applyBorder="1"/>
    <xf numFmtId="0" fontId="16" fillId="0" borderId="61" xfId="5" applyBorder="1" applyAlignment="1">
      <alignment horizontal="center"/>
    </xf>
    <xf numFmtId="0" fontId="60" fillId="0" borderId="61" xfId="5" applyFont="1" applyBorder="1" applyAlignment="1">
      <alignment horizontal="center"/>
    </xf>
    <xf numFmtId="0" fontId="16" fillId="0" borderId="0" xfId="5"/>
    <xf numFmtId="0" fontId="61" fillId="0" borderId="142" xfId="5" applyFont="1" applyBorder="1" applyAlignment="1">
      <alignment horizontal="center"/>
    </xf>
    <xf numFmtId="0" fontId="16" fillId="0" borderId="142" xfId="5" applyBorder="1" applyAlignment="1">
      <alignment horizontal="center"/>
    </xf>
    <xf numFmtId="0" fontId="60" fillId="0" borderId="142" xfId="5" applyFont="1" applyBorder="1" applyAlignment="1">
      <alignment horizontal="center"/>
    </xf>
    <xf numFmtId="0" fontId="61" fillId="0" borderId="6" xfId="5" applyFont="1" applyBorder="1" applyAlignment="1">
      <alignment horizontal="center"/>
    </xf>
    <xf numFmtId="0" fontId="61" fillId="0" borderId="0" xfId="5" applyFont="1" applyBorder="1" applyAlignment="1">
      <alignment horizontal="center"/>
    </xf>
    <xf numFmtId="0" fontId="16" fillId="0" borderId="6" xfId="5" applyBorder="1"/>
    <xf numFmtId="0" fontId="62" fillId="0" borderId="0" xfId="5" applyFont="1"/>
    <xf numFmtId="0" fontId="16" fillId="0" borderId="142" xfId="5" applyBorder="1"/>
    <xf numFmtId="0" fontId="60" fillId="0" borderId="0" xfId="5" applyFont="1"/>
    <xf numFmtId="0" fontId="60" fillId="0" borderId="142" xfId="5" applyFont="1" applyBorder="1"/>
    <xf numFmtId="171" fontId="16" fillId="0" borderId="59" xfId="5" applyNumberFormat="1" applyBorder="1"/>
    <xf numFmtId="49" fontId="16" fillId="0" borderId="39" xfId="5" applyNumberFormat="1" applyBorder="1" applyAlignment="1">
      <alignment horizontal="center"/>
    </xf>
    <xf numFmtId="49" fontId="16" fillId="0" borderId="39" xfId="5" applyNumberFormat="1" applyBorder="1"/>
    <xf numFmtId="49" fontId="60" fillId="0" borderId="39" xfId="5" applyNumberFormat="1" applyFont="1" applyBorder="1"/>
    <xf numFmtId="172" fontId="60" fillId="0" borderId="39" xfId="5" applyNumberFormat="1" applyFont="1" applyBorder="1"/>
    <xf numFmtId="0" fontId="16" fillId="0" borderId="39" xfId="5" applyBorder="1"/>
    <xf numFmtId="0" fontId="16" fillId="0" borderId="48" xfId="5" applyBorder="1"/>
    <xf numFmtId="172" fontId="16" fillId="0" borderId="39" xfId="5" applyNumberFormat="1" applyBorder="1"/>
    <xf numFmtId="0" fontId="16" fillId="0" borderId="39" xfId="5" applyBorder="1" applyAlignment="1">
      <alignment horizontal="center"/>
    </xf>
    <xf numFmtId="0" fontId="60" fillId="0" borderId="143" xfId="5" applyFont="1" applyBorder="1" applyAlignment="1">
      <alignment horizontal="center"/>
    </xf>
    <xf numFmtId="0" fontId="60" fillId="0" borderId="144" xfId="5" applyFont="1" applyBorder="1" applyAlignment="1">
      <alignment horizontal="center"/>
    </xf>
    <xf numFmtId="49" fontId="60" fillId="0" borderId="70" xfId="5" applyNumberFormat="1" applyFont="1" applyBorder="1" applyAlignment="1">
      <alignment horizontal="center"/>
    </xf>
    <xf numFmtId="0" fontId="16" fillId="0" borderId="31" xfId="5" applyBorder="1" applyAlignment="1">
      <alignment horizontal="left"/>
    </xf>
    <xf numFmtId="49" fontId="16" fillId="0" borderId="59" xfId="5" applyNumberFormat="1" applyBorder="1"/>
    <xf numFmtId="0" fontId="16" fillId="0" borderId="35" xfId="5" applyBorder="1" applyAlignment="1">
      <alignment horizontal="left"/>
    </xf>
    <xf numFmtId="0" fontId="63" fillId="0" borderId="0" xfId="2" applyFont="1"/>
    <xf numFmtId="0" fontId="64" fillId="0" borderId="80" xfId="2" applyFont="1" applyBorder="1" applyAlignment="1">
      <alignment horizontal="right"/>
    </xf>
    <xf numFmtId="0" fontId="64" fillId="0" borderId="64" xfId="2" applyFont="1" applyBorder="1" applyAlignment="1">
      <alignment horizontal="right"/>
    </xf>
    <xf numFmtId="0" fontId="64" fillId="0" borderId="122" xfId="2" applyFont="1" applyBorder="1" applyAlignment="1">
      <alignment horizontal="center"/>
    </xf>
    <xf numFmtId="0" fontId="40" fillId="0" borderId="41" xfId="2" applyFont="1" applyBorder="1" applyAlignment="1">
      <alignment horizontal="center"/>
    </xf>
    <xf numFmtId="0" fontId="64" fillId="0" borderId="43" xfId="2" applyFont="1" applyBorder="1" applyAlignment="1">
      <alignment horizontal="center"/>
    </xf>
    <xf numFmtId="0" fontId="40" fillId="0" borderId="41" xfId="2" applyFont="1" applyBorder="1"/>
    <xf numFmtId="0" fontId="16" fillId="0" borderId="19" xfId="2" applyBorder="1"/>
    <xf numFmtId="0" fontId="40" fillId="0" borderId="18" xfId="2" applyFont="1" applyBorder="1" applyAlignment="1">
      <alignment horizontal="center"/>
    </xf>
    <xf numFmtId="0" fontId="63" fillId="0" borderId="83" xfId="2" applyFont="1" applyBorder="1" applyAlignment="1">
      <alignment horizontal="center"/>
    </xf>
    <xf numFmtId="0" fontId="40" fillId="0" borderId="18" xfId="2" applyFont="1" applyBorder="1"/>
    <xf numFmtId="0" fontId="64" fillId="0" borderId="122" xfId="2" applyFont="1" applyBorder="1" applyAlignment="1">
      <alignment horizontal="right"/>
    </xf>
    <xf numFmtId="0" fontId="40" fillId="0" borderId="77" xfId="2" applyFont="1" applyBorder="1" applyAlignment="1">
      <alignment horizontal="center"/>
    </xf>
    <xf numFmtId="0" fontId="64" fillId="0" borderId="19" xfId="2" applyFont="1" applyBorder="1" applyAlignment="1">
      <alignment horizontal="right"/>
    </xf>
    <xf numFmtId="0" fontId="40" fillId="0" borderId="16" xfId="2" applyFont="1" applyBorder="1" applyAlignment="1">
      <alignment horizontal="center"/>
    </xf>
    <xf numFmtId="0" fontId="40" fillId="0" borderId="69" xfId="2" applyFont="1" applyBorder="1" applyAlignment="1">
      <alignment horizontal="center"/>
    </xf>
    <xf numFmtId="0" fontId="63" fillId="0" borderId="0" xfId="2" applyFont="1" applyBorder="1" applyAlignment="1">
      <alignment horizontal="center"/>
    </xf>
    <xf numFmtId="0" fontId="27" fillId="0" borderId="0" xfId="2" applyFont="1" applyAlignment="1">
      <alignment horizontal="right"/>
    </xf>
    <xf numFmtId="0" fontId="33" fillId="0" borderId="0" xfId="2" applyFont="1"/>
    <xf numFmtId="0" fontId="65" fillId="0" borderId="76" xfId="2" applyFont="1" applyBorder="1" applyAlignment="1">
      <alignment horizontal="center"/>
    </xf>
    <xf numFmtId="0" fontId="65" fillId="0" borderId="51" xfId="2" applyFont="1" applyBorder="1" applyAlignment="1">
      <alignment horizontal="center"/>
    </xf>
    <xf numFmtId="0" fontId="63" fillId="0" borderId="42" xfId="2" applyFont="1" applyBorder="1" applyAlignment="1">
      <alignment horizontal="center"/>
    </xf>
    <xf numFmtId="0" fontId="65" fillId="0" borderId="39" xfId="2" applyFont="1" applyBorder="1" applyAlignment="1">
      <alignment horizontal="right"/>
    </xf>
    <xf numFmtId="0" fontId="63" fillId="0" borderId="40" xfId="2" applyFont="1" applyBorder="1" applyAlignment="1">
      <alignment horizontal="center"/>
    </xf>
    <xf numFmtId="0" fontId="63" fillId="0" borderId="35" xfId="2" quotePrefix="1" applyFont="1" applyBorder="1" applyAlignment="1">
      <alignment horizontal="center"/>
    </xf>
    <xf numFmtId="0" fontId="63" fillId="0" borderId="35" xfId="2" applyFont="1" applyBorder="1" applyAlignment="1">
      <alignment horizontal="center"/>
    </xf>
    <xf numFmtId="164" fontId="7" fillId="0" borderId="0" xfId="6" applyFont="1"/>
    <xf numFmtId="164" fontId="7" fillId="0" borderId="0" xfId="6" applyFont="1" applyAlignment="1" applyProtection="1">
      <alignment horizontal="right"/>
    </xf>
    <xf numFmtId="164" fontId="7" fillId="0" borderId="0" xfId="6" quotePrefix="1" applyFont="1" applyAlignment="1" applyProtection="1">
      <alignment horizontal="left" vertical="center"/>
      <protection locked="0"/>
    </xf>
    <xf numFmtId="164" fontId="7" fillId="0" borderId="0" xfId="6" applyFont="1" applyBorder="1" applyAlignment="1">
      <alignment horizontal="centerContinuous"/>
    </xf>
    <xf numFmtId="164" fontId="7" fillId="0" borderId="0" xfId="6" quotePrefix="1" applyFont="1" applyAlignment="1" applyProtection="1">
      <protection locked="0"/>
    </xf>
    <xf numFmtId="0" fontId="48" fillId="2" borderId="95" xfId="3" quotePrefix="1" applyFont="1" applyFill="1" applyBorder="1" applyAlignment="1">
      <alignment horizontal="center"/>
    </xf>
    <xf numFmtId="0" fontId="63" fillId="0" borderId="39" xfId="2" applyFont="1" applyBorder="1" applyAlignment="1">
      <alignment horizontal="center"/>
    </xf>
    <xf numFmtId="0" fontId="65" fillId="0" borderId="39" xfId="2" applyFont="1" applyBorder="1" applyAlignment="1">
      <alignment horizontal="center"/>
    </xf>
    <xf numFmtId="0" fontId="65" fillId="0" borderId="0" xfId="2" applyFont="1" applyAlignment="1">
      <alignment horizontal="right"/>
    </xf>
    <xf numFmtId="0" fontId="36" fillId="2" borderId="0" xfId="4" applyFont="1" applyFill="1" applyAlignment="1">
      <alignment horizontal="center"/>
    </xf>
    <xf numFmtId="0" fontId="39" fillId="2" borderId="0" xfId="4" applyFont="1" applyFill="1"/>
    <xf numFmtId="0" fontId="37" fillId="2" borderId="0" xfId="4" applyFont="1" applyFill="1" applyAlignment="1">
      <alignment horizontal="right"/>
    </xf>
    <xf numFmtId="0" fontId="37" fillId="0" borderId="104" xfId="3" applyFont="1" applyFill="1" applyBorder="1" applyAlignment="1"/>
    <xf numFmtId="0" fontId="37" fillId="0" borderId="105" xfId="3" applyFont="1" applyFill="1" applyBorder="1" applyAlignment="1"/>
    <xf numFmtId="0" fontId="37" fillId="0" borderId="107" xfId="3" applyFont="1" applyFill="1" applyBorder="1" applyAlignment="1"/>
    <xf numFmtId="0" fontId="38" fillId="2" borderId="17" xfId="4" applyFont="1" applyFill="1" applyBorder="1" applyAlignment="1">
      <alignment horizontal="center"/>
    </xf>
    <xf numFmtId="0" fontId="33" fillId="0" borderId="0" xfId="3" applyFont="1" applyAlignment="1">
      <alignment horizontal="center"/>
    </xf>
    <xf numFmtId="0" fontId="36" fillId="2" borderId="0" xfId="3" applyFont="1" applyFill="1" applyAlignment="1">
      <alignment horizontal="center"/>
    </xf>
    <xf numFmtId="0" fontId="44" fillId="2" borderId="32" xfId="3" applyFont="1" applyFill="1" applyBorder="1" applyAlignment="1">
      <alignment horizontal="left"/>
    </xf>
    <xf numFmtId="0" fontId="44" fillId="2" borderId="30" xfId="3" applyFont="1" applyFill="1" applyBorder="1" applyAlignment="1">
      <alignment horizontal="left"/>
    </xf>
    <xf numFmtId="0" fontId="46" fillId="0" borderId="87" xfId="3" applyFont="1" applyFill="1" applyBorder="1" applyAlignment="1">
      <alignment horizontal="left"/>
    </xf>
    <xf numFmtId="0" fontId="46" fillId="0" borderId="88" xfId="3" applyFont="1" applyFill="1" applyBorder="1" applyAlignment="1">
      <alignment horizontal="left"/>
    </xf>
    <xf numFmtId="0" fontId="47" fillId="2" borderId="89" xfId="3" applyFont="1" applyFill="1" applyBorder="1" applyAlignment="1">
      <alignment horizontal="center"/>
    </xf>
    <xf numFmtId="0" fontId="47" fillId="2" borderId="85" xfId="3" applyFont="1" applyFill="1" applyBorder="1" applyAlignment="1">
      <alignment horizontal="center"/>
    </xf>
    <xf numFmtId="0" fontId="37" fillId="2" borderId="43" xfId="3" applyFont="1" applyFill="1" applyBorder="1" applyAlignment="1">
      <alignment horizontal="left"/>
    </xf>
    <xf numFmtId="0" fontId="37" fillId="2" borderId="42" xfId="3" applyFont="1" applyFill="1" applyBorder="1" applyAlignment="1">
      <alignment horizontal="left"/>
    </xf>
    <xf numFmtId="0" fontId="37" fillId="0" borderId="104" xfId="3" applyFont="1" applyFill="1" applyBorder="1" applyAlignment="1">
      <alignment horizontal="left"/>
    </xf>
    <xf numFmtId="0" fontId="37" fillId="0" borderId="105" xfId="3" applyFont="1" applyFill="1" applyBorder="1" applyAlignment="1">
      <alignment horizontal="left"/>
    </xf>
    <xf numFmtId="0" fontId="46" fillId="0" borderId="90" xfId="3" applyFont="1" applyFill="1" applyBorder="1" applyAlignment="1">
      <alignment horizontal="left"/>
    </xf>
    <xf numFmtId="0" fontId="46" fillId="0" borderId="91" xfId="3" applyFont="1" applyFill="1" applyBorder="1" applyAlignment="1">
      <alignment horizontal="left"/>
    </xf>
    <xf numFmtId="2" fontId="48" fillId="0" borderId="92" xfId="3" applyNumberFormat="1" applyFont="1" applyFill="1" applyBorder="1" applyAlignment="1">
      <alignment horizontal="center"/>
    </xf>
    <xf numFmtId="2" fontId="48" fillId="0" borderId="93" xfId="3" applyNumberFormat="1" applyFont="1" applyFill="1" applyBorder="1" applyAlignment="1">
      <alignment horizontal="center"/>
    </xf>
    <xf numFmtId="0" fontId="48" fillId="0" borderId="92" xfId="3" applyFont="1" applyFill="1" applyBorder="1" applyAlignment="1">
      <alignment horizontal="center"/>
    </xf>
    <xf numFmtId="0" fontId="48" fillId="0" borderId="93" xfId="3" applyFont="1" applyFill="1" applyBorder="1" applyAlignment="1">
      <alignment horizontal="center"/>
    </xf>
    <xf numFmtId="0" fontId="46" fillId="0" borderId="100" xfId="3" applyFont="1" applyFill="1" applyBorder="1" applyAlignment="1">
      <alignment horizontal="left"/>
    </xf>
    <xf numFmtId="0" fontId="46" fillId="0" borderId="95" xfId="3" applyFont="1" applyFill="1" applyBorder="1" applyAlignment="1">
      <alignment horizontal="left"/>
    </xf>
    <xf numFmtId="0" fontId="46" fillId="0" borderId="96" xfId="3" applyFont="1" applyFill="1" applyBorder="1" applyAlignment="1">
      <alignment horizontal="left"/>
    </xf>
    <xf numFmtId="165" fontId="48" fillId="2" borderId="92" xfId="3" applyNumberFormat="1" applyFont="1" applyFill="1" applyBorder="1" applyAlignment="1">
      <alignment horizontal="center"/>
    </xf>
    <xf numFmtId="165" fontId="48" fillId="2" borderId="93" xfId="3" applyNumberFormat="1" applyFont="1" applyFill="1" applyBorder="1" applyAlignment="1">
      <alignment horizontal="center"/>
    </xf>
    <xf numFmtId="0" fontId="48" fillId="2" borderId="92" xfId="3" applyFont="1" applyFill="1" applyBorder="1" applyAlignment="1">
      <alignment horizontal="center"/>
    </xf>
    <xf numFmtId="0" fontId="48" fillId="2" borderId="93" xfId="3" applyFont="1" applyFill="1" applyBorder="1" applyAlignment="1">
      <alignment horizontal="center"/>
    </xf>
    <xf numFmtId="165" fontId="48" fillId="0" borderId="92" xfId="3" applyNumberFormat="1" applyFont="1" applyFill="1" applyBorder="1" applyAlignment="1">
      <alignment horizontal="center"/>
    </xf>
    <xf numFmtId="165" fontId="48" fillId="0" borderId="93" xfId="3" applyNumberFormat="1" applyFont="1" applyFill="1" applyBorder="1" applyAlignment="1">
      <alignment horizontal="center"/>
    </xf>
    <xf numFmtId="1" fontId="48" fillId="2" borderId="92" xfId="3" applyNumberFormat="1" applyFont="1" applyFill="1" applyBorder="1" applyAlignment="1">
      <alignment horizontal="center"/>
    </xf>
    <xf numFmtId="1" fontId="48" fillId="2" borderId="93" xfId="3" applyNumberFormat="1" applyFont="1" applyFill="1" applyBorder="1" applyAlignment="1">
      <alignment horizontal="center"/>
    </xf>
    <xf numFmtId="0" fontId="46" fillId="2" borderId="100" xfId="3" applyFont="1" applyFill="1" applyBorder="1" applyAlignment="1">
      <alignment horizontal="left"/>
    </xf>
    <xf numFmtId="0" fontId="46" fillId="2" borderId="95" xfId="3" applyFont="1" applyFill="1" applyBorder="1" applyAlignment="1">
      <alignment horizontal="left"/>
    </xf>
    <xf numFmtId="0" fontId="46" fillId="2" borderId="96" xfId="3" applyFont="1" applyFill="1" applyBorder="1" applyAlignment="1">
      <alignment horizontal="left"/>
    </xf>
    <xf numFmtId="2" fontId="48" fillId="2" borderId="92" xfId="3" applyNumberFormat="1" applyFont="1" applyFill="1" applyBorder="1" applyAlignment="1">
      <alignment horizontal="center"/>
    </xf>
    <xf numFmtId="2" fontId="48" fillId="2" borderId="93" xfId="3" applyNumberFormat="1" applyFont="1" applyFill="1" applyBorder="1" applyAlignment="1">
      <alignment horizontal="center"/>
    </xf>
    <xf numFmtId="0" fontId="46" fillId="2" borderId="100" xfId="3" quotePrefix="1" applyFont="1" applyFill="1" applyBorder="1" applyAlignment="1">
      <alignment horizontal="left"/>
    </xf>
    <xf numFmtId="0" fontId="46" fillId="2" borderId="95" xfId="3" quotePrefix="1" applyFont="1" applyFill="1" applyBorder="1" applyAlignment="1">
      <alignment horizontal="left"/>
    </xf>
    <xf numFmtId="0" fontId="46" fillId="2" borderId="96" xfId="3" quotePrefix="1" applyFont="1" applyFill="1" applyBorder="1" applyAlignment="1">
      <alignment horizontal="left"/>
    </xf>
    <xf numFmtId="0" fontId="46" fillId="2" borderId="108" xfId="3" applyFont="1" applyFill="1" applyBorder="1" applyAlignment="1">
      <alignment horizontal="center"/>
    </xf>
    <xf numFmtId="0" fontId="46" fillId="2" borderId="109" xfId="3" applyFont="1" applyFill="1" applyBorder="1" applyAlignment="1">
      <alignment horizontal="center"/>
    </xf>
    <xf numFmtId="0" fontId="46" fillId="2" borderId="38" xfId="3" applyFont="1" applyFill="1" applyBorder="1" applyAlignment="1">
      <alignment horizontal="center"/>
    </xf>
    <xf numFmtId="0" fontId="46" fillId="2" borderId="0" xfId="3" applyFont="1" applyFill="1" applyBorder="1" applyAlignment="1">
      <alignment horizontal="center"/>
    </xf>
    <xf numFmtId="0" fontId="46" fillId="2" borderId="37" xfId="3" applyFont="1" applyFill="1" applyBorder="1" applyAlignment="1">
      <alignment horizontal="center"/>
    </xf>
    <xf numFmtId="0" fontId="46" fillId="2" borderId="26" xfId="3" applyFont="1" applyFill="1" applyBorder="1" applyAlignment="1">
      <alignment horizontal="center"/>
    </xf>
    <xf numFmtId="0" fontId="46" fillId="2" borderId="110" xfId="3" applyFont="1" applyFill="1" applyBorder="1" applyAlignment="1">
      <alignment horizontal="left"/>
    </xf>
    <xf numFmtId="0" fontId="46" fillId="2" borderId="111" xfId="3" applyFont="1" applyFill="1" applyBorder="1" applyAlignment="1">
      <alignment horizontal="left"/>
    </xf>
    <xf numFmtId="0" fontId="46" fillId="2" borderId="112" xfId="3" applyFont="1" applyFill="1" applyBorder="1" applyAlignment="1">
      <alignment horizontal="left"/>
    </xf>
    <xf numFmtId="0" fontId="48" fillId="2" borderId="113" xfId="3" applyFont="1" applyFill="1" applyBorder="1" applyAlignment="1">
      <alignment horizontal="center"/>
    </xf>
    <xf numFmtId="0" fontId="55" fillId="0" borderId="113" xfId="3" applyFont="1" applyFill="1" applyBorder="1" applyAlignment="1">
      <alignment horizontal="center"/>
    </xf>
    <xf numFmtId="0" fontId="55" fillId="0" borderId="93" xfId="3" applyFont="1" applyFill="1" applyBorder="1" applyAlignment="1">
      <alignment horizontal="center"/>
    </xf>
    <xf numFmtId="170" fontId="48" fillId="2" borderId="92" xfId="3" applyNumberFormat="1" applyFont="1" applyFill="1" applyBorder="1" applyAlignment="1">
      <alignment horizontal="center"/>
    </xf>
    <xf numFmtId="170" fontId="48" fillId="2" borderId="93" xfId="3" applyNumberFormat="1" applyFont="1" applyFill="1" applyBorder="1" applyAlignment="1">
      <alignment horizontal="center"/>
    </xf>
    <xf numFmtId="1" fontId="48" fillId="2" borderId="120" xfId="3" applyNumberFormat="1" applyFont="1" applyFill="1" applyBorder="1" applyAlignment="1">
      <alignment horizontal="center"/>
    </xf>
    <xf numFmtId="1" fontId="48" fillId="2" borderId="121" xfId="3" applyNumberFormat="1" applyFont="1" applyFill="1" applyBorder="1" applyAlignment="1">
      <alignment horizontal="center"/>
    </xf>
    <xf numFmtId="0" fontId="43" fillId="0" borderId="127" xfId="3" applyFont="1" applyFill="1" applyBorder="1" applyAlignment="1">
      <alignment horizontal="left"/>
    </xf>
    <xf numFmtId="0" fontId="43" fillId="0" borderId="102" xfId="3" applyFont="1" applyFill="1" applyBorder="1" applyAlignment="1">
      <alignment horizontal="left"/>
    </xf>
    <xf numFmtId="14" fontId="41" fillId="2" borderId="138" xfId="3" applyNumberFormat="1" applyFont="1" applyFill="1" applyBorder="1" applyAlignment="1">
      <alignment horizontal="center"/>
    </xf>
    <xf numFmtId="14" fontId="41" fillId="2" borderId="139" xfId="3" applyNumberFormat="1" applyFont="1" applyFill="1" applyBorder="1" applyAlignment="1">
      <alignment horizontal="center"/>
    </xf>
    <xf numFmtId="0" fontId="43" fillId="0" borderId="6" xfId="3" applyFont="1" applyFill="1" applyBorder="1" applyAlignment="1">
      <alignment horizontal="center"/>
    </xf>
    <xf numFmtId="0" fontId="43" fillId="0" borderId="0" xfId="3" applyFont="1" applyFill="1" applyBorder="1" applyAlignment="1">
      <alignment horizontal="center"/>
    </xf>
    <xf numFmtId="0" fontId="43" fillId="0" borderId="20" xfId="3" applyFont="1" applyFill="1" applyBorder="1" applyAlignment="1">
      <alignment horizontal="center"/>
    </xf>
    <xf numFmtId="0" fontId="43" fillId="0" borderId="28" xfId="3" applyFont="1" applyFill="1" applyBorder="1" applyAlignment="1">
      <alignment horizontal="center"/>
    </xf>
    <xf numFmtId="0" fontId="43" fillId="0" borderId="26" xfId="3" applyFont="1" applyFill="1" applyBorder="1" applyAlignment="1">
      <alignment horizontal="center"/>
    </xf>
    <xf numFmtId="0" fontId="43" fillId="0" borderId="27" xfId="3" applyFont="1" applyFill="1" applyBorder="1" applyAlignment="1">
      <alignment horizontal="center"/>
    </xf>
    <xf numFmtId="0" fontId="37" fillId="0" borderId="122" xfId="3" applyFont="1" applyFill="1" applyBorder="1" applyAlignment="1">
      <alignment horizontal="left"/>
    </xf>
    <xf numFmtId="0" fontId="37" fillId="0" borderId="42" xfId="3" applyFont="1" applyFill="1" applyBorder="1" applyAlignment="1">
      <alignment horizontal="left"/>
    </xf>
    <xf numFmtId="0" fontId="37" fillId="0" borderId="41" xfId="3" applyFont="1" applyFill="1" applyBorder="1" applyAlignment="1">
      <alignment horizontal="left"/>
    </xf>
    <xf numFmtId="0" fontId="43" fillId="0" borderId="19" xfId="3" applyFont="1" applyFill="1" applyBorder="1" applyAlignment="1">
      <alignment horizontal="center"/>
    </xf>
    <xf numFmtId="0" fontId="43" fillId="0" borderId="17" xfId="3" applyFont="1" applyFill="1" applyBorder="1" applyAlignment="1">
      <alignment horizontal="center"/>
    </xf>
    <xf numFmtId="0" fontId="43" fillId="0" borderId="18" xfId="3" applyFont="1" applyFill="1" applyBorder="1" applyAlignment="1">
      <alignment horizontal="center"/>
    </xf>
    <xf numFmtId="0" fontId="58" fillId="2" borderId="133" xfId="3" applyFont="1" applyFill="1" applyBorder="1" applyAlignment="1">
      <alignment horizontal="center"/>
    </xf>
    <xf numFmtId="0" fontId="58" fillId="2" borderId="134" xfId="3" applyFont="1" applyFill="1" applyBorder="1" applyAlignment="1">
      <alignment horizontal="center"/>
    </xf>
    <xf numFmtId="0" fontId="16" fillId="0" borderId="79" xfId="5" applyBorder="1" applyAlignment="1">
      <alignment horizontal="left"/>
    </xf>
    <xf numFmtId="0" fontId="16" fillId="0" borderId="30" xfId="5" applyBorder="1" applyAlignment="1">
      <alignment horizontal="left"/>
    </xf>
    <xf numFmtId="171" fontId="16" fillId="0" borderId="79" xfId="5" applyNumberFormat="1" applyBorder="1" applyAlignment="1">
      <alignment horizontal="center"/>
    </xf>
    <xf numFmtId="171" fontId="16" fillId="0" borderId="30" xfId="5" applyNumberFormat="1" applyBorder="1" applyAlignment="1">
      <alignment horizontal="center"/>
    </xf>
    <xf numFmtId="171" fontId="16" fillId="0" borderId="31" xfId="5" applyNumberFormat="1" applyBorder="1" applyAlignment="1">
      <alignment horizontal="center"/>
    </xf>
    <xf numFmtId="49" fontId="16" fillId="0" borderId="79" xfId="5" applyNumberFormat="1" applyBorder="1" applyAlignment="1">
      <alignment horizontal="center"/>
    </xf>
    <xf numFmtId="49" fontId="16" fillId="0" borderId="30" xfId="5" applyNumberFormat="1" applyBorder="1" applyAlignment="1">
      <alignment horizontal="center"/>
    </xf>
    <xf numFmtId="49" fontId="16" fillId="0" borderId="29" xfId="5" applyNumberFormat="1" applyBorder="1" applyAlignment="1">
      <alignment horizontal="center"/>
    </xf>
    <xf numFmtId="0" fontId="61" fillId="0" borderId="6" xfId="5" applyFont="1" applyBorder="1" applyAlignment="1">
      <alignment horizontal="center"/>
    </xf>
    <xf numFmtId="0" fontId="61" fillId="0" borderId="0" xfId="5" applyFont="1" applyBorder="1" applyAlignment="1">
      <alignment horizontal="center"/>
    </xf>
    <xf numFmtId="0" fontId="61" fillId="0" borderId="55" xfId="5" applyFont="1" applyBorder="1" applyAlignment="1">
      <alignment horizontal="center"/>
    </xf>
    <xf numFmtId="0" fontId="60" fillId="0" borderId="67" xfId="5" applyFont="1" applyBorder="1" applyAlignment="1">
      <alignment horizontal="center"/>
    </xf>
    <xf numFmtId="0" fontId="60" fillId="0" borderId="33" xfId="5" applyFont="1" applyBorder="1" applyAlignment="1">
      <alignment horizontal="center"/>
    </xf>
    <xf numFmtId="0" fontId="60" fillId="0" borderId="144" xfId="5" applyFont="1" applyBorder="1" applyAlignment="1">
      <alignment horizontal="center"/>
    </xf>
    <xf numFmtId="0" fontId="60" fillId="0" borderId="58" xfId="5" applyFont="1" applyBorder="1" applyAlignment="1">
      <alignment horizontal="center"/>
    </xf>
    <xf numFmtId="0" fontId="16" fillId="0" borderId="36" xfId="5" applyBorder="1" applyAlignment="1">
      <alignment horizontal="left"/>
    </xf>
    <xf numFmtId="0" fontId="16" fillId="0" borderId="40" xfId="5" applyBorder="1" applyAlignment="1">
      <alignment horizontal="left"/>
    </xf>
    <xf numFmtId="171" fontId="16" fillId="0" borderId="36" xfId="5" applyNumberFormat="1" applyBorder="1" applyAlignment="1">
      <alignment horizontal="center"/>
    </xf>
    <xf numFmtId="171" fontId="16" fillId="0" borderId="40" xfId="5" applyNumberFormat="1" applyBorder="1" applyAlignment="1">
      <alignment horizontal="center"/>
    </xf>
    <xf numFmtId="171" fontId="16" fillId="0" borderId="35" xfId="5" applyNumberFormat="1" applyBorder="1" applyAlignment="1">
      <alignment horizontal="center"/>
    </xf>
    <xf numFmtId="49" fontId="16" fillId="0" borderId="36" xfId="5" applyNumberFormat="1" applyBorder="1" applyAlignment="1">
      <alignment horizontal="center"/>
    </xf>
    <xf numFmtId="49" fontId="16" fillId="0" borderId="40" xfId="5" applyNumberFormat="1" applyBorder="1" applyAlignment="1">
      <alignment horizontal="center"/>
    </xf>
    <xf numFmtId="49" fontId="16" fillId="0" borderId="62" xfId="5" applyNumberFormat="1" applyBorder="1" applyAlignment="1">
      <alignment horizontal="center"/>
    </xf>
    <xf numFmtId="0" fontId="63" fillId="0" borderId="36" xfId="2" applyFont="1" applyBorder="1" applyAlignment="1">
      <alignment horizontal="right"/>
    </xf>
    <xf numFmtId="0" fontId="63" fillId="0" borderId="40" xfId="2" applyFont="1" applyBorder="1" applyAlignment="1">
      <alignment horizontal="right"/>
    </xf>
    <xf numFmtId="0" fontId="40" fillId="0" borderId="0" xfId="2" applyFont="1" applyAlignment="1">
      <alignment horizontal="center"/>
    </xf>
    <xf numFmtId="0" fontId="65" fillId="0" borderId="0" xfId="2" applyFont="1" applyAlignment="1">
      <alignment horizontal="right"/>
    </xf>
    <xf numFmtId="0" fontId="63" fillId="0" borderId="39" xfId="2" applyFont="1" applyBorder="1" applyAlignment="1">
      <alignment horizontal="center"/>
    </xf>
    <xf numFmtId="0" fontId="40" fillId="0" borderId="36" xfId="2" applyFont="1" applyBorder="1" applyAlignment="1">
      <alignment horizontal="center"/>
    </xf>
    <xf numFmtId="0" fontId="40" fillId="0" borderId="40" xfId="2" applyFont="1" applyBorder="1" applyAlignment="1">
      <alignment horizontal="center"/>
    </xf>
    <xf numFmtId="0" fontId="40" fillId="0" borderId="35" xfId="2" applyFont="1" applyBorder="1" applyAlignment="1">
      <alignment horizontal="center"/>
    </xf>
    <xf numFmtId="0" fontId="65" fillId="0" borderId="39" xfId="2" applyFont="1" applyBorder="1" applyAlignment="1">
      <alignment horizontal="center"/>
    </xf>
    <xf numFmtId="0" fontId="27" fillId="0" borderId="0" xfId="2" applyFont="1" applyAlignment="1">
      <alignment horizontal="center"/>
    </xf>
    <xf numFmtId="0" fontId="64" fillId="0" borderId="36" xfId="2" applyFont="1" applyBorder="1" applyAlignment="1">
      <alignment horizontal="center"/>
    </xf>
    <xf numFmtId="0" fontId="33" fillId="0" borderId="0" xfId="2" applyFont="1" applyAlignment="1">
      <alignment horizontal="center"/>
    </xf>
    <xf numFmtId="0" fontId="27" fillId="0" borderId="0" xfId="2" applyFont="1" applyBorder="1" applyAlignment="1">
      <alignment horizontal="center"/>
    </xf>
    <xf numFmtId="0" fontId="20" fillId="0" borderId="32" xfId="2" applyFont="1" applyBorder="1" applyAlignment="1">
      <alignment horizontal="left"/>
    </xf>
    <xf numFmtId="0" fontId="20" fillId="0" borderId="30" xfId="2" applyFont="1" applyBorder="1" applyAlignment="1">
      <alignment horizontal="left"/>
    </xf>
    <xf numFmtId="0" fontId="20" fillId="0" borderId="29" xfId="2" applyFont="1" applyBorder="1" applyAlignment="1">
      <alignment horizontal="left"/>
    </xf>
    <xf numFmtId="0" fontId="40" fillId="0" borderId="43" xfId="2" applyFont="1" applyBorder="1" applyAlignment="1">
      <alignment horizontal="center"/>
    </xf>
    <xf numFmtId="0" fontId="40" fillId="0" borderId="77" xfId="2" applyFont="1" applyBorder="1" applyAlignment="1">
      <alignment horizontal="center"/>
    </xf>
    <xf numFmtId="0" fontId="64" fillId="0" borderId="122" xfId="2" applyFont="1" applyBorder="1" applyAlignment="1">
      <alignment horizontal="center"/>
    </xf>
    <xf numFmtId="0" fontId="64" fillId="0" borderId="42" xfId="2" applyFont="1" applyBorder="1" applyAlignment="1">
      <alignment horizontal="center"/>
    </xf>
    <xf numFmtId="0" fontId="64" fillId="0" borderId="77" xfId="2" applyFont="1" applyBorder="1" applyAlignment="1">
      <alignment horizontal="center"/>
    </xf>
    <xf numFmtId="0" fontId="29" fillId="0" borderId="145" xfId="2" applyFont="1" applyBorder="1" applyAlignment="1">
      <alignment horizontal="right"/>
    </xf>
    <xf numFmtId="0" fontId="29" fillId="0" borderId="146" xfId="2" applyFont="1" applyBorder="1" applyAlignment="1">
      <alignment horizontal="right"/>
    </xf>
    <xf numFmtId="0" fontId="40" fillId="0" borderId="146" xfId="2" applyFont="1" applyBorder="1" applyAlignment="1">
      <alignment horizontal="center"/>
    </xf>
    <xf numFmtId="0" fontId="40" fillId="0" borderId="82" xfId="2" applyFont="1" applyBorder="1" applyAlignment="1">
      <alignment horizontal="center"/>
    </xf>
    <xf numFmtId="0" fontId="40" fillId="0" borderId="84" xfId="2" applyFont="1" applyBorder="1" applyAlignment="1">
      <alignment horizontal="center"/>
    </xf>
    <xf numFmtId="0" fontId="40" fillId="0" borderId="19" xfId="2" applyFont="1" applyBorder="1" applyAlignment="1">
      <alignment horizontal="center"/>
    </xf>
    <xf numFmtId="0" fontId="40" fillId="0" borderId="17" xfId="2" applyFont="1" applyBorder="1" applyAlignment="1">
      <alignment horizontal="center"/>
    </xf>
    <xf numFmtId="0" fontId="40" fillId="0" borderId="16" xfId="2" applyFont="1" applyBorder="1" applyAlignment="1">
      <alignment horizontal="center"/>
    </xf>
    <xf numFmtId="0" fontId="64" fillId="0" borderId="43" xfId="2" applyFont="1" applyBorder="1" applyAlignment="1">
      <alignment horizontal="center"/>
    </xf>
    <xf numFmtId="0" fontId="16" fillId="0" borderId="77" xfId="2" applyBorder="1" applyAlignment="1">
      <alignment horizontal="center"/>
    </xf>
    <xf numFmtId="0" fontId="40" fillId="0" borderId="83" xfId="2" applyFont="1" applyBorder="1" applyAlignment="1">
      <alignment horizontal="center"/>
    </xf>
    <xf numFmtId="0" fontId="40" fillId="0" borderId="42" xfId="2" applyFont="1" applyBorder="1" applyAlignment="1">
      <alignment horizontal="center"/>
    </xf>
    <xf numFmtId="0" fontId="64" fillId="0" borderId="122" xfId="2" applyFont="1" applyBorder="1" applyAlignment="1">
      <alignment horizontal="right"/>
    </xf>
    <xf numFmtId="0" fontId="64" fillId="0" borderId="42" xfId="2" applyFont="1" applyBorder="1" applyAlignment="1">
      <alignment horizontal="right"/>
    </xf>
    <xf numFmtId="0" fontId="64" fillId="0" borderId="19" xfId="2" applyFont="1" applyBorder="1" applyAlignment="1">
      <alignment horizontal="right"/>
    </xf>
    <xf numFmtId="0" fontId="64" fillId="0" borderId="17" xfId="2" applyFont="1" applyBorder="1" applyAlignment="1">
      <alignment horizontal="right"/>
    </xf>
    <xf numFmtId="164" fontId="7" fillId="0" borderId="0" xfId="1" applyFont="1" applyBorder="1" applyAlignment="1">
      <alignment horizontal="center"/>
    </xf>
    <xf numFmtId="164" fontId="7" fillId="0" borderId="5" xfId="1" applyFont="1" applyBorder="1" applyAlignment="1">
      <alignment horizontal="center"/>
    </xf>
    <xf numFmtId="164" fontId="6" fillId="0" borderId="1" xfId="1" applyFont="1" applyBorder="1" applyAlignment="1" applyProtection="1">
      <alignment horizontal="center"/>
      <protection locked="0"/>
    </xf>
    <xf numFmtId="14" fontId="2" fillId="0" borderId="1" xfId="1" quotePrefix="1" applyNumberFormat="1" applyFont="1" applyBorder="1" applyAlignment="1" applyProtection="1">
      <alignment horizontal="center"/>
      <protection locked="0"/>
    </xf>
    <xf numFmtId="0" fontId="19" fillId="0" borderId="36" xfId="2" applyFont="1" applyBorder="1" applyAlignment="1">
      <alignment horizontal="center"/>
    </xf>
    <xf numFmtId="0" fontId="19" fillId="0" borderId="40" xfId="2" applyFont="1" applyBorder="1" applyAlignment="1">
      <alignment horizontal="center"/>
    </xf>
    <xf numFmtId="0" fontId="19" fillId="0" borderId="35" xfId="2" applyFont="1" applyBorder="1" applyAlignment="1">
      <alignment horizontal="center"/>
    </xf>
    <xf numFmtId="0" fontId="21" fillId="0" borderId="38" xfId="2" applyFont="1" applyBorder="1" applyAlignment="1">
      <alignment horizontal="center"/>
    </xf>
    <xf numFmtId="0" fontId="21" fillId="0" borderId="0" xfId="2" applyFont="1" applyBorder="1" applyAlignment="1">
      <alignment horizontal="center"/>
    </xf>
    <xf numFmtId="0" fontId="21" fillId="0" borderId="20" xfId="2" applyFont="1" applyBorder="1" applyAlignment="1">
      <alignment horizontal="center"/>
    </xf>
    <xf numFmtId="0" fontId="25" fillId="0" borderId="38" xfId="2" applyFont="1" applyBorder="1" applyAlignment="1">
      <alignment horizontal="center"/>
    </xf>
    <xf numFmtId="0" fontId="25" fillId="0" borderId="0" xfId="2" applyFont="1" applyBorder="1" applyAlignment="1">
      <alignment horizontal="center"/>
    </xf>
    <xf numFmtId="0" fontId="25" fillId="0" borderId="20" xfId="2" applyFont="1" applyBorder="1" applyAlignment="1">
      <alignment horizontal="center"/>
    </xf>
    <xf numFmtId="0" fontId="16" fillId="0" borderId="56" xfId="2" applyBorder="1" applyAlignment="1">
      <alignment horizontal="center"/>
    </xf>
    <xf numFmtId="0" fontId="16" fillId="0" borderId="55" xfId="2" applyBorder="1" applyAlignment="1">
      <alignment horizontal="center"/>
    </xf>
    <xf numFmtId="0" fontId="16" fillId="0" borderId="54" xfId="2" applyBorder="1" applyAlignment="1">
      <alignment horizontal="center"/>
    </xf>
  </cellXfs>
  <cellStyles count="7">
    <cellStyle name="Normal" xfId="0" builtinId="0"/>
    <cellStyle name="Normal 2" xfId="3"/>
    <cellStyle name="Normal 3" xfId="2"/>
    <cellStyle name="Normal 4" xfId="1"/>
    <cellStyle name="Normal 4 2" xfId="6"/>
    <cellStyle name="Normal_OPTEST" xfId="4"/>
    <cellStyle name="Normal_PROJ_REV_HIS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1" u="none" strike="noStrike" baseline="0">
                <a:solidFill>
                  <a:srgbClr val="000000"/>
                </a:solidFill>
                <a:latin typeface="Times New Roman"/>
                <a:ea typeface="Times New Roman"/>
                <a:cs typeface="Times New Roman"/>
              </a:defRPr>
            </a:pPr>
            <a:r>
              <a:rPr lang="en-US"/>
              <a:t>S-T Curve Estimation</a:t>
            </a:r>
          </a:p>
        </c:rich>
      </c:tx>
      <c:layout>
        <c:manualLayout>
          <c:xMode val="edge"/>
          <c:yMode val="edge"/>
          <c:x val="0.3381509638881347"/>
          <c:y val="2.100840336134454E-2"/>
        </c:manualLayout>
      </c:layout>
      <c:overlay val="0"/>
      <c:spPr>
        <a:noFill/>
        <a:ln w="25400">
          <a:noFill/>
        </a:ln>
      </c:spPr>
    </c:title>
    <c:autoTitleDeleted val="0"/>
    <c:plotArea>
      <c:layout>
        <c:manualLayout>
          <c:layoutTarget val="inner"/>
          <c:xMode val="edge"/>
          <c:yMode val="edge"/>
          <c:x val="0.17052047185534436"/>
          <c:y val="0.11344561089649031"/>
          <c:w val="0.67919170993230382"/>
          <c:h val="0.68067366537894192"/>
        </c:manualLayout>
      </c:layout>
      <c:scatterChart>
        <c:scatterStyle val="lineMarker"/>
        <c:varyColors val="0"/>
        <c:ser>
          <c:idx val="0"/>
          <c:order val="0"/>
          <c:spPr>
            <a:ln w="12700">
              <a:solidFill>
                <a:srgbClr val="000000"/>
              </a:solidFill>
              <a:prstDash val="solid"/>
            </a:ln>
          </c:spPr>
          <c:marker>
            <c:symbol val="none"/>
          </c:marker>
          <c:xVal>
            <c:numRef>
              <c:f>(DesignSheet!$A$59:$A$68,DesignSheet!$D$59:$D$62)</c:f>
              <c:numCache>
                <c:formatCode>0.000</c:formatCode>
                <c:ptCount val="14"/>
                <c:pt idx="0" formatCode="0.00">
                  <c:v>0</c:v>
                </c:pt>
                <c:pt idx="1">
                  <c:v>9.9999997764825821E-3</c:v>
                </c:pt>
                <c:pt idx="2">
                  <c:v>5.000000074505806E-2</c:v>
                </c:pt>
                <c:pt idx="3" formatCode="0.00">
                  <c:v>0.10000000149011612</c:v>
                </c:pt>
                <c:pt idx="4" formatCode="0.00">
                  <c:v>0.15000000596046448</c:v>
                </c:pt>
                <c:pt idx="5" formatCode="0.00">
                  <c:v>0.20000000298023224</c:v>
                </c:pt>
                <c:pt idx="6" formatCode="0.00">
                  <c:v>0.30000001192092896</c:v>
                </c:pt>
                <c:pt idx="7" formatCode="0.00">
                  <c:v>0.40000000596046448</c:v>
                </c:pt>
                <c:pt idx="8" formatCode="0.00">
                  <c:v>0.5</c:v>
                </c:pt>
                <c:pt idx="9" formatCode="0.00">
                  <c:v>0.60000002384185791</c:v>
                </c:pt>
                <c:pt idx="10" formatCode="0.00">
                  <c:v>0.69999998807907104</c:v>
                </c:pt>
                <c:pt idx="11" formatCode="0.00">
                  <c:v>0.80000001192092896</c:v>
                </c:pt>
                <c:pt idx="12" formatCode="0.00">
                  <c:v>0.89999997615814209</c:v>
                </c:pt>
                <c:pt idx="13" formatCode="0.00">
                  <c:v>1</c:v>
                </c:pt>
              </c:numCache>
            </c:numRef>
          </c:xVal>
          <c:yVal>
            <c:numRef>
              <c:f>(DesignSheet!$B$59:$B$68,DesignSheet!$E$59:$E$62)</c:f>
              <c:numCache>
                <c:formatCode>0.0</c:formatCode>
                <c:ptCount val="14"/>
                <c:pt idx="0">
                  <c:v>0</c:v>
                </c:pt>
                <c:pt idx="1">
                  <c:v>87.084798259895351</c:v>
                </c:pt>
                <c:pt idx="2">
                  <c:v>240</c:v>
                </c:pt>
                <c:pt idx="3">
                  <c:v>212.36818051614165</c:v>
                </c:pt>
                <c:pt idx="4">
                  <c:v>180.77856393750176</c:v>
                </c:pt>
                <c:pt idx="5">
                  <c:v>167.02373152114785</c:v>
                </c:pt>
                <c:pt idx="6">
                  <c:v>160.54227241774151</c:v>
                </c:pt>
                <c:pt idx="7">
                  <c:v>160.37640445174748</c:v>
                </c:pt>
                <c:pt idx="8">
                  <c:v>160</c:v>
                </c:pt>
                <c:pt idx="9">
                  <c:v>161.1715086643556</c:v>
                </c:pt>
                <c:pt idx="10">
                  <c:v>164.34570207746509</c:v>
                </c:pt>
                <c:pt idx="11">
                  <c:v>170.59825910262401</c:v>
                </c:pt>
                <c:pt idx="12">
                  <c:v>181.60359584061104</c:v>
                </c:pt>
                <c:pt idx="13">
                  <c:v>200</c:v>
                </c:pt>
              </c:numCache>
            </c:numRef>
          </c:yVal>
          <c:smooth val="1"/>
          <c:extLst>
            <c:ext xmlns:c16="http://schemas.microsoft.com/office/drawing/2014/chart" uri="{C3380CC4-5D6E-409C-BE32-E72D297353CC}">
              <c16:uniqueId val="{00000000-0C6B-4AEA-9489-6C101AF56840}"/>
            </c:ext>
          </c:extLst>
        </c:ser>
        <c:ser>
          <c:idx val="2"/>
          <c:order val="2"/>
          <c:spPr>
            <a:ln w="12700">
              <a:solidFill>
                <a:srgbClr val="000000"/>
              </a:solidFill>
              <a:prstDash val="sysDash"/>
            </a:ln>
          </c:spPr>
          <c:marker>
            <c:symbol val="none"/>
          </c:marker>
          <c:xVal>
            <c:numRef>
              <c:f>(DesignSheet!$A$59:$A$68,DesignSheet!$D$59:$D$62)</c:f>
              <c:numCache>
                <c:formatCode>0.000</c:formatCode>
                <c:ptCount val="14"/>
                <c:pt idx="0" formatCode="0.00">
                  <c:v>0</c:v>
                </c:pt>
                <c:pt idx="1">
                  <c:v>9.9999997764825821E-3</c:v>
                </c:pt>
                <c:pt idx="2">
                  <c:v>5.000000074505806E-2</c:v>
                </c:pt>
                <c:pt idx="3" formatCode="0.00">
                  <c:v>0.10000000149011612</c:v>
                </c:pt>
                <c:pt idx="4" formatCode="0.00">
                  <c:v>0.15000000596046448</c:v>
                </c:pt>
                <c:pt idx="5" formatCode="0.00">
                  <c:v>0.20000000298023224</c:v>
                </c:pt>
                <c:pt idx="6" formatCode="0.00">
                  <c:v>0.30000001192092896</c:v>
                </c:pt>
                <c:pt idx="7" formatCode="0.00">
                  <c:v>0.40000000596046448</c:v>
                </c:pt>
                <c:pt idx="8" formatCode="0.00">
                  <c:v>0.5</c:v>
                </c:pt>
                <c:pt idx="9" formatCode="0.00">
                  <c:v>0.60000002384185791</c:v>
                </c:pt>
                <c:pt idx="10" formatCode="0.00">
                  <c:v>0.69999998807907104</c:v>
                </c:pt>
                <c:pt idx="11" formatCode="0.00">
                  <c:v>0.80000001192092896</c:v>
                </c:pt>
                <c:pt idx="12" formatCode="0.00">
                  <c:v>0.89999997615814209</c:v>
                </c:pt>
                <c:pt idx="13" formatCode="0.00">
                  <c:v>1</c:v>
                </c:pt>
              </c:numCache>
            </c:numRef>
          </c:xVal>
          <c:yVal>
            <c:numRef>
              <c:f>DesignSheet!$A$100:$A$113</c:f>
              <c:numCache>
                <c:formatCode>0.0</c:formatCode>
                <c:ptCount val="14"/>
                <c:pt idx="0">
                  <c:v>100</c:v>
                </c:pt>
                <c:pt idx="1">
                  <c:v>98</c:v>
                </c:pt>
                <c:pt idx="2">
                  <c:v>87</c:v>
                </c:pt>
                <c:pt idx="3">
                  <c:v>74</c:v>
                </c:pt>
                <c:pt idx="4">
                  <c:v>61</c:v>
                </c:pt>
                <c:pt idx="5">
                  <c:v>50</c:v>
                </c:pt>
                <c:pt idx="6">
                  <c:v>33</c:v>
                </c:pt>
                <c:pt idx="7">
                  <c:v>22</c:v>
                </c:pt>
                <c:pt idx="8">
                  <c:v>14</c:v>
                </c:pt>
                <c:pt idx="9">
                  <c:v>7.9999995231628418</c:v>
                </c:pt>
                <c:pt idx="10">
                  <c:v>5.9999995231628418</c:v>
                </c:pt>
                <c:pt idx="11">
                  <c:v>8.0000009536743164</c:v>
                </c:pt>
                <c:pt idx="12">
                  <c:v>14.999996185302734</c:v>
                </c:pt>
                <c:pt idx="13">
                  <c:v>30</c:v>
                </c:pt>
              </c:numCache>
            </c:numRef>
          </c:yVal>
          <c:smooth val="1"/>
          <c:extLst>
            <c:ext xmlns:c16="http://schemas.microsoft.com/office/drawing/2014/chart" uri="{C3380CC4-5D6E-409C-BE32-E72D297353CC}">
              <c16:uniqueId val="{00000001-0C6B-4AEA-9489-6C101AF56840}"/>
            </c:ext>
          </c:extLst>
        </c:ser>
        <c:dLbls>
          <c:showLegendKey val="0"/>
          <c:showVal val="0"/>
          <c:showCatName val="0"/>
          <c:showSerName val="0"/>
          <c:showPercent val="0"/>
          <c:showBubbleSize val="0"/>
        </c:dLbls>
        <c:axId val="691646056"/>
        <c:axId val="1"/>
      </c:scatterChart>
      <c:scatterChart>
        <c:scatterStyle val="lineMarker"/>
        <c:varyColors val="0"/>
        <c:ser>
          <c:idx val="1"/>
          <c:order val="1"/>
          <c:spPr>
            <a:ln w="12700">
              <a:solidFill>
                <a:srgbClr val="000000"/>
              </a:solidFill>
              <a:prstDash val="sysDash"/>
            </a:ln>
          </c:spPr>
          <c:marker>
            <c:symbol val="none"/>
          </c:marker>
          <c:xVal>
            <c:numRef>
              <c:f>(DesignSheet!$A$59:$A$68,DesignSheet!$D$59:$D$62)</c:f>
              <c:numCache>
                <c:formatCode>0.000</c:formatCode>
                <c:ptCount val="14"/>
                <c:pt idx="0" formatCode="0.00">
                  <c:v>0</c:v>
                </c:pt>
                <c:pt idx="1">
                  <c:v>9.9999997764825821E-3</c:v>
                </c:pt>
                <c:pt idx="2">
                  <c:v>5.000000074505806E-2</c:v>
                </c:pt>
                <c:pt idx="3" formatCode="0.00">
                  <c:v>0.10000000149011612</c:v>
                </c:pt>
                <c:pt idx="4" formatCode="0.00">
                  <c:v>0.15000000596046448</c:v>
                </c:pt>
                <c:pt idx="5" formatCode="0.00">
                  <c:v>0.20000000298023224</c:v>
                </c:pt>
                <c:pt idx="6" formatCode="0.00">
                  <c:v>0.30000001192092896</c:v>
                </c:pt>
                <c:pt idx="7" formatCode="0.00">
                  <c:v>0.40000000596046448</c:v>
                </c:pt>
                <c:pt idx="8" formatCode="0.00">
                  <c:v>0.5</c:v>
                </c:pt>
                <c:pt idx="9" formatCode="0.00">
                  <c:v>0.60000002384185791</c:v>
                </c:pt>
                <c:pt idx="10" formatCode="0.00">
                  <c:v>0.69999998807907104</c:v>
                </c:pt>
                <c:pt idx="11" formatCode="0.00">
                  <c:v>0.80000001192092896</c:v>
                </c:pt>
                <c:pt idx="12" formatCode="0.00">
                  <c:v>0.89999997615814209</c:v>
                </c:pt>
                <c:pt idx="13" formatCode="0.00">
                  <c:v>1</c:v>
                </c:pt>
              </c:numCache>
            </c:numRef>
          </c:xVal>
          <c:yVal>
            <c:numRef>
              <c:f>(DesignSheet!$C$59:$C$68,DesignSheet!$F$59:$F$62)</c:f>
              <c:numCache>
                <c:formatCode>0.0</c:formatCode>
                <c:ptCount val="14"/>
                <c:pt idx="0">
                  <c:v>0.2563931941986084</c:v>
                </c:pt>
                <c:pt idx="1">
                  <c:v>121.63082122802734</c:v>
                </c:pt>
                <c:pt idx="2">
                  <c:v>433.3988037109375</c:v>
                </c:pt>
                <c:pt idx="3">
                  <c:v>564.056884765625</c:v>
                </c:pt>
                <c:pt idx="4">
                  <c:v>606.8428955078125</c:v>
                </c:pt>
                <c:pt idx="5">
                  <c:v>626.06231689453125</c:v>
                </c:pt>
                <c:pt idx="6">
                  <c:v>644.40673828125</c:v>
                </c:pt>
                <c:pt idx="7">
                  <c:v>655.05303955078125</c:v>
                </c:pt>
                <c:pt idx="8">
                  <c:v>663.4112548828125</c:v>
                </c:pt>
                <c:pt idx="9">
                  <c:v>670.73626708984375</c:v>
                </c:pt>
                <c:pt idx="10">
                  <c:v>677.0576171875</c:v>
                </c:pt>
                <c:pt idx="11">
                  <c:v>682.787841796875</c:v>
                </c:pt>
                <c:pt idx="12">
                  <c:v>687.925048828125</c:v>
                </c:pt>
                <c:pt idx="13">
                  <c:v>692.4107666015625</c:v>
                </c:pt>
              </c:numCache>
            </c:numRef>
          </c:yVal>
          <c:smooth val="1"/>
          <c:extLst>
            <c:ext xmlns:c16="http://schemas.microsoft.com/office/drawing/2014/chart" uri="{C3380CC4-5D6E-409C-BE32-E72D297353CC}">
              <c16:uniqueId val="{00000002-0C6B-4AEA-9489-6C101AF56840}"/>
            </c:ext>
          </c:extLst>
        </c:ser>
        <c:dLbls>
          <c:showLegendKey val="0"/>
          <c:showVal val="0"/>
          <c:showCatName val="0"/>
          <c:showSerName val="0"/>
          <c:showPercent val="0"/>
          <c:showBubbleSize val="0"/>
        </c:dLbls>
        <c:axId val="3"/>
        <c:axId val="4"/>
      </c:scatterChart>
      <c:valAx>
        <c:axId val="691646056"/>
        <c:scaling>
          <c:orientation val="maxMin"/>
          <c:max val="1"/>
        </c:scaling>
        <c:delete val="0"/>
        <c:axPos val="b"/>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Slip (p.u.)</a:t>
                </a:r>
              </a:p>
            </c:rich>
          </c:tx>
          <c:layout>
            <c:manualLayout>
              <c:xMode val="edge"/>
              <c:yMode val="edge"/>
              <c:x val="0.43641687030500498"/>
              <c:y val="0.8907580670063299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At val="0"/>
        <c:crossBetween val="midCat"/>
        <c:majorUnit val="0.2"/>
        <c:minorUnit val="0.2"/>
      </c:valAx>
      <c:valAx>
        <c:axId val="1"/>
        <c:scaling>
          <c:orientation val="minMax"/>
        </c:scaling>
        <c:delete val="0"/>
        <c:axPos val="l"/>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Torque (%) </a:t>
                </a:r>
              </a:p>
            </c:rich>
          </c:tx>
          <c:layout>
            <c:manualLayout>
              <c:xMode val="edge"/>
              <c:yMode val="edge"/>
              <c:x val="1.4451081545841253E-2"/>
              <c:y val="0.28991640750788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691646056"/>
        <c:crosses val="max"/>
        <c:crossBetween val="midCat"/>
        <c:majorUnit val="50"/>
        <c:minorUnit val="50"/>
      </c:valAx>
      <c:valAx>
        <c:axId val="3"/>
        <c:scaling>
          <c:orientation val="maxMin"/>
        </c:scaling>
        <c:delete val="1"/>
        <c:axPos val="b"/>
        <c:numFmt formatCode="0.00" sourceLinked="1"/>
        <c:majorTickMark val="out"/>
        <c:minorTickMark val="none"/>
        <c:tickLblPos val="nextTo"/>
        <c:crossAx val="4"/>
        <c:crosses val="autoZero"/>
        <c:crossBetween val="midCat"/>
      </c:valAx>
      <c:valAx>
        <c:axId val="4"/>
        <c:scaling>
          <c:orientation val="minMax"/>
        </c:scaling>
        <c:delete val="0"/>
        <c:axPos val="r"/>
        <c:title>
          <c:tx>
            <c:rich>
              <a:bodyPr/>
              <a:lstStyle/>
              <a:p>
                <a:pPr>
                  <a:defRPr sz="800" b="0" i="1" u="none" strike="noStrike" baseline="0">
                    <a:solidFill>
                      <a:srgbClr val="000000"/>
                    </a:solidFill>
                    <a:latin typeface="Times New Roman"/>
                    <a:ea typeface="Times New Roman"/>
                    <a:cs typeface="Times New Roman"/>
                  </a:defRPr>
                </a:pPr>
                <a:r>
                  <a:rPr lang="en-US"/>
                  <a:t>Current (%)</a:t>
                </a:r>
              </a:p>
            </c:rich>
          </c:tx>
          <c:layout>
            <c:manualLayout>
              <c:xMode val="edge"/>
              <c:yMode val="edge"/>
              <c:x val="0.92774670407578363"/>
              <c:y val="0.2563029621297337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3"/>
        <c:crosses val="autoZero"/>
        <c:crossBetween val="midCat"/>
      </c:valAx>
      <c:spPr>
        <a:solidFill>
          <a:srgbClr val="E3E3E3"/>
        </a:solidFill>
        <a:ln w="12700">
          <a:solidFill>
            <a:srgbClr val="808080"/>
          </a:solidFill>
          <a:prstDash val="solid"/>
        </a:ln>
      </c:spPr>
    </c:plotArea>
    <c:plotVisOnly val="1"/>
    <c:dispBlanksAs val="gap"/>
    <c:showDLblsOverMax val="0"/>
  </c:chart>
  <c:spPr>
    <a:solidFill>
      <a:srgbClr val="FFFFFF"/>
    </a:solidFill>
    <a:ln w="12700">
      <a:pattFill prst="pct75">
        <a:fgClr>
          <a:srgbClr val="000000"/>
        </a:fgClr>
        <a:bgClr>
          <a:srgbClr val="FFFFFF"/>
        </a:bgClr>
      </a:patt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4" verticalDpi="30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1" u="none" strike="noStrike" baseline="0">
                <a:solidFill>
                  <a:srgbClr val="000000"/>
                </a:solidFill>
                <a:latin typeface="Times New Roman"/>
                <a:ea typeface="Times New Roman"/>
                <a:cs typeface="Times New Roman"/>
              </a:defRPr>
            </a:pPr>
            <a:r>
              <a:rPr lang="en-US"/>
              <a:t>Design Values</a:t>
            </a:r>
          </a:p>
        </c:rich>
      </c:tx>
      <c:layout>
        <c:manualLayout>
          <c:xMode val="edge"/>
          <c:yMode val="edge"/>
          <c:x val="0.39122874045494183"/>
          <c:y val="2.851713673837105E-2"/>
        </c:manualLayout>
      </c:layout>
      <c:overlay val="0"/>
      <c:spPr>
        <a:noFill/>
        <a:ln w="25400">
          <a:noFill/>
        </a:ln>
      </c:spPr>
    </c:title>
    <c:autoTitleDeleted val="0"/>
    <c:plotArea>
      <c:layout>
        <c:manualLayout>
          <c:layoutTarget val="inner"/>
          <c:xMode val="edge"/>
          <c:yMode val="edge"/>
          <c:x val="0.13859672868134712"/>
          <c:y val="0.14068454124263052"/>
          <c:w val="0.71228192208388519"/>
          <c:h val="0.63308043559183735"/>
        </c:manualLayout>
      </c:layout>
      <c:scatterChart>
        <c:scatterStyle val="smoothMarker"/>
        <c:varyColors val="0"/>
        <c:ser>
          <c:idx val="0"/>
          <c:order val="0"/>
          <c:tx>
            <c:v>Torque (FV)</c:v>
          </c:tx>
          <c:spPr>
            <a:ln w="25400">
              <a:solidFill>
                <a:srgbClr val="000000"/>
              </a:solidFill>
              <a:prstDash val="solid"/>
            </a:ln>
          </c:spPr>
          <c:marker>
            <c:symbol val="none"/>
          </c:marker>
          <c:xVal>
            <c:numRef>
              <c:f>STCurve!$A$54:$A$67</c:f>
              <c:numCache>
                <c:formatCode>0.0</c:formatCode>
                <c:ptCount val="14"/>
                <c:pt idx="0">
                  <c:v>100</c:v>
                </c:pt>
                <c:pt idx="1">
                  <c:v>99.200000055134296</c:v>
                </c:pt>
                <c:pt idx="2">
                  <c:v>96.000000089406967</c:v>
                </c:pt>
                <c:pt idx="3">
                  <c:v>90.888889133930206</c:v>
                </c:pt>
                <c:pt idx="4">
                  <c:v>85.777777433395386</c:v>
                </c:pt>
                <c:pt idx="5">
                  <c:v>80.666665732860565</c:v>
                </c:pt>
                <c:pt idx="6">
                  <c:v>70.444443821907043</c:v>
                </c:pt>
                <c:pt idx="7">
                  <c:v>60.222220420837402</c:v>
                </c:pt>
                <c:pt idx="8">
                  <c:v>50</c:v>
                </c:pt>
                <c:pt idx="9">
                  <c:v>39.999997615814209</c:v>
                </c:pt>
                <c:pt idx="10">
                  <c:v>30.000001192092896</c:v>
                </c:pt>
                <c:pt idx="11">
                  <c:v>19.999998807907104</c:v>
                </c:pt>
                <c:pt idx="12">
                  <c:v>10.000002384185791</c:v>
                </c:pt>
                <c:pt idx="13">
                  <c:v>0</c:v>
                </c:pt>
              </c:numCache>
            </c:numRef>
          </c:xVal>
          <c:yVal>
            <c:numRef>
              <c:f>STCurve!$B$54:$B$67</c:f>
              <c:numCache>
                <c:formatCode>0.0</c:formatCode>
                <c:ptCount val="14"/>
                <c:pt idx="0">
                  <c:v>0</c:v>
                </c:pt>
                <c:pt idx="1">
                  <c:v>78.014384670440649</c:v>
                </c:pt>
                <c:pt idx="2">
                  <c:v>215</c:v>
                </c:pt>
                <c:pt idx="3">
                  <c:v>183.76141890476322</c:v>
                </c:pt>
                <c:pt idx="4">
                  <c:v>152.31824707465833</c:v>
                </c:pt>
                <c:pt idx="5">
                  <c:v>138.22012087511735</c:v>
                </c:pt>
                <c:pt idx="6">
                  <c:v>130.6856747600294</c:v>
                </c:pt>
                <c:pt idx="7">
                  <c:v>130.20570755533026</c:v>
                </c:pt>
                <c:pt idx="8">
                  <c:v>130</c:v>
                </c:pt>
                <c:pt idx="9">
                  <c:v>131.49283250731324</c:v>
                </c:pt>
                <c:pt idx="10">
                  <c:v>135.09953047586291</c:v>
                </c:pt>
                <c:pt idx="11">
                  <c:v>142.055856963737</c:v>
                </c:pt>
                <c:pt idx="12">
                  <c:v>154.3162057244725</c:v>
                </c:pt>
                <c:pt idx="13">
                  <c:v>175</c:v>
                </c:pt>
              </c:numCache>
            </c:numRef>
          </c:yVal>
          <c:smooth val="1"/>
          <c:extLst>
            <c:ext xmlns:c16="http://schemas.microsoft.com/office/drawing/2014/chart" uri="{C3380CC4-5D6E-409C-BE32-E72D297353CC}">
              <c16:uniqueId val="{00000001-D493-43A1-9300-173B708A0193}"/>
            </c:ext>
          </c:extLst>
        </c:ser>
        <c:dLbls>
          <c:showLegendKey val="0"/>
          <c:showVal val="0"/>
          <c:showCatName val="0"/>
          <c:showSerName val="0"/>
          <c:showPercent val="0"/>
          <c:showBubbleSize val="0"/>
        </c:dLbls>
        <c:axId val="819504696"/>
        <c:axId val="1"/>
      </c:scatterChart>
      <c:scatterChart>
        <c:scatterStyle val="lineMarker"/>
        <c:varyColors val="0"/>
        <c:ser>
          <c:idx val="2"/>
          <c:order val="2"/>
          <c:tx>
            <c:v>Load (Fan / Pump)</c:v>
          </c:tx>
          <c:spPr>
            <a:ln w="25400">
              <a:solidFill>
                <a:srgbClr val="000000"/>
              </a:solidFill>
              <a:prstDash val="sysDash"/>
            </a:ln>
            <a:effectLst/>
          </c:spPr>
          <c:marker>
            <c:symbol val="none"/>
          </c:marker>
          <c:xVal>
            <c:numRef>
              <c:f>STCurve!$A$54:$A$67</c:f>
              <c:numCache>
                <c:formatCode>0.0</c:formatCode>
                <c:ptCount val="14"/>
                <c:pt idx="0">
                  <c:v>100</c:v>
                </c:pt>
                <c:pt idx="1">
                  <c:v>99.200000055134296</c:v>
                </c:pt>
                <c:pt idx="2">
                  <c:v>96.000000089406967</c:v>
                </c:pt>
                <c:pt idx="3">
                  <c:v>90.888889133930206</c:v>
                </c:pt>
                <c:pt idx="4">
                  <c:v>85.777777433395386</c:v>
                </c:pt>
                <c:pt idx="5">
                  <c:v>80.666665732860565</c:v>
                </c:pt>
                <c:pt idx="6">
                  <c:v>70.444443821907043</c:v>
                </c:pt>
                <c:pt idx="7">
                  <c:v>60.222220420837402</c:v>
                </c:pt>
                <c:pt idx="8">
                  <c:v>50</c:v>
                </c:pt>
                <c:pt idx="9">
                  <c:v>39.999997615814209</c:v>
                </c:pt>
                <c:pt idx="10">
                  <c:v>30.000001192092896</c:v>
                </c:pt>
                <c:pt idx="11">
                  <c:v>19.999998807907104</c:v>
                </c:pt>
                <c:pt idx="12">
                  <c:v>10.000002384185791</c:v>
                </c:pt>
                <c:pt idx="13">
                  <c:v>0</c:v>
                </c:pt>
              </c:numCache>
            </c:numRef>
          </c:xVal>
          <c:yVal>
            <c:numRef>
              <c:f>STCurve!$D$54:$D$67</c:f>
              <c:numCache>
                <c:formatCode>0.0</c:formatCode>
                <c:ptCount val="14"/>
                <c:pt idx="0">
                  <c:v>100</c:v>
                </c:pt>
                <c:pt idx="1">
                  <c:v>98.400001525878906</c:v>
                </c:pt>
                <c:pt idx="2">
                  <c:v>89.75</c:v>
                </c:pt>
                <c:pt idx="3">
                  <c:v>76.311111450195313</c:v>
                </c:pt>
                <c:pt idx="4">
                  <c:v>63.022220611572266</c:v>
                </c:pt>
                <c:pt idx="5">
                  <c:v>51.466663360595703</c:v>
                </c:pt>
                <c:pt idx="6">
                  <c:v>33.75555419921875</c:v>
                </c:pt>
                <c:pt idx="7">
                  <c:v>22.244441986083984</c:v>
                </c:pt>
                <c:pt idx="8">
                  <c:v>14</c:v>
                </c:pt>
                <c:pt idx="9">
                  <c:v>7.9999995231628418</c:v>
                </c:pt>
                <c:pt idx="10">
                  <c:v>5.9999995231628418</c:v>
                </c:pt>
                <c:pt idx="11">
                  <c:v>8.0000009536743164</c:v>
                </c:pt>
                <c:pt idx="12">
                  <c:v>14.999996185302734</c:v>
                </c:pt>
                <c:pt idx="13">
                  <c:v>30</c:v>
                </c:pt>
              </c:numCache>
            </c:numRef>
          </c:yVal>
          <c:smooth val="1"/>
          <c:extLst>
            <c:ext xmlns:c16="http://schemas.microsoft.com/office/drawing/2014/chart" uri="{C3380CC4-5D6E-409C-BE32-E72D297353CC}">
              <c16:uniqueId val="{00000000-D493-43A1-9300-173B708A0193}"/>
            </c:ext>
          </c:extLst>
        </c:ser>
        <c:dLbls>
          <c:showLegendKey val="0"/>
          <c:showVal val="0"/>
          <c:showCatName val="0"/>
          <c:showSerName val="0"/>
          <c:showPercent val="0"/>
          <c:showBubbleSize val="0"/>
        </c:dLbls>
        <c:axId val="819504696"/>
        <c:axId val="1"/>
      </c:scatterChart>
      <c:scatterChart>
        <c:scatterStyle val="lineMarker"/>
        <c:varyColors val="0"/>
        <c:ser>
          <c:idx val="1"/>
          <c:order val="1"/>
          <c:tx>
            <c:v>Current</c:v>
          </c:tx>
          <c:spPr>
            <a:ln w="25400">
              <a:solidFill>
                <a:srgbClr val="000000"/>
              </a:solidFill>
              <a:prstDash val="lgDash"/>
            </a:ln>
          </c:spPr>
          <c:marker>
            <c:symbol val="none"/>
          </c:marker>
          <c:xVal>
            <c:numRef>
              <c:f>STCurve!$A$54:$A$67</c:f>
              <c:numCache>
                <c:formatCode>0.0</c:formatCode>
                <c:ptCount val="14"/>
                <c:pt idx="0">
                  <c:v>100</c:v>
                </c:pt>
                <c:pt idx="1">
                  <c:v>99.200000055134296</c:v>
                </c:pt>
                <c:pt idx="2">
                  <c:v>96.000000089406967</c:v>
                </c:pt>
                <c:pt idx="3">
                  <c:v>90.888889133930206</c:v>
                </c:pt>
                <c:pt idx="4">
                  <c:v>85.777777433395386</c:v>
                </c:pt>
                <c:pt idx="5">
                  <c:v>80.666665732860565</c:v>
                </c:pt>
                <c:pt idx="6">
                  <c:v>70.444443821907043</c:v>
                </c:pt>
                <c:pt idx="7">
                  <c:v>60.222220420837402</c:v>
                </c:pt>
                <c:pt idx="8">
                  <c:v>50</c:v>
                </c:pt>
                <c:pt idx="9">
                  <c:v>39.999997615814209</c:v>
                </c:pt>
                <c:pt idx="10">
                  <c:v>30.000001192092896</c:v>
                </c:pt>
                <c:pt idx="11">
                  <c:v>19.999998807907104</c:v>
                </c:pt>
                <c:pt idx="12">
                  <c:v>10.000002384185791</c:v>
                </c:pt>
                <c:pt idx="13">
                  <c:v>0</c:v>
                </c:pt>
              </c:numCache>
            </c:numRef>
          </c:xVal>
          <c:yVal>
            <c:numRef>
              <c:f>STCurve!$C$54:$C$67</c:f>
              <c:numCache>
                <c:formatCode>0.0</c:formatCode>
                <c:ptCount val="14"/>
                <c:pt idx="0">
                  <c:v>0.22434405982494354</c:v>
                </c:pt>
                <c:pt idx="1">
                  <c:v>106.41206843261719</c:v>
                </c:pt>
                <c:pt idx="2">
                  <c:v>379.18820786132812</c:v>
                </c:pt>
                <c:pt idx="3">
                  <c:v>493.50242449218752</c:v>
                </c:pt>
                <c:pt idx="4">
                  <c:v>530.9361532617188</c:v>
                </c:pt>
                <c:pt idx="5">
                  <c:v>547.75137269531251</c:v>
                </c:pt>
                <c:pt idx="6">
                  <c:v>563.80109601562503</c:v>
                </c:pt>
                <c:pt idx="7">
                  <c:v>573.11588572265623</c:v>
                </c:pt>
                <c:pt idx="8">
                  <c:v>580.42874753906256</c:v>
                </c:pt>
                <c:pt idx="9">
                  <c:v>586.83758859374996</c:v>
                </c:pt>
                <c:pt idx="10">
                  <c:v>592.36846500000001</c:v>
                </c:pt>
                <c:pt idx="11">
                  <c:v>597.38207039062502</c:v>
                </c:pt>
                <c:pt idx="12">
                  <c:v>601.87690037109371</c:v>
                </c:pt>
                <c:pt idx="13">
                  <c:v>605.80162500000006</c:v>
                </c:pt>
              </c:numCache>
            </c:numRef>
          </c:yVal>
          <c:smooth val="1"/>
          <c:extLst>
            <c:ext xmlns:c16="http://schemas.microsoft.com/office/drawing/2014/chart" uri="{C3380CC4-5D6E-409C-BE32-E72D297353CC}">
              <c16:uniqueId val="{00000002-D493-43A1-9300-173B708A0193}"/>
            </c:ext>
          </c:extLst>
        </c:ser>
        <c:dLbls>
          <c:showLegendKey val="0"/>
          <c:showVal val="0"/>
          <c:showCatName val="0"/>
          <c:showSerName val="0"/>
          <c:showPercent val="0"/>
          <c:showBubbleSize val="0"/>
        </c:dLbls>
        <c:axId val="3"/>
        <c:axId val="4"/>
      </c:scatterChart>
      <c:valAx>
        <c:axId val="819504696"/>
        <c:scaling>
          <c:orientation val="minMax"/>
          <c:max val="100"/>
        </c:scaling>
        <c:delete val="0"/>
        <c:axPos val="b"/>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Synchronous Speed</a:t>
                </a:r>
              </a:p>
            </c:rich>
          </c:tx>
          <c:layout>
            <c:manualLayout>
              <c:xMode val="edge"/>
              <c:yMode val="edge"/>
              <c:x val="0.33508829339414303"/>
              <c:y val="0.8460083899050078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1"/>
        <c:crosses val="autoZero"/>
        <c:crossBetween val="midCat"/>
        <c:majorUnit val="20"/>
        <c:minorUnit val="20"/>
      </c:valAx>
      <c:valAx>
        <c:axId val="1"/>
        <c:scaling>
          <c:orientation val="minMax"/>
        </c:scaling>
        <c:delete val="0"/>
        <c:axPos val="l"/>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Full-Load Torque</a:t>
                </a:r>
              </a:p>
            </c:rich>
          </c:tx>
          <c:layout>
            <c:manualLayout>
              <c:xMode val="edge"/>
              <c:yMode val="edge"/>
              <c:x val="2.8070223530399414E-2"/>
              <c:y val="0.2965782220790589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819504696"/>
        <c:crosses val="autoZero"/>
        <c:crossBetween val="midCat"/>
      </c:valAx>
      <c:valAx>
        <c:axId val="3"/>
        <c:scaling>
          <c:orientation val="minMax"/>
        </c:scaling>
        <c:delete val="1"/>
        <c:axPos val="b"/>
        <c:numFmt formatCode="0.0" sourceLinked="1"/>
        <c:majorTickMark val="out"/>
        <c:minorTickMark val="none"/>
        <c:tickLblPos val="nextTo"/>
        <c:crossAx val="4"/>
        <c:crosses val="autoZero"/>
        <c:crossBetween val="midCat"/>
      </c:valAx>
      <c:valAx>
        <c:axId val="4"/>
        <c:scaling>
          <c:orientation val="minMax"/>
          <c:max val="750"/>
        </c:scaling>
        <c:delete val="0"/>
        <c:axPos val="r"/>
        <c:title>
          <c:tx>
            <c:rich>
              <a:bodyPr/>
              <a:lstStyle/>
              <a:p>
                <a:pPr>
                  <a:defRPr sz="1100" b="0" i="1" u="none" strike="noStrike" baseline="0">
                    <a:solidFill>
                      <a:srgbClr val="000000"/>
                    </a:solidFill>
                    <a:latin typeface="Times New Roman"/>
                    <a:ea typeface="Times New Roman"/>
                    <a:cs typeface="Times New Roman"/>
                  </a:defRPr>
                </a:pPr>
                <a:r>
                  <a:rPr lang="en-US"/>
                  <a:t>Percent Full-Load Current</a:t>
                </a:r>
              </a:p>
            </c:rich>
          </c:tx>
          <c:layout>
            <c:manualLayout>
              <c:xMode val="edge"/>
              <c:yMode val="edge"/>
              <c:x val="0.92456298753253074"/>
              <c:y val="0.29277593718060946"/>
            </c:manualLayout>
          </c:layout>
          <c:overlay val="0"/>
          <c:spPr>
            <a:solidFill>
              <a:srgbClr val="FFFFFF"/>
            </a:solid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3"/>
        <c:crosses val="max"/>
        <c:crossBetween val="midCat"/>
        <c:majorUnit val="150"/>
      </c:valAx>
      <c:spPr>
        <a:solidFill>
          <a:srgbClr val="FFFFFF"/>
        </a:solidFill>
        <a:ln w="12700">
          <a:solidFill>
            <a:srgbClr val="000000"/>
          </a:solidFill>
          <a:prstDash val="solid"/>
        </a:ln>
      </c:spPr>
    </c:plotArea>
    <c:legend>
      <c:legendPos val="r"/>
      <c:layout>
        <c:manualLayout>
          <c:xMode val="edge"/>
          <c:yMode val="edge"/>
          <c:x val="0.34210584927674287"/>
          <c:y val="0.8852986437531809"/>
          <c:w val="0.25090132154533312"/>
          <c:h val="0.11470135624681896"/>
        </c:manualLayout>
      </c:layout>
      <c:overlay val="0"/>
      <c:spPr>
        <a:solidFill>
          <a:srgbClr val="FFFFFF"/>
        </a:solidFill>
        <a:ln w="25400">
          <a:noFill/>
        </a:ln>
      </c:spPr>
      <c:txPr>
        <a:bodyPr/>
        <a:lstStyle/>
        <a:p>
          <a:pPr>
            <a:defRPr sz="920"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6350">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0" verticalDpi="30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82084690553746"/>
          <c:y val="2.3668656149350608E-2"/>
          <c:w val="0.81921824104234531"/>
          <c:h val="0.86834382247930042"/>
        </c:manualLayout>
      </c:layout>
      <c:scatterChart>
        <c:scatterStyle val="smoothMarker"/>
        <c:varyColors val="0"/>
        <c:ser>
          <c:idx val="0"/>
          <c:order val="0"/>
          <c:tx>
            <c:v>Cold Stall</c:v>
          </c:tx>
          <c:spPr>
            <a:ln w="25400">
              <a:solidFill>
                <a:srgbClr val="0080C0"/>
              </a:solidFill>
              <a:prstDash val="solid"/>
            </a:ln>
          </c:spPr>
          <c:marker>
            <c:symbol val="none"/>
          </c:marker>
          <c:xVal>
            <c:numRef>
              <c:f>Thermdam!$A$68:$A$71</c:f>
              <c:numCache>
                <c:formatCode>0</c:formatCode>
                <c:ptCount val="4"/>
                <c:pt idx="0">
                  <c:v>605.80162500000006</c:v>
                </c:pt>
                <c:pt idx="1">
                  <c:v>563.59101148349998</c:v>
                </c:pt>
                <c:pt idx="2">
                  <c:v>521.36773351650004</c:v>
                </c:pt>
                <c:pt idx="3">
                  <c:v>479.15712000000002</c:v>
                </c:pt>
              </c:numCache>
            </c:numRef>
          </c:xVal>
          <c:yVal>
            <c:numRef>
              <c:f>Thermdam!$B$68:$B$71</c:f>
              <c:numCache>
                <c:formatCode>0.00</c:formatCode>
                <c:ptCount val="4"/>
                <c:pt idx="0">
                  <c:v>4.5874755723135818</c:v>
                </c:pt>
                <c:pt idx="1">
                  <c:v>5.300374018069844</c:v>
                </c:pt>
                <c:pt idx="2">
                  <c:v>6.1936453320057803</c:v>
                </c:pt>
                <c:pt idx="3">
                  <c:v>7.332950287937047</c:v>
                </c:pt>
              </c:numCache>
            </c:numRef>
          </c:yVal>
          <c:smooth val="1"/>
          <c:extLst>
            <c:ext xmlns:c16="http://schemas.microsoft.com/office/drawing/2014/chart" uri="{C3380CC4-5D6E-409C-BE32-E72D297353CC}">
              <c16:uniqueId val="{00000000-5012-4834-B8F7-AEC41E6D5100}"/>
            </c:ext>
          </c:extLst>
        </c:ser>
        <c:ser>
          <c:idx val="1"/>
          <c:order val="1"/>
          <c:tx>
            <c:v>Hot Stall</c:v>
          </c:tx>
          <c:spPr>
            <a:ln w="25400">
              <a:solidFill>
                <a:srgbClr val="996666"/>
              </a:solidFill>
              <a:prstDash val="solid"/>
            </a:ln>
          </c:spPr>
          <c:marker>
            <c:symbol val="none"/>
          </c:marker>
          <c:xVal>
            <c:numRef>
              <c:f>Thermdam!$A$68:$A$71</c:f>
              <c:numCache>
                <c:formatCode>0</c:formatCode>
                <c:ptCount val="4"/>
                <c:pt idx="0">
                  <c:v>605.80162500000006</c:v>
                </c:pt>
                <c:pt idx="1">
                  <c:v>563.59101148349998</c:v>
                </c:pt>
                <c:pt idx="2">
                  <c:v>521.36773351650004</c:v>
                </c:pt>
                <c:pt idx="3">
                  <c:v>479.15712000000002</c:v>
                </c:pt>
              </c:numCache>
            </c:numRef>
          </c:xVal>
          <c:yVal>
            <c:numRef>
              <c:f>Thermdam!$C$68:$C$71</c:f>
              <c:numCache>
                <c:formatCode>0.00</c:formatCode>
                <c:ptCount val="4"/>
                <c:pt idx="0">
                  <c:v>2</c:v>
                </c:pt>
                <c:pt idx="1">
                  <c:v>2.3108020672889289</c:v>
                </c:pt>
                <c:pt idx="2">
                  <c:v>2.7002412260833752</c:v>
                </c:pt>
                <c:pt idx="3">
                  <c:v>3.1969435792499934</c:v>
                </c:pt>
              </c:numCache>
            </c:numRef>
          </c:yVal>
          <c:smooth val="1"/>
          <c:extLst>
            <c:ext xmlns:c16="http://schemas.microsoft.com/office/drawing/2014/chart" uri="{C3380CC4-5D6E-409C-BE32-E72D297353CC}">
              <c16:uniqueId val="{00000001-5012-4834-B8F7-AEC41E6D5100}"/>
            </c:ext>
          </c:extLst>
        </c:ser>
        <c:ser>
          <c:idx val="2"/>
          <c:order val="2"/>
          <c:tx>
            <c:v>Running Condition</c:v>
          </c:tx>
          <c:spPr>
            <a:ln w="25400">
              <a:solidFill>
                <a:srgbClr val="000000"/>
              </a:solidFill>
              <a:prstDash val="solid"/>
            </a:ln>
          </c:spPr>
          <c:marker>
            <c:symbol val="none"/>
          </c:marker>
          <c:xVal>
            <c:numRef>
              <c:f>Thermdam!$A$72:$A$79</c:f>
              <c:numCache>
                <c:formatCode>0</c:formatCode>
                <c:ptCount val="8"/>
                <c:pt idx="0">
                  <c:v>380.56511999999998</c:v>
                </c:pt>
                <c:pt idx="1">
                  <c:v>281.97311999999999</c:v>
                </c:pt>
                <c:pt idx="2">
                  <c:v>211.97280000000001</c:v>
                </c:pt>
                <c:pt idx="3">
                  <c:v>177.46559999999999</c:v>
                </c:pt>
                <c:pt idx="4">
                  <c:v>118.3104</c:v>
                </c:pt>
                <c:pt idx="5" formatCode="General">
                  <c:v>110</c:v>
                </c:pt>
                <c:pt idx="6" formatCode="General">
                  <c:v>110</c:v>
                </c:pt>
                <c:pt idx="7" formatCode="General">
                  <c:v>110</c:v>
                </c:pt>
              </c:numCache>
            </c:numRef>
          </c:xVal>
          <c:yVal>
            <c:numRef>
              <c:f>Thermdam!$C$72:$C$79</c:f>
              <c:numCache>
                <c:formatCode>0.00</c:formatCode>
                <c:ptCount val="8"/>
                <c:pt idx="2">
                  <c:v>16.335430733251087</c:v>
                </c:pt>
                <c:pt idx="3">
                  <c:v>23.305718692732455</c:v>
                </c:pt>
                <c:pt idx="4">
                  <c:v>52.437867058648017</c:v>
                </c:pt>
                <c:pt idx="5" formatCode="0">
                  <c:v>200</c:v>
                </c:pt>
                <c:pt idx="6" formatCode="0">
                  <c:v>400</c:v>
                </c:pt>
                <c:pt idx="7" formatCode="General">
                  <c:v>10000</c:v>
                </c:pt>
              </c:numCache>
            </c:numRef>
          </c:yVal>
          <c:smooth val="1"/>
          <c:extLst>
            <c:ext xmlns:c16="http://schemas.microsoft.com/office/drawing/2014/chart" uri="{C3380CC4-5D6E-409C-BE32-E72D297353CC}">
              <c16:uniqueId val="{00000002-5012-4834-B8F7-AEC41E6D5100}"/>
            </c:ext>
          </c:extLst>
        </c:ser>
        <c:dLbls>
          <c:showLegendKey val="0"/>
          <c:showVal val="0"/>
          <c:showCatName val="0"/>
          <c:showSerName val="0"/>
          <c:showPercent val="0"/>
          <c:showBubbleSize val="0"/>
        </c:dLbls>
        <c:axId val="504310656"/>
        <c:axId val="1"/>
      </c:scatterChart>
      <c:valAx>
        <c:axId val="504310656"/>
        <c:scaling>
          <c:orientation val="minMax"/>
          <c:max val="1000"/>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200" b="1" i="0" u="none" strike="noStrike" baseline="0">
                    <a:solidFill>
                      <a:srgbClr val="000000"/>
                    </a:solidFill>
                    <a:latin typeface="Times New Roman"/>
                    <a:ea typeface="Times New Roman"/>
                    <a:cs typeface="Times New Roman"/>
                  </a:defRPr>
                </a:pPr>
                <a:r>
                  <a:rPr lang="en-US"/>
                  <a:t>Percent of Full Load Current</a:t>
                </a:r>
              </a:p>
            </c:rich>
          </c:tx>
          <c:layout>
            <c:manualLayout>
              <c:xMode val="edge"/>
              <c:yMode val="edge"/>
              <c:x val="0.41530944625407168"/>
              <c:y val="0.94970482799269307"/>
            </c:manualLayout>
          </c:layout>
          <c:overlay val="0"/>
          <c:spPr>
            <a:noFill/>
            <a:ln w="25400">
              <a:noFill/>
            </a:ln>
          </c:spPr>
        </c:title>
        <c:numFmt formatCode="0" sourceLinked="1"/>
        <c:majorTickMark val="out"/>
        <c:minorTickMark val="in"/>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1"/>
        <c:crossesAt val="0.1"/>
        <c:crossBetween val="midCat"/>
        <c:majorUnit val="100"/>
      </c:valAx>
      <c:valAx>
        <c:axId val="1"/>
        <c:scaling>
          <c:logBase val="10"/>
          <c:orientation val="minMax"/>
          <c:max val="10000"/>
          <c:min val="1"/>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200" b="1" i="0" u="none" strike="noStrike" baseline="0">
                    <a:solidFill>
                      <a:srgbClr val="000000"/>
                    </a:solidFill>
                    <a:latin typeface="Times New Roman"/>
                    <a:ea typeface="Times New Roman"/>
                    <a:cs typeface="Times New Roman"/>
                  </a:defRPr>
                </a:pPr>
                <a:r>
                  <a:rPr lang="en-US"/>
                  <a:t>Time in Seconds</a:t>
                </a:r>
              </a:p>
            </c:rich>
          </c:tx>
          <c:layout>
            <c:manualLayout>
              <c:xMode val="edge"/>
              <c:yMode val="edge"/>
              <c:x val="3.5830618892508145E-2"/>
              <c:y val="0.375739916370940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504310656"/>
        <c:crosses val="autoZero"/>
        <c:crossBetween val="midCat"/>
        <c:minorUnit val="10"/>
      </c:valAx>
      <c:spPr>
        <a:noFill/>
        <a:ln w="25400">
          <a:noFill/>
        </a:ln>
      </c:spPr>
    </c:plotArea>
    <c:plotVisOnly val="1"/>
    <c:dispBlanksAs val="gap"/>
    <c:showDLblsOverMax val="0"/>
  </c:chart>
  <c:spPr>
    <a:solidFill>
      <a:srgbClr val="FFFFFF"/>
    </a:solidFill>
    <a:ln w="6350">
      <a:noFill/>
    </a:ln>
  </c:spPr>
  <c:txPr>
    <a:bodyPr/>
    <a:lstStyle/>
    <a:p>
      <a:pPr>
        <a:defRPr sz="17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689952292200055"/>
          <c:y val="3.5984915040754913E-2"/>
          <c:w val="0.6201559777070883"/>
          <c:h val="0.82386516014359934"/>
        </c:manualLayout>
      </c:layout>
      <c:scatterChart>
        <c:scatterStyle val="smoothMarker"/>
        <c:varyColors val="0"/>
        <c:ser>
          <c:idx val="0"/>
          <c:order val="0"/>
          <c:tx>
            <c:v>Efficiency</c:v>
          </c:tx>
          <c:spPr>
            <a:ln w="25400">
              <a:solidFill>
                <a:srgbClr val="000080"/>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Performance!$B$54:$B$59</c:f>
              <c:numCache>
                <c:formatCode>0.0</c:formatCode>
                <c:ptCount val="6"/>
                <c:pt idx="1">
                  <c:v>92.5</c:v>
                </c:pt>
                <c:pt idx="2">
                  <c:v>94.800003051757813</c:v>
                </c:pt>
                <c:pt idx="3">
                  <c:v>95.300003051757813</c:v>
                </c:pt>
                <c:pt idx="4">
                  <c:v>95.300003051757813</c:v>
                </c:pt>
                <c:pt idx="5">
                  <c:v>95.200004577636719</c:v>
                </c:pt>
              </c:numCache>
            </c:numRef>
          </c:yVal>
          <c:smooth val="1"/>
          <c:extLst>
            <c:ext xmlns:c16="http://schemas.microsoft.com/office/drawing/2014/chart" uri="{C3380CC4-5D6E-409C-BE32-E72D297353CC}">
              <c16:uniqueId val="{00000000-3F6E-45DA-BA21-84EC4E4B903B}"/>
            </c:ext>
          </c:extLst>
        </c:ser>
        <c:ser>
          <c:idx val="1"/>
          <c:order val="1"/>
          <c:spPr>
            <a:ln w="25400">
              <a:solidFill>
                <a:srgbClr val="000000"/>
              </a:solidFill>
              <a:prstDash val="solid"/>
            </a:ln>
          </c:spPr>
          <c:marker>
            <c:symbol val="none"/>
          </c:marker>
          <c:xVal>
            <c:numRef>
              <c:f>Performance!$A$55:$A$59</c:f>
              <c:numCache>
                <c:formatCode>0.0</c:formatCode>
                <c:ptCount val="5"/>
                <c:pt idx="0">
                  <c:v>25</c:v>
                </c:pt>
                <c:pt idx="1">
                  <c:v>50</c:v>
                </c:pt>
                <c:pt idx="2">
                  <c:v>75</c:v>
                </c:pt>
                <c:pt idx="3">
                  <c:v>100</c:v>
                </c:pt>
                <c:pt idx="4">
                  <c:v>125</c:v>
                </c:pt>
              </c:numCache>
            </c:numRef>
          </c:xVal>
          <c:yVal>
            <c:numRef>
              <c:f>Performance!$C$55:$C$59</c:f>
              <c:numCache>
                <c:formatCode>0.0</c:formatCode>
                <c:ptCount val="5"/>
                <c:pt idx="0">
                  <c:v>65.599998474121094</c:v>
                </c:pt>
                <c:pt idx="1">
                  <c:v>82.300003051757813</c:v>
                </c:pt>
                <c:pt idx="2">
                  <c:v>86.900001525878906</c:v>
                </c:pt>
                <c:pt idx="3">
                  <c:v>88.099998474121094</c:v>
                </c:pt>
                <c:pt idx="4">
                  <c:v>88</c:v>
                </c:pt>
              </c:numCache>
            </c:numRef>
          </c:yVal>
          <c:smooth val="1"/>
          <c:extLst>
            <c:ext xmlns:c16="http://schemas.microsoft.com/office/drawing/2014/chart" uri="{C3380CC4-5D6E-409C-BE32-E72D297353CC}">
              <c16:uniqueId val="{00000001-3F6E-45DA-BA21-84EC4E4B903B}"/>
            </c:ext>
          </c:extLst>
        </c:ser>
        <c:ser>
          <c:idx val="3"/>
          <c:order val="3"/>
          <c:spPr>
            <a:ln w="25400">
              <a:solidFill>
                <a:srgbClr val="3333CC"/>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Performance!$E$54:$E$59</c:f>
              <c:numCache>
                <c:formatCode>0.0</c:formatCode>
                <c:ptCount val="6"/>
                <c:pt idx="0">
                  <c:v>100</c:v>
                </c:pt>
                <c:pt idx="1">
                  <c:v>82.690700000000106</c:v>
                </c:pt>
                <c:pt idx="2">
                  <c:v>65.778339999999844</c:v>
                </c:pt>
                <c:pt idx="3">
                  <c:v>48.480959999999868</c:v>
                </c:pt>
                <c:pt idx="4">
                  <c:v>30</c:v>
                </c:pt>
                <c:pt idx="5">
                  <c:v>12.109403999999813</c:v>
                </c:pt>
              </c:numCache>
            </c:numRef>
          </c:yVal>
          <c:smooth val="1"/>
          <c:extLst>
            <c:ext xmlns:c16="http://schemas.microsoft.com/office/drawing/2014/chart" uri="{C3380CC4-5D6E-409C-BE32-E72D297353CC}">
              <c16:uniqueId val="{00000002-3F6E-45DA-BA21-84EC4E4B903B}"/>
            </c:ext>
          </c:extLst>
        </c:ser>
        <c:ser>
          <c:idx val="4"/>
          <c:order val="4"/>
          <c:spPr>
            <a:ln w="25400">
              <a:solidFill>
                <a:srgbClr val="339933"/>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Performance!$F$54:$F$59</c:f>
              <c:numCache>
                <c:formatCode>0.0</c:formatCode>
                <c:ptCount val="6"/>
                <c:pt idx="0">
                  <c:v>0.57292500000000002</c:v>
                </c:pt>
                <c:pt idx="1">
                  <c:v>10.088545</c:v>
                </c:pt>
                <c:pt idx="2">
                  <c:v>19.661614999999998</c:v>
                </c:pt>
                <c:pt idx="3">
                  <c:v>29.339925000000001</c:v>
                </c:pt>
                <c:pt idx="4">
                  <c:v>39.102125000000001</c:v>
                </c:pt>
                <c:pt idx="5">
                  <c:v>49.018425000000001</c:v>
                </c:pt>
              </c:numCache>
            </c:numRef>
          </c:yVal>
          <c:smooth val="1"/>
          <c:extLst>
            <c:ext xmlns:c16="http://schemas.microsoft.com/office/drawing/2014/chart" uri="{C3380CC4-5D6E-409C-BE32-E72D297353CC}">
              <c16:uniqueId val="{00000003-3F6E-45DA-BA21-84EC4E4B903B}"/>
            </c:ext>
          </c:extLst>
        </c:ser>
        <c:dLbls>
          <c:showLegendKey val="0"/>
          <c:showVal val="0"/>
          <c:showCatName val="0"/>
          <c:showSerName val="0"/>
          <c:showPercent val="0"/>
          <c:showBubbleSize val="0"/>
        </c:dLbls>
        <c:axId val="671113416"/>
        <c:axId val="1"/>
      </c:scatterChart>
      <c:scatterChart>
        <c:scatterStyle val="lineMarker"/>
        <c:varyColors val="0"/>
        <c:ser>
          <c:idx val="2"/>
          <c:order val="2"/>
          <c:spPr>
            <a:ln w="25400">
              <a:solidFill>
                <a:srgbClr val="333300"/>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Performance!$D$54:$D$59</c:f>
              <c:numCache>
                <c:formatCode>0.0</c:formatCode>
                <c:ptCount val="6"/>
                <c:pt idx="0">
                  <c:v>69</c:v>
                </c:pt>
                <c:pt idx="1">
                  <c:v>88.790000915527344</c:v>
                </c:pt>
                <c:pt idx="2">
                  <c:v>137.92999267578125</c:v>
                </c:pt>
                <c:pt idx="3">
                  <c:v>194.92999267578125</c:v>
                </c:pt>
                <c:pt idx="4">
                  <c:v>256.25</c:v>
                </c:pt>
                <c:pt idx="5">
                  <c:v>321.60000610351563</c:v>
                </c:pt>
              </c:numCache>
            </c:numRef>
          </c:yVal>
          <c:smooth val="1"/>
          <c:extLst>
            <c:ext xmlns:c16="http://schemas.microsoft.com/office/drawing/2014/chart" uri="{C3380CC4-5D6E-409C-BE32-E72D297353CC}">
              <c16:uniqueId val="{00000004-3F6E-45DA-BA21-84EC4E4B903B}"/>
            </c:ext>
          </c:extLst>
        </c:ser>
        <c:dLbls>
          <c:showLegendKey val="0"/>
          <c:showVal val="0"/>
          <c:showCatName val="0"/>
          <c:showSerName val="0"/>
          <c:showPercent val="0"/>
          <c:showBubbleSize val="0"/>
        </c:dLbls>
        <c:axId val="3"/>
        <c:axId val="4"/>
      </c:scatterChart>
      <c:valAx>
        <c:axId val="671113416"/>
        <c:scaling>
          <c:orientation val="minMax"/>
          <c:max val="125"/>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Percent Load </a:t>
                </a:r>
              </a:p>
            </c:rich>
          </c:tx>
          <c:layout>
            <c:manualLayout>
              <c:xMode val="edge"/>
              <c:yMode val="edge"/>
              <c:x val="0.43565957433922958"/>
              <c:y val="0.9204562478845730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1"/>
        <c:crossesAt val="0"/>
        <c:crossBetween val="midCat"/>
        <c:majorUnit val="25"/>
        <c:minorUnit val="12.5"/>
      </c:valAx>
      <c:valAx>
        <c:axId val="1"/>
        <c:scaling>
          <c:orientation val="minMax"/>
          <c:max val="100"/>
          <c:min val="0"/>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Efficiency &amp; Power Factor (%)</a:t>
                </a:r>
              </a:p>
            </c:rich>
          </c:tx>
          <c:layout>
            <c:manualLayout>
              <c:xMode val="edge"/>
              <c:yMode val="edge"/>
              <c:x val="0.1193800257086145"/>
              <c:y val="0.25568229107904805"/>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671113416"/>
        <c:crosses val="autoZero"/>
        <c:crossBetween val="midCat"/>
        <c:majorUnit val="10"/>
        <c:minorUnit val="5"/>
      </c:valAx>
      <c:valAx>
        <c:axId val="3"/>
        <c:scaling>
          <c:orientation val="minMax"/>
        </c:scaling>
        <c:delete val="1"/>
        <c:axPos val="b"/>
        <c:numFmt formatCode="0.0" sourceLinked="1"/>
        <c:majorTickMark val="out"/>
        <c:minorTickMark val="none"/>
        <c:tickLblPos val="nextTo"/>
        <c:crossAx val="4"/>
        <c:crosses val="autoZero"/>
        <c:crossBetween val="midCat"/>
      </c:valAx>
      <c:valAx>
        <c:axId val="4"/>
        <c:scaling>
          <c:orientation val="minMax"/>
          <c:max val="400"/>
        </c:scaling>
        <c:delete val="0"/>
        <c:axPos val="r"/>
        <c:title>
          <c:tx>
            <c:rich>
              <a:bodyPr/>
              <a:lstStyle/>
              <a:p>
                <a:pPr>
                  <a:defRPr sz="1125" b="1" i="0" u="none" strike="noStrike" baseline="0">
                    <a:solidFill>
                      <a:srgbClr val="000000"/>
                    </a:solidFill>
                    <a:latin typeface="Times New Roman"/>
                    <a:ea typeface="Times New Roman"/>
                    <a:cs typeface="Times New Roman"/>
                  </a:defRPr>
                </a:pPr>
                <a:r>
                  <a:rPr lang="en-US"/>
                  <a:t>Load Current (Amps)</a:t>
                </a:r>
              </a:p>
            </c:rich>
          </c:tx>
          <c:layout>
            <c:manualLayout>
              <c:xMode val="edge"/>
              <c:yMode val="edge"/>
              <c:x val="0.87907109839979769"/>
              <c:y val="0.32007634957303055"/>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Arial"/>
                <a:ea typeface="Arial"/>
                <a:cs typeface="Arial"/>
              </a:defRPr>
            </a:pPr>
            <a:endParaRPr lang="en-US"/>
          </a:p>
        </c:txPr>
        <c:crossAx val="3"/>
        <c:crosses val="max"/>
        <c:crossBetween val="midCat"/>
        <c:majorUnit val="40"/>
      </c:valAx>
      <c:spPr>
        <a:solidFill>
          <a:srgbClr val="FFFFFF"/>
        </a:solidFill>
        <a:ln w="12700">
          <a:solidFill>
            <a:srgbClr val="808080"/>
          </a:solidFill>
          <a:prstDash val="solid"/>
        </a:ln>
      </c:spPr>
    </c:plotArea>
    <c:plotVisOnly val="1"/>
    <c:dispBlanksAs val="gap"/>
    <c:showDLblsOverMax val="0"/>
  </c:chart>
  <c:spPr>
    <a:solidFill>
      <a:srgbClr val="FFFFFF"/>
    </a:solidFill>
    <a:ln w="6350">
      <a:noFill/>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9525</xdr:colOff>
      <xdr:row>56</xdr:row>
      <xdr:rowOff>9525</xdr:rowOff>
    </xdr:from>
    <xdr:to>
      <xdr:col>9</xdr:col>
      <xdr:colOff>809625</xdr:colOff>
      <xdr:row>67</xdr:row>
      <xdr:rowOff>180975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152400</xdr:colOff>
      <xdr:row>43</xdr:row>
      <xdr:rowOff>0</xdr:rowOff>
    </xdr:from>
    <xdr:to>
      <xdr:col>9</xdr:col>
      <xdr:colOff>361950</xdr:colOff>
      <xdr:row>43</xdr:row>
      <xdr:rowOff>0</xdr:rowOff>
    </xdr:to>
    <xdr:sp macro="" textlink="">
      <xdr:nvSpPr>
        <xdr:cNvPr id="2" name="Rectangle 1"/>
        <xdr:cNvSpPr>
          <a:spLocks noChangeArrowheads="1"/>
        </xdr:cNvSpPr>
      </xdr:nvSpPr>
      <xdr:spPr bwMode="auto">
        <a:xfrm>
          <a:off x="5514975" y="9896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43</xdr:row>
      <xdr:rowOff>0</xdr:rowOff>
    </xdr:from>
    <xdr:to>
      <xdr:col>9</xdr:col>
      <xdr:colOff>333375</xdr:colOff>
      <xdr:row>43</xdr:row>
      <xdr:rowOff>0</xdr:rowOff>
    </xdr:to>
    <xdr:sp macro="" textlink="">
      <xdr:nvSpPr>
        <xdr:cNvPr id="3" name="Rectangle 2"/>
        <xdr:cNvSpPr>
          <a:spLocks noChangeArrowheads="1"/>
        </xdr:cNvSpPr>
      </xdr:nvSpPr>
      <xdr:spPr bwMode="auto">
        <a:xfrm>
          <a:off x="5381625"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43</xdr:row>
      <xdr:rowOff>0</xdr:rowOff>
    </xdr:from>
    <xdr:to>
      <xdr:col>9</xdr:col>
      <xdr:colOff>342900</xdr:colOff>
      <xdr:row>43</xdr:row>
      <xdr:rowOff>0</xdr:rowOff>
    </xdr:to>
    <xdr:sp macro="" textlink="">
      <xdr:nvSpPr>
        <xdr:cNvPr id="4" name="Rectangle 3"/>
        <xdr:cNvSpPr>
          <a:spLocks noChangeArrowheads="1"/>
        </xdr:cNvSpPr>
      </xdr:nvSpPr>
      <xdr:spPr bwMode="auto">
        <a:xfrm>
          <a:off x="5391150"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43</xdr:row>
      <xdr:rowOff>0</xdr:rowOff>
    </xdr:from>
    <xdr:to>
      <xdr:col>9</xdr:col>
      <xdr:colOff>409575</xdr:colOff>
      <xdr:row>43</xdr:row>
      <xdr:rowOff>0</xdr:rowOff>
    </xdr:to>
    <xdr:sp macro="" textlink="">
      <xdr:nvSpPr>
        <xdr:cNvPr id="5" name="Rectangle 4"/>
        <xdr:cNvSpPr>
          <a:spLocks noChangeArrowheads="1"/>
        </xdr:cNvSpPr>
      </xdr:nvSpPr>
      <xdr:spPr bwMode="auto">
        <a:xfrm>
          <a:off x="5362575" y="989647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43</xdr:row>
      <xdr:rowOff>0</xdr:rowOff>
    </xdr:from>
    <xdr:to>
      <xdr:col>9</xdr:col>
      <xdr:colOff>361950</xdr:colOff>
      <xdr:row>43</xdr:row>
      <xdr:rowOff>0</xdr:rowOff>
    </xdr:to>
    <xdr:sp macro="" textlink="">
      <xdr:nvSpPr>
        <xdr:cNvPr id="6" name="Rectangle 5"/>
        <xdr:cNvSpPr>
          <a:spLocks noChangeArrowheads="1"/>
        </xdr:cNvSpPr>
      </xdr:nvSpPr>
      <xdr:spPr bwMode="auto">
        <a:xfrm>
          <a:off x="5505450" y="989647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198120</xdr:colOff>
      <xdr:row>29</xdr:row>
      <xdr:rowOff>85725</xdr:rowOff>
    </xdr:from>
    <xdr:to>
      <xdr:col>3</xdr:col>
      <xdr:colOff>453404</xdr:colOff>
      <xdr:row>29</xdr:row>
      <xdr:rowOff>202266</xdr:rowOff>
    </xdr:to>
    <xdr:sp macro="" textlink="">
      <xdr:nvSpPr>
        <xdr:cNvPr id="7" name="Depth"/>
        <xdr:cNvSpPr txBox="1">
          <a:spLocks noChangeArrowheads="1"/>
        </xdr:cNvSpPr>
      </xdr:nvSpPr>
      <xdr:spPr bwMode="auto">
        <a:xfrm>
          <a:off x="1893570" y="6781800"/>
          <a:ext cx="255284" cy="116541"/>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62.5</a:t>
          </a:r>
        </a:p>
      </xdr:txBody>
    </xdr:sp>
    <xdr:clientData/>
  </xdr:twoCellAnchor>
  <xdr:twoCellAnchor>
    <xdr:from>
      <xdr:col>1</xdr:col>
      <xdr:colOff>95250</xdr:colOff>
      <xdr:row>31</xdr:row>
      <xdr:rowOff>0</xdr:rowOff>
    </xdr:from>
    <xdr:to>
      <xdr:col>2</xdr:col>
      <xdr:colOff>76200</xdr:colOff>
      <xdr:row>31</xdr:row>
      <xdr:rowOff>104775</xdr:rowOff>
    </xdr:to>
    <xdr:sp macro="" textlink="">
      <xdr:nvSpPr>
        <xdr:cNvPr id="8" name="Tip"/>
        <xdr:cNvSpPr txBox="1">
          <a:spLocks noChangeArrowheads="1"/>
        </xdr:cNvSpPr>
      </xdr:nvSpPr>
      <xdr:spPr bwMode="auto">
        <a:xfrm>
          <a:off x="904875" y="7153275"/>
          <a:ext cx="390525"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2.83</a:t>
          </a:r>
        </a:p>
      </xdr:txBody>
    </xdr:sp>
    <xdr:clientData/>
  </xdr:twoCellAnchor>
  <xdr:twoCellAnchor>
    <xdr:from>
      <xdr:col>2</xdr:col>
      <xdr:colOff>219075</xdr:colOff>
      <xdr:row>26</xdr:row>
      <xdr:rowOff>200025</xdr:rowOff>
    </xdr:from>
    <xdr:to>
      <xdr:col>3</xdr:col>
      <xdr:colOff>47625</xdr:colOff>
      <xdr:row>27</xdr:row>
      <xdr:rowOff>66675</xdr:rowOff>
    </xdr:to>
    <xdr:sp macro="" textlink="">
      <xdr:nvSpPr>
        <xdr:cNvPr id="9" name="Width"/>
        <xdr:cNvSpPr txBox="1">
          <a:spLocks noChangeArrowheads="1"/>
        </xdr:cNvSpPr>
      </xdr:nvSpPr>
      <xdr:spPr bwMode="auto">
        <a:xfrm>
          <a:off x="1438275" y="6210300"/>
          <a:ext cx="304800"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14.5</a:t>
          </a:r>
        </a:p>
      </xdr:txBody>
    </xdr:sp>
    <xdr:clientData/>
  </xdr:twoCellAnchor>
  <xdr:twoCellAnchor>
    <xdr:from>
      <xdr:col>1</xdr:col>
      <xdr:colOff>390525</xdr:colOff>
      <xdr:row>27</xdr:row>
      <xdr:rowOff>57150</xdr:rowOff>
    </xdr:from>
    <xdr:to>
      <xdr:col>3</xdr:col>
      <xdr:colOff>447675</xdr:colOff>
      <xdr:row>31</xdr:row>
      <xdr:rowOff>219075</xdr:rowOff>
    </xdr:to>
    <xdr:grpSp>
      <xdr:nvGrpSpPr>
        <xdr:cNvPr id="10" name="Group 534"/>
        <xdr:cNvGrpSpPr>
          <a:grpSpLocks/>
        </xdr:cNvGrpSpPr>
      </xdr:nvGrpSpPr>
      <xdr:grpSpPr bwMode="auto">
        <a:xfrm>
          <a:off x="1200150" y="6296025"/>
          <a:ext cx="942975" cy="1076325"/>
          <a:chOff x="126" y="661"/>
          <a:chExt cx="99" cy="113"/>
        </a:xfrm>
      </xdr:grpSpPr>
      <xdr:sp macro="" textlink="">
        <xdr:nvSpPr>
          <xdr:cNvPr id="11" name="Line 298"/>
          <xdr:cNvSpPr>
            <a:spLocks noChangeShapeType="1"/>
          </xdr:cNvSpPr>
        </xdr:nvSpPr>
        <xdr:spPr bwMode="auto">
          <a:xfrm flipH="1">
            <a:off x="190" y="675"/>
            <a:ext cx="1" cy="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 name="Line 299"/>
          <xdr:cNvSpPr>
            <a:spLocks noChangeShapeType="1"/>
          </xdr:cNvSpPr>
        </xdr:nvSpPr>
        <xdr:spPr bwMode="auto">
          <a:xfrm flipH="1">
            <a:off x="142" y="676"/>
            <a:ext cx="4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 name="Line 300"/>
          <xdr:cNvSpPr>
            <a:spLocks noChangeShapeType="1"/>
          </xdr:cNvSpPr>
        </xdr:nvSpPr>
        <xdr:spPr bwMode="auto">
          <a:xfrm>
            <a:off x="191" y="675"/>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 name="Line 301"/>
          <xdr:cNvSpPr>
            <a:spLocks noChangeShapeType="1"/>
          </xdr:cNvSpPr>
        </xdr:nvSpPr>
        <xdr:spPr bwMode="auto">
          <a:xfrm>
            <a:off x="144" y="676"/>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 name="Line 302"/>
          <xdr:cNvSpPr>
            <a:spLocks noChangeShapeType="1"/>
          </xdr:cNvSpPr>
        </xdr:nvSpPr>
        <xdr:spPr bwMode="auto">
          <a:xfrm>
            <a:off x="138" y="748"/>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 name="Line 303"/>
          <xdr:cNvSpPr>
            <a:spLocks noChangeShapeType="1"/>
          </xdr:cNvSpPr>
        </xdr:nvSpPr>
        <xdr:spPr bwMode="auto">
          <a:xfrm flipH="1">
            <a:off x="198" y="753"/>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 name="Line 304"/>
          <xdr:cNvSpPr>
            <a:spLocks noChangeShapeType="1"/>
          </xdr:cNvSpPr>
        </xdr:nvSpPr>
        <xdr:spPr bwMode="auto">
          <a:xfrm>
            <a:off x="138" y="754"/>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 name="Line 305"/>
          <xdr:cNvSpPr>
            <a:spLocks noChangeShapeType="1"/>
          </xdr:cNvSpPr>
        </xdr:nvSpPr>
        <xdr:spPr bwMode="auto">
          <a:xfrm>
            <a:off x="190" y="753"/>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 name="Line 306"/>
          <xdr:cNvSpPr>
            <a:spLocks noChangeShapeType="1"/>
          </xdr:cNvSpPr>
        </xdr:nvSpPr>
        <xdr:spPr bwMode="auto">
          <a:xfrm>
            <a:off x="145" y="755"/>
            <a:ext cx="0"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 name="Line 307"/>
          <xdr:cNvSpPr>
            <a:spLocks noChangeShapeType="1"/>
          </xdr:cNvSpPr>
        </xdr:nvSpPr>
        <xdr:spPr bwMode="auto">
          <a:xfrm>
            <a:off x="190" y="763"/>
            <a:ext cx="1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 name="Line 308"/>
          <xdr:cNvSpPr>
            <a:spLocks noChangeShapeType="1"/>
          </xdr:cNvSpPr>
        </xdr:nvSpPr>
        <xdr:spPr bwMode="auto">
          <a:xfrm flipH="1">
            <a:off x="129" y="763"/>
            <a:ext cx="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 name="Line 309"/>
          <xdr:cNvSpPr>
            <a:spLocks noChangeShapeType="1"/>
          </xdr:cNvSpPr>
        </xdr:nvSpPr>
        <xdr:spPr bwMode="auto">
          <a:xfrm>
            <a:off x="198" y="677"/>
            <a:ext cx="2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 name="Line 310"/>
          <xdr:cNvSpPr>
            <a:spLocks noChangeShapeType="1"/>
          </xdr:cNvSpPr>
        </xdr:nvSpPr>
        <xdr:spPr bwMode="auto">
          <a:xfrm flipV="1">
            <a:off x="208" y="678"/>
            <a:ext cx="0" cy="31"/>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24" name="Line 311"/>
          <xdr:cNvSpPr>
            <a:spLocks noChangeShapeType="1"/>
          </xdr:cNvSpPr>
        </xdr:nvSpPr>
        <xdr:spPr bwMode="auto">
          <a:xfrm>
            <a:off x="208" y="732"/>
            <a:ext cx="0" cy="29"/>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25" name="Line 312"/>
          <xdr:cNvSpPr>
            <a:spLocks noChangeShapeType="1"/>
          </xdr:cNvSpPr>
        </xdr:nvSpPr>
        <xdr:spPr bwMode="auto">
          <a:xfrm flipV="1">
            <a:off x="132" y="764"/>
            <a:ext cx="0" cy="1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26" name="Line 313"/>
          <xdr:cNvSpPr>
            <a:spLocks noChangeShapeType="1"/>
          </xdr:cNvSpPr>
        </xdr:nvSpPr>
        <xdr:spPr bwMode="auto">
          <a:xfrm>
            <a:off x="130" y="738"/>
            <a:ext cx="0" cy="8"/>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27" name="Line 314"/>
          <xdr:cNvSpPr>
            <a:spLocks noChangeShapeType="1"/>
          </xdr:cNvSpPr>
        </xdr:nvSpPr>
        <xdr:spPr bwMode="auto">
          <a:xfrm>
            <a:off x="126" y="748"/>
            <a:ext cx="1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 name="Line 315"/>
          <xdr:cNvSpPr>
            <a:spLocks noChangeShapeType="1"/>
          </xdr:cNvSpPr>
        </xdr:nvSpPr>
        <xdr:spPr bwMode="auto">
          <a:xfrm flipV="1">
            <a:off x="191" y="661"/>
            <a:ext cx="0" cy="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 name="Line 316"/>
          <xdr:cNvSpPr>
            <a:spLocks noChangeShapeType="1"/>
          </xdr:cNvSpPr>
        </xdr:nvSpPr>
        <xdr:spPr bwMode="auto">
          <a:xfrm flipV="1">
            <a:off x="143" y="662"/>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 name="Line 317"/>
          <xdr:cNvSpPr>
            <a:spLocks noChangeShapeType="1"/>
          </xdr:cNvSpPr>
        </xdr:nvSpPr>
        <xdr:spPr bwMode="auto">
          <a:xfrm>
            <a:off x="152" y="667"/>
            <a:ext cx="3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31" name="Line 318"/>
          <xdr:cNvSpPr>
            <a:spLocks noChangeShapeType="1"/>
          </xdr:cNvSpPr>
        </xdr:nvSpPr>
        <xdr:spPr bwMode="auto">
          <a:xfrm flipH="1">
            <a:off x="147" y="667"/>
            <a:ext cx="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32" name="Line 319"/>
          <xdr:cNvSpPr>
            <a:spLocks noChangeShapeType="1"/>
          </xdr:cNvSpPr>
        </xdr:nvSpPr>
        <xdr:spPr bwMode="auto">
          <a:xfrm>
            <a:off x="138" y="748"/>
            <a:ext cx="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 name="Line 320"/>
          <xdr:cNvSpPr>
            <a:spLocks noChangeShapeType="1"/>
          </xdr:cNvSpPr>
        </xdr:nvSpPr>
        <xdr:spPr bwMode="auto">
          <a:xfrm>
            <a:off x="190" y="754"/>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 name="Line 321"/>
          <xdr:cNvSpPr>
            <a:spLocks noChangeShapeType="1"/>
          </xdr:cNvSpPr>
        </xdr:nvSpPr>
        <xdr:spPr bwMode="auto">
          <a:xfrm flipV="1">
            <a:off x="198" y="746"/>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 name="Line 322"/>
          <xdr:cNvSpPr>
            <a:spLocks noChangeShapeType="1"/>
          </xdr:cNvSpPr>
        </xdr:nvSpPr>
        <xdr:spPr bwMode="auto">
          <a:xfrm>
            <a:off x="191" y="747"/>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2</xdr:col>
      <xdr:colOff>436245</xdr:colOff>
      <xdr:row>42</xdr:row>
      <xdr:rowOff>180975</xdr:rowOff>
    </xdr:from>
    <xdr:to>
      <xdr:col>3</xdr:col>
      <xdr:colOff>302895</xdr:colOff>
      <xdr:row>43</xdr:row>
      <xdr:rowOff>66675</xdr:rowOff>
    </xdr:to>
    <xdr:sp macro="" textlink="">
      <xdr:nvSpPr>
        <xdr:cNvPr id="36" name="Area"/>
        <xdr:cNvSpPr txBox="1">
          <a:spLocks noChangeArrowheads="1"/>
        </xdr:cNvSpPr>
      </xdr:nvSpPr>
      <xdr:spPr bwMode="auto">
        <a:xfrm>
          <a:off x="1655445" y="9848850"/>
          <a:ext cx="342900"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3370.3</a:t>
          </a:r>
        </a:p>
      </xdr:txBody>
    </xdr:sp>
    <xdr:clientData/>
  </xdr:twoCellAnchor>
  <xdr:twoCellAnchor>
    <xdr:from>
      <xdr:col>1</xdr:col>
      <xdr:colOff>255270</xdr:colOff>
      <xdr:row>40</xdr:row>
      <xdr:rowOff>200025</xdr:rowOff>
    </xdr:from>
    <xdr:to>
      <xdr:col>2</xdr:col>
      <xdr:colOff>247732</xdr:colOff>
      <xdr:row>41</xdr:row>
      <xdr:rowOff>104775</xdr:rowOff>
    </xdr:to>
    <xdr:sp macro="" textlink="">
      <xdr:nvSpPr>
        <xdr:cNvPr id="37" name="OD"/>
        <xdr:cNvSpPr txBox="1">
          <a:spLocks noChangeArrowheads="1"/>
        </xdr:cNvSpPr>
      </xdr:nvSpPr>
      <xdr:spPr bwMode="auto">
        <a:xfrm>
          <a:off x="1064895" y="9410700"/>
          <a:ext cx="402037" cy="1333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367.0</a:t>
          </a:r>
        </a:p>
      </xdr:txBody>
    </xdr:sp>
    <xdr:clientData/>
  </xdr:twoCellAnchor>
  <xdr:twoCellAnchor>
    <xdr:from>
      <xdr:col>2</xdr:col>
      <xdr:colOff>66675</xdr:colOff>
      <xdr:row>40</xdr:row>
      <xdr:rowOff>57150</xdr:rowOff>
    </xdr:from>
    <xdr:to>
      <xdr:col>2</xdr:col>
      <xdr:colOff>341110</xdr:colOff>
      <xdr:row>40</xdr:row>
      <xdr:rowOff>152400</xdr:rowOff>
    </xdr:to>
    <xdr:sp macro="" textlink="">
      <xdr:nvSpPr>
        <xdr:cNvPr id="38" name="Height"/>
        <xdr:cNvSpPr txBox="1">
          <a:spLocks noChangeArrowheads="1"/>
        </xdr:cNvSpPr>
      </xdr:nvSpPr>
      <xdr:spPr bwMode="auto">
        <a:xfrm>
          <a:off x="1285875" y="9267825"/>
          <a:ext cx="274435"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43.0</a:t>
          </a:r>
        </a:p>
      </xdr:txBody>
    </xdr:sp>
    <xdr:clientData/>
  </xdr:twoCellAnchor>
  <xdr:twoCellAnchor>
    <xdr:from>
      <xdr:col>2</xdr:col>
      <xdr:colOff>350520</xdr:colOff>
      <xdr:row>40</xdr:row>
      <xdr:rowOff>57150</xdr:rowOff>
    </xdr:from>
    <xdr:to>
      <xdr:col>3</xdr:col>
      <xdr:colOff>181130</xdr:colOff>
      <xdr:row>40</xdr:row>
      <xdr:rowOff>180975</xdr:rowOff>
    </xdr:to>
    <xdr:sp macro="" textlink="">
      <xdr:nvSpPr>
        <xdr:cNvPr id="39" name="Thickness"/>
        <xdr:cNvSpPr txBox="1">
          <a:spLocks noChangeArrowheads="1"/>
        </xdr:cNvSpPr>
      </xdr:nvSpPr>
      <xdr:spPr bwMode="auto">
        <a:xfrm>
          <a:off x="1569720" y="9267825"/>
          <a:ext cx="306860"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85.0</a:t>
          </a:r>
        </a:p>
      </xdr:txBody>
    </xdr:sp>
    <xdr:clientData/>
  </xdr:twoCellAnchor>
  <xdr:twoCellAnchor>
    <xdr:from>
      <xdr:col>1</xdr:col>
      <xdr:colOff>293370</xdr:colOff>
      <xdr:row>42</xdr:row>
      <xdr:rowOff>0</xdr:rowOff>
    </xdr:from>
    <xdr:to>
      <xdr:col>2</xdr:col>
      <xdr:colOff>188595</xdr:colOff>
      <xdr:row>42</xdr:row>
      <xdr:rowOff>123825</xdr:rowOff>
    </xdr:to>
    <xdr:sp macro="" textlink="">
      <xdr:nvSpPr>
        <xdr:cNvPr id="40" name="ID"/>
        <xdr:cNvSpPr txBox="1">
          <a:spLocks noChangeArrowheads="1"/>
        </xdr:cNvSpPr>
      </xdr:nvSpPr>
      <xdr:spPr bwMode="auto">
        <a:xfrm>
          <a:off x="1102995" y="9667875"/>
          <a:ext cx="304800"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281.0</a:t>
          </a:r>
        </a:p>
      </xdr:txBody>
    </xdr:sp>
    <xdr:clientData/>
  </xdr:twoCellAnchor>
  <xdr:twoCellAnchor>
    <xdr:from>
      <xdr:col>3</xdr:col>
      <xdr:colOff>133350</xdr:colOff>
      <xdr:row>32</xdr:row>
      <xdr:rowOff>85725</xdr:rowOff>
    </xdr:from>
    <xdr:to>
      <xdr:col>3</xdr:col>
      <xdr:colOff>377683</xdr:colOff>
      <xdr:row>32</xdr:row>
      <xdr:rowOff>200025</xdr:rowOff>
    </xdr:to>
    <xdr:sp macro="" textlink="">
      <xdr:nvSpPr>
        <xdr:cNvPr id="41" name="Tip2"/>
        <xdr:cNvSpPr txBox="1">
          <a:spLocks noChangeArrowheads="1"/>
        </xdr:cNvSpPr>
      </xdr:nvSpPr>
      <xdr:spPr bwMode="auto">
        <a:xfrm>
          <a:off x="1828800" y="7467600"/>
          <a:ext cx="244333"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80"/>
              </a:solidFill>
              <a:latin typeface="Univers (W1)"/>
            </a:rPr>
            <a:t>1.90</a:t>
          </a:r>
        </a:p>
      </xdr:txBody>
    </xdr:sp>
    <xdr:clientData/>
  </xdr:twoCellAnchor>
  <xdr:twoCellAnchor>
    <xdr:from>
      <xdr:col>3</xdr:col>
      <xdr:colOff>209550</xdr:colOff>
      <xdr:row>35</xdr:row>
      <xdr:rowOff>47625</xdr:rowOff>
    </xdr:from>
    <xdr:to>
      <xdr:col>3</xdr:col>
      <xdr:colOff>483985</xdr:colOff>
      <xdr:row>35</xdr:row>
      <xdr:rowOff>161925</xdr:rowOff>
    </xdr:to>
    <xdr:sp macro="" textlink="">
      <xdr:nvSpPr>
        <xdr:cNvPr id="42" name="Depth2"/>
        <xdr:cNvSpPr txBox="1">
          <a:spLocks noChangeArrowheads="1"/>
        </xdr:cNvSpPr>
      </xdr:nvSpPr>
      <xdr:spPr bwMode="auto">
        <a:xfrm>
          <a:off x="1905000" y="8115300"/>
          <a:ext cx="274435"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80"/>
              </a:solidFill>
              <a:latin typeface="Univers (W1)"/>
            </a:rPr>
            <a:t>37.00</a:t>
          </a:r>
        </a:p>
      </xdr:txBody>
    </xdr:sp>
    <xdr:clientData/>
  </xdr:twoCellAnchor>
  <xdr:twoCellAnchor>
    <xdr:from>
      <xdr:col>2</xdr:col>
      <xdr:colOff>407670</xdr:colOff>
      <xdr:row>33</xdr:row>
      <xdr:rowOff>142875</xdr:rowOff>
    </xdr:from>
    <xdr:to>
      <xdr:col>3</xdr:col>
      <xdr:colOff>171590</xdr:colOff>
      <xdr:row>34</xdr:row>
      <xdr:rowOff>9525</xdr:rowOff>
    </xdr:to>
    <xdr:sp macro="" textlink="">
      <xdr:nvSpPr>
        <xdr:cNvPr id="43" name="Hat Depth"/>
        <xdr:cNvSpPr txBox="1">
          <a:spLocks noChangeArrowheads="1"/>
        </xdr:cNvSpPr>
      </xdr:nvSpPr>
      <xdr:spPr bwMode="auto">
        <a:xfrm>
          <a:off x="1626870" y="7753350"/>
          <a:ext cx="240170"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80"/>
              </a:solidFill>
              <a:latin typeface="Univers (W1)"/>
            </a:rPr>
            <a:t>2.0</a:t>
          </a:r>
        </a:p>
      </xdr:txBody>
    </xdr:sp>
    <xdr:clientData/>
  </xdr:twoCellAnchor>
  <xdr:twoCellAnchor>
    <xdr:from>
      <xdr:col>2</xdr:col>
      <xdr:colOff>396240</xdr:colOff>
      <xdr:row>34</xdr:row>
      <xdr:rowOff>38100</xdr:rowOff>
    </xdr:from>
    <xdr:to>
      <xdr:col>3</xdr:col>
      <xdr:colOff>180977</xdr:colOff>
      <xdr:row>34</xdr:row>
      <xdr:rowOff>161925</xdr:rowOff>
    </xdr:to>
    <xdr:sp macro="" textlink="">
      <xdr:nvSpPr>
        <xdr:cNvPr id="44" name="Up Bar Depth"/>
        <xdr:cNvSpPr txBox="1">
          <a:spLocks noChangeArrowheads="1"/>
        </xdr:cNvSpPr>
      </xdr:nvSpPr>
      <xdr:spPr bwMode="auto">
        <a:xfrm>
          <a:off x="1615440" y="7877175"/>
          <a:ext cx="260987"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80"/>
              </a:solidFill>
              <a:latin typeface="Univers (W1)"/>
            </a:rPr>
            <a:t>11.1</a:t>
          </a:r>
        </a:p>
      </xdr:txBody>
    </xdr:sp>
    <xdr:clientData/>
  </xdr:twoCellAnchor>
  <xdr:twoCellAnchor>
    <xdr:from>
      <xdr:col>1</xdr:col>
      <xdr:colOff>350520</xdr:colOff>
      <xdr:row>34</xdr:row>
      <xdr:rowOff>19050</xdr:rowOff>
    </xdr:from>
    <xdr:to>
      <xdr:col>2</xdr:col>
      <xdr:colOff>143113</xdr:colOff>
      <xdr:row>34</xdr:row>
      <xdr:rowOff>171450</xdr:rowOff>
    </xdr:to>
    <xdr:sp macro="" textlink="">
      <xdr:nvSpPr>
        <xdr:cNvPr id="45" name="Up Bar Width"/>
        <xdr:cNvSpPr txBox="1">
          <a:spLocks noChangeArrowheads="1"/>
        </xdr:cNvSpPr>
      </xdr:nvSpPr>
      <xdr:spPr bwMode="auto">
        <a:xfrm>
          <a:off x="1160145" y="7858125"/>
          <a:ext cx="202168" cy="1524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80"/>
              </a:solidFill>
              <a:latin typeface="Univers (W1)"/>
            </a:rPr>
            <a:t>6.0</a:t>
          </a:r>
        </a:p>
      </xdr:txBody>
    </xdr:sp>
    <xdr:clientData/>
  </xdr:twoCellAnchor>
  <xdr:twoCellAnchor>
    <xdr:from>
      <xdr:col>2</xdr:col>
      <xdr:colOff>171450</xdr:colOff>
      <xdr:row>35</xdr:row>
      <xdr:rowOff>85725</xdr:rowOff>
    </xdr:from>
    <xdr:to>
      <xdr:col>2</xdr:col>
      <xdr:colOff>463326</xdr:colOff>
      <xdr:row>35</xdr:row>
      <xdr:rowOff>190500</xdr:rowOff>
    </xdr:to>
    <xdr:sp macro="" textlink="">
      <xdr:nvSpPr>
        <xdr:cNvPr id="46" name="Width2"/>
        <xdr:cNvSpPr txBox="1">
          <a:spLocks noChangeArrowheads="1"/>
        </xdr:cNvSpPr>
      </xdr:nvSpPr>
      <xdr:spPr bwMode="auto">
        <a:xfrm>
          <a:off x="1390650" y="8153400"/>
          <a:ext cx="291876"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80"/>
              </a:solidFill>
              <a:latin typeface="Univers (W1)"/>
            </a:rPr>
            <a:t>17.00</a:t>
          </a:r>
        </a:p>
      </xdr:txBody>
    </xdr:sp>
    <xdr:clientData/>
  </xdr:twoCellAnchor>
  <xdr:twoCellAnchor>
    <xdr:from>
      <xdr:col>3</xdr:col>
      <xdr:colOff>57150</xdr:colOff>
      <xdr:row>36</xdr:row>
      <xdr:rowOff>19050</xdr:rowOff>
    </xdr:from>
    <xdr:to>
      <xdr:col>3</xdr:col>
      <xdr:colOff>358253</xdr:colOff>
      <xdr:row>36</xdr:row>
      <xdr:rowOff>142875</xdr:rowOff>
    </xdr:to>
    <xdr:sp macro="" textlink="">
      <xdr:nvSpPr>
        <xdr:cNvPr id="47" name="Low Bar Depth"/>
        <xdr:cNvSpPr txBox="1">
          <a:spLocks noChangeArrowheads="1"/>
        </xdr:cNvSpPr>
      </xdr:nvSpPr>
      <xdr:spPr bwMode="auto">
        <a:xfrm>
          <a:off x="1752600" y="8315325"/>
          <a:ext cx="301103"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80"/>
              </a:solidFill>
              <a:latin typeface="Univers (W1)"/>
            </a:rPr>
            <a:t>22.00</a:t>
          </a:r>
        </a:p>
      </xdr:txBody>
    </xdr:sp>
    <xdr:clientData/>
  </xdr:twoCellAnchor>
  <xdr:twoCellAnchor>
    <xdr:from>
      <xdr:col>2</xdr:col>
      <xdr:colOff>188595</xdr:colOff>
      <xdr:row>36</xdr:row>
      <xdr:rowOff>152400</xdr:rowOff>
    </xdr:from>
    <xdr:to>
      <xdr:col>2</xdr:col>
      <xdr:colOff>417195</xdr:colOff>
      <xdr:row>37</xdr:row>
      <xdr:rowOff>28575</xdr:rowOff>
    </xdr:to>
    <xdr:sp macro="" textlink="">
      <xdr:nvSpPr>
        <xdr:cNvPr id="48" name="Width3"/>
        <xdr:cNvSpPr txBox="1">
          <a:spLocks noChangeArrowheads="1"/>
        </xdr:cNvSpPr>
      </xdr:nvSpPr>
      <xdr:spPr bwMode="auto">
        <a:xfrm>
          <a:off x="1407795" y="8448675"/>
          <a:ext cx="228600"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80"/>
              </a:solidFill>
              <a:latin typeface="Univers (W1)"/>
            </a:rPr>
            <a:t>13.36</a:t>
          </a:r>
        </a:p>
      </xdr:txBody>
    </xdr:sp>
    <xdr:clientData/>
  </xdr:twoCellAnchor>
  <xdr:twoCellAnchor>
    <xdr:from>
      <xdr:col>1</xdr:col>
      <xdr:colOff>161925</xdr:colOff>
      <xdr:row>39</xdr:row>
      <xdr:rowOff>95250</xdr:rowOff>
    </xdr:from>
    <xdr:to>
      <xdr:col>3</xdr:col>
      <xdr:colOff>542925</xdr:colOff>
      <xdr:row>43</xdr:row>
      <xdr:rowOff>66675</xdr:rowOff>
    </xdr:to>
    <xdr:grpSp>
      <xdr:nvGrpSpPr>
        <xdr:cNvPr id="49" name="Group 512"/>
        <xdr:cNvGrpSpPr>
          <a:grpSpLocks/>
        </xdr:cNvGrpSpPr>
      </xdr:nvGrpSpPr>
      <xdr:grpSpPr bwMode="auto">
        <a:xfrm>
          <a:off x="971550" y="9077325"/>
          <a:ext cx="1266825" cy="885825"/>
          <a:chOff x="102" y="929"/>
          <a:chExt cx="133" cy="93"/>
        </a:xfrm>
      </xdr:grpSpPr>
      <xdr:sp macro="" textlink="">
        <xdr:nvSpPr>
          <xdr:cNvPr id="50" name="Line 479"/>
          <xdr:cNvSpPr>
            <a:spLocks noChangeShapeType="1"/>
          </xdr:cNvSpPr>
        </xdr:nvSpPr>
        <xdr:spPr bwMode="auto">
          <a:xfrm flipH="1" flipV="1">
            <a:off x="151" y="989"/>
            <a:ext cx="0" cy="13"/>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51" name="Line 480"/>
          <xdr:cNvSpPr>
            <a:spLocks noChangeShapeType="1"/>
          </xdr:cNvSpPr>
        </xdr:nvSpPr>
        <xdr:spPr bwMode="auto">
          <a:xfrm flipV="1">
            <a:off x="135" y="929"/>
            <a:ext cx="2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 name="Line 481"/>
          <xdr:cNvSpPr>
            <a:spLocks noChangeShapeType="1"/>
          </xdr:cNvSpPr>
        </xdr:nvSpPr>
        <xdr:spPr bwMode="auto">
          <a:xfrm>
            <a:off x="163" y="929"/>
            <a:ext cx="0" cy="7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 name="Line 482"/>
          <xdr:cNvSpPr>
            <a:spLocks noChangeShapeType="1"/>
          </xdr:cNvSpPr>
        </xdr:nvSpPr>
        <xdr:spPr bwMode="auto">
          <a:xfrm flipV="1">
            <a:off x="163" y="934"/>
            <a:ext cx="72"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Line 483"/>
          <xdr:cNvSpPr>
            <a:spLocks noChangeShapeType="1"/>
          </xdr:cNvSpPr>
        </xdr:nvSpPr>
        <xdr:spPr bwMode="auto">
          <a:xfrm flipH="1">
            <a:off x="235" y="934"/>
            <a:ext cx="0" cy="4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5" name="Line 484"/>
          <xdr:cNvSpPr>
            <a:spLocks noChangeShapeType="1"/>
          </xdr:cNvSpPr>
        </xdr:nvSpPr>
        <xdr:spPr bwMode="auto">
          <a:xfrm flipV="1">
            <a:off x="163" y="975"/>
            <a:ext cx="72" cy="1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6" name="Line 485"/>
          <xdr:cNvSpPr>
            <a:spLocks noChangeShapeType="1"/>
          </xdr:cNvSpPr>
        </xdr:nvSpPr>
        <xdr:spPr bwMode="auto">
          <a:xfrm>
            <a:off x="191" y="934"/>
            <a:ext cx="0" cy="4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7" name="Line 486"/>
          <xdr:cNvSpPr>
            <a:spLocks noChangeShapeType="1"/>
          </xdr:cNvSpPr>
        </xdr:nvSpPr>
        <xdr:spPr bwMode="auto">
          <a:xfrm flipH="1">
            <a:off x="130" y="934"/>
            <a:ext cx="3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8" name="Line 487"/>
          <xdr:cNvSpPr>
            <a:spLocks noChangeShapeType="1"/>
          </xdr:cNvSpPr>
        </xdr:nvSpPr>
        <xdr:spPr bwMode="auto">
          <a:xfrm flipH="1" flipV="1">
            <a:off x="142" y="988"/>
            <a:ext cx="2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9" name="Line 488"/>
          <xdr:cNvSpPr>
            <a:spLocks noChangeShapeType="1"/>
          </xdr:cNvSpPr>
        </xdr:nvSpPr>
        <xdr:spPr bwMode="auto">
          <a:xfrm flipV="1">
            <a:off x="145" y="934"/>
            <a:ext cx="0" cy="17"/>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0" name="Line 489"/>
          <xdr:cNvSpPr>
            <a:spLocks noChangeShapeType="1"/>
          </xdr:cNvSpPr>
        </xdr:nvSpPr>
        <xdr:spPr bwMode="auto">
          <a:xfrm flipH="1">
            <a:off x="145" y="962"/>
            <a:ext cx="0" cy="26"/>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1" name="Line 490"/>
          <xdr:cNvSpPr>
            <a:spLocks noChangeShapeType="1"/>
          </xdr:cNvSpPr>
        </xdr:nvSpPr>
        <xdr:spPr bwMode="auto">
          <a:xfrm flipH="1" flipV="1">
            <a:off x="132" y="935"/>
            <a:ext cx="0" cy="27"/>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2" name="Line 491"/>
          <xdr:cNvSpPr>
            <a:spLocks noChangeShapeType="1"/>
          </xdr:cNvSpPr>
        </xdr:nvSpPr>
        <xdr:spPr bwMode="auto">
          <a:xfrm>
            <a:off x="163" y="966"/>
            <a:ext cx="25"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63" name="Text 1067"/>
          <xdr:cNvSpPr txBox="1">
            <a:spLocks noChangeArrowheads="1"/>
          </xdr:cNvSpPr>
        </xdr:nvSpPr>
        <xdr:spPr bwMode="auto">
          <a:xfrm>
            <a:off x="190" y="996"/>
            <a:ext cx="22" cy="12"/>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sp macro="" textlink="">
        <xdr:nvSpPr>
          <xdr:cNvPr id="64" name="Text 1068"/>
          <xdr:cNvSpPr txBox="1">
            <a:spLocks noChangeArrowheads="1"/>
          </xdr:cNvSpPr>
        </xdr:nvSpPr>
        <xdr:spPr bwMode="auto">
          <a:xfrm>
            <a:off x="121" y="1009"/>
            <a:ext cx="52" cy="12"/>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Section</a:t>
            </a:r>
          </a:p>
        </xdr:txBody>
      </xdr:sp>
      <xdr:sp macro="" textlink="">
        <xdr:nvSpPr>
          <xdr:cNvPr id="65" name="Text 1069"/>
          <xdr:cNvSpPr txBox="1">
            <a:spLocks noChangeArrowheads="1"/>
          </xdr:cNvSpPr>
        </xdr:nvSpPr>
        <xdr:spPr bwMode="auto">
          <a:xfrm>
            <a:off x="204" y="1008"/>
            <a:ext cx="31" cy="14"/>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mm</a:t>
            </a:r>
            <a:r>
              <a:rPr lang="en-US" sz="600" b="1" i="0" strike="noStrike" baseline="30000">
                <a:solidFill>
                  <a:srgbClr val="000000"/>
                </a:solidFill>
                <a:latin typeface="Univers (W1)"/>
              </a:rPr>
              <a:t>2</a:t>
            </a:r>
          </a:p>
        </xdr:txBody>
      </xdr:sp>
      <xdr:sp macro="" textlink="">
        <xdr:nvSpPr>
          <xdr:cNvPr id="66" name="Line 495"/>
          <xdr:cNvSpPr>
            <a:spLocks noChangeShapeType="1"/>
          </xdr:cNvSpPr>
        </xdr:nvSpPr>
        <xdr:spPr bwMode="auto">
          <a:xfrm flipV="1">
            <a:off x="135" y="929"/>
            <a:ext cx="2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7" name="Line 496"/>
          <xdr:cNvSpPr>
            <a:spLocks noChangeShapeType="1"/>
          </xdr:cNvSpPr>
        </xdr:nvSpPr>
        <xdr:spPr bwMode="auto">
          <a:xfrm>
            <a:off x="163" y="929"/>
            <a:ext cx="0" cy="7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 name="Line 497"/>
          <xdr:cNvSpPr>
            <a:spLocks noChangeShapeType="1"/>
          </xdr:cNvSpPr>
        </xdr:nvSpPr>
        <xdr:spPr bwMode="auto">
          <a:xfrm flipV="1">
            <a:off x="163" y="934"/>
            <a:ext cx="72"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9" name="Line 498"/>
          <xdr:cNvSpPr>
            <a:spLocks noChangeShapeType="1"/>
          </xdr:cNvSpPr>
        </xdr:nvSpPr>
        <xdr:spPr bwMode="auto">
          <a:xfrm flipH="1">
            <a:off x="235" y="934"/>
            <a:ext cx="0" cy="4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0" name="Line 499"/>
          <xdr:cNvSpPr>
            <a:spLocks noChangeShapeType="1"/>
          </xdr:cNvSpPr>
        </xdr:nvSpPr>
        <xdr:spPr bwMode="auto">
          <a:xfrm flipV="1">
            <a:off x="163" y="975"/>
            <a:ext cx="72" cy="1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1" name="Line 500"/>
          <xdr:cNvSpPr>
            <a:spLocks noChangeShapeType="1"/>
          </xdr:cNvSpPr>
        </xdr:nvSpPr>
        <xdr:spPr bwMode="auto">
          <a:xfrm>
            <a:off x="191" y="934"/>
            <a:ext cx="0" cy="4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2" name="Line 501"/>
          <xdr:cNvSpPr>
            <a:spLocks noChangeShapeType="1"/>
          </xdr:cNvSpPr>
        </xdr:nvSpPr>
        <xdr:spPr bwMode="auto">
          <a:xfrm flipH="1">
            <a:off x="130" y="934"/>
            <a:ext cx="3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3" name="Line 502"/>
          <xdr:cNvSpPr>
            <a:spLocks noChangeShapeType="1"/>
          </xdr:cNvSpPr>
        </xdr:nvSpPr>
        <xdr:spPr bwMode="auto">
          <a:xfrm flipH="1" flipV="1">
            <a:off x="142" y="988"/>
            <a:ext cx="2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 name="Line 503"/>
          <xdr:cNvSpPr>
            <a:spLocks noChangeShapeType="1"/>
          </xdr:cNvSpPr>
        </xdr:nvSpPr>
        <xdr:spPr bwMode="auto">
          <a:xfrm flipV="1">
            <a:off x="145" y="934"/>
            <a:ext cx="0" cy="17"/>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5" name="Line 504"/>
          <xdr:cNvSpPr>
            <a:spLocks noChangeShapeType="1"/>
          </xdr:cNvSpPr>
        </xdr:nvSpPr>
        <xdr:spPr bwMode="auto">
          <a:xfrm flipH="1">
            <a:off x="145" y="962"/>
            <a:ext cx="0" cy="26"/>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6" name="Line 505"/>
          <xdr:cNvSpPr>
            <a:spLocks noChangeShapeType="1"/>
          </xdr:cNvSpPr>
        </xdr:nvSpPr>
        <xdr:spPr bwMode="auto">
          <a:xfrm flipH="1" flipV="1">
            <a:off x="132" y="935"/>
            <a:ext cx="0" cy="27"/>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7" name="Line 506"/>
          <xdr:cNvSpPr>
            <a:spLocks noChangeShapeType="1"/>
          </xdr:cNvSpPr>
        </xdr:nvSpPr>
        <xdr:spPr bwMode="auto">
          <a:xfrm>
            <a:off x="163" y="966"/>
            <a:ext cx="25"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78" name="Text 1067"/>
          <xdr:cNvSpPr txBox="1">
            <a:spLocks noChangeArrowheads="1"/>
          </xdr:cNvSpPr>
        </xdr:nvSpPr>
        <xdr:spPr bwMode="auto">
          <a:xfrm>
            <a:off x="190" y="996"/>
            <a:ext cx="22" cy="12"/>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sp macro="" textlink="">
        <xdr:nvSpPr>
          <xdr:cNvPr id="79" name="Text 1068"/>
          <xdr:cNvSpPr txBox="1">
            <a:spLocks noChangeArrowheads="1"/>
          </xdr:cNvSpPr>
        </xdr:nvSpPr>
        <xdr:spPr bwMode="auto">
          <a:xfrm>
            <a:off x="121" y="1009"/>
            <a:ext cx="52" cy="12"/>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Section</a:t>
            </a:r>
          </a:p>
        </xdr:txBody>
      </xdr:sp>
      <xdr:sp macro="" textlink="">
        <xdr:nvSpPr>
          <xdr:cNvPr id="80" name="Text 1069"/>
          <xdr:cNvSpPr txBox="1">
            <a:spLocks noChangeArrowheads="1"/>
          </xdr:cNvSpPr>
        </xdr:nvSpPr>
        <xdr:spPr bwMode="auto">
          <a:xfrm>
            <a:off x="204" y="1008"/>
            <a:ext cx="31" cy="14"/>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mm</a:t>
            </a:r>
            <a:r>
              <a:rPr lang="en-US" sz="600" b="1" i="0" strike="noStrike" baseline="30000">
                <a:solidFill>
                  <a:srgbClr val="000000"/>
                </a:solidFill>
                <a:latin typeface="Univers (W1)"/>
              </a:rPr>
              <a:t>2</a:t>
            </a:r>
          </a:p>
        </xdr:txBody>
      </xdr:sp>
      <xdr:sp macro="" textlink="">
        <xdr:nvSpPr>
          <xdr:cNvPr id="81" name="Text 1071"/>
          <xdr:cNvSpPr txBox="1">
            <a:spLocks noChangeArrowheads="1"/>
          </xdr:cNvSpPr>
        </xdr:nvSpPr>
        <xdr:spPr bwMode="auto">
          <a:xfrm>
            <a:off x="102" y="963"/>
            <a:ext cx="16" cy="14"/>
          </a:xfrm>
          <a:prstGeom prst="rect">
            <a:avLst/>
          </a:prstGeom>
          <a:solidFill>
            <a:srgbClr val="FFFFFF"/>
          </a:solidFill>
          <a:ln w="1">
            <a:noFill/>
            <a:miter lim="800000"/>
            <a:headEnd/>
            <a:tailEnd/>
          </a:ln>
        </xdr:spPr>
        <xdr:txBody>
          <a:bodyPr vertOverflow="clip" wrap="square" lIns="36576" tIns="18288" rIns="36576" bIns="0" anchor="t" upright="1"/>
          <a:lstStyle/>
          <a:p>
            <a:pPr algn="ctr" rtl="0">
              <a:defRPr sz="1000"/>
            </a:pPr>
            <a:r>
              <a:rPr lang="en-US" sz="600" b="1" i="0" strike="noStrike">
                <a:solidFill>
                  <a:srgbClr val="000000"/>
                </a:solidFill>
                <a:latin typeface="WP Greek Century"/>
              </a:rPr>
              <a:t>M</a:t>
            </a:r>
          </a:p>
        </xdr:txBody>
      </xdr:sp>
      <xdr:sp macro="" textlink="">
        <xdr:nvSpPr>
          <xdr:cNvPr id="82" name="Text 1071"/>
          <xdr:cNvSpPr txBox="1">
            <a:spLocks noChangeArrowheads="1"/>
          </xdr:cNvSpPr>
        </xdr:nvSpPr>
        <xdr:spPr bwMode="auto">
          <a:xfrm>
            <a:off x="102" y="991"/>
            <a:ext cx="16" cy="14"/>
          </a:xfrm>
          <a:prstGeom prst="rect">
            <a:avLst/>
          </a:prstGeom>
          <a:solidFill>
            <a:srgbClr val="FFFFFF"/>
          </a:solidFill>
          <a:ln w="1">
            <a:noFill/>
            <a:miter lim="800000"/>
            <a:headEnd/>
            <a:tailEnd/>
          </a:ln>
        </xdr:spPr>
        <xdr:txBody>
          <a:bodyPr vertOverflow="clip" wrap="square" lIns="36576" tIns="18288" rIns="36576" bIns="0" anchor="t" upright="1"/>
          <a:lstStyle/>
          <a:p>
            <a:pPr algn="ctr" rtl="0">
              <a:defRPr sz="1000"/>
            </a:pPr>
            <a:r>
              <a:rPr lang="en-US" sz="600" b="1" i="0" strike="noStrike">
                <a:solidFill>
                  <a:srgbClr val="000000"/>
                </a:solidFill>
                <a:latin typeface="WP Greek Century"/>
              </a:rPr>
              <a:t>M</a:t>
            </a:r>
          </a:p>
        </xdr:txBody>
      </xdr:sp>
    </xdr:grpSp>
    <xdr:clientData/>
  </xdr:twoCellAnchor>
  <xdr:twoCellAnchor>
    <xdr:from>
      <xdr:col>9</xdr:col>
      <xdr:colOff>152400</xdr:colOff>
      <xdr:row>44</xdr:row>
      <xdr:rowOff>0</xdr:rowOff>
    </xdr:from>
    <xdr:to>
      <xdr:col>9</xdr:col>
      <xdr:colOff>361950</xdr:colOff>
      <xdr:row>44</xdr:row>
      <xdr:rowOff>0</xdr:rowOff>
    </xdr:to>
    <xdr:sp macro="" textlink="">
      <xdr:nvSpPr>
        <xdr:cNvPr id="83" name="Rectangle 513"/>
        <xdr:cNvSpPr>
          <a:spLocks noChangeArrowheads="1"/>
        </xdr:cNvSpPr>
      </xdr:nvSpPr>
      <xdr:spPr bwMode="auto">
        <a:xfrm>
          <a:off x="5514975" y="101060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44</xdr:row>
      <xdr:rowOff>0</xdr:rowOff>
    </xdr:from>
    <xdr:to>
      <xdr:col>9</xdr:col>
      <xdr:colOff>333375</xdr:colOff>
      <xdr:row>44</xdr:row>
      <xdr:rowOff>0</xdr:rowOff>
    </xdr:to>
    <xdr:sp macro="" textlink="">
      <xdr:nvSpPr>
        <xdr:cNvPr id="84" name="Rectangle 514"/>
        <xdr:cNvSpPr>
          <a:spLocks noChangeArrowheads="1"/>
        </xdr:cNvSpPr>
      </xdr:nvSpPr>
      <xdr:spPr bwMode="auto">
        <a:xfrm>
          <a:off x="5381625" y="1010602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44</xdr:row>
      <xdr:rowOff>0</xdr:rowOff>
    </xdr:from>
    <xdr:to>
      <xdr:col>9</xdr:col>
      <xdr:colOff>342900</xdr:colOff>
      <xdr:row>44</xdr:row>
      <xdr:rowOff>0</xdr:rowOff>
    </xdr:to>
    <xdr:sp macro="" textlink="">
      <xdr:nvSpPr>
        <xdr:cNvPr id="85" name="Rectangle 515"/>
        <xdr:cNvSpPr>
          <a:spLocks noChangeArrowheads="1"/>
        </xdr:cNvSpPr>
      </xdr:nvSpPr>
      <xdr:spPr bwMode="auto">
        <a:xfrm>
          <a:off x="5391150" y="1010602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44</xdr:row>
      <xdr:rowOff>0</xdr:rowOff>
    </xdr:from>
    <xdr:to>
      <xdr:col>9</xdr:col>
      <xdr:colOff>409575</xdr:colOff>
      <xdr:row>44</xdr:row>
      <xdr:rowOff>0</xdr:rowOff>
    </xdr:to>
    <xdr:sp macro="" textlink="">
      <xdr:nvSpPr>
        <xdr:cNvPr id="86" name="Rectangle 516"/>
        <xdr:cNvSpPr>
          <a:spLocks noChangeArrowheads="1"/>
        </xdr:cNvSpPr>
      </xdr:nvSpPr>
      <xdr:spPr bwMode="auto">
        <a:xfrm>
          <a:off x="5362575" y="1010602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44</xdr:row>
      <xdr:rowOff>0</xdr:rowOff>
    </xdr:from>
    <xdr:to>
      <xdr:col>9</xdr:col>
      <xdr:colOff>361950</xdr:colOff>
      <xdr:row>44</xdr:row>
      <xdr:rowOff>0</xdr:rowOff>
    </xdr:to>
    <xdr:sp macro="" textlink="">
      <xdr:nvSpPr>
        <xdr:cNvPr id="87" name="Rectangle 517"/>
        <xdr:cNvSpPr>
          <a:spLocks noChangeArrowheads="1"/>
        </xdr:cNvSpPr>
      </xdr:nvSpPr>
      <xdr:spPr bwMode="auto">
        <a:xfrm>
          <a:off x="5505450" y="1010602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381000</xdr:colOff>
      <xdr:row>32</xdr:row>
      <xdr:rowOff>180975</xdr:rowOff>
    </xdr:from>
    <xdr:to>
      <xdr:col>3</xdr:col>
      <xdr:colOff>323850</xdr:colOff>
      <xdr:row>37</xdr:row>
      <xdr:rowOff>152400</xdr:rowOff>
    </xdr:to>
    <xdr:grpSp>
      <xdr:nvGrpSpPr>
        <xdr:cNvPr id="88" name="Group 523"/>
        <xdr:cNvGrpSpPr>
          <a:grpSpLocks/>
        </xdr:cNvGrpSpPr>
      </xdr:nvGrpSpPr>
      <xdr:grpSpPr bwMode="auto">
        <a:xfrm>
          <a:off x="1190625" y="7562850"/>
          <a:ext cx="828675" cy="1114425"/>
          <a:chOff x="774" y="670"/>
          <a:chExt cx="87" cy="117"/>
        </a:xfrm>
      </xdr:grpSpPr>
      <xdr:grpSp>
        <xdr:nvGrpSpPr>
          <xdr:cNvPr id="89" name="Group 522"/>
          <xdr:cNvGrpSpPr>
            <a:grpSpLocks/>
          </xdr:cNvGrpSpPr>
        </xdr:nvGrpSpPr>
        <xdr:grpSpPr bwMode="auto">
          <a:xfrm>
            <a:off x="774" y="670"/>
            <a:ext cx="87" cy="117"/>
            <a:chOff x="774" y="670"/>
            <a:chExt cx="87" cy="117"/>
          </a:xfrm>
        </xdr:grpSpPr>
        <xdr:sp macro="" textlink="">
          <xdr:nvSpPr>
            <xdr:cNvPr id="91" name="Line 404"/>
            <xdr:cNvSpPr>
              <a:spLocks noChangeShapeType="1"/>
            </xdr:cNvSpPr>
          </xdr:nvSpPr>
          <xdr:spPr bwMode="auto">
            <a:xfrm flipH="1">
              <a:off x="798" y="688"/>
              <a:ext cx="1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2" name="Line 405"/>
            <xdr:cNvSpPr>
              <a:spLocks noChangeShapeType="1"/>
            </xdr:cNvSpPr>
          </xdr:nvSpPr>
          <xdr:spPr bwMode="auto">
            <a:xfrm>
              <a:off x="808" y="688"/>
              <a:ext cx="12" cy="1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3" name="Line 406"/>
            <xdr:cNvSpPr>
              <a:spLocks noChangeShapeType="1"/>
            </xdr:cNvSpPr>
          </xdr:nvSpPr>
          <xdr:spPr bwMode="auto">
            <a:xfrm flipH="1">
              <a:off x="798" y="699"/>
              <a:ext cx="0" cy="2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4" name="Line 407"/>
            <xdr:cNvSpPr>
              <a:spLocks noChangeShapeType="1"/>
            </xdr:cNvSpPr>
          </xdr:nvSpPr>
          <xdr:spPr bwMode="auto">
            <a:xfrm>
              <a:off x="820" y="701"/>
              <a:ext cx="0" cy="2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5" name="Line 408"/>
            <xdr:cNvSpPr>
              <a:spLocks noChangeShapeType="1"/>
            </xdr:cNvSpPr>
          </xdr:nvSpPr>
          <xdr:spPr bwMode="auto">
            <a:xfrm flipH="1" flipV="1">
              <a:off x="785" y="721"/>
              <a:ext cx="1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6" name="Line 409"/>
            <xdr:cNvSpPr>
              <a:spLocks noChangeShapeType="1"/>
            </xdr:cNvSpPr>
          </xdr:nvSpPr>
          <xdr:spPr bwMode="auto">
            <a:xfrm>
              <a:off x="820" y="721"/>
              <a:ext cx="12"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7" name="Line 410"/>
            <xdr:cNvSpPr>
              <a:spLocks noChangeShapeType="1"/>
            </xdr:cNvSpPr>
          </xdr:nvSpPr>
          <xdr:spPr bwMode="auto">
            <a:xfrm>
              <a:off x="792" y="787"/>
              <a:ext cx="32"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8" name="Line 411"/>
            <xdr:cNvSpPr>
              <a:spLocks noChangeShapeType="1"/>
            </xdr:cNvSpPr>
          </xdr:nvSpPr>
          <xdr:spPr bwMode="auto">
            <a:xfrm>
              <a:off x="785" y="721"/>
              <a:ext cx="7" cy="6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9" name="Line 412"/>
            <xdr:cNvSpPr>
              <a:spLocks noChangeShapeType="1"/>
            </xdr:cNvSpPr>
          </xdr:nvSpPr>
          <xdr:spPr bwMode="auto">
            <a:xfrm flipH="1">
              <a:off x="824" y="721"/>
              <a:ext cx="8" cy="6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 name="Line 413"/>
            <xdr:cNvSpPr>
              <a:spLocks noChangeShapeType="1"/>
            </xdr:cNvSpPr>
          </xdr:nvSpPr>
          <xdr:spPr bwMode="auto">
            <a:xfrm>
              <a:off x="774" y="684"/>
              <a:ext cx="8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1" name="Line 414"/>
            <xdr:cNvSpPr>
              <a:spLocks noChangeShapeType="1"/>
            </xdr:cNvSpPr>
          </xdr:nvSpPr>
          <xdr:spPr bwMode="auto">
            <a:xfrm>
              <a:off x="798" y="711"/>
              <a:ext cx="22"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102" name="Line 415"/>
            <xdr:cNvSpPr>
              <a:spLocks noChangeShapeType="1"/>
            </xdr:cNvSpPr>
          </xdr:nvSpPr>
          <xdr:spPr bwMode="auto">
            <a:xfrm flipH="1">
              <a:off x="785" y="721"/>
              <a:ext cx="0" cy="2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3" name="Line 416"/>
            <xdr:cNvSpPr>
              <a:spLocks noChangeShapeType="1"/>
            </xdr:cNvSpPr>
          </xdr:nvSpPr>
          <xdr:spPr bwMode="auto">
            <a:xfrm>
              <a:off x="832" y="722"/>
              <a:ext cx="0" cy="2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4" name="Line 417"/>
            <xdr:cNvSpPr>
              <a:spLocks noChangeShapeType="1"/>
            </xdr:cNvSpPr>
          </xdr:nvSpPr>
          <xdr:spPr bwMode="auto">
            <a:xfrm flipH="1">
              <a:off x="785" y="739"/>
              <a:ext cx="11"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05" name="Line 418"/>
            <xdr:cNvSpPr>
              <a:spLocks noChangeShapeType="1"/>
            </xdr:cNvSpPr>
          </xdr:nvSpPr>
          <xdr:spPr bwMode="auto">
            <a:xfrm>
              <a:off x="823" y="739"/>
              <a:ext cx="9"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06" name="Line 419"/>
            <xdr:cNvSpPr>
              <a:spLocks noChangeShapeType="1"/>
            </xdr:cNvSpPr>
          </xdr:nvSpPr>
          <xdr:spPr bwMode="auto">
            <a:xfrm>
              <a:off x="792" y="711"/>
              <a:ext cx="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7" name="Line 420"/>
            <xdr:cNvSpPr>
              <a:spLocks noChangeShapeType="1"/>
            </xdr:cNvSpPr>
          </xdr:nvSpPr>
          <xdr:spPr bwMode="auto">
            <a:xfrm>
              <a:off x="832" y="721"/>
              <a:ext cx="14"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 name="Line 421"/>
            <xdr:cNvSpPr>
              <a:spLocks noChangeShapeType="1"/>
            </xdr:cNvSpPr>
          </xdr:nvSpPr>
          <xdr:spPr bwMode="auto">
            <a:xfrm>
              <a:off x="820" y="701"/>
              <a:ext cx="2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9" name="Line 422"/>
            <xdr:cNvSpPr>
              <a:spLocks noChangeShapeType="1"/>
            </xdr:cNvSpPr>
          </xdr:nvSpPr>
          <xdr:spPr bwMode="auto">
            <a:xfrm flipV="1">
              <a:off x="824" y="787"/>
              <a:ext cx="3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0" name="Line 423"/>
            <xdr:cNvSpPr>
              <a:spLocks noChangeShapeType="1"/>
            </xdr:cNvSpPr>
          </xdr:nvSpPr>
          <xdr:spPr bwMode="auto">
            <a:xfrm>
              <a:off x="808" y="688"/>
              <a:ext cx="3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1" name="Line 424"/>
            <xdr:cNvSpPr>
              <a:spLocks noChangeShapeType="1"/>
            </xdr:cNvSpPr>
          </xdr:nvSpPr>
          <xdr:spPr bwMode="auto">
            <a:xfrm flipV="1">
              <a:off x="843" y="721"/>
              <a:ext cx="0" cy="28"/>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12" name="Line 425"/>
            <xdr:cNvSpPr>
              <a:spLocks noChangeShapeType="1"/>
            </xdr:cNvSpPr>
          </xdr:nvSpPr>
          <xdr:spPr bwMode="auto">
            <a:xfrm>
              <a:off x="843" y="763"/>
              <a:ext cx="0" cy="24"/>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13" name="Line 426"/>
            <xdr:cNvSpPr>
              <a:spLocks noChangeShapeType="1"/>
            </xdr:cNvSpPr>
          </xdr:nvSpPr>
          <xdr:spPr bwMode="auto">
            <a:xfrm flipH="1">
              <a:off x="843" y="670"/>
              <a:ext cx="0" cy="14"/>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14" name="Line 427"/>
            <xdr:cNvSpPr>
              <a:spLocks noChangeShapeType="1"/>
            </xdr:cNvSpPr>
          </xdr:nvSpPr>
          <xdr:spPr bwMode="auto">
            <a:xfrm>
              <a:off x="843" y="683"/>
              <a:ext cx="0" cy="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5" name="Line 429"/>
            <xdr:cNvSpPr>
              <a:spLocks noChangeShapeType="1"/>
            </xdr:cNvSpPr>
          </xdr:nvSpPr>
          <xdr:spPr bwMode="auto">
            <a:xfrm>
              <a:off x="843" y="701"/>
              <a:ext cx="0" cy="2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116" name="Line 430"/>
            <xdr:cNvSpPr>
              <a:spLocks noChangeShapeType="1"/>
            </xdr:cNvSpPr>
          </xdr:nvSpPr>
          <xdr:spPr bwMode="auto">
            <a:xfrm flipV="1">
              <a:off x="792" y="763"/>
              <a:ext cx="0" cy="2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7" name="Line 431"/>
            <xdr:cNvSpPr>
              <a:spLocks noChangeShapeType="1"/>
            </xdr:cNvSpPr>
          </xdr:nvSpPr>
          <xdr:spPr bwMode="auto">
            <a:xfrm flipV="1">
              <a:off x="824" y="763"/>
              <a:ext cx="0" cy="2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8" name="Line 432"/>
            <xdr:cNvSpPr>
              <a:spLocks noChangeShapeType="1"/>
            </xdr:cNvSpPr>
          </xdr:nvSpPr>
          <xdr:spPr bwMode="auto">
            <a:xfrm flipH="1">
              <a:off x="792" y="774"/>
              <a:ext cx="7"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19" name="Line 433"/>
            <xdr:cNvSpPr>
              <a:spLocks noChangeShapeType="1"/>
            </xdr:cNvSpPr>
          </xdr:nvSpPr>
          <xdr:spPr bwMode="auto">
            <a:xfrm>
              <a:off x="817" y="774"/>
              <a:ext cx="7"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20" name="Line 434"/>
            <xdr:cNvSpPr>
              <a:spLocks noChangeShapeType="1"/>
            </xdr:cNvSpPr>
          </xdr:nvSpPr>
          <xdr:spPr bwMode="auto">
            <a:xfrm flipV="1">
              <a:off x="857" y="684"/>
              <a:ext cx="0" cy="42"/>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21" name="Line 435"/>
            <xdr:cNvSpPr>
              <a:spLocks noChangeShapeType="1"/>
            </xdr:cNvSpPr>
          </xdr:nvSpPr>
          <xdr:spPr bwMode="auto">
            <a:xfrm>
              <a:off x="857" y="743"/>
              <a:ext cx="0" cy="44"/>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grpSp>
      <xdr:sp macro="" textlink="">
        <xdr:nvSpPr>
          <xdr:cNvPr id="90" name="Line 521"/>
          <xdr:cNvSpPr>
            <a:spLocks noChangeShapeType="1"/>
          </xdr:cNvSpPr>
        </xdr:nvSpPr>
        <xdr:spPr bwMode="auto">
          <a:xfrm flipV="1">
            <a:off x="843" y="687"/>
            <a:ext cx="0" cy="9"/>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8</xdr:row>
      <xdr:rowOff>0</xdr:rowOff>
    </xdr:from>
    <xdr:to>
      <xdr:col>7</xdr:col>
      <xdr:colOff>0</xdr:colOff>
      <xdr:row>8</xdr:row>
      <xdr:rowOff>0</xdr:rowOff>
    </xdr:to>
    <xdr:sp macro="" textlink="">
      <xdr:nvSpPr>
        <xdr:cNvPr id="2" name="Line 1"/>
        <xdr:cNvSpPr>
          <a:spLocks noChangeShapeType="1"/>
        </xdr:cNvSpPr>
      </xdr:nvSpPr>
      <xdr:spPr bwMode="auto">
        <a:xfrm>
          <a:off x="609600" y="1285875"/>
          <a:ext cx="942975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xdr:row>
      <xdr:rowOff>0</xdr:rowOff>
    </xdr:from>
    <xdr:to>
      <xdr:col>13</xdr:col>
      <xdr:colOff>381000</xdr:colOff>
      <xdr:row>9</xdr:row>
      <xdr:rowOff>9525</xdr:rowOff>
    </xdr:to>
    <xdr:sp macro="" textlink="">
      <xdr:nvSpPr>
        <xdr:cNvPr id="3" name="Line 2"/>
        <xdr:cNvSpPr>
          <a:spLocks noChangeShapeType="1"/>
        </xdr:cNvSpPr>
      </xdr:nvSpPr>
      <xdr:spPr bwMode="auto">
        <a:xfrm flipV="1">
          <a:off x="609600" y="1447800"/>
          <a:ext cx="11877675" cy="95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3</xdr:row>
      <xdr:rowOff>0</xdr:rowOff>
    </xdr:from>
    <xdr:to>
      <xdr:col>10</xdr:col>
      <xdr:colOff>0</xdr:colOff>
      <xdr:row>4</xdr:row>
      <xdr:rowOff>0</xdr:rowOff>
    </xdr:to>
    <xdr:sp macro="" textlink="">
      <xdr:nvSpPr>
        <xdr:cNvPr id="4" name="Line 3"/>
        <xdr:cNvSpPr>
          <a:spLocks noChangeShapeType="1"/>
        </xdr:cNvSpPr>
      </xdr:nvSpPr>
      <xdr:spPr bwMode="auto">
        <a:xfrm flipV="1">
          <a:off x="11858625" y="485775"/>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3</xdr:row>
      <xdr:rowOff>0</xdr:rowOff>
    </xdr:from>
    <xdr:to>
      <xdr:col>10</xdr:col>
      <xdr:colOff>0</xdr:colOff>
      <xdr:row>4</xdr:row>
      <xdr:rowOff>0</xdr:rowOff>
    </xdr:to>
    <xdr:sp macro="" textlink="">
      <xdr:nvSpPr>
        <xdr:cNvPr id="5" name="Line 4"/>
        <xdr:cNvSpPr>
          <a:spLocks noChangeShapeType="1"/>
        </xdr:cNvSpPr>
      </xdr:nvSpPr>
      <xdr:spPr bwMode="auto">
        <a:xfrm flipV="1">
          <a:off x="11858625" y="485775"/>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3</xdr:row>
      <xdr:rowOff>9525</xdr:rowOff>
    </xdr:from>
    <xdr:to>
      <xdr:col>1</xdr:col>
      <xdr:colOff>0</xdr:colOff>
      <xdr:row>7</xdr:row>
      <xdr:rowOff>152400</xdr:rowOff>
    </xdr:to>
    <xdr:sp macro="" textlink="">
      <xdr:nvSpPr>
        <xdr:cNvPr id="6" name="Line 5"/>
        <xdr:cNvSpPr>
          <a:spLocks noChangeShapeType="1"/>
        </xdr:cNvSpPr>
      </xdr:nvSpPr>
      <xdr:spPr bwMode="auto">
        <a:xfrm flipH="1">
          <a:off x="609600" y="495300"/>
          <a:ext cx="0" cy="78105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800100</xdr:colOff>
      <xdr:row>15</xdr:row>
      <xdr:rowOff>161925</xdr:rowOff>
    </xdr:from>
    <xdr:to>
      <xdr:col>5</xdr:col>
      <xdr:colOff>657225</xdr:colOff>
      <xdr:row>36</xdr:row>
      <xdr:rowOff>171450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314325</xdr:colOff>
      <xdr:row>11</xdr:row>
      <xdr:rowOff>0</xdr:rowOff>
    </xdr:from>
    <xdr:to>
      <xdr:col>5</xdr:col>
      <xdr:colOff>590550</xdr:colOff>
      <xdr:row>38</xdr:row>
      <xdr:rowOff>9525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0.65509</cdr:x>
      <cdr:y>0.72431</cdr:y>
    </cdr:from>
    <cdr:to>
      <cdr:x>0.93791</cdr:x>
      <cdr:y>0.74944</cdr:y>
    </cdr:to>
    <cdr:sp macro="" textlink="">
      <cdr:nvSpPr>
        <cdr:cNvPr id="5134" name="Cold Stall"/>
        <cdr:cNvSpPr txBox="1">
          <a:spLocks xmlns:a="http://schemas.openxmlformats.org/drawingml/2006/main" noChangeArrowheads="1"/>
        </cdr:cNvSpPr>
      </cdr:nvSpPr>
      <cdr:spPr bwMode="auto">
        <a:xfrm xmlns:a="http://schemas.openxmlformats.org/drawingml/2006/main">
          <a:off x="3831168" y="4663773"/>
          <a:ext cx="1654031" cy="161810"/>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COLD (AMBIENT) STALL</a:t>
          </a:r>
        </a:p>
      </cdr:txBody>
    </cdr:sp>
  </cdr:relSizeAnchor>
  <cdr:relSizeAnchor xmlns:cdr="http://schemas.openxmlformats.org/drawingml/2006/chartDrawing">
    <cdr:from>
      <cdr:x>0.29932</cdr:x>
      <cdr:y>0.36182</cdr:y>
    </cdr:from>
    <cdr:to>
      <cdr:x>0.62444</cdr:x>
      <cdr:y>0.3899</cdr:y>
    </cdr:to>
    <cdr:sp macro="" textlink="">
      <cdr:nvSpPr>
        <cdr:cNvPr id="5136" name="Running"/>
        <cdr:cNvSpPr txBox="1">
          <a:spLocks xmlns:a="http://schemas.openxmlformats.org/drawingml/2006/main" noChangeArrowheads="1"/>
        </cdr:cNvSpPr>
      </cdr:nvSpPr>
      <cdr:spPr bwMode="auto">
        <a:xfrm xmlns:a="http://schemas.openxmlformats.org/drawingml/2006/main">
          <a:off x="1756537" y="2336355"/>
          <a:ext cx="1904548" cy="181065"/>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RUNNING CONDITION</a:t>
          </a:r>
        </a:p>
      </cdr:txBody>
    </cdr:sp>
  </cdr:relSizeAnchor>
  <cdr:relSizeAnchor xmlns:cdr="http://schemas.openxmlformats.org/drawingml/2006/chartDrawing">
    <cdr:from>
      <cdr:x>0.65997</cdr:x>
      <cdr:y>0.79976</cdr:y>
    </cdr:from>
    <cdr:to>
      <cdr:x>0.94279</cdr:x>
      <cdr:y>0.82489</cdr:y>
    </cdr:to>
    <cdr:sp macro="" textlink="">
      <cdr:nvSpPr>
        <cdr:cNvPr id="4" name="Cold Stall"/>
        <cdr:cNvSpPr txBox="1">
          <a:spLocks xmlns:a="http://schemas.openxmlformats.org/drawingml/2006/main" noChangeArrowheads="1"/>
        </cdr:cNvSpPr>
      </cdr:nvSpPr>
      <cdr:spPr bwMode="auto">
        <a:xfrm xmlns:a="http://schemas.openxmlformats.org/drawingml/2006/main">
          <a:off x="3859743" y="5149548"/>
          <a:ext cx="1654031" cy="161810"/>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HOT STALL</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333375</xdr:colOff>
      <xdr:row>16</xdr:row>
      <xdr:rowOff>19050</xdr:rowOff>
    </xdr:from>
    <xdr:to>
      <xdr:col>5</xdr:col>
      <xdr:colOff>904875</xdr:colOff>
      <xdr:row>37</xdr:row>
      <xdr:rowOff>47625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628650</xdr:colOff>
      <xdr:row>16</xdr:row>
      <xdr:rowOff>66675</xdr:rowOff>
    </xdr:from>
    <xdr:to>
      <xdr:col>0</xdr:col>
      <xdr:colOff>1104900</xdr:colOff>
      <xdr:row>17</xdr:row>
      <xdr:rowOff>0</xdr:rowOff>
    </xdr:to>
    <xdr:sp macro="" textlink="$N$37">
      <xdr:nvSpPr>
        <xdr:cNvPr id="3" name="RPM11"/>
        <xdr:cNvSpPr txBox="1">
          <a:spLocks noChangeArrowheads="1"/>
        </xdr:cNvSpPr>
      </xdr:nvSpPr>
      <xdr:spPr bwMode="auto">
        <a:xfrm>
          <a:off x="628650" y="3962400"/>
          <a:ext cx="476250"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8A5A0DC4-ABB3-47FC-94DB-4B362A5A36A3}" type="TxLink">
            <a:rPr lang="en-US" sz="1000" b="0" i="0" u="none" strike="noStrike">
              <a:solidFill>
                <a:srgbClr val="000000"/>
              </a:solidFill>
              <a:latin typeface="Arial"/>
              <a:cs typeface="Arial"/>
            </a:rPr>
            <a:pPr/>
            <a:t>3600</a:t>
          </a:fld>
          <a:endParaRPr lang="en-US"/>
        </a:p>
      </xdr:txBody>
    </xdr:sp>
    <xdr:clientData/>
  </xdr:twoCellAnchor>
  <xdr:twoCellAnchor>
    <xdr:from>
      <xdr:col>0</xdr:col>
      <xdr:colOff>619125</xdr:colOff>
      <xdr:row>18</xdr:row>
      <xdr:rowOff>9525</xdr:rowOff>
    </xdr:from>
    <xdr:to>
      <xdr:col>0</xdr:col>
      <xdr:colOff>1095375</xdr:colOff>
      <xdr:row>18</xdr:row>
      <xdr:rowOff>180975</xdr:rowOff>
    </xdr:to>
    <xdr:sp macro="" textlink="$N$38">
      <xdr:nvSpPr>
        <xdr:cNvPr id="4" name="RPM10"/>
        <xdr:cNvSpPr txBox="1">
          <a:spLocks noChangeArrowheads="1"/>
        </xdr:cNvSpPr>
      </xdr:nvSpPr>
      <xdr:spPr bwMode="auto">
        <a:xfrm>
          <a:off x="619125" y="4381500"/>
          <a:ext cx="476250"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89C4B30D-6EC2-4D2E-883D-622FC72E30B0}" type="TxLink">
            <a:rPr lang="en-US" sz="1000" b="0" i="0" u="none" strike="noStrike">
              <a:solidFill>
                <a:srgbClr val="000000"/>
              </a:solidFill>
              <a:latin typeface="Arial"/>
              <a:cs typeface="Arial"/>
            </a:rPr>
            <a:pPr/>
            <a:t>3595</a:t>
          </a:fld>
          <a:endParaRPr lang="en-US"/>
        </a:p>
      </xdr:txBody>
    </xdr:sp>
    <xdr:clientData/>
  </xdr:twoCellAnchor>
  <xdr:twoCellAnchor>
    <xdr:from>
      <xdr:col>0</xdr:col>
      <xdr:colOff>609600</xdr:colOff>
      <xdr:row>19</xdr:row>
      <xdr:rowOff>180975</xdr:rowOff>
    </xdr:from>
    <xdr:to>
      <xdr:col>0</xdr:col>
      <xdr:colOff>1085850</xdr:colOff>
      <xdr:row>20</xdr:row>
      <xdr:rowOff>114300</xdr:rowOff>
    </xdr:to>
    <xdr:sp macro="" textlink="$N$39">
      <xdr:nvSpPr>
        <xdr:cNvPr id="5" name="RPM9"/>
        <xdr:cNvSpPr txBox="1">
          <a:spLocks noChangeArrowheads="1"/>
        </xdr:cNvSpPr>
      </xdr:nvSpPr>
      <xdr:spPr bwMode="auto">
        <a:xfrm>
          <a:off x="609600" y="4791075"/>
          <a:ext cx="476250"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CE76B1E0-6BFA-4D2A-83D3-569CAFF36E11}" type="TxLink">
            <a:rPr lang="en-US" sz="1000" b="0" i="0" u="none" strike="noStrike">
              <a:solidFill>
                <a:srgbClr val="000000"/>
              </a:solidFill>
              <a:latin typeface="Arial"/>
              <a:cs typeface="Arial"/>
            </a:rPr>
            <a:pPr/>
            <a:t>3590</a:t>
          </a:fld>
          <a:endParaRPr lang="en-US"/>
        </a:p>
      </xdr:txBody>
    </xdr:sp>
    <xdr:clientData/>
  </xdr:twoCellAnchor>
  <xdr:twoCellAnchor>
    <xdr:from>
      <xdr:col>0</xdr:col>
      <xdr:colOff>609600</xdr:colOff>
      <xdr:row>21</xdr:row>
      <xdr:rowOff>114300</xdr:rowOff>
    </xdr:from>
    <xdr:to>
      <xdr:col>0</xdr:col>
      <xdr:colOff>1085850</xdr:colOff>
      <xdr:row>22</xdr:row>
      <xdr:rowOff>47625</xdr:rowOff>
    </xdr:to>
    <xdr:sp macro="" textlink="$N$40">
      <xdr:nvSpPr>
        <xdr:cNvPr id="6" name="RPM8"/>
        <xdr:cNvSpPr txBox="1">
          <a:spLocks noChangeArrowheads="1"/>
        </xdr:cNvSpPr>
      </xdr:nvSpPr>
      <xdr:spPr bwMode="auto">
        <a:xfrm>
          <a:off x="609600" y="5200650"/>
          <a:ext cx="476250"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A1517C22-C2CE-4E5A-84AC-659AB8F41C97}" type="TxLink">
            <a:rPr lang="en-US" sz="1000" b="0" i="0" u="none" strike="noStrike">
              <a:solidFill>
                <a:srgbClr val="000000"/>
              </a:solidFill>
              <a:latin typeface="Arial"/>
              <a:cs typeface="Arial"/>
            </a:rPr>
            <a:pPr/>
            <a:t>3585</a:t>
          </a:fld>
          <a:endParaRPr lang="en-US"/>
        </a:p>
      </xdr:txBody>
    </xdr:sp>
    <xdr:clientData/>
  </xdr:twoCellAnchor>
  <xdr:twoCellAnchor>
    <xdr:from>
      <xdr:col>0</xdr:col>
      <xdr:colOff>619125</xdr:colOff>
      <xdr:row>23</xdr:row>
      <xdr:rowOff>47625</xdr:rowOff>
    </xdr:from>
    <xdr:to>
      <xdr:col>0</xdr:col>
      <xdr:colOff>1095375</xdr:colOff>
      <xdr:row>23</xdr:row>
      <xdr:rowOff>219075</xdr:rowOff>
    </xdr:to>
    <xdr:sp macro="" textlink="$N$41">
      <xdr:nvSpPr>
        <xdr:cNvPr id="7" name="RPM7"/>
        <xdr:cNvSpPr txBox="1">
          <a:spLocks noChangeArrowheads="1"/>
        </xdr:cNvSpPr>
      </xdr:nvSpPr>
      <xdr:spPr bwMode="auto">
        <a:xfrm>
          <a:off x="619125" y="5610225"/>
          <a:ext cx="476250"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5FA2F907-1DF1-4362-BE75-97ED545DE9DB}" type="TxLink">
            <a:rPr lang="en-US" sz="1000" b="0" i="0" u="none" strike="noStrike">
              <a:solidFill>
                <a:srgbClr val="000000"/>
              </a:solidFill>
              <a:latin typeface="Arial"/>
              <a:cs typeface="Arial"/>
            </a:rPr>
            <a:pPr/>
            <a:t>3580</a:t>
          </a:fld>
          <a:endParaRPr lang="en-US"/>
        </a:p>
      </xdr:txBody>
    </xdr:sp>
    <xdr:clientData/>
  </xdr:twoCellAnchor>
  <xdr:twoCellAnchor>
    <xdr:from>
      <xdr:col>0</xdr:col>
      <xdr:colOff>619125</xdr:colOff>
      <xdr:row>24</xdr:row>
      <xdr:rowOff>219075</xdr:rowOff>
    </xdr:from>
    <xdr:to>
      <xdr:col>0</xdr:col>
      <xdr:colOff>1095375</xdr:colOff>
      <xdr:row>25</xdr:row>
      <xdr:rowOff>152400</xdr:rowOff>
    </xdr:to>
    <xdr:sp macro="" textlink="$N$42">
      <xdr:nvSpPr>
        <xdr:cNvPr id="8" name="RPM6"/>
        <xdr:cNvSpPr txBox="1">
          <a:spLocks noChangeArrowheads="1"/>
        </xdr:cNvSpPr>
      </xdr:nvSpPr>
      <xdr:spPr bwMode="auto">
        <a:xfrm>
          <a:off x="619125" y="6019800"/>
          <a:ext cx="476250"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756E2321-6958-4E8E-88B9-6292D7604B05}" type="TxLink">
            <a:rPr lang="en-US" sz="1000" b="0" i="0" u="none" strike="noStrike">
              <a:solidFill>
                <a:srgbClr val="000000"/>
              </a:solidFill>
              <a:latin typeface="Arial"/>
              <a:cs typeface="Arial"/>
            </a:rPr>
            <a:pPr/>
            <a:t>3575</a:t>
          </a:fld>
          <a:endParaRPr lang="en-US"/>
        </a:p>
      </xdr:txBody>
    </xdr:sp>
    <xdr:clientData/>
  </xdr:twoCellAnchor>
  <xdr:twoCellAnchor>
    <xdr:from>
      <xdr:col>0</xdr:col>
      <xdr:colOff>609600</xdr:colOff>
      <xdr:row>26</xdr:row>
      <xdr:rowOff>152400</xdr:rowOff>
    </xdr:from>
    <xdr:to>
      <xdr:col>0</xdr:col>
      <xdr:colOff>1085850</xdr:colOff>
      <xdr:row>27</xdr:row>
      <xdr:rowOff>85725</xdr:rowOff>
    </xdr:to>
    <xdr:sp macro="" textlink="$N$43">
      <xdr:nvSpPr>
        <xdr:cNvPr id="9" name="RPM5"/>
        <xdr:cNvSpPr txBox="1">
          <a:spLocks noChangeArrowheads="1"/>
        </xdr:cNvSpPr>
      </xdr:nvSpPr>
      <xdr:spPr bwMode="auto">
        <a:xfrm>
          <a:off x="609600" y="6429375"/>
          <a:ext cx="476250"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6E1E3ED6-9692-4A1D-857E-3F1C69AC3BE3}" type="TxLink">
            <a:rPr lang="en-US" sz="1000" b="0" i="0" u="none" strike="noStrike">
              <a:solidFill>
                <a:srgbClr val="000000"/>
              </a:solidFill>
              <a:latin typeface="Arial"/>
              <a:cs typeface="Arial"/>
            </a:rPr>
            <a:pPr/>
            <a:t>3570</a:t>
          </a:fld>
          <a:endParaRPr lang="en-US"/>
        </a:p>
      </xdr:txBody>
    </xdr:sp>
    <xdr:clientData/>
  </xdr:twoCellAnchor>
  <xdr:twoCellAnchor>
    <xdr:from>
      <xdr:col>0</xdr:col>
      <xdr:colOff>600075</xdr:colOff>
      <xdr:row>28</xdr:row>
      <xdr:rowOff>85725</xdr:rowOff>
    </xdr:from>
    <xdr:to>
      <xdr:col>0</xdr:col>
      <xdr:colOff>1076325</xdr:colOff>
      <xdr:row>29</xdr:row>
      <xdr:rowOff>19050</xdr:rowOff>
    </xdr:to>
    <xdr:sp macro="" textlink="$N$44">
      <xdr:nvSpPr>
        <xdr:cNvPr id="10" name="RPM4"/>
        <xdr:cNvSpPr txBox="1">
          <a:spLocks noChangeArrowheads="1"/>
        </xdr:cNvSpPr>
      </xdr:nvSpPr>
      <xdr:spPr bwMode="auto">
        <a:xfrm>
          <a:off x="600075" y="6838950"/>
          <a:ext cx="476250"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4DC32B0D-EEB0-4A63-BB42-F74AA645C073}" type="TxLink">
            <a:rPr lang="en-US" sz="1000" b="0" i="0" u="none" strike="noStrike">
              <a:solidFill>
                <a:srgbClr val="000000"/>
              </a:solidFill>
              <a:latin typeface="Arial"/>
              <a:cs typeface="Arial"/>
            </a:rPr>
            <a:pPr/>
            <a:t>3565</a:t>
          </a:fld>
          <a:endParaRPr lang="en-US"/>
        </a:p>
      </xdr:txBody>
    </xdr:sp>
    <xdr:clientData/>
  </xdr:twoCellAnchor>
  <xdr:twoCellAnchor>
    <xdr:from>
      <xdr:col>0</xdr:col>
      <xdr:colOff>600075</xdr:colOff>
      <xdr:row>30</xdr:row>
      <xdr:rowOff>28575</xdr:rowOff>
    </xdr:from>
    <xdr:to>
      <xdr:col>0</xdr:col>
      <xdr:colOff>1076325</xdr:colOff>
      <xdr:row>30</xdr:row>
      <xdr:rowOff>200025</xdr:rowOff>
    </xdr:to>
    <xdr:sp macro="" textlink="$N$45">
      <xdr:nvSpPr>
        <xdr:cNvPr id="11" name="RPM3"/>
        <xdr:cNvSpPr txBox="1">
          <a:spLocks noChangeArrowheads="1"/>
        </xdr:cNvSpPr>
      </xdr:nvSpPr>
      <xdr:spPr bwMode="auto">
        <a:xfrm>
          <a:off x="600075" y="7258050"/>
          <a:ext cx="476250"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069717EB-53D8-410A-83C8-748BB1F67AE1}" type="TxLink">
            <a:rPr lang="en-US" sz="1000" b="0" i="0" u="none" strike="noStrike">
              <a:solidFill>
                <a:srgbClr val="000000"/>
              </a:solidFill>
              <a:latin typeface="Arial"/>
              <a:cs typeface="Arial"/>
            </a:rPr>
            <a:pPr/>
            <a:t>3560</a:t>
          </a:fld>
          <a:endParaRPr lang="en-US"/>
        </a:p>
      </xdr:txBody>
    </xdr:sp>
    <xdr:clientData/>
  </xdr:twoCellAnchor>
  <xdr:twoCellAnchor>
    <xdr:from>
      <xdr:col>0</xdr:col>
      <xdr:colOff>600075</xdr:colOff>
      <xdr:row>31</xdr:row>
      <xdr:rowOff>200025</xdr:rowOff>
    </xdr:from>
    <xdr:to>
      <xdr:col>0</xdr:col>
      <xdr:colOff>1076325</xdr:colOff>
      <xdr:row>32</xdr:row>
      <xdr:rowOff>133350</xdr:rowOff>
    </xdr:to>
    <xdr:sp macro="" textlink="$N$46">
      <xdr:nvSpPr>
        <xdr:cNvPr id="12" name="RPM2"/>
        <xdr:cNvSpPr txBox="1">
          <a:spLocks noChangeArrowheads="1"/>
        </xdr:cNvSpPr>
      </xdr:nvSpPr>
      <xdr:spPr bwMode="auto">
        <a:xfrm>
          <a:off x="600075" y="7667625"/>
          <a:ext cx="476250"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1FF0AB86-A4B4-43FA-AA0C-45CAFE89B274}" type="TxLink">
            <a:rPr lang="en-US" sz="1000" b="0" i="0" u="none" strike="noStrike">
              <a:solidFill>
                <a:srgbClr val="000000"/>
              </a:solidFill>
              <a:latin typeface="Arial"/>
              <a:cs typeface="Arial"/>
            </a:rPr>
            <a:pPr/>
            <a:t>3555</a:t>
          </a:fld>
          <a:endParaRPr lang="en-US"/>
        </a:p>
      </xdr:txBody>
    </xdr:sp>
    <xdr:clientData/>
  </xdr:twoCellAnchor>
  <xdr:twoCellAnchor>
    <xdr:from>
      <xdr:col>0</xdr:col>
      <xdr:colOff>609600</xdr:colOff>
      <xdr:row>33</xdr:row>
      <xdr:rowOff>133350</xdr:rowOff>
    </xdr:from>
    <xdr:to>
      <xdr:col>0</xdr:col>
      <xdr:colOff>1085850</xdr:colOff>
      <xdr:row>34</xdr:row>
      <xdr:rowOff>66675</xdr:rowOff>
    </xdr:to>
    <xdr:sp macro="" textlink="$N$47">
      <xdr:nvSpPr>
        <xdr:cNvPr id="13" name="RPM1"/>
        <xdr:cNvSpPr txBox="1">
          <a:spLocks noChangeArrowheads="1"/>
        </xdr:cNvSpPr>
      </xdr:nvSpPr>
      <xdr:spPr bwMode="auto">
        <a:xfrm>
          <a:off x="609600" y="8077200"/>
          <a:ext cx="476250"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5D58D00A-1807-4E35-92C1-3B0F4B438AA0}" type="TxLink">
            <a:rPr lang="en-US" sz="1000" b="0" i="0" u="none" strike="noStrike">
              <a:solidFill>
                <a:srgbClr val="000000"/>
              </a:solidFill>
              <a:latin typeface="Arial"/>
              <a:cs typeface="Arial"/>
            </a:rPr>
            <a:pPr/>
            <a:t>3550</a:t>
          </a:fld>
          <a:endParaRPr lang="en-US"/>
        </a:p>
      </xdr:txBody>
    </xdr:sp>
    <xdr:clientData/>
  </xdr:twoCellAnchor>
  <xdr:twoCellAnchor>
    <xdr:from>
      <xdr:col>0</xdr:col>
      <xdr:colOff>390525</xdr:colOff>
      <xdr:row>24</xdr:row>
      <xdr:rowOff>104775</xdr:rowOff>
    </xdr:from>
    <xdr:to>
      <xdr:col>0</xdr:col>
      <xdr:colOff>600075</xdr:colOff>
      <xdr:row>26</xdr:row>
      <xdr:rowOff>209550</xdr:rowOff>
    </xdr:to>
    <xdr:sp macro="" textlink="">
      <xdr:nvSpPr>
        <xdr:cNvPr id="14" name="RPM"/>
        <xdr:cNvSpPr txBox="1">
          <a:spLocks noChangeArrowheads="1"/>
        </xdr:cNvSpPr>
      </xdr:nvSpPr>
      <xdr:spPr bwMode="auto">
        <a:xfrm>
          <a:off x="390525" y="5905500"/>
          <a:ext cx="209550" cy="581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RPM</a:t>
          </a:r>
        </a:p>
      </xdr:txBody>
    </xdr:sp>
    <xdr:clientData/>
  </xdr:twoCellAnchor>
  <xdr:twoCellAnchor>
    <xdr:from>
      <xdr:col>5</xdr:col>
      <xdr:colOff>352423</xdr:colOff>
      <xdr:row>16</xdr:row>
      <xdr:rowOff>76200</xdr:rowOff>
    </xdr:from>
    <xdr:to>
      <xdr:col>5</xdr:col>
      <xdr:colOff>847724</xdr:colOff>
      <xdr:row>17</xdr:row>
      <xdr:rowOff>9525</xdr:rowOff>
    </xdr:to>
    <xdr:sp macro="" textlink="$O$37">
      <xdr:nvSpPr>
        <xdr:cNvPr id="15" name="Watts11"/>
        <xdr:cNvSpPr txBox="1">
          <a:spLocks noChangeArrowheads="1"/>
        </xdr:cNvSpPr>
      </xdr:nvSpPr>
      <xdr:spPr bwMode="auto">
        <a:xfrm>
          <a:off x="5924548" y="3971925"/>
          <a:ext cx="495301"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1392D64D-1B1C-4DD1-966F-02E8FF1BFE02}" type="TxLink">
            <a:rPr lang="en-US" sz="1000" b="0" i="0" u="none" strike="noStrike">
              <a:solidFill>
                <a:srgbClr val="000000"/>
              </a:solidFill>
              <a:latin typeface="Arial"/>
              <a:cs typeface="Arial"/>
            </a:rPr>
            <a:pPr/>
            <a:t>4000</a:t>
          </a:fld>
          <a:endParaRPr lang="en-US"/>
        </a:p>
      </xdr:txBody>
    </xdr:sp>
    <xdr:clientData/>
  </xdr:twoCellAnchor>
  <xdr:twoCellAnchor>
    <xdr:from>
      <xdr:col>5</xdr:col>
      <xdr:colOff>381000</xdr:colOff>
      <xdr:row>25</xdr:row>
      <xdr:rowOff>0</xdr:rowOff>
    </xdr:from>
    <xdr:to>
      <xdr:col>5</xdr:col>
      <xdr:colOff>851209</xdr:colOff>
      <xdr:row>25</xdr:row>
      <xdr:rowOff>200025</xdr:rowOff>
    </xdr:to>
    <xdr:sp macro="" textlink="$O$42">
      <xdr:nvSpPr>
        <xdr:cNvPr id="16" name="Watts6"/>
        <xdr:cNvSpPr txBox="1">
          <a:spLocks noChangeArrowheads="1"/>
        </xdr:cNvSpPr>
      </xdr:nvSpPr>
      <xdr:spPr bwMode="auto">
        <a:xfrm>
          <a:off x="5953125" y="6038850"/>
          <a:ext cx="470209" cy="200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7C01FAC0-0404-47E3-961E-368DF5E4EC57}" type="TxLink">
            <a:rPr lang="en-US" sz="1000" b="0" i="0" u="none" strike="noStrike">
              <a:solidFill>
                <a:srgbClr val="000000"/>
              </a:solidFill>
              <a:latin typeface="Arial"/>
              <a:cs typeface="Arial"/>
            </a:rPr>
            <a:pPr/>
            <a:t>2000</a:t>
          </a:fld>
          <a:endParaRPr lang="en-US"/>
        </a:p>
      </xdr:txBody>
    </xdr:sp>
    <xdr:clientData/>
  </xdr:twoCellAnchor>
  <xdr:twoCellAnchor>
    <xdr:from>
      <xdr:col>5</xdr:col>
      <xdr:colOff>371473</xdr:colOff>
      <xdr:row>26</xdr:row>
      <xdr:rowOff>171450</xdr:rowOff>
    </xdr:from>
    <xdr:to>
      <xdr:col>5</xdr:col>
      <xdr:colOff>866774</xdr:colOff>
      <xdr:row>27</xdr:row>
      <xdr:rowOff>104775</xdr:rowOff>
    </xdr:to>
    <xdr:sp macro="" textlink="$O$43">
      <xdr:nvSpPr>
        <xdr:cNvPr id="17" name="Watts5"/>
        <xdr:cNvSpPr txBox="1">
          <a:spLocks noChangeArrowheads="1"/>
        </xdr:cNvSpPr>
      </xdr:nvSpPr>
      <xdr:spPr bwMode="auto">
        <a:xfrm>
          <a:off x="5943598" y="6448425"/>
          <a:ext cx="495301"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8AE8F75C-428C-4822-8268-8C5A39355B56}" type="TxLink">
            <a:rPr lang="en-US" sz="1000" b="0" i="0" u="none" strike="noStrike">
              <a:solidFill>
                <a:srgbClr val="000000"/>
              </a:solidFill>
              <a:latin typeface="Arial"/>
              <a:cs typeface="Arial"/>
            </a:rPr>
            <a:pPr/>
            <a:t>1600</a:t>
          </a:fld>
          <a:endParaRPr lang="en-US"/>
        </a:p>
      </xdr:txBody>
    </xdr:sp>
    <xdr:clientData/>
  </xdr:twoCellAnchor>
  <xdr:twoCellAnchor>
    <xdr:from>
      <xdr:col>5</xdr:col>
      <xdr:colOff>380998</xdr:colOff>
      <xdr:row>28</xdr:row>
      <xdr:rowOff>104775</xdr:rowOff>
    </xdr:from>
    <xdr:to>
      <xdr:col>5</xdr:col>
      <xdr:colOff>876299</xdr:colOff>
      <xdr:row>29</xdr:row>
      <xdr:rowOff>38100</xdr:rowOff>
    </xdr:to>
    <xdr:sp macro="" textlink="$O$44">
      <xdr:nvSpPr>
        <xdr:cNvPr id="18" name="Watts4"/>
        <xdr:cNvSpPr txBox="1">
          <a:spLocks noChangeArrowheads="1"/>
        </xdr:cNvSpPr>
      </xdr:nvSpPr>
      <xdr:spPr bwMode="auto">
        <a:xfrm>
          <a:off x="5953123" y="6858000"/>
          <a:ext cx="495301"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67AA36D3-56E8-4265-A080-E7EC51C217BC}" type="TxLink">
            <a:rPr lang="en-US" sz="1000" b="0" i="0" u="none" strike="noStrike">
              <a:solidFill>
                <a:srgbClr val="000000"/>
              </a:solidFill>
              <a:latin typeface="Arial"/>
              <a:cs typeface="Arial"/>
            </a:rPr>
            <a:pPr/>
            <a:t>1200</a:t>
          </a:fld>
          <a:endParaRPr lang="en-US"/>
        </a:p>
      </xdr:txBody>
    </xdr:sp>
    <xdr:clientData/>
  </xdr:twoCellAnchor>
  <xdr:twoCellAnchor>
    <xdr:from>
      <xdr:col>5</xdr:col>
      <xdr:colOff>371474</xdr:colOff>
      <xdr:row>30</xdr:row>
      <xdr:rowOff>38100</xdr:rowOff>
    </xdr:from>
    <xdr:to>
      <xdr:col>5</xdr:col>
      <xdr:colOff>788250</xdr:colOff>
      <xdr:row>30</xdr:row>
      <xdr:rowOff>228600</xdr:rowOff>
    </xdr:to>
    <xdr:sp macro="" textlink="$O$45">
      <xdr:nvSpPr>
        <xdr:cNvPr id="19" name="Watts3"/>
        <xdr:cNvSpPr txBox="1">
          <a:spLocks noChangeArrowheads="1"/>
        </xdr:cNvSpPr>
      </xdr:nvSpPr>
      <xdr:spPr bwMode="auto">
        <a:xfrm>
          <a:off x="5943599" y="7267575"/>
          <a:ext cx="416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76CA052C-0B4A-4A14-A91B-9E67623181FC}" type="TxLink">
            <a:rPr lang="en-US" sz="1000" b="0" i="0" u="none" strike="noStrike">
              <a:solidFill>
                <a:srgbClr val="000000"/>
              </a:solidFill>
              <a:latin typeface="Arial"/>
              <a:cs typeface="Arial"/>
            </a:rPr>
            <a:pPr/>
            <a:t>800</a:t>
          </a:fld>
          <a:endParaRPr lang="en-US"/>
        </a:p>
      </xdr:txBody>
    </xdr:sp>
    <xdr:clientData/>
  </xdr:twoCellAnchor>
  <xdr:twoCellAnchor>
    <xdr:from>
      <xdr:col>5</xdr:col>
      <xdr:colOff>371474</xdr:colOff>
      <xdr:row>31</xdr:row>
      <xdr:rowOff>219075</xdr:rowOff>
    </xdr:from>
    <xdr:to>
      <xdr:col>5</xdr:col>
      <xdr:colOff>788250</xdr:colOff>
      <xdr:row>32</xdr:row>
      <xdr:rowOff>171450</xdr:rowOff>
    </xdr:to>
    <xdr:sp macro="" textlink="$O$46">
      <xdr:nvSpPr>
        <xdr:cNvPr id="20" name="Watts2"/>
        <xdr:cNvSpPr txBox="1">
          <a:spLocks noChangeArrowheads="1"/>
        </xdr:cNvSpPr>
      </xdr:nvSpPr>
      <xdr:spPr bwMode="auto">
        <a:xfrm>
          <a:off x="5943599" y="7686675"/>
          <a:ext cx="416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DE062885-6CC8-4967-8B56-14E146ACD651}" type="TxLink">
            <a:rPr lang="en-US" sz="1000" b="0" i="0" u="none" strike="noStrike">
              <a:solidFill>
                <a:srgbClr val="000000"/>
              </a:solidFill>
              <a:latin typeface="Arial"/>
              <a:cs typeface="Arial"/>
            </a:rPr>
            <a:pPr/>
            <a:t>400</a:t>
          </a:fld>
          <a:endParaRPr lang="en-US"/>
        </a:p>
      </xdr:txBody>
    </xdr:sp>
    <xdr:clientData/>
  </xdr:twoCellAnchor>
  <xdr:twoCellAnchor>
    <xdr:from>
      <xdr:col>5</xdr:col>
      <xdr:colOff>733425</xdr:colOff>
      <xdr:row>23</xdr:row>
      <xdr:rowOff>9525</xdr:rowOff>
    </xdr:from>
    <xdr:to>
      <xdr:col>5</xdr:col>
      <xdr:colOff>952500</xdr:colOff>
      <xdr:row>28</xdr:row>
      <xdr:rowOff>142875</xdr:rowOff>
    </xdr:to>
    <xdr:sp macro="" textlink="">
      <xdr:nvSpPr>
        <xdr:cNvPr id="21" name="Input Watts"/>
        <xdr:cNvSpPr txBox="1">
          <a:spLocks noChangeArrowheads="1"/>
        </xdr:cNvSpPr>
      </xdr:nvSpPr>
      <xdr:spPr bwMode="auto">
        <a:xfrm>
          <a:off x="6305550" y="5572125"/>
          <a:ext cx="219075" cy="1323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Input Watts (kW)</a:t>
          </a:r>
        </a:p>
      </xdr:txBody>
    </xdr:sp>
    <xdr:clientData/>
  </xdr:twoCellAnchor>
  <xdr:twoCellAnchor>
    <xdr:from>
      <xdr:col>5</xdr:col>
      <xdr:colOff>371473</xdr:colOff>
      <xdr:row>23</xdr:row>
      <xdr:rowOff>57150</xdr:rowOff>
    </xdr:from>
    <xdr:to>
      <xdr:col>5</xdr:col>
      <xdr:colOff>866774</xdr:colOff>
      <xdr:row>23</xdr:row>
      <xdr:rowOff>228600</xdr:rowOff>
    </xdr:to>
    <xdr:sp macro="" textlink="$O$41">
      <xdr:nvSpPr>
        <xdr:cNvPr id="22" name="Watts7"/>
        <xdr:cNvSpPr txBox="1">
          <a:spLocks noChangeArrowheads="1"/>
        </xdr:cNvSpPr>
      </xdr:nvSpPr>
      <xdr:spPr bwMode="auto">
        <a:xfrm>
          <a:off x="5943598" y="5619750"/>
          <a:ext cx="495301"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470B5F53-256C-4648-8B4C-ED5ED705BF43}" type="TxLink">
            <a:rPr lang="en-US" sz="1000" b="0" i="0" u="none" strike="noStrike">
              <a:solidFill>
                <a:srgbClr val="000000"/>
              </a:solidFill>
              <a:latin typeface="Arial"/>
              <a:cs typeface="Arial"/>
            </a:rPr>
            <a:pPr/>
            <a:t>2400</a:t>
          </a:fld>
          <a:endParaRPr lang="en-US"/>
        </a:p>
      </xdr:txBody>
    </xdr:sp>
    <xdr:clientData/>
  </xdr:twoCellAnchor>
  <xdr:twoCellAnchor>
    <xdr:from>
      <xdr:col>5</xdr:col>
      <xdr:colOff>371473</xdr:colOff>
      <xdr:row>21</xdr:row>
      <xdr:rowOff>123825</xdr:rowOff>
    </xdr:from>
    <xdr:to>
      <xdr:col>5</xdr:col>
      <xdr:colOff>866774</xdr:colOff>
      <xdr:row>22</xdr:row>
      <xdr:rowOff>57150</xdr:rowOff>
    </xdr:to>
    <xdr:sp macro="" textlink="$O$40">
      <xdr:nvSpPr>
        <xdr:cNvPr id="23" name="Watts8"/>
        <xdr:cNvSpPr txBox="1">
          <a:spLocks noChangeArrowheads="1"/>
        </xdr:cNvSpPr>
      </xdr:nvSpPr>
      <xdr:spPr bwMode="auto">
        <a:xfrm>
          <a:off x="5943598" y="5210175"/>
          <a:ext cx="495301"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22D31142-F093-422E-ADA5-AD6E72DE9745}" type="TxLink">
            <a:rPr lang="en-US" sz="1000" b="0" i="0" u="none" strike="noStrike">
              <a:solidFill>
                <a:srgbClr val="000000"/>
              </a:solidFill>
              <a:latin typeface="Arial"/>
              <a:cs typeface="Arial"/>
            </a:rPr>
            <a:pPr/>
            <a:t>2800</a:t>
          </a:fld>
          <a:endParaRPr lang="en-US"/>
        </a:p>
      </xdr:txBody>
    </xdr:sp>
    <xdr:clientData/>
  </xdr:twoCellAnchor>
  <xdr:twoCellAnchor>
    <xdr:from>
      <xdr:col>5</xdr:col>
      <xdr:colOff>361948</xdr:colOff>
      <xdr:row>19</xdr:row>
      <xdr:rowOff>190500</xdr:rowOff>
    </xdr:from>
    <xdr:to>
      <xdr:col>5</xdr:col>
      <xdr:colOff>857249</xdr:colOff>
      <xdr:row>20</xdr:row>
      <xdr:rowOff>123825</xdr:rowOff>
    </xdr:to>
    <xdr:sp macro="" textlink="$O$39">
      <xdr:nvSpPr>
        <xdr:cNvPr id="24" name="Watts9"/>
        <xdr:cNvSpPr txBox="1">
          <a:spLocks noChangeArrowheads="1"/>
        </xdr:cNvSpPr>
      </xdr:nvSpPr>
      <xdr:spPr bwMode="auto">
        <a:xfrm>
          <a:off x="5934073" y="4800600"/>
          <a:ext cx="495301"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C8CA5BE0-7AB3-4572-95B0-A6F7E156B1C1}" type="TxLink">
            <a:rPr lang="en-US" sz="1000" b="0" i="0" u="none" strike="noStrike">
              <a:solidFill>
                <a:srgbClr val="000000"/>
              </a:solidFill>
              <a:latin typeface="Arial"/>
              <a:cs typeface="Arial"/>
            </a:rPr>
            <a:pPr/>
            <a:t>3200</a:t>
          </a:fld>
          <a:endParaRPr lang="en-US"/>
        </a:p>
      </xdr:txBody>
    </xdr:sp>
    <xdr:clientData/>
  </xdr:twoCellAnchor>
  <xdr:twoCellAnchor>
    <xdr:from>
      <xdr:col>5</xdr:col>
      <xdr:colOff>361948</xdr:colOff>
      <xdr:row>18</xdr:row>
      <xdr:rowOff>19050</xdr:rowOff>
    </xdr:from>
    <xdr:to>
      <xdr:col>5</xdr:col>
      <xdr:colOff>857249</xdr:colOff>
      <xdr:row>18</xdr:row>
      <xdr:rowOff>190500</xdr:rowOff>
    </xdr:to>
    <xdr:sp macro="" textlink="$O$38">
      <xdr:nvSpPr>
        <xdr:cNvPr id="25" name="Watts10"/>
        <xdr:cNvSpPr txBox="1">
          <a:spLocks noChangeArrowheads="1"/>
        </xdr:cNvSpPr>
      </xdr:nvSpPr>
      <xdr:spPr bwMode="auto">
        <a:xfrm>
          <a:off x="5934073" y="4391025"/>
          <a:ext cx="495301"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6AD6F7CF-2589-4335-BB90-669A669168C0}" type="TxLink">
            <a:rPr lang="en-US" sz="1000" b="0" i="0" u="none" strike="noStrike">
              <a:solidFill>
                <a:srgbClr val="000000"/>
              </a:solidFill>
              <a:latin typeface="Arial"/>
              <a:cs typeface="Arial"/>
            </a:rPr>
            <a:pPr/>
            <a:t>3600</a:t>
          </a:fld>
          <a:endParaRPr lang="en-US"/>
        </a:p>
      </xdr:txBody>
    </xdr:sp>
    <xdr:clientData/>
  </xdr:twoCellAnchor>
  <xdr:twoCellAnchor>
    <xdr:from>
      <xdr:col>2</xdr:col>
      <xdr:colOff>857250</xdr:colOff>
      <xdr:row>17</xdr:row>
      <xdr:rowOff>19050</xdr:rowOff>
    </xdr:from>
    <xdr:to>
      <xdr:col>3</xdr:col>
      <xdr:colOff>85725</xdr:colOff>
      <xdr:row>17</xdr:row>
      <xdr:rowOff>161925</xdr:rowOff>
    </xdr:to>
    <xdr:sp macro="" textlink="" fLocksText="0">
      <xdr:nvSpPr>
        <xdr:cNvPr id="26" name="Text Box 26"/>
        <xdr:cNvSpPr txBox="1">
          <a:spLocks noChangeArrowheads="1"/>
        </xdr:cNvSpPr>
      </xdr:nvSpPr>
      <xdr:spPr bwMode="auto">
        <a:xfrm>
          <a:off x="3086100" y="4152900"/>
          <a:ext cx="342900" cy="1428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EFF.</a:t>
          </a:r>
        </a:p>
      </xdr:txBody>
    </xdr:sp>
    <xdr:clientData fLocksWithSheet="0"/>
  </xdr:twoCellAnchor>
  <xdr:twoCellAnchor>
    <xdr:from>
      <xdr:col>3</xdr:col>
      <xdr:colOff>152400</xdr:colOff>
      <xdr:row>19</xdr:row>
      <xdr:rowOff>123825</xdr:rowOff>
    </xdr:from>
    <xdr:to>
      <xdr:col>3</xdr:col>
      <xdr:colOff>485775</xdr:colOff>
      <xdr:row>20</xdr:row>
      <xdr:rowOff>57150</xdr:rowOff>
    </xdr:to>
    <xdr:sp macro="" textlink="" fLocksText="0">
      <xdr:nvSpPr>
        <xdr:cNvPr id="27" name="Text Box 27"/>
        <xdr:cNvSpPr txBox="1">
          <a:spLocks noChangeArrowheads="1"/>
        </xdr:cNvSpPr>
      </xdr:nvSpPr>
      <xdr:spPr bwMode="auto">
        <a:xfrm>
          <a:off x="3495675" y="4733925"/>
          <a:ext cx="33337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P.F.</a:t>
          </a:r>
        </a:p>
      </xdr:txBody>
    </xdr:sp>
    <xdr:clientData fLocksWithSheet="0"/>
  </xdr:twoCellAnchor>
  <xdr:twoCellAnchor>
    <xdr:from>
      <xdr:col>2</xdr:col>
      <xdr:colOff>1104900</xdr:colOff>
      <xdr:row>23</xdr:row>
      <xdr:rowOff>0</xdr:rowOff>
    </xdr:from>
    <xdr:to>
      <xdr:col>3</xdr:col>
      <xdr:colOff>333375</xdr:colOff>
      <xdr:row>23</xdr:row>
      <xdr:rowOff>142875</xdr:rowOff>
    </xdr:to>
    <xdr:sp macro="" textlink="" fLocksText="0">
      <xdr:nvSpPr>
        <xdr:cNvPr id="28" name="Speed"/>
        <xdr:cNvSpPr txBox="1">
          <a:spLocks noChangeArrowheads="1"/>
        </xdr:cNvSpPr>
      </xdr:nvSpPr>
      <xdr:spPr bwMode="auto">
        <a:xfrm>
          <a:off x="3333750" y="5562600"/>
          <a:ext cx="342900" cy="1428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RPM</a:t>
          </a:r>
        </a:p>
      </xdr:txBody>
    </xdr:sp>
    <xdr:clientData fLocksWithSheet="0"/>
  </xdr:twoCellAnchor>
  <xdr:twoCellAnchor>
    <xdr:from>
      <xdr:col>1</xdr:col>
      <xdr:colOff>1000125</xdr:colOff>
      <xdr:row>29</xdr:row>
      <xdr:rowOff>28575</xdr:rowOff>
    </xdr:from>
    <xdr:to>
      <xdr:col>2</xdr:col>
      <xdr:colOff>323850</xdr:colOff>
      <xdr:row>29</xdr:row>
      <xdr:rowOff>180975</xdr:rowOff>
    </xdr:to>
    <xdr:sp macro="" textlink="" fLocksText="0">
      <xdr:nvSpPr>
        <xdr:cNvPr id="29" name="Amps"/>
        <xdr:cNvSpPr txBox="1">
          <a:spLocks noChangeArrowheads="1"/>
        </xdr:cNvSpPr>
      </xdr:nvSpPr>
      <xdr:spPr bwMode="auto">
        <a:xfrm>
          <a:off x="2114550" y="7019925"/>
          <a:ext cx="438150" cy="1524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AMPS</a:t>
          </a:r>
        </a:p>
      </xdr:txBody>
    </xdr:sp>
    <xdr:clientData fLocksWithSheet="0"/>
  </xdr:twoCellAnchor>
  <xdr:twoCellAnchor>
    <xdr:from>
      <xdr:col>2</xdr:col>
      <xdr:colOff>561975</xdr:colOff>
      <xdr:row>31</xdr:row>
      <xdr:rowOff>161925</xdr:rowOff>
    </xdr:from>
    <xdr:to>
      <xdr:col>2</xdr:col>
      <xdr:colOff>1066800</xdr:colOff>
      <xdr:row>32</xdr:row>
      <xdr:rowOff>76200</xdr:rowOff>
    </xdr:to>
    <xdr:sp macro="" textlink="" fLocksText="0">
      <xdr:nvSpPr>
        <xdr:cNvPr id="30" name="Watts"/>
        <xdr:cNvSpPr txBox="1">
          <a:spLocks noChangeArrowheads="1"/>
        </xdr:cNvSpPr>
      </xdr:nvSpPr>
      <xdr:spPr bwMode="auto">
        <a:xfrm>
          <a:off x="2790825" y="7629525"/>
          <a:ext cx="504825" cy="1524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WATTS</a:t>
          </a:r>
        </a:p>
      </xdr:txBody>
    </xdr:sp>
    <xdr:clientData fLocksWithSheet="0"/>
  </xdr:twoCellAnchor>
  <xdr:twoCellAnchor>
    <xdr:from>
      <xdr:col>5</xdr:col>
      <xdr:colOff>361949</xdr:colOff>
      <xdr:row>33</xdr:row>
      <xdr:rowOff>142875</xdr:rowOff>
    </xdr:from>
    <xdr:to>
      <xdr:col>5</xdr:col>
      <xdr:colOff>800098</xdr:colOff>
      <xdr:row>34</xdr:row>
      <xdr:rowOff>104775</xdr:rowOff>
    </xdr:to>
    <xdr:sp macro="" textlink="$O$47">
      <xdr:nvSpPr>
        <xdr:cNvPr id="31" name="Watts1"/>
        <xdr:cNvSpPr txBox="1">
          <a:spLocks noChangeArrowheads="1"/>
        </xdr:cNvSpPr>
      </xdr:nvSpPr>
      <xdr:spPr bwMode="auto">
        <a:xfrm>
          <a:off x="5934074" y="8086725"/>
          <a:ext cx="438149" cy="200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854E647D-5A96-4154-BF35-63E02FEC79EC}" type="TxLink">
            <a:rPr lang="en-US" sz="1000" b="0" i="0" u="none" strike="noStrike">
              <a:solidFill>
                <a:srgbClr val="000000"/>
              </a:solidFill>
              <a:latin typeface="Arial"/>
              <a:cs typeface="Arial"/>
            </a:rPr>
            <a:pPr/>
            <a:t>0</a:t>
          </a:fld>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13"/>
  <sheetViews>
    <sheetView zoomScale="95" zoomScaleNormal="95" workbookViewId="0">
      <selection activeCell="E73" sqref="E73"/>
    </sheetView>
  </sheetViews>
  <sheetFormatPr defaultRowHeight="12.75"/>
  <cols>
    <col min="1" max="6" width="12.28515625" style="104" customWidth="1"/>
    <col min="7" max="7" width="12.42578125" style="104" customWidth="1"/>
    <col min="8" max="8" width="12.7109375" style="104" customWidth="1"/>
    <col min="9" max="10" width="12.28515625" style="104" customWidth="1"/>
    <col min="11" max="256" width="9.140625" style="104"/>
    <col min="257" max="262" width="12.28515625" style="104" customWidth="1"/>
    <col min="263" max="263" width="12.42578125" style="104" customWidth="1"/>
    <col min="264" max="264" width="12.7109375" style="104" customWidth="1"/>
    <col min="265" max="266" width="12.28515625" style="104" customWidth="1"/>
    <col min="267" max="512" width="9.140625" style="104"/>
    <col min="513" max="518" width="12.28515625" style="104" customWidth="1"/>
    <col min="519" max="519" width="12.42578125" style="104" customWidth="1"/>
    <col min="520" max="520" width="12.7109375" style="104" customWidth="1"/>
    <col min="521" max="522" width="12.28515625" style="104" customWidth="1"/>
    <col min="523" max="768" width="9.140625" style="104"/>
    <col min="769" max="774" width="12.28515625" style="104" customWidth="1"/>
    <col min="775" max="775" width="12.42578125" style="104" customWidth="1"/>
    <col min="776" max="776" width="12.7109375" style="104" customWidth="1"/>
    <col min="777" max="778" width="12.28515625" style="104" customWidth="1"/>
    <col min="779" max="1024" width="9.140625" style="104"/>
    <col min="1025" max="1030" width="12.28515625" style="104" customWidth="1"/>
    <col min="1031" max="1031" width="12.42578125" style="104" customWidth="1"/>
    <col min="1032" max="1032" width="12.7109375" style="104" customWidth="1"/>
    <col min="1033" max="1034" width="12.28515625" style="104" customWidth="1"/>
    <col min="1035" max="1280" width="9.140625" style="104"/>
    <col min="1281" max="1286" width="12.28515625" style="104" customWidth="1"/>
    <col min="1287" max="1287" width="12.42578125" style="104" customWidth="1"/>
    <col min="1288" max="1288" width="12.7109375" style="104" customWidth="1"/>
    <col min="1289" max="1290" width="12.28515625" style="104" customWidth="1"/>
    <col min="1291" max="1536" width="9.140625" style="104"/>
    <col min="1537" max="1542" width="12.28515625" style="104" customWidth="1"/>
    <col min="1543" max="1543" width="12.42578125" style="104" customWidth="1"/>
    <col min="1544" max="1544" width="12.7109375" style="104" customWidth="1"/>
    <col min="1545" max="1546" width="12.28515625" style="104" customWidth="1"/>
    <col min="1547" max="1792" width="9.140625" style="104"/>
    <col min="1793" max="1798" width="12.28515625" style="104" customWidth="1"/>
    <col min="1799" max="1799" width="12.42578125" style="104" customWidth="1"/>
    <col min="1800" max="1800" width="12.7109375" style="104" customWidth="1"/>
    <col min="1801" max="1802" width="12.28515625" style="104" customWidth="1"/>
    <col min="1803" max="2048" width="9.140625" style="104"/>
    <col min="2049" max="2054" width="12.28515625" style="104" customWidth="1"/>
    <col min="2055" max="2055" width="12.42578125" style="104" customWidth="1"/>
    <col min="2056" max="2056" width="12.7109375" style="104" customWidth="1"/>
    <col min="2057" max="2058" width="12.28515625" style="104" customWidth="1"/>
    <col min="2059" max="2304" width="9.140625" style="104"/>
    <col min="2305" max="2310" width="12.28515625" style="104" customWidth="1"/>
    <col min="2311" max="2311" width="12.42578125" style="104" customWidth="1"/>
    <col min="2312" max="2312" width="12.7109375" style="104" customWidth="1"/>
    <col min="2313" max="2314" width="12.28515625" style="104" customWidth="1"/>
    <col min="2315" max="2560" width="9.140625" style="104"/>
    <col min="2561" max="2566" width="12.28515625" style="104" customWidth="1"/>
    <col min="2567" max="2567" width="12.42578125" style="104" customWidth="1"/>
    <col min="2568" max="2568" width="12.7109375" style="104" customWidth="1"/>
    <col min="2569" max="2570" width="12.28515625" style="104" customWidth="1"/>
    <col min="2571" max="2816" width="9.140625" style="104"/>
    <col min="2817" max="2822" width="12.28515625" style="104" customWidth="1"/>
    <col min="2823" max="2823" width="12.42578125" style="104" customWidth="1"/>
    <col min="2824" max="2824" width="12.7109375" style="104" customWidth="1"/>
    <col min="2825" max="2826" width="12.28515625" style="104" customWidth="1"/>
    <col min="2827" max="3072" width="9.140625" style="104"/>
    <col min="3073" max="3078" width="12.28515625" style="104" customWidth="1"/>
    <col min="3079" max="3079" width="12.42578125" style="104" customWidth="1"/>
    <col min="3080" max="3080" width="12.7109375" style="104" customWidth="1"/>
    <col min="3081" max="3082" width="12.28515625" style="104" customWidth="1"/>
    <col min="3083" max="3328" width="9.140625" style="104"/>
    <col min="3329" max="3334" width="12.28515625" style="104" customWidth="1"/>
    <col min="3335" max="3335" width="12.42578125" style="104" customWidth="1"/>
    <col min="3336" max="3336" width="12.7109375" style="104" customWidth="1"/>
    <col min="3337" max="3338" width="12.28515625" style="104" customWidth="1"/>
    <col min="3339" max="3584" width="9.140625" style="104"/>
    <col min="3585" max="3590" width="12.28515625" style="104" customWidth="1"/>
    <col min="3591" max="3591" width="12.42578125" style="104" customWidth="1"/>
    <col min="3592" max="3592" width="12.7109375" style="104" customWidth="1"/>
    <col min="3593" max="3594" width="12.28515625" style="104" customWidth="1"/>
    <col min="3595" max="3840" width="9.140625" style="104"/>
    <col min="3841" max="3846" width="12.28515625" style="104" customWidth="1"/>
    <col min="3847" max="3847" width="12.42578125" style="104" customWidth="1"/>
    <col min="3848" max="3848" width="12.7109375" style="104" customWidth="1"/>
    <col min="3849" max="3850" width="12.28515625" style="104" customWidth="1"/>
    <col min="3851" max="4096" width="9.140625" style="104"/>
    <col min="4097" max="4102" width="12.28515625" style="104" customWidth="1"/>
    <col min="4103" max="4103" width="12.42578125" style="104" customWidth="1"/>
    <col min="4104" max="4104" width="12.7109375" style="104" customWidth="1"/>
    <col min="4105" max="4106" width="12.28515625" style="104" customWidth="1"/>
    <col min="4107" max="4352" width="9.140625" style="104"/>
    <col min="4353" max="4358" width="12.28515625" style="104" customWidth="1"/>
    <col min="4359" max="4359" width="12.42578125" style="104" customWidth="1"/>
    <col min="4360" max="4360" width="12.7109375" style="104" customWidth="1"/>
    <col min="4361" max="4362" width="12.28515625" style="104" customWidth="1"/>
    <col min="4363" max="4608" width="9.140625" style="104"/>
    <col min="4609" max="4614" width="12.28515625" style="104" customWidth="1"/>
    <col min="4615" max="4615" width="12.42578125" style="104" customWidth="1"/>
    <col min="4616" max="4616" width="12.7109375" style="104" customWidth="1"/>
    <col min="4617" max="4618" width="12.28515625" style="104" customWidth="1"/>
    <col min="4619" max="4864" width="9.140625" style="104"/>
    <col min="4865" max="4870" width="12.28515625" style="104" customWidth="1"/>
    <col min="4871" max="4871" width="12.42578125" style="104" customWidth="1"/>
    <col min="4872" max="4872" width="12.7109375" style="104" customWidth="1"/>
    <col min="4873" max="4874" width="12.28515625" style="104" customWidth="1"/>
    <col min="4875" max="5120" width="9.140625" style="104"/>
    <col min="5121" max="5126" width="12.28515625" style="104" customWidth="1"/>
    <col min="5127" max="5127" width="12.42578125" style="104" customWidth="1"/>
    <col min="5128" max="5128" width="12.7109375" style="104" customWidth="1"/>
    <col min="5129" max="5130" width="12.28515625" style="104" customWidth="1"/>
    <col min="5131" max="5376" width="9.140625" style="104"/>
    <col min="5377" max="5382" width="12.28515625" style="104" customWidth="1"/>
    <col min="5383" max="5383" width="12.42578125" style="104" customWidth="1"/>
    <col min="5384" max="5384" width="12.7109375" style="104" customWidth="1"/>
    <col min="5385" max="5386" width="12.28515625" style="104" customWidth="1"/>
    <col min="5387" max="5632" width="9.140625" style="104"/>
    <col min="5633" max="5638" width="12.28515625" style="104" customWidth="1"/>
    <col min="5639" max="5639" width="12.42578125" style="104" customWidth="1"/>
    <col min="5640" max="5640" width="12.7109375" style="104" customWidth="1"/>
    <col min="5641" max="5642" width="12.28515625" style="104" customWidth="1"/>
    <col min="5643" max="5888" width="9.140625" style="104"/>
    <col min="5889" max="5894" width="12.28515625" style="104" customWidth="1"/>
    <col min="5895" max="5895" width="12.42578125" style="104" customWidth="1"/>
    <col min="5896" max="5896" width="12.7109375" style="104" customWidth="1"/>
    <col min="5897" max="5898" width="12.28515625" style="104" customWidth="1"/>
    <col min="5899" max="6144" width="9.140625" style="104"/>
    <col min="6145" max="6150" width="12.28515625" style="104" customWidth="1"/>
    <col min="6151" max="6151" width="12.42578125" style="104" customWidth="1"/>
    <col min="6152" max="6152" width="12.7109375" style="104" customWidth="1"/>
    <col min="6153" max="6154" width="12.28515625" style="104" customWidth="1"/>
    <col min="6155" max="6400" width="9.140625" style="104"/>
    <col min="6401" max="6406" width="12.28515625" style="104" customWidth="1"/>
    <col min="6407" max="6407" width="12.42578125" style="104" customWidth="1"/>
    <col min="6408" max="6408" width="12.7109375" style="104" customWidth="1"/>
    <col min="6409" max="6410" width="12.28515625" style="104" customWidth="1"/>
    <col min="6411" max="6656" width="9.140625" style="104"/>
    <col min="6657" max="6662" width="12.28515625" style="104" customWidth="1"/>
    <col min="6663" max="6663" width="12.42578125" style="104" customWidth="1"/>
    <col min="6664" max="6664" width="12.7109375" style="104" customWidth="1"/>
    <col min="6665" max="6666" width="12.28515625" style="104" customWidth="1"/>
    <col min="6667" max="6912" width="9.140625" style="104"/>
    <col min="6913" max="6918" width="12.28515625" style="104" customWidth="1"/>
    <col min="6919" max="6919" width="12.42578125" style="104" customWidth="1"/>
    <col min="6920" max="6920" width="12.7109375" style="104" customWidth="1"/>
    <col min="6921" max="6922" width="12.28515625" style="104" customWidth="1"/>
    <col min="6923" max="7168" width="9.140625" style="104"/>
    <col min="7169" max="7174" width="12.28515625" style="104" customWidth="1"/>
    <col min="7175" max="7175" width="12.42578125" style="104" customWidth="1"/>
    <col min="7176" max="7176" width="12.7109375" style="104" customWidth="1"/>
    <col min="7177" max="7178" width="12.28515625" style="104" customWidth="1"/>
    <col min="7179" max="7424" width="9.140625" style="104"/>
    <col min="7425" max="7430" width="12.28515625" style="104" customWidth="1"/>
    <col min="7431" max="7431" width="12.42578125" style="104" customWidth="1"/>
    <col min="7432" max="7432" width="12.7109375" style="104" customWidth="1"/>
    <col min="7433" max="7434" width="12.28515625" style="104" customWidth="1"/>
    <col min="7435" max="7680" width="9.140625" style="104"/>
    <col min="7681" max="7686" width="12.28515625" style="104" customWidth="1"/>
    <col min="7687" max="7687" width="12.42578125" style="104" customWidth="1"/>
    <col min="7688" max="7688" width="12.7109375" style="104" customWidth="1"/>
    <col min="7689" max="7690" width="12.28515625" style="104" customWidth="1"/>
    <col min="7691" max="7936" width="9.140625" style="104"/>
    <col min="7937" max="7942" width="12.28515625" style="104" customWidth="1"/>
    <col min="7943" max="7943" width="12.42578125" style="104" customWidth="1"/>
    <col min="7944" max="7944" width="12.7109375" style="104" customWidth="1"/>
    <col min="7945" max="7946" width="12.28515625" style="104" customWidth="1"/>
    <col min="7947" max="8192" width="9.140625" style="104"/>
    <col min="8193" max="8198" width="12.28515625" style="104" customWidth="1"/>
    <col min="8199" max="8199" width="12.42578125" style="104" customWidth="1"/>
    <col min="8200" max="8200" width="12.7109375" style="104" customWidth="1"/>
    <col min="8201" max="8202" width="12.28515625" style="104" customWidth="1"/>
    <col min="8203" max="8448" width="9.140625" style="104"/>
    <col min="8449" max="8454" width="12.28515625" style="104" customWidth="1"/>
    <col min="8455" max="8455" width="12.42578125" style="104" customWidth="1"/>
    <col min="8456" max="8456" width="12.7109375" style="104" customWidth="1"/>
    <col min="8457" max="8458" width="12.28515625" style="104" customWidth="1"/>
    <col min="8459" max="8704" width="9.140625" style="104"/>
    <col min="8705" max="8710" width="12.28515625" style="104" customWidth="1"/>
    <col min="8711" max="8711" width="12.42578125" style="104" customWidth="1"/>
    <col min="8712" max="8712" width="12.7109375" style="104" customWidth="1"/>
    <col min="8713" max="8714" width="12.28515625" style="104" customWidth="1"/>
    <col min="8715" max="8960" width="9.140625" style="104"/>
    <col min="8961" max="8966" width="12.28515625" style="104" customWidth="1"/>
    <col min="8967" max="8967" width="12.42578125" style="104" customWidth="1"/>
    <col min="8968" max="8968" width="12.7109375" style="104" customWidth="1"/>
    <col min="8969" max="8970" width="12.28515625" style="104" customWidth="1"/>
    <col min="8971" max="9216" width="9.140625" style="104"/>
    <col min="9217" max="9222" width="12.28515625" style="104" customWidth="1"/>
    <col min="9223" max="9223" width="12.42578125" style="104" customWidth="1"/>
    <col min="9224" max="9224" width="12.7109375" style="104" customWidth="1"/>
    <col min="9225" max="9226" width="12.28515625" style="104" customWidth="1"/>
    <col min="9227" max="9472" width="9.140625" style="104"/>
    <col min="9473" max="9478" width="12.28515625" style="104" customWidth="1"/>
    <col min="9479" max="9479" width="12.42578125" style="104" customWidth="1"/>
    <col min="9480" max="9480" width="12.7109375" style="104" customWidth="1"/>
    <col min="9481" max="9482" width="12.28515625" style="104" customWidth="1"/>
    <col min="9483" max="9728" width="9.140625" style="104"/>
    <col min="9729" max="9734" width="12.28515625" style="104" customWidth="1"/>
    <col min="9735" max="9735" width="12.42578125" style="104" customWidth="1"/>
    <col min="9736" max="9736" width="12.7109375" style="104" customWidth="1"/>
    <col min="9737" max="9738" width="12.28515625" style="104" customWidth="1"/>
    <col min="9739" max="9984" width="9.140625" style="104"/>
    <col min="9985" max="9990" width="12.28515625" style="104" customWidth="1"/>
    <col min="9991" max="9991" width="12.42578125" style="104" customWidth="1"/>
    <col min="9992" max="9992" width="12.7109375" style="104" customWidth="1"/>
    <col min="9993" max="9994" width="12.28515625" style="104" customWidth="1"/>
    <col min="9995" max="10240" width="9.140625" style="104"/>
    <col min="10241" max="10246" width="12.28515625" style="104" customWidth="1"/>
    <col min="10247" max="10247" width="12.42578125" style="104" customWidth="1"/>
    <col min="10248" max="10248" width="12.7109375" style="104" customWidth="1"/>
    <col min="10249" max="10250" width="12.28515625" style="104" customWidth="1"/>
    <col min="10251" max="10496" width="9.140625" style="104"/>
    <col min="10497" max="10502" width="12.28515625" style="104" customWidth="1"/>
    <col min="10503" max="10503" width="12.42578125" style="104" customWidth="1"/>
    <col min="10504" max="10504" width="12.7109375" style="104" customWidth="1"/>
    <col min="10505" max="10506" width="12.28515625" style="104" customWidth="1"/>
    <col min="10507" max="10752" width="9.140625" style="104"/>
    <col min="10753" max="10758" width="12.28515625" style="104" customWidth="1"/>
    <col min="10759" max="10759" width="12.42578125" style="104" customWidth="1"/>
    <col min="10760" max="10760" width="12.7109375" style="104" customWidth="1"/>
    <col min="10761" max="10762" width="12.28515625" style="104" customWidth="1"/>
    <col min="10763" max="11008" width="9.140625" style="104"/>
    <col min="11009" max="11014" width="12.28515625" style="104" customWidth="1"/>
    <col min="11015" max="11015" width="12.42578125" style="104" customWidth="1"/>
    <col min="11016" max="11016" width="12.7109375" style="104" customWidth="1"/>
    <col min="11017" max="11018" width="12.28515625" style="104" customWidth="1"/>
    <col min="11019" max="11264" width="9.140625" style="104"/>
    <col min="11265" max="11270" width="12.28515625" style="104" customWidth="1"/>
    <col min="11271" max="11271" width="12.42578125" style="104" customWidth="1"/>
    <col min="11272" max="11272" width="12.7109375" style="104" customWidth="1"/>
    <col min="11273" max="11274" width="12.28515625" style="104" customWidth="1"/>
    <col min="11275" max="11520" width="9.140625" style="104"/>
    <col min="11521" max="11526" width="12.28515625" style="104" customWidth="1"/>
    <col min="11527" max="11527" width="12.42578125" style="104" customWidth="1"/>
    <col min="11528" max="11528" width="12.7109375" style="104" customWidth="1"/>
    <col min="11529" max="11530" width="12.28515625" style="104" customWidth="1"/>
    <col min="11531" max="11776" width="9.140625" style="104"/>
    <col min="11777" max="11782" width="12.28515625" style="104" customWidth="1"/>
    <col min="11783" max="11783" width="12.42578125" style="104" customWidth="1"/>
    <col min="11784" max="11784" width="12.7109375" style="104" customWidth="1"/>
    <col min="11785" max="11786" width="12.28515625" style="104" customWidth="1"/>
    <col min="11787" max="12032" width="9.140625" style="104"/>
    <col min="12033" max="12038" width="12.28515625" style="104" customWidth="1"/>
    <col min="12039" max="12039" width="12.42578125" style="104" customWidth="1"/>
    <col min="12040" max="12040" width="12.7109375" style="104" customWidth="1"/>
    <col min="12041" max="12042" width="12.28515625" style="104" customWidth="1"/>
    <col min="12043" max="12288" width="9.140625" style="104"/>
    <col min="12289" max="12294" width="12.28515625" style="104" customWidth="1"/>
    <col min="12295" max="12295" width="12.42578125" style="104" customWidth="1"/>
    <col min="12296" max="12296" width="12.7109375" style="104" customWidth="1"/>
    <col min="12297" max="12298" width="12.28515625" style="104" customWidth="1"/>
    <col min="12299" max="12544" width="9.140625" style="104"/>
    <col min="12545" max="12550" width="12.28515625" style="104" customWidth="1"/>
    <col min="12551" max="12551" width="12.42578125" style="104" customWidth="1"/>
    <col min="12552" max="12552" width="12.7109375" style="104" customWidth="1"/>
    <col min="12553" max="12554" width="12.28515625" style="104" customWidth="1"/>
    <col min="12555" max="12800" width="9.140625" style="104"/>
    <col min="12801" max="12806" width="12.28515625" style="104" customWidth="1"/>
    <col min="12807" max="12807" width="12.42578125" style="104" customWidth="1"/>
    <col min="12808" max="12808" width="12.7109375" style="104" customWidth="1"/>
    <col min="12809" max="12810" width="12.28515625" style="104" customWidth="1"/>
    <col min="12811" max="13056" width="9.140625" style="104"/>
    <col min="13057" max="13062" width="12.28515625" style="104" customWidth="1"/>
    <col min="13063" max="13063" width="12.42578125" style="104" customWidth="1"/>
    <col min="13064" max="13064" width="12.7109375" style="104" customWidth="1"/>
    <col min="13065" max="13066" width="12.28515625" style="104" customWidth="1"/>
    <col min="13067" max="13312" width="9.140625" style="104"/>
    <col min="13313" max="13318" width="12.28515625" style="104" customWidth="1"/>
    <col min="13319" max="13319" width="12.42578125" style="104" customWidth="1"/>
    <col min="13320" max="13320" width="12.7109375" style="104" customWidth="1"/>
    <col min="13321" max="13322" width="12.28515625" style="104" customWidth="1"/>
    <col min="13323" max="13568" width="9.140625" style="104"/>
    <col min="13569" max="13574" width="12.28515625" style="104" customWidth="1"/>
    <col min="13575" max="13575" width="12.42578125" style="104" customWidth="1"/>
    <col min="13576" max="13576" width="12.7109375" style="104" customWidth="1"/>
    <col min="13577" max="13578" width="12.28515625" style="104" customWidth="1"/>
    <col min="13579" max="13824" width="9.140625" style="104"/>
    <col min="13825" max="13830" width="12.28515625" style="104" customWidth="1"/>
    <col min="13831" max="13831" width="12.42578125" style="104" customWidth="1"/>
    <col min="13832" max="13832" width="12.7109375" style="104" customWidth="1"/>
    <col min="13833" max="13834" width="12.28515625" style="104" customWidth="1"/>
    <col min="13835" max="14080" width="9.140625" style="104"/>
    <col min="14081" max="14086" width="12.28515625" style="104" customWidth="1"/>
    <col min="14087" max="14087" width="12.42578125" style="104" customWidth="1"/>
    <col min="14088" max="14088" width="12.7109375" style="104" customWidth="1"/>
    <col min="14089" max="14090" width="12.28515625" style="104" customWidth="1"/>
    <col min="14091" max="14336" width="9.140625" style="104"/>
    <col min="14337" max="14342" width="12.28515625" style="104" customWidth="1"/>
    <col min="14343" max="14343" width="12.42578125" style="104" customWidth="1"/>
    <col min="14344" max="14344" width="12.7109375" style="104" customWidth="1"/>
    <col min="14345" max="14346" width="12.28515625" style="104" customWidth="1"/>
    <col min="14347" max="14592" width="9.140625" style="104"/>
    <col min="14593" max="14598" width="12.28515625" style="104" customWidth="1"/>
    <col min="14599" max="14599" width="12.42578125" style="104" customWidth="1"/>
    <col min="14600" max="14600" width="12.7109375" style="104" customWidth="1"/>
    <col min="14601" max="14602" width="12.28515625" style="104" customWidth="1"/>
    <col min="14603" max="14848" width="9.140625" style="104"/>
    <col min="14849" max="14854" width="12.28515625" style="104" customWidth="1"/>
    <col min="14855" max="14855" width="12.42578125" style="104" customWidth="1"/>
    <col min="14856" max="14856" width="12.7109375" style="104" customWidth="1"/>
    <col min="14857" max="14858" width="12.28515625" style="104" customWidth="1"/>
    <col min="14859" max="15104" width="9.140625" style="104"/>
    <col min="15105" max="15110" width="12.28515625" style="104" customWidth="1"/>
    <col min="15111" max="15111" width="12.42578125" style="104" customWidth="1"/>
    <col min="15112" max="15112" width="12.7109375" style="104" customWidth="1"/>
    <col min="15113" max="15114" width="12.28515625" style="104" customWidth="1"/>
    <col min="15115" max="15360" width="9.140625" style="104"/>
    <col min="15361" max="15366" width="12.28515625" style="104" customWidth="1"/>
    <col min="15367" max="15367" width="12.42578125" style="104" customWidth="1"/>
    <col min="15368" max="15368" width="12.7109375" style="104" customWidth="1"/>
    <col min="15369" max="15370" width="12.28515625" style="104" customWidth="1"/>
    <col min="15371" max="15616" width="9.140625" style="104"/>
    <col min="15617" max="15622" width="12.28515625" style="104" customWidth="1"/>
    <col min="15623" max="15623" width="12.42578125" style="104" customWidth="1"/>
    <col min="15624" max="15624" width="12.7109375" style="104" customWidth="1"/>
    <col min="15625" max="15626" width="12.28515625" style="104" customWidth="1"/>
    <col min="15627" max="15872" width="9.140625" style="104"/>
    <col min="15873" max="15878" width="12.28515625" style="104" customWidth="1"/>
    <col min="15879" max="15879" width="12.42578125" style="104" customWidth="1"/>
    <col min="15880" max="15880" width="12.7109375" style="104" customWidth="1"/>
    <col min="15881" max="15882" width="12.28515625" style="104" customWidth="1"/>
    <col min="15883" max="16128" width="9.140625" style="104"/>
    <col min="16129" max="16134" width="12.28515625" style="104" customWidth="1"/>
    <col min="16135" max="16135" width="12.42578125" style="104" customWidth="1"/>
    <col min="16136" max="16136" width="12.7109375" style="104" customWidth="1"/>
    <col min="16137" max="16138" width="12.28515625" style="104" customWidth="1"/>
    <col min="16139" max="16384" width="9.140625" style="104"/>
  </cols>
  <sheetData>
    <row r="1" spans="1:10" ht="18.75">
      <c r="A1" s="160" t="s">
        <v>166</v>
      </c>
      <c r="B1" s="161"/>
      <c r="C1" s="161"/>
      <c r="D1" s="161"/>
      <c r="E1" s="161"/>
      <c r="F1" s="161"/>
      <c r="G1" s="161"/>
      <c r="H1" s="161"/>
      <c r="I1" s="162" t="s">
        <v>167</v>
      </c>
      <c r="J1" s="162" t="s">
        <v>168</v>
      </c>
    </row>
    <row r="2" spans="1:10" ht="18.75">
      <c r="A2" s="160" t="s">
        <v>169</v>
      </c>
      <c r="B2" s="161"/>
      <c r="C2" s="161"/>
      <c r="D2" s="161"/>
      <c r="E2" s="161"/>
      <c r="F2" s="161"/>
      <c r="G2" s="161"/>
      <c r="H2" s="161"/>
      <c r="I2" s="161"/>
      <c r="J2" s="163" t="s">
        <v>170</v>
      </c>
    </row>
    <row r="3" spans="1:10" ht="15" customHeight="1" thickBot="1">
      <c r="A3" s="164" t="s">
        <v>127</v>
      </c>
      <c r="B3" s="165" t="s">
        <v>171</v>
      </c>
      <c r="C3" s="166"/>
      <c r="D3" s="164"/>
      <c r="E3" s="166"/>
      <c r="F3" s="166"/>
      <c r="G3" s="164" t="s">
        <v>129</v>
      </c>
      <c r="H3" s="167">
        <v>40914</v>
      </c>
      <c r="I3" s="164" t="s">
        <v>172</v>
      </c>
      <c r="J3" s="168">
        <v>0.3258564814814815</v>
      </c>
    </row>
    <row r="4" spans="1:10" ht="15" customHeight="1">
      <c r="A4" s="169" t="s">
        <v>173</v>
      </c>
      <c r="B4" s="169" t="s">
        <v>174</v>
      </c>
      <c r="C4" s="169" t="s">
        <v>152</v>
      </c>
      <c r="D4" s="169" t="s">
        <v>175</v>
      </c>
      <c r="E4" s="169" t="s">
        <v>176</v>
      </c>
      <c r="F4" s="169" t="s">
        <v>177</v>
      </c>
      <c r="G4" s="169" t="s">
        <v>178</v>
      </c>
      <c r="H4" s="169" t="s">
        <v>179</v>
      </c>
      <c r="I4" s="169" t="s">
        <v>180</v>
      </c>
      <c r="J4" s="169" t="s">
        <v>181</v>
      </c>
    </row>
    <row r="5" spans="1:10" ht="15" customHeight="1" thickBot="1">
      <c r="A5" s="170">
        <v>2</v>
      </c>
      <c r="B5" s="171">
        <v>1750</v>
      </c>
      <c r="C5" s="172">
        <v>3600</v>
      </c>
      <c r="D5" s="170" t="s">
        <v>81</v>
      </c>
      <c r="E5" s="172">
        <v>4000</v>
      </c>
      <c r="F5" s="172">
        <v>60</v>
      </c>
      <c r="G5" s="170">
        <v>105</v>
      </c>
      <c r="H5" s="173" t="s">
        <v>182</v>
      </c>
      <c r="I5" s="174" t="s">
        <v>183</v>
      </c>
      <c r="J5" s="170" t="s">
        <v>184</v>
      </c>
    </row>
    <row r="6" spans="1:10" ht="15" customHeight="1" thickBot="1">
      <c r="A6" s="175" t="s">
        <v>185</v>
      </c>
      <c r="B6" s="176"/>
      <c r="C6" s="177"/>
      <c r="D6" s="178" t="s">
        <v>186</v>
      </c>
      <c r="E6" s="179"/>
      <c r="F6" s="180"/>
      <c r="G6" s="181"/>
      <c r="H6" s="182" t="s">
        <v>187</v>
      </c>
      <c r="I6" s="183"/>
      <c r="J6" s="184"/>
    </row>
    <row r="7" spans="1:10" ht="15" customHeight="1" thickBot="1">
      <c r="A7" s="185"/>
      <c r="B7" s="186" t="s">
        <v>188</v>
      </c>
      <c r="C7" s="187" t="s">
        <v>189</v>
      </c>
      <c r="D7" s="185"/>
      <c r="E7" s="183"/>
      <c r="F7" s="186" t="s">
        <v>190</v>
      </c>
      <c r="G7" s="187" t="s">
        <v>191</v>
      </c>
      <c r="H7" s="188" t="s">
        <v>192</v>
      </c>
      <c r="I7" s="189">
        <v>24.543671874999998</v>
      </c>
      <c r="J7" s="190" t="s">
        <v>193</v>
      </c>
    </row>
    <row r="8" spans="1:10" ht="15" customHeight="1">
      <c r="A8" s="191" t="s">
        <v>194</v>
      </c>
      <c r="B8" s="192">
        <v>3.2999999523162842</v>
      </c>
      <c r="C8" s="193"/>
      <c r="D8" s="191"/>
      <c r="E8" s="135"/>
      <c r="F8" s="186"/>
      <c r="G8" s="187"/>
      <c r="H8" s="188" t="s">
        <v>195</v>
      </c>
      <c r="I8" s="189">
        <v>30.456888323673823</v>
      </c>
      <c r="J8" s="194" t="s">
        <v>196</v>
      </c>
    </row>
    <row r="9" spans="1:10" ht="15" customHeight="1" thickBot="1">
      <c r="A9" s="191" t="s">
        <v>197</v>
      </c>
      <c r="B9" s="192">
        <v>0.93000000715255737</v>
      </c>
      <c r="C9" s="193"/>
      <c r="D9" s="191" t="s">
        <v>198</v>
      </c>
      <c r="E9" s="195" t="s">
        <v>199</v>
      </c>
      <c r="F9" s="196" t="s">
        <v>200</v>
      </c>
      <c r="G9" s="197"/>
      <c r="H9" s="188" t="s">
        <v>201</v>
      </c>
      <c r="I9" s="192">
        <v>27.500280099336912</v>
      </c>
      <c r="J9" s="198">
        <v>667.77560308730392</v>
      </c>
    </row>
    <row r="10" spans="1:10" ht="15" customHeight="1">
      <c r="A10" s="191" t="s">
        <v>202</v>
      </c>
      <c r="B10" s="192">
        <v>600</v>
      </c>
      <c r="C10" s="199">
        <v>600</v>
      </c>
      <c r="D10" s="191"/>
      <c r="E10" s="135"/>
      <c r="F10" s="200" t="s">
        <v>203</v>
      </c>
      <c r="G10" s="201" t="s">
        <v>204</v>
      </c>
      <c r="H10" s="188" t="s">
        <v>205</v>
      </c>
      <c r="I10" s="189">
        <v>14.338922976528664</v>
      </c>
      <c r="J10" s="194" t="s">
        <v>206</v>
      </c>
    </row>
    <row r="11" spans="1:10" ht="15" customHeight="1" thickBot="1">
      <c r="A11" s="191" t="s">
        <v>207</v>
      </c>
      <c r="B11" s="192">
        <v>670</v>
      </c>
      <c r="C11" s="199">
        <v>368.40000009536743</v>
      </c>
      <c r="D11" s="191" t="s">
        <v>208</v>
      </c>
      <c r="E11" s="189">
        <v>0.62493749999999992</v>
      </c>
      <c r="F11" s="202"/>
      <c r="G11" s="203" t="s">
        <v>209</v>
      </c>
      <c r="H11" s="188" t="s">
        <v>210</v>
      </c>
      <c r="I11" s="189">
        <v>30.456888323673823</v>
      </c>
      <c r="J11" s="198">
        <v>70159.62505467968</v>
      </c>
    </row>
    <row r="12" spans="1:10" ht="15" customHeight="1">
      <c r="A12" s="191" t="s">
        <v>211</v>
      </c>
      <c r="B12" s="192">
        <v>375</v>
      </c>
      <c r="C12" s="199">
        <v>185</v>
      </c>
      <c r="D12" s="191" t="s">
        <v>212</v>
      </c>
      <c r="E12" s="204" t="s">
        <v>42</v>
      </c>
      <c r="F12" s="205"/>
      <c r="G12" s="206" t="s">
        <v>213</v>
      </c>
      <c r="H12" s="188" t="s">
        <v>214</v>
      </c>
      <c r="I12" s="189">
        <v>1.1789163438632333</v>
      </c>
      <c r="J12" s="194" t="s">
        <v>215</v>
      </c>
    </row>
    <row r="13" spans="1:10" ht="15" customHeight="1" thickBot="1">
      <c r="A13" s="191" t="s">
        <v>216</v>
      </c>
      <c r="B13" s="192">
        <v>85</v>
      </c>
      <c r="C13" s="199">
        <v>54.700000047683716</v>
      </c>
      <c r="D13" s="191" t="s">
        <v>217</v>
      </c>
      <c r="E13" s="145">
        <v>18</v>
      </c>
      <c r="F13" s="205"/>
      <c r="G13" s="206" t="s">
        <v>218</v>
      </c>
      <c r="H13" s="188" t="s">
        <v>219</v>
      </c>
      <c r="I13" s="189">
        <v>1</v>
      </c>
      <c r="J13" s="198">
        <v>218.85289001464844</v>
      </c>
    </row>
    <row r="14" spans="1:10" ht="15" customHeight="1" thickBot="1">
      <c r="A14" s="207" t="s">
        <v>220</v>
      </c>
      <c r="B14" s="208">
        <v>465</v>
      </c>
      <c r="C14" s="209">
        <v>474.30001831054688</v>
      </c>
      <c r="D14" s="191" t="s">
        <v>221</v>
      </c>
      <c r="E14" s="135" t="s">
        <v>222</v>
      </c>
      <c r="F14" s="135"/>
      <c r="G14" s="206"/>
      <c r="H14" s="164" t="s">
        <v>223</v>
      </c>
      <c r="I14" s="189">
        <v>1.1789163438632333</v>
      </c>
      <c r="J14" s="194" t="s">
        <v>224</v>
      </c>
    </row>
    <row r="15" spans="1:10" ht="15" customHeight="1" thickBot="1">
      <c r="A15" s="210" t="s">
        <v>225</v>
      </c>
      <c r="B15" s="211"/>
      <c r="C15" s="212"/>
      <c r="D15" s="191" t="s">
        <v>226</v>
      </c>
      <c r="E15" s="135" t="s">
        <v>42</v>
      </c>
      <c r="F15" s="135"/>
      <c r="G15" s="206"/>
      <c r="H15" s="188" t="s">
        <v>227</v>
      </c>
      <c r="I15" s="189">
        <v>0.83141460458883965</v>
      </c>
      <c r="J15" s="198">
        <v>32.075954861111114</v>
      </c>
    </row>
    <row r="16" spans="1:10" ht="15" customHeight="1">
      <c r="A16" s="191" t="s">
        <v>228</v>
      </c>
      <c r="B16" s="135">
        <v>48</v>
      </c>
      <c r="C16" s="193">
        <v>38</v>
      </c>
      <c r="D16" s="191" t="s">
        <v>229</v>
      </c>
      <c r="E16" s="135">
        <v>2</v>
      </c>
      <c r="F16" s="135"/>
      <c r="G16" s="206"/>
      <c r="H16" s="188" t="s">
        <v>230</v>
      </c>
      <c r="I16" s="189">
        <v>0.9554364713800827</v>
      </c>
      <c r="J16" s="213" t="s">
        <v>231</v>
      </c>
    </row>
    <row r="17" spans="1:10" ht="15" customHeight="1" thickBot="1">
      <c r="A17" s="191" t="s">
        <v>232</v>
      </c>
      <c r="B17" s="135" t="s">
        <v>233</v>
      </c>
      <c r="C17" s="193" t="s">
        <v>234</v>
      </c>
      <c r="D17" s="165" t="s">
        <v>235</v>
      </c>
      <c r="E17" s="135" t="s">
        <v>236</v>
      </c>
      <c r="F17" s="135"/>
      <c r="G17" s="206"/>
      <c r="H17" s="188" t="s">
        <v>237</v>
      </c>
      <c r="I17" s="189">
        <v>0.79436383606222771</v>
      </c>
      <c r="J17" s="198">
        <v>802.51888151183005</v>
      </c>
    </row>
    <row r="18" spans="1:10" ht="15" customHeight="1">
      <c r="A18" s="191" t="s">
        <v>238</v>
      </c>
      <c r="B18" s="135" t="s">
        <v>42</v>
      </c>
      <c r="C18" s="199">
        <v>0</v>
      </c>
      <c r="D18" s="191" t="s">
        <v>239</v>
      </c>
      <c r="E18" s="214">
        <v>1295</v>
      </c>
      <c r="F18" s="145">
        <v>685</v>
      </c>
      <c r="G18" s="144"/>
      <c r="H18" s="210" t="s">
        <v>240</v>
      </c>
      <c r="I18" s="215" t="s">
        <v>241</v>
      </c>
      <c r="J18" s="216"/>
    </row>
    <row r="19" spans="1:10" ht="15" customHeight="1">
      <c r="A19" s="191" t="s">
        <v>242</v>
      </c>
      <c r="B19" s="192">
        <v>62.5</v>
      </c>
      <c r="C19" s="199">
        <v>37</v>
      </c>
      <c r="D19" s="191" t="s">
        <v>243</v>
      </c>
      <c r="E19" s="145">
        <v>144</v>
      </c>
      <c r="F19" s="135"/>
      <c r="G19" s="193"/>
      <c r="H19" s="217"/>
      <c r="I19" s="186" t="s">
        <v>244</v>
      </c>
      <c r="J19" s="218" t="s">
        <v>245</v>
      </c>
    </row>
    <row r="20" spans="1:10" ht="15" customHeight="1">
      <c r="A20" s="191" t="s">
        <v>246</v>
      </c>
      <c r="B20" s="192" t="s">
        <v>247</v>
      </c>
      <c r="C20" s="199"/>
      <c r="D20" s="191" t="s">
        <v>248</v>
      </c>
      <c r="E20" s="219">
        <v>6.19208369227238E-2</v>
      </c>
      <c r="F20" s="135"/>
      <c r="G20" s="193"/>
      <c r="H20" s="188" t="s">
        <v>249</v>
      </c>
      <c r="I20" s="189">
        <v>18.533136367797852</v>
      </c>
      <c r="J20" s="220">
        <v>18.533136367797852</v>
      </c>
    </row>
    <row r="21" spans="1:10" ht="15" customHeight="1">
      <c r="A21" s="191" t="s">
        <v>250</v>
      </c>
      <c r="B21" s="192">
        <v>14.5</v>
      </c>
      <c r="C21" s="199">
        <v>0</v>
      </c>
      <c r="D21" s="188" t="s">
        <v>251</v>
      </c>
      <c r="E21" s="219">
        <v>8.2601666543279884E-2</v>
      </c>
      <c r="F21" s="219">
        <v>7.5841568410396576E-2</v>
      </c>
      <c r="G21" s="221">
        <v>2.4038006097628562E-2</v>
      </c>
      <c r="H21" s="188" t="s">
        <v>252</v>
      </c>
      <c r="I21" s="189">
        <v>40.807228088378906</v>
      </c>
      <c r="J21" s="220">
        <v>19.660299301147461</v>
      </c>
    </row>
    <row r="22" spans="1:10" ht="15" customHeight="1">
      <c r="A22" s="191" t="s">
        <v>253</v>
      </c>
      <c r="B22" s="192">
        <v>2.8299999237060547</v>
      </c>
      <c r="C22" s="199">
        <v>1.8999999761581421</v>
      </c>
      <c r="D22" s="191" t="s">
        <v>254</v>
      </c>
      <c r="E22" s="135" t="s">
        <v>255</v>
      </c>
      <c r="F22" s="135" t="s">
        <v>256</v>
      </c>
      <c r="G22" s="193" t="s">
        <v>256</v>
      </c>
      <c r="H22" s="188" t="s">
        <v>257</v>
      </c>
      <c r="I22" s="189">
        <v>4.3345351219177246</v>
      </c>
      <c r="J22" s="220">
        <v>3.9067316055297852</v>
      </c>
    </row>
    <row r="23" spans="1:10" ht="15" customHeight="1">
      <c r="A23" s="191" t="s">
        <v>258</v>
      </c>
      <c r="B23" s="192">
        <v>10.043671607971191</v>
      </c>
      <c r="C23" s="199">
        <v>11</v>
      </c>
      <c r="D23" s="191" t="s">
        <v>259</v>
      </c>
      <c r="E23" s="189">
        <v>1.7419999837875366</v>
      </c>
      <c r="F23" s="189">
        <v>3.25</v>
      </c>
      <c r="G23" s="220">
        <v>3.25</v>
      </c>
      <c r="H23" s="188" t="s">
        <v>260</v>
      </c>
      <c r="I23" s="189">
        <v>20.842817891464964</v>
      </c>
      <c r="J23" s="187" t="s">
        <v>261</v>
      </c>
    </row>
    <row r="24" spans="1:10" ht="15" customHeight="1">
      <c r="A24" s="191" t="s">
        <v>262</v>
      </c>
      <c r="B24" s="192">
        <v>0</v>
      </c>
      <c r="C24" s="199">
        <v>2</v>
      </c>
      <c r="D24" s="191" t="s">
        <v>263</v>
      </c>
      <c r="E24" s="189">
        <v>8.8900003433227539</v>
      </c>
      <c r="F24" s="189">
        <v>2.6700000762939453</v>
      </c>
      <c r="G24" s="220">
        <v>2.6700000762939453</v>
      </c>
      <c r="H24" s="188" t="s">
        <v>264</v>
      </c>
      <c r="I24" s="189">
        <v>7.2923365179922683</v>
      </c>
      <c r="J24" s="220">
        <v>6.6345811161280528</v>
      </c>
    </row>
    <row r="25" spans="1:10" ht="15" customHeight="1">
      <c r="A25" s="191" t="s">
        <v>265</v>
      </c>
      <c r="B25" s="135" t="s">
        <v>42</v>
      </c>
      <c r="C25" s="199">
        <v>2</v>
      </c>
      <c r="D25" s="222" t="s">
        <v>266</v>
      </c>
      <c r="E25" s="195"/>
      <c r="F25" s="195"/>
      <c r="G25" s="223"/>
      <c r="H25" s="188" t="s">
        <v>267</v>
      </c>
      <c r="I25" s="189">
        <v>0.18248124420642853</v>
      </c>
      <c r="J25" s="220">
        <v>0.488271564245224</v>
      </c>
    </row>
    <row r="26" spans="1:10" ht="15" customHeight="1">
      <c r="A26" s="191" t="s">
        <v>268</v>
      </c>
      <c r="B26" s="195" t="s">
        <v>269</v>
      </c>
      <c r="C26" s="223" t="s">
        <v>270</v>
      </c>
      <c r="D26" s="188" t="s">
        <v>271</v>
      </c>
      <c r="E26" s="192">
        <v>260.91490091412254</v>
      </c>
      <c r="F26" s="192">
        <v>24.74965422918191</v>
      </c>
      <c r="G26" s="199">
        <v>18.629805113139785</v>
      </c>
      <c r="H26" s="188" t="s">
        <v>272</v>
      </c>
      <c r="I26" s="189">
        <v>2.4537479877471924</v>
      </c>
      <c r="J26" s="220">
        <v>1.8578983545303345</v>
      </c>
    </row>
    <row r="27" spans="1:10" ht="15" customHeight="1" thickBot="1">
      <c r="A27" s="191" t="s">
        <v>273</v>
      </c>
      <c r="B27" s="135" t="s">
        <v>274</v>
      </c>
      <c r="C27" s="193" t="s">
        <v>275</v>
      </c>
      <c r="D27" s="224" t="s">
        <v>276</v>
      </c>
      <c r="E27" s="225" t="s">
        <v>42</v>
      </c>
      <c r="F27" s="225" t="s">
        <v>42</v>
      </c>
      <c r="G27" s="226" t="s">
        <v>42</v>
      </c>
      <c r="H27" s="224" t="s">
        <v>277</v>
      </c>
      <c r="I27" s="227">
        <v>2.4605240821838379</v>
      </c>
      <c r="J27" s="228">
        <v>1.9209882020950317</v>
      </c>
    </row>
    <row r="28" spans="1:10" ht="15" customHeight="1">
      <c r="A28" s="191" t="s">
        <v>278</v>
      </c>
      <c r="B28" s="229"/>
      <c r="C28" s="230"/>
      <c r="D28" s="210" t="s">
        <v>279</v>
      </c>
      <c r="E28" s="231"/>
      <c r="F28" s="232"/>
      <c r="G28" s="179"/>
      <c r="H28" s="181"/>
      <c r="I28" s="233" t="s">
        <v>280</v>
      </c>
      <c r="J28" s="181"/>
    </row>
    <row r="29" spans="1:10" ht="15" customHeight="1">
      <c r="A29" s="234"/>
      <c r="B29" s="235" t="s">
        <v>281</v>
      </c>
      <c r="C29" s="236">
        <v>35.085827473152662</v>
      </c>
      <c r="D29" s="234"/>
      <c r="E29" s="186" t="s">
        <v>282</v>
      </c>
      <c r="F29" s="186" t="s">
        <v>283</v>
      </c>
      <c r="G29" s="186" t="s">
        <v>284</v>
      </c>
      <c r="H29" s="187" t="s">
        <v>285</v>
      </c>
      <c r="I29" s="186" t="s">
        <v>286</v>
      </c>
      <c r="J29" s="187" t="s">
        <v>287</v>
      </c>
    </row>
    <row r="30" spans="1:10" ht="15" customHeight="1" thickBot="1">
      <c r="A30" s="237"/>
      <c r="B30" s="238" t="s">
        <v>288</v>
      </c>
      <c r="C30" s="239">
        <v>35.095949130481337</v>
      </c>
      <c r="D30" s="188" t="s">
        <v>289</v>
      </c>
      <c r="E30" s="192">
        <v>52.621632500000004</v>
      </c>
      <c r="F30" s="192">
        <v>790.5</v>
      </c>
      <c r="G30" s="192">
        <v>19.174499404265124</v>
      </c>
      <c r="H30" s="144">
        <v>1317.9307673490293</v>
      </c>
      <c r="I30" s="145">
        <v>72640.236678750007</v>
      </c>
      <c r="J30" s="144">
        <v>7398.6779588184982</v>
      </c>
    </row>
    <row r="31" spans="1:10" ht="15" customHeight="1">
      <c r="A31" s="175" t="s">
        <v>290</v>
      </c>
      <c r="B31" s="240"/>
      <c r="C31" s="241"/>
      <c r="D31" s="188" t="s">
        <v>291</v>
      </c>
      <c r="E31" s="192">
        <v>6.25</v>
      </c>
      <c r="F31" s="192">
        <v>1120.8737514495849</v>
      </c>
      <c r="G31" s="192">
        <v>13.522880484505073</v>
      </c>
      <c r="H31" s="144">
        <v>37.096950547551735</v>
      </c>
      <c r="I31" s="145">
        <v>14010.921893119812</v>
      </c>
      <c r="J31" s="144">
        <v>810.5181969700069</v>
      </c>
    </row>
    <row r="32" spans="1:10" ht="15" customHeight="1">
      <c r="A32" s="191" t="s">
        <v>292</v>
      </c>
      <c r="B32" s="189" t="s">
        <v>293</v>
      </c>
      <c r="C32" s="242"/>
      <c r="D32" s="188" t="s">
        <v>294</v>
      </c>
      <c r="E32" s="192">
        <v>23.122102407490132</v>
      </c>
      <c r="F32" s="192">
        <v>811.36923177557003</v>
      </c>
      <c r="G32" s="192">
        <v>18.681312016110844</v>
      </c>
      <c r="H32" s="144">
        <v>522.70236737339542</v>
      </c>
      <c r="I32" s="243" t="s">
        <v>295</v>
      </c>
      <c r="J32" s="144">
        <v>8209.1961557885043</v>
      </c>
    </row>
    <row r="33" spans="1:10" ht="15" customHeight="1">
      <c r="A33" s="191" t="s">
        <v>296</v>
      </c>
      <c r="B33" s="189" t="s">
        <v>297</v>
      </c>
      <c r="C33" s="244" t="s">
        <v>298</v>
      </c>
      <c r="D33" s="188" t="s">
        <v>291</v>
      </c>
      <c r="E33" s="192">
        <v>3.7</v>
      </c>
      <c r="F33" s="192">
        <v>991.28703826904302</v>
      </c>
      <c r="G33" s="192">
        <v>15.290668791089077</v>
      </c>
      <c r="H33" s="144">
        <v>36.373099974573904</v>
      </c>
      <c r="I33" s="243" t="s">
        <v>299</v>
      </c>
      <c r="J33" s="199" t="s">
        <v>300</v>
      </c>
    </row>
    <row r="34" spans="1:10" ht="15" customHeight="1" thickBot="1">
      <c r="A34" s="245" t="s">
        <v>301</v>
      </c>
      <c r="B34" s="227" t="s">
        <v>302</v>
      </c>
      <c r="C34" s="246">
        <v>15.157441779071579</v>
      </c>
      <c r="D34" s="224" t="s">
        <v>194</v>
      </c>
      <c r="E34" s="227">
        <v>0.32999999523162843</v>
      </c>
      <c r="F34" s="225">
        <v>2523.2435250682179</v>
      </c>
      <c r="G34" s="225">
        <v>6.0071259981383633</v>
      </c>
      <c r="H34" s="140">
        <v>1577.5065736947304</v>
      </c>
      <c r="I34" s="243" t="s">
        <v>303</v>
      </c>
      <c r="J34" s="199">
        <v>6.0500001907348633</v>
      </c>
    </row>
    <row r="35" spans="1:10" ht="15" customHeight="1">
      <c r="A35" s="210" t="s">
        <v>304</v>
      </c>
      <c r="B35" s="180"/>
      <c r="C35" s="180"/>
      <c r="D35" s="247" t="s">
        <v>305</v>
      </c>
      <c r="E35" s="248" t="s">
        <v>306</v>
      </c>
      <c r="F35" s="181"/>
      <c r="G35" s="249" t="s">
        <v>307</v>
      </c>
      <c r="H35" s="250" t="s">
        <v>308</v>
      </c>
      <c r="I35" s="188" t="s">
        <v>309</v>
      </c>
      <c r="J35" s="144" t="s">
        <v>310</v>
      </c>
    </row>
    <row r="36" spans="1:10" ht="15" customHeight="1">
      <c r="A36" s="191" t="s">
        <v>311</v>
      </c>
      <c r="B36" s="186">
        <v>25</v>
      </c>
      <c r="C36" s="186">
        <v>50</v>
      </c>
      <c r="D36" s="186">
        <v>75</v>
      </c>
      <c r="E36" s="186">
        <v>100</v>
      </c>
      <c r="F36" s="187">
        <v>125</v>
      </c>
      <c r="G36" s="188" t="s">
        <v>312</v>
      </c>
      <c r="H36" s="144" t="s">
        <v>313</v>
      </c>
      <c r="I36" s="188" t="s">
        <v>314</v>
      </c>
      <c r="J36" s="144" t="s">
        <v>315</v>
      </c>
    </row>
    <row r="37" spans="1:10" ht="15" customHeight="1" thickBot="1">
      <c r="A37" s="191" t="s">
        <v>316</v>
      </c>
      <c r="B37" s="192" t="s">
        <v>317</v>
      </c>
      <c r="C37" s="192" t="s">
        <v>318</v>
      </c>
      <c r="D37" s="192" t="s">
        <v>319</v>
      </c>
      <c r="E37" s="192" t="s">
        <v>320</v>
      </c>
      <c r="F37" s="199" t="s">
        <v>321</v>
      </c>
      <c r="G37" s="188" t="s">
        <v>322</v>
      </c>
      <c r="H37" s="144" t="s">
        <v>323</v>
      </c>
      <c r="I37" s="224" t="s">
        <v>324</v>
      </c>
      <c r="J37" s="140" t="s">
        <v>325</v>
      </c>
    </row>
    <row r="38" spans="1:10" ht="15" customHeight="1" thickBot="1">
      <c r="A38" s="191" t="s">
        <v>326</v>
      </c>
      <c r="B38" s="189" t="s">
        <v>327</v>
      </c>
      <c r="C38" s="189" t="s">
        <v>328</v>
      </c>
      <c r="D38" s="189" t="s">
        <v>329</v>
      </c>
      <c r="E38" s="189" t="s">
        <v>330</v>
      </c>
      <c r="F38" s="220" t="s">
        <v>331</v>
      </c>
      <c r="G38" s="245" t="s">
        <v>332</v>
      </c>
      <c r="H38" s="140" t="s">
        <v>333</v>
      </c>
      <c r="I38" s="251" t="s">
        <v>334</v>
      </c>
      <c r="J38" s="252">
        <v>16201.1337890625</v>
      </c>
    </row>
    <row r="39" spans="1:10" ht="15" customHeight="1">
      <c r="A39" s="191" t="s">
        <v>335</v>
      </c>
      <c r="B39" s="189" t="s">
        <v>336</v>
      </c>
      <c r="C39" s="189" t="s">
        <v>337</v>
      </c>
      <c r="D39" s="189" t="s">
        <v>338</v>
      </c>
      <c r="E39" s="189" t="s">
        <v>339</v>
      </c>
      <c r="F39" s="220" t="s">
        <v>340</v>
      </c>
      <c r="G39" s="210" t="s">
        <v>341</v>
      </c>
      <c r="H39" s="180"/>
      <c r="I39" s="253" t="s">
        <v>342</v>
      </c>
      <c r="J39" s="254" t="s">
        <v>154</v>
      </c>
    </row>
    <row r="40" spans="1:10" ht="15" customHeight="1">
      <c r="A40" s="191" t="s">
        <v>342</v>
      </c>
      <c r="B40" s="219" t="s">
        <v>343</v>
      </c>
      <c r="C40" s="219" t="s">
        <v>344</v>
      </c>
      <c r="D40" s="219" t="s">
        <v>345</v>
      </c>
      <c r="E40" s="219" t="s">
        <v>183</v>
      </c>
      <c r="F40" s="221" t="s">
        <v>346</v>
      </c>
      <c r="G40" s="255" t="s">
        <v>347</v>
      </c>
      <c r="H40" s="256" t="s">
        <v>348</v>
      </c>
      <c r="I40" s="257"/>
      <c r="J40" s="258"/>
    </row>
    <row r="41" spans="1:10" ht="15" customHeight="1">
      <c r="A41" s="191" t="s">
        <v>152</v>
      </c>
      <c r="B41" s="145" t="s">
        <v>349</v>
      </c>
      <c r="C41" s="145" t="s">
        <v>350</v>
      </c>
      <c r="D41" s="145" t="s">
        <v>351</v>
      </c>
      <c r="E41" s="145" t="s">
        <v>182</v>
      </c>
      <c r="F41" s="144" t="s">
        <v>352</v>
      </c>
      <c r="G41" s="259" t="s">
        <v>353</v>
      </c>
      <c r="H41" s="150" t="s">
        <v>354</v>
      </c>
      <c r="I41" s="260"/>
      <c r="J41" s="261"/>
    </row>
    <row r="42" spans="1:10" ht="15" customHeight="1">
      <c r="A42" s="191" t="s">
        <v>355</v>
      </c>
      <c r="B42" s="189">
        <v>5.2905614031776622</v>
      </c>
      <c r="C42" s="189">
        <v>4.5622806881486211</v>
      </c>
      <c r="D42" s="189">
        <v>4.1954003727878248</v>
      </c>
      <c r="E42" s="189">
        <v>3.984876760768838</v>
      </c>
      <c r="F42" s="220">
        <v>3.8450147638750312</v>
      </c>
      <c r="G42" s="255" t="s">
        <v>356</v>
      </c>
      <c r="H42" s="256" t="s">
        <v>357</v>
      </c>
      <c r="I42" s="257"/>
      <c r="J42" s="262">
        <v>0.25418485893819165</v>
      </c>
    </row>
    <row r="43" spans="1:10" ht="15" customHeight="1" thickBot="1">
      <c r="A43" s="245" t="s">
        <v>358</v>
      </c>
      <c r="B43" s="227">
        <v>7.9619537544488432</v>
      </c>
      <c r="C43" s="227"/>
      <c r="D43" s="227" t="s">
        <v>359</v>
      </c>
      <c r="E43" s="227"/>
      <c r="F43" s="228"/>
      <c r="G43" s="259" t="s">
        <v>353</v>
      </c>
      <c r="H43" s="150" t="s">
        <v>360</v>
      </c>
      <c r="I43" s="260"/>
      <c r="J43" s="261"/>
    </row>
    <row r="44" spans="1:10" ht="15" customHeight="1">
      <c r="A44" s="263" t="s">
        <v>361</v>
      </c>
      <c r="B44" s="264"/>
      <c r="C44" s="229"/>
      <c r="D44" s="229"/>
      <c r="E44" s="263" t="s">
        <v>362</v>
      </c>
      <c r="F44" s="265"/>
      <c r="G44" s="255" t="s">
        <v>363</v>
      </c>
      <c r="H44" s="266">
        <v>2963.3110226869944</v>
      </c>
      <c r="I44" s="267">
        <v>4.0681856978273624E-2</v>
      </c>
      <c r="J44" s="262">
        <v>0.62714931076694447</v>
      </c>
    </row>
    <row r="45" spans="1:10" ht="15" customHeight="1">
      <c r="A45" s="191" t="s">
        <v>364</v>
      </c>
      <c r="B45" s="189">
        <v>0.29211845993995667</v>
      </c>
      <c r="C45" s="268" t="s">
        <v>365</v>
      </c>
      <c r="D45" s="220">
        <v>7.7895000576972961E-3</v>
      </c>
      <c r="E45" s="191" t="s">
        <v>366</v>
      </c>
      <c r="F45" s="144">
        <v>472.35999772590372</v>
      </c>
      <c r="G45" s="269" t="s">
        <v>353</v>
      </c>
      <c r="H45" s="270" t="s">
        <v>367</v>
      </c>
      <c r="I45" s="271"/>
      <c r="J45" s="223"/>
    </row>
    <row r="46" spans="1:10" ht="15" customHeight="1">
      <c r="A46" s="191" t="s">
        <v>368</v>
      </c>
      <c r="B46" s="189">
        <v>0.20871827006340027</v>
      </c>
      <c r="C46" s="268" t="s">
        <v>369</v>
      </c>
      <c r="D46" s="220">
        <v>8.4958570078015327E-3</v>
      </c>
      <c r="E46" s="191" t="s">
        <v>370</v>
      </c>
      <c r="F46" s="144">
        <v>888.83073638130645</v>
      </c>
      <c r="G46" s="259" t="s">
        <v>153</v>
      </c>
      <c r="H46" s="272">
        <v>654.23775127254021</v>
      </c>
      <c r="I46" s="260"/>
      <c r="J46" s="261"/>
    </row>
    <row r="47" spans="1:10" ht="15" customHeight="1">
      <c r="A47" s="191" t="s">
        <v>371</v>
      </c>
      <c r="B47" s="189">
        <v>0.50083673000335693</v>
      </c>
      <c r="C47" s="268" t="s">
        <v>372</v>
      </c>
      <c r="D47" s="220">
        <v>4.5959404669702053E-3</v>
      </c>
      <c r="E47" s="191" t="s">
        <v>373</v>
      </c>
      <c r="F47" s="144">
        <v>386.17100802061896</v>
      </c>
      <c r="G47" s="273" t="s">
        <v>374</v>
      </c>
      <c r="H47" s="266">
        <v>2845.2881819231116</v>
      </c>
      <c r="I47" s="267">
        <v>3.9009306649749984E-2</v>
      </c>
      <c r="J47" s="274">
        <v>0.64129619521367587</v>
      </c>
    </row>
    <row r="48" spans="1:10" ht="15" customHeight="1">
      <c r="A48" s="191" t="s">
        <v>375</v>
      </c>
      <c r="B48" s="189">
        <v>1.0627176612615585E-2</v>
      </c>
      <c r="C48" s="268" t="s">
        <v>295</v>
      </c>
      <c r="D48" s="220">
        <v>3.1508475542068481E-2</v>
      </c>
      <c r="E48" s="191" t="s">
        <v>376</v>
      </c>
      <c r="F48" s="144">
        <v>120.88798147326425</v>
      </c>
      <c r="G48" s="275" t="s">
        <v>353</v>
      </c>
      <c r="H48" s="270">
        <v>217.9462414341717</v>
      </c>
      <c r="I48" s="271"/>
      <c r="J48" s="223"/>
    </row>
    <row r="49" spans="1:10" ht="15" customHeight="1" thickBot="1">
      <c r="A49" s="237"/>
      <c r="B49" s="276"/>
      <c r="C49" s="277" t="s">
        <v>155</v>
      </c>
      <c r="D49" s="228">
        <v>0.96849155426025391</v>
      </c>
      <c r="E49" s="245" t="s">
        <v>377</v>
      </c>
      <c r="F49" s="140">
        <v>303.96361466359042</v>
      </c>
      <c r="G49" s="278" t="s">
        <v>153</v>
      </c>
      <c r="H49" s="272">
        <v>640.37482755921451</v>
      </c>
      <c r="I49" s="260"/>
      <c r="J49" s="152"/>
    </row>
    <row r="50" spans="1:10" ht="15" customHeight="1">
      <c r="A50" s="210" t="s">
        <v>378</v>
      </c>
      <c r="B50" s="180"/>
      <c r="C50" s="180"/>
      <c r="D50" s="180"/>
      <c r="E50" s="180"/>
      <c r="F50" s="181"/>
      <c r="G50" s="210" t="s">
        <v>379</v>
      </c>
      <c r="H50" s="180"/>
      <c r="I50" s="179"/>
      <c r="J50" s="241"/>
    </row>
    <row r="51" spans="1:10" ht="15" customHeight="1">
      <c r="A51" s="188" t="s">
        <v>380</v>
      </c>
      <c r="B51" s="135">
        <v>38</v>
      </c>
      <c r="C51" s="243" t="s">
        <v>381</v>
      </c>
      <c r="D51" s="192">
        <v>6</v>
      </c>
      <c r="E51" s="243" t="s">
        <v>382</v>
      </c>
      <c r="F51" s="199">
        <v>11</v>
      </c>
      <c r="G51" s="243" t="s">
        <v>383</v>
      </c>
      <c r="H51" s="219">
        <v>0.12111798255519521</v>
      </c>
      <c r="I51" s="279" t="s">
        <v>384</v>
      </c>
      <c r="J51" s="230"/>
    </row>
    <row r="52" spans="1:10" ht="15" customHeight="1">
      <c r="A52" s="188" t="s">
        <v>242</v>
      </c>
      <c r="B52" s="192">
        <v>37</v>
      </c>
      <c r="C52" s="243" t="s">
        <v>385</v>
      </c>
      <c r="D52" s="192">
        <v>9.1000000238418579</v>
      </c>
      <c r="E52" s="243" t="s">
        <v>386</v>
      </c>
      <c r="F52" s="199">
        <v>0</v>
      </c>
      <c r="G52" s="243" t="s">
        <v>387</v>
      </c>
      <c r="H52" s="192">
        <v>69216.465635836023</v>
      </c>
      <c r="I52" s="280" t="s">
        <v>388</v>
      </c>
      <c r="J52" s="281"/>
    </row>
    <row r="53" spans="1:10" ht="15" customHeight="1">
      <c r="A53" s="188" t="s">
        <v>250</v>
      </c>
      <c r="B53" s="192">
        <v>0</v>
      </c>
      <c r="C53" s="243" t="s">
        <v>389</v>
      </c>
      <c r="D53" s="192">
        <v>17.002901077270508</v>
      </c>
      <c r="E53" s="243" t="s">
        <v>390</v>
      </c>
      <c r="F53" s="199">
        <v>0</v>
      </c>
      <c r="G53" s="243" t="s">
        <v>391</v>
      </c>
      <c r="H53" s="189">
        <v>37.575836196995056</v>
      </c>
      <c r="I53" s="279" t="s">
        <v>392</v>
      </c>
      <c r="J53" s="230"/>
    </row>
    <row r="54" spans="1:10" ht="15" customHeight="1">
      <c r="A54" s="188" t="s">
        <v>253</v>
      </c>
      <c r="B54" s="192">
        <v>1.8999999761581421</v>
      </c>
      <c r="C54" s="243" t="s">
        <v>393</v>
      </c>
      <c r="D54" s="192">
        <v>13.35695953849817</v>
      </c>
      <c r="E54" s="243" t="s">
        <v>390</v>
      </c>
      <c r="F54" s="199">
        <v>11</v>
      </c>
      <c r="G54" s="243" t="s">
        <v>394</v>
      </c>
      <c r="H54" s="145">
        <v>224450</v>
      </c>
      <c r="I54" s="282" t="s">
        <v>395</v>
      </c>
      <c r="J54" s="261" t="s">
        <v>396</v>
      </c>
    </row>
    <row r="55" spans="1:10" ht="15" customHeight="1">
      <c r="A55" s="188" t="s">
        <v>397</v>
      </c>
      <c r="B55" s="192">
        <v>6</v>
      </c>
      <c r="C55" s="243" t="s">
        <v>398</v>
      </c>
      <c r="D55" s="192">
        <v>22</v>
      </c>
      <c r="E55" s="243" t="s">
        <v>399</v>
      </c>
      <c r="F55" s="199">
        <v>0</v>
      </c>
      <c r="G55" s="243" t="s">
        <v>400</v>
      </c>
      <c r="H55" s="192">
        <v>1</v>
      </c>
      <c r="I55" s="279" t="s">
        <v>401</v>
      </c>
      <c r="J55" s="230"/>
    </row>
    <row r="56" spans="1:10" ht="15" customHeight="1" thickBot="1">
      <c r="A56" s="224" t="s">
        <v>402</v>
      </c>
      <c r="B56" s="225">
        <v>2</v>
      </c>
      <c r="C56" s="283" t="s">
        <v>403</v>
      </c>
      <c r="D56" s="225">
        <v>23.481341959194946</v>
      </c>
      <c r="E56" s="283" t="s">
        <v>404</v>
      </c>
      <c r="F56" s="226">
        <v>0</v>
      </c>
      <c r="G56" s="283" t="s">
        <v>405</v>
      </c>
      <c r="H56" s="227">
        <v>0.68740624999999989</v>
      </c>
      <c r="I56" s="284" t="s">
        <v>406</v>
      </c>
      <c r="J56" s="152" t="s">
        <v>407</v>
      </c>
    </row>
    <row r="57" spans="1:10" ht="15" customHeight="1">
      <c r="A57" s="175" t="s">
        <v>408</v>
      </c>
      <c r="B57" s="179"/>
      <c r="C57" s="179"/>
      <c r="D57" s="179"/>
      <c r="E57" s="179"/>
      <c r="F57" s="241"/>
      <c r="G57" s="285"/>
      <c r="H57" s="286"/>
      <c r="I57" s="286"/>
      <c r="J57" s="287"/>
    </row>
    <row r="58" spans="1:10" ht="15" customHeight="1">
      <c r="A58" s="288" t="s">
        <v>342</v>
      </c>
      <c r="B58" s="186" t="s">
        <v>409</v>
      </c>
      <c r="C58" s="187" t="s">
        <v>147</v>
      </c>
      <c r="D58" s="186" t="s">
        <v>342</v>
      </c>
      <c r="E58" s="186" t="s">
        <v>409</v>
      </c>
      <c r="F58" s="187" t="s">
        <v>410</v>
      </c>
      <c r="G58" s="289"/>
      <c r="H58" s="290"/>
      <c r="I58" s="290"/>
      <c r="J58" s="291"/>
    </row>
    <row r="59" spans="1:10" ht="15" customHeight="1">
      <c r="A59" s="292">
        <v>0</v>
      </c>
      <c r="B59" s="270">
        <v>0</v>
      </c>
      <c r="C59" s="293">
        <v>0.2563931941986084</v>
      </c>
      <c r="D59" s="294">
        <v>0.69999998807907104</v>
      </c>
      <c r="E59" s="270">
        <v>164.34570207746509</v>
      </c>
      <c r="F59" s="293">
        <v>677.0576171875</v>
      </c>
      <c r="G59" s="289"/>
      <c r="H59" s="290"/>
      <c r="I59" s="290"/>
      <c r="J59" s="291"/>
    </row>
    <row r="60" spans="1:10" ht="15" customHeight="1">
      <c r="A60" s="295">
        <v>9.9999997764825821E-3</v>
      </c>
      <c r="B60" s="270">
        <v>87.084798259895351</v>
      </c>
      <c r="C60" s="293">
        <v>121.63082122802734</v>
      </c>
      <c r="D60" s="294">
        <v>0.80000001192092896</v>
      </c>
      <c r="E60" s="270">
        <v>170.59825910262401</v>
      </c>
      <c r="F60" s="293">
        <v>682.787841796875</v>
      </c>
      <c r="G60" s="289"/>
      <c r="H60" s="290"/>
      <c r="I60" s="290"/>
      <c r="J60" s="291"/>
    </row>
    <row r="61" spans="1:10" ht="15" customHeight="1">
      <c r="A61" s="295">
        <v>5.000000074505806E-2</v>
      </c>
      <c r="B61" s="270">
        <v>240</v>
      </c>
      <c r="C61" s="293">
        <v>433.3988037109375</v>
      </c>
      <c r="D61" s="294">
        <v>0.89999997615814209</v>
      </c>
      <c r="E61" s="270">
        <v>181.60359584061104</v>
      </c>
      <c r="F61" s="293">
        <v>687.925048828125</v>
      </c>
      <c r="G61" s="289"/>
      <c r="H61" s="290"/>
      <c r="I61" s="290"/>
      <c r="J61" s="291"/>
    </row>
    <row r="62" spans="1:10" ht="15" customHeight="1">
      <c r="A62" s="292">
        <v>0.10000000149011612</v>
      </c>
      <c r="B62" s="270">
        <v>212.36818051614165</v>
      </c>
      <c r="C62" s="293">
        <v>564.056884765625</v>
      </c>
      <c r="D62" s="296">
        <v>1</v>
      </c>
      <c r="E62" s="270">
        <v>200</v>
      </c>
      <c r="F62" s="293">
        <v>692.4107666015625</v>
      </c>
      <c r="G62" s="289"/>
      <c r="H62" s="290"/>
      <c r="I62" s="290"/>
      <c r="J62" s="291"/>
    </row>
    <row r="63" spans="1:10" ht="15" customHeight="1" thickBot="1">
      <c r="A63" s="292">
        <v>0.15000000596046448</v>
      </c>
      <c r="B63" s="270">
        <v>180.77856393750176</v>
      </c>
      <c r="C63" s="293">
        <v>606.8428955078125</v>
      </c>
      <c r="D63" s="297"/>
      <c r="E63" s="298"/>
      <c r="F63" s="299"/>
      <c r="G63" s="289"/>
      <c r="H63" s="290"/>
      <c r="I63" s="290"/>
      <c r="J63" s="291"/>
    </row>
    <row r="64" spans="1:10" ht="15" customHeight="1">
      <c r="A64" s="292">
        <v>0.20000000298023224</v>
      </c>
      <c r="B64" s="270">
        <v>167.02373152114785</v>
      </c>
      <c r="C64" s="293">
        <v>626.06231689453125</v>
      </c>
      <c r="D64" s="300" t="s">
        <v>411</v>
      </c>
      <c r="E64" s="301"/>
      <c r="F64" s="301"/>
      <c r="G64" s="289"/>
      <c r="H64" s="290"/>
      <c r="I64" s="290"/>
      <c r="J64" s="291"/>
    </row>
    <row r="65" spans="1:10" ht="15" customHeight="1">
      <c r="A65" s="292">
        <v>0.30000001192092896</v>
      </c>
      <c r="B65" s="270">
        <v>160.54227241774151</v>
      </c>
      <c r="C65" s="293">
        <v>644.40673828125</v>
      </c>
      <c r="D65" s="302" t="s">
        <v>125</v>
      </c>
      <c r="E65" s="303" t="s">
        <v>124</v>
      </c>
      <c r="F65" s="304"/>
      <c r="G65" s="289"/>
      <c r="H65" s="290"/>
      <c r="I65" s="290"/>
      <c r="J65" s="291"/>
    </row>
    <row r="66" spans="1:10" ht="15" customHeight="1">
      <c r="A66" s="292">
        <v>0.40000000596046448</v>
      </c>
      <c r="B66" s="270">
        <v>160.37640445174748</v>
      </c>
      <c r="C66" s="293">
        <v>655.05303955078125</v>
      </c>
      <c r="D66" s="302" t="s">
        <v>128</v>
      </c>
      <c r="E66" s="303" t="s">
        <v>412</v>
      </c>
      <c r="F66" s="304"/>
      <c r="G66" s="289"/>
      <c r="H66" s="290"/>
      <c r="I66" s="290"/>
      <c r="J66" s="291"/>
    </row>
    <row r="67" spans="1:10" ht="15" customHeight="1">
      <c r="A67" s="292">
        <v>0.5</v>
      </c>
      <c r="B67" s="270">
        <v>160</v>
      </c>
      <c r="C67" s="293">
        <v>663.4112548828125</v>
      </c>
      <c r="D67" s="302" t="s">
        <v>120</v>
      </c>
      <c r="E67" s="303" t="s">
        <v>413</v>
      </c>
      <c r="F67" s="304"/>
      <c r="G67" s="289"/>
      <c r="H67" s="290"/>
      <c r="I67" s="290"/>
      <c r="J67" s="291"/>
    </row>
    <row r="68" spans="1:10" ht="15" customHeight="1" thickBot="1">
      <c r="A68" s="305">
        <v>0.60000002384185791</v>
      </c>
      <c r="B68" s="306">
        <v>161.1715086643556</v>
      </c>
      <c r="C68" s="307">
        <v>670.73626708984375</v>
      </c>
      <c r="D68" s="308" t="s">
        <v>119</v>
      </c>
      <c r="E68" s="309" t="s">
        <v>414</v>
      </c>
      <c r="F68" s="309"/>
      <c r="G68" s="310"/>
      <c r="H68" s="311"/>
      <c r="I68" s="311"/>
      <c r="J68" s="312"/>
    </row>
    <row r="69" spans="1:10" ht="15" customHeight="1">
      <c r="A69" s="313"/>
      <c r="B69" s="313"/>
      <c r="C69" s="313"/>
      <c r="D69" s="313"/>
      <c r="E69" s="313"/>
      <c r="F69" s="313"/>
      <c r="G69" s="313"/>
      <c r="H69" s="313"/>
      <c r="I69" s="313"/>
      <c r="J69" s="313"/>
    </row>
    <row r="70" spans="1:10" ht="15" customHeight="1">
      <c r="A70" s="313"/>
      <c r="B70" s="313"/>
      <c r="C70" s="313"/>
      <c r="D70" s="313"/>
      <c r="E70" s="313"/>
      <c r="F70" s="313"/>
      <c r="G70" s="313"/>
      <c r="H70" s="313"/>
      <c r="I70" s="313"/>
      <c r="J70" s="313"/>
    </row>
    <row r="71" spans="1:10">
      <c r="A71" s="166"/>
      <c r="B71" s="166"/>
      <c r="C71" s="166"/>
      <c r="D71" s="166"/>
      <c r="E71" s="166"/>
      <c r="F71" s="166"/>
      <c r="G71" s="166"/>
      <c r="H71" s="166"/>
      <c r="I71" s="166"/>
      <c r="J71" s="166"/>
    </row>
    <row r="99" spans="1:9">
      <c r="A99" s="105" t="s">
        <v>113</v>
      </c>
      <c r="B99" s="105"/>
      <c r="C99" s="105"/>
      <c r="D99" s="105"/>
      <c r="E99" s="105"/>
      <c r="F99" s="105"/>
      <c r="G99" s="105"/>
      <c r="H99" s="105"/>
      <c r="I99" s="105"/>
    </row>
    <row r="100" spans="1:9">
      <c r="A100" s="105">
        <v>100</v>
      </c>
      <c r="B100" s="105"/>
      <c r="C100" s="105"/>
      <c r="D100" s="105"/>
      <c r="E100" s="105"/>
      <c r="F100" s="105"/>
      <c r="G100" s="105"/>
      <c r="H100" s="105"/>
      <c r="I100" s="105"/>
    </row>
    <row r="101" spans="1:9">
      <c r="A101" s="105">
        <v>98</v>
      </c>
      <c r="B101" s="105"/>
      <c r="C101" s="105"/>
      <c r="D101" s="105"/>
      <c r="E101" s="105"/>
      <c r="F101" s="105"/>
      <c r="G101" s="105"/>
      <c r="H101" s="105"/>
      <c r="I101" s="105"/>
    </row>
    <row r="102" spans="1:9">
      <c r="A102" s="105">
        <v>87</v>
      </c>
      <c r="B102" s="105"/>
      <c r="C102" s="105"/>
      <c r="D102" s="105"/>
      <c r="E102" s="105"/>
      <c r="F102" s="105"/>
      <c r="G102" s="105"/>
      <c r="H102" s="105"/>
      <c r="I102" s="105"/>
    </row>
    <row r="103" spans="1:9">
      <c r="A103" s="105">
        <v>74</v>
      </c>
      <c r="B103" s="105"/>
      <c r="C103" s="105"/>
      <c r="D103" s="105"/>
      <c r="E103" s="105"/>
      <c r="F103" s="105"/>
      <c r="G103" s="105"/>
      <c r="H103" s="105"/>
      <c r="I103" s="105"/>
    </row>
    <row r="104" spans="1:9">
      <c r="A104" s="105">
        <v>61</v>
      </c>
      <c r="B104" s="105"/>
      <c r="C104" s="105"/>
      <c r="D104" s="105"/>
      <c r="E104" s="105"/>
      <c r="F104" s="105"/>
      <c r="G104" s="105"/>
      <c r="H104" s="105"/>
      <c r="I104" s="105"/>
    </row>
    <row r="105" spans="1:9">
      <c r="A105" s="105">
        <v>50</v>
      </c>
      <c r="B105" s="105"/>
      <c r="C105" s="105"/>
      <c r="D105" s="105"/>
      <c r="E105" s="105"/>
      <c r="F105" s="105"/>
      <c r="G105" s="105"/>
      <c r="H105" s="105"/>
      <c r="I105" s="105"/>
    </row>
    <row r="106" spans="1:9">
      <c r="A106" s="105">
        <v>33</v>
      </c>
      <c r="B106" s="105"/>
      <c r="C106" s="105"/>
      <c r="D106" s="105"/>
      <c r="E106" s="105"/>
      <c r="F106" s="105"/>
      <c r="G106" s="105"/>
      <c r="H106" s="105"/>
      <c r="I106" s="105"/>
    </row>
    <row r="107" spans="1:9">
      <c r="A107" s="105">
        <v>22</v>
      </c>
      <c r="B107" s="105"/>
      <c r="C107" s="105"/>
      <c r="D107" s="105"/>
      <c r="E107" s="105"/>
      <c r="F107" s="105"/>
      <c r="G107" s="105"/>
      <c r="H107" s="105"/>
      <c r="I107" s="105"/>
    </row>
    <row r="108" spans="1:9">
      <c r="A108" s="105">
        <v>14</v>
      </c>
      <c r="B108" s="105"/>
      <c r="C108" s="105"/>
      <c r="D108" s="105"/>
      <c r="E108" s="105"/>
      <c r="F108" s="105"/>
      <c r="G108" s="105"/>
      <c r="H108" s="105"/>
      <c r="I108" s="105"/>
    </row>
    <row r="109" spans="1:9">
      <c r="A109" s="105">
        <v>7.9999995231628418</v>
      </c>
      <c r="B109" s="105"/>
      <c r="C109" s="105"/>
      <c r="D109" s="105"/>
      <c r="E109" s="105"/>
      <c r="F109" s="105"/>
      <c r="G109" s="105"/>
      <c r="H109" s="105"/>
      <c r="I109" s="105"/>
    </row>
    <row r="110" spans="1:9">
      <c r="A110" s="105">
        <v>5.9999995231628418</v>
      </c>
      <c r="B110" s="105"/>
      <c r="C110" s="105"/>
      <c r="D110" s="105"/>
      <c r="E110" s="105"/>
      <c r="F110" s="105"/>
      <c r="G110" s="105"/>
      <c r="H110" s="105"/>
      <c r="I110" s="105"/>
    </row>
    <row r="111" spans="1:9">
      <c r="A111" s="105">
        <v>8.0000009536743164</v>
      </c>
      <c r="B111" s="105"/>
      <c r="C111" s="105"/>
      <c r="D111" s="105"/>
      <c r="E111" s="105"/>
      <c r="F111" s="105"/>
      <c r="G111" s="105"/>
      <c r="H111" s="105"/>
      <c r="I111" s="105"/>
    </row>
    <row r="112" spans="1:9">
      <c r="A112" s="105">
        <v>14.999996185302734</v>
      </c>
      <c r="B112" s="105"/>
      <c r="C112" s="105"/>
      <c r="D112" s="105"/>
      <c r="E112" s="105"/>
      <c r="F112" s="105"/>
      <c r="G112" s="105"/>
      <c r="H112" s="105"/>
      <c r="I112" s="105"/>
    </row>
    <row r="113" spans="1:9">
      <c r="A113" s="105">
        <v>30</v>
      </c>
      <c r="B113" s="105"/>
      <c r="C113" s="105"/>
      <c r="D113" s="105"/>
      <c r="E113" s="105"/>
      <c r="F113" s="105"/>
      <c r="G113" s="105"/>
      <c r="H113" s="105"/>
      <c r="I113" s="105"/>
    </row>
  </sheetData>
  <printOptions horizontalCentered="1"/>
  <pageMargins left="0.86614173228346503" right="0" top="0.23622047244094499" bottom="0.23622047244094499" header="0" footer="0"/>
  <pageSetup scale="76" orientation="portrait" horizontalDpi="4294967292" verticalDpi="30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Y53"/>
  <sheetViews>
    <sheetView topLeftCell="A19" workbookViewId="0">
      <selection activeCell="O17" sqref="O17"/>
    </sheetView>
  </sheetViews>
  <sheetFormatPr defaultRowHeight="15.75"/>
  <cols>
    <col min="1" max="1" width="12.140625" style="452" customWidth="1"/>
    <col min="2" max="2" width="6.140625" style="452" customWidth="1"/>
    <col min="3" max="3" width="7.140625" style="452" customWidth="1"/>
    <col min="4" max="4" width="12.85546875" style="452" customWidth="1"/>
    <col min="5" max="5" width="12.5703125" style="452" customWidth="1"/>
    <col min="6" max="6" width="9.42578125" style="452" customWidth="1"/>
    <col min="7" max="7" width="5.7109375" style="452" customWidth="1"/>
    <col min="8" max="8" width="7.85546875" style="452" customWidth="1"/>
    <col min="9" max="9" width="6.5703125" style="452" customWidth="1"/>
    <col min="10" max="10" width="12" style="455" customWidth="1"/>
    <col min="11" max="25" width="9.140625" style="314"/>
    <col min="26" max="255" width="9.140625" style="315"/>
    <col min="256" max="256" width="12.140625" style="315" customWidth="1"/>
    <col min="257" max="257" width="6.140625" style="315" customWidth="1"/>
    <col min="258" max="258" width="7.140625" style="315" customWidth="1"/>
    <col min="259" max="259" width="12.85546875" style="315" customWidth="1"/>
    <col min="260" max="260" width="12.5703125" style="315" customWidth="1"/>
    <col min="261" max="261" width="9.42578125" style="315" customWidth="1"/>
    <col min="262" max="262" width="5.7109375" style="315" customWidth="1"/>
    <col min="263" max="263" width="7.85546875" style="315" customWidth="1"/>
    <col min="264" max="264" width="6.5703125" style="315" customWidth="1"/>
    <col min="265" max="266" width="12" style="315" customWidth="1"/>
    <col min="267" max="511" width="9.140625" style="315"/>
    <col min="512" max="512" width="12.140625" style="315" customWidth="1"/>
    <col min="513" max="513" width="6.140625" style="315" customWidth="1"/>
    <col min="514" max="514" width="7.140625" style="315" customWidth="1"/>
    <col min="515" max="515" width="12.85546875" style="315" customWidth="1"/>
    <col min="516" max="516" width="12.5703125" style="315" customWidth="1"/>
    <col min="517" max="517" width="9.42578125" style="315" customWidth="1"/>
    <col min="518" max="518" width="5.7109375" style="315" customWidth="1"/>
    <col min="519" max="519" width="7.85546875" style="315" customWidth="1"/>
    <col min="520" max="520" width="6.5703125" style="315" customWidth="1"/>
    <col min="521" max="522" width="12" style="315" customWidth="1"/>
    <col min="523" max="767" width="9.140625" style="315"/>
    <col min="768" max="768" width="12.140625" style="315" customWidth="1"/>
    <col min="769" max="769" width="6.140625" style="315" customWidth="1"/>
    <col min="770" max="770" width="7.140625" style="315" customWidth="1"/>
    <col min="771" max="771" width="12.85546875" style="315" customWidth="1"/>
    <col min="772" max="772" width="12.5703125" style="315" customWidth="1"/>
    <col min="773" max="773" width="9.42578125" style="315" customWidth="1"/>
    <col min="774" max="774" width="5.7109375" style="315" customWidth="1"/>
    <col min="775" max="775" width="7.85546875" style="315" customWidth="1"/>
    <col min="776" max="776" width="6.5703125" style="315" customWidth="1"/>
    <col min="777" max="778" width="12" style="315" customWidth="1"/>
    <col min="779" max="1023" width="9.140625" style="315"/>
    <col min="1024" max="1024" width="12.140625" style="315" customWidth="1"/>
    <col min="1025" max="1025" width="6.140625" style="315" customWidth="1"/>
    <col min="1026" max="1026" width="7.140625" style="315" customWidth="1"/>
    <col min="1027" max="1027" width="12.85546875" style="315" customWidth="1"/>
    <col min="1028" max="1028" width="12.5703125" style="315" customWidth="1"/>
    <col min="1029" max="1029" width="9.42578125" style="315" customWidth="1"/>
    <col min="1030" max="1030" width="5.7109375" style="315" customWidth="1"/>
    <col min="1031" max="1031" width="7.85546875" style="315" customWidth="1"/>
    <col min="1032" max="1032" width="6.5703125" style="315" customWidth="1"/>
    <col min="1033" max="1034" width="12" style="315" customWidth="1"/>
    <col min="1035" max="1279" width="9.140625" style="315"/>
    <col min="1280" max="1280" width="12.140625" style="315" customWidth="1"/>
    <col min="1281" max="1281" width="6.140625" style="315" customWidth="1"/>
    <col min="1282" max="1282" width="7.140625" style="315" customWidth="1"/>
    <col min="1283" max="1283" width="12.85546875" style="315" customWidth="1"/>
    <col min="1284" max="1284" width="12.5703125" style="315" customWidth="1"/>
    <col min="1285" max="1285" width="9.42578125" style="315" customWidth="1"/>
    <col min="1286" max="1286" width="5.7109375" style="315" customWidth="1"/>
    <col min="1287" max="1287" width="7.85546875" style="315" customWidth="1"/>
    <col min="1288" max="1288" width="6.5703125" style="315" customWidth="1"/>
    <col min="1289" max="1290" width="12" style="315" customWidth="1"/>
    <col min="1291" max="1535" width="9.140625" style="315"/>
    <col min="1536" max="1536" width="12.140625" style="315" customWidth="1"/>
    <col min="1537" max="1537" width="6.140625" style="315" customWidth="1"/>
    <col min="1538" max="1538" width="7.140625" style="315" customWidth="1"/>
    <col min="1539" max="1539" width="12.85546875" style="315" customWidth="1"/>
    <col min="1540" max="1540" width="12.5703125" style="315" customWidth="1"/>
    <col min="1541" max="1541" width="9.42578125" style="315" customWidth="1"/>
    <col min="1542" max="1542" width="5.7109375" style="315" customWidth="1"/>
    <col min="1543" max="1543" width="7.85546875" style="315" customWidth="1"/>
    <col min="1544" max="1544" width="6.5703125" style="315" customWidth="1"/>
    <col min="1545" max="1546" width="12" style="315" customWidth="1"/>
    <col min="1547" max="1791" width="9.140625" style="315"/>
    <col min="1792" max="1792" width="12.140625" style="315" customWidth="1"/>
    <col min="1793" max="1793" width="6.140625" style="315" customWidth="1"/>
    <col min="1794" max="1794" width="7.140625" style="315" customWidth="1"/>
    <col min="1795" max="1795" width="12.85546875" style="315" customWidth="1"/>
    <col min="1796" max="1796" width="12.5703125" style="315" customWidth="1"/>
    <col min="1797" max="1797" width="9.42578125" style="315" customWidth="1"/>
    <col min="1798" max="1798" width="5.7109375" style="315" customWidth="1"/>
    <col min="1799" max="1799" width="7.85546875" style="315" customWidth="1"/>
    <col min="1800" max="1800" width="6.5703125" style="315" customWidth="1"/>
    <col min="1801" max="1802" width="12" style="315" customWidth="1"/>
    <col min="1803" max="2047" width="9.140625" style="315"/>
    <col min="2048" max="2048" width="12.140625" style="315" customWidth="1"/>
    <col min="2049" max="2049" width="6.140625" style="315" customWidth="1"/>
    <col min="2050" max="2050" width="7.140625" style="315" customWidth="1"/>
    <col min="2051" max="2051" width="12.85546875" style="315" customWidth="1"/>
    <col min="2052" max="2052" width="12.5703125" style="315" customWidth="1"/>
    <col min="2053" max="2053" width="9.42578125" style="315" customWidth="1"/>
    <col min="2054" max="2054" width="5.7109375" style="315" customWidth="1"/>
    <col min="2055" max="2055" width="7.85546875" style="315" customWidth="1"/>
    <col min="2056" max="2056" width="6.5703125" style="315" customWidth="1"/>
    <col min="2057" max="2058" width="12" style="315" customWidth="1"/>
    <col min="2059" max="2303" width="9.140625" style="315"/>
    <col min="2304" max="2304" width="12.140625" style="315" customWidth="1"/>
    <col min="2305" max="2305" width="6.140625" style="315" customWidth="1"/>
    <col min="2306" max="2306" width="7.140625" style="315" customWidth="1"/>
    <col min="2307" max="2307" width="12.85546875" style="315" customWidth="1"/>
    <col min="2308" max="2308" width="12.5703125" style="315" customWidth="1"/>
    <col min="2309" max="2309" width="9.42578125" style="315" customWidth="1"/>
    <col min="2310" max="2310" width="5.7109375" style="315" customWidth="1"/>
    <col min="2311" max="2311" width="7.85546875" style="315" customWidth="1"/>
    <col min="2312" max="2312" width="6.5703125" style="315" customWidth="1"/>
    <col min="2313" max="2314" width="12" style="315" customWidth="1"/>
    <col min="2315" max="2559" width="9.140625" style="315"/>
    <col min="2560" max="2560" width="12.140625" style="315" customWidth="1"/>
    <col min="2561" max="2561" width="6.140625" style="315" customWidth="1"/>
    <col min="2562" max="2562" width="7.140625" style="315" customWidth="1"/>
    <col min="2563" max="2563" width="12.85546875" style="315" customWidth="1"/>
    <col min="2564" max="2564" width="12.5703125" style="315" customWidth="1"/>
    <col min="2565" max="2565" width="9.42578125" style="315" customWidth="1"/>
    <col min="2566" max="2566" width="5.7109375" style="315" customWidth="1"/>
    <col min="2567" max="2567" width="7.85546875" style="315" customWidth="1"/>
    <col min="2568" max="2568" width="6.5703125" style="315" customWidth="1"/>
    <col min="2569" max="2570" width="12" style="315" customWidth="1"/>
    <col min="2571" max="2815" width="9.140625" style="315"/>
    <col min="2816" max="2816" width="12.140625" style="315" customWidth="1"/>
    <col min="2817" max="2817" width="6.140625" style="315" customWidth="1"/>
    <col min="2818" max="2818" width="7.140625" style="315" customWidth="1"/>
    <col min="2819" max="2819" width="12.85546875" style="315" customWidth="1"/>
    <col min="2820" max="2820" width="12.5703125" style="315" customWidth="1"/>
    <col min="2821" max="2821" width="9.42578125" style="315" customWidth="1"/>
    <col min="2822" max="2822" width="5.7109375" style="315" customWidth="1"/>
    <col min="2823" max="2823" width="7.85546875" style="315" customWidth="1"/>
    <col min="2824" max="2824" width="6.5703125" style="315" customWidth="1"/>
    <col min="2825" max="2826" width="12" style="315" customWidth="1"/>
    <col min="2827" max="3071" width="9.140625" style="315"/>
    <col min="3072" max="3072" width="12.140625" style="315" customWidth="1"/>
    <col min="3073" max="3073" width="6.140625" style="315" customWidth="1"/>
    <col min="3074" max="3074" width="7.140625" style="315" customWidth="1"/>
    <col min="3075" max="3075" width="12.85546875" style="315" customWidth="1"/>
    <col min="3076" max="3076" width="12.5703125" style="315" customWidth="1"/>
    <col min="3077" max="3077" width="9.42578125" style="315" customWidth="1"/>
    <col min="3078" max="3078" width="5.7109375" style="315" customWidth="1"/>
    <col min="3079" max="3079" width="7.85546875" style="315" customWidth="1"/>
    <col min="3080" max="3080" width="6.5703125" style="315" customWidth="1"/>
    <col min="3081" max="3082" width="12" style="315" customWidth="1"/>
    <col min="3083" max="3327" width="9.140625" style="315"/>
    <col min="3328" max="3328" width="12.140625" style="315" customWidth="1"/>
    <col min="3329" max="3329" width="6.140625" style="315" customWidth="1"/>
    <col min="3330" max="3330" width="7.140625" style="315" customWidth="1"/>
    <col min="3331" max="3331" width="12.85546875" style="315" customWidth="1"/>
    <col min="3332" max="3332" width="12.5703125" style="315" customWidth="1"/>
    <col min="3333" max="3333" width="9.42578125" style="315" customWidth="1"/>
    <col min="3334" max="3334" width="5.7109375" style="315" customWidth="1"/>
    <col min="3335" max="3335" width="7.85546875" style="315" customWidth="1"/>
    <col min="3336" max="3336" width="6.5703125" style="315" customWidth="1"/>
    <col min="3337" max="3338" width="12" style="315" customWidth="1"/>
    <col min="3339" max="3583" width="9.140625" style="315"/>
    <col min="3584" max="3584" width="12.140625" style="315" customWidth="1"/>
    <col min="3585" max="3585" width="6.140625" style="315" customWidth="1"/>
    <col min="3586" max="3586" width="7.140625" style="315" customWidth="1"/>
    <col min="3587" max="3587" width="12.85546875" style="315" customWidth="1"/>
    <col min="3588" max="3588" width="12.5703125" style="315" customWidth="1"/>
    <col min="3589" max="3589" width="9.42578125" style="315" customWidth="1"/>
    <col min="3590" max="3590" width="5.7109375" style="315" customWidth="1"/>
    <col min="3591" max="3591" width="7.85546875" style="315" customWidth="1"/>
    <col min="3592" max="3592" width="6.5703125" style="315" customWidth="1"/>
    <col min="3593" max="3594" width="12" style="315" customWidth="1"/>
    <col min="3595" max="3839" width="9.140625" style="315"/>
    <col min="3840" max="3840" width="12.140625" style="315" customWidth="1"/>
    <col min="3841" max="3841" width="6.140625" style="315" customWidth="1"/>
    <col min="3842" max="3842" width="7.140625" style="315" customWidth="1"/>
    <col min="3843" max="3843" width="12.85546875" style="315" customWidth="1"/>
    <col min="3844" max="3844" width="12.5703125" style="315" customWidth="1"/>
    <col min="3845" max="3845" width="9.42578125" style="315" customWidth="1"/>
    <col min="3846" max="3846" width="5.7109375" style="315" customWidth="1"/>
    <col min="3847" max="3847" width="7.85546875" style="315" customWidth="1"/>
    <col min="3848" max="3848" width="6.5703125" style="315" customWidth="1"/>
    <col min="3849" max="3850" width="12" style="315" customWidth="1"/>
    <col min="3851" max="4095" width="9.140625" style="315"/>
    <col min="4096" max="4096" width="12.140625" style="315" customWidth="1"/>
    <col min="4097" max="4097" width="6.140625" style="315" customWidth="1"/>
    <col min="4098" max="4098" width="7.140625" style="315" customWidth="1"/>
    <col min="4099" max="4099" width="12.85546875" style="315" customWidth="1"/>
    <col min="4100" max="4100" width="12.5703125" style="315" customWidth="1"/>
    <col min="4101" max="4101" width="9.42578125" style="315" customWidth="1"/>
    <col min="4102" max="4102" width="5.7109375" style="315" customWidth="1"/>
    <col min="4103" max="4103" width="7.85546875" style="315" customWidth="1"/>
    <col min="4104" max="4104" width="6.5703125" style="315" customWidth="1"/>
    <col min="4105" max="4106" width="12" style="315" customWidth="1"/>
    <col min="4107" max="4351" width="9.140625" style="315"/>
    <col min="4352" max="4352" width="12.140625" style="315" customWidth="1"/>
    <col min="4353" max="4353" width="6.140625" style="315" customWidth="1"/>
    <col min="4354" max="4354" width="7.140625" style="315" customWidth="1"/>
    <col min="4355" max="4355" width="12.85546875" style="315" customWidth="1"/>
    <col min="4356" max="4356" width="12.5703125" style="315" customWidth="1"/>
    <col min="4357" max="4357" width="9.42578125" style="315" customWidth="1"/>
    <col min="4358" max="4358" width="5.7109375" style="315" customWidth="1"/>
    <col min="4359" max="4359" width="7.85546875" style="315" customWidth="1"/>
    <col min="4360" max="4360" width="6.5703125" style="315" customWidth="1"/>
    <col min="4361" max="4362" width="12" style="315" customWidth="1"/>
    <col min="4363" max="4607" width="9.140625" style="315"/>
    <col min="4608" max="4608" width="12.140625" style="315" customWidth="1"/>
    <col min="4609" max="4609" width="6.140625" style="315" customWidth="1"/>
    <col min="4610" max="4610" width="7.140625" style="315" customWidth="1"/>
    <col min="4611" max="4611" width="12.85546875" style="315" customWidth="1"/>
    <col min="4612" max="4612" width="12.5703125" style="315" customWidth="1"/>
    <col min="4613" max="4613" width="9.42578125" style="315" customWidth="1"/>
    <col min="4614" max="4614" width="5.7109375" style="315" customWidth="1"/>
    <col min="4615" max="4615" width="7.85546875" style="315" customWidth="1"/>
    <col min="4616" max="4616" width="6.5703125" style="315" customWidth="1"/>
    <col min="4617" max="4618" width="12" style="315" customWidth="1"/>
    <col min="4619" max="4863" width="9.140625" style="315"/>
    <col min="4864" max="4864" width="12.140625" style="315" customWidth="1"/>
    <col min="4865" max="4865" width="6.140625" style="315" customWidth="1"/>
    <col min="4866" max="4866" width="7.140625" style="315" customWidth="1"/>
    <col min="4867" max="4867" width="12.85546875" style="315" customWidth="1"/>
    <col min="4868" max="4868" width="12.5703125" style="315" customWidth="1"/>
    <col min="4869" max="4869" width="9.42578125" style="315" customWidth="1"/>
    <col min="4870" max="4870" width="5.7109375" style="315" customWidth="1"/>
    <col min="4871" max="4871" width="7.85546875" style="315" customWidth="1"/>
    <col min="4872" max="4872" width="6.5703125" style="315" customWidth="1"/>
    <col min="4873" max="4874" width="12" style="315" customWidth="1"/>
    <col min="4875" max="5119" width="9.140625" style="315"/>
    <col min="5120" max="5120" width="12.140625" style="315" customWidth="1"/>
    <col min="5121" max="5121" width="6.140625" style="315" customWidth="1"/>
    <col min="5122" max="5122" width="7.140625" style="315" customWidth="1"/>
    <col min="5123" max="5123" width="12.85546875" style="315" customWidth="1"/>
    <col min="5124" max="5124" width="12.5703125" style="315" customWidth="1"/>
    <col min="5125" max="5125" width="9.42578125" style="315" customWidth="1"/>
    <col min="5126" max="5126" width="5.7109375" style="315" customWidth="1"/>
    <col min="5127" max="5127" width="7.85546875" style="315" customWidth="1"/>
    <col min="5128" max="5128" width="6.5703125" style="315" customWidth="1"/>
    <col min="5129" max="5130" width="12" style="315" customWidth="1"/>
    <col min="5131" max="5375" width="9.140625" style="315"/>
    <col min="5376" max="5376" width="12.140625" style="315" customWidth="1"/>
    <col min="5377" max="5377" width="6.140625" style="315" customWidth="1"/>
    <col min="5378" max="5378" width="7.140625" style="315" customWidth="1"/>
    <col min="5379" max="5379" width="12.85546875" style="315" customWidth="1"/>
    <col min="5380" max="5380" width="12.5703125" style="315" customWidth="1"/>
    <col min="5381" max="5381" width="9.42578125" style="315" customWidth="1"/>
    <col min="5382" max="5382" width="5.7109375" style="315" customWidth="1"/>
    <col min="5383" max="5383" width="7.85546875" style="315" customWidth="1"/>
    <col min="5384" max="5384" width="6.5703125" style="315" customWidth="1"/>
    <col min="5385" max="5386" width="12" style="315" customWidth="1"/>
    <col min="5387" max="5631" width="9.140625" style="315"/>
    <col min="5632" max="5632" width="12.140625" style="315" customWidth="1"/>
    <col min="5633" max="5633" width="6.140625" style="315" customWidth="1"/>
    <col min="5634" max="5634" width="7.140625" style="315" customWidth="1"/>
    <col min="5635" max="5635" width="12.85546875" style="315" customWidth="1"/>
    <col min="5636" max="5636" width="12.5703125" style="315" customWidth="1"/>
    <col min="5637" max="5637" width="9.42578125" style="315" customWidth="1"/>
    <col min="5638" max="5638" width="5.7109375" style="315" customWidth="1"/>
    <col min="5639" max="5639" width="7.85546875" style="315" customWidth="1"/>
    <col min="5640" max="5640" width="6.5703125" style="315" customWidth="1"/>
    <col min="5641" max="5642" width="12" style="315" customWidth="1"/>
    <col min="5643" max="5887" width="9.140625" style="315"/>
    <col min="5888" max="5888" width="12.140625" style="315" customWidth="1"/>
    <col min="5889" max="5889" width="6.140625" style="315" customWidth="1"/>
    <col min="5890" max="5890" width="7.140625" style="315" customWidth="1"/>
    <col min="5891" max="5891" width="12.85546875" style="315" customWidth="1"/>
    <col min="5892" max="5892" width="12.5703125" style="315" customWidth="1"/>
    <col min="5893" max="5893" width="9.42578125" style="315" customWidth="1"/>
    <col min="5894" max="5894" width="5.7109375" style="315" customWidth="1"/>
    <col min="5895" max="5895" width="7.85546875" style="315" customWidth="1"/>
    <col min="5896" max="5896" width="6.5703125" style="315" customWidth="1"/>
    <col min="5897" max="5898" width="12" style="315" customWidth="1"/>
    <col min="5899" max="6143" width="9.140625" style="315"/>
    <col min="6144" max="6144" width="12.140625" style="315" customWidth="1"/>
    <col min="6145" max="6145" width="6.140625" style="315" customWidth="1"/>
    <col min="6146" max="6146" width="7.140625" style="315" customWidth="1"/>
    <col min="6147" max="6147" width="12.85546875" style="315" customWidth="1"/>
    <col min="6148" max="6148" width="12.5703125" style="315" customWidth="1"/>
    <col min="6149" max="6149" width="9.42578125" style="315" customWidth="1"/>
    <col min="6150" max="6150" width="5.7109375" style="315" customWidth="1"/>
    <col min="6151" max="6151" width="7.85546875" style="315" customWidth="1"/>
    <col min="6152" max="6152" width="6.5703125" style="315" customWidth="1"/>
    <col min="6153" max="6154" width="12" style="315" customWidth="1"/>
    <col min="6155" max="6399" width="9.140625" style="315"/>
    <col min="6400" max="6400" width="12.140625" style="315" customWidth="1"/>
    <col min="6401" max="6401" width="6.140625" style="315" customWidth="1"/>
    <col min="6402" max="6402" width="7.140625" style="315" customWidth="1"/>
    <col min="6403" max="6403" width="12.85546875" style="315" customWidth="1"/>
    <col min="6404" max="6404" width="12.5703125" style="315" customWidth="1"/>
    <col min="6405" max="6405" width="9.42578125" style="315" customWidth="1"/>
    <col min="6406" max="6406" width="5.7109375" style="315" customWidth="1"/>
    <col min="6407" max="6407" width="7.85546875" style="315" customWidth="1"/>
    <col min="6408" max="6408" width="6.5703125" style="315" customWidth="1"/>
    <col min="6409" max="6410" width="12" style="315" customWidth="1"/>
    <col min="6411" max="6655" width="9.140625" style="315"/>
    <col min="6656" max="6656" width="12.140625" style="315" customWidth="1"/>
    <col min="6657" max="6657" width="6.140625" style="315" customWidth="1"/>
    <col min="6658" max="6658" width="7.140625" style="315" customWidth="1"/>
    <col min="6659" max="6659" width="12.85546875" style="315" customWidth="1"/>
    <col min="6660" max="6660" width="12.5703125" style="315" customWidth="1"/>
    <col min="6661" max="6661" width="9.42578125" style="315" customWidth="1"/>
    <col min="6662" max="6662" width="5.7109375" style="315" customWidth="1"/>
    <col min="6663" max="6663" width="7.85546875" style="315" customWidth="1"/>
    <col min="6664" max="6664" width="6.5703125" style="315" customWidth="1"/>
    <col min="6665" max="6666" width="12" style="315" customWidth="1"/>
    <col min="6667" max="6911" width="9.140625" style="315"/>
    <col min="6912" max="6912" width="12.140625" style="315" customWidth="1"/>
    <col min="6913" max="6913" width="6.140625" style="315" customWidth="1"/>
    <col min="6914" max="6914" width="7.140625" style="315" customWidth="1"/>
    <col min="6915" max="6915" width="12.85546875" style="315" customWidth="1"/>
    <col min="6916" max="6916" width="12.5703125" style="315" customWidth="1"/>
    <col min="6917" max="6917" width="9.42578125" style="315" customWidth="1"/>
    <col min="6918" max="6918" width="5.7109375" style="315" customWidth="1"/>
    <col min="6919" max="6919" width="7.85546875" style="315" customWidth="1"/>
    <col min="6920" max="6920" width="6.5703125" style="315" customWidth="1"/>
    <col min="6921" max="6922" width="12" style="315" customWidth="1"/>
    <col min="6923" max="7167" width="9.140625" style="315"/>
    <col min="7168" max="7168" width="12.140625" style="315" customWidth="1"/>
    <col min="7169" max="7169" width="6.140625" style="315" customWidth="1"/>
    <col min="7170" max="7170" width="7.140625" style="315" customWidth="1"/>
    <col min="7171" max="7171" width="12.85546875" style="315" customWidth="1"/>
    <col min="7172" max="7172" width="12.5703125" style="315" customWidth="1"/>
    <col min="7173" max="7173" width="9.42578125" style="315" customWidth="1"/>
    <col min="7174" max="7174" width="5.7109375" style="315" customWidth="1"/>
    <col min="7175" max="7175" width="7.85546875" style="315" customWidth="1"/>
    <col min="7176" max="7176" width="6.5703125" style="315" customWidth="1"/>
    <col min="7177" max="7178" width="12" style="315" customWidth="1"/>
    <col min="7179" max="7423" width="9.140625" style="315"/>
    <col min="7424" max="7424" width="12.140625" style="315" customWidth="1"/>
    <col min="7425" max="7425" width="6.140625" style="315" customWidth="1"/>
    <col min="7426" max="7426" width="7.140625" style="315" customWidth="1"/>
    <col min="7427" max="7427" width="12.85546875" style="315" customWidth="1"/>
    <col min="7428" max="7428" width="12.5703125" style="315" customWidth="1"/>
    <col min="7429" max="7429" width="9.42578125" style="315" customWidth="1"/>
    <col min="7430" max="7430" width="5.7109375" style="315" customWidth="1"/>
    <col min="7431" max="7431" width="7.85546875" style="315" customWidth="1"/>
    <col min="7432" max="7432" width="6.5703125" style="315" customWidth="1"/>
    <col min="7433" max="7434" width="12" style="315" customWidth="1"/>
    <col min="7435" max="7679" width="9.140625" style="315"/>
    <col min="7680" max="7680" width="12.140625" style="315" customWidth="1"/>
    <col min="7681" max="7681" width="6.140625" style="315" customWidth="1"/>
    <col min="7682" max="7682" width="7.140625" style="315" customWidth="1"/>
    <col min="7683" max="7683" width="12.85546875" style="315" customWidth="1"/>
    <col min="7684" max="7684" width="12.5703125" style="315" customWidth="1"/>
    <col min="7685" max="7685" width="9.42578125" style="315" customWidth="1"/>
    <col min="7686" max="7686" width="5.7109375" style="315" customWidth="1"/>
    <col min="7687" max="7687" width="7.85546875" style="315" customWidth="1"/>
    <col min="7688" max="7688" width="6.5703125" style="315" customWidth="1"/>
    <col min="7689" max="7690" width="12" style="315" customWidth="1"/>
    <col min="7691" max="7935" width="9.140625" style="315"/>
    <col min="7936" max="7936" width="12.140625" style="315" customWidth="1"/>
    <col min="7937" max="7937" width="6.140625" style="315" customWidth="1"/>
    <col min="7938" max="7938" width="7.140625" style="315" customWidth="1"/>
    <col min="7939" max="7939" width="12.85546875" style="315" customWidth="1"/>
    <col min="7940" max="7940" width="12.5703125" style="315" customWidth="1"/>
    <col min="7941" max="7941" width="9.42578125" style="315" customWidth="1"/>
    <col min="7942" max="7942" width="5.7109375" style="315" customWidth="1"/>
    <col min="7943" max="7943" width="7.85546875" style="315" customWidth="1"/>
    <col min="7944" max="7944" width="6.5703125" style="315" customWidth="1"/>
    <col min="7945" max="7946" width="12" style="315" customWidth="1"/>
    <col min="7947" max="8191" width="9.140625" style="315"/>
    <col min="8192" max="8192" width="12.140625" style="315" customWidth="1"/>
    <col min="8193" max="8193" width="6.140625" style="315" customWidth="1"/>
    <col min="8194" max="8194" width="7.140625" style="315" customWidth="1"/>
    <col min="8195" max="8195" width="12.85546875" style="315" customWidth="1"/>
    <col min="8196" max="8196" width="12.5703125" style="315" customWidth="1"/>
    <col min="8197" max="8197" width="9.42578125" style="315" customWidth="1"/>
    <col min="8198" max="8198" width="5.7109375" style="315" customWidth="1"/>
    <col min="8199" max="8199" width="7.85546875" style="315" customWidth="1"/>
    <col min="8200" max="8200" width="6.5703125" style="315" customWidth="1"/>
    <col min="8201" max="8202" width="12" style="315" customWidth="1"/>
    <col min="8203" max="8447" width="9.140625" style="315"/>
    <col min="8448" max="8448" width="12.140625" style="315" customWidth="1"/>
    <col min="8449" max="8449" width="6.140625" style="315" customWidth="1"/>
    <col min="8450" max="8450" width="7.140625" style="315" customWidth="1"/>
    <col min="8451" max="8451" width="12.85546875" style="315" customWidth="1"/>
    <col min="8452" max="8452" width="12.5703125" style="315" customWidth="1"/>
    <col min="8453" max="8453" width="9.42578125" style="315" customWidth="1"/>
    <col min="8454" max="8454" width="5.7109375" style="315" customWidth="1"/>
    <col min="8455" max="8455" width="7.85546875" style="315" customWidth="1"/>
    <col min="8456" max="8456" width="6.5703125" style="315" customWidth="1"/>
    <col min="8457" max="8458" width="12" style="315" customWidth="1"/>
    <col min="8459" max="8703" width="9.140625" style="315"/>
    <col min="8704" max="8704" width="12.140625" style="315" customWidth="1"/>
    <col min="8705" max="8705" width="6.140625" style="315" customWidth="1"/>
    <col min="8706" max="8706" width="7.140625" style="315" customWidth="1"/>
    <col min="8707" max="8707" width="12.85546875" style="315" customWidth="1"/>
    <col min="8708" max="8708" width="12.5703125" style="315" customWidth="1"/>
    <col min="8709" max="8709" width="9.42578125" style="315" customWidth="1"/>
    <col min="8710" max="8710" width="5.7109375" style="315" customWidth="1"/>
    <col min="8711" max="8711" width="7.85546875" style="315" customWidth="1"/>
    <col min="8712" max="8712" width="6.5703125" style="315" customWidth="1"/>
    <col min="8713" max="8714" width="12" style="315" customWidth="1"/>
    <col min="8715" max="8959" width="9.140625" style="315"/>
    <col min="8960" max="8960" width="12.140625" style="315" customWidth="1"/>
    <col min="8961" max="8961" width="6.140625" style="315" customWidth="1"/>
    <col min="8962" max="8962" width="7.140625" style="315" customWidth="1"/>
    <col min="8963" max="8963" width="12.85546875" style="315" customWidth="1"/>
    <col min="8964" max="8964" width="12.5703125" style="315" customWidth="1"/>
    <col min="8965" max="8965" width="9.42578125" style="315" customWidth="1"/>
    <col min="8966" max="8966" width="5.7109375" style="315" customWidth="1"/>
    <col min="8967" max="8967" width="7.85546875" style="315" customWidth="1"/>
    <col min="8968" max="8968" width="6.5703125" style="315" customWidth="1"/>
    <col min="8969" max="8970" width="12" style="315" customWidth="1"/>
    <col min="8971" max="9215" width="9.140625" style="315"/>
    <col min="9216" max="9216" width="12.140625" style="315" customWidth="1"/>
    <col min="9217" max="9217" width="6.140625" style="315" customWidth="1"/>
    <col min="9218" max="9218" width="7.140625" style="315" customWidth="1"/>
    <col min="9219" max="9219" width="12.85546875" style="315" customWidth="1"/>
    <col min="9220" max="9220" width="12.5703125" style="315" customWidth="1"/>
    <col min="9221" max="9221" width="9.42578125" style="315" customWidth="1"/>
    <col min="9222" max="9222" width="5.7109375" style="315" customWidth="1"/>
    <col min="9223" max="9223" width="7.85546875" style="315" customWidth="1"/>
    <col min="9224" max="9224" width="6.5703125" style="315" customWidth="1"/>
    <col min="9225" max="9226" width="12" style="315" customWidth="1"/>
    <col min="9227" max="9471" width="9.140625" style="315"/>
    <col min="9472" max="9472" width="12.140625" style="315" customWidth="1"/>
    <col min="9473" max="9473" width="6.140625" style="315" customWidth="1"/>
    <col min="9474" max="9474" width="7.140625" style="315" customWidth="1"/>
    <col min="9475" max="9475" width="12.85546875" style="315" customWidth="1"/>
    <col min="9476" max="9476" width="12.5703125" style="315" customWidth="1"/>
    <col min="9477" max="9477" width="9.42578125" style="315" customWidth="1"/>
    <col min="9478" max="9478" width="5.7109375" style="315" customWidth="1"/>
    <col min="9479" max="9479" width="7.85546875" style="315" customWidth="1"/>
    <col min="9480" max="9480" width="6.5703125" style="315" customWidth="1"/>
    <col min="9481" max="9482" width="12" style="315" customWidth="1"/>
    <col min="9483" max="9727" width="9.140625" style="315"/>
    <col min="9728" max="9728" width="12.140625" style="315" customWidth="1"/>
    <col min="9729" max="9729" width="6.140625" style="315" customWidth="1"/>
    <col min="9730" max="9730" width="7.140625" style="315" customWidth="1"/>
    <col min="9731" max="9731" width="12.85546875" style="315" customWidth="1"/>
    <col min="9732" max="9732" width="12.5703125" style="315" customWidth="1"/>
    <col min="9733" max="9733" width="9.42578125" style="315" customWidth="1"/>
    <col min="9734" max="9734" width="5.7109375" style="315" customWidth="1"/>
    <col min="9735" max="9735" width="7.85546875" style="315" customWidth="1"/>
    <col min="9736" max="9736" width="6.5703125" style="315" customWidth="1"/>
    <col min="9737" max="9738" width="12" style="315" customWidth="1"/>
    <col min="9739" max="9983" width="9.140625" style="315"/>
    <col min="9984" max="9984" width="12.140625" style="315" customWidth="1"/>
    <col min="9985" max="9985" width="6.140625" style="315" customWidth="1"/>
    <col min="9986" max="9986" width="7.140625" style="315" customWidth="1"/>
    <col min="9987" max="9987" width="12.85546875" style="315" customWidth="1"/>
    <col min="9988" max="9988" width="12.5703125" style="315" customWidth="1"/>
    <col min="9989" max="9989" width="9.42578125" style="315" customWidth="1"/>
    <col min="9990" max="9990" width="5.7109375" style="315" customWidth="1"/>
    <col min="9991" max="9991" width="7.85546875" style="315" customWidth="1"/>
    <col min="9992" max="9992" width="6.5703125" style="315" customWidth="1"/>
    <col min="9993" max="9994" width="12" style="315" customWidth="1"/>
    <col min="9995" max="10239" width="9.140625" style="315"/>
    <col min="10240" max="10240" width="12.140625" style="315" customWidth="1"/>
    <col min="10241" max="10241" width="6.140625" style="315" customWidth="1"/>
    <col min="10242" max="10242" width="7.140625" style="315" customWidth="1"/>
    <col min="10243" max="10243" width="12.85546875" style="315" customWidth="1"/>
    <col min="10244" max="10244" width="12.5703125" style="315" customWidth="1"/>
    <col min="10245" max="10245" width="9.42578125" style="315" customWidth="1"/>
    <col min="10246" max="10246" width="5.7109375" style="315" customWidth="1"/>
    <col min="10247" max="10247" width="7.85546875" style="315" customWidth="1"/>
    <col min="10248" max="10248" width="6.5703125" style="315" customWidth="1"/>
    <col min="10249" max="10250" width="12" style="315" customWidth="1"/>
    <col min="10251" max="10495" width="9.140625" style="315"/>
    <col min="10496" max="10496" width="12.140625" style="315" customWidth="1"/>
    <col min="10497" max="10497" width="6.140625" style="315" customWidth="1"/>
    <col min="10498" max="10498" width="7.140625" style="315" customWidth="1"/>
    <col min="10499" max="10499" width="12.85546875" style="315" customWidth="1"/>
    <col min="10500" max="10500" width="12.5703125" style="315" customWidth="1"/>
    <col min="10501" max="10501" width="9.42578125" style="315" customWidth="1"/>
    <col min="10502" max="10502" width="5.7109375" style="315" customWidth="1"/>
    <col min="10503" max="10503" width="7.85546875" style="315" customWidth="1"/>
    <col min="10504" max="10504" width="6.5703125" style="315" customWidth="1"/>
    <col min="10505" max="10506" width="12" style="315" customWidth="1"/>
    <col min="10507" max="10751" width="9.140625" style="315"/>
    <col min="10752" max="10752" width="12.140625" style="315" customWidth="1"/>
    <col min="10753" max="10753" width="6.140625" style="315" customWidth="1"/>
    <col min="10754" max="10754" width="7.140625" style="315" customWidth="1"/>
    <col min="10755" max="10755" width="12.85546875" style="315" customWidth="1"/>
    <col min="10756" max="10756" width="12.5703125" style="315" customWidth="1"/>
    <col min="10757" max="10757" width="9.42578125" style="315" customWidth="1"/>
    <col min="10758" max="10758" width="5.7109375" style="315" customWidth="1"/>
    <col min="10759" max="10759" width="7.85546875" style="315" customWidth="1"/>
    <col min="10760" max="10760" width="6.5703125" style="315" customWidth="1"/>
    <col min="10761" max="10762" width="12" style="315" customWidth="1"/>
    <col min="10763" max="11007" width="9.140625" style="315"/>
    <col min="11008" max="11008" width="12.140625" style="315" customWidth="1"/>
    <col min="11009" max="11009" width="6.140625" style="315" customWidth="1"/>
    <col min="11010" max="11010" width="7.140625" style="315" customWidth="1"/>
    <col min="11011" max="11011" width="12.85546875" style="315" customWidth="1"/>
    <col min="11012" max="11012" width="12.5703125" style="315" customWidth="1"/>
    <col min="11013" max="11013" width="9.42578125" style="315" customWidth="1"/>
    <col min="11014" max="11014" width="5.7109375" style="315" customWidth="1"/>
    <col min="11015" max="11015" width="7.85546875" style="315" customWidth="1"/>
    <col min="11016" max="11016" width="6.5703125" style="315" customWidth="1"/>
    <col min="11017" max="11018" width="12" style="315" customWidth="1"/>
    <col min="11019" max="11263" width="9.140625" style="315"/>
    <col min="11264" max="11264" width="12.140625" style="315" customWidth="1"/>
    <col min="11265" max="11265" width="6.140625" style="315" customWidth="1"/>
    <col min="11266" max="11266" width="7.140625" style="315" customWidth="1"/>
    <col min="11267" max="11267" width="12.85546875" style="315" customWidth="1"/>
    <col min="11268" max="11268" width="12.5703125" style="315" customWidth="1"/>
    <col min="11269" max="11269" width="9.42578125" style="315" customWidth="1"/>
    <col min="11270" max="11270" width="5.7109375" style="315" customWidth="1"/>
    <col min="11271" max="11271" width="7.85546875" style="315" customWidth="1"/>
    <col min="11272" max="11272" width="6.5703125" style="315" customWidth="1"/>
    <col min="11273" max="11274" width="12" style="315" customWidth="1"/>
    <col min="11275" max="11519" width="9.140625" style="315"/>
    <col min="11520" max="11520" width="12.140625" style="315" customWidth="1"/>
    <col min="11521" max="11521" width="6.140625" style="315" customWidth="1"/>
    <col min="11522" max="11522" width="7.140625" style="315" customWidth="1"/>
    <col min="11523" max="11523" width="12.85546875" style="315" customWidth="1"/>
    <col min="11524" max="11524" width="12.5703125" style="315" customWidth="1"/>
    <col min="11525" max="11525" width="9.42578125" style="315" customWidth="1"/>
    <col min="11526" max="11526" width="5.7109375" style="315" customWidth="1"/>
    <col min="11527" max="11527" width="7.85546875" style="315" customWidth="1"/>
    <col min="11528" max="11528" width="6.5703125" style="315" customWidth="1"/>
    <col min="11529" max="11530" width="12" style="315" customWidth="1"/>
    <col min="11531" max="11775" width="9.140625" style="315"/>
    <col min="11776" max="11776" width="12.140625" style="315" customWidth="1"/>
    <col min="11777" max="11777" width="6.140625" style="315" customWidth="1"/>
    <col min="11778" max="11778" width="7.140625" style="315" customWidth="1"/>
    <col min="11779" max="11779" width="12.85546875" style="315" customWidth="1"/>
    <col min="11780" max="11780" width="12.5703125" style="315" customWidth="1"/>
    <col min="11781" max="11781" width="9.42578125" style="315" customWidth="1"/>
    <col min="11782" max="11782" width="5.7109375" style="315" customWidth="1"/>
    <col min="11783" max="11783" width="7.85546875" style="315" customWidth="1"/>
    <col min="11784" max="11784" width="6.5703125" style="315" customWidth="1"/>
    <col min="11785" max="11786" width="12" style="315" customWidth="1"/>
    <col min="11787" max="12031" width="9.140625" style="315"/>
    <col min="12032" max="12032" width="12.140625" style="315" customWidth="1"/>
    <col min="12033" max="12033" width="6.140625" style="315" customWidth="1"/>
    <col min="12034" max="12034" width="7.140625" style="315" customWidth="1"/>
    <col min="12035" max="12035" width="12.85546875" style="315" customWidth="1"/>
    <col min="12036" max="12036" width="12.5703125" style="315" customWidth="1"/>
    <col min="12037" max="12037" width="9.42578125" style="315" customWidth="1"/>
    <col min="12038" max="12038" width="5.7109375" style="315" customWidth="1"/>
    <col min="12039" max="12039" width="7.85546875" style="315" customWidth="1"/>
    <col min="12040" max="12040" width="6.5703125" style="315" customWidth="1"/>
    <col min="12041" max="12042" width="12" style="315" customWidth="1"/>
    <col min="12043" max="12287" width="9.140625" style="315"/>
    <col min="12288" max="12288" width="12.140625" style="315" customWidth="1"/>
    <col min="12289" max="12289" width="6.140625" style="315" customWidth="1"/>
    <col min="12290" max="12290" width="7.140625" style="315" customWidth="1"/>
    <col min="12291" max="12291" width="12.85546875" style="315" customWidth="1"/>
    <col min="12292" max="12292" width="12.5703125" style="315" customWidth="1"/>
    <col min="12293" max="12293" width="9.42578125" style="315" customWidth="1"/>
    <col min="12294" max="12294" width="5.7109375" style="315" customWidth="1"/>
    <col min="12295" max="12295" width="7.85546875" style="315" customWidth="1"/>
    <col min="12296" max="12296" width="6.5703125" style="315" customWidth="1"/>
    <col min="12297" max="12298" width="12" style="315" customWidth="1"/>
    <col min="12299" max="12543" width="9.140625" style="315"/>
    <col min="12544" max="12544" width="12.140625" style="315" customWidth="1"/>
    <col min="12545" max="12545" width="6.140625" style="315" customWidth="1"/>
    <col min="12546" max="12546" width="7.140625" style="315" customWidth="1"/>
    <col min="12547" max="12547" width="12.85546875" style="315" customWidth="1"/>
    <col min="12548" max="12548" width="12.5703125" style="315" customWidth="1"/>
    <col min="12549" max="12549" width="9.42578125" style="315" customWidth="1"/>
    <col min="12550" max="12550" width="5.7109375" style="315" customWidth="1"/>
    <col min="12551" max="12551" width="7.85546875" style="315" customWidth="1"/>
    <col min="12552" max="12552" width="6.5703125" style="315" customWidth="1"/>
    <col min="12553" max="12554" width="12" style="315" customWidth="1"/>
    <col min="12555" max="12799" width="9.140625" style="315"/>
    <col min="12800" max="12800" width="12.140625" style="315" customWidth="1"/>
    <col min="12801" max="12801" width="6.140625" style="315" customWidth="1"/>
    <col min="12802" max="12802" width="7.140625" style="315" customWidth="1"/>
    <col min="12803" max="12803" width="12.85546875" style="315" customWidth="1"/>
    <col min="12804" max="12804" width="12.5703125" style="315" customWidth="1"/>
    <col min="12805" max="12805" width="9.42578125" style="315" customWidth="1"/>
    <col min="12806" max="12806" width="5.7109375" style="315" customWidth="1"/>
    <col min="12807" max="12807" width="7.85546875" style="315" customWidth="1"/>
    <col min="12808" max="12808" width="6.5703125" style="315" customWidth="1"/>
    <col min="12809" max="12810" width="12" style="315" customWidth="1"/>
    <col min="12811" max="13055" width="9.140625" style="315"/>
    <col min="13056" max="13056" width="12.140625" style="315" customWidth="1"/>
    <col min="13057" max="13057" width="6.140625" style="315" customWidth="1"/>
    <col min="13058" max="13058" width="7.140625" style="315" customWidth="1"/>
    <col min="13059" max="13059" width="12.85546875" style="315" customWidth="1"/>
    <col min="13060" max="13060" width="12.5703125" style="315" customWidth="1"/>
    <col min="13061" max="13061" width="9.42578125" style="315" customWidth="1"/>
    <col min="13062" max="13062" width="5.7109375" style="315" customWidth="1"/>
    <col min="13063" max="13063" width="7.85546875" style="315" customWidth="1"/>
    <col min="13064" max="13064" width="6.5703125" style="315" customWidth="1"/>
    <col min="13065" max="13066" width="12" style="315" customWidth="1"/>
    <col min="13067" max="13311" width="9.140625" style="315"/>
    <col min="13312" max="13312" width="12.140625" style="315" customWidth="1"/>
    <col min="13313" max="13313" width="6.140625" style="315" customWidth="1"/>
    <col min="13314" max="13314" width="7.140625" style="315" customWidth="1"/>
    <col min="13315" max="13315" width="12.85546875" style="315" customWidth="1"/>
    <col min="13316" max="13316" width="12.5703125" style="315" customWidth="1"/>
    <col min="13317" max="13317" width="9.42578125" style="315" customWidth="1"/>
    <col min="13318" max="13318" width="5.7109375" style="315" customWidth="1"/>
    <col min="13319" max="13319" width="7.85546875" style="315" customWidth="1"/>
    <col min="13320" max="13320" width="6.5703125" style="315" customWidth="1"/>
    <col min="13321" max="13322" width="12" style="315" customWidth="1"/>
    <col min="13323" max="13567" width="9.140625" style="315"/>
    <col min="13568" max="13568" width="12.140625" style="315" customWidth="1"/>
    <col min="13569" max="13569" width="6.140625" style="315" customWidth="1"/>
    <col min="13570" max="13570" width="7.140625" style="315" customWidth="1"/>
    <col min="13571" max="13571" width="12.85546875" style="315" customWidth="1"/>
    <col min="13572" max="13572" width="12.5703125" style="315" customWidth="1"/>
    <col min="13573" max="13573" width="9.42578125" style="315" customWidth="1"/>
    <col min="13574" max="13574" width="5.7109375" style="315" customWidth="1"/>
    <col min="13575" max="13575" width="7.85546875" style="315" customWidth="1"/>
    <col min="13576" max="13576" width="6.5703125" style="315" customWidth="1"/>
    <col min="13577" max="13578" width="12" style="315" customWidth="1"/>
    <col min="13579" max="13823" width="9.140625" style="315"/>
    <col min="13824" max="13824" width="12.140625" style="315" customWidth="1"/>
    <col min="13825" max="13825" width="6.140625" style="315" customWidth="1"/>
    <col min="13826" max="13826" width="7.140625" style="315" customWidth="1"/>
    <col min="13827" max="13827" width="12.85546875" style="315" customWidth="1"/>
    <col min="13828" max="13828" width="12.5703125" style="315" customWidth="1"/>
    <col min="13829" max="13829" width="9.42578125" style="315" customWidth="1"/>
    <col min="13830" max="13830" width="5.7109375" style="315" customWidth="1"/>
    <col min="13831" max="13831" width="7.85546875" style="315" customWidth="1"/>
    <col min="13832" max="13832" width="6.5703125" style="315" customWidth="1"/>
    <col min="13833" max="13834" width="12" style="315" customWidth="1"/>
    <col min="13835" max="14079" width="9.140625" style="315"/>
    <col min="14080" max="14080" width="12.140625" style="315" customWidth="1"/>
    <col min="14081" max="14081" width="6.140625" style="315" customWidth="1"/>
    <col min="14082" max="14082" width="7.140625" style="315" customWidth="1"/>
    <col min="14083" max="14083" width="12.85546875" style="315" customWidth="1"/>
    <col min="14084" max="14084" width="12.5703125" style="315" customWidth="1"/>
    <col min="14085" max="14085" width="9.42578125" style="315" customWidth="1"/>
    <col min="14086" max="14086" width="5.7109375" style="315" customWidth="1"/>
    <col min="14087" max="14087" width="7.85546875" style="315" customWidth="1"/>
    <col min="14088" max="14088" width="6.5703125" style="315" customWidth="1"/>
    <col min="14089" max="14090" width="12" style="315" customWidth="1"/>
    <col min="14091" max="14335" width="9.140625" style="315"/>
    <col min="14336" max="14336" width="12.140625" style="315" customWidth="1"/>
    <col min="14337" max="14337" width="6.140625" style="315" customWidth="1"/>
    <col min="14338" max="14338" width="7.140625" style="315" customWidth="1"/>
    <col min="14339" max="14339" width="12.85546875" style="315" customWidth="1"/>
    <col min="14340" max="14340" width="12.5703125" style="315" customWidth="1"/>
    <col min="14341" max="14341" width="9.42578125" style="315" customWidth="1"/>
    <col min="14342" max="14342" width="5.7109375" style="315" customWidth="1"/>
    <col min="14343" max="14343" width="7.85546875" style="315" customWidth="1"/>
    <col min="14344" max="14344" width="6.5703125" style="315" customWidth="1"/>
    <col min="14345" max="14346" width="12" style="315" customWidth="1"/>
    <col min="14347" max="14591" width="9.140625" style="315"/>
    <col min="14592" max="14592" width="12.140625" style="315" customWidth="1"/>
    <col min="14593" max="14593" width="6.140625" style="315" customWidth="1"/>
    <col min="14594" max="14594" width="7.140625" style="315" customWidth="1"/>
    <col min="14595" max="14595" width="12.85546875" style="315" customWidth="1"/>
    <col min="14596" max="14596" width="12.5703125" style="315" customWidth="1"/>
    <col min="14597" max="14597" width="9.42578125" style="315" customWidth="1"/>
    <col min="14598" max="14598" width="5.7109375" style="315" customWidth="1"/>
    <col min="14599" max="14599" width="7.85546875" style="315" customWidth="1"/>
    <col min="14600" max="14600" width="6.5703125" style="315" customWidth="1"/>
    <col min="14601" max="14602" width="12" style="315" customWidth="1"/>
    <col min="14603" max="14847" width="9.140625" style="315"/>
    <col min="14848" max="14848" width="12.140625" style="315" customWidth="1"/>
    <col min="14849" max="14849" width="6.140625" style="315" customWidth="1"/>
    <col min="14850" max="14850" width="7.140625" style="315" customWidth="1"/>
    <col min="14851" max="14851" width="12.85546875" style="315" customWidth="1"/>
    <col min="14852" max="14852" width="12.5703125" style="315" customWidth="1"/>
    <col min="14853" max="14853" width="9.42578125" style="315" customWidth="1"/>
    <col min="14854" max="14854" width="5.7109375" style="315" customWidth="1"/>
    <col min="14855" max="14855" width="7.85546875" style="315" customWidth="1"/>
    <col min="14856" max="14856" width="6.5703125" style="315" customWidth="1"/>
    <col min="14857" max="14858" width="12" style="315" customWidth="1"/>
    <col min="14859" max="15103" width="9.140625" style="315"/>
    <col min="15104" max="15104" width="12.140625" style="315" customWidth="1"/>
    <col min="15105" max="15105" width="6.140625" style="315" customWidth="1"/>
    <col min="15106" max="15106" width="7.140625" style="315" customWidth="1"/>
    <col min="15107" max="15107" width="12.85546875" style="315" customWidth="1"/>
    <col min="15108" max="15108" width="12.5703125" style="315" customWidth="1"/>
    <col min="15109" max="15109" width="9.42578125" style="315" customWidth="1"/>
    <col min="15110" max="15110" width="5.7109375" style="315" customWidth="1"/>
    <col min="15111" max="15111" width="7.85546875" style="315" customWidth="1"/>
    <col min="15112" max="15112" width="6.5703125" style="315" customWidth="1"/>
    <col min="15113" max="15114" width="12" style="315" customWidth="1"/>
    <col min="15115" max="15359" width="9.140625" style="315"/>
    <col min="15360" max="15360" width="12.140625" style="315" customWidth="1"/>
    <col min="15361" max="15361" width="6.140625" style="315" customWidth="1"/>
    <col min="15362" max="15362" width="7.140625" style="315" customWidth="1"/>
    <col min="15363" max="15363" width="12.85546875" style="315" customWidth="1"/>
    <col min="15364" max="15364" width="12.5703125" style="315" customWidth="1"/>
    <col min="15365" max="15365" width="9.42578125" style="315" customWidth="1"/>
    <col min="15366" max="15366" width="5.7109375" style="315" customWidth="1"/>
    <col min="15367" max="15367" width="7.85546875" style="315" customWidth="1"/>
    <col min="15368" max="15368" width="6.5703125" style="315" customWidth="1"/>
    <col min="15369" max="15370" width="12" style="315" customWidth="1"/>
    <col min="15371" max="15615" width="9.140625" style="315"/>
    <col min="15616" max="15616" width="12.140625" style="315" customWidth="1"/>
    <col min="15617" max="15617" width="6.140625" style="315" customWidth="1"/>
    <col min="15618" max="15618" width="7.140625" style="315" customWidth="1"/>
    <col min="15619" max="15619" width="12.85546875" style="315" customWidth="1"/>
    <col min="15620" max="15620" width="12.5703125" style="315" customWidth="1"/>
    <col min="15621" max="15621" width="9.42578125" style="315" customWidth="1"/>
    <col min="15622" max="15622" width="5.7109375" style="315" customWidth="1"/>
    <col min="15623" max="15623" width="7.85546875" style="315" customWidth="1"/>
    <col min="15624" max="15624" width="6.5703125" style="315" customWidth="1"/>
    <col min="15625" max="15626" width="12" style="315" customWidth="1"/>
    <col min="15627" max="15871" width="9.140625" style="315"/>
    <col min="15872" max="15872" width="12.140625" style="315" customWidth="1"/>
    <col min="15873" max="15873" width="6.140625" style="315" customWidth="1"/>
    <col min="15874" max="15874" width="7.140625" style="315" customWidth="1"/>
    <col min="15875" max="15875" width="12.85546875" style="315" customWidth="1"/>
    <col min="15876" max="15876" width="12.5703125" style="315" customWidth="1"/>
    <col min="15877" max="15877" width="9.42578125" style="315" customWidth="1"/>
    <col min="15878" max="15878" width="5.7109375" style="315" customWidth="1"/>
    <col min="15879" max="15879" width="7.85546875" style="315" customWidth="1"/>
    <col min="15880" max="15880" width="6.5703125" style="315" customWidth="1"/>
    <col min="15881" max="15882" width="12" style="315" customWidth="1"/>
    <col min="15883" max="16127" width="9.140625" style="315"/>
    <col min="16128" max="16128" width="12.140625" style="315" customWidth="1"/>
    <col min="16129" max="16129" width="6.140625" style="315" customWidth="1"/>
    <col min="16130" max="16130" width="7.140625" style="315" customWidth="1"/>
    <col min="16131" max="16131" width="12.85546875" style="315" customWidth="1"/>
    <col min="16132" max="16132" width="12.5703125" style="315" customWidth="1"/>
    <col min="16133" max="16133" width="9.42578125" style="315" customWidth="1"/>
    <col min="16134" max="16134" width="5.7109375" style="315" customWidth="1"/>
    <col min="16135" max="16135" width="7.85546875" style="315" customWidth="1"/>
    <col min="16136" max="16136" width="6.5703125" style="315" customWidth="1"/>
    <col min="16137" max="16138" width="12" style="315" customWidth="1"/>
    <col min="16139" max="16384" width="9.140625" style="315"/>
  </cols>
  <sheetData>
    <row r="1" spans="1:25" ht="20.25" customHeight="1">
      <c r="A1" s="529" t="s">
        <v>112</v>
      </c>
      <c r="B1" s="529"/>
      <c r="C1" s="529"/>
      <c r="D1" s="529"/>
      <c r="E1" s="529"/>
      <c r="F1" s="529"/>
      <c r="G1" s="529"/>
      <c r="H1" s="529"/>
      <c r="I1" s="529"/>
      <c r="J1" s="529"/>
    </row>
    <row r="2" spans="1:25" ht="20.25" customHeight="1">
      <c r="A2" s="530" t="s">
        <v>415</v>
      </c>
      <c r="B2" s="530"/>
      <c r="C2" s="530"/>
      <c r="D2" s="530"/>
      <c r="E2" s="530"/>
      <c r="F2" s="530"/>
      <c r="G2" s="530"/>
      <c r="H2" s="530"/>
      <c r="I2" s="530"/>
      <c r="J2" s="530"/>
    </row>
    <row r="3" spans="1:25" ht="18.75" customHeight="1" thickBot="1">
      <c r="A3" s="316" t="s">
        <v>127</v>
      </c>
      <c r="B3" s="317" t="s">
        <v>416</v>
      </c>
      <c r="C3" s="318"/>
      <c r="D3" s="318"/>
      <c r="E3" s="318"/>
      <c r="F3" s="522"/>
      <c r="G3" s="523"/>
      <c r="H3" s="523"/>
      <c r="I3" s="524" t="s">
        <v>417</v>
      </c>
      <c r="J3" s="528" t="s">
        <v>635</v>
      </c>
      <c r="L3" s="319" t="s">
        <v>418</v>
      </c>
    </row>
    <row r="4" spans="1:25" s="328" customFormat="1" ht="18.399999999999999" customHeight="1" thickBot="1">
      <c r="A4" s="320" t="s">
        <v>636</v>
      </c>
      <c r="B4" s="321"/>
      <c r="C4" s="322"/>
      <c r="D4" s="322"/>
      <c r="E4" s="322"/>
      <c r="F4" s="322"/>
      <c r="G4" s="322"/>
      <c r="H4" s="322"/>
      <c r="I4" s="322"/>
      <c r="J4" s="322"/>
      <c r="K4" s="323"/>
      <c r="L4" s="324"/>
      <c r="M4" s="325"/>
      <c r="N4" s="325"/>
      <c r="O4" s="325"/>
      <c r="P4" s="326" t="s">
        <v>419</v>
      </c>
      <c r="Q4" s="323"/>
      <c r="R4" s="325"/>
      <c r="S4" s="326" t="s">
        <v>420</v>
      </c>
      <c r="T4" s="327"/>
      <c r="U4" s="325"/>
      <c r="V4" s="325"/>
      <c r="W4" s="325"/>
      <c r="X4" s="325"/>
      <c r="Y4" s="325"/>
    </row>
    <row r="5" spans="1:25" s="328" customFormat="1" ht="18.399999999999999" customHeight="1">
      <c r="A5" s="531" t="s">
        <v>421</v>
      </c>
      <c r="B5" s="532"/>
      <c r="C5" s="532"/>
      <c r="D5" s="329"/>
      <c r="E5" s="330"/>
      <c r="F5" s="331" t="s">
        <v>422</v>
      </c>
      <c r="G5" s="332"/>
      <c r="H5" s="332"/>
      <c r="I5" s="333"/>
      <c r="J5" s="334" t="s">
        <v>423</v>
      </c>
      <c r="K5" s="335"/>
      <c r="L5" s="324"/>
      <c r="M5" s="325"/>
      <c r="N5" s="325"/>
      <c r="O5" s="325"/>
      <c r="P5" s="336" t="s">
        <v>424</v>
      </c>
      <c r="Q5" s="337"/>
      <c r="R5" s="325"/>
      <c r="S5" s="336" t="s">
        <v>425</v>
      </c>
      <c r="T5" s="338"/>
      <c r="U5" s="325"/>
      <c r="V5" s="325"/>
      <c r="W5" s="325"/>
      <c r="X5" s="325"/>
      <c r="Y5" s="325"/>
    </row>
    <row r="6" spans="1:25" s="328" customFormat="1" ht="18.399999999999999" customHeight="1">
      <c r="A6" s="533" t="s">
        <v>254</v>
      </c>
      <c r="B6" s="534"/>
      <c r="C6" s="534"/>
      <c r="D6" s="535" t="s">
        <v>425</v>
      </c>
      <c r="E6" s="536"/>
      <c r="F6" s="537" t="s">
        <v>426</v>
      </c>
      <c r="G6" s="538"/>
      <c r="H6" s="538"/>
      <c r="I6" s="538"/>
      <c r="J6" s="538"/>
      <c r="K6" s="339"/>
      <c r="L6" s="324"/>
      <c r="M6" s="325"/>
      <c r="N6" s="325"/>
      <c r="O6" s="325"/>
      <c r="P6" s="336" t="s">
        <v>427</v>
      </c>
      <c r="Q6" s="337"/>
      <c r="R6" s="325"/>
      <c r="S6" s="336" t="s">
        <v>428</v>
      </c>
      <c r="T6" s="338"/>
      <c r="U6" s="325"/>
      <c r="V6" s="325"/>
      <c r="W6" s="325"/>
      <c r="X6" s="325"/>
      <c r="Y6" s="325"/>
    </row>
    <row r="7" spans="1:25" s="328" customFormat="1" ht="18.399999999999999" customHeight="1">
      <c r="A7" s="541" t="s">
        <v>194</v>
      </c>
      <c r="B7" s="542"/>
      <c r="C7" s="542"/>
      <c r="D7" s="543">
        <v>3.2999999523162802</v>
      </c>
      <c r="E7" s="544"/>
      <c r="F7" s="340" t="s">
        <v>429</v>
      </c>
      <c r="G7" s="341"/>
      <c r="H7" s="342"/>
      <c r="I7" s="343"/>
      <c r="J7" s="344">
        <v>67</v>
      </c>
      <c r="K7" s="345" t="s">
        <v>42</v>
      </c>
      <c r="L7" s="324"/>
      <c r="M7" s="325"/>
      <c r="N7" s="325"/>
      <c r="O7" s="325"/>
      <c r="P7" s="336" t="s">
        <v>430</v>
      </c>
      <c r="Q7" s="337"/>
      <c r="R7" s="325"/>
      <c r="S7" s="336" t="s">
        <v>431</v>
      </c>
      <c r="T7" s="338"/>
      <c r="U7" s="325"/>
      <c r="V7" s="325"/>
      <c r="W7" s="325"/>
      <c r="X7" s="325"/>
      <c r="Y7" s="325"/>
    </row>
    <row r="8" spans="1:25" s="328" customFormat="1" ht="18.399999999999999" customHeight="1">
      <c r="A8" s="541" t="s">
        <v>432</v>
      </c>
      <c r="B8" s="542"/>
      <c r="C8" s="542"/>
      <c r="D8" s="545">
        <v>600</v>
      </c>
      <c r="E8" s="546"/>
      <c r="F8" s="346" t="s">
        <v>433</v>
      </c>
      <c r="G8" s="347"/>
      <c r="H8" s="348"/>
      <c r="I8" s="349"/>
      <c r="J8" s="350">
        <v>22696</v>
      </c>
      <c r="K8" s="345" t="s">
        <v>42</v>
      </c>
      <c r="L8" s="324"/>
      <c r="M8" s="325"/>
      <c r="N8" s="325"/>
      <c r="O8" s="325"/>
      <c r="P8" s="336" t="s">
        <v>434</v>
      </c>
      <c r="Q8" s="337"/>
      <c r="R8" s="325"/>
      <c r="S8" s="336" t="s">
        <v>435</v>
      </c>
      <c r="T8" s="338"/>
      <c r="U8" s="325"/>
      <c r="V8" s="325"/>
      <c r="W8" s="325"/>
      <c r="X8" s="325"/>
      <c r="Y8" s="325"/>
    </row>
    <row r="9" spans="1:25" s="328" customFormat="1" ht="18.399999999999999" customHeight="1">
      <c r="A9" s="547" t="s">
        <v>436</v>
      </c>
      <c r="B9" s="548"/>
      <c r="C9" s="549"/>
      <c r="D9" s="545">
        <v>9</v>
      </c>
      <c r="E9" s="546"/>
      <c r="F9" s="340" t="s">
        <v>437</v>
      </c>
      <c r="G9" s="341"/>
      <c r="H9" s="351">
        <v>3</v>
      </c>
      <c r="I9" s="352" t="s">
        <v>438</v>
      </c>
      <c r="J9" s="353">
        <v>377</v>
      </c>
      <c r="K9" s="345" t="s">
        <v>42</v>
      </c>
      <c r="L9" s="324"/>
      <c r="M9" s="325"/>
      <c r="N9" s="325"/>
      <c r="O9" s="325"/>
      <c r="P9" s="336" t="s">
        <v>439</v>
      </c>
      <c r="Q9" s="337"/>
      <c r="R9" s="325"/>
      <c r="S9" s="336" t="s">
        <v>440</v>
      </c>
      <c r="T9" s="338"/>
      <c r="U9" s="325"/>
      <c r="V9" s="325"/>
      <c r="W9" s="325"/>
      <c r="X9" s="325"/>
      <c r="Y9" s="325"/>
    </row>
    <row r="10" spans="1:25" s="328" customFormat="1" ht="18.399999999999999" customHeight="1" thickBot="1">
      <c r="A10" s="547" t="s">
        <v>441</v>
      </c>
      <c r="B10" s="548"/>
      <c r="C10" s="549"/>
      <c r="D10" s="550" t="s">
        <v>222</v>
      </c>
      <c r="E10" s="551"/>
      <c r="F10" s="340" t="s">
        <v>442</v>
      </c>
      <c r="G10" s="341"/>
      <c r="H10" s="351">
        <v>3</v>
      </c>
      <c r="I10" s="352" t="s">
        <v>438</v>
      </c>
      <c r="J10" s="353">
        <v>1150</v>
      </c>
      <c r="K10" s="345" t="s">
        <v>42</v>
      </c>
      <c r="L10" s="324"/>
      <c r="M10" s="325"/>
      <c r="N10" s="325"/>
      <c r="O10" s="325"/>
      <c r="P10" s="336" t="s">
        <v>443</v>
      </c>
      <c r="Q10" s="337"/>
      <c r="R10" s="325"/>
      <c r="S10" s="354" t="s">
        <v>444</v>
      </c>
      <c r="T10" s="355"/>
      <c r="U10" s="325"/>
      <c r="V10" s="325"/>
      <c r="W10" s="325"/>
      <c r="X10" s="325"/>
      <c r="Y10" s="325"/>
    </row>
    <row r="11" spans="1:25" s="328" customFormat="1" ht="18.399999999999999" customHeight="1" thickBot="1">
      <c r="A11" s="547" t="s">
        <v>445</v>
      </c>
      <c r="B11" s="548"/>
      <c r="C11" s="549"/>
      <c r="D11" s="552" t="s">
        <v>42</v>
      </c>
      <c r="E11" s="553"/>
      <c r="F11" s="356" t="s">
        <v>446</v>
      </c>
      <c r="G11" s="357"/>
      <c r="H11" s="358">
        <v>3</v>
      </c>
      <c r="I11" s="352" t="s">
        <v>438</v>
      </c>
      <c r="J11" s="359">
        <v>70160</v>
      </c>
      <c r="K11" s="360" t="s">
        <v>42</v>
      </c>
      <c r="L11" s="324"/>
      <c r="M11" s="325"/>
      <c r="N11" s="325"/>
      <c r="O11" s="325"/>
      <c r="P11" s="354" t="s">
        <v>447</v>
      </c>
      <c r="Q11" s="361"/>
      <c r="R11" s="325"/>
      <c r="S11" s="325"/>
      <c r="T11" s="325"/>
      <c r="U11" s="325"/>
      <c r="V11" s="325"/>
      <c r="W11" s="325"/>
      <c r="X11" s="325"/>
      <c r="Y11" s="325"/>
    </row>
    <row r="12" spans="1:25" s="328" customFormat="1" ht="18.399999999999999" customHeight="1">
      <c r="A12" s="362" t="s">
        <v>448</v>
      </c>
      <c r="C12" s="363"/>
      <c r="D12" s="554" t="s">
        <v>42</v>
      </c>
      <c r="E12" s="555"/>
      <c r="F12" s="539" t="s">
        <v>449</v>
      </c>
      <c r="G12" s="540"/>
      <c r="H12" s="540"/>
      <c r="I12" s="540"/>
      <c r="J12" s="540"/>
      <c r="K12" s="339"/>
      <c r="L12" s="324"/>
      <c r="M12" s="325"/>
      <c r="N12" s="325"/>
      <c r="O12" s="325"/>
      <c r="P12" s="325"/>
      <c r="Q12" s="325"/>
      <c r="R12" s="325"/>
      <c r="S12" s="325"/>
      <c r="T12" s="325"/>
      <c r="U12" s="325"/>
      <c r="V12" s="325"/>
      <c r="W12" s="325"/>
      <c r="X12" s="325"/>
      <c r="Y12" s="325"/>
    </row>
    <row r="13" spans="1:25" s="328" customFormat="1" ht="18.399999999999999" customHeight="1">
      <c r="A13" s="547" t="s">
        <v>235</v>
      </c>
      <c r="B13" s="548"/>
      <c r="C13" s="549"/>
      <c r="D13" s="556" t="s">
        <v>450</v>
      </c>
      <c r="E13" s="557"/>
      <c r="F13" s="364"/>
      <c r="G13" s="365" t="s">
        <v>451</v>
      </c>
      <c r="H13" s="366"/>
      <c r="I13" s="367" t="s">
        <v>452</v>
      </c>
      <c r="J13" s="368">
        <v>102</v>
      </c>
      <c r="K13" s="353" t="s">
        <v>42</v>
      </c>
      <c r="L13" s="324"/>
      <c r="M13" s="325"/>
      <c r="N13" s="325"/>
      <c r="O13" s="325"/>
      <c r="P13" s="325"/>
      <c r="Q13" s="325"/>
      <c r="R13" s="325"/>
      <c r="S13" s="325"/>
      <c r="T13" s="325"/>
      <c r="U13" s="325"/>
      <c r="V13" s="325"/>
      <c r="W13" s="325"/>
      <c r="X13" s="325"/>
      <c r="Y13" s="325"/>
    </row>
    <row r="14" spans="1:25" s="328" customFormat="1" ht="18.399999999999999" customHeight="1">
      <c r="A14" s="547" t="s">
        <v>239</v>
      </c>
      <c r="B14" s="548"/>
      <c r="C14" s="549"/>
      <c r="D14" s="554">
        <v>1295</v>
      </c>
      <c r="E14" s="555"/>
      <c r="F14" s="364"/>
      <c r="G14" s="369" t="s">
        <v>181</v>
      </c>
      <c r="H14" s="370"/>
      <c r="I14" s="370"/>
      <c r="J14" s="353" t="s">
        <v>42</v>
      </c>
      <c r="K14" s="345" t="s">
        <v>42</v>
      </c>
      <c r="L14" s="324"/>
      <c r="M14" s="325"/>
      <c r="N14" s="325"/>
      <c r="O14" s="325"/>
      <c r="P14" s="325"/>
      <c r="Q14" s="325"/>
      <c r="R14" s="325"/>
      <c r="S14" s="325"/>
      <c r="T14" s="325"/>
      <c r="U14" s="325"/>
      <c r="V14" s="325"/>
      <c r="W14" s="325"/>
      <c r="X14" s="325"/>
      <c r="Y14" s="325"/>
    </row>
    <row r="15" spans="1:25" s="328" customFormat="1" ht="18.399999999999999" customHeight="1">
      <c r="A15" s="558" t="s">
        <v>453</v>
      </c>
      <c r="B15" s="559"/>
      <c r="C15" s="560"/>
      <c r="D15" s="561">
        <v>9.4356002807617188</v>
      </c>
      <c r="E15" s="562"/>
      <c r="F15" s="364"/>
      <c r="G15" s="369" t="s">
        <v>454</v>
      </c>
      <c r="H15" s="370"/>
      <c r="I15" s="370"/>
      <c r="J15" s="353" t="s">
        <v>42</v>
      </c>
      <c r="K15" s="345" t="s">
        <v>42</v>
      </c>
      <c r="L15" s="324"/>
      <c r="M15" s="325"/>
      <c r="N15" s="325"/>
      <c r="O15" s="325"/>
      <c r="P15" s="325"/>
      <c r="Q15" s="325"/>
      <c r="R15" s="325"/>
      <c r="S15" s="325"/>
      <c r="T15" s="325"/>
      <c r="U15" s="325"/>
      <c r="V15" s="325"/>
      <c r="W15" s="325"/>
      <c r="X15" s="325"/>
      <c r="Y15" s="325"/>
    </row>
    <row r="16" spans="1:25" s="328" customFormat="1" ht="18.399999999999999" customHeight="1">
      <c r="A16" s="563" t="s">
        <v>455</v>
      </c>
      <c r="B16" s="564"/>
      <c r="C16" s="565"/>
      <c r="D16" s="561">
        <v>3.736799955368042</v>
      </c>
      <c r="E16" s="562"/>
      <c r="F16" s="371"/>
      <c r="G16" s="372" t="s">
        <v>191</v>
      </c>
      <c r="H16" s="373"/>
      <c r="I16" s="373"/>
      <c r="J16" s="359" t="s">
        <v>42</v>
      </c>
      <c r="K16" s="360" t="s">
        <v>42</v>
      </c>
      <c r="L16" s="324"/>
      <c r="M16" s="325"/>
      <c r="N16" s="325"/>
      <c r="O16" s="325"/>
      <c r="P16" s="325"/>
      <c r="Q16" s="325"/>
      <c r="R16" s="325"/>
      <c r="S16" s="325"/>
      <c r="T16" s="325"/>
      <c r="U16" s="325"/>
      <c r="V16" s="325"/>
      <c r="W16" s="325"/>
      <c r="X16" s="325"/>
      <c r="Y16" s="325"/>
    </row>
    <row r="17" spans="1:25" s="328" customFormat="1" ht="18.399999999999999" customHeight="1">
      <c r="A17" s="374" t="s">
        <v>456</v>
      </c>
      <c r="B17" s="375"/>
      <c r="C17" s="376"/>
      <c r="D17" s="552" t="s">
        <v>457</v>
      </c>
      <c r="E17" s="553"/>
      <c r="F17" s="525" t="s">
        <v>637</v>
      </c>
      <c r="G17" s="526"/>
      <c r="H17" s="526"/>
      <c r="I17" s="526"/>
      <c r="J17" s="526"/>
      <c r="K17" s="527"/>
      <c r="L17" s="324"/>
      <c r="M17" s="325"/>
      <c r="N17" s="325"/>
      <c r="O17" s="325"/>
      <c r="P17" s="325"/>
      <c r="Q17" s="325"/>
      <c r="R17" s="325"/>
      <c r="S17" s="325"/>
      <c r="T17" s="325"/>
      <c r="U17" s="325"/>
      <c r="V17" s="325"/>
      <c r="W17" s="325"/>
      <c r="X17" s="325"/>
      <c r="Y17" s="325"/>
    </row>
    <row r="18" spans="1:25" s="328" customFormat="1" ht="18.399999999999999" customHeight="1">
      <c r="A18" s="377" t="s">
        <v>458</v>
      </c>
      <c r="B18" s="378"/>
      <c r="C18" s="376"/>
      <c r="D18" s="550" t="s">
        <v>42</v>
      </c>
      <c r="E18" s="551"/>
      <c r="F18" s="566"/>
      <c r="G18" s="567"/>
      <c r="H18" s="379" t="s">
        <v>459</v>
      </c>
      <c r="I18" s="380"/>
      <c r="J18" s="345">
        <v>256</v>
      </c>
      <c r="K18" s="385"/>
      <c r="L18" s="324"/>
      <c r="M18" s="325"/>
      <c r="N18" s="325"/>
      <c r="O18" s="325"/>
      <c r="P18" s="325"/>
      <c r="Q18" s="325"/>
      <c r="R18" s="325"/>
      <c r="S18" s="325"/>
      <c r="T18" s="325"/>
      <c r="U18" s="325"/>
      <c r="V18" s="325"/>
      <c r="W18" s="325"/>
      <c r="X18" s="325"/>
      <c r="Y18" s="325"/>
    </row>
    <row r="19" spans="1:25" s="328" customFormat="1" ht="18.399999999999999" customHeight="1">
      <c r="A19" s="572" t="s">
        <v>460</v>
      </c>
      <c r="B19" s="573"/>
      <c r="C19" s="574"/>
      <c r="D19" s="575" t="s">
        <v>42</v>
      </c>
      <c r="E19" s="553"/>
      <c r="F19" s="568"/>
      <c r="G19" s="569"/>
      <c r="H19" s="379" t="s">
        <v>152</v>
      </c>
      <c r="I19" s="343"/>
      <c r="J19" s="345">
        <v>2565</v>
      </c>
      <c r="K19" s="385"/>
      <c r="L19" s="324"/>
      <c r="M19" s="325"/>
      <c r="N19" s="325"/>
      <c r="O19" s="325"/>
      <c r="P19" s="325"/>
      <c r="Q19" s="325"/>
      <c r="R19" s="325"/>
      <c r="S19" s="325"/>
      <c r="T19" s="325"/>
      <c r="U19" s="325"/>
      <c r="V19" s="325"/>
      <c r="W19" s="325"/>
      <c r="X19" s="325"/>
      <c r="Y19" s="325"/>
    </row>
    <row r="20" spans="1:25" s="328" customFormat="1" ht="18.399999999999999" customHeight="1" thickBot="1">
      <c r="A20" s="381" t="s">
        <v>461</v>
      </c>
      <c r="C20" s="382"/>
      <c r="D20" s="576" t="s">
        <v>462</v>
      </c>
      <c r="E20" s="577"/>
      <c r="F20" s="568"/>
      <c r="G20" s="569"/>
      <c r="H20" s="379" t="s">
        <v>463</v>
      </c>
      <c r="I20" s="343"/>
      <c r="J20" s="345" t="s">
        <v>77</v>
      </c>
      <c r="K20" s="385"/>
      <c r="L20" s="324"/>
      <c r="M20" s="325"/>
      <c r="N20" s="325"/>
      <c r="O20" s="325"/>
      <c r="P20" s="325"/>
      <c r="Q20" s="325"/>
      <c r="R20" s="325"/>
      <c r="S20" s="325"/>
      <c r="T20" s="325"/>
      <c r="U20" s="325"/>
      <c r="V20" s="325"/>
      <c r="W20" s="325"/>
      <c r="X20" s="325"/>
      <c r="Y20" s="325"/>
    </row>
    <row r="21" spans="1:25" s="328" customFormat="1" ht="18.399999999999999" customHeight="1" thickBot="1">
      <c r="A21" s="558" t="s">
        <v>464</v>
      </c>
      <c r="B21" s="559"/>
      <c r="C21" s="560"/>
      <c r="D21" s="545" t="s">
        <v>465</v>
      </c>
      <c r="E21" s="546"/>
      <c r="F21" s="568"/>
      <c r="G21" s="569"/>
      <c r="H21" s="383" t="s">
        <v>466</v>
      </c>
      <c r="I21" s="343"/>
      <c r="J21" s="518" t="s">
        <v>165</v>
      </c>
      <c r="K21" s="385"/>
      <c r="L21" s="324"/>
      <c r="M21" s="325"/>
      <c r="N21" s="325"/>
      <c r="O21" s="325"/>
      <c r="P21" s="326" t="s">
        <v>467</v>
      </c>
      <c r="Q21" s="327"/>
      <c r="R21" s="325"/>
      <c r="S21" s="325"/>
      <c r="T21" s="325"/>
      <c r="U21" s="325"/>
      <c r="V21" s="325"/>
      <c r="W21" s="325"/>
      <c r="X21" s="325"/>
      <c r="Y21" s="325"/>
    </row>
    <row r="22" spans="1:25" s="328" customFormat="1" ht="18.399999999999999" customHeight="1">
      <c r="A22" s="377" t="s">
        <v>468</v>
      </c>
      <c r="B22" s="384"/>
      <c r="C22" s="384"/>
      <c r="D22" s="578">
        <v>6.2399999999999997E-2</v>
      </c>
      <c r="E22" s="579"/>
      <c r="F22" s="568"/>
      <c r="G22" s="569"/>
      <c r="H22" s="379" t="s">
        <v>423</v>
      </c>
      <c r="I22" s="343"/>
      <c r="J22" s="385" t="s">
        <v>42</v>
      </c>
      <c r="K22" s="345"/>
      <c r="L22" s="324"/>
      <c r="M22" s="325"/>
      <c r="N22" s="325"/>
      <c r="O22" s="325"/>
      <c r="P22" s="336" t="s">
        <v>469</v>
      </c>
      <c r="Q22" s="338"/>
      <c r="R22" s="325"/>
      <c r="S22" s="325"/>
      <c r="T22" s="325"/>
      <c r="U22" s="325"/>
      <c r="V22" s="325"/>
      <c r="W22" s="325"/>
      <c r="X22" s="325"/>
      <c r="Y22" s="325"/>
    </row>
    <row r="23" spans="1:25" s="328" customFormat="1" ht="18.399999999999999" customHeight="1">
      <c r="A23" s="386" t="s">
        <v>470</v>
      </c>
      <c r="B23" s="387" t="s">
        <v>471</v>
      </c>
      <c r="C23" s="388"/>
      <c r="D23" s="556">
        <v>589</v>
      </c>
      <c r="E23" s="557"/>
      <c r="F23" s="568"/>
      <c r="G23" s="569"/>
      <c r="H23" s="389" t="s">
        <v>472</v>
      </c>
      <c r="I23" s="390"/>
      <c r="J23" s="391" t="s">
        <v>42</v>
      </c>
      <c r="K23" s="392"/>
      <c r="L23" s="393"/>
      <c r="P23" s="336" t="s">
        <v>465</v>
      </c>
      <c r="Q23" s="338"/>
      <c r="R23" s="325"/>
      <c r="S23" s="325"/>
      <c r="T23" s="325"/>
      <c r="U23" s="325"/>
      <c r="V23" s="325"/>
      <c r="W23" s="325"/>
      <c r="X23" s="325"/>
      <c r="Y23" s="325"/>
    </row>
    <row r="24" spans="1:25" s="328" customFormat="1" ht="18.399999999999999" customHeight="1" thickBot="1">
      <c r="A24" s="394" t="s">
        <v>473</v>
      </c>
      <c r="B24" s="395" t="s">
        <v>474</v>
      </c>
      <c r="C24" s="396"/>
      <c r="D24" s="580" t="s">
        <v>42</v>
      </c>
      <c r="E24" s="581"/>
      <c r="F24" s="568"/>
      <c r="G24" s="569"/>
      <c r="H24" s="379" t="s">
        <v>475</v>
      </c>
      <c r="I24" s="363"/>
      <c r="J24" s="397" t="s">
        <v>42</v>
      </c>
      <c r="K24" s="398"/>
      <c r="L24" s="393"/>
      <c r="P24" s="399" t="s">
        <v>42</v>
      </c>
      <c r="Q24" s="400"/>
      <c r="R24" s="325"/>
      <c r="S24" s="325"/>
      <c r="T24" s="325"/>
      <c r="U24" s="325"/>
      <c r="V24" s="325"/>
      <c r="W24" s="325"/>
      <c r="X24" s="325"/>
      <c r="Y24" s="325"/>
    </row>
    <row r="25" spans="1:25" s="328" customFormat="1" ht="18.399999999999999" customHeight="1">
      <c r="A25" s="401" t="s">
        <v>476</v>
      </c>
      <c r="B25" s="402"/>
      <c r="C25" s="402"/>
      <c r="D25" s="403"/>
      <c r="E25" s="403" t="s">
        <v>477</v>
      </c>
      <c r="F25" s="568"/>
      <c r="G25" s="569"/>
      <c r="H25" s="379" t="s">
        <v>478</v>
      </c>
      <c r="I25" s="363"/>
      <c r="J25" s="404" t="s">
        <v>42</v>
      </c>
      <c r="K25" s="398"/>
      <c r="L25" s="393"/>
      <c r="Q25" s="325"/>
      <c r="R25" s="325"/>
      <c r="S25" s="325"/>
      <c r="T25" s="325"/>
      <c r="U25" s="325"/>
      <c r="V25" s="325"/>
      <c r="W25" s="325"/>
      <c r="X25" s="325"/>
      <c r="Y25" s="325"/>
    </row>
    <row r="26" spans="1:25" s="328" customFormat="1" ht="18.399999999999999" customHeight="1">
      <c r="A26" s="405" t="s">
        <v>479</v>
      </c>
      <c r="B26" s="406"/>
      <c r="C26" s="407"/>
      <c r="D26" s="408" t="s">
        <v>480</v>
      </c>
      <c r="E26" s="408" t="s">
        <v>481</v>
      </c>
      <c r="F26" s="570"/>
      <c r="G26" s="571"/>
      <c r="H26" s="582"/>
      <c r="I26" s="583"/>
      <c r="J26" s="409"/>
      <c r="K26" s="410"/>
      <c r="L26" s="393"/>
      <c r="Q26" s="325"/>
      <c r="R26" s="325"/>
      <c r="S26" s="325"/>
      <c r="T26" s="325"/>
      <c r="U26" s="325"/>
      <c r="V26" s="325"/>
      <c r="W26" s="325"/>
      <c r="X26" s="325"/>
      <c r="Y26" s="325"/>
    </row>
    <row r="27" spans="1:25" s="328" customFormat="1" ht="18.399999999999999" customHeight="1">
      <c r="A27" s="592" t="s">
        <v>482</v>
      </c>
      <c r="B27" s="593"/>
      <c r="C27" s="593"/>
      <c r="D27" s="593"/>
      <c r="E27" s="593"/>
      <c r="F27" s="537" t="s">
        <v>483</v>
      </c>
      <c r="G27" s="538"/>
      <c r="H27" s="538"/>
      <c r="I27" s="538"/>
      <c r="J27" s="538"/>
      <c r="K27" s="411"/>
      <c r="L27" s="393"/>
      <c r="Q27" s="325"/>
      <c r="R27" s="325"/>
      <c r="S27" s="325"/>
      <c r="T27" s="325"/>
      <c r="U27" s="325"/>
      <c r="V27" s="325"/>
      <c r="W27" s="325"/>
      <c r="X27" s="325"/>
      <c r="Y27" s="325"/>
    </row>
    <row r="28" spans="1:25" s="328" customFormat="1" ht="18.399999999999999" customHeight="1">
      <c r="A28" s="586"/>
      <c r="B28" s="587"/>
      <c r="C28" s="587"/>
      <c r="D28" s="587"/>
      <c r="E28" s="588"/>
      <c r="F28" s="412"/>
      <c r="G28" s="413"/>
      <c r="H28" s="369" t="s">
        <v>484</v>
      </c>
      <c r="I28" s="414" t="s">
        <v>485</v>
      </c>
      <c r="J28" s="415">
        <v>1551</v>
      </c>
      <c r="K28" s="415"/>
      <c r="L28" s="393"/>
      <c r="Q28" s="325"/>
      <c r="R28" s="325"/>
      <c r="S28" s="325"/>
      <c r="T28" s="325"/>
      <c r="U28" s="325"/>
      <c r="V28" s="325"/>
      <c r="W28" s="325"/>
      <c r="X28" s="325"/>
      <c r="Y28" s="325"/>
    </row>
    <row r="29" spans="1:25" s="328" customFormat="1" ht="18.399999999999999" customHeight="1">
      <c r="A29" s="586"/>
      <c r="B29" s="587"/>
      <c r="C29" s="587"/>
      <c r="D29" s="587"/>
      <c r="E29" s="588"/>
      <c r="F29" s="416"/>
      <c r="G29" s="417"/>
      <c r="H29" s="369" t="s">
        <v>486</v>
      </c>
      <c r="I29" s="418">
        <v>60</v>
      </c>
      <c r="J29" s="415">
        <v>179</v>
      </c>
      <c r="K29" s="415"/>
      <c r="L29" s="393"/>
      <c r="P29" s="325"/>
      <c r="Q29" s="325"/>
      <c r="R29" s="325"/>
      <c r="S29" s="325"/>
      <c r="T29" s="325"/>
      <c r="U29" s="325"/>
      <c r="V29" s="325"/>
      <c r="W29" s="325"/>
      <c r="X29" s="325"/>
      <c r="Y29" s="325"/>
    </row>
    <row r="30" spans="1:25" s="328" customFormat="1" ht="18.399999999999999" customHeight="1">
      <c r="A30" s="586"/>
      <c r="B30" s="587"/>
      <c r="C30" s="587"/>
      <c r="D30" s="587"/>
      <c r="E30" s="588"/>
      <c r="F30" s="416"/>
      <c r="G30" s="417"/>
      <c r="H30" s="369" t="s">
        <v>487</v>
      </c>
      <c r="I30" s="418">
        <v>175</v>
      </c>
      <c r="J30" s="415">
        <v>218</v>
      </c>
      <c r="K30" s="415"/>
      <c r="L30" s="393"/>
      <c r="Q30" s="325"/>
      <c r="R30" s="325"/>
      <c r="S30" s="325"/>
      <c r="T30" s="325"/>
      <c r="U30" s="325"/>
      <c r="V30" s="325"/>
      <c r="W30" s="325"/>
      <c r="X30" s="325"/>
      <c r="Y30" s="325"/>
    </row>
    <row r="31" spans="1:25" s="328" customFormat="1" ht="18.399999999999999" customHeight="1">
      <c r="A31" s="586"/>
      <c r="B31" s="587"/>
      <c r="C31" s="587"/>
      <c r="D31" s="587"/>
      <c r="E31" s="588"/>
      <c r="F31" s="416"/>
      <c r="G31" s="417"/>
      <c r="H31" s="369" t="s">
        <v>488</v>
      </c>
      <c r="I31" s="370"/>
      <c r="J31" s="415">
        <v>0.97</v>
      </c>
      <c r="K31" s="415"/>
      <c r="L31" s="393"/>
      <c r="Q31" s="325"/>
      <c r="R31" s="325"/>
      <c r="S31" s="325"/>
      <c r="T31" s="325"/>
      <c r="U31" s="325"/>
      <c r="V31" s="325"/>
      <c r="W31" s="325"/>
      <c r="X31" s="325"/>
      <c r="Y31" s="325"/>
    </row>
    <row r="32" spans="1:25" s="328" customFormat="1" ht="18.399999999999999" customHeight="1">
      <c r="A32" s="589"/>
      <c r="B32" s="590"/>
      <c r="C32" s="590"/>
      <c r="D32" s="590"/>
      <c r="E32" s="591"/>
      <c r="F32" s="416"/>
      <c r="G32" s="419" t="s">
        <v>489</v>
      </c>
      <c r="H32" s="369" t="s">
        <v>490</v>
      </c>
      <c r="I32" s="420"/>
      <c r="J32" s="415">
        <v>95.3</v>
      </c>
      <c r="K32" s="415"/>
      <c r="L32" s="393"/>
      <c r="Q32" s="325"/>
      <c r="R32" s="325"/>
      <c r="S32" s="325"/>
      <c r="T32" s="325"/>
      <c r="U32" s="325"/>
      <c r="V32" s="325"/>
      <c r="W32" s="325"/>
      <c r="X32" s="325"/>
      <c r="Y32" s="325"/>
    </row>
    <row r="33" spans="1:25" s="328" customFormat="1" ht="18.399999999999999" customHeight="1">
      <c r="A33" s="592" t="s">
        <v>491</v>
      </c>
      <c r="B33" s="593"/>
      <c r="C33" s="593"/>
      <c r="D33" s="593"/>
      <c r="E33" s="594"/>
      <c r="F33" s="421"/>
      <c r="G33" s="422"/>
      <c r="H33" s="423" t="s">
        <v>492</v>
      </c>
      <c r="I33" s="424"/>
      <c r="J33" s="425">
        <v>88.1</v>
      </c>
      <c r="K33" s="425"/>
      <c r="L33" s="393"/>
      <c r="Q33" s="325"/>
      <c r="R33" s="325"/>
      <c r="S33" s="325"/>
      <c r="T33" s="325"/>
      <c r="U33" s="325"/>
      <c r="V33" s="325"/>
      <c r="W33" s="325"/>
      <c r="X33" s="325"/>
      <c r="Y33" s="325"/>
    </row>
    <row r="34" spans="1:25" s="328" customFormat="1" ht="18.399999999999999" customHeight="1">
      <c r="A34" s="586"/>
      <c r="B34" s="587"/>
      <c r="C34" s="587"/>
      <c r="D34" s="587"/>
      <c r="E34" s="588"/>
      <c r="F34" s="346" t="s">
        <v>493</v>
      </c>
      <c r="G34" s="426"/>
      <c r="H34" s="427" t="s">
        <v>188</v>
      </c>
      <c r="I34" s="428"/>
      <c r="J34" s="429">
        <v>16209</v>
      </c>
      <c r="K34" s="429"/>
      <c r="L34" s="393"/>
      <c r="Q34" s="325"/>
      <c r="R34" s="325"/>
      <c r="S34" s="325"/>
      <c r="T34" s="325"/>
      <c r="U34" s="325"/>
      <c r="V34" s="325"/>
      <c r="W34" s="325"/>
      <c r="X34" s="325"/>
      <c r="Y34" s="325"/>
    </row>
    <row r="35" spans="1:25" s="328" customFormat="1" ht="18.399999999999999" customHeight="1">
      <c r="A35" s="586"/>
      <c r="B35" s="587"/>
      <c r="C35" s="587"/>
      <c r="D35" s="587"/>
      <c r="E35" s="588"/>
      <c r="F35" s="364"/>
      <c r="G35" s="430"/>
      <c r="H35" s="431" t="s">
        <v>189</v>
      </c>
      <c r="I35" s="432"/>
      <c r="J35" s="415">
        <v>13064</v>
      </c>
      <c r="K35" s="415"/>
      <c r="L35" s="393"/>
      <c r="Q35" s="325"/>
      <c r="R35" s="325"/>
      <c r="S35" s="325"/>
      <c r="T35" s="325"/>
      <c r="U35" s="325"/>
      <c r="V35" s="325"/>
      <c r="W35" s="325"/>
      <c r="X35" s="325"/>
      <c r="Y35" s="325"/>
    </row>
    <row r="36" spans="1:25" s="328" customFormat="1" ht="18.399999999999999" customHeight="1">
      <c r="A36" s="586"/>
      <c r="B36" s="587"/>
      <c r="C36" s="587"/>
      <c r="D36" s="587"/>
      <c r="E36" s="588"/>
      <c r="F36" s="364"/>
      <c r="G36" s="430"/>
      <c r="H36" s="431" t="s">
        <v>494</v>
      </c>
      <c r="I36" s="432"/>
      <c r="J36" s="415">
        <v>14738</v>
      </c>
      <c r="K36" s="415"/>
      <c r="L36" s="393"/>
      <c r="P36" s="325"/>
      <c r="Q36" s="325"/>
      <c r="R36" s="325"/>
      <c r="S36" s="325"/>
      <c r="T36" s="325"/>
      <c r="U36" s="325"/>
      <c r="V36" s="325"/>
      <c r="W36" s="325"/>
      <c r="X36" s="325"/>
      <c r="Y36" s="325"/>
    </row>
    <row r="37" spans="1:25" s="328" customFormat="1" ht="18.399999999999999" customHeight="1">
      <c r="A37" s="586"/>
      <c r="B37" s="587"/>
      <c r="C37" s="587"/>
      <c r="D37" s="587"/>
      <c r="E37" s="588"/>
      <c r="F37" s="416"/>
      <c r="G37" s="430"/>
      <c r="H37" s="431" t="s">
        <v>495</v>
      </c>
      <c r="I37" s="432"/>
      <c r="J37" s="415">
        <v>7275</v>
      </c>
      <c r="K37" s="415"/>
      <c r="L37" s="393"/>
      <c r="Q37" s="325"/>
      <c r="R37" s="325"/>
      <c r="S37" s="325"/>
      <c r="T37" s="325"/>
      <c r="U37" s="325"/>
      <c r="V37" s="325"/>
      <c r="W37" s="325"/>
      <c r="X37" s="325"/>
      <c r="Y37" s="325"/>
    </row>
    <row r="38" spans="1:25" s="328" customFormat="1" ht="18.399999999999999" customHeight="1">
      <c r="A38" s="589"/>
      <c r="B38" s="590"/>
      <c r="C38" s="590"/>
      <c r="D38" s="590"/>
      <c r="E38" s="591"/>
      <c r="F38" s="371"/>
      <c r="G38" s="433"/>
      <c r="H38" s="434" t="s">
        <v>496</v>
      </c>
      <c r="I38" s="435"/>
      <c r="J38" s="408">
        <v>21657</v>
      </c>
      <c r="K38" s="408"/>
      <c r="L38" s="393"/>
      <c r="Q38" s="325"/>
      <c r="R38" s="325"/>
      <c r="S38" s="325"/>
      <c r="T38" s="325"/>
      <c r="U38" s="325"/>
      <c r="V38" s="325"/>
      <c r="W38" s="325"/>
      <c r="X38" s="325"/>
      <c r="Y38" s="325"/>
    </row>
    <row r="39" spans="1:25" s="328" customFormat="1" ht="18.399999999999999" customHeight="1">
      <c r="A39" s="592"/>
      <c r="B39" s="593"/>
      <c r="C39" s="593"/>
      <c r="D39" s="593"/>
      <c r="E39" s="593"/>
      <c r="F39" s="436" t="s">
        <v>497</v>
      </c>
      <c r="G39" s="437" t="s">
        <v>498</v>
      </c>
      <c r="H39" s="438"/>
      <c r="I39" s="438"/>
      <c r="J39" s="438"/>
      <c r="K39" s="438"/>
      <c r="L39" s="393"/>
      <c r="M39" s="315" t="s">
        <v>499</v>
      </c>
      <c r="Q39" s="325"/>
      <c r="R39" s="325"/>
      <c r="S39" s="325"/>
      <c r="T39" s="325"/>
      <c r="U39" s="325"/>
      <c r="V39" s="325"/>
      <c r="W39" s="325"/>
      <c r="X39" s="325"/>
      <c r="Y39" s="325"/>
    </row>
    <row r="40" spans="1:25" s="328" customFormat="1" ht="18.399999999999999" customHeight="1">
      <c r="A40" s="586"/>
      <c r="B40" s="587"/>
      <c r="C40" s="587"/>
      <c r="D40" s="587"/>
      <c r="E40" s="588"/>
      <c r="F40" s="439"/>
      <c r="G40" s="440" t="s">
        <v>500</v>
      </c>
      <c r="H40" s="441"/>
      <c r="I40" s="441"/>
      <c r="J40" s="441"/>
      <c r="K40" s="441"/>
      <c r="L40" s="393"/>
      <c r="M40" s="315" t="s">
        <v>501</v>
      </c>
      <c r="Q40" s="325"/>
      <c r="R40" s="325"/>
      <c r="S40" s="325"/>
      <c r="T40" s="325"/>
      <c r="U40" s="325"/>
      <c r="V40" s="325"/>
      <c r="W40" s="325"/>
      <c r="X40" s="325"/>
      <c r="Y40" s="325"/>
    </row>
    <row r="41" spans="1:25" s="328" customFormat="1" ht="18.399999999999999" customHeight="1">
      <c r="A41" s="586"/>
      <c r="B41" s="587"/>
      <c r="C41" s="587"/>
      <c r="D41" s="587"/>
      <c r="E41" s="588"/>
      <c r="F41" s="439" t="s">
        <v>722</v>
      </c>
      <c r="G41" s="442" t="s">
        <v>503</v>
      </c>
      <c r="H41" s="442"/>
      <c r="I41" s="442"/>
      <c r="J41" s="442"/>
      <c r="K41" s="442"/>
      <c r="L41" s="393"/>
      <c r="M41" s="315" t="s">
        <v>502</v>
      </c>
      <c r="O41" s="442"/>
      <c r="Q41" s="325"/>
      <c r="R41" s="325"/>
      <c r="S41" s="325"/>
      <c r="T41" s="325"/>
      <c r="U41" s="325"/>
      <c r="V41" s="325"/>
      <c r="W41" s="325"/>
      <c r="X41" s="325"/>
      <c r="Y41" s="325"/>
    </row>
    <row r="42" spans="1:25" s="328" customFormat="1" ht="18.399999999999999" customHeight="1">
      <c r="A42" s="586"/>
      <c r="B42" s="587"/>
      <c r="C42" s="587"/>
      <c r="D42" s="587"/>
      <c r="E42" s="588"/>
      <c r="F42" s="439"/>
      <c r="H42" s="442"/>
      <c r="I42" s="442"/>
      <c r="J42" s="442"/>
      <c r="K42" s="442"/>
      <c r="L42" s="324"/>
      <c r="M42" s="325"/>
      <c r="N42" s="325"/>
      <c r="O42" s="325"/>
      <c r="P42" s="325"/>
      <c r="Q42" s="325"/>
      <c r="R42" s="325"/>
      <c r="S42" s="325"/>
      <c r="T42" s="325"/>
      <c r="U42" s="325"/>
      <c r="V42" s="325"/>
      <c r="W42" s="325"/>
      <c r="X42" s="325"/>
      <c r="Y42" s="325"/>
    </row>
    <row r="43" spans="1:25" s="328" customFormat="1" ht="18.399999999999999" customHeight="1">
      <c r="A43" s="586"/>
      <c r="B43" s="587"/>
      <c r="C43" s="587"/>
      <c r="D43" s="587"/>
      <c r="E43" s="588"/>
      <c r="F43" s="439"/>
      <c r="G43" s="442"/>
      <c r="H43" s="442"/>
      <c r="I43" s="442"/>
      <c r="J43" s="442"/>
      <c r="K43" s="442"/>
      <c r="L43" s="324"/>
      <c r="M43" s="325"/>
      <c r="N43" s="325"/>
      <c r="O43" s="325"/>
      <c r="P43" s="325"/>
      <c r="Q43" s="325"/>
      <c r="R43" s="325"/>
      <c r="S43" s="325"/>
      <c r="T43" s="325"/>
      <c r="U43" s="325"/>
      <c r="V43" s="325"/>
      <c r="W43" s="325"/>
      <c r="X43" s="325"/>
      <c r="Y43" s="325"/>
    </row>
    <row r="44" spans="1:25" s="328" customFormat="1" ht="17.100000000000001" customHeight="1" thickBot="1">
      <c r="A44" s="595"/>
      <c r="B44" s="596"/>
      <c r="C44" s="596"/>
      <c r="D44" s="596"/>
      <c r="E44" s="597"/>
      <c r="F44" s="439"/>
      <c r="G44" s="442"/>
      <c r="H44" s="442"/>
      <c r="I44" s="442"/>
      <c r="J44" s="442"/>
      <c r="K44" s="442"/>
      <c r="L44" s="324"/>
      <c r="M44" s="325"/>
      <c r="N44" s="325"/>
      <c r="O44" s="325"/>
      <c r="P44" s="325"/>
      <c r="Q44" s="325"/>
      <c r="R44" s="325"/>
      <c r="S44" s="325"/>
      <c r="T44" s="325"/>
      <c r="U44" s="325"/>
      <c r="V44" s="325"/>
      <c r="W44" s="325"/>
      <c r="X44" s="325"/>
      <c r="Y44" s="325"/>
    </row>
    <row r="45" spans="1:25" s="328" customFormat="1" ht="17.100000000000001" customHeight="1">
      <c r="A45" s="443" t="s">
        <v>504</v>
      </c>
      <c r="B45" s="598"/>
      <c r="C45" s="599"/>
      <c r="D45" s="444" t="s">
        <v>505</v>
      </c>
      <c r="E45" s="445" t="s">
        <v>506</v>
      </c>
      <c r="F45" s="446"/>
      <c r="G45" s="442"/>
      <c r="H45" s="442"/>
      <c r="I45" s="442"/>
      <c r="J45" s="442"/>
      <c r="K45" s="442"/>
      <c r="L45" s="324"/>
      <c r="M45" s="325"/>
      <c r="N45" s="325"/>
      <c r="O45" s="325"/>
      <c r="P45" s="325"/>
      <c r="Q45" s="325"/>
      <c r="R45" s="325"/>
      <c r="S45" s="325"/>
      <c r="T45" s="325"/>
      <c r="U45" s="325"/>
      <c r="V45" s="325"/>
      <c r="W45" s="325"/>
      <c r="X45" s="325"/>
      <c r="Y45" s="325"/>
    </row>
    <row r="46" spans="1:25" s="328" customFormat="1" ht="17.100000000000001" customHeight="1" thickBot="1">
      <c r="A46" s="447" t="s">
        <v>507</v>
      </c>
      <c r="B46" s="584"/>
      <c r="C46" s="585"/>
      <c r="D46" s="448" t="s">
        <v>507</v>
      </c>
      <c r="E46" s="449">
        <v>44286</v>
      </c>
      <c r="F46" s="450"/>
      <c r="G46" s="451" t="s">
        <v>508</v>
      </c>
      <c r="H46" s="451"/>
      <c r="I46" s="451"/>
      <c r="J46" s="451"/>
      <c r="K46" s="451"/>
      <c r="L46" s="324"/>
      <c r="M46" s="325"/>
      <c r="N46" s="325"/>
      <c r="O46" s="325"/>
      <c r="P46" s="325"/>
      <c r="Q46" s="325"/>
      <c r="R46" s="325"/>
      <c r="S46" s="325"/>
      <c r="T46" s="325"/>
      <c r="U46" s="325"/>
      <c r="V46" s="325"/>
      <c r="W46" s="325"/>
      <c r="X46" s="325"/>
      <c r="Y46" s="325"/>
    </row>
    <row r="47" spans="1:25" s="328" customFormat="1" ht="17.100000000000001" customHeight="1">
      <c r="F47" s="452"/>
      <c r="G47" s="453"/>
      <c r="H47" s="325"/>
      <c r="I47" s="325"/>
      <c r="J47" s="325"/>
      <c r="K47" s="325"/>
      <c r="L47" s="325"/>
      <c r="M47" s="325"/>
      <c r="N47" s="325"/>
      <c r="O47" s="325"/>
      <c r="P47" s="325"/>
      <c r="Q47" s="325"/>
      <c r="R47" s="325"/>
      <c r="S47" s="325"/>
      <c r="T47" s="325"/>
    </row>
    <row r="48" spans="1:25" s="328" customFormat="1" ht="17.100000000000001" customHeight="1">
      <c r="F48" s="325"/>
      <c r="G48" s="454"/>
      <c r="H48" s="325"/>
      <c r="I48" s="325"/>
      <c r="J48" s="325"/>
    </row>
    <row r="49" spans="2:25" ht="17.100000000000001" customHeight="1">
      <c r="F49" s="314"/>
      <c r="G49" s="314"/>
      <c r="H49" s="314"/>
      <c r="I49" s="314"/>
      <c r="J49" s="314"/>
      <c r="K49" s="315"/>
      <c r="L49" s="315"/>
      <c r="M49" s="315"/>
      <c r="N49" s="315"/>
      <c r="O49" s="315"/>
      <c r="P49" s="315"/>
      <c r="Q49" s="315"/>
      <c r="R49" s="315"/>
      <c r="S49" s="315"/>
      <c r="T49" s="315"/>
      <c r="U49" s="315"/>
      <c r="V49" s="315"/>
      <c r="W49" s="315"/>
      <c r="X49" s="315"/>
      <c r="Y49" s="315"/>
    </row>
    <row r="50" spans="2:25">
      <c r="F50" s="314"/>
      <c r="G50" s="314"/>
      <c r="H50" s="314"/>
      <c r="I50" s="314"/>
      <c r="J50" s="314"/>
      <c r="K50" s="315"/>
      <c r="L50" s="315"/>
      <c r="M50" s="315"/>
      <c r="N50" s="315"/>
      <c r="O50" s="315"/>
      <c r="P50" s="315"/>
      <c r="Q50" s="315"/>
      <c r="R50" s="315"/>
      <c r="S50" s="315"/>
      <c r="T50" s="315"/>
      <c r="U50" s="315"/>
      <c r="V50" s="315"/>
      <c r="W50" s="315"/>
      <c r="X50" s="315"/>
      <c r="Y50" s="315"/>
    </row>
    <row r="51" spans="2:25">
      <c r="F51" s="314"/>
      <c r="G51" s="314"/>
      <c r="H51" s="314"/>
      <c r="I51" s="314"/>
      <c r="J51" s="314"/>
      <c r="K51" s="315"/>
      <c r="L51" s="315"/>
      <c r="M51" s="315"/>
      <c r="N51" s="315"/>
      <c r="O51" s="315"/>
      <c r="P51" s="315"/>
      <c r="Q51" s="315"/>
      <c r="R51" s="315"/>
      <c r="S51" s="315"/>
      <c r="T51" s="315"/>
      <c r="U51" s="315"/>
      <c r="V51" s="315"/>
      <c r="W51" s="315"/>
      <c r="X51" s="315"/>
      <c r="Y51" s="315"/>
    </row>
    <row r="52" spans="2:25">
      <c r="B52" s="314"/>
      <c r="C52" s="314"/>
      <c r="D52" s="314"/>
      <c r="E52" s="314"/>
      <c r="F52" s="314"/>
      <c r="G52" s="314"/>
      <c r="H52" s="314"/>
      <c r="I52" s="314"/>
      <c r="J52" s="314"/>
      <c r="P52" s="315"/>
      <c r="Q52" s="315"/>
      <c r="R52" s="315"/>
      <c r="S52" s="315"/>
      <c r="T52" s="315"/>
      <c r="U52" s="315"/>
      <c r="V52" s="315"/>
      <c r="W52" s="315"/>
      <c r="X52" s="315"/>
      <c r="Y52" s="315"/>
    </row>
    <row r="53" spans="2:25">
      <c r="F53" s="314"/>
      <c r="G53" s="314"/>
      <c r="H53" s="314"/>
      <c r="I53" s="314"/>
      <c r="J53" s="314"/>
      <c r="P53" s="315"/>
      <c r="Q53" s="315"/>
      <c r="R53" s="315"/>
      <c r="S53" s="315"/>
      <c r="T53" s="315"/>
      <c r="U53" s="315"/>
      <c r="V53" s="315"/>
      <c r="W53" s="315"/>
      <c r="X53" s="315"/>
      <c r="Y53" s="315"/>
    </row>
  </sheetData>
  <mergeCells count="47">
    <mergeCell ref="H26:I26"/>
    <mergeCell ref="B46:C46"/>
    <mergeCell ref="A28:E32"/>
    <mergeCell ref="A33:E33"/>
    <mergeCell ref="A34:E38"/>
    <mergeCell ref="A39:E39"/>
    <mergeCell ref="A40:E44"/>
    <mergeCell ref="B45:C45"/>
    <mergeCell ref="A27:E27"/>
    <mergeCell ref="F27:J27"/>
    <mergeCell ref="A16:C16"/>
    <mergeCell ref="D16:E16"/>
    <mergeCell ref="D17:E17"/>
    <mergeCell ref="D18:E18"/>
    <mergeCell ref="F18:G26"/>
    <mergeCell ref="A19:C19"/>
    <mergeCell ref="D19:E19"/>
    <mergeCell ref="D20:E20"/>
    <mergeCell ref="A21:C21"/>
    <mergeCell ref="D21:E21"/>
    <mergeCell ref="D22:E22"/>
    <mergeCell ref="D23:E23"/>
    <mergeCell ref="D24:E24"/>
    <mergeCell ref="A13:C13"/>
    <mergeCell ref="D13:E13"/>
    <mergeCell ref="A14:C14"/>
    <mergeCell ref="D14:E14"/>
    <mergeCell ref="A15:C15"/>
    <mergeCell ref="D15:E15"/>
    <mergeCell ref="F12:J12"/>
    <mergeCell ref="A7:C7"/>
    <mergeCell ref="D7:E7"/>
    <mergeCell ref="A8:C8"/>
    <mergeCell ref="D8:E8"/>
    <mergeCell ref="A9:C9"/>
    <mergeCell ref="D9:E9"/>
    <mergeCell ref="A10:C10"/>
    <mergeCell ref="D10:E10"/>
    <mergeCell ref="A11:C11"/>
    <mergeCell ref="D11:E11"/>
    <mergeCell ref="D12:E12"/>
    <mergeCell ref="A1:J1"/>
    <mergeCell ref="A2:J2"/>
    <mergeCell ref="A5:C5"/>
    <mergeCell ref="A6:C6"/>
    <mergeCell ref="D6:E6"/>
    <mergeCell ref="F6:J6"/>
  </mergeCells>
  <dataValidations count="3">
    <dataValidation type="list" allowBlank="1" showInputMessage="1" errorTitle="Hold on!" error="Enter a valid motor type!" prompt="Motor Type  Select one from the list or input name" sqref="JF4 WVR983044 WLV983044 WBZ983044 VSD983044 VIH983044 UYL983044 UOP983044 UET983044 TUX983044 TLB983044 TBF983044 SRJ983044 SHN983044 RXR983044 RNV983044 RDZ983044 QUD983044 QKH983044 QAL983044 PQP983044 PGT983044 OWX983044 ONB983044 ODF983044 NTJ983044 NJN983044 MZR983044 MPV983044 MFZ983044 LWD983044 LMH983044 LCL983044 KSP983044 KIT983044 JYX983044 JPB983044 JFF983044 IVJ983044 ILN983044 IBR983044 HRV983044 HHZ983044 GYD983044 GOH983044 GEL983044 FUP983044 FKT983044 FAX983044 ERB983044 EHF983044 DXJ983044 DNN983044 DDR983044 CTV983044 CJZ983044 CAD983044 BQH983044 BGL983044 AWP983044 AMT983044 ACX983044 TB983044 JF983044 WVR917508 WLV917508 WBZ917508 VSD917508 VIH917508 UYL917508 UOP917508 UET917508 TUX917508 TLB917508 TBF917508 SRJ917508 SHN917508 RXR917508 RNV917508 RDZ917508 QUD917508 QKH917508 QAL917508 PQP917508 PGT917508 OWX917508 ONB917508 ODF917508 NTJ917508 NJN917508 MZR917508 MPV917508 MFZ917508 LWD917508 LMH917508 LCL917508 KSP917508 KIT917508 JYX917508 JPB917508 JFF917508 IVJ917508 ILN917508 IBR917508 HRV917508 HHZ917508 GYD917508 GOH917508 GEL917508 FUP917508 FKT917508 FAX917508 ERB917508 EHF917508 DXJ917508 DNN917508 DDR917508 CTV917508 CJZ917508 CAD917508 BQH917508 BGL917508 AWP917508 AMT917508 ACX917508 TB917508 JF917508 WVR851972 WLV851972 WBZ851972 VSD851972 VIH851972 UYL851972 UOP851972 UET851972 TUX851972 TLB851972 TBF851972 SRJ851972 SHN851972 RXR851972 RNV851972 RDZ851972 QUD851972 QKH851972 QAL851972 PQP851972 PGT851972 OWX851972 ONB851972 ODF851972 NTJ851972 NJN851972 MZR851972 MPV851972 MFZ851972 LWD851972 LMH851972 LCL851972 KSP851972 KIT851972 JYX851972 JPB851972 JFF851972 IVJ851972 ILN851972 IBR851972 HRV851972 HHZ851972 GYD851972 GOH851972 GEL851972 FUP851972 FKT851972 FAX851972 ERB851972 EHF851972 DXJ851972 DNN851972 DDR851972 CTV851972 CJZ851972 CAD851972 BQH851972 BGL851972 AWP851972 AMT851972 ACX851972 TB851972 JF851972 WVR786436 WLV786436 WBZ786436 VSD786436 VIH786436 UYL786436 UOP786436 UET786436 TUX786436 TLB786436 TBF786436 SRJ786436 SHN786436 RXR786436 RNV786436 RDZ786436 QUD786436 QKH786436 QAL786436 PQP786436 PGT786436 OWX786436 ONB786436 ODF786436 NTJ786436 NJN786436 MZR786436 MPV786436 MFZ786436 LWD786436 LMH786436 LCL786436 KSP786436 KIT786436 JYX786436 JPB786436 JFF786436 IVJ786436 ILN786436 IBR786436 HRV786436 HHZ786436 GYD786436 GOH786436 GEL786436 FUP786436 FKT786436 FAX786436 ERB786436 EHF786436 DXJ786436 DNN786436 DDR786436 CTV786436 CJZ786436 CAD786436 BQH786436 BGL786436 AWP786436 AMT786436 ACX786436 TB786436 JF786436 WVR720900 WLV720900 WBZ720900 VSD720900 VIH720900 UYL720900 UOP720900 UET720900 TUX720900 TLB720900 TBF720900 SRJ720900 SHN720900 RXR720900 RNV720900 RDZ720900 QUD720900 QKH720900 QAL720900 PQP720900 PGT720900 OWX720900 ONB720900 ODF720900 NTJ720900 NJN720900 MZR720900 MPV720900 MFZ720900 LWD720900 LMH720900 LCL720900 KSP720900 KIT720900 JYX720900 JPB720900 JFF720900 IVJ720900 ILN720900 IBR720900 HRV720900 HHZ720900 GYD720900 GOH720900 GEL720900 FUP720900 FKT720900 FAX720900 ERB720900 EHF720900 DXJ720900 DNN720900 DDR720900 CTV720900 CJZ720900 CAD720900 BQH720900 BGL720900 AWP720900 AMT720900 ACX720900 TB720900 JF720900 WVR655364 WLV655364 WBZ655364 VSD655364 VIH655364 UYL655364 UOP655364 UET655364 TUX655364 TLB655364 TBF655364 SRJ655364 SHN655364 RXR655364 RNV655364 RDZ655364 QUD655364 QKH655364 QAL655364 PQP655364 PGT655364 OWX655364 ONB655364 ODF655364 NTJ655364 NJN655364 MZR655364 MPV655364 MFZ655364 LWD655364 LMH655364 LCL655364 KSP655364 KIT655364 JYX655364 JPB655364 JFF655364 IVJ655364 ILN655364 IBR655364 HRV655364 HHZ655364 GYD655364 GOH655364 GEL655364 FUP655364 FKT655364 FAX655364 ERB655364 EHF655364 DXJ655364 DNN655364 DDR655364 CTV655364 CJZ655364 CAD655364 BQH655364 BGL655364 AWP655364 AMT655364 ACX655364 TB655364 JF655364 WVR589828 WLV589828 WBZ589828 VSD589828 VIH589828 UYL589828 UOP589828 UET589828 TUX589828 TLB589828 TBF589828 SRJ589828 SHN589828 RXR589828 RNV589828 RDZ589828 QUD589828 QKH589828 QAL589828 PQP589828 PGT589828 OWX589828 ONB589828 ODF589828 NTJ589828 NJN589828 MZR589828 MPV589828 MFZ589828 LWD589828 LMH589828 LCL589828 KSP589828 KIT589828 JYX589828 JPB589828 JFF589828 IVJ589828 ILN589828 IBR589828 HRV589828 HHZ589828 GYD589828 GOH589828 GEL589828 FUP589828 FKT589828 FAX589828 ERB589828 EHF589828 DXJ589828 DNN589828 DDR589828 CTV589828 CJZ589828 CAD589828 BQH589828 BGL589828 AWP589828 AMT589828 ACX589828 TB589828 JF589828 WVR524292 WLV524292 WBZ524292 VSD524292 VIH524292 UYL524292 UOP524292 UET524292 TUX524292 TLB524292 TBF524292 SRJ524292 SHN524292 RXR524292 RNV524292 RDZ524292 QUD524292 QKH524292 QAL524292 PQP524292 PGT524292 OWX524292 ONB524292 ODF524292 NTJ524292 NJN524292 MZR524292 MPV524292 MFZ524292 LWD524292 LMH524292 LCL524292 KSP524292 KIT524292 JYX524292 JPB524292 JFF524292 IVJ524292 ILN524292 IBR524292 HRV524292 HHZ524292 GYD524292 GOH524292 GEL524292 FUP524292 FKT524292 FAX524292 ERB524292 EHF524292 DXJ524292 DNN524292 DDR524292 CTV524292 CJZ524292 CAD524292 BQH524292 BGL524292 AWP524292 AMT524292 ACX524292 TB524292 JF524292 WVR458756 WLV458756 WBZ458756 VSD458756 VIH458756 UYL458756 UOP458756 UET458756 TUX458756 TLB458756 TBF458756 SRJ458756 SHN458756 RXR458756 RNV458756 RDZ458756 QUD458756 QKH458756 QAL458756 PQP458756 PGT458756 OWX458756 ONB458756 ODF458756 NTJ458756 NJN458756 MZR458756 MPV458756 MFZ458756 LWD458756 LMH458756 LCL458756 KSP458756 KIT458756 JYX458756 JPB458756 JFF458756 IVJ458756 ILN458756 IBR458756 HRV458756 HHZ458756 GYD458756 GOH458756 GEL458756 FUP458756 FKT458756 FAX458756 ERB458756 EHF458756 DXJ458756 DNN458756 DDR458756 CTV458756 CJZ458756 CAD458756 BQH458756 BGL458756 AWP458756 AMT458756 ACX458756 TB458756 JF458756 WVR393220 WLV393220 WBZ393220 VSD393220 VIH393220 UYL393220 UOP393220 UET393220 TUX393220 TLB393220 TBF393220 SRJ393220 SHN393220 RXR393220 RNV393220 RDZ393220 QUD393220 QKH393220 QAL393220 PQP393220 PGT393220 OWX393220 ONB393220 ODF393220 NTJ393220 NJN393220 MZR393220 MPV393220 MFZ393220 LWD393220 LMH393220 LCL393220 KSP393220 KIT393220 JYX393220 JPB393220 JFF393220 IVJ393220 ILN393220 IBR393220 HRV393220 HHZ393220 GYD393220 GOH393220 GEL393220 FUP393220 FKT393220 FAX393220 ERB393220 EHF393220 DXJ393220 DNN393220 DDR393220 CTV393220 CJZ393220 CAD393220 BQH393220 BGL393220 AWP393220 AMT393220 ACX393220 TB393220 JF393220 WVR327684 WLV327684 WBZ327684 VSD327684 VIH327684 UYL327684 UOP327684 UET327684 TUX327684 TLB327684 TBF327684 SRJ327684 SHN327684 RXR327684 RNV327684 RDZ327684 QUD327684 QKH327684 QAL327684 PQP327684 PGT327684 OWX327684 ONB327684 ODF327684 NTJ327684 NJN327684 MZR327684 MPV327684 MFZ327684 LWD327684 LMH327684 LCL327684 KSP327684 KIT327684 JYX327684 JPB327684 JFF327684 IVJ327684 ILN327684 IBR327684 HRV327684 HHZ327684 GYD327684 GOH327684 GEL327684 FUP327684 FKT327684 FAX327684 ERB327684 EHF327684 DXJ327684 DNN327684 DDR327684 CTV327684 CJZ327684 CAD327684 BQH327684 BGL327684 AWP327684 AMT327684 ACX327684 TB327684 JF327684 WVR262148 WLV262148 WBZ262148 VSD262148 VIH262148 UYL262148 UOP262148 UET262148 TUX262148 TLB262148 TBF262148 SRJ262148 SHN262148 RXR262148 RNV262148 RDZ262148 QUD262148 QKH262148 QAL262148 PQP262148 PGT262148 OWX262148 ONB262148 ODF262148 NTJ262148 NJN262148 MZR262148 MPV262148 MFZ262148 LWD262148 LMH262148 LCL262148 KSP262148 KIT262148 JYX262148 JPB262148 JFF262148 IVJ262148 ILN262148 IBR262148 HRV262148 HHZ262148 GYD262148 GOH262148 GEL262148 FUP262148 FKT262148 FAX262148 ERB262148 EHF262148 DXJ262148 DNN262148 DDR262148 CTV262148 CJZ262148 CAD262148 BQH262148 BGL262148 AWP262148 AMT262148 ACX262148 TB262148 JF262148 WVR196612 WLV196612 WBZ196612 VSD196612 VIH196612 UYL196612 UOP196612 UET196612 TUX196612 TLB196612 TBF196612 SRJ196612 SHN196612 RXR196612 RNV196612 RDZ196612 QUD196612 QKH196612 QAL196612 PQP196612 PGT196612 OWX196612 ONB196612 ODF196612 NTJ196612 NJN196612 MZR196612 MPV196612 MFZ196612 LWD196612 LMH196612 LCL196612 KSP196612 KIT196612 JYX196612 JPB196612 JFF196612 IVJ196612 ILN196612 IBR196612 HRV196612 HHZ196612 GYD196612 GOH196612 GEL196612 FUP196612 FKT196612 FAX196612 ERB196612 EHF196612 DXJ196612 DNN196612 DDR196612 CTV196612 CJZ196612 CAD196612 BQH196612 BGL196612 AWP196612 AMT196612 ACX196612 TB196612 JF196612 WVR131076 WLV131076 WBZ131076 VSD131076 VIH131076 UYL131076 UOP131076 UET131076 TUX131076 TLB131076 TBF131076 SRJ131076 SHN131076 RXR131076 RNV131076 RDZ131076 QUD131076 QKH131076 QAL131076 PQP131076 PGT131076 OWX131076 ONB131076 ODF131076 NTJ131076 NJN131076 MZR131076 MPV131076 MFZ131076 LWD131076 LMH131076 LCL131076 KSP131076 KIT131076 JYX131076 JPB131076 JFF131076 IVJ131076 ILN131076 IBR131076 HRV131076 HHZ131076 GYD131076 GOH131076 GEL131076 FUP131076 FKT131076 FAX131076 ERB131076 EHF131076 DXJ131076 DNN131076 DDR131076 CTV131076 CJZ131076 CAD131076 BQH131076 BGL131076 AWP131076 AMT131076 ACX131076 TB131076 JF131076 WVR65540 WLV65540 WBZ65540 VSD65540 VIH65540 UYL65540 UOP65540 UET65540 TUX65540 TLB65540 TBF65540 SRJ65540 SHN65540 RXR65540 RNV65540 RDZ65540 QUD65540 QKH65540 QAL65540 PQP65540 PGT65540 OWX65540 ONB65540 ODF65540 NTJ65540 NJN65540 MZR65540 MPV65540 MFZ65540 LWD65540 LMH65540 LCL65540 KSP65540 KIT65540 JYX65540 JPB65540 JFF65540 IVJ65540 ILN65540 IBR65540 HRV65540 HHZ65540 GYD65540 GOH65540 GEL65540 FUP65540 FKT65540 FAX65540 ERB65540 EHF65540 DXJ65540 DNN65540 DDR65540 CTV65540 CJZ65540 CAD65540 BQH65540 BGL65540 AWP65540 AMT65540 ACX65540 TB65540 JF65540 WVR4 WLV4 WBZ4 VSD4 VIH4 UYL4 UOP4 UET4 TUX4 TLB4 TBF4 SRJ4 SHN4 RXR4 RNV4 RDZ4 QUD4 QKH4 QAL4 PQP4 PGT4 OWX4 ONB4 ODF4 NTJ4 NJN4 MZR4 MPV4 MFZ4 LWD4 LMH4 LCL4 KSP4 KIT4 JYX4 JPB4 JFF4 IVJ4 ILN4 IBR4 HRV4 HHZ4 GYD4 GOH4 GEL4 FUP4 FKT4 FAX4 ERB4 EHF4 DXJ4 DNN4 DDR4 CTV4 CJZ4 CAD4 BQH4 BGL4 AWP4 AMT4 ACX4 TB4">
      <formula1>$P$5:$P$11</formula1>
    </dataValidation>
    <dataValidation type="list" allowBlank="1" showErrorMessage="1" error="Choose from list!" sqref="D21 WVK983061 WLO983061 WBS983061 VRW983061 VIA983061 UYE983061 UOI983061 UEM983061 TUQ983061 TKU983061 TAY983061 SRC983061 SHG983061 RXK983061 RNO983061 RDS983061 QTW983061 QKA983061 QAE983061 PQI983061 PGM983061 OWQ983061 OMU983061 OCY983061 NTC983061 NJG983061 MZK983061 MPO983061 MFS983061 LVW983061 LMA983061 LCE983061 KSI983061 KIM983061 JYQ983061 JOU983061 JEY983061 IVC983061 ILG983061 IBK983061 HRO983061 HHS983061 GXW983061 GOA983061 GEE983061 FUI983061 FKM983061 FAQ983061 EQU983061 EGY983061 DXC983061 DNG983061 DDK983061 CTO983061 CJS983061 BZW983061 BQA983061 BGE983061 AWI983061 AMM983061 ACQ983061 SU983061 IY983061 D983061 WVK917525 WLO917525 WBS917525 VRW917525 VIA917525 UYE917525 UOI917525 UEM917525 TUQ917525 TKU917525 TAY917525 SRC917525 SHG917525 RXK917525 RNO917525 RDS917525 QTW917525 QKA917525 QAE917525 PQI917525 PGM917525 OWQ917525 OMU917525 OCY917525 NTC917525 NJG917525 MZK917525 MPO917525 MFS917525 LVW917525 LMA917525 LCE917525 KSI917525 KIM917525 JYQ917525 JOU917525 JEY917525 IVC917525 ILG917525 IBK917525 HRO917525 HHS917525 GXW917525 GOA917525 GEE917525 FUI917525 FKM917525 FAQ917525 EQU917525 EGY917525 DXC917525 DNG917525 DDK917525 CTO917525 CJS917525 BZW917525 BQA917525 BGE917525 AWI917525 AMM917525 ACQ917525 SU917525 IY917525 D917525 WVK851989 WLO851989 WBS851989 VRW851989 VIA851989 UYE851989 UOI851989 UEM851989 TUQ851989 TKU851989 TAY851989 SRC851989 SHG851989 RXK851989 RNO851989 RDS851989 QTW851989 QKA851989 QAE851989 PQI851989 PGM851989 OWQ851989 OMU851989 OCY851989 NTC851989 NJG851989 MZK851989 MPO851989 MFS851989 LVW851989 LMA851989 LCE851989 KSI851989 KIM851989 JYQ851989 JOU851989 JEY851989 IVC851989 ILG851989 IBK851989 HRO851989 HHS851989 GXW851989 GOA851989 GEE851989 FUI851989 FKM851989 FAQ851989 EQU851989 EGY851989 DXC851989 DNG851989 DDK851989 CTO851989 CJS851989 BZW851989 BQA851989 BGE851989 AWI851989 AMM851989 ACQ851989 SU851989 IY851989 D851989 WVK786453 WLO786453 WBS786453 VRW786453 VIA786453 UYE786453 UOI786453 UEM786453 TUQ786453 TKU786453 TAY786453 SRC786453 SHG786453 RXK786453 RNO786453 RDS786453 QTW786453 QKA786453 QAE786453 PQI786453 PGM786453 OWQ786453 OMU786453 OCY786453 NTC786453 NJG786453 MZK786453 MPO786453 MFS786453 LVW786453 LMA786453 LCE786453 KSI786453 KIM786453 JYQ786453 JOU786453 JEY786453 IVC786453 ILG786453 IBK786453 HRO786453 HHS786453 GXW786453 GOA786453 GEE786453 FUI786453 FKM786453 FAQ786453 EQU786453 EGY786453 DXC786453 DNG786453 DDK786453 CTO786453 CJS786453 BZW786453 BQA786453 BGE786453 AWI786453 AMM786453 ACQ786453 SU786453 IY786453 D786453 WVK720917 WLO720917 WBS720917 VRW720917 VIA720917 UYE720917 UOI720917 UEM720917 TUQ720917 TKU720917 TAY720917 SRC720917 SHG720917 RXK720917 RNO720917 RDS720917 QTW720917 QKA720917 QAE720917 PQI720917 PGM720917 OWQ720917 OMU720917 OCY720917 NTC720917 NJG720917 MZK720917 MPO720917 MFS720917 LVW720917 LMA720917 LCE720917 KSI720917 KIM720917 JYQ720917 JOU720917 JEY720917 IVC720917 ILG720917 IBK720917 HRO720917 HHS720917 GXW720917 GOA720917 GEE720917 FUI720917 FKM720917 FAQ720917 EQU720917 EGY720917 DXC720917 DNG720917 DDK720917 CTO720917 CJS720917 BZW720917 BQA720917 BGE720917 AWI720917 AMM720917 ACQ720917 SU720917 IY720917 D720917 WVK655381 WLO655381 WBS655381 VRW655381 VIA655381 UYE655381 UOI655381 UEM655381 TUQ655381 TKU655381 TAY655381 SRC655381 SHG655381 RXK655381 RNO655381 RDS655381 QTW655381 QKA655381 QAE655381 PQI655381 PGM655381 OWQ655381 OMU655381 OCY655381 NTC655381 NJG655381 MZK655381 MPO655381 MFS655381 LVW655381 LMA655381 LCE655381 KSI655381 KIM655381 JYQ655381 JOU655381 JEY655381 IVC655381 ILG655381 IBK655381 HRO655381 HHS655381 GXW655381 GOA655381 GEE655381 FUI655381 FKM655381 FAQ655381 EQU655381 EGY655381 DXC655381 DNG655381 DDK655381 CTO655381 CJS655381 BZW655381 BQA655381 BGE655381 AWI655381 AMM655381 ACQ655381 SU655381 IY655381 D655381 WVK589845 WLO589845 WBS589845 VRW589845 VIA589845 UYE589845 UOI589845 UEM589845 TUQ589845 TKU589845 TAY589845 SRC589845 SHG589845 RXK589845 RNO589845 RDS589845 QTW589845 QKA589845 QAE589845 PQI589845 PGM589845 OWQ589845 OMU589845 OCY589845 NTC589845 NJG589845 MZK589845 MPO589845 MFS589845 LVW589845 LMA589845 LCE589845 KSI589845 KIM589845 JYQ589845 JOU589845 JEY589845 IVC589845 ILG589845 IBK589845 HRO589845 HHS589845 GXW589845 GOA589845 GEE589845 FUI589845 FKM589845 FAQ589845 EQU589845 EGY589845 DXC589845 DNG589845 DDK589845 CTO589845 CJS589845 BZW589845 BQA589845 BGE589845 AWI589845 AMM589845 ACQ589845 SU589845 IY589845 D589845 WVK524309 WLO524309 WBS524309 VRW524309 VIA524309 UYE524309 UOI524309 UEM524309 TUQ524309 TKU524309 TAY524309 SRC524309 SHG524309 RXK524309 RNO524309 RDS524309 QTW524309 QKA524309 QAE524309 PQI524309 PGM524309 OWQ524309 OMU524309 OCY524309 NTC524309 NJG524309 MZK524309 MPO524309 MFS524309 LVW524309 LMA524309 LCE524309 KSI524309 KIM524309 JYQ524309 JOU524309 JEY524309 IVC524309 ILG524309 IBK524309 HRO524309 HHS524309 GXW524309 GOA524309 GEE524309 FUI524309 FKM524309 FAQ524309 EQU524309 EGY524309 DXC524309 DNG524309 DDK524309 CTO524309 CJS524309 BZW524309 BQA524309 BGE524309 AWI524309 AMM524309 ACQ524309 SU524309 IY524309 D524309 WVK458773 WLO458773 WBS458773 VRW458773 VIA458773 UYE458773 UOI458773 UEM458773 TUQ458773 TKU458773 TAY458773 SRC458773 SHG458773 RXK458773 RNO458773 RDS458773 QTW458773 QKA458773 QAE458773 PQI458773 PGM458773 OWQ458773 OMU458773 OCY458773 NTC458773 NJG458773 MZK458773 MPO458773 MFS458773 LVW458773 LMA458773 LCE458773 KSI458773 KIM458773 JYQ458773 JOU458773 JEY458773 IVC458773 ILG458773 IBK458773 HRO458773 HHS458773 GXW458773 GOA458773 GEE458773 FUI458773 FKM458773 FAQ458773 EQU458773 EGY458773 DXC458773 DNG458773 DDK458773 CTO458773 CJS458773 BZW458773 BQA458773 BGE458773 AWI458773 AMM458773 ACQ458773 SU458773 IY458773 D458773 WVK393237 WLO393237 WBS393237 VRW393237 VIA393237 UYE393237 UOI393237 UEM393237 TUQ393237 TKU393237 TAY393237 SRC393237 SHG393237 RXK393237 RNO393237 RDS393237 QTW393237 QKA393237 QAE393237 PQI393237 PGM393237 OWQ393237 OMU393237 OCY393237 NTC393237 NJG393237 MZK393237 MPO393237 MFS393237 LVW393237 LMA393237 LCE393237 KSI393237 KIM393237 JYQ393237 JOU393237 JEY393237 IVC393237 ILG393237 IBK393237 HRO393237 HHS393237 GXW393237 GOA393237 GEE393237 FUI393237 FKM393237 FAQ393237 EQU393237 EGY393237 DXC393237 DNG393237 DDK393237 CTO393237 CJS393237 BZW393237 BQA393237 BGE393237 AWI393237 AMM393237 ACQ393237 SU393237 IY393237 D393237 WVK327701 WLO327701 WBS327701 VRW327701 VIA327701 UYE327701 UOI327701 UEM327701 TUQ327701 TKU327701 TAY327701 SRC327701 SHG327701 RXK327701 RNO327701 RDS327701 QTW327701 QKA327701 QAE327701 PQI327701 PGM327701 OWQ327701 OMU327701 OCY327701 NTC327701 NJG327701 MZK327701 MPO327701 MFS327701 LVW327701 LMA327701 LCE327701 KSI327701 KIM327701 JYQ327701 JOU327701 JEY327701 IVC327701 ILG327701 IBK327701 HRO327701 HHS327701 GXW327701 GOA327701 GEE327701 FUI327701 FKM327701 FAQ327701 EQU327701 EGY327701 DXC327701 DNG327701 DDK327701 CTO327701 CJS327701 BZW327701 BQA327701 BGE327701 AWI327701 AMM327701 ACQ327701 SU327701 IY327701 D327701 WVK262165 WLO262165 WBS262165 VRW262165 VIA262165 UYE262165 UOI262165 UEM262165 TUQ262165 TKU262165 TAY262165 SRC262165 SHG262165 RXK262165 RNO262165 RDS262165 QTW262165 QKA262165 QAE262165 PQI262165 PGM262165 OWQ262165 OMU262165 OCY262165 NTC262165 NJG262165 MZK262165 MPO262165 MFS262165 LVW262165 LMA262165 LCE262165 KSI262165 KIM262165 JYQ262165 JOU262165 JEY262165 IVC262165 ILG262165 IBK262165 HRO262165 HHS262165 GXW262165 GOA262165 GEE262165 FUI262165 FKM262165 FAQ262165 EQU262165 EGY262165 DXC262165 DNG262165 DDK262165 CTO262165 CJS262165 BZW262165 BQA262165 BGE262165 AWI262165 AMM262165 ACQ262165 SU262165 IY262165 D262165 WVK196629 WLO196629 WBS196629 VRW196629 VIA196629 UYE196629 UOI196629 UEM196629 TUQ196629 TKU196629 TAY196629 SRC196629 SHG196629 RXK196629 RNO196629 RDS196629 QTW196629 QKA196629 QAE196629 PQI196629 PGM196629 OWQ196629 OMU196629 OCY196629 NTC196629 NJG196629 MZK196629 MPO196629 MFS196629 LVW196629 LMA196629 LCE196629 KSI196629 KIM196629 JYQ196629 JOU196629 JEY196629 IVC196629 ILG196629 IBK196629 HRO196629 HHS196629 GXW196629 GOA196629 GEE196629 FUI196629 FKM196629 FAQ196629 EQU196629 EGY196629 DXC196629 DNG196629 DDK196629 CTO196629 CJS196629 BZW196629 BQA196629 BGE196629 AWI196629 AMM196629 ACQ196629 SU196629 IY196629 D196629 WVK131093 WLO131093 WBS131093 VRW131093 VIA131093 UYE131093 UOI131093 UEM131093 TUQ131093 TKU131093 TAY131093 SRC131093 SHG131093 RXK131093 RNO131093 RDS131093 QTW131093 QKA131093 QAE131093 PQI131093 PGM131093 OWQ131093 OMU131093 OCY131093 NTC131093 NJG131093 MZK131093 MPO131093 MFS131093 LVW131093 LMA131093 LCE131093 KSI131093 KIM131093 JYQ131093 JOU131093 JEY131093 IVC131093 ILG131093 IBK131093 HRO131093 HHS131093 GXW131093 GOA131093 GEE131093 FUI131093 FKM131093 FAQ131093 EQU131093 EGY131093 DXC131093 DNG131093 DDK131093 CTO131093 CJS131093 BZW131093 BQA131093 BGE131093 AWI131093 AMM131093 ACQ131093 SU131093 IY131093 D131093 WVK65557 WLO65557 WBS65557 VRW65557 VIA65557 UYE65557 UOI65557 UEM65557 TUQ65557 TKU65557 TAY65557 SRC65557 SHG65557 RXK65557 RNO65557 RDS65557 QTW65557 QKA65557 QAE65557 PQI65557 PGM65557 OWQ65557 OMU65557 OCY65557 NTC65557 NJG65557 MZK65557 MPO65557 MFS65557 LVW65557 LMA65557 LCE65557 KSI65557 KIM65557 JYQ65557 JOU65557 JEY65557 IVC65557 ILG65557 IBK65557 HRO65557 HHS65557 GXW65557 GOA65557 GEE65557 FUI65557 FKM65557 FAQ65557 EQU65557 EGY65557 DXC65557 DNG65557 DDK65557 CTO65557 CJS65557 BZW65557 BQA65557 BGE65557 AWI65557 AMM65557 ACQ65557 SU65557 IY65557 D65557 WVK21 WLO21 WBS21 VRW21 VIA21 UYE21 UOI21 UEM21 TUQ21 TKU21 TAY21 SRC21 SHG21 RXK21 RNO21 RDS21 QTW21 QKA21 QAE21 PQI21 PGM21 OWQ21 OMU21 OCY21 NTC21 NJG21 MZK21 MPO21 MFS21 LVW21 LMA21 LCE21 KSI21 KIM21 JYQ21 JOU21 JEY21 IVC21 ILG21 IBK21 HRO21 HHS21 GXW21 GOA21 GEE21 FUI21 FKM21 FAQ21 EQU21 EGY21 DXC21 DNG21 DDK21 CTO21 CJS21 BZW21 BQA21 BGE21 AWI21 AMM21 ACQ21 SU21 IY21">
      <formula1>$P$22:$P$24</formula1>
    </dataValidation>
    <dataValidation type="list" allowBlank="1" showInputMessage="1" sqref="D6:E6 WVK983046:WVL983046 WLO983046:WLP983046 WBS983046:WBT983046 VRW983046:VRX983046 VIA983046:VIB983046 UYE983046:UYF983046 UOI983046:UOJ983046 UEM983046:UEN983046 TUQ983046:TUR983046 TKU983046:TKV983046 TAY983046:TAZ983046 SRC983046:SRD983046 SHG983046:SHH983046 RXK983046:RXL983046 RNO983046:RNP983046 RDS983046:RDT983046 QTW983046:QTX983046 QKA983046:QKB983046 QAE983046:QAF983046 PQI983046:PQJ983046 PGM983046:PGN983046 OWQ983046:OWR983046 OMU983046:OMV983046 OCY983046:OCZ983046 NTC983046:NTD983046 NJG983046:NJH983046 MZK983046:MZL983046 MPO983046:MPP983046 MFS983046:MFT983046 LVW983046:LVX983046 LMA983046:LMB983046 LCE983046:LCF983046 KSI983046:KSJ983046 KIM983046:KIN983046 JYQ983046:JYR983046 JOU983046:JOV983046 JEY983046:JEZ983046 IVC983046:IVD983046 ILG983046:ILH983046 IBK983046:IBL983046 HRO983046:HRP983046 HHS983046:HHT983046 GXW983046:GXX983046 GOA983046:GOB983046 GEE983046:GEF983046 FUI983046:FUJ983046 FKM983046:FKN983046 FAQ983046:FAR983046 EQU983046:EQV983046 EGY983046:EGZ983046 DXC983046:DXD983046 DNG983046:DNH983046 DDK983046:DDL983046 CTO983046:CTP983046 CJS983046:CJT983046 BZW983046:BZX983046 BQA983046:BQB983046 BGE983046:BGF983046 AWI983046:AWJ983046 AMM983046:AMN983046 ACQ983046:ACR983046 SU983046:SV983046 IY983046:IZ983046 D983046:E983046 WVK917510:WVL917510 WLO917510:WLP917510 WBS917510:WBT917510 VRW917510:VRX917510 VIA917510:VIB917510 UYE917510:UYF917510 UOI917510:UOJ917510 UEM917510:UEN917510 TUQ917510:TUR917510 TKU917510:TKV917510 TAY917510:TAZ917510 SRC917510:SRD917510 SHG917510:SHH917510 RXK917510:RXL917510 RNO917510:RNP917510 RDS917510:RDT917510 QTW917510:QTX917510 QKA917510:QKB917510 QAE917510:QAF917510 PQI917510:PQJ917510 PGM917510:PGN917510 OWQ917510:OWR917510 OMU917510:OMV917510 OCY917510:OCZ917510 NTC917510:NTD917510 NJG917510:NJH917510 MZK917510:MZL917510 MPO917510:MPP917510 MFS917510:MFT917510 LVW917510:LVX917510 LMA917510:LMB917510 LCE917510:LCF917510 KSI917510:KSJ917510 KIM917510:KIN917510 JYQ917510:JYR917510 JOU917510:JOV917510 JEY917510:JEZ917510 IVC917510:IVD917510 ILG917510:ILH917510 IBK917510:IBL917510 HRO917510:HRP917510 HHS917510:HHT917510 GXW917510:GXX917510 GOA917510:GOB917510 GEE917510:GEF917510 FUI917510:FUJ917510 FKM917510:FKN917510 FAQ917510:FAR917510 EQU917510:EQV917510 EGY917510:EGZ917510 DXC917510:DXD917510 DNG917510:DNH917510 DDK917510:DDL917510 CTO917510:CTP917510 CJS917510:CJT917510 BZW917510:BZX917510 BQA917510:BQB917510 BGE917510:BGF917510 AWI917510:AWJ917510 AMM917510:AMN917510 ACQ917510:ACR917510 SU917510:SV917510 IY917510:IZ917510 D917510:E917510 WVK851974:WVL851974 WLO851974:WLP851974 WBS851974:WBT851974 VRW851974:VRX851974 VIA851974:VIB851974 UYE851974:UYF851974 UOI851974:UOJ851974 UEM851974:UEN851974 TUQ851974:TUR851974 TKU851974:TKV851974 TAY851974:TAZ851974 SRC851974:SRD851974 SHG851974:SHH851974 RXK851974:RXL851974 RNO851974:RNP851974 RDS851974:RDT851974 QTW851974:QTX851974 QKA851974:QKB851974 QAE851974:QAF851974 PQI851974:PQJ851974 PGM851974:PGN851974 OWQ851974:OWR851974 OMU851974:OMV851974 OCY851974:OCZ851974 NTC851974:NTD851974 NJG851974:NJH851974 MZK851974:MZL851974 MPO851974:MPP851974 MFS851974:MFT851974 LVW851974:LVX851974 LMA851974:LMB851974 LCE851974:LCF851974 KSI851974:KSJ851974 KIM851974:KIN851974 JYQ851974:JYR851974 JOU851974:JOV851974 JEY851974:JEZ851974 IVC851974:IVD851974 ILG851974:ILH851974 IBK851974:IBL851974 HRO851974:HRP851974 HHS851974:HHT851974 GXW851974:GXX851974 GOA851974:GOB851974 GEE851974:GEF851974 FUI851974:FUJ851974 FKM851974:FKN851974 FAQ851974:FAR851974 EQU851974:EQV851974 EGY851974:EGZ851974 DXC851974:DXD851974 DNG851974:DNH851974 DDK851974:DDL851974 CTO851974:CTP851974 CJS851974:CJT851974 BZW851974:BZX851974 BQA851974:BQB851974 BGE851974:BGF851974 AWI851974:AWJ851974 AMM851974:AMN851974 ACQ851974:ACR851974 SU851974:SV851974 IY851974:IZ851974 D851974:E851974 WVK786438:WVL786438 WLO786438:WLP786438 WBS786438:WBT786438 VRW786438:VRX786438 VIA786438:VIB786438 UYE786438:UYF786438 UOI786438:UOJ786438 UEM786438:UEN786438 TUQ786438:TUR786438 TKU786438:TKV786438 TAY786438:TAZ786438 SRC786438:SRD786438 SHG786438:SHH786438 RXK786438:RXL786438 RNO786438:RNP786438 RDS786438:RDT786438 QTW786438:QTX786438 QKA786438:QKB786438 QAE786438:QAF786438 PQI786438:PQJ786438 PGM786438:PGN786438 OWQ786438:OWR786438 OMU786438:OMV786438 OCY786438:OCZ786438 NTC786438:NTD786438 NJG786438:NJH786438 MZK786438:MZL786438 MPO786438:MPP786438 MFS786438:MFT786438 LVW786438:LVX786438 LMA786438:LMB786438 LCE786438:LCF786438 KSI786438:KSJ786438 KIM786438:KIN786438 JYQ786438:JYR786438 JOU786438:JOV786438 JEY786438:JEZ786438 IVC786438:IVD786438 ILG786438:ILH786438 IBK786438:IBL786438 HRO786438:HRP786438 HHS786438:HHT786438 GXW786438:GXX786438 GOA786438:GOB786438 GEE786438:GEF786438 FUI786438:FUJ786438 FKM786438:FKN786438 FAQ786438:FAR786438 EQU786438:EQV786438 EGY786438:EGZ786438 DXC786438:DXD786438 DNG786438:DNH786438 DDK786438:DDL786438 CTO786438:CTP786438 CJS786438:CJT786438 BZW786438:BZX786438 BQA786438:BQB786438 BGE786438:BGF786438 AWI786438:AWJ786438 AMM786438:AMN786438 ACQ786438:ACR786438 SU786438:SV786438 IY786438:IZ786438 D786438:E786438 WVK720902:WVL720902 WLO720902:WLP720902 WBS720902:WBT720902 VRW720902:VRX720902 VIA720902:VIB720902 UYE720902:UYF720902 UOI720902:UOJ720902 UEM720902:UEN720902 TUQ720902:TUR720902 TKU720902:TKV720902 TAY720902:TAZ720902 SRC720902:SRD720902 SHG720902:SHH720902 RXK720902:RXL720902 RNO720902:RNP720902 RDS720902:RDT720902 QTW720902:QTX720902 QKA720902:QKB720902 QAE720902:QAF720902 PQI720902:PQJ720902 PGM720902:PGN720902 OWQ720902:OWR720902 OMU720902:OMV720902 OCY720902:OCZ720902 NTC720902:NTD720902 NJG720902:NJH720902 MZK720902:MZL720902 MPO720902:MPP720902 MFS720902:MFT720902 LVW720902:LVX720902 LMA720902:LMB720902 LCE720902:LCF720902 KSI720902:KSJ720902 KIM720902:KIN720902 JYQ720902:JYR720902 JOU720902:JOV720902 JEY720902:JEZ720902 IVC720902:IVD720902 ILG720902:ILH720902 IBK720902:IBL720902 HRO720902:HRP720902 HHS720902:HHT720902 GXW720902:GXX720902 GOA720902:GOB720902 GEE720902:GEF720902 FUI720902:FUJ720902 FKM720902:FKN720902 FAQ720902:FAR720902 EQU720902:EQV720902 EGY720902:EGZ720902 DXC720902:DXD720902 DNG720902:DNH720902 DDK720902:DDL720902 CTO720902:CTP720902 CJS720902:CJT720902 BZW720902:BZX720902 BQA720902:BQB720902 BGE720902:BGF720902 AWI720902:AWJ720902 AMM720902:AMN720902 ACQ720902:ACR720902 SU720902:SV720902 IY720902:IZ720902 D720902:E720902 WVK655366:WVL655366 WLO655366:WLP655366 WBS655366:WBT655366 VRW655366:VRX655366 VIA655366:VIB655366 UYE655366:UYF655366 UOI655366:UOJ655366 UEM655366:UEN655366 TUQ655366:TUR655366 TKU655366:TKV655366 TAY655366:TAZ655366 SRC655366:SRD655366 SHG655366:SHH655366 RXK655366:RXL655366 RNO655366:RNP655366 RDS655366:RDT655366 QTW655366:QTX655366 QKA655366:QKB655366 QAE655366:QAF655366 PQI655366:PQJ655366 PGM655366:PGN655366 OWQ655366:OWR655366 OMU655366:OMV655366 OCY655366:OCZ655366 NTC655366:NTD655366 NJG655366:NJH655366 MZK655366:MZL655366 MPO655366:MPP655366 MFS655366:MFT655366 LVW655366:LVX655366 LMA655366:LMB655366 LCE655366:LCF655366 KSI655366:KSJ655366 KIM655366:KIN655366 JYQ655366:JYR655366 JOU655366:JOV655366 JEY655366:JEZ655366 IVC655366:IVD655366 ILG655366:ILH655366 IBK655366:IBL655366 HRO655366:HRP655366 HHS655366:HHT655366 GXW655366:GXX655366 GOA655366:GOB655366 GEE655366:GEF655366 FUI655366:FUJ655366 FKM655366:FKN655366 FAQ655366:FAR655366 EQU655366:EQV655366 EGY655366:EGZ655366 DXC655366:DXD655366 DNG655366:DNH655366 DDK655366:DDL655366 CTO655366:CTP655366 CJS655366:CJT655366 BZW655366:BZX655366 BQA655366:BQB655366 BGE655366:BGF655366 AWI655366:AWJ655366 AMM655366:AMN655366 ACQ655366:ACR655366 SU655366:SV655366 IY655366:IZ655366 D655366:E655366 WVK589830:WVL589830 WLO589830:WLP589830 WBS589830:WBT589830 VRW589830:VRX589830 VIA589830:VIB589830 UYE589830:UYF589830 UOI589830:UOJ589830 UEM589830:UEN589830 TUQ589830:TUR589830 TKU589830:TKV589830 TAY589830:TAZ589830 SRC589830:SRD589830 SHG589830:SHH589830 RXK589830:RXL589830 RNO589830:RNP589830 RDS589830:RDT589830 QTW589830:QTX589830 QKA589830:QKB589830 QAE589830:QAF589830 PQI589830:PQJ589830 PGM589830:PGN589830 OWQ589830:OWR589830 OMU589830:OMV589830 OCY589830:OCZ589830 NTC589830:NTD589830 NJG589830:NJH589830 MZK589830:MZL589830 MPO589830:MPP589830 MFS589830:MFT589830 LVW589830:LVX589830 LMA589830:LMB589830 LCE589830:LCF589830 KSI589830:KSJ589830 KIM589830:KIN589830 JYQ589830:JYR589830 JOU589830:JOV589830 JEY589830:JEZ589830 IVC589830:IVD589830 ILG589830:ILH589830 IBK589830:IBL589830 HRO589830:HRP589830 HHS589830:HHT589830 GXW589830:GXX589830 GOA589830:GOB589830 GEE589830:GEF589830 FUI589830:FUJ589830 FKM589830:FKN589830 FAQ589830:FAR589830 EQU589830:EQV589830 EGY589830:EGZ589830 DXC589830:DXD589830 DNG589830:DNH589830 DDK589830:DDL589830 CTO589830:CTP589830 CJS589830:CJT589830 BZW589830:BZX589830 BQA589830:BQB589830 BGE589830:BGF589830 AWI589830:AWJ589830 AMM589830:AMN589830 ACQ589830:ACR589830 SU589830:SV589830 IY589830:IZ589830 D589830:E589830 WVK524294:WVL524294 WLO524294:WLP524294 WBS524294:WBT524294 VRW524294:VRX524294 VIA524294:VIB524294 UYE524294:UYF524294 UOI524294:UOJ524294 UEM524294:UEN524294 TUQ524294:TUR524294 TKU524294:TKV524294 TAY524294:TAZ524294 SRC524294:SRD524294 SHG524294:SHH524294 RXK524294:RXL524294 RNO524294:RNP524294 RDS524294:RDT524294 QTW524294:QTX524294 QKA524294:QKB524294 QAE524294:QAF524294 PQI524294:PQJ524294 PGM524294:PGN524294 OWQ524294:OWR524294 OMU524294:OMV524294 OCY524294:OCZ524294 NTC524294:NTD524294 NJG524294:NJH524294 MZK524294:MZL524294 MPO524294:MPP524294 MFS524294:MFT524294 LVW524294:LVX524294 LMA524294:LMB524294 LCE524294:LCF524294 KSI524294:KSJ524294 KIM524294:KIN524294 JYQ524294:JYR524294 JOU524294:JOV524294 JEY524294:JEZ524294 IVC524294:IVD524294 ILG524294:ILH524294 IBK524294:IBL524294 HRO524294:HRP524294 HHS524294:HHT524294 GXW524294:GXX524294 GOA524294:GOB524294 GEE524294:GEF524294 FUI524294:FUJ524294 FKM524294:FKN524294 FAQ524294:FAR524294 EQU524294:EQV524294 EGY524294:EGZ524294 DXC524294:DXD524294 DNG524294:DNH524294 DDK524294:DDL524294 CTO524294:CTP524294 CJS524294:CJT524294 BZW524294:BZX524294 BQA524294:BQB524294 BGE524294:BGF524294 AWI524294:AWJ524294 AMM524294:AMN524294 ACQ524294:ACR524294 SU524294:SV524294 IY524294:IZ524294 D524294:E524294 WVK458758:WVL458758 WLO458758:WLP458758 WBS458758:WBT458758 VRW458758:VRX458758 VIA458758:VIB458758 UYE458758:UYF458758 UOI458758:UOJ458758 UEM458758:UEN458758 TUQ458758:TUR458758 TKU458758:TKV458758 TAY458758:TAZ458758 SRC458758:SRD458758 SHG458758:SHH458758 RXK458758:RXL458758 RNO458758:RNP458758 RDS458758:RDT458758 QTW458758:QTX458758 QKA458758:QKB458758 QAE458758:QAF458758 PQI458758:PQJ458758 PGM458758:PGN458758 OWQ458758:OWR458758 OMU458758:OMV458758 OCY458758:OCZ458758 NTC458758:NTD458758 NJG458758:NJH458758 MZK458758:MZL458758 MPO458758:MPP458758 MFS458758:MFT458758 LVW458758:LVX458758 LMA458758:LMB458758 LCE458758:LCF458758 KSI458758:KSJ458758 KIM458758:KIN458758 JYQ458758:JYR458758 JOU458758:JOV458758 JEY458758:JEZ458758 IVC458758:IVD458758 ILG458758:ILH458758 IBK458758:IBL458758 HRO458758:HRP458758 HHS458758:HHT458758 GXW458758:GXX458758 GOA458758:GOB458758 GEE458758:GEF458758 FUI458758:FUJ458758 FKM458758:FKN458758 FAQ458758:FAR458758 EQU458758:EQV458758 EGY458758:EGZ458758 DXC458758:DXD458758 DNG458758:DNH458758 DDK458758:DDL458758 CTO458758:CTP458758 CJS458758:CJT458758 BZW458758:BZX458758 BQA458758:BQB458758 BGE458758:BGF458758 AWI458758:AWJ458758 AMM458758:AMN458758 ACQ458758:ACR458758 SU458758:SV458758 IY458758:IZ458758 D458758:E458758 WVK393222:WVL393222 WLO393222:WLP393222 WBS393222:WBT393222 VRW393222:VRX393222 VIA393222:VIB393222 UYE393222:UYF393222 UOI393222:UOJ393222 UEM393222:UEN393222 TUQ393222:TUR393222 TKU393222:TKV393222 TAY393222:TAZ393222 SRC393222:SRD393222 SHG393222:SHH393222 RXK393222:RXL393222 RNO393222:RNP393222 RDS393222:RDT393222 QTW393222:QTX393222 QKA393222:QKB393222 QAE393222:QAF393222 PQI393222:PQJ393222 PGM393222:PGN393222 OWQ393222:OWR393222 OMU393222:OMV393222 OCY393222:OCZ393222 NTC393222:NTD393222 NJG393222:NJH393222 MZK393222:MZL393222 MPO393222:MPP393222 MFS393222:MFT393222 LVW393222:LVX393222 LMA393222:LMB393222 LCE393222:LCF393222 KSI393222:KSJ393222 KIM393222:KIN393222 JYQ393222:JYR393222 JOU393222:JOV393222 JEY393222:JEZ393222 IVC393222:IVD393222 ILG393222:ILH393222 IBK393222:IBL393222 HRO393222:HRP393222 HHS393222:HHT393222 GXW393222:GXX393222 GOA393222:GOB393222 GEE393222:GEF393222 FUI393222:FUJ393222 FKM393222:FKN393222 FAQ393222:FAR393222 EQU393222:EQV393222 EGY393222:EGZ393222 DXC393222:DXD393222 DNG393222:DNH393222 DDK393222:DDL393222 CTO393222:CTP393222 CJS393222:CJT393222 BZW393222:BZX393222 BQA393222:BQB393222 BGE393222:BGF393222 AWI393222:AWJ393222 AMM393222:AMN393222 ACQ393222:ACR393222 SU393222:SV393222 IY393222:IZ393222 D393222:E393222 WVK327686:WVL327686 WLO327686:WLP327686 WBS327686:WBT327686 VRW327686:VRX327686 VIA327686:VIB327686 UYE327686:UYF327686 UOI327686:UOJ327686 UEM327686:UEN327686 TUQ327686:TUR327686 TKU327686:TKV327686 TAY327686:TAZ327686 SRC327686:SRD327686 SHG327686:SHH327686 RXK327686:RXL327686 RNO327686:RNP327686 RDS327686:RDT327686 QTW327686:QTX327686 QKA327686:QKB327686 QAE327686:QAF327686 PQI327686:PQJ327686 PGM327686:PGN327686 OWQ327686:OWR327686 OMU327686:OMV327686 OCY327686:OCZ327686 NTC327686:NTD327686 NJG327686:NJH327686 MZK327686:MZL327686 MPO327686:MPP327686 MFS327686:MFT327686 LVW327686:LVX327686 LMA327686:LMB327686 LCE327686:LCF327686 KSI327686:KSJ327686 KIM327686:KIN327686 JYQ327686:JYR327686 JOU327686:JOV327686 JEY327686:JEZ327686 IVC327686:IVD327686 ILG327686:ILH327686 IBK327686:IBL327686 HRO327686:HRP327686 HHS327686:HHT327686 GXW327686:GXX327686 GOA327686:GOB327686 GEE327686:GEF327686 FUI327686:FUJ327686 FKM327686:FKN327686 FAQ327686:FAR327686 EQU327686:EQV327686 EGY327686:EGZ327686 DXC327686:DXD327686 DNG327686:DNH327686 DDK327686:DDL327686 CTO327686:CTP327686 CJS327686:CJT327686 BZW327686:BZX327686 BQA327686:BQB327686 BGE327686:BGF327686 AWI327686:AWJ327686 AMM327686:AMN327686 ACQ327686:ACR327686 SU327686:SV327686 IY327686:IZ327686 D327686:E327686 WVK262150:WVL262150 WLO262150:WLP262150 WBS262150:WBT262150 VRW262150:VRX262150 VIA262150:VIB262150 UYE262150:UYF262150 UOI262150:UOJ262150 UEM262150:UEN262150 TUQ262150:TUR262150 TKU262150:TKV262150 TAY262150:TAZ262150 SRC262150:SRD262150 SHG262150:SHH262150 RXK262150:RXL262150 RNO262150:RNP262150 RDS262150:RDT262150 QTW262150:QTX262150 QKA262150:QKB262150 QAE262150:QAF262150 PQI262150:PQJ262150 PGM262150:PGN262150 OWQ262150:OWR262150 OMU262150:OMV262150 OCY262150:OCZ262150 NTC262150:NTD262150 NJG262150:NJH262150 MZK262150:MZL262150 MPO262150:MPP262150 MFS262150:MFT262150 LVW262150:LVX262150 LMA262150:LMB262150 LCE262150:LCF262150 KSI262150:KSJ262150 KIM262150:KIN262150 JYQ262150:JYR262150 JOU262150:JOV262150 JEY262150:JEZ262150 IVC262150:IVD262150 ILG262150:ILH262150 IBK262150:IBL262150 HRO262150:HRP262150 HHS262150:HHT262150 GXW262150:GXX262150 GOA262150:GOB262150 GEE262150:GEF262150 FUI262150:FUJ262150 FKM262150:FKN262150 FAQ262150:FAR262150 EQU262150:EQV262150 EGY262150:EGZ262150 DXC262150:DXD262150 DNG262150:DNH262150 DDK262150:DDL262150 CTO262150:CTP262150 CJS262150:CJT262150 BZW262150:BZX262150 BQA262150:BQB262150 BGE262150:BGF262150 AWI262150:AWJ262150 AMM262150:AMN262150 ACQ262150:ACR262150 SU262150:SV262150 IY262150:IZ262150 D262150:E262150 WVK196614:WVL196614 WLO196614:WLP196614 WBS196614:WBT196614 VRW196614:VRX196614 VIA196614:VIB196614 UYE196614:UYF196614 UOI196614:UOJ196614 UEM196614:UEN196614 TUQ196614:TUR196614 TKU196614:TKV196614 TAY196614:TAZ196614 SRC196614:SRD196614 SHG196614:SHH196614 RXK196614:RXL196614 RNO196614:RNP196614 RDS196614:RDT196614 QTW196614:QTX196614 QKA196614:QKB196614 QAE196614:QAF196614 PQI196614:PQJ196614 PGM196614:PGN196614 OWQ196614:OWR196614 OMU196614:OMV196614 OCY196614:OCZ196614 NTC196614:NTD196614 NJG196614:NJH196614 MZK196614:MZL196614 MPO196614:MPP196614 MFS196614:MFT196614 LVW196614:LVX196614 LMA196614:LMB196614 LCE196614:LCF196614 KSI196614:KSJ196614 KIM196614:KIN196614 JYQ196614:JYR196614 JOU196614:JOV196614 JEY196614:JEZ196614 IVC196614:IVD196614 ILG196614:ILH196614 IBK196614:IBL196614 HRO196614:HRP196614 HHS196614:HHT196614 GXW196614:GXX196614 GOA196614:GOB196614 GEE196614:GEF196614 FUI196614:FUJ196614 FKM196614:FKN196614 FAQ196614:FAR196614 EQU196614:EQV196614 EGY196614:EGZ196614 DXC196614:DXD196614 DNG196614:DNH196614 DDK196614:DDL196614 CTO196614:CTP196614 CJS196614:CJT196614 BZW196614:BZX196614 BQA196614:BQB196614 BGE196614:BGF196614 AWI196614:AWJ196614 AMM196614:AMN196614 ACQ196614:ACR196614 SU196614:SV196614 IY196614:IZ196614 D196614:E196614 WVK131078:WVL131078 WLO131078:WLP131078 WBS131078:WBT131078 VRW131078:VRX131078 VIA131078:VIB131078 UYE131078:UYF131078 UOI131078:UOJ131078 UEM131078:UEN131078 TUQ131078:TUR131078 TKU131078:TKV131078 TAY131078:TAZ131078 SRC131078:SRD131078 SHG131078:SHH131078 RXK131078:RXL131078 RNO131078:RNP131078 RDS131078:RDT131078 QTW131078:QTX131078 QKA131078:QKB131078 QAE131078:QAF131078 PQI131078:PQJ131078 PGM131078:PGN131078 OWQ131078:OWR131078 OMU131078:OMV131078 OCY131078:OCZ131078 NTC131078:NTD131078 NJG131078:NJH131078 MZK131078:MZL131078 MPO131078:MPP131078 MFS131078:MFT131078 LVW131078:LVX131078 LMA131078:LMB131078 LCE131078:LCF131078 KSI131078:KSJ131078 KIM131078:KIN131078 JYQ131078:JYR131078 JOU131078:JOV131078 JEY131078:JEZ131078 IVC131078:IVD131078 ILG131078:ILH131078 IBK131078:IBL131078 HRO131078:HRP131078 HHS131078:HHT131078 GXW131078:GXX131078 GOA131078:GOB131078 GEE131078:GEF131078 FUI131078:FUJ131078 FKM131078:FKN131078 FAQ131078:FAR131078 EQU131078:EQV131078 EGY131078:EGZ131078 DXC131078:DXD131078 DNG131078:DNH131078 DDK131078:DDL131078 CTO131078:CTP131078 CJS131078:CJT131078 BZW131078:BZX131078 BQA131078:BQB131078 BGE131078:BGF131078 AWI131078:AWJ131078 AMM131078:AMN131078 ACQ131078:ACR131078 SU131078:SV131078 IY131078:IZ131078 D131078:E131078 WVK65542:WVL65542 WLO65542:WLP65542 WBS65542:WBT65542 VRW65542:VRX65542 VIA65542:VIB65542 UYE65542:UYF65542 UOI65542:UOJ65542 UEM65542:UEN65542 TUQ65542:TUR65542 TKU65542:TKV65542 TAY65542:TAZ65542 SRC65542:SRD65542 SHG65542:SHH65542 RXK65542:RXL65542 RNO65542:RNP65542 RDS65542:RDT65542 QTW65542:QTX65542 QKA65542:QKB65542 QAE65542:QAF65542 PQI65542:PQJ65542 PGM65542:PGN65542 OWQ65542:OWR65542 OMU65542:OMV65542 OCY65542:OCZ65542 NTC65542:NTD65542 NJG65542:NJH65542 MZK65542:MZL65542 MPO65542:MPP65542 MFS65542:MFT65542 LVW65542:LVX65542 LMA65542:LMB65542 LCE65542:LCF65542 KSI65542:KSJ65542 KIM65542:KIN65542 JYQ65542:JYR65542 JOU65542:JOV65542 JEY65542:JEZ65542 IVC65542:IVD65542 ILG65542:ILH65542 IBK65542:IBL65542 HRO65542:HRP65542 HHS65542:HHT65542 GXW65542:GXX65542 GOA65542:GOB65542 GEE65542:GEF65542 FUI65542:FUJ65542 FKM65542:FKN65542 FAQ65542:FAR65542 EQU65542:EQV65542 EGY65542:EGZ65542 DXC65542:DXD65542 DNG65542:DNH65542 DDK65542:DDL65542 CTO65542:CTP65542 CJS65542:CJT65542 BZW65542:BZX65542 BQA65542:BQB65542 BGE65542:BGF65542 AWI65542:AWJ65542 AMM65542:AMN65542 ACQ65542:ACR65542 SU65542:SV65542 IY65542:IZ65542 D65542:E65542 WVK6:WVL6 WLO6:WLP6 WBS6:WBT6 VRW6:VRX6 VIA6:VIB6 UYE6:UYF6 UOI6:UOJ6 UEM6:UEN6 TUQ6:TUR6 TKU6:TKV6 TAY6:TAZ6 SRC6:SRD6 SHG6:SHH6 RXK6:RXL6 RNO6:RNP6 RDS6:RDT6 QTW6:QTX6 QKA6:QKB6 QAE6:QAF6 PQI6:PQJ6 PGM6:PGN6 OWQ6:OWR6 OMU6:OMV6 OCY6:OCZ6 NTC6:NTD6 NJG6:NJH6 MZK6:MZL6 MPO6:MPP6 MFS6:MFT6 LVW6:LVX6 LMA6:LMB6 LCE6:LCF6 KSI6:KSJ6 KIM6:KIN6 JYQ6:JYR6 JOU6:JOV6 JEY6:JEZ6 IVC6:IVD6 ILG6:ILH6 IBK6:IBL6 HRO6:HRP6 HHS6:HHT6 GXW6:GXX6 GOA6:GOB6 GEE6:GEF6 FUI6:FUJ6 FKM6:FKN6 FAQ6:FAR6 EQU6:EQV6 EGY6:EGZ6 DXC6:DXD6 DNG6:DNH6 DDK6:DDL6 CTO6:CTP6 CJS6:CJT6 BZW6:BZX6 BQA6:BQB6 BGE6:BGF6 AWI6:AWJ6 AMM6:AMN6 ACQ6:ACR6 SU6:SV6 IY6:IZ6">
      <formula1>$S$5:$S$10</formula1>
    </dataValidation>
  </dataValidations>
  <printOptions horizontalCentered="1" verticalCentered="1"/>
  <pageMargins left="0.25" right="0.25" top="0.5" bottom="0.5" header="0.5" footer="0.5"/>
  <pageSetup scale="88" orientation="portrait" blackAndWhite="1" horizont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0"/>
  <sheetViews>
    <sheetView zoomScale="75" zoomScaleNormal="75" workbookViewId="0">
      <selection activeCell="E73" sqref="E73"/>
    </sheetView>
  </sheetViews>
  <sheetFormatPr defaultRowHeight="12.75"/>
  <cols>
    <col min="1" max="1" width="9.140625" style="461" customWidth="1"/>
    <col min="2" max="2" width="18.140625" style="461" customWidth="1"/>
    <col min="3" max="3" width="21.5703125" style="461" customWidth="1"/>
    <col min="4" max="4" width="21.28515625" style="461" bestFit="1" customWidth="1"/>
    <col min="5" max="5" width="6.85546875" style="461" bestFit="1" customWidth="1"/>
    <col min="6" max="6" width="29.85546875" style="461" customWidth="1"/>
    <col min="7" max="7" width="43.7109375" style="461" customWidth="1"/>
    <col min="8" max="8" width="17.140625" style="461" customWidth="1"/>
    <col min="9" max="9" width="7.85546875" style="461" customWidth="1"/>
    <col min="10" max="10" width="2.28515625" style="461" bestFit="1" customWidth="1"/>
    <col min="11" max="12" width="2.28515625" style="461" customWidth="1"/>
    <col min="13" max="13" width="2.5703125" style="461" bestFit="1" customWidth="1"/>
    <col min="14" max="14" width="2.28515625" style="461" bestFit="1" customWidth="1"/>
    <col min="15" max="256" width="9.140625" style="461"/>
    <col min="257" max="257" width="9.140625" style="461" customWidth="1"/>
    <col min="258" max="258" width="18.140625" style="461" customWidth="1"/>
    <col min="259" max="259" width="21.5703125" style="461" customWidth="1"/>
    <col min="260" max="260" width="21.28515625" style="461" bestFit="1" customWidth="1"/>
    <col min="261" max="261" width="6.85546875" style="461" bestFit="1" customWidth="1"/>
    <col min="262" max="262" width="29.85546875" style="461" customWidth="1"/>
    <col min="263" max="263" width="43.7109375" style="461" customWidth="1"/>
    <col min="264" max="264" width="17.140625" style="461" customWidth="1"/>
    <col min="265" max="265" width="7.85546875" style="461" customWidth="1"/>
    <col min="266" max="266" width="2.28515625" style="461" bestFit="1" customWidth="1"/>
    <col min="267" max="268" width="2.28515625" style="461" customWidth="1"/>
    <col min="269" max="269" width="2.5703125" style="461" bestFit="1" customWidth="1"/>
    <col min="270" max="270" width="2.28515625" style="461" bestFit="1" customWidth="1"/>
    <col min="271" max="512" width="9.140625" style="461"/>
    <col min="513" max="513" width="9.140625" style="461" customWidth="1"/>
    <col min="514" max="514" width="18.140625" style="461" customWidth="1"/>
    <col min="515" max="515" width="21.5703125" style="461" customWidth="1"/>
    <col min="516" max="516" width="21.28515625" style="461" bestFit="1" customWidth="1"/>
    <col min="517" max="517" width="6.85546875" style="461" bestFit="1" customWidth="1"/>
    <col min="518" max="518" width="29.85546875" style="461" customWidth="1"/>
    <col min="519" max="519" width="43.7109375" style="461" customWidth="1"/>
    <col min="520" max="520" width="17.140625" style="461" customWidth="1"/>
    <col min="521" max="521" width="7.85546875" style="461" customWidth="1"/>
    <col min="522" max="522" width="2.28515625" style="461" bestFit="1" customWidth="1"/>
    <col min="523" max="524" width="2.28515625" style="461" customWidth="1"/>
    <col min="525" max="525" width="2.5703125" style="461" bestFit="1" customWidth="1"/>
    <col min="526" max="526" width="2.28515625" style="461" bestFit="1" customWidth="1"/>
    <col min="527" max="768" width="9.140625" style="461"/>
    <col min="769" max="769" width="9.140625" style="461" customWidth="1"/>
    <col min="770" max="770" width="18.140625" style="461" customWidth="1"/>
    <col min="771" max="771" width="21.5703125" style="461" customWidth="1"/>
    <col min="772" max="772" width="21.28515625" style="461" bestFit="1" customWidth="1"/>
    <col min="773" max="773" width="6.85546875" style="461" bestFit="1" customWidth="1"/>
    <col min="774" max="774" width="29.85546875" style="461" customWidth="1"/>
    <col min="775" max="775" width="43.7109375" style="461" customWidth="1"/>
    <col min="776" max="776" width="17.140625" style="461" customWidth="1"/>
    <col min="777" max="777" width="7.85546875" style="461" customWidth="1"/>
    <col min="778" max="778" width="2.28515625" style="461" bestFit="1" customWidth="1"/>
    <col min="779" max="780" width="2.28515625" style="461" customWidth="1"/>
    <col min="781" max="781" width="2.5703125" style="461" bestFit="1" customWidth="1"/>
    <col min="782" max="782" width="2.28515625" style="461" bestFit="1" customWidth="1"/>
    <col min="783" max="1024" width="9.140625" style="461"/>
    <col min="1025" max="1025" width="9.140625" style="461" customWidth="1"/>
    <col min="1026" max="1026" width="18.140625" style="461" customWidth="1"/>
    <col min="1027" max="1027" width="21.5703125" style="461" customWidth="1"/>
    <col min="1028" max="1028" width="21.28515625" style="461" bestFit="1" customWidth="1"/>
    <col min="1029" max="1029" width="6.85546875" style="461" bestFit="1" customWidth="1"/>
    <col min="1030" max="1030" width="29.85546875" style="461" customWidth="1"/>
    <col min="1031" max="1031" width="43.7109375" style="461" customWidth="1"/>
    <col min="1032" max="1032" width="17.140625" style="461" customWidth="1"/>
    <col min="1033" max="1033" width="7.85546875" style="461" customWidth="1"/>
    <col min="1034" max="1034" width="2.28515625" style="461" bestFit="1" customWidth="1"/>
    <col min="1035" max="1036" width="2.28515625" style="461" customWidth="1"/>
    <col min="1037" max="1037" width="2.5703125" style="461" bestFit="1" customWidth="1"/>
    <col min="1038" max="1038" width="2.28515625" style="461" bestFit="1" customWidth="1"/>
    <col min="1039" max="1280" width="9.140625" style="461"/>
    <col min="1281" max="1281" width="9.140625" style="461" customWidth="1"/>
    <col min="1282" max="1282" width="18.140625" style="461" customWidth="1"/>
    <col min="1283" max="1283" width="21.5703125" style="461" customWidth="1"/>
    <col min="1284" max="1284" width="21.28515625" style="461" bestFit="1" customWidth="1"/>
    <col min="1285" max="1285" width="6.85546875" style="461" bestFit="1" customWidth="1"/>
    <col min="1286" max="1286" width="29.85546875" style="461" customWidth="1"/>
    <col min="1287" max="1287" width="43.7109375" style="461" customWidth="1"/>
    <col min="1288" max="1288" width="17.140625" style="461" customWidth="1"/>
    <col min="1289" max="1289" width="7.85546875" style="461" customWidth="1"/>
    <col min="1290" max="1290" width="2.28515625" style="461" bestFit="1" customWidth="1"/>
    <col min="1291" max="1292" width="2.28515625" style="461" customWidth="1"/>
    <col min="1293" max="1293" width="2.5703125" style="461" bestFit="1" customWidth="1"/>
    <col min="1294" max="1294" width="2.28515625" style="461" bestFit="1" customWidth="1"/>
    <col min="1295" max="1536" width="9.140625" style="461"/>
    <col min="1537" max="1537" width="9.140625" style="461" customWidth="1"/>
    <col min="1538" max="1538" width="18.140625" style="461" customWidth="1"/>
    <col min="1539" max="1539" width="21.5703125" style="461" customWidth="1"/>
    <col min="1540" max="1540" width="21.28515625" style="461" bestFit="1" customWidth="1"/>
    <col min="1541" max="1541" width="6.85546875" style="461" bestFit="1" customWidth="1"/>
    <col min="1542" max="1542" width="29.85546875" style="461" customWidth="1"/>
    <col min="1543" max="1543" width="43.7109375" style="461" customWidth="1"/>
    <col min="1544" max="1544" width="17.140625" style="461" customWidth="1"/>
    <col min="1545" max="1545" width="7.85546875" style="461" customWidth="1"/>
    <col min="1546" max="1546" width="2.28515625" style="461" bestFit="1" customWidth="1"/>
    <col min="1547" max="1548" width="2.28515625" style="461" customWidth="1"/>
    <col min="1549" max="1549" width="2.5703125" style="461" bestFit="1" customWidth="1"/>
    <col min="1550" max="1550" width="2.28515625" style="461" bestFit="1" customWidth="1"/>
    <col min="1551" max="1792" width="9.140625" style="461"/>
    <col min="1793" max="1793" width="9.140625" style="461" customWidth="1"/>
    <col min="1794" max="1794" width="18.140625" style="461" customWidth="1"/>
    <col min="1795" max="1795" width="21.5703125" style="461" customWidth="1"/>
    <col min="1796" max="1796" width="21.28515625" style="461" bestFit="1" customWidth="1"/>
    <col min="1797" max="1797" width="6.85546875" style="461" bestFit="1" customWidth="1"/>
    <col min="1798" max="1798" width="29.85546875" style="461" customWidth="1"/>
    <col min="1799" max="1799" width="43.7109375" style="461" customWidth="1"/>
    <col min="1800" max="1800" width="17.140625" style="461" customWidth="1"/>
    <col min="1801" max="1801" width="7.85546875" style="461" customWidth="1"/>
    <col min="1802" max="1802" width="2.28515625" style="461" bestFit="1" customWidth="1"/>
    <col min="1803" max="1804" width="2.28515625" style="461" customWidth="1"/>
    <col min="1805" max="1805" width="2.5703125" style="461" bestFit="1" customWidth="1"/>
    <col min="1806" max="1806" width="2.28515625" style="461" bestFit="1" customWidth="1"/>
    <col min="1807" max="2048" width="9.140625" style="461"/>
    <col min="2049" max="2049" width="9.140625" style="461" customWidth="1"/>
    <col min="2050" max="2050" width="18.140625" style="461" customWidth="1"/>
    <col min="2051" max="2051" width="21.5703125" style="461" customWidth="1"/>
    <col min="2052" max="2052" width="21.28515625" style="461" bestFit="1" customWidth="1"/>
    <col min="2053" max="2053" width="6.85546875" style="461" bestFit="1" customWidth="1"/>
    <col min="2054" max="2054" width="29.85546875" style="461" customWidth="1"/>
    <col min="2055" max="2055" width="43.7109375" style="461" customWidth="1"/>
    <col min="2056" max="2056" width="17.140625" style="461" customWidth="1"/>
    <col min="2057" max="2057" width="7.85546875" style="461" customWidth="1"/>
    <col min="2058" max="2058" width="2.28515625" style="461" bestFit="1" customWidth="1"/>
    <col min="2059" max="2060" width="2.28515625" style="461" customWidth="1"/>
    <col min="2061" max="2061" width="2.5703125" style="461" bestFit="1" customWidth="1"/>
    <col min="2062" max="2062" width="2.28515625" style="461" bestFit="1" customWidth="1"/>
    <col min="2063" max="2304" width="9.140625" style="461"/>
    <col min="2305" max="2305" width="9.140625" style="461" customWidth="1"/>
    <col min="2306" max="2306" width="18.140625" style="461" customWidth="1"/>
    <col min="2307" max="2307" width="21.5703125" style="461" customWidth="1"/>
    <col min="2308" max="2308" width="21.28515625" style="461" bestFit="1" customWidth="1"/>
    <col min="2309" max="2309" width="6.85546875" style="461" bestFit="1" customWidth="1"/>
    <col min="2310" max="2310" width="29.85546875" style="461" customWidth="1"/>
    <col min="2311" max="2311" width="43.7109375" style="461" customWidth="1"/>
    <col min="2312" max="2312" width="17.140625" style="461" customWidth="1"/>
    <col min="2313" max="2313" width="7.85546875" style="461" customWidth="1"/>
    <col min="2314" max="2314" width="2.28515625" style="461" bestFit="1" customWidth="1"/>
    <col min="2315" max="2316" width="2.28515625" style="461" customWidth="1"/>
    <col min="2317" max="2317" width="2.5703125" style="461" bestFit="1" customWidth="1"/>
    <col min="2318" max="2318" width="2.28515625" style="461" bestFit="1" customWidth="1"/>
    <col min="2319" max="2560" width="9.140625" style="461"/>
    <col min="2561" max="2561" width="9.140625" style="461" customWidth="1"/>
    <col min="2562" max="2562" width="18.140625" style="461" customWidth="1"/>
    <col min="2563" max="2563" width="21.5703125" style="461" customWidth="1"/>
    <col min="2564" max="2564" width="21.28515625" style="461" bestFit="1" customWidth="1"/>
    <col min="2565" max="2565" width="6.85546875" style="461" bestFit="1" customWidth="1"/>
    <col min="2566" max="2566" width="29.85546875" style="461" customWidth="1"/>
    <col min="2567" max="2567" width="43.7109375" style="461" customWidth="1"/>
    <col min="2568" max="2568" width="17.140625" style="461" customWidth="1"/>
    <col min="2569" max="2569" width="7.85546875" style="461" customWidth="1"/>
    <col min="2570" max="2570" width="2.28515625" style="461" bestFit="1" customWidth="1"/>
    <col min="2571" max="2572" width="2.28515625" style="461" customWidth="1"/>
    <col min="2573" max="2573" width="2.5703125" style="461" bestFit="1" customWidth="1"/>
    <col min="2574" max="2574" width="2.28515625" style="461" bestFit="1" customWidth="1"/>
    <col min="2575" max="2816" width="9.140625" style="461"/>
    <col min="2817" max="2817" width="9.140625" style="461" customWidth="1"/>
    <col min="2818" max="2818" width="18.140625" style="461" customWidth="1"/>
    <col min="2819" max="2819" width="21.5703125" style="461" customWidth="1"/>
    <col min="2820" max="2820" width="21.28515625" style="461" bestFit="1" customWidth="1"/>
    <col min="2821" max="2821" width="6.85546875" style="461" bestFit="1" customWidth="1"/>
    <col min="2822" max="2822" width="29.85546875" style="461" customWidth="1"/>
    <col min="2823" max="2823" width="43.7109375" style="461" customWidth="1"/>
    <col min="2824" max="2824" width="17.140625" style="461" customWidth="1"/>
    <col min="2825" max="2825" width="7.85546875" style="461" customWidth="1"/>
    <col min="2826" max="2826" width="2.28515625" style="461" bestFit="1" customWidth="1"/>
    <col min="2827" max="2828" width="2.28515625" style="461" customWidth="1"/>
    <col min="2829" max="2829" width="2.5703125" style="461" bestFit="1" customWidth="1"/>
    <col min="2830" max="2830" width="2.28515625" style="461" bestFit="1" customWidth="1"/>
    <col min="2831" max="3072" width="9.140625" style="461"/>
    <col min="3073" max="3073" width="9.140625" style="461" customWidth="1"/>
    <col min="3074" max="3074" width="18.140625" style="461" customWidth="1"/>
    <col min="3075" max="3075" width="21.5703125" style="461" customWidth="1"/>
    <col min="3076" max="3076" width="21.28515625" style="461" bestFit="1" customWidth="1"/>
    <col min="3077" max="3077" width="6.85546875" style="461" bestFit="1" customWidth="1"/>
    <col min="3078" max="3078" width="29.85546875" style="461" customWidth="1"/>
    <col min="3079" max="3079" width="43.7109375" style="461" customWidth="1"/>
    <col min="3080" max="3080" width="17.140625" style="461" customWidth="1"/>
    <col min="3081" max="3081" width="7.85546875" style="461" customWidth="1"/>
    <col min="3082" max="3082" width="2.28515625" style="461" bestFit="1" customWidth="1"/>
    <col min="3083" max="3084" width="2.28515625" style="461" customWidth="1"/>
    <col min="3085" max="3085" width="2.5703125" style="461" bestFit="1" customWidth="1"/>
    <col min="3086" max="3086" width="2.28515625" style="461" bestFit="1" customWidth="1"/>
    <col min="3087" max="3328" width="9.140625" style="461"/>
    <col min="3329" max="3329" width="9.140625" style="461" customWidth="1"/>
    <col min="3330" max="3330" width="18.140625" style="461" customWidth="1"/>
    <col min="3331" max="3331" width="21.5703125" style="461" customWidth="1"/>
    <col min="3332" max="3332" width="21.28515625" style="461" bestFit="1" customWidth="1"/>
    <col min="3333" max="3333" width="6.85546875" style="461" bestFit="1" customWidth="1"/>
    <col min="3334" max="3334" width="29.85546875" style="461" customWidth="1"/>
    <col min="3335" max="3335" width="43.7109375" style="461" customWidth="1"/>
    <col min="3336" max="3336" width="17.140625" style="461" customWidth="1"/>
    <col min="3337" max="3337" width="7.85546875" style="461" customWidth="1"/>
    <col min="3338" max="3338" width="2.28515625" style="461" bestFit="1" customWidth="1"/>
    <col min="3339" max="3340" width="2.28515625" style="461" customWidth="1"/>
    <col min="3341" max="3341" width="2.5703125" style="461" bestFit="1" customWidth="1"/>
    <col min="3342" max="3342" width="2.28515625" style="461" bestFit="1" customWidth="1"/>
    <col min="3343" max="3584" width="9.140625" style="461"/>
    <col min="3585" max="3585" width="9.140625" style="461" customWidth="1"/>
    <col min="3586" max="3586" width="18.140625" style="461" customWidth="1"/>
    <col min="3587" max="3587" width="21.5703125" style="461" customWidth="1"/>
    <col min="3588" max="3588" width="21.28515625" style="461" bestFit="1" customWidth="1"/>
    <col min="3589" max="3589" width="6.85546875" style="461" bestFit="1" customWidth="1"/>
    <col min="3590" max="3590" width="29.85546875" style="461" customWidth="1"/>
    <col min="3591" max="3591" width="43.7109375" style="461" customWidth="1"/>
    <col min="3592" max="3592" width="17.140625" style="461" customWidth="1"/>
    <col min="3593" max="3593" width="7.85546875" style="461" customWidth="1"/>
    <col min="3594" max="3594" width="2.28515625" style="461" bestFit="1" customWidth="1"/>
    <col min="3595" max="3596" width="2.28515625" style="461" customWidth="1"/>
    <col min="3597" max="3597" width="2.5703125" style="461" bestFit="1" customWidth="1"/>
    <col min="3598" max="3598" width="2.28515625" style="461" bestFit="1" customWidth="1"/>
    <col min="3599" max="3840" width="9.140625" style="461"/>
    <col min="3841" max="3841" width="9.140625" style="461" customWidth="1"/>
    <col min="3842" max="3842" width="18.140625" style="461" customWidth="1"/>
    <col min="3843" max="3843" width="21.5703125" style="461" customWidth="1"/>
    <col min="3844" max="3844" width="21.28515625" style="461" bestFit="1" customWidth="1"/>
    <col min="3845" max="3845" width="6.85546875" style="461" bestFit="1" customWidth="1"/>
    <col min="3846" max="3846" width="29.85546875" style="461" customWidth="1"/>
    <col min="3847" max="3847" width="43.7109375" style="461" customWidth="1"/>
    <col min="3848" max="3848" width="17.140625" style="461" customWidth="1"/>
    <col min="3849" max="3849" width="7.85546875" style="461" customWidth="1"/>
    <col min="3850" max="3850" width="2.28515625" style="461" bestFit="1" customWidth="1"/>
    <col min="3851" max="3852" width="2.28515625" style="461" customWidth="1"/>
    <col min="3853" max="3853" width="2.5703125" style="461" bestFit="1" customWidth="1"/>
    <col min="3854" max="3854" width="2.28515625" style="461" bestFit="1" customWidth="1"/>
    <col min="3855" max="4096" width="9.140625" style="461"/>
    <col min="4097" max="4097" width="9.140625" style="461" customWidth="1"/>
    <col min="4098" max="4098" width="18.140625" style="461" customWidth="1"/>
    <col min="4099" max="4099" width="21.5703125" style="461" customWidth="1"/>
    <col min="4100" max="4100" width="21.28515625" style="461" bestFit="1" customWidth="1"/>
    <col min="4101" max="4101" width="6.85546875" style="461" bestFit="1" customWidth="1"/>
    <col min="4102" max="4102" width="29.85546875" style="461" customWidth="1"/>
    <col min="4103" max="4103" width="43.7109375" style="461" customWidth="1"/>
    <col min="4104" max="4104" width="17.140625" style="461" customWidth="1"/>
    <col min="4105" max="4105" width="7.85546875" style="461" customWidth="1"/>
    <col min="4106" max="4106" width="2.28515625" style="461" bestFit="1" customWidth="1"/>
    <col min="4107" max="4108" width="2.28515625" style="461" customWidth="1"/>
    <col min="4109" max="4109" width="2.5703125" style="461" bestFit="1" customWidth="1"/>
    <col min="4110" max="4110" width="2.28515625" style="461" bestFit="1" customWidth="1"/>
    <col min="4111" max="4352" width="9.140625" style="461"/>
    <col min="4353" max="4353" width="9.140625" style="461" customWidth="1"/>
    <col min="4354" max="4354" width="18.140625" style="461" customWidth="1"/>
    <col min="4355" max="4355" width="21.5703125" style="461" customWidth="1"/>
    <col min="4356" max="4356" width="21.28515625" style="461" bestFit="1" customWidth="1"/>
    <col min="4357" max="4357" width="6.85546875" style="461" bestFit="1" customWidth="1"/>
    <col min="4358" max="4358" width="29.85546875" style="461" customWidth="1"/>
    <col min="4359" max="4359" width="43.7109375" style="461" customWidth="1"/>
    <col min="4360" max="4360" width="17.140625" style="461" customWidth="1"/>
    <col min="4361" max="4361" width="7.85546875" style="461" customWidth="1"/>
    <col min="4362" max="4362" width="2.28515625" style="461" bestFit="1" customWidth="1"/>
    <col min="4363" max="4364" width="2.28515625" style="461" customWidth="1"/>
    <col min="4365" max="4365" width="2.5703125" style="461" bestFit="1" customWidth="1"/>
    <col min="4366" max="4366" width="2.28515625" style="461" bestFit="1" customWidth="1"/>
    <col min="4367" max="4608" width="9.140625" style="461"/>
    <col min="4609" max="4609" width="9.140625" style="461" customWidth="1"/>
    <col min="4610" max="4610" width="18.140625" style="461" customWidth="1"/>
    <col min="4611" max="4611" width="21.5703125" style="461" customWidth="1"/>
    <col min="4612" max="4612" width="21.28515625" style="461" bestFit="1" customWidth="1"/>
    <col min="4613" max="4613" width="6.85546875" style="461" bestFit="1" customWidth="1"/>
    <col min="4614" max="4614" width="29.85546875" style="461" customWidth="1"/>
    <col min="4615" max="4615" width="43.7109375" style="461" customWidth="1"/>
    <col min="4616" max="4616" width="17.140625" style="461" customWidth="1"/>
    <col min="4617" max="4617" width="7.85546875" style="461" customWidth="1"/>
    <col min="4618" max="4618" width="2.28515625" style="461" bestFit="1" customWidth="1"/>
    <col min="4619" max="4620" width="2.28515625" style="461" customWidth="1"/>
    <col min="4621" max="4621" width="2.5703125" style="461" bestFit="1" customWidth="1"/>
    <col min="4622" max="4622" width="2.28515625" style="461" bestFit="1" customWidth="1"/>
    <col min="4623" max="4864" width="9.140625" style="461"/>
    <col min="4865" max="4865" width="9.140625" style="461" customWidth="1"/>
    <col min="4866" max="4866" width="18.140625" style="461" customWidth="1"/>
    <col min="4867" max="4867" width="21.5703125" style="461" customWidth="1"/>
    <col min="4868" max="4868" width="21.28515625" style="461" bestFit="1" customWidth="1"/>
    <col min="4869" max="4869" width="6.85546875" style="461" bestFit="1" customWidth="1"/>
    <col min="4870" max="4870" width="29.85546875" style="461" customWidth="1"/>
    <col min="4871" max="4871" width="43.7109375" style="461" customWidth="1"/>
    <col min="4872" max="4872" width="17.140625" style="461" customWidth="1"/>
    <col min="4873" max="4873" width="7.85546875" style="461" customWidth="1"/>
    <col min="4874" max="4874" width="2.28515625" style="461" bestFit="1" customWidth="1"/>
    <col min="4875" max="4876" width="2.28515625" style="461" customWidth="1"/>
    <col min="4877" max="4877" width="2.5703125" style="461" bestFit="1" customWidth="1"/>
    <col min="4878" max="4878" width="2.28515625" style="461" bestFit="1" customWidth="1"/>
    <col min="4879" max="5120" width="9.140625" style="461"/>
    <col min="5121" max="5121" width="9.140625" style="461" customWidth="1"/>
    <col min="5122" max="5122" width="18.140625" style="461" customWidth="1"/>
    <col min="5123" max="5123" width="21.5703125" style="461" customWidth="1"/>
    <col min="5124" max="5124" width="21.28515625" style="461" bestFit="1" customWidth="1"/>
    <col min="5125" max="5125" width="6.85546875" style="461" bestFit="1" customWidth="1"/>
    <col min="5126" max="5126" width="29.85546875" style="461" customWidth="1"/>
    <col min="5127" max="5127" width="43.7109375" style="461" customWidth="1"/>
    <col min="5128" max="5128" width="17.140625" style="461" customWidth="1"/>
    <col min="5129" max="5129" width="7.85546875" style="461" customWidth="1"/>
    <col min="5130" max="5130" width="2.28515625" style="461" bestFit="1" customWidth="1"/>
    <col min="5131" max="5132" width="2.28515625" style="461" customWidth="1"/>
    <col min="5133" max="5133" width="2.5703125" style="461" bestFit="1" customWidth="1"/>
    <col min="5134" max="5134" width="2.28515625" style="461" bestFit="1" customWidth="1"/>
    <col min="5135" max="5376" width="9.140625" style="461"/>
    <col min="5377" max="5377" width="9.140625" style="461" customWidth="1"/>
    <col min="5378" max="5378" width="18.140625" style="461" customWidth="1"/>
    <col min="5379" max="5379" width="21.5703125" style="461" customWidth="1"/>
    <col min="5380" max="5380" width="21.28515625" style="461" bestFit="1" customWidth="1"/>
    <col min="5381" max="5381" width="6.85546875" style="461" bestFit="1" customWidth="1"/>
    <col min="5382" max="5382" width="29.85546875" style="461" customWidth="1"/>
    <col min="5383" max="5383" width="43.7109375" style="461" customWidth="1"/>
    <col min="5384" max="5384" width="17.140625" style="461" customWidth="1"/>
    <col min="5385" max="5385" width="7.85546875" style="461" customWidth="1"/>
    <col min="5386" max="5386" width="2.28515625" style="461" bestFit="1" customWidth="1"/>
    <col min="5387" max="5388" width="2.28515625" style="461" customWidth="1"/>
    <col min="5389" max="5389" width="2.5703125" style="461" bestFit="1" customWidth="1"/>
    <col min="5390" max="5390" width="2.28515625" style="461" bestFit="1" customWidth="1"/>
    <col min="5391" max="5632" width="9.140625" style="461"/>
    <col min="5633" max="5633" width="9.140625" style="461" customWidth="1"/>
    <col min="5634" max="5634" width="18.140625" style="461" customWidth="1"/>
    <col min="5635" max="5635" width="21.5703125" style="461" customWidth="1"/>
    <col min="5636" max="5636" width="21.28515625" style="461" bestFit="1" customWidth="1"/>
    <col min="5637" max="5637" width="6.85546875" style="461" bestFit="1" customWidth="1"/>
    <col min="5638" max="5638" width="29.85546875" style="461" customWidth="1"/>
    <col min="5639" max="5639" width="43.7109375" style="461" customWidth="1"/>
    <col min="5640" max="5640" width="17.140625" style="461" customWidth="1"/>
    <col min="5641" max="5641" width="7.85546875" style="461" customWidth="1"/>
    <col min="5642" max="5642" width="2.28515625" style="461" bestFit="1" customWidth="1"/>
    <col min="5643" max="5644" width="2.28515625" style="461" customWidth="1"/>
    <col min="5645" max="5645" width="2.5703125" style="461" bestFit="1" customWidth="1"/>
    <col min="5646" max="5646" width="2.28515625" style="461" bestFit="1" customWidth="1"/>
    <col min="5647" max="5888" width="9.140625" style="461"/>
    <col min="5889" max="5889" width="9.140625" style="461" customWidth="1"/>
    <col min="5890" max="5890" width="18.140625" style="461" customWidth="1"/>
    <col min="5891" max="5891" width="21.5703125" style="461" customWidth="1"/>
    <col min="5892" max="5892" width="21.28515625" style="461" bestFit="1" customWidth="1"/>
    <col min="5893" max="5893" width="6.85546875" style="461" bestFit="1" customWidth="1"/>
    <col min="5894" max="5894" width="29.85546875" style="461" customWidth="1"/>
    <col min="5895" max="5895" width="43.7109375" style="461" customWidth="1"/>
    <col min="5896" max="5896" width="17.140625" style="461" customWidth="1"/>
    <col min="5897" max="5897" width="7.85546875" style="461" customWidth="1"/>
    <col min="5898" max="5898" width="2.28515625" style="461" bestFit="1" customWidth="1"/>
    <col min="5899" max="5900" width="2.28515625" style="461" customWidth="1"/>
    <col min="5901" max="5901" width="2.5703125" style="461" bestFit="1" customWidth="1"/>
    <col min="5902" max="5902" width="2.28515625" style="461" bestFit="1" customWidth="1"/>
    <col min="5903" max="6144" width="9.140625" style="461"/>
    <col min="6145" max="6145" width="9.140625" style="461" customWidth="1"/>
    <col min="6146" max="6146" width="18.140625" style="461" customWidth="1"/>
    <col min="6147" max="6147" width="21.5703125" style="461" customWidth="1"/>
    <col min="6148" max="6148" width="21.28515625" style="461" bestFit="1" customWidth="1"/>
    <col min="6149" max="6149" width="6.85546875" style="461" bestFit="1" customWidth="1"/>
    <col min="6150" max="6150" width="29.85546875" style="461" customWidth="1"/>
    <col min="6151" max="6151" width="43.7109375" style="461" customWidth="1"/>
    <col min="6152" max="6152" width="17.140625" style="461" customWidth="1"/>
    <col min="6153" max="6153" width="7.85546875" style="461" customWidth="1"/>
    <col min="6154" max="6154" width="2.28515625" style="461" bestFit="1" customWidth="1"/>
    <col min="6155" max="6156" width="2.28515625" style="461" customWidth="1"/>
    <col min="6157" max="6157" width="2.5703125" style="461" bestFit="1" customWidth="1"/>
    <col min="6158" max="6158" width="2.28515625" style="461" bestFit="1" customWidth="1"/>
    <col min="6159" max="6400" width="9.140625" style="461"/>
    <col min="6401" max="6401" width="9.140625" style="461" customWidth="1"/>
    <col min="6402" max="6402" width="18.140625" style="461" customWidth="1"/>
    <col min="6403" max="6403" width="21.5703125" style="461" customWidth="1"/>
    <col min="6404" max="6404" width="21.28515625" style="461" bestFit="1" customWidth="1"/>
    <col min="6405" max="6405" width="6.85546875" style="461" bestFit="1" customWidth="1"/>
    <col min="6406" max="6406" width="29.85546875" style="461" customWidth="1"/>
    <col min="6407" max="6407" width="43.7109375" style="461" customWidth="1"/>
    <col min="6408" max="6408" width="17.140625" style="461" customWidth="1"/>
    <col min="6409" max="6409" width="7.85546875" style="461" customWidth="1"/>
    <col min="6410" max="6410" width="2.28515625" style="461" bestFit="1" customWidth="1"/>
    <col min="6411" max="6412" width="2.28515625" style="461" customWidth="1"/>
    <col min="6413" max="6413" width="2.5703125" style="461" bestFit="1" customWidth="1"/>
    <col min="6414" max="6414" width="2.28515625" style="461" bestFit="1" customWidth="1"/>
    <col min="6415" max="6656" width="9.140625" style="461"/>
    <col min="6657" max="6657" width="9.140625" style="461" customWidth="1"/>
    <col min="6658" max="6658" width="18.140625" style="461" customWidth="1"/>
    <col min="6659" max="6659" width="21.5703125" style="461" customWidth="1"/>
    <col min="6660" max="6660" width="21.28515625" style="461" bestFit="1" customWidth="1"/>
    <col min="6661" max="6661" width="6.85546875" style="461" bestFit="1" customWidth="1"/>
    <col min="6662" max="6662" width="29.85546875" style="461" customWidth="1"/>
    <col min="6663" max="6663" width="43.7109375" style="461" customWidth="1"/>
    <col min="6664" max="6664" width="17.140625" style="461" customWidth="1"/>
    <col min="6665" max="6665" width="7.85546875" style="461" customWidth="1"/>
    <col min="6666" max="6666" width="2.28515625" style="461" bestFit="1" customWidth="1"/>
    <col min="6667" max="6668" width="2.28515625" style="461" customWidth="1"/>
    <col min="6669" max="6669" width="2.5703125" style="461" bestFit="1" customWidth="1"/>
    <col min="6670" max="6670" width="2.28515625" style="461" bestFit="1" customWidth="1"/>
    <col min="6671" max="6912" width="9.140625" style="461"/>
    <col min="6913" max="6913" width="9.140625" style="461" customWidth="1"/>
    <col min="6914" max="6914" width="18.140625" style="461" customWidth="1"/>
    <col min="6915" max="6915" width="21.5703125" style="461" customWidth="1"/>
    <col min="6916" max="6916" width="21.28515625" style="461" bestFit="1" customWidth="1"/>
    <col min="6917" max="6917" width="6.85546875" style="461" bestFit="1" customWidth="1"/>
    <col min="6918" max="6918" width="29.85546875" style="461" customWidth="1"/>
    <col min="6919" max="6919" width="43.7109375" style="461" customWidth="1"/>
    <col min="6920" max="6920" width="17.140625" style="461" customWidth="1"/>
    <col min="6921" max="6921" width="7.85546875" style="461" customWidth="1"/>
    <col min="6922" max="6922" width="2.28515625" style="461" bestFit="1" customWidth="1"/>
    <col min="6923" max="6924" width="2.28515625" style="461" customWidth="1"/>
    <col min="6925" max="6925" width="2.5703125" style="461" bestFit="1" customWidth="1"/>
    <col min="6926" max="6926" width="2.28515625" style="461" bestFit="1" customWidth="1"/>
    <col min="6927" max="7168" width="9.140625" style="461"/>
    <col min="7169" max="7169" width="9.140625" style="461" customWidth="1"/>
    <col min="7170" max="7170" width="18.140625" style="461" customWidth="1"/>
    <col min="7171" max="7171" width="21.5703125" style="461" customWidth="1"/>
    <col min="7172" max="7172" width="21.28515625" style="461" bestFit="1" customWidth="1"/>
    <col min="7173" max="7173" width="6.85546875" style="461" bestFit="1" customWidth="1"/>
    <col min="7174" max="7174" width="29.85546875" style="461" customWidth="1"/>
    <col min="7175" max="7175" width="43.7109375" style="461" customWidth="1"/>
    <col min="7176" max="7176" width="17.140625" style="461" customWidth="1"/>
    <col min="7177" max="7177" width="7.85546875" style="461" customWidth="1"/>
    <col min="7178" max="7178" width="2.28515625" style="461" bestFit="1" customWidth="1"/>
    <col min="7179" max="7180" width="2.28515625" style="461" customWidth="1"/>
    <col min="7181" max="7181" width="2.5703125" style="461" bestFit="1" customWidth="1"/>
    <col min="7182" max="7182" width="2.28515625" style="461" bestFit="1" customWidth="1"/>
    <col min="7183" max="7424" width="9.140625" style="461"/>
    <col min="7425" max="7425" width="9.140625" style="461" customWidth="1"/>
    <col min="7426" max="7426" width="18.140625" style="461" customWidth="1"/>
    <col min="7427" max="7427" width="21.5703125" style="461" customWidth="1"/>
    <col min="7428" max="7428" width="21.28515625" style="461" bestFit="1" customWidth="1"/>
    <col min="7429" max="7429" width="6.85546875" style="461" bestFit="1" customWidth="1"/>
    <col min="7430" max="7430" width="29.85546875" style="461" customWidth="1"/>
    <col min="7431" max="7431" width="43.7109375" style="461" customWidth="1"/>
    <col min="7432" max="7432" width="17.140625" style="461" customWidth="1"/>
    <col min="7433" max="7433" width="7.85546875" style="461" customWidth="1"/>
    <col min="7434" max="7434" width="2.28515625" style="461" bestFit="1" customWidth="1"/>
    <col min="7435" max="7436" width="2.28515625" style="461" customWidth="1"/>
    <col min="7437" max="7437" width="2.5703125" style="461" bestFit="1" customWidth="1"/>
    <col min="7438" max="7438" width="2.28515625" style="461" bestFit="1" customWidth="1"/>
    <col min="7439" max="7680" width="9.140625" style="461"/>
    <col min="7681" max="7681" width="9.140625" style="461" customWidth="1"/>
    <col min="7682" max="7682" width="18.140625" style="461" customWidth="1"/>
    <col min="7683" max="7683" width="21.5703125" style="461" customWidth="1"/>
    <col min="7684" max="7684" width="21.28515625" style="461" bestFit="1" customWidth="1"/>
    <col min="7685" max="7685" width="6.85546875" style="461" bestFit="1" customWidth="1"/>
    <col min="7686" max="7686" width="29.85546875" style="461" customWidth="1"/>
    <col min="7687" max="7687" width="43.7109375" style="461" customWidth="1"/>
    <col min="7688" max="7688" width="17.140625" style="461" customWidth="1"/>
    <col min="7689" max="7689" width="7.85546875" style="461" customWidth="1"/>
    <col min="7690" max="7690" width="2.28515625" style="461" bestFit="1" customWidth="1"/>
    <col min="7691" max="7692" width="2.28515625" style="461" customWidth="1"/>
    <col min="7693" max="7693" width="2.5703125" style="461" bestFit="1" customWidth="1"/>
    <col min="7694" max="7694" width="2.28515625" style="461" bestFit="1" customWidth="1"/>
    <col min="7695" max="7936" width="9.140625" style="461"/>
    <col min="7937" max="7937" width="9.140625" style="461" customWidth="1"/>
    <col min="7938" max="7938" width="18.140625" style="461" customWidth="1"/>
    <col min="7939" max="7939" width="21.5703125" style="461" customWidth="1"/>
    <col min="7940" max="7940" width="21.28515625" style="461" bestFit="1" customWidth="1"/>
    <col min="7941" max="7941" width="6.85546875" style="461" bestFit="1" customWidth="1"/>
    <col min="7942" max="7942" width="29.85546875" style="461" customWidth="1"/>
    <col min="7943" max="7943" width="43.7109375" style="461" customWidth="1"/>
    <col min="7944" max="7944" width="17.140625" style="461" customWidth="1"/>
    <col min="7945" max="7945" width="7.85546875" style="461" customWidth="1"/>
    <col min="7946" max="7946" width="2.28515625" style="461" bestFit="1" customWidth="1"/>
    <col min="7947" max="7948" width="2.28515625" style="461" customWidth="1"/>
    <col min="7949" max="7949" width="2.5703125" style="461" bestFit="1" customWidth="1"/>
    <col min="7950" max="7950" width="2.28515625" style="461" bestFit="1" customWidth="1"/>
    <col min="7951" max="8192" width="9.140625" style="461"/>
    <col min="8193" max="8193" width="9.140625" style="461" customWidth="1"/>
    <col min="8194" max="8194" width="18.140625" style="461" customWidth="1"/>
    <col min="8195" max="8195" width="21.5703125" style="461" customWidth="1"/>
    <col min="8196" max="8196" width="21.28515625" style="461" bestFit="1" customWidth="1"/>
    <col min="8197" max="8197" width="6.85546875" style="461" bestFit="1" customWidth="1"/>
    <col min="8198" max="8198" width="29.85546875" style="461" customWidth="1"/>
    <col min="8199" max="8199" width="43.7109375" style="461" customWidth="1"/>
    <col min="8200" max="8200" width="17.140625" style="461" customWidth="1"/>
    <col min="8201" max="8201" width="7.85546875" style="461" customWidth="1"/>
    <col min="8202" max="8202" width="2.28515625" style="461" bestFit="1" customWidth="1"/>
    <col min="8203" max="8204" width="2.28515625" style="461" customWidth="1"/>
    <col min="8205" max="8205" width="2.5703125" style="461" bestFit="1" customWidth="1"/>
    <col min="8206" max="8206" width="2.28515625" style="461" bestFit="1" customWidth="1"/>
    <col min="8207" max="8448" width="9.140625" style="461"/>
    <col min="8449" max="8449" width="9.140625" style="461" customWidth="1"/>
    <col min="8450" max="8450" width="18.140625" style="461" customWidth="1"/>
    <col min="8451" max="8451" width="21.5703125" style="461" customWidth="1"/>
    <col min="8452" max="8452" width="21.28515625" style="461" bestFit="1" customWidth="1"/>
    <col min="8453" max="8453" width="6.85546875" style="461" bestFit="1" customWidth="1"/>
    <col min="8454" max="8454" width="29.85546875" style="461" customWidth="1"/>
    <col min="8455" max="8455" width="43.7109375" style="461" customWidth="1"/>
    <col min="8456" max="8456" width="17.140625" style="461" customWidth="1"/>
    <col min="8457" max="8457" width="7.85546875" style="461" customWidth="1"/>
    <col min="8458" max="8458" width="2.28515625" style="461" bestFit="1" customWidth="1"/>
    <col min="8459" max="8460" width="2.28515625" style="461" customWidth="1"/>
    <col min="8461" max="8461" width="2.5703125" style="461" bestFit="1" customWidth="1"/>
    <col min="8462" max="8462" width="2.28515625" style="461" bestFit="1" customWidth="1"/>
    <col min="8463" max="8704" width="9.140625" style="461"/>
    <col min="8705" max="8705" width="9.140625" style="461" customWidth="1"/>
    <col min="8706" max="8706" width="18.140625" style="461" customWidth="1"/>
    <col min="8707" max="8707" width="21.5703125" style="461" customWidth="1"/>
    <col min="8708" max="8708" width="21.28515625" style="461" bestFit="1" customWidth="1"/>
    <col min="8709" max="8709" width="6.85546875" style="461" bestFit="1" customWidth="1"/>
    <col min="8710" max="8710" width="29.85546875" style="461" customWidth="1"/>
    <col min="8711" max="8711" width="43.7109375" style="461" customWidth="1"/>
    <col min="8712" max="8712" width="17.140625" style="461" customWidth="1"/>
    <col min="8713" max="8713" width="7.85546875" style="461" customWidth="1"/>
    <col min="8714" max="8714" width="2.28515625" style="461" bestFit="1" customWidth="1"/>
    <col min="8715" max="8716" width="2.28515625" style="461" customWidth="1"/>
    <col min="8717" max="8717" width="2.5703125" style="461" bestFit="1" customWidth="1"/>
    <col min="8718" max="8718" width="2.28515625" style="461" bestFit="1" customWidth="1"/>
    <col min="8719" max="8960" width="9.140625" style="461"/>
    <col min="8961" max="8961" width="9.140625" style="461" customWidth="1"/>
    <col min="8962" max="8962" width="18.140625" style="461" customWidth="1"/>
    <col min="8963" max="8963" width="21.5703125" style="461" customWidth="1"/>
    <col min="8964" max="8964" width="21.28515625" style="461" bestFit="1" customWidth="1"/>
    <col min="8965" max="8965" width="6.85546875" style="461" bestFit="1" customWidth="1"/>
    <col min="8966" max="8966" width="29.85546875" style="461" customWidth="1"/>
    <col min="8967" max="8967" width="43.7109375" style="461" customWidth="1"/>
    <col min="8968" max="8968" width="17.140625" style="461" customWidth="1"/>
    <col min="8969" max="8969" width="7.85546875" style="461" customWidth="1"/>
    <col min="8970" max="8970" width="2.28515625" style="461" bestFit="1" customWidth="1"/>
    <col min="8971" max="8972" width="2.28515625" style="461" customWidth="1"/>
    <col min="8973" max="8973" width="2.5703125" style="461" bestFit="1" customWidth="1"/>
    <col min="8974" max="8974" width="2.28515625" style="461" bestFit="1" customWidth="1"/>
    <col min="8975" max="9216" width="9.140625" style="461"/>
    <col min="9217" max="9217" width="9.140625" style="461" customWidth="1"/>
    <col min="9218" max="9218" width="18.140625" style="461" customWidth="1"/>
    <col min="9219" max="9219" width="21.5703125" style="461" customWidth="1"/>
    <col min="9220" max="9220" width="21.28515625" style="461" bestFit="1" customWidth="1"/>
    <col min="9221" max="9221" width="6.85546875" style="461" bestFit="1" customWidth="1"/>
    <col min="9222" max="9222" width="29.85546875" style="461" customWidth="1"/>
    <col min="9223" max="9223" width="43.7109375" style="461" customWidth="1"/>
    <col min="9224" max="9224" width="17.140625" style="461" customWidth="1"/>
    <col min="9225" max="9225" width="7.85546875" style="461" customWidth="1"/>
    <col min="9226" max="9226" width="2.28515625" style="461" bestFit="1" customWidth="1"/>
    <col min="9227" max="9228" width="2.28515625" style="461" customWidth="1"/>
    <col min="9229" max="9229" width="2.5703125" style="461" bestFit="1" customWidth="1"/>
    <col min="9230" max="9230" width="2.28515625" style="461" bestFit="1" customWidth="1"/>
    <col min="9231" max="9472" width="9.140625" style="461"/>
    <col min="9473" max="9473" width="9.140625" style="461" customWidth="1"/>
    <col min="9474" max="9474" width="18.140625" style="461" customWidth="1"/>
    <col min="9475" max="9475" width="21.5703125" style="461" customWidth="1"/>
    <col min="9476" max="9476" width="21.28515625" style="461" bestFit="1" customWidth="1"/>
    <col min="9477" max="9477" width="6.85546875" style="461" bestFit="1" customWidth="1"/>
    <col min="9478" max="9478" width="29.85546875" style="461" customWidth="1"/>
    <col min="9479" max="9479" width="43.7109375" style="461" customWidth="1"/>
    <col min="9480" max="9480" width="17.140625" style="461" customWidth="1"/>
    <col min="9481" max="9481" width="7.85546875" style="461" customWidth="1"/>
    <col min="9482" max="9482" width="2.28515625" style="461" bestFit="1" customWidth="1"/>
    <col min="9483" max="9484" width="2.28515625" style="461" customWidth="1"/>
    <col min="9485" max="9485" width="2.5703125" style="461" bestFit="1" customWidth="1"/>
    <col min="9486" max="9486" width="2.28515625" style="461" bestFit="1" customWidth="1"/>
    <col min="9487" max="9728" width="9.140625" style="461"/>
    <col min="9729" max="9729" width="9.140625" style="461" customWidth="1"/>
    <col min="9730" max="9730" width="18.140625" style="461" customWidth="1"/>
    <col min="9731" max="9731" width="21.5703125" style="461" customWidth="1"/>
    <col min="9732" max="9732" width="21.28515625" style="461" bestFit="1" customWidth="1"/>
    <col min="9733" max="9733" width="6.85546875" style="461" bestFit="1" customWidth="1"/>
    <col min="9734" max="9734" width="29.85546875" style="461" customWidth="1"/>
    <col min="9735" max="9735" width="43.7109375" style="461" customWidth="1"/>
    <col min="9736" max="9736" width="17.140625" style="461" customWidth="1"/>
    <col min="9737" max="9737" width="7.85546875" style="461" customWidth="1"/>
    <col min="9738" max="9738" width="2.28515625" style="461" bestFit="1" customWidth="1"/>
    <col min="9739" max="9740" width="2.28515625" style="461" customWidth="1"/>
    <col min="9741" max="9741" width="2.5703125" style="461" bestFit="1" customWidth="1"/>
    <col min="9742" max="9742" width="2.28515625" style="461" bestFit="1" customWidth="1"/>
    <col min="9743" max="9984" width="9.140625" style="461"/>
    <col min="9985" max="9985" width="9.140625" style="461" customWidth="1"/>
    <col min="9986" max="9986" width="18.140625" style="461" customWidth="1"/>
    <col min="9987" max="9987" width="21.5703125" style="461" customWidth="1"/>
    <col min="9988" max="9988" width="21.28515625" style="461" bestFit="1" customWidth="1"/>
    <col min="9989" max="9989" width="6.85546875" style="461" bestFit="1" customWidth="1"/>
    <col min="9990" max="9990" width="29.85546875" style="461" customWidth="1"/>
    <col min="9991" max="9991" width="43.7109375" style="461" customWidth="1"/>
    <col min="9992" max="9992" width="17.140625" style="461" customWidth="1"/>
    <col min="9993" max="9993" width="7.85546875" style="461" customWidth="1"/>
    <col min="9994" max="9994" width="2.28515625" style="461" bestFit="1" customWidth="1"/>
    <col min="9995" max="9996" width="2.28515625" style="461" customWidth="1"/>
    <col min="9997" max="9997" width="2.5703125" style="461" bestFit="1" customWidth="1"/>
    <col min="9998" max="9998" width="2.28515625" style="461" bestFit="1" customWidth="1"/>
    <col min="9999" max="10240" width="9.140625" style="461"/>
    <col min="10241" max="10241" width="9.140625" style="461" customWidth="1"/>
    <col min="10242" max="10242" width="18.140625" style="461" customWidth="1"/>
    <col min="10243" max="10243" width="21.5703125" style="461" customWidth="1"/>
    <col min="10244" max="10244" width="21.28515625" style="461" bestFit="1" customWidth="1"/>
    <col min="10245" max="10245" width="6.85546875" style="461" bestFit="1" customWidth="1"/>
    <col min="10246" max="10246" width="29.85546875" style="461" customWidth="1"/>
    <col min="10247" max="10247" width="43.7109375" style="461" customWidth="1"/>
    <col min="10248" max="10248" width="17.140625" style="461" customWidth="1"/>
    <col min="10249" max="10249" width="7.85546875" style="461" customWidth="1"/>
    <col min="10250" max="10250" width="2.28515625" style="461" bestFit="1" customWidth="1"/>
    <col min="10251" max="10252" width="2.28515625" style="461" customWidth="1"/>
    <col min="10253" max="10253" width="2.5703125" style="461" bestFit="1" customWidth="1"/>
    <col min="10254" max="10254" width="2.28515625" style="461" bestFit="1" customWidth="1"/>
    <col min="10255" max="10496" width="9.140625" style="461"/>
    <col min="10497" max="10497" width="9.140625" style="461" customWidth="1"/>
    <col min="10498" max="10498" width="18.140625" style="461" customWidth="1"/>
    <col min="10499" max="10499" width="21.5703125" style="461" customWidth="1"/>
    <col min="10500" max="10500" width="21.28515625" style="461" bestFit="1" customWidth="1"/>
    <col min="10501" max="10501" width="6.85546875" style="461" bestFit="1" customWidth="1"/>
    <col min="10502" max="10502" width="29.85546875" style="461" customWidth="1"/>
    <col min="10503" max="10503" width="43.7109375" style="461" customWidth="1"/>
    <col min="10504" max="10504" width="17.140625" style="461" customWidth="1"/>
    <col min="10505" max="10505" width="7.85546875" style="461" customWidth="1"/>
    <col min="10506" max="10506" width="2.28515625" style="461" bestFit="1" customWidth="1"/>
    <col min="10507" max="10508" width="2.28515625" style="461" customWidth="1"/>
    <col min="10509" max="10509" width="2.5703125" style="461" bestFit="1" customWidth="1"/>
    <col min="10510" max="10510" width="2.28515625" style="461" bestFit="1" customWidth="1"/>
    <col min="10511" max="10752" width="9.140625" style="461"/>
    <col min="10753" max="10753" width="9.140625" style="461" customWidth="1"/>
    <col min="10754" max="10754" width="18.140625" style="461" customWidth="1"/>
    <col min="10755" max="10755" width="21.5703125" style="461" customWidth="1"/>
    <col min="10756" max="10756" width="21.28515625" style="461" bestFit="1" customWidth="1"/>
    <col min="10757" max="10757" width="6.85546875" style="461" bestFit="1" customWidth="1"/>
    <col min="10758" max="10758" width="29.85546875" style="461" customWidth="1"/>
    <col min="10759" max="10759" width="43.7109375" style="461" customWidth="1"/>
    <col min="10760" max="10760" width="17.140625" style="461" customWidth="1"/>
    <col min="10761" max="10761" width="7.85546875" style="461" customWidth="1"/>
    <col min="10762" max="10762" width="2.28515625" style="461" bestFit="1" customWidth="1"/>
    <col min="10763" max="10764" width="2.28515625" style="461" customWidth="1"/>
    <col min="10765" max="10765" width="2.5703125" style="461" bestFit="1" customWidth="1"/>
    <col min="10766" max="10766" width="2.28515625" style="461" bestFit="1" customWidth="1"/>
    <col min="10767" max="11008" width="9.140625" style="461"/>
    <col min="11009" max="11009" width="9.140625" style="461" customWidth="1"/>
    <col min="11010" max="11010" width="18.140625" style="461" customWidth="1"/>
    <col min="11011" max="11011" width="21.5703125" style="461" customWidth="1"/>
    <col min="11012" max="11012" width="21.28515625" style="461" bestFit="1" customWidth="1"/>
    <col min="11013" max="11013" width="6.85546875" style="461" bestFit="1" customWidth="1"/>
    <col min="11014" max="11014" width="29.85546875" style="461" customWidth="1"/>
    <col min="11015" max="11015" width="43.7109375" style="461" customWidth="1"/>
    <col min="11016" max="11016" width="17.140625" style="461" customWidth="1"/>
    <col min="11017" max="11017" width="7.85546875" style="461" customWidth="1"/>
    <col min="11018" max="11018" width="2.28515625" style="461" bestFit="1" customWidth="1"/>
    <col min="11019" max="11020" width="2.28515625" style="461" customWidth="1"/>
    <col min="11021" max="11021" width="2.5703125" style="461" bestFit="1" customWidth="1"/>
    <col min="11022" max="11022" width="2.28515625" style="461" bestFit="1" customWidth="1"/>
    <col min="11023" max="11264" width="9.140625" style="461"/>
    <col min="11265" max="11265" width="9.140625" style="461" customWidth="1"/>
    <col min="11266" max="11266" width="18.140625" style="461" customWidth="1"/>
    <col min="11267" max="11267" width="21.5703125" style="461" customWidth="1"/>
    <col min="11268" max="11268" width="21.28515625" style="461" bestFit="1" customWidth="1"/>
    <col min="11269" max="11269" width="6.85546875" style="461" bestFit="1" customWidth="1"/>
    <col min="11270" max="11270" width="29.85546875" style="461" customWidth="1"/>
    <col min="11271" max="11271" width="43.7109375" style="461" customWidth="1"/>
    <col min="11272" max="11272" width="17.140625" style="461" customWidth="1"/>
    <col min="11273" max="11273" width="7.85546875" style="461" customWidth="1"/>
    <col min="11274" max="11274" width="2.28515625" style="461" bestFit="1" customWidth="1"/>
    <col min="11275" max="11276" width="2.28515625" style="461" customWidth="1"/>
    <col min="11277" max="11277" width="2.5703125" style="461" bestFit="1" customWidth="1"/>
    <col min="11278" max="11278" width="2.28515625" style="461" bestFit="1" customWidth="1"/>
    <col min="11279" max="11520" width="9.140625" style="461"/>
    <col min="11521" max="11521" width="9.140625" style="461" customWidth="1"/>
    <col min="11522" max="11522" width="18.140625" style="461" customWidth="1"/>
    <col min="11523" max="11523" width="21.5703125" style="461" customWidth="1"/>
    <col min="11524" max="11524" width="21.28515625" style="461" bestFit="1" customWidth="1"/>
    <col min="11525" max="11525" width="6.85546875" style="461" bestFit="1" customWidth="1"/>
    <col min="11526" max="11526" width="29.85546875" style="461" customWidth="1"/>
    <col min="11527" max="11527" width="43.7109375" style="461" customWidth="1"/>
    <col min="11528" max="11528" width="17.140625" style="461" customWidth="1"/>
    <col min="11529" max="11529" width="7.85546875" style="461" customWidth="1"/>
    <col min="11530" max="11530" width="2.28515625" style="461" bestFit="1" customWidth="1"/>
    <col min="11531" max="11532" width="2.28515625" style="461" customWidth="1"/>
    <col min="11533" max="11533" width="2.5703125" style="461" bestFit="1" customWidth="1"/>
    <col min="11534" max="11534" width="2.28515625" style="461" bestFit="1" customWidth="1"/>
    <col min="11535" max="11776" width="9.140625" style="461"/>
    <col min="11777" max="11777" width="9.140625" style="461" customWidth="1"/>
    <col min="11778" max="11778" width="18.140625" style="461" customWidth="1"/>
    <col min="11779" max="11779" width="21.5703125" style="461" customWidth="1"/>
    <col min="11780" max="11780" width="21.28515625" style="461" bestFit="1" customWidth="1"/>
    <col min="11781" max="11781" width="6.85546875" style="461" bestFit="1" customWidth="1"/>
    <col min="11782" max="11782" width="29.85546875" style="461" customWidth="1"/>
    <col min="11783" max="11783" width="43.7109375" style="461" customWidth="1"/>
    <col min="11784" max="11784" width="17.140625" style="461" customWidth="1"/>
    <col min="11785" max="11785" width="7.85546875" style="461" customWidth="1"/>
    <col min="11786" max="11786" width="2.28515625" style="461" bestFit="1" customWidth="1"/>
    <col min="11787" max="11788" width="2.28515625" style="461" customWidth="1"/>
    <col min="11789" max="11789" width="2.5703125" style="461" bestFit="1" customWidth="1"/>
    <col min="11790" max="11790" width="2.28515625" style="461" bestFit="1" customWidth="1"/>
    <col min="11791" max="12032" width="9.140625" style="461"/>
    <col min="12033" max="12033" width="9.140625" style="461" customWidth="1"/>
    <col min="12034" max="12034" width="18.140625" style="461" customWidth="1"/>
    <col min="12035" max="12035" width="21.5703125" style="461" customWidth="1"/>
    <col min="12036" max="12036" width="21.28515625" style="461" bestFit="1" customWidth="1"/>
    <col min="12037" max="12037" width="6.85546875" style="461" bestFit="1" customWidth="1"/>
    <col min="12038" max="12038" width="29.85546875" style="461" customWidth="1"/>
    <col min="12039" max="12039" width="43.7109375" style="461" customWidth="1"/>
    <col min="12040" max="12040" width="17.140625" style="461" customWidth="1"/>
    <col min="12041" max="12041" width="7.85546875" style="461" customWidth="1"/>
    <col min="12042" max="12042" width="2.28515625" style="461" bestFit="1" customWidth="1"/>
    <col min="12043" max="12044" width="2.28515625" style="461" customWidth="1"/>
    <col min="12045" max="12045" width="2.5703125" style="461" bestFit="1" customWidth="1"/>
    <col min="12046" max="12046" width="2.28515625" style="461" bestFit="1" customWidth="1"/>
    <col min="12047" max="12288" width="9.140625" style="461"/>
    <col min="12289" max="12289" width="9.140625" style="461" customWidth="1"/>
    <col min="12290" max="12290" width="18.140625" style="461" customWidth="1"/>
    <col min="12291" max="12291" width="21.5703125" style="461" customWidth="1"/>
    <col min="12292" max="12292" width="21.28515625" style="461" bestFit="1" customWidth="1"/>
    <col min="12293" max="12293" width="6.85546875" style="461" bestFit="1" customWidth="1"/>
    <col min="12294" max="12294" width="29.85546875" style="461" customWidth="1"/>
    <col min="12295" max="12295" width="43.7109375" style="461" customWidth="1"/>
    <col min="12296" max="12296" width="17.140625" style="461" customWidth="1"/>
    <col min="12297" max="12297" width="7.85546875" style="461" customWidth="1"/>
    <col min="12298" max="12298" width="2.28515625" style="461" bestFit="1" customWidth="1"/>
    <col min="12299" max="12300" width="2.28515625" style="461" customWidth="1"/>
    <col min="12301" max="12301" width="2.5703125" style="461" bestFit="1" customWidth="1"/>
    <col min="12302" max="12302" width="2.28515625" style="461" bestFit="1" customWidth="1"/>
    <col min="12303" max="12544" width="9.140625" style="461"/>
    <col min="12545" max="12545" width="9.140625" style="461" customWidth="1"/>
    <col min="12546" max="12546" width="18.140625" style="461" customWidth="1"/>
    <col min="12547" max="12547" width="21.5703125" style="461" customWidth="1"/>
    <col min="12548" max="12548" width="21.28515625" style="461" bestFit="1" customWidth="1"/>
    <col min="12549" max="12549" width="6.85546875" style="461" bestFit="1" customWidth="1"/>
    <col min="12550" max="12550" width="29.85546875" style="461" customWidth="1"/>
    <col min="12551" max="12551" width="43.7109375" style="461" customWidth="1"/>
    <col min="12552" max="12552" width="17.140625" style="461" customWidth="1"/>
    <col min="12553" max="12553" width="7.85546875" style="461" customWidth="1"/>
    <col min="12554" max="12554" width="2.28515625" style="461" bestFit="1" customWidth="1"/>
    <col min="12555" max="12556" width="2.28515625" style="461" customWidth="1"/>
    <col min="12557" max="12557" width="2.5703125" style="461" bestFit="1" customWidth="1"/>
    <col min="12558" max="12558" width="2.28515625" style="461" bestFit="1" customWidth="1"/>
    <col min="12559" max="12800" width="9.140625" style="461"/>
    <col min="12801" max="12801" width="9.140625" style="461" customWidth="1"/>
    <col min="12802" max="12802" width="18.140625" style="461" customWidth="1"/>
    <col min="12803" max="12803" width="21.5703125" style="461" customWidth="1"/>
    <col min="12804" max="12804" width="21.28515625" style="461" bestFit="1" customWidth="1"/>
    <col min="12805" max="12805" width="6.85546875" style="461" bestFit="1" customWidth="1"/>
    <col min="12806" max="12806" width="29.85546875" style="461" customWidth="1"/>
    <col min="12807" max="12807" width="43.7109375" style="461" customWidth="1"/>
    <col min="12808" max="12808" width="17.140625" style="461" customWidth="1"/>
    <col min="12809" max="12809" width="7.85546875" style="461" customWidth="1"/>
    <col min="12810" max="12810" width="2.28515625" style="461" bestFit="1" customWidth="1"/>
    <col min="12811" max="12812" width="2.28515625" style="461" customWidth="1"/>
    <col min="12813" max="12813" width="2.5703125" style="461" bestFit="1" customWidth="1"/>
    <col min="12814" max="12814" width="2.28515625" style="461" bestFit="1" customWidth="1"/>
    <col min="12815" max="13056" width="9.140625" style="461"/>
    <col min="13057" max="13057" width="9.140625" style="461" customWidth="1"/>
    <col min="13058" max="13058" width="18.140625" style="461" customWidth="1"/>
    <col min="13059" max="13059" width="21.5703125" style="461" customWidth="1"/>
    <col min="13060" max="13060" width="21.28515625" style="461" bestFit="1" customWidth="1"/>
    <col min="13061" max="13061" width="6.85546875" style="461" bestFit="1" customWidth="1"/>
    <col min="13062" max="13062" width="29.85546875" style="461" customWidth="1"/>
    <col min="13063" max="13063" width="43.7109375" style="461" customWidth="1"/>
    <col min="13064" max="13064" width="17.140625" style="461" customWidth="1"/>
    <col min="13065" max="13065" width="7.85546875" style="461" customWidth="1"/>
    <col min="13066" max="13066" width="2.28515625" style="461" bestFit="1" customWidth="1"/>
    <col min="13067" max="13068" width="2.28515625" style="461" customWidth="1"/>
    <col min="13069" max="13069" width="2.5703125" style="461" bestFit="1" customWidth="1"/>
    <col min="13070" max="13070" width="2.28515625" style="461" bestFit="1" customWidth="1"/>
    <col min="13071" max="13312" width="9.140625" style="461"/>
    <col min="13313" max="13313" width="9.140625" style="461" customWidth="1"/>
    <col min="13314" max="13314" width="18.140625" style="461" customWidth="1"/>
    <col min="13315" max="13315" width="21.5703125" style="461" customWidth="1"/>
    <col min="13316" max="13316" width="21.28515625" style="461" bestFit="1" customWidth="1"/>
    <col min="13317" max="13317" width="6.85546875" style="461" bestFit="1" customWidth="1"/>
    <col min="13318" max="13318" width="29.85546875" style="461" customWidth="1"/>
    <col min="13319" max="13319" width="43.7109375" style="461" customWidth="1"/>
    <col min="13320" max="13320" width="17.140625" style="461" customWidth="1"/>
    <col min="13321" max="13321" width="7.85546875" style="461" customWidth="1"/>
    <col min="13322" max="13322" width="2.28515625" style="461" bestFit="1" customWidth="1"/>
    <col min="13323" max="13324" width="2.28515625" style="461" customWidth="1"/>
    <col min="13325" max="13325" width="2.5703125" style="461" bestFit="1" customWidth="1"/>
    <col min="13326" max="13326" width="2.28515625" style="461" bestFit="1" customWidth="1"/>
    <col min="13327" max="13568" width="9.140625" style="461"/>
    <col min="13569" max="13569" width="9.140625" style="461" customWidth="1"/>
    <col min="13570" max="13570" width="18.140625" style="461" customWidth="1"/>
    <col min="13571" max="13571" width="21.5703125" style="461" customWidth="1"/>
    <col min="13572" max="13572" width="21.28515625" style="461" bestFit="1" customWidth="1"/>
    <col min="13573" max="13573" width="6.85546875" style="461" bestFit="1" customWidth="1"/>
    <col min="13574" max="13574" width="29.85546875" style="461" customWidth="1"/>
    <col min="13575" max="13575" width="43.7109375" style="461" customWidth="1"/>
    <col min="13576" max="13576" width="17.140625" style="461" customWidth="1"/>
    <col min="13577" max="13577" width="7.85546875" style="461" customWidth="1"/>
    <col min="13578" max="13578" width="2.28515625" style="461" bestFit="1" customWidth="1"/>
    <col min="13579" max="13580" width="2.28515625" style="461" customWidth="1"/>
    <col min="13581" max="13581" width="2.5703125" style="461" bestFit="1" customWidth="1"/>
    <col min="13582" max="13582" width="2.28515625" style="461" bestFit="1" customWidth="1"/>
    <col min="13583" max="13824" width="9.140625" style="461"/>
    <col min="13825" max="13825" width="9.140625" style="461" customWidth="1"/>
    <col min="13826" max="13826" width="18.140625" style="461" customWidth="1"/>
    <col min="13827" max="13827" width="21.5703125" style="461" customWidth="1"/>
    <col min="13828" max="13828" width="21.28515625" style="461" bestFit="1" customWidth="1"/>
    <col min="13829" max="13829" width="6.85546875" style="461" bestFit="1" customWidth="1"/>
    <col min="13830" max="13830" width="29.85546875" style="461" customWidth="1"/>
    <col min="13831" max="13831" width="43.7109375" style="461" customWidth="1"/>
    <col min="13832" max="13832" width="17.140625" style="461" customWidth="1"/>
    <col min="13833" max="13833" width="7.85546875" style="461" customWidth="1"/>
    <col min="13834" max="13834" width="2.28515625" style="461" bestFit="1" customWidth="1"/>
    <col min="13835" max="13836" width="2.28515625" style="461" customWidth="1"/>
    <col min="13837" max="13837" width="2.5703125" style="461" bestFit="1" customWidth="1"/>
    <col min="13838" max="13838" width="2.28515625" style="461" bestFit="1" customWidth="1"/>
    <col min="13839" max="14080" width="9.140625" style="461"/>
    <col min="14081" max="14081" width="9.140625" style="461" customWidth="1"/>
    <col min="14082" max="14082" width="18.140625" style="461" customWidth="1"/>
    <col min="14083" max="14083" width="21.5703125" style="461" customWidth="1"/>
    <col min="14084" max="14084" width="21.28515625" style="461" bestFit="1" customWidth="1"/>
    <col min="14085" max="14085" width="6.85546875" style="461" bestFit="1" customWidth="1"/>
    <col min="14086" max="14086" width="29.85546875" style="461" customWidth="1"/>
    <col min="14087" max="14087" width="43.7109375" style="461" customWidth="1"/>
    <col min="14088" max="14088" width="17.140625" style="461" customWidth="1"/>
    <col min="14089" max="14089" width="7.85546875" style="461" customWidth="1"/>
    <col min="14090" max="14090" width="2.28515625" style="461" bestFit="1" customWidth="1"/>
    <col min="14091" max="14092" width="2.28515625" style="461" customWidth="1"/>
    <col min="14093" max="14093" width="2.5703125" style="461" bestFit="1" customWidth="1"/>
    <col min="14094" max="14094" width="2.28515625" style="461" bestFit="1" customWidth="1"/>
    <col min="14095" max="14336" width="9.140625" style="461"/>
    <col min="14337" max="14337" width="9.140625" style="461" customWidth="1"/>
    <col min="14338" max="14338" width="18.140625" style="461" customWidth="1"/>
    <col min="14339" max="14339" width="21.5703125" style="461" customWidth="1"/>
    <col min="14340" max="14340" width="21.28515625" style="461" bestFit="1" customWidth="1"/>
    <col min="14341" max="14341" width="6.85546875" style="461" bestFit="1" customWidth="1"/>
    <col min="14342" max="14342" width="29.85546875" style="461" customWidth="1"/>
    <col min="14343" max="14343" width="43.7109375" style="461" customWidth="1"/>
    <col min="14344" max="14344" width="17.140625" style="461" customWidth="1"/>
    <col min="14345" max="14345" width="7.85546875" style="461" customWidth="1"/>
    <col min="14346" max="14346" width="2.28515625" style="461" bestFit="1" customWidth="1"/>
    <col min="14347" max="14348" width="2.28515625" style="461" customWidth="1"/>
    <col min="14349" max="14349" width="2.5703125" style="461" bestFit="1" customWidth="1"/>
    <col min="14350" max="14350" width="2.28515625" style="461" bestFit="1" customWidth="1"/>
    <col min="14351" max="14592" width="9.140625" style="461"/>
    <col min="14593" max="14593" width="9.140625" style="461" customWidth="1"/>
    <col min="14594" max="14594" width="18.140625" style="461" customWidth="1"/>
    <col min="14595" max="14595" width="21.5703125" style="461" customWidth="1"/>
    <col min="14596" max="14596" width="21.28515625" style="461" bestFit="1" customWidth="1"/>
    <col min="14597" max="14597" width="6.85546875" style="461" bestFit="1" customWidth="1"/>
    <col min="14598" max="14598" width="29.85546875" style="461" customWidth="1"/>
    <col min="14599" max="14599" width="43.7109375" style="461" customWidth="1"/>
    <col min="14600" max="14600" width="17.140625" style="461" customWidth="1"/>
    <col min="14601" max="14601" width="7.85546875" style="461" customWidth="1"/>
    <col min="14602" max="14602" width="2.28515625" style="461" bestFit="1" customWidth="1"/>
    <col min="14603" max="14604" width="2.28515625" style="461" customWidth="1"/>
    <col min="14605" max="14605" width="2.5703125" style="461" bestFit="1" customWidth="1"/>
    <col min="14606" max="14606" width="2.28515625" style="461" bestFit="1" customWidth="1"/>
    <col min="14607" max="14848" width="9.140625" style="461"/>
    <col min="14849" max="14849" width="9.140625" style="461" customWidth="1"/>
    <col min="14850" max="14850" width="18.140625" style="461" customWidth="1"/>
    <col min="14851" max="14851" width="21.5703125" style="461" customWidth="1"/>
    <col min="14852" max="14852" width="21.28515625" style="461" bestFit="1" customWidth="1"/>
    <col min="14853" max="14853" width="6.85546875" style="461" bestFit="1" customWidth="1"/>
    <col min="14854" max="14854" width="29.85546875" style="461" customWidth="1"/>
    <col min="14855" max="14855" width="43.7109375" style="461" customWidth="1"/>
    <col min="14856" max="14856" width="17.140625" style="461" customWidth="1"/>
    <col min="14857" max="14857" width="7.85546875" style="461" customWidth="1"/>
    <col min="14858" max="14858" width="2.28515625" style="461" bestFit="1" customWidth="1"/>
    <col min="14859" max="14860" width="2.28515625" style="461" customWidth="1"/>
    <col min="14861" max="14861" width="2.5703125" style="461" bestFit="1" customWidth="1"/>
    <col min="14862" max="14862" width="2.28515625" style="461" bestFit="1" customWidth="1"/>
    <col min="14863" max="15104" width="9.140625" style="461"/>
    <col min="15105" max="15105" width="9.140625" style="461" customWidth="1"/>
    <col min="15106" max="15106" width="18.140625" style="461" customWidth="1"/>
    <col min="15107" max="15107" width="21.5703125" style="461" customWidth="1"/>
    <col min="15108" max="15108" width="21.28515625" style="461" bestFit="1" customWidth="1"/>
    <col min="15109" max="15109" width="6.85546875" style="461" bestFit="1" customWidth="1"/>
    <col min="15110" max="15110" width="29.85546875" style="461" customWidth="1"/>
    <col min="15111" max="15111" width="43.7109375" style="461" customWidth="1"/>
    <col min="15112" max="15112" width="17.140625" style="461" customWidth="1"/>
    <col min="15113" max="15113" width="7.85546875" style="461" customWidth="1"/>
    <col min="15114" max="15114" width="2.28515625" style="461" bestFit="1" customWidth="1"/>
    <col min="15115" max="15116" width="2.28515625" style="461" customWidth="1"/>
    <col min="15117" max="15117" width="2.5703125" style="461" bestFit="1" customWidth="1"/>
    <col min="15118" max="15118" width="2.28515625" style="461" bestFit="1" customWidth="1"/>
    <col min="15119" max="15360" width="9.140625" style="461"/>
    <col min="15361" max="15361" width="9.140625" style="461" customWidth="1"/>
    <col min="15362" max="15362" width="18.140625" style="461" customWidth="1"/>
    <col min="15363" max="15363" width="21.5703125" style="461" customWidth="1"/>
    <col min="15364" max="15364" width="21.28515625" style="461" bestFit="1" customWidth="1"/>
    <col min="15365" max="15365" width="6.85546875" style="461" bestFit="1" customWidth="1"/>
    <col min="15366" max="15366" width="29.85546875" style="461" customWidth="1"/>
    <col min="15367" max="15367" width="43.7109375" style="461" customWidth="1"/>
    <col min="15368" max="15368" width="17.140625" style="461" customWidth="1"/>
    <col min="15369" max="15369" width="7.85546875" style="461" customWidth="1"/>
    <col min="15370" max="15370" width="2.28515625" style="461" bestFit="1" customWidth="1"/>
    <col min="15371" max="15372" width="2.28515625" style="461" customWidth="1"/>
    <col min="15373" max="15373" width="2.5703125" style="461" bestFit="1" customWidth="1"/>
    <col min="15374" max="15374" width="2.28515625" style="461" bestFit="1" customWidth="1"/>
    <col min="15375" max="15616" width="9.140625" style="461"/>
    <col min="15617" max="15617" width="9.140625" style="461" customWidth="1"/>
    <col min="15618" max="15618" width="18.140625" style="461" customWidth="1"/>
    <col min="15619" max="15619" width="21.5703125" style="461" customWidth="1"/>
    <col min="15620" max="15620" width="21.28515625" style="461" bestFit="1" customWidth="1"/>
    <col min="15621" max="15621" width="6.85546875" style="461" bestFit="1" customWidth="1"/>
    <col min="15622" max="15622" width="29.85546875" style="461" customWidth="1"/>
    <col min="15623" max="15623" width="43.7109375" style="461" customWidth="1"/>
    <col min="15624" max="15624" width="17.140625" style="461" customWidth="1"/>
    <col min="15625" max="15625" width="7.85546875" style="461" customWidth="1"/>
    <col min="15626" max="15626" width="2.28515625" style="461" bestFit="1" customWidth="1"/>
    <col min="15627" max="15628" width="2.28515625" style="461" customWidth="1"/>
    <col min="15629" max="15629" width="2.5703125" style="461" bestFit="1" customWidth="1"/>
    <col min="15630" max="15630" width="2.28515625" style="461" bestFit="1" customWidth="1"/>
    <col min="15631" max="15872" width="9.140625" style="461"/>
    <col min="15873" max="15873" width="9.140625" style="461" customWidth="1"/>
    <col min="15874" max="15874" width="18.140625" style="461" customWidth="1"/>
    <col min="15875" max="15875" width="21.5703125" style="461" customWidth="1"/>
    <col min="15876" max="15876" width="21.28515625" style="461" bestFit="1" customWidth="1"/>
    <col min="15877" max="15877" width="6.85546875" style="461" bestFit="1" customWidth="1"/>
    <col min="15878" max="15878" width="29.85546875" style="461" customWidth="1"/>
    <col min="15879" max="15879" width="43.7109375" style="461" customWidth="1"/>
    <col min="15880" max="15880" width="17.140625" style="461" customWidth="1"/>
    <col min="15881" max="15881" width="7.85546875" style="461" customWidth="1"/>
    <col min="15882" max="15882" width="2.28515625" style="461" bestFit="1" customWidth="1"/>
    <col min="15883" max="15884" width="2.28515625" style="461" customWidth="1"/>
    <col min="15885" max="15885" width="2.5703125" style="461" bestFit="1" customWidth="1"/>
    <col min="15886" max="15886" width="2.28515625" style="461" bestFit="1" customWidth="1"/>
    <col min="15887" max="16128" width="9.140625" style="461"/>
    <col min="16129" max="16129" width="9.140625" style="461" customWidth="1"/>
    <col min="16130" max="16130" width="18.140625" style="461" customWidth="1"/>
    <col min="16131" max="16131" width="21.5703125" style="461" customWidth="1"/>
    <col min="16132" max="16132" width="21.28515625" style="461" bestFit="1" customWidth="1"/>
    <col min="16133" max="16133" width="6.85546875" style="461" bestFit="1" customWidth="1"/>
    <col min="16134" max="16134" width="29.85546875" style="461" customWidth="1"/>
    <col min="16135" max="16135" width="43.7109375" style="461" customWidth="1"/>
    <col min="16136" max="16136" width="17.140625" style="461" customWidth="1"/>
    <col min="16137" max="16137" width="7.85546875" style="461" customWidth="1"/>
    <col min="16138" max="16138" width="2.28515625" style="461" bestFit="1" customWidth="1"/>
    <col min="16139" max="16140" width="2.28515625" style="461" customWidth="1"/>
    <col min="16141" max="16141" width="2.5703125" style="461" bestFit="1" customWidth="1"/>
    <col min="16142" max="16142" width="2.28515625" style="461" bestFit="1" customWidth="1"/>
    <col min="16143" max="16384" width="9.140625" style="461"/>
  </cols>
  <sheetData>
    <row r="1" spans="2:14" ht="12.75" customHeight="1">
      <c r="B1" s="456"/>
      <c r="C1" s="457"/>
      <c r="D1" s="457"/>
      <c r="E1" s="457"/>
      <c r="F1" s="457"/>
      <c r="G1" s="457"/>
      <c r="H1" s="458"/>
      <c r="I1" s="459"/>
      <c r="J1" s="460" t="s">
        <v>509</v>
      </c>
      <c r="K1" s="460" t="s">
        <v>510</v>
      </c>
      <c r="L1" s="460" t="s">
        <v>511</v>
      </c>
      <c r="M1" s="460" t="s">
        <v>510</v>
      </c>
      <c r="N1" s="460"/>
    </row>
    <row r="2" spans="2:14" ht="12.75" customHeight="1">
      <c r="B2" s="608" t="s">
        <v>512</v>
      </c>
      <c r="C2" s="609"/>
      <c r="D2" s="609"/>
      <c r="E2" s="609"/>
      <c r="F2" s="609"/>
      <c r="G2" s="609"/>
      <c r="H2" s="462"/>
      <c r="I2" s="463"/>
      <c r="J2" s="464" t="s">
        <v>513</v>
      </c>
      <c r="K2" s="464" t="s">
        <v>514</v>
      </c>
      <c r="L2" s="464" t="s">
        <v>515</v>
      </c>
      <c r="M2" s="464" t="s">
        <v>516</v>
      </c>
      <c r="N2" s="464" t="s">
        <v>517</v>
      </c>
    </row>
    <row r="3" spans="2:14" ht="12.75" customHeight="1">
      <c r="B3" s="608"/>
      <c r="C3" s="609"/>
      <c r="D3" s="609"/>
      <c r="E3" s="609"/>
      <c r="F3" s="609"/>
      <c r="G3" s="609"/>
      <c r="H3" s="462"/>
      <c r="I3" s="463"/>
      <c r="J3" s="464" t="s">
        <v>518</v>
      </c>
      <c r="K3" s="464"/>
      <c r="L3" s="464" t="s">
        <v>519</v>
      </c>
      <c r="M3" s="464" t="s">
        <v>509</v>
      </c>
      <c r="N3" s="464"/>
    </row>
    <row r="4" spans="2:14" ht="12.75" customHeight="1">
      <c r="B4" s="608"/>
      <c r="C4" s="609"/>
      <c r="D4" s="609"/>
      <c r="E4" s="609"/>
      <c r="F4" s="609"/>
      <c r="G4" s="609"/>
      <c r="H4" s="462"/>
      <c r="I4" s="463"/>
      <c r="J4" s="464" t="s">
        <v>77</v>
      </c>
      <c r="K4" s="464"/>
      <c r="L4" s="464" t="s">
        <v>515</v>
      </c>
      <c r="M4" s="464" t="s">
        <v>513</v>
      </c>
      <c r="N4" s="464"/>
    </row>
    <row r="5" spans="2:14" ht="12.75" customHeight="1">
      <c r="B5" s="465"/>
      <c r="C5" s="466"/>
      <c r="D5" s="466"/>
      <c r="E5" s="466"/>
      <c r="F5" s="466"/>
      <c r="G5" s="466"/>
      <c r="H5" s="462"/>
      <c r="I5" s="463"/>
      <c r="J5" s="464"/>
      <c r="K5" s="464" t="s">
        <v>520</v>
      </c>
      <c r="L5" s="464" t="s">
        <v>510</v>
      </c>
      <c r="M5" s="464"/>
      <c r="N5" s="464" t="s">
        <v>515</v>
      </c>
    </row>
    <row r="6" spans="2:14" ht="12" customHeight="1">
      <c r="B6" s="467"/>
      <c r="C6" s="468"/>
      <c r="D6" s="468"/>
      <c r="F6" s="468"/>
      <c r="H6" s="469"/>
      <c r="I6" s="463"/>
      <c r="J6" s="464" t="s">
        <v>514</v>
      </c>
      <c r="K6" s="464" t="s">
        <v>521</v>
      </c>
      <c r="L6" s="464"/>
      <c r="M6" s="464" t="s">
        <v>510</v>
      </c>
      <c r="N6" s="464" t="s">
        <v>522</v>
      </c>
    </row>
    <row r="7" spans="2:14" ht="12.75" customHeight="1">
      <c r="B7" s="467"/>
      <c r="D7" s="470"/>
      <c r="H7" s="469"/>
      <c r="I7" s="463"/>
      <c r="J7" s="464" t="s">
        <v>39</v>
      </c>
      <c r="K7" s="464" t="s">
        <v>518</v>
      </c>
      <c r="L7" s="464" t="s">
        <v>518</v>
      </c>
      <c r="M7" s="464" t="s">
        <v>513</v>
      </c>
      <c r="N7" s="464" t="s">
        <v>523</v>
      </c>
    </row>
    <row r="8" spans="2:14" ht="12.75" customHeight="1">
      <c r="B8" s="467"/>
      <c r="G8" s="470"/>
      <c r="H8" s="471"/>
      <c r="I8" s="464" t="s">
        <v>523</v>
      </c>
      <c r="J8" s="464" t="s">
        <v>510</v>
      </c>
      <c r="K8" s="464" t="s">
        <v>524</v>
      </c>
      <c r="L8" s="464" t="s">
        <v>513</v>
      </c>
      <c r="M8" s="464" t="s">
        <v>523</v>
      </c>
      <c r="N8" s="464" t="s">
        <v>521</v>
      </c>
    </row>
    <row r="9" spans="2:14">
      <c r="B9" s="464" t="s">
        <v>525</v>
      </c>
      <c r="C9" s="471" t="s">
        <v>117</v>
      </c>
      <c r="D9" s="471" t="s">
        <v>526</v>
      </c>
      <c r="E9" s="471" t="s">
        <v>527</v>
      </c>
      <c r="F9" s="464" t="s">
        <v>528</v>
      </c>
      <c r="G9" s="464" t="s">
        <v>529</v>
      </c>
      <c r="H9" s="464" t="s">
        <v>530</v>
      </c>
      <c r="I9" s="464" t="s">
        <v>77</v>
      </c>
      <c r="J9" s="464" t="s">
        <v>39</v>
      </c>
      <c r="K9" s="464" t="s">
        <v>513</v>
      </c>
      <c r="L9" s="464" t="s">
        <v>524</v>
      </c>
      <c r="M9" s="464" t="s">
        <v>510</v>
      </c>
      <c r="N9" s="464" t="s">
        <v>511</v>
      </c>
    </row>
    <row r="10" spans="2:14" ht="30" customHeight="1">
      <c r="B10" s="472"/>
      <c r="C10" s="473"/>
      <c r="D10" s="473"/>
      <c r="E10" s="473"/>
      <c r="F10" s="474"/>
      <c r="G10" s="475"/>
      <c r="H10" s="475"/>
      <c r="I10" s="476"/>
      <c r="J10" s="477"/>
      <c r="K10" s="477"/>
      <c r="L10" s="477"/>
      <c r="M10" s="477"/>
      <c r="N10" s="478"/>
    </row>
    <row r="11" spans="2:14" ht="30" customHeight="1">
      <c r="B11" s="472"/>
      <c r="C11" s="474"/>
      <c r="D11" s="474"/>
      <c r="E11" s="474"/>
      <c r="F11" s="474"/>
      <c r="G11" s="474"/>
      <c r="H11" s="474"/>
      <c r="I11" s="479"/>
      <c r="J11" s="477"/>
      <c r="K11" s="477"/>
      <c r="L11" s="477"/>
      <c r="M11" s="477"/>
      <c r="N11" s="478"/>
    </row>
    <row r="12" spans="2:14" ht="30" customHeight="1">
      <c r="B12" s="472"/>
      <c r="C12" s="474"/>
      <c r="D12" s="474"/>
      <c r="E12" s="474"/>
      <c r="F12" s="474"/>
      <c r="G12" s="474"/>
      <c r="H12" s="474"/>
      <c r="I12" s="479"/>
      <c r="J12" s="480"/>
      <c r="K12" s="477"/>
      <c r="L12" s="477"/>
      <c r="M12" s="477"/>
      <c r="N12" s="478"/>
    </row>
    <row r="13" spans="2:14" ht="30" customHeight="1">
      <c r="B13" s="472"/>
      <c r="C13" s="474"/>
      <c r="D13" s="474"/>
      <c r="E13" s="474"/>
      <c r="F13" s="474"/>
      <c r="G13" s="474"/>
      <c r="H13" s="474"/>
      <c r="I13" s="479"/>
      <c r="J13" s="477"/>
      <c r="K13" s="477"/>
      <c r="L13" s="477"/>
      <c r="M13" s="477"/>
      <c r="N13" s="478"/>
    </row>
    <row r="14" spans="2:14" ht="30" customHeight="1">
      <c r="B14" s="472"/>
      <c r="C14" s="474"/>
      <c r="D14" s="474"/>
      <c r="E14" s="474"/>
      <c r="F14" s="474"/>
      <c r="G14" s="474"/>
      <c r="H14" s="474"/>
      <c r="I14" s="479"/>
      <c r="J14" s="477"/>
      <c r="K14" s="477"/>
      <c r="L14" s="477"/>
      <c r="M14" s="477"/>
      <c r="N14" s="478"/>
    </row>
    <row r="15" spans="2:14" ht="30" customHeight="1">
      <c r="B15" s="472"/>
      <c r="C15" s="474"/>
      <c r="D15" s="474"/>
      <c r="E15" s="474"/>
      <c r="F15" s="474"/>
      <c r="G15" s="474"/>
      <c r="H15" s="474"/>
      <c r="I15" s="479"/>
      <c r="J15" s="477"/>
      <c r="K15" s="477"/>
      <c r="L15" s="477"/>
      <c r="M15" s="477"/>
      <c r="N15" s="478"/>
    </row>
    <row r="16" spans="2:14" ht="30" customHeight="1">
      <c r="B16" s="472"/>
      <c r="C16" s="474"/>
      <c r="D16" s="474"/>
      <c r="E16" s="474"/>
      <c r="F16" s="474"/>
      <c r="G16" s="474"/>
      <c r="H16" s="474"/>
      <c r="I16" s="479"/>
      <c r="J16" s="477"/>
      <c r="K16" s="477"/>
      <c r="L16" s="477"/>
      <c r="M16" s="477"/>
      <c r="N16" s="478"/>
    </row>
    <row r="17" spans="2:14" ht="30" customHeight="1">
      <c r="B17" s="472"/>
      <c r="C17" s="474"/>
      <c r="D17" s="474"/>
      <c r="E17" s="474"/>
      <c r="F17" s="474"/>
      <c r="G17" s="474"/>
      <c r="H17" s="474"/>
      <c r="I17" s="479"/>
      <c r="J17" s="477"/>
      <c r="K17" s="477"/>
      <c r="L17" s="477"/>
      <c r="M17" s="477"/>
      <c r="N17" s="478"/>
    </row>
    <row r="18" spans="2:14" ht="30" customHeight="1">
      <c r="B18" s="472"/>
      <c r="C18" s="474"/>
      <c r="D18" s="474"/>
      <c r="E18" s="474"/>
      <c r="F18" s="474"/>
      <c r="G18" s="474"/>
      <c r="H18" s="474"/>
      <c r="I18" s="479"/>
      <c r="J18" s="477"/>
      <c r="K18" s="477"/>
      <c r="L18" s="477"/>
      <c r="M18" s="477"/>
      <c r="N18" s="478"/>
    </row>
    <row r="19" spans="2:14" ht="30" customHeight="1">
      <c r="B19" s="472"/>
      <c r="C19" s="474"/>
      <c r="D19" s="474"/>
      <c r="E19" s="474"/>
      <c r="F19" s="474"/>
      <c r="G19" s="474"/>
      <c r="H19" s="474"/>
      <c r="I19" s="479"/>
      <c r="J19" s="477"/>
      <c r="K19" s="477"/>
      <c r="L19" s="477"/>
      <c r="M19" s="477"/>
      <c r="N19" s="478"/>
    </row>
    <row r="20" spans="2:14" ht="30" customHeight="1">
      <c r="B20" s="472"/>
      <c r="C20" s="474"/>
      <c r="D20" s="474"/>
      <c r="E20" s="474"/>
      <c r="F20" s="474"/>
      <c r="G20" s="474"/>
      <c r="H20" s="474"/>
      <c r="I20" s="479"/>
      <c r="J20" s="477"/>
      <c r="K20" s="477"/>
      <c r="L20" s="477"/>
      <c r="M20" s="477"/>
      <c r="N20" s="478"/>
    </row>
    <row r="21" spans="2:14" ht="30" customHeight="1">
      <c r="B21" s="472"/>
      <c r="C21" s="474"/>
      <c r="D21" s="474"/>
      <c r="E21" s="474"/>
      <c r="F21" s="474"/>
      <c r="G21" s="474"/>
      <c r="H21" s="474"/>
      <c r="I21" s="479"/>
      <c r="J21" s="477"/>
      <c r="K21" s="477"/>
      <c r="L21" s="477"/>
      <c r="M21" s="477"/>
      <c r="N21" s="478"/>
    </row>
    <row r="22" spans="2:14" ht="30" customHeight="1">
      <c r="B22" s="472"/>
      <c r="C22" s="474"/>
      <c r="D22" s="474"/>
      <c r="E22" s="474"/>
      <c r="F22" s="474"/>
      <c r="G22" s="474"/>
      <c r="H22" s="474"/>
      <c r="I22" s="479"/>
      <c r="J22" s="477"/>
      <c r="K22" s="477"/>
      <c r="L22" s="477"/>
      <c r="M22" s="477"/>
      <c r="N22" s="478"/>
    </row>
    <row r="23" spans="2:14" ht="30" customHeight="1">
      <c r="B23" s="472"/>
      <c r="C23" s="474"/>
      <c r="D23" s="474"/>
      <c r="E23" s="474"/>
      <c r="F23" s="474"/>
      <c r="G23" s="474"/>
      <c r="H23" s="474"/>
      <c r="I23" s="479"/>
      <c r="J23" s="477"/>
      <c r="K23" s="477"/>
      <c r="L23" s="477"/>
      <c r="M23" s="477"/>
      <c r="N23" s="478"/>
    </row>
    <row r="24" spans="2:14" ht="30" customHeight="1">
      <c r="B24" s="472"/>
      <c r="C24" s="474"/>
      <c r="D24" s="474"/>
      <c r="E24" s="474"/>
      <c r="F24" s="474"/>
      <c r="G24" s="474"/>
      <c r="H24" s="474"/>
      <c r="I24" s="479"/>
      <c r="J24" s="477"/>
      <c r="K24" s="477"/>
      <c r="L24" s="477"/>
      <c r="M24" s="477"/>
      <c r="N24" s="478"/>
    </row>
    <row r="25" spans="2:14" ht="30" customHeight="1">
      <c r="B25" s="472"/>
      <c r="C25" s="474"/>
      <c r="D25" s="474"/>
      <c r="E25" s="474"/>
      <c r="F25" s="474"/>
      <c r="G25" s="474"/>
      <c r="H25" s="474"/>
      <c r="I25" s="479"/>
      <c r="J25" s="477"/>
      <c r="K25" s="477"/>
      <c r="L25" s="477"/>
      <c r="M25" s="477"/>
      <c r="N25" s="478"/>
    </row>
    <row r="26" spans="2:14" ht="30" customHeight="1">
      <c r="B26" s="472"/>
      <c r="C26" s="474"/>
      <c r="D26" s="474"/>
      <c r="E26" s="474"/>
      <c r="F26" s="474"/>
      <c r="G26" s="474"/>
      <c r="H26" s="474"/>
      <c r="I26" s="479"/>
      <c r="J26" s="477"/>
      <c r="K26" s="477"/>
      <c r="L26" s="477"/>
      <c r="M26" s="477"/>
      <c r="N26" s="478"/>
    </row>
    <row r="27" spans="2:14" ht="30" customHeight="1">
      <c r="B27" s="472"/>
      <c r="C27" s="474"/>
      <c r="D27" s="474"/>
      <c r="E27" s="474"/>
      <c r="F27" s="474"/>
      <c r="G27" s="474"/>
      <c r="H27" s="474"/>
      <c r="I27" s="479"/>
      <c r="J27" s="477"/>
      <c r="K27" s="477"/>
      <c r="L27" s="477"/>
      <c r="M27" s="477"/>
      <c r="N27" s="478"/>
    </row>
    <row r="28" spans="2:14" ht="30" customHeight="1">
      <c r="B28" s="472"/>
      <c r="C28" s="474"/>
      <c r="D28" s="474"/>
      <c r="E28" s="474"/>
      <c r="F28" s="474"/>
      <c r="G28" s="474"/>
      <c r="H28" s="474"/>
      <c r="I28" s="479"/>
      <c r="J28" s="477"/>
      <c r="K28" s="477"/>
      <c r="L28" s="477"/>
      <c r="M28" s="477"/>
      <c r="N28" s="478"/>
    </row>
    <row r="29" spans="2:14" ht="30" customHeight="1">
      <c r="B29" s="472"/>
      <c r="C29" s="474"/>
      <c r="D29" s="474"/>
      <c r="E29" s="474"/>
      <c r="F29" s="474"/>
      <c r="G29" s="474"/>
      <c r="H29" s="474"/>
      <c r="I29" s="479"/>
      <c r="J29" s="477"/>
      <c r="K29" s="477"/>
      <c r="L29" s="477"/>
      <c r="M29" s="477"/>
      <c r="N29" s="478"/>
    </row>
    <row r="30" spans="2:14" ht="30" customHeight="1">
      <c r="B30" s="472"/>
      <c r="C30" s="474"/>
      <c r="D30" s="474"/>
      <c r="E30" s="474"/>
      <c r="F30" s="474"/>
      <c r="G30" s="474"/>
      <c r="H30" s="474"/>
      <c r="I30" s="479"/>
      <c r="J30" s="477"/>
      <c r="K30" s="477"/>
      <c r="L30" s="477"/>
      <c r="M30" s="477"/>
      <c r="N30" s="478"/>
    </row>
    <row r="31" spans="2:14" ht="30" customHeight="1">
      <c r="B31" s="472"/>
      <c r="C31" s="474"/>
      <c r="D31" s="474"/>
      <c r="E31" s="474"/>
      <c r="F31" s="474"/>
      <c r="G31" s="474"/>
      <c r="H31" s="474"/>
      <c r="I31" s="479"/>
      <c r="J31" s="477"/>
      <c r="K31" s="477"/>
      <c r="L31" s="477"/>
      <c r="M31" s="477"/>
      <c r="N31" s="478"/>
    </row>
    <row r="32" spans="2:14" ht="30" customHeight="1">
      <c r="B32" s="472"/>
      <c r="C32" s="474"/>
      <c r="D32" s="474"/>
      <c r="E32" s="474"/>
      <c r="F32" s="474"/>
      <c r="G32" s="474"/>
      <c r="H32" s="474"/>
      <c r="I32" s="479"/>
      <c r="J32" s="477"/>
      <c r="K32" s="477"/>
      <c r="L32" s="477"/>
      <c r="M32" s="477"/>
      <c r="N32" s="478"/>
    </row>
    <row r="33" spans="2:14" ht="30" customHeight="1">
      <c r="B33" s="472"/>
      <c r="C33" s="474"/>
      <c r="D33" s="474"/>
      <c r="E33" s="474"/>
      <c r="F33" s="474"/>
      <c r="G33" s="474"/>
      <c r="H33" s="474"/>
      <c r="I33" s="479"/>
      <c r="J33" s="477"/>
      <c r="K33" s="477"/>
      <c r="L33" s="477"/>
      <c r="M33" s="477"/>
      <c r="N33" s="478"/>
    </row>
    <row r="34" spans="2:14" ht="30" customHeight="1">
      <c r="B34" s="472"/>
      <c r="C34" s="474"/>
      <c r="D34" s="474"/>
      <c r="E34" s="474"/>
      <c r="F34" s="474"/>
      <c r="G34" s="474"/>
      <c r="H34" s="474"/>
      <c r="I34" s="479"/>
      <c r="J34" s="477"/>
      <c r="K34" s="477"/>
      <c r="L34" s="477"/>
      <c r="M34" s="477"/>
      <c r="N34" s="478"/>
    </row>
    <row r="35" spans="2:14" ht="30" customHeight="1">
      <c r="B35" s="472"/>
      <c r="C35" s="474"/>
      <c r="D35" s="474"/>
      <c r="E35" s="474"/>
      <c r="F35" s="474"/>
      <c r="G35" s="474"/>
      <c r="H35" s="474"/>
      <c r="I35" s="479"/>
      <c r="J35" s="477"/>
      <c r="K35" s="477"/>
      <c r="L35" s="477"/>
      <c r="M35" s="477"/>
      <c r="N35" s="478"/>
    </row>
    <row r="36" spans="2:14" ht="30" customHeight="1" thickBot="1">
      <c r="B36" s="472"/>
      <c r="C36" s="474"/>
      <c r="D36" s="474"/>
      <c r="E36" s="474"/>
      <c r="F36" s="474"/>
      <c r="G36" s="474"/>
      <c r="H36" s="474"/>
      <c r="I36" s="479"/>
      <c r="J36" s="477"/>
      <c r="K36" s="477"/>
      <c r="L36" s="477"/>
      <c r="M36" s="477"/>
      <c r="N36" s="478"/>
    </row>
    <row r="37" spans="2:14" ht="20.25" customHeight="1" thickBot="1">
      <c r="B37" s="610" t="s">
        <v>531</v>
      </c>
      <c r="C37" s="610"/>
      <c r="D37" s="610"/>
      <c r="E37" s="610"/>
      <c r="F37" s="610"/>
      <c r="G37" s="610"/>
      <c r="H37" s="610"/>
      <c r="I37" s="610"/>
      <c r="J37" s="610"/>
      <c r="K37" s="610"/>
      <c r="L37" s="610"/>
      <c r="M37" s="610"/>
      <c r="N37" s="610"/>
    </row>
    <row r="38" spans="2:14" ht="15" customHeight="1" thickBot="1">
      <c r="B38" s="481" t="s">
        <v>532</v>
      </c>
      <c r="C38" s="611" t="s">
        <v>529</v>
      </c>
      <c r="D38" s="612"/>
      <c r="E38" s="612"/>
      <c r="F38" s="612"/>
      <c r="G38" s="612"/>
      <c r="H38" s="482"/>
      <c r="I38" s="611" t="s">
        <v>525</v>
      </c>
      <c r="J38" s="612"/>
      <c r="K38" s="613"/>
      <c r="L38" s="611" t="s">
        <v>533</v>
      </c>
      <c r="M38" s="612"/>
      <c r="N38" s="614"/>
    </row>
    <row r="39" spans="2:14" ht="15" customHeight="1">
      <c r="B39" s="483"/>
      <c r="C39" s="600"/>
      <c r="D39" s="601"/>
      <c r="E39" s="601"/>
      <c r="F39" s="601"/>
      <c r="G39" s="601"/>
      <c r="H39" s="484"/>
      <c r="I39" s="602"/>
      <c r="J39" s="603"/>
      <c r="K39" s="604"/>
      <c r="L39" s="605"/>
      <c r="M39" s="606"/>
      <c r="N39" s="607"/>
    </row>
    <row r="40" spans="2:14" ht="15" customHeight="1">
      <c r="B40" s="485"/>
      <c r="C40" s="615"/>
      <c r="D40" s="616"/>
      <c r="E40" s="616"/>
      <c r="F40" s="616"/>
      <c r="G40" s="616"/>
      <c r="H40" s="486"/>
      <c r="I40" s="617"/>
      <c r="J40" s="618"/>
      <c r="K40" s="619"/>
      <c r="L40" s="620"/>
      <c r="M40" s="621"/>
      <c r="N40" s="622"/>
    </row>
    <row r="41" spans="2:14" ht="15" customHeight="1">
      <c r="B41" s="485"/>
      <c r="C41" s="615"/>
      <c r="D41" s="616"/>
      <c r="E41" s="616"/>
      <c r="F41" s="616"/>
      <c r="G41" s="616"/>
      <c r="H41" s="486"/>
      <c r="I41" s="617"/>
      <c r="J41" s="618"/>
      <c r="K41" s="619"/>
      <c r="L41" s="620"/>
      <c r="M41" s="621"/>
      <c r="N41" s="622"/>
    </row>
    <row r="42" spans="2:14" ht="15" customHeight="1">
      <c r="B42" s="485"/>
      <c r="C42" s="615"/>
      <c r="D42" s="616"/>
      <c r="E42" s="616"/>
      <c r="F42" s="616"/>
      <c r="G42" s="616"/>
      <c r="H42" s="486"/>
      <c r="I42" s="617"/>
      <c r="J42" s="618"/>
      <c r="K42" s="619"/>
      <c r="L42" s="620"/>
      <c r="M42" s="621"/>
      <c r="N42" s="622"/>
    </row>
    <row r="43" spans="2:14" ht="15" customHeight="1">
      <c r="B43" s="485"/>
      <c r="C43" s="615"/>
      <c r="D43" s="616"/>
      <c r="E43" s="616"/>
      <c r="F43" s="616"/>
      <c r="G43" s="616"/>
      <c r="H43" s="486"/>
      <c r="I43" s="617"/>
      <c r="J43" s="618"/>
      <c r="K43" s="619"/>
      <c r="L43" s="620"/>
      <c r="M43" s="621"/>
      <c r="N43" s="622"/>
    </row>
    <row r="44" spans="2:14" ht="15" customHeight="1">
      <c r="B44" s="485"/>
      <c r="C44" s="615"/>
      <c r="D44" s="616"/>
      <c r="E44" s="616"/>
      <c r="F44" s="616"/>
      <c r="G44" s="616"/>
      <c r="H44" s="486"/>
      <c r="I44" s="617"/>
      <c r="J44" s="618"/>
      <c r="K44" s="619"/>
      <c r="L44" s="620"/>
      <c r="M44" s="621"/>
      <c r="N44" s="622"/>
    </row>
    <row r="45" spans="2:14" ht="15" customHeight="1">
      <c r="B45" s="485"/>
      <c r="C45" s="615"/>
      <c r="D45" s="616"/>
      <c r="E45" s="616"/>
      <c r="F45" s="616"/>
      <c r="G45" s="616"/>
      <c r="H45" s="486"/>
      <c r="I45" s="617"/>
      <c r="J45" s="618"/>
      <c r="K45" s="619"/>
      <c r="L45" s="620"/>
      <c r="M45" s="621"/>
      <c r="N45" s="622"/>
    </row>
    <row r="46" spans="2:14" ht="15" customHeight="1">
      <c r="B46" s="485"/>
      <c r="C46" s="615"/>
      <c r="D46" s="616"/>
      <c r="E46" s="616"/>
      <c r="F46" s="616"/>
      <c r="G46" s="616"/>
      <c r="H46" s="486"/>
      <c r="I46" s="617"/>
      <c r="J46" s="618"/>
      <c r="K46" s="619"/>
      <c r="L46" s="620"/>
      <c r="M46" s="621"/>
      <c r="N46" s="622"/>
    </row>
    <row r="47" spans="2:14" ht="15" customHeight="1">
      <c r="B47" s="485"/>
      <c r="C47" s="615"/>
      <c r="D47" s="616"/>
      <c r="E47" s="616"/>
      <c r="F47" s="616"/>
      <c r="G47" s="616"/>
      <c r="H47" s="486"/>
      <c r="I47" s="617"/>
      <c r="J47" s="618"/>
      <c r="K47" s="619"/>
      <c r="L47" s="620"/>
      <c r="M47" s="621"/>
      <c r="N47" s="622"/>
    </row>
    <row r="48" spans="2:14" ht="15" customHeight="1">
      <c r="B48" s="485"/>
      <c r="C48" s="615"/>
      <c r="D48" s="616"/>
      <c r="E48" s="616"/>
      <c r="F48" s="616"/>
      <c r="G48" s="616"/>
      <c r="H48" s="486"/>
      <c r="I48" s="617"/>
      <c r="J48" s="618"/>
      <c r="K48" s="619"/>
      <c r="L48" s="620"/>
      <c r="M48" s="621"/>
      <c r="N48" s="622"/>
    </row>
    <row r="49" spans="2:14" ht="15" customHeight="1">
      <c r="B49" s="485"/>
      <c r="C49" s="615"/>
      <c r="D49" s="616"/>
      <c r="E49" s="616"/>
      <c r="F49" s="616"/>
      <c r="G49" s="616"/>
      <c r="H49" s="486"/>
      <c r="I49" s="617"/>
      <c r="J49" s="618"/>
      <c r="K49" s="619"/>
      <c r="L49" s="620"/>
      <c r="M49" s="621"/>
      <c r="N49" s="622"/>
    </row>
    <row r="50" spans="2:14" ht="15" customHeight="1">
      <c r="B50" s="485"/>
      <c r="C50" s="615"/>
      <c r="D50" s="616"/>
      <c r="E50" s="616"/>
      <c r="F50" s="616"/>
      <c r="G50" s="616"/>
      <c r="H50" s="486"/>
      <c r="I50" s="617"/>
      <c r="J50" s="618"/>
      <c r="K50" s="619"/>
      <c r="L50" s="620"/>
      <c r="M50" s="621"/>
      <c r="N50" s="622"/>
    </row>
  </sheetData>
  <mergeCells count="41">
    <mergeCell ref="C50:G50"/>
    <mergeCell ref="I50:K50"/>
    <mergeCell ref="L50:N50"/>
    <mergeCell ref="C48:G48"/>
    <mergeCell ref="I48:K48"/>
    <mergeCell ref="L48:N48"/>
    <mergeCell ref="C49:G49"/>
    <mergeCell ref="I49:K49"/>
    <mergeCell ref="L49:N49"/>
    <mergeCell ref="C46:G46"/>
    <mergeCell ref="I46:K46"/>
    <mergeCell ref="L46:N46"/>
    <mergeCell ref="C47:G47"/>
    <mergeCell ref="I47:K47"/>
    <mergeCell ref="L47:N47"/>
    <mergeCell ref="C44:G44"/>
    <mergeCell ref="I44:K44"/>
    <mergeCell ref="L44:N44"/>
    <mergeCell ref="C45:G45"/>
    <mergeCell ref="I45:K45"/>
    <mergeCell ref="L45:N45"/>
    <mergeCell ref="C42:G42"/>
    <mergeCell ref="I42:K42"/>
    <mergeCell ref="L42:N42"/>
    <mergeCell ref="C43:G43"/>
    <mergeCell ref="I43:K43"/>
    <mergeCell ref="L43:N43"/>
    <mergeCell ref="C40:G40"/>
    <mergeCell ref="I40:K40"/>
    <mergeCell ref="L40:N40"/>
    <mergeCell ref="C41:G41"/>
    <mergeCell ref="I41:K41"/>
    <mergeCell ref="L41:N41"/>
    <mergeCell ref="C39:G39"/>
    <mergeCell ref="I39:K39"/>
    <mergeCell ref="L39:N39"/>
    <mergeCell ref="B2:G4"/>
    <mergeCell ref="B37:N37"/>
    <mergeCell ref="C38:G38"/>
    <mergeCell ref="I38:K38"/>
    <mergeCell ref="L38:N38"/>
  </mergeCells>
  <printOptions horizontalCentered="1"/>
  <pageMargins left="0" right="0" top="0.5" bottom="0.5" header="0.5" footer="0.5"/>
  <pageSetup scale="53"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1"/>
  <sheetViews>
    <sheetView topLeftCell="A16" workbookViewId="0">
      <selection activeCell="I32" sqref="I32"/>
    </sheetView>
  </sheetViews>
  <sheetFormatPr defaultRowHeight="12.75"/>
  <cols>
    <col min="1" max="1" width="19.7109375" style="104" customWidth="1"/>
    <col min="2" max="7" width="10.7109375" style="104" customWidth="1"/>
    <col min="8" max="256" width="9.140625" style="104"/>
    <col min="257" max="257" width="19.7109375" style="104" customWidth="1"/>
    <col min="258" max="263" width="10.7109375" style="104" customWidth="1"/>
    <col min="264" max="512" width="9.140625" style="104"/>
    <col min="513" max="513" width="19.7109375" style="104" customWidth="1"/>
    <col min="514" max="519" width="10.7109375" style="104" customWidth="1"/>
    <col min="520" max="768" width="9.140625" style="104"/>
    <col min="769" max="769" width="19.7109375" style="104" customWidth="1"/>
    <col min="770" max="775" width="10.7109375" style="104" customWidth="1"/>
    <col min="776" max="1024" width="9.140625" style="104"/>
    <col min="1025" max="1025" width="19.7109375" style="104" customWidth="1"/>
    <col min="1026" max="1031" width="10.7109375" style="104" customWidth="1"/>
    <col min="1032" max="1280" width="9.140625" style="104"/>
    <col min="1281" max="1281" width="19.7109375" style="104" customWidth="1"/>
    <col min="1282" max="1287" width="10.7109375" style="104" customWidth="1"/>
    <col min="1288" max="1536" width="9.140625" style="104"/>
    <col min="1537" max="1537" width="19.7109375" style="104" customWidth="1"/>
    <col min="1538" max="1543" width="10.7109375" style="104" customWidth="1"/>
    <col min="1544" max="1792" width="9.140625" style="104"/>
    <col min="1793" max="1793" width="19.7109375" style="104" customWidth="1"/>
    <col min="1794" max="1799" width="10.7109375" style="104" customWidth="1"/>
    <col min="1800" max="2048" width="9.140625" style="104"/>
    <col min="2049" max="2049" width="19.7109375" style="104" customWidth="1"/>
    <col min="2050" max="2055" width="10.7109375" style="104" customWidth="1"/>
    <col min="2056" max="2304" width="9.140625" style="104"/>
    <col min="2305" max="2305" width="19.7109375" style="104" customWidth="1"/>
    <col min="2306" max="2311" width="10.7109375" style="104" customWidth="1"/>
    <col min="2312" max="2560" width="9.140625" style="104"/>
    <col min="2561" max="2561" width="19.7109375" style="104" customWidth="1"/>
    <col min="2562" max="2567" width="10.7109375" style="104" customWidth="1"/>
    <col min="2568" max="2816" width="9.140625" style="104"/>
    <col min="2817" max="2817" width="19.7109375" style="104" customWidth="1"/>
    <col min="2818" max="2823" width="10.7109375" style="104" customWidth="1"/>
    <col min="2824" max="3072" width="9.140625" style="104"/>
    <col min="3073" max="3073" width="19.7109375" style="104" customWidth="1"/>
    <col min="3074" max="3079" width="10.7109375" style="104" customWidth="1"/>
    <col min="3080" max="3328" width="9.140625" style="104"/>
    <col min="3329" max="3329" width="19.7109375" style="104" customWidth="1"/>
    <col min="3330" max="3335" width="10.7109375" style="104" customWidth="1"/>
    <col min="3336" max="3584" width="9.140625" style="104"/>
    <col min="3585" max="3585" width="19.7109375" style="104" customWidth="1"/>
    <col min="3586" max="3591" width="10.7109375" style="104" customWidth="1"/>
    <col min="3592" max="3840" width="9.140625" style="104"/>
    <col min="3841" max="3841" width="19.7109375" style="104" customWidth="1"/>
    <col min="3842" max="3847" width="10.7109375" style="104" customWidth="1"/>
    <col min="3848" max="4096" width="9.140625" style="104"/>
    <col min="4097" max="4097" width="19.7109375" style="104" customWidth="1"/>
    <col min="4098" max="4103" width="10.7109375" style="104" customWidth="1"/>
    <col min="4104" max="4352" width="9.140625" style="104"/>
    <col min="4353" max="4353" width="19.7109375" style="104" customWidth="1"/>
    <col min="4354" max="4359" width="10.7109375" style="104" customWidth="1"/>
    <col min="4360" max="4608" width="9.140625" style="104"/>
    <col min="4609" max="4609" width="19.7109375" style="104" customWidth="1"/>
    <col min="4610" max="4615" width="10.7109375" style="104" customWidth="1"/>
    <col min="4616" max="4864" width="9.140625" style="104"/>
    <col min="4865" max="4865" width="19.7109375" style="104" customWidth="1"/>
    <col min="4866" max="4871" width="10.7109375" style="104" customWidth="1"/>
    <col min="4872" max="5120" width="9.140625" style="104"/>
    <col min="5121" max="5121" width="19.7109375" style="104" customWidth="1"/>
    <col min="5122" max="5127" width="10.7109375" style="104" customWidth="1"/>
    <col min="5128" max="5376" width="9.140625" style="104"/>
    <col min="5377" max="5377" width="19.7109375" style="104" customWidth="1"/>
    <col min="5378" max="5383" width="10.7109375" style="104" customWidth="1"/>
    <col min="5384" max="5632" width="9.140625" style="104"/>
    <col min="5633" max="5633" width="19.7109375" style="104" customWidth="1"/>
    <col min="5634" max="5639" width="10.7109375" style="104" customWidth="1"/>
    <col min="5640" max="5888" width="9.140625" style="104"/>
    <col min="5889" max="5889" width="19.7109375" style="104" customWidth="1"/>
    <col min="5890" max="5895" width="10.7109375" style="104" customWidth="1"/>
    <col min="5896" max="6144" width="9.140625" style="104"/>
    <col min="6145" max="6145" width="19.7109375" style="104" customWidth="1"/>
    <col min="6146" max="6151" width="10.7109375" style="104" customWidth="1"/>
    <col min="6152" max="6400" width="9.140625" style="104"/>
    <col min="6401" max="6401" width="19.7109375" style="104" customWidth="1"/>
    <col min="6402" max="6407" width="10.7109375" style="104" customWidth="1"/>
    <col min="6408" max="6656" width="9.140625" style="104"/>
    <col min="6657" max="6657" width="19.7109375" style="104" customWidth="1"/>
    <col min="6658" max="6663" width="10.7109375" style="104" customWidth="1"/>
    <col min="6664" max="6912" width="9.140625" style="104"/>
    <col min="6913" max="6913" width="19.7109375" style="104" customWidth="1"/>
    <col min="6914" max="6919" width="10.7109375" style="104" customWidth="1"/>
    <col min="6920" max="7168" width="9.140625" style="104"/>
    <col min="7169" max="7169" width="19.7109375" style="104" customWidth="1"/>
    <col min="7170" max="7175" width="10.7109375" style="104" customWidth="1"/>
    <col min="7176" max="7424" width="9.140625" style="104"/>
    <col min="7425" max="7425" width="19.7109375" style="104" customWidth="1"/>
    <col min="7426" max="7431" width="10.7109375" style="104" customWidth="1"/>
    <col min="7432" max="7680" width="9.140625" style="104"/>
    <col min="7681" max="7681" width="19.7109375" style="104" customWidth="1"/>
    <col min="7682" max="7687" width="10.7109375" style="104" customWidth="1"/>
    <col min="7688" max="7936" width="9.140625" style="104"/>
    <col min="7937" max="7937" width="19.7109375" style="104" customWidth="1"/>
    <col min="7938" max="7943" width="10.7109375" style="104" customWidth="1"/>
    <col min="7944" max="8192" width="9.140625" style="104"/>
    <col min="8193" max="8193" width="19.7109375" style="104" customWidth="1"/>
    <col min="8194" max="8199" width="10.7109375" style="104" customWidth="1"/>
    <col min="8200" max="8448" width="9.140625" style="104"/>
    <col min="8449" max="8449" width="19.7109375" style="104" customWidth="1"/>
    <col min="8450" max="8455" width="10.7109375" style="104" customWidth="1"/>
    <col min="8456" max="8704" width="9.140625" style="104"/>
    <col min="8705" max="8705" width="19.7109375" style="104" customWidth="1"/>
    <col min="8706" max="8711" width="10.7109375" style="104" customWidth="1"/>
    <col min="8712" max="8960" width="9.140625" style="104"/>
    <col min="8961" max="8961" width="19.7109375" style="104" customWidth="1"/>
    <col min="8962" max="8967" width="10.7109375" style="104" customWidth="1"/>
    <col min="8968" max="9216" width="9.140625" style="104"/>
    <col min="9217" max="9217" width="19.7109375" style="104" customWidth="1"/>
    <col min="9218" max="9223" width="10.7109375" style="104" customWidth="1"/>
    <col min="9224" max="9472" width="9.140625" style="104"/>
    <col min="9473" max="9473" width="19.7109375" style="104" customWidth="1"/>
    <col min="9474" max="9479" width="10.7109375" style="104" customWidth="1"/>
    <col min="9480" max="9728" width="9.140625" style="104"/>
    <col min="9729" max="9729" width="19.7109375" style="104" customWidth="1"/>
    <col min="9730" max="9735" width="10.7109375" style="104" customWidth="1"/>
    <col min="9736" max="9984" width="9.140625" style="104"/>
    <col min="9985" max="9985" width="19.7109375" style="104" customWidth="1"/>
    <col min="9986" max="9991" width="10.7109375" style="104" customWidth="1"/>
    <col min="9992" max="10240" width="9.140625" style="104"/>
    <col min="10241" max="10241" width="19.7109375" style="104" customWidth="1"/>
    <col min="10242" max="10247" width="10.7109375" style="104" customWidth="1"/>
    <col min="10248" max="10496" width="9.140625" style="104"/>
    <col min="10497" max="10497" width="19.7109375" style="104" customWidth="1"/>
    <col min="10498" max="10503" width="10.7109375" style="104" customWidth="1"/>
    <col min="10504" max="10752" width="9.140625" style="104"/>
    <col min="10753" max="10753" width="19.7109375" style="104" customWidth="1"/>
    <col min="10754" max="10759" width="10.7109375" style="104" customWidth="1"/>
    <col min="10760" max="11008" width="9.140625" style="104"/>
    <col min="11009" max="11009" width="19.7109375" style="104" customWidth="1"/>
    <col min="11010" max="11015" width="10.7109375" style="104" customWidth="1"/>
    <col min="11016" max="11264" width="9.140625" style="104"/>
    <col min="11265" max="11265" width="19.7109375" style="104" customWidth="1"/>
    <col min="11266" max="11271" width="10.7109375" style="104" customWidth="1"/>
    <col min="11272" max="11520" width="9.140625" style="104"/>
    <col min="11521" max="11521" width="19.7109375" style="104" customWidth="1"/>
    <col min="11522" max="11527" width="10.7109375" style="104" customWidth="1"/>
    <col min="11528" max="11776" width="9.140625" style="104"/>
    <col min="11777" max="11777" width="19.7109375" style="104" customWidth="1"/>
    <col min="11778" max="11783" width="10.7109375" style="104" customWidth="1"/>
    <col min="11784" max="12032" width="9.140625" style="104"/>
    <col min="12033" max="12033" width="19.7109375" style="104" customWidth="1"/>
    <col min="12034" max="12039" width="10.7109375" style="104" customWidth="1"/>
    <col min="12040" max="12288" width="9.140625" style="104"/>
    <col min="12289" max="12289" width="19.7109375" style="104" customWidth="1"/>
    <col min="12290" max="12295" width="10.7109375" style="104" customWidth="1"/>
    <col min="12296" max="12544" width="9.140625" style="104"/>
    <col min="12545" max="12545" width="19.7109375" style="104" customWidth="1"/>
    <col min="12546" max="12551" width="10.7109375" style="104" customWidth="1"/>
    <col min="12552" max="12800" width="9.140625" style="104"/>
    <col min="12801" max="12801" width="19.7109375" style="104" customWidth="1"/>
    <col min="12802" max="12807" width="10.7109375" style="104" customWidth="1"/>
    <col min="12808" max="13056" width="9.140625" style="104"/>
    <col min="13057" max="13057" width="19.7109375" style="104" customWidth="1"/>
    <col min="13058" max="13063" width="10.7109375" style="104" customWidth="1"/>
    <col min="13064" max="13312" width="9.140625" style="104"/>
    <col min="13313" max="13313" width="19.7109375" style="104" customWidth="1"/>
    <col min="13314" max="13319" width="10.7109375" style="104" customWidth="1"/>
    <col min="13320" max="13568" width="9.140625" style="104"/>
    <col min="13569" max="13569" width="19.7109375" style="104" customWidth="1"/>
    <col min="13570" max="13575" width="10.7109375" style="104" customWidth="1"/>
    <col min="13576" max="13824" width="9.140625" style="104"/>
    <col min="13825" max="13825" width="19.7109375" style="104" customWidth="1"/>
    <col min="13826" max="13831" width="10.7109375" style="104" customWidth="1"/>
    <col min="13832" max="14080" width="9.140625" style="104"/>
    <col min="14081" max="14081" width="19.7109375" style="104" customWidth="1"/>
    <col min="14082" max="14087" width="10.7109375" style="104" customWidth="1"/>
    <col min="14088" max="14336" width="9.140625" style="104"/>
    <col min="14337" max="14337" width="19.7109375" style="104" customWidth="1"/>
    <col min="14338" max="14343" width="10.7109375" style="104" customWidth="1"/>
    <col min="14344" max="14592" width="9.140625" style="104"/>
    <col min="14593" max="14593" width="19.7109375" style="104" customWidth="1"/>
    <col min="14594" max="14599" width="10.7109375" style="104" customWidth="1"/>
    <col min="14600" max="14848" width="9.140625" style="104"/>
    <col min="14849" max="14849" width="19.7109375" style="104" customWidth="1"/>
    <col min="14850" max="14855" width="10.7109375" style="104" customWidth="1"/>
    <col min="14856" max="15104" width="9.140625" style="104"/>
    <col min="15105" max="15105" width="19.7109375" style="104" customWidth="1"/>
    <col min="15106" max="15111" width="10.7109375" style="104" customWidth="1"/>
    <col min="15112" max="15360" width="9.140625" style="104"/>
    <col min="15361" max="15361" width="19.7109375" style="104" customWidth="1"/>
    <col min="15362" max="15367" width="10.7109375" style="104" customWidth="1"/>
    <col min="15368" max="15616" width="9.140625" style="104"/>
    <col min="15617" max="15617" width="19.7109375" style="104" customWidth="1"/>
    <col min="15618" max="15623" width="10.7109375" style="104" customWidth="1"/>
    <col min="15624" max="15872" width="9.140625" style="104"/>
    <col min="15873" max="15873" width="19.7109375" style="104" customWidth="1"/>
    <col min="15874" max="15879" width="10.7109375" style="104" customWidth="1"/>
    <col min="15880" max="16128" width="9.140625" style="104"/>
    <col min="16129" max="16129" width="19.7109375" style="104" customWidth="1"/>
    <col min="16130" max="16135" width="10.7109375" style="104" customWidth="1"/>
    <col min="16136" max="16384" width="9.140625" style="104"/>
  </cols>
  <sheetData>
    <row r="1" spans="1:12" ht="21" customHeight="1">
      <c r="A1" s="504" t="s">
        <v>562</v>
      </c>
      <c r="B1" s="632" t="s">
        <v>638</v>
      </c>
      <c r="C1" s="632"/>
      <c r="D1" s="632"/>
      <c r="E1" s="632"/>
      <c r="F1" s="632"/>
      <c r="G1" s="632"/>
    </row>
    <row r="2" spans="1:12" ht="15" customHeight="1"/>
    <row r="3" spans="1:12" ht="20.25">
      <c r="A3" s="505" t="s">
        <v>563</v>
      </c>
    </row>
    <row r="4" spans="1:12" ht="12" customHeight="1">
      <c r="A4" s="487"/>
      <c r="B4" s="487"/>
      <c r="C4" s="487"/>
      <c r="D4" s="487" t="s">
        <v>639</v>
      </c>
      <c r="E4" s="487"/>
      <c r="F4" s="487"/>
      <c r="G4" s="487"/>
      <c r="H4" s="487"/>
      <c r="I4" s="487"/>
      <c r="J4" s="487"/>
      <c r="K4" s="487"/>
      <c r="L4" s="487"/>
    </row>
    <row r="5" spans="1:12" ht="15.6" customHeight="1">
      <c r="A5" s="506" t="s">
        <v>152</v>
      </c>
      <c r="B5" s="506" t="s">
        <v>564</v>
      </c>
      <c r="C5" s="506" t="s">
        <v>565</v>
      </c>
      <c r="D5" s="506" t="s">
        <v>566</v>
      </c>
      <c r="E5" s="506" t="s">
        <v>567</v>
      </c>
      <c r="F5" s="506" t="s">
        <v>568</v>
      </c>
      <c r="G5" s="506" t="s">
        <v>569</v>
      </c>
      <c r="H5" s="487"/>
      <c r="I5" s="487"/>
      <c r="J5" s="487"/>
      <c r="K5" s="487"/>
      <c r="L5" s="487"/>
    </row>
    <row r="6" spans="1:12" ht="15.6" customHeight="1">
      <c r="A6" s="507" t="s">
        <v>570</v>
      </c>
      <c r="B6" s="507" t="s">
        <v>409</v>
      </c>
      <c r="C6" s="507" t="s">
        <v>409</v>
      </c>
      <c r="D6" s="507" t="s">
        <v>571</v>
      </c>
      <c r="E6" s="507" t="s">
        <v>153</v>
      </c>
      <c r="F6" s="507" t="s">
        <v>572</v>
      </c>
      <c r="G6" s="507" t="s">
        <v>572</v>
      </c>
      <c r="H6" s="487"/>
      <c r="I6" s="487"/>
      <c r="J6" s="487"/>
      <c r="K6" s="487"/>
      <c r="L6" s="487"/>
    </row>
    <row r="7" spans="1:12" ht="15.95" customHeight="1">
      <c r="A7" s="519" t="s">
        <v>573</v>
      </c>
      <c r="B7" s="519" t="s">
        <v>640</v>
      </c>
      <c r="C7" s="519" t="s">
        <v>574</v>
      </c>
      <c r="D7" s="519" t="s">
        <v>641</v>
      </c>
      <c r="E7" s="519" t="s">
        <v>642</v>
      </c>
      <c r="F7" s="519" t="s">
        <v>643</v>
      </c>
      <c r="G7" s="519" t="s">
        <v>644</v>
      </c>
      <c r="H7" s="487"/>
      <c r="I7" s="487"/>
      <c r="J7" s="487"/>
      <c r="K7" s="487"/>
      <c r="L7" s="487"/>
    </row>
    <row r="8" spans="1:12" ht="15.95" customHeight="1">
      <c r="A8" s="519" t="s">
        <v>575</v>
      </c>
      <c r="B8" s="519" t="s">
        <v>645</v>
      </c>
      <c r="C8" s="519" t="s">
        <v>576</v>
      </c>
      <c r="D8" s="519" t="s">
        <v>646</v>
      </c>
      <c r="E8" s="519" t="s">
        <v>647</v>
      </c>
      <c r="F8" s="519" t="s">
        <v>648</v>
      </c>
      <c r="G8" s="519" t="s">
        <v>649</v>
      </c>
      <c r="H8" s="487"/>
      <c r="I8" s="487"/>
      <c r="J8" s="487"/>
      <c r="K8" s="487"/>
      <c r="L8" s="487"/>
    </row>
    <row r="9" spans="1:12" ht="15.95" customHeight="1">
      <c r="A9" s="519" t="s">
        <v>577</v>
      </c>
      <c r="B9" s="519" t="s">
        <v>650</v>
      </c>
      <c r="C9" s="519" t="s">
        <v>578</v>
      </c>
      <c r="D9" s="519" t="s">
        <v>651</v>
      </c>
      <c r="E9" s="519" t="s">
        <v>652</v>
      </c>
      <c r="F9" s="519" t="s">
        <v>653</v>
      </c>
      <c r="G9" s="519" t="s">
        <v>654</v>
      </c>
      <c r="H9" s="487"/>
      <c r="I9" s="487"/>
      <c r="J9" s="487"/>
      <c r="K9" s="487"/>
      <c r="L9" s="487"/>
    </row>
    <row r="10" spans="1:12" ht="15.95" customHeight="1">
      <c r="A10" s="519" t="s">
        <v>579</v>
      </c>
      <c r="B10" s="519" t="s">
        <v>655</v>
      </c>
      <c r="C10" s="519" t="s">
        <v>578</v>
      </c>
      <c r="D10" s="519" t="s">
        <v>656</v>
      </c>
      <c r="E10" s="519" t="s">
        <v>657</v>
      </c>
      <c r="F10" s="519" t="s">
        <v>658</v>
      </c>
      <c r="G10" s="519" t="s">
        <v>659</v>
      </c>
      <c r="H10" s="487"/>
      <c r="I10" s="487"/>
      <c r="J10" s="487"/>
      <c r="K10" s="487"/>
      <c r="L10" s="487"/>
    </row>
    <row r="11" spans="1:12" ht="15.95" customHeight="1">
      <c r="A11" s="519" t="s">
        <v>580</v>
      </c>
      <c r="B11" s="519" t="s">
        <v>660</v>
      </c>
      <c r="C11" s="519" t="s">
        <v>581</v>
      </c>
      <c r="D11" s="519" t="s">
        <v>661</v>
      </c>
      <c r="E11" s="519" t="s">
        <v>662</v>
      </c>
      <c r="F11" s="519" t="s">
        <v>663</v>
      </c>
      <c r="G11" s="519" t="s">
        <v>664</v>
      </c>
      <c r="H11" s="487"/>
      <c r="I11" s="487"/>
      <c r="J11" s="487"/>
      <c r="K11" s="487"/>
      <c r="L11" s="487"/>
    </row>
    <row r="12" spans="1:12" ht="15.95" customHeight="1">
      <c r="A12" s="519" t="s">
        <v>582</v>
      </c>
      <c r="B12" s="519" t="s">
        <v>665</v>
      </c>
      <c r="C12" s="519" t="s">
        <v>583</v>
      </c>
      <c r="D12" s="519" t="s">
        <v>666</v>
      </c>
      <c r="E12" s="519" t="s">
        <v>667</v>
      </c>
      <c r="F12" s="519" t="s">
        <v>668</v>
      </c>
      <c r="G12" s="519" t="s">
        <v>669</v>
      </c>
      <c r="H12" s="487"/>
      <c r="I12" s="487"/>
      <c r="J12" s="487"/>
      <c r="K12" s="487"/>
      <c r="L12" s="487"/>
    </row>
    <row r="13" spans="1:12" ht="15.95" customHeight="1">
      <c r="A13" s="519" t="s">
        <v>584</v>
      </c>
      <c r="B13" s="519" t="s">
        <v>670</v>
      </c>
      <c r="C13" s="519" t="s">
        <v>585</v>
      </c>
      <c r="D13" s="519" t="s">
        <v>671</v>
      </c>
      <c r="E13" s="519" t="s">
        <v>672</v>
      </c>
      <c r="F13" s="519" t="s">
        <v>593</v>
      </c>
      <c r="G13" s="519" t="s">
        <v>673</v>
      </c>
      <c r="H13" s="487"/>
      <c r="I13" s="487"/>
      <c r="J13" s="487"/>
      <c r="K13" s="487"/>
      <c r="L13" s="487"/>
    </row>
    <row r="14" spans="1:12" ht="15.95" customHeight="1">
      <c r="A14" s="519" t="s">
        <v>586</v>
      </c>
      <c r="B14" s="519" t="s">
        <v>674</v>
      </c>
      <c r="C14" s="519" t="s">
        <v>587</v>
      </c>
      <c r="D14" s="519" t="s">
        <v>675</v>
      </c>
      <c r="E14" s="519" t="s">
        <v>676</v>
      </c>
      <c r="F14" s="519" t="s">
        <v>677</v>
      </c>
      <c r="G14" s="519" t="s">
        <v>678</v>
      </c>
      <c r="H14" s="487"/>
      <c r="I14" s="487"/>
      <c r="J14" s="487"/>
      <c r="K14" s="487"/>
      <c r="L14" s="487"/>
    </row>
    <row r="15" spans="1:12" ht="15.95" customHeight="1">
      <c r="A15" s="519" t="s">
        <v>588</v>
      </c>
      <c r="B15" s="519" t="s">
        <v>679</v>
      </c>
      <c r="C15" s="519" t="s">
        <v>589</v>
      </c>
      <c r="D15" s="519" t="s">
        <v>680</v>
      </c>
      <c r="E15" s="519" t="s">
        <v>681</v>
      </c>
      <c r="F15" s="519" t="s">
        <v>682</v>
      </c>
      <c r="G15" s="519" t="s">
        <v>683</v>
      </c>
      <c r="H15" s="487"/>
      <c r="I15" s="487"/>
      <c r="J15" s="487"/>
      <c r="K15" s="487"/>
      <c r="L15" s="487"/>
    </row>
    <row r="16" spans="1:12" ht="15.95" customHeight="1">
      <c r="A16" s="519" t="s">
        <v>590</v>
      </c>
      <c r="B16" s="519" t="s">
        <v>684</v>
      </c>
      <c r="C16" s="519" t="s">
        <v>591</v>
      </c>
      <c r="D16" s="519" t="s">
        <v>685</v>
      </c>
      <c r="E16" s="519" t="s">
        <v>686</v>
      </c>
      <c r="F16" s="519" t="s">
        <v>687</v>
      </c>
      <c r="G16" s="519" t="s">
        <v>688</v>
      </c>
      <c r="H16" s="487"/>
      <c r="I16" s="487"/>
      <c r="J16" s="487"/>
      <c r="K16" s="487"/>
      <c r="L16" s="487"/>
    </row>
    <row r="17" spans="1:12" ht="15.95" customHeight="1">
      <c r="A17" s="519" t="s">
        <v>592</v>
      </c>
      <c r="B17" s="519" t="s">
        <v>689</v>
      </c>
      <c r="C17" s="519" t="s">
        <v>594</v>
      </c>
      <c r="D17" s="519" t="s">
        <v>690</v>
      </c>
      <c r="E17" s="519" t="s">
        <v>691</v>
      </c>
      <c r="F17" s="519" t="s">
        <v>692</v>
      </c>
      <c r="G17" s="519" t="s">
        <v>693</v>
      </c>
      <c r="H17" s="487"/>
      <c r="I17" s="487"/>
      <c r="J17" s="487"/>
      <c r="K17" s="487"/>
      <c r="L17" s="487"/>
    </row>
    <row r="18" spans="1:12" ht="15.95" customHeight="1">
      <c r="A18" s="519" t="s">
        <v>694</v>
      </c>
      <c r="B18" s="519" t="s">
        <v>695</v>
      </c>
      <c r="C18" s="519" t="s">
        <v>595</v>
      </c>
      <c r="D18" s="519" t="s">
        <v>696</v>
      </c>
      <c r="E18" s="519" t="s">
        <v>697</v>
      </c>
      <c r="F18" s="519" t="s">
        <v>698</v>
      </c>
      <c r="G18" s="519" t="s">
        <v>699</v>
      </c>
      <c r="H18" s="487"/>
      <c r="I18" s="487"/>
      <c r="J18" s="487"/>
      <c r="K18" s="487"/>
      <c r="L18" s="487"/>
    </row>
    <row r="19" spans="1:12" ht="15.95" customHeight="1">
      <c r="A19" s="508" t="s">
        <v>542</v>
      </c>
      <c r="B19" s="508" t="s">
        <v>542</v>
      </c>
      <c r="C19" s="508" t="s">
        <v>542</v>
      </c>
      <c r="D19" s="508" t="s">
        <v>542</v>
      </c>
      <c r="E19" s="508" t="s">
        <v>542</v>
      </c>
      <c r="F19" s="508" t="s">
        <v>542</v>
      </c>
      <c r="G19" s="508" t="s">
        <v>542</v>
      </c>
      <c r="H19" s="487"/>
      <c r="I19" s="487"/>
      <c r="J19" s="487"/>
      <c r="K19" s="487"/>
      <c r="L19" s="487"/>
    </row>
    <row r="20" spans="1:12" ht="15.75">
      <c r="A20" s="487"/>
      <c r="B20" s="487"/>
      <c r="C20" s="487"/>
      <c r="D20" s="487"/>
      <c r="E20" s="487"/>
      <c r="F20" s="487"/>
      <c r="G20" s="487"/>
      <c r="H20" s="487"/>
      <c r="I20" s="487"/>
      <c r="J20" s="487"/>
      <c r="K20" s="487"/>
      <c r="L20" s="487"/>
    </row>
    <row r="21" spans="1:12" ht="15.75">
      <c r="A21" s="487"/>
      <c r="B21" s="487"/>
      <c r="C21" s="487"/>
      <c r="D21" s="633" t="s">
        <v>700</v>
      </c>
      <c r="E21" s="629"/>
      <c r="F21" s="629"/>
      <c r="G21" s="630"/>
      <c r="H21" s="487"/>
      <c r="I21" s="487"/>
      <c r="J21" s="487"/>
      <c r="K21" s="487"/>
      <c r="L21" s="487"/>
    </row>
    <row r="22" spans="1:12" ht="17.25" customHeight="1">
      <c r="A22" s="487"/>
      <c r="B22" s="631" t="s">
        <v>596</v>
      </c>
      <c r="C22" s="631"/>
      <c r="D22" s="631" t="s">
        <v>597</v>
      </c>
      <c r="E22" s="631"/>
      <c r="F22" s="631" t="s">
        <v>598</v>
      </c>
      <c r="G22" s="631"/>
      <c r="H22" s="487"/>
      <c r="I22" s="487"/>
      <c r="J22" s="487"/>
      <c r="K22" s="487"/>
      <c r="L22" s="487"/>
    </row>
    <row r="23" spans="1:12" ht="15.75">
      <c r="A23" s="509" t="s">
        <v>599</v>
      </c>
      <c r="B23" s="627" t="s">
        <v>701</v>
      </c>
      <c r="C23" s="627"/>
      <c r="D23" s="627" t="s">
        <v>702</v>
      </c>
      <c r="E23" s="627"/>
      <c r="F23" s="627" t="s">
        <v>703</v>
      </c>
      <c r="G23" s="627"/>
      <c r="H23" s="487"/>
      <c r="I23" s="487"/>
      <c r="J23" s="487"/>
      <c r="K23" s="487"/>
      <c r="L23" s="487"/>
    </row>
    <row r="24" spans="1:12" ht="18" customHeight="1">
      <c r="A24" s="509" t="s">
        <v>600</v>
      </c>
      <c r="B24" s="627" t="s">
        <v>704</v>
      </c>
      <c r="C24" s="627"/>
      <c r="D24" s="627" t="s">
        <v>613</v>
      </c>
      <c r="E24" s="627"/>
      <c r="F24" s="627" t="s">
        <v>705</v>
      </c>
      <c r="G24" s="627"/>
      <c r="H24" s="487"/>
      <c r="I24" s="487"/>
      <c r="J24" s="487"/>
      <c r="K24" s="487"/>
      <c r="L24" s="487"/>
    </row>
    <row r="25" spans="1:12" ht="15.75">
      <c r="A25" s="509" t="s">
        <v>601</v>
      </c>
      <c r="B25" s="627" t="s">
        <v>706</v>
      </c>
      <c r="C25" s="627"/>
      <c r="D25" s="627" t="s">
        <v>707</v>
      </c>
      <c r="E25" s="627"/>
      <c r="F25" s="627" t="s">
        <v>708</v>
      </c>
      <c r="G25" s="627"/>
      <c r="H25" s="487"/>
      <c r="I25" s="487"/>
      <c r="J25" s="487"/>
      <c r="K25" s="487"/>
      <c r="L25" s="487"/>
    </row>
    <row r="26" spans="1:12" ht="15.75">
      <c r="A26" s="487"/>
      <c r="B26" s="487"/>
      <c r="C26" s="487"/>
      <c r="D26" s="487"/>
      <c r="E26" s="487"/>
      <c r="F26" s="487"/>
      <c r="G26" s="487"/>
      <c r="H26" s="487"/>
      <c r="I26" s="487"/>
      <c r="J26" s="487"/>
      <c r="K26" s="487"/>
      <c r="L26" s="487"/>
    </row>
    <row r="27" spans="1:12" ht="20.25">
      <c r="A27" s="505" t="s">
        <v>602</v>
      </c>
      <c r="B27" s="487"/>
      <c r="C27" s="487"/>
      <c r="D27" s="487"/>
      <c r="E27" s="487"/>
      <c r="F27" s="487"/>
      <c r="G27" s="487"/>
      <c r="H27" s="487"/>
      <c r="I27" s="487"/>
      <c r="J27" s="487"/>
      <c r="K27" s="487"/>
      <c r="L27" s="487"/>
    </row>
    <row r="28" spans="1:12" ht="15.75">
      <c r="A28" s="487"/>
      <c r="B28" s="487"/>
      <c r="C28" s="487"/>
      <c r="D28" s="487"/>
      <c r="E28" s="628" t="s">
        <v>603</v>
      </c>
      <c r="F28" s="629"/>
      <c r="G28" s="630"/>
      <c r="H28" s="487"/>
      <c r="I28" s="487"/>
      <c r="J28" s="487"/>
      <c r="K28" s="487"/>
      <c r="L28" s="487"/>
    </row>
    <row r="29" spans="1:12" ht="15.75">
      <c r="A29" s="487"/>
      <c r="B29" s="631" t="s">
        <v>604</v>
      </c>
      <c r="C29" s="631"/>
      <c r="D29" s="520" t="s">
        <v>605</v>
      </c>
      <c r="E29" s="520" t="s">
        <v>606</v>
      </c>
      <c r="F29" s="631" t="s">
        <v>607</v>
      </c>
      <c r="G29" s="631"/>
      <c r="H29" s="487"/>
      <c r="I29" s="487"/>
      <c r="J29" s="487"/>
      <c r="K29" s="487"/>
      <c r="L29" s="487"/>
    </row>
    <row r="30" spans="1:12" ht="15.75">
      <c r="A30" s="509" t="s">
        <v>608</v>
      </c>
      <c r="B30" s="627" t="s">
        <v>709</v>
      </c>
      <c r="C30" s="627"/>
      <c r="D30" s="519" t="s">
        <v>710</v>
      </c>
      <c r="E30" s="519" t="s">
        <v>609</v>
      </c>
      <c r="F30" s="627" t="s">
        <v>711</v>
      </c>
      <c r="G30" s="627"/>
      <c r="H30" s="487"/>
      <c r="I30" s="487"/>
      <c r="J30" s="487"/>
      <c r="K30" s="487"/>
      <c r="L30" s="487"/>
    </row>
    <row r="31" spans="1:12" ht="15.75">
      <c r="A31" s="509" t="s">
        <v>610</v>
      </c>
      <c r="B31" s="627" t="s">
        <v>712</v>
      </c>
      <c r="C31" s="627"/>
      <c r="D31" s="519" t="s">
        <v>713</v>
      </c>
      <c r="E31" s="519" t="s">
        <v>611</v>
      </c>
      <c r="F31" s="627" t="s">
        <v>714</v>
      </c>
      <c r="G31" s="627"/>
      <c r="H31" s="487"/>
      <c r="I31" s="487"/>
      <c r="J31" s="487"/>
      <c r="K31" s="487"/>
      <c r="L31" s="487"/>
    </row>
    <row r="32" spans="1:12" ht="15.75">
      <c r="A32" s="509" t="s">
        <v>612</v>
      </c>
      <c r="B32" s="627" t="s">
        <v>715</v>
      </c>
      <c r="C32" s="627"/>
      <c r="D32" s="519" t="s">
        <v>716</v>
      </c>
      <c r="E32" s="519" t="s">
        <v>613</v>
      </c>
      <c r="F32" s="627" t="s">
        <v>717</v>
      </c>
      <c r="G32" s="627"/>
      <c r="H32" s="487"/>
      <c r="I32" s="487"/>
      <c r="J32" s="487"/>
      <c r="K32" s="487"/>
      <c r="L32" s="487"/>
    </row>
    <row r="33" spans="1:12" ht="15.75">
      <c r="A33" s="487"/>
      <c r="B33" s="487"/>
      <c r="C33" s="487"/>
      <c r="D33" s="487"/>
      <c r="E33" s="487"/>
      <c r="F33" s="487"/>
      <c r="G33" s="487"/>
      <c r="H33" s="487"/>
      <c r="I33" s="487"/>
      <c r="J33" s="487"/>
      <c r="K33" s="487"/>
      <c r="L33" s="487"/>
    </row>
    <row r="34" spans="1:12" ht="15.75">
      <c r="A34" s="487"/>
      <c r="B34" s="487"/>
      <c r="C34" s="487"/>
      <c r="D34" s="487"/>
      <c r="E34" s="628" t="s">
        <v>614</v>
      </c>
      <c r="F34" s="629"/>
      <c r="G34" s="630"/>
      <c r="H34" s="487"/>
      <c r="I34" s="487"/>
      <c r="J34" s="487"/>
      <c r="K34" s="487"/>
      <c r="L34" s="487"/>
    </row>
    <row r="35" spans="1:12" ht="15.75">
      <c r="A35" s="487"/>
      <c r="B35" s="631" t="s">
        <v>615</v>
      </c>
      <c r="C35" s="631"/>
      <c r="D35" s="520" t="s">
        <v>606</v>
      </c>
      <c r="E35" s="520" t="s">
        <v>616</v>
      </c>
      <c r="F35" s="520" t="s">
        <v>295</v>
      </c>
      <c r="G35" s="520" t="s">
        <v>617</v>
      </c>
      <c r="H35" s="487"/>
      <c r="I35" s="487"/>
      <c r="J35" s="487"/>
      <c r="K35" s="487"/>
      <c r="L35" s="487"/>
    </row>
    <row r="36" spans="1:12" ht="15.75">
      <c r="A36" s="509" t="s">
        <v>608</v>
      </c>
      <c r="B36" s="623" t="s">
        <v>618</v>
      </c>
      <c r="C36" s="624"/>
      <c r="D36" s="510" t="s">
        <v>619</v>
      </c>
      <c r="E36" s="510" t="s">
        <v>74</v>
      </c>
      <c r="F36" s="511" t="s">
        <v>620</v>
      </c>
      <c r="G36" s="519" t="s">
        <v>718</v>
      </c>
      <c r="H36" s="487"/>
      <c r="I36" s="487"/>
      <c r="J36" s="487"/>
      <c r="K36" s="487"/>
      <c r="L36" s="487"/>
    </row>
    <row r="37" spans="1:12" ht="15.75">
      <c r="A37" s="509" t="s">
        <v>610</v>
      </c>
      <c r="B37" s="623" t="s">
        <v>621</v>
      </c>
      <c r="C37" s="624"/>
      <c r="D37" s="510" t="s">
        <v>622</v>
      </c>
      <c r="E37" s="510" t="s">
        <v>74</v>
      </c>
      <c r="F37" s="511" t="s">
        <v>623</v>
      </c>
      <c r="G37" s="512" t="s">
        <v>719</v>
      </c>
      <c r="H37" s="487"/>
      <c r="I37" s="487"/>
      <c r="J37" s="487"/>
      <c r="K37" s="487"/>
      <c r="L37" s="487"/>
    </row>
    <row r="38" spans="1:12" ht="15.75">
      <c r="A38" s="509" t="s">
        <v>612</v>
      </c>
      <c r="B38" s="623" t="s">
        <v>621</v>
      </c>
      <c r="C38" s="624"/>
      <c r="D38" s="510" t="s">
        <v>624</v>
      </c>
      <c r="E38" s="510" t="s">
        <v>74</v>
      </c>
      <c r="F38" s="511" t="s">
        <v>625</v>
      </c>
      <c r="G38" s="519" t="s">
        <v>626</v>
      </c>
      <c r="H38" s="487"/>
      <c r="I38" s="487"/>
      <c r="J38" s="487"/>
      <c r="K38" s="487"/>
      <c r="L38" s="487"/>
    </row>
    <row r="39" spans="1:12" ht="15.75">
      <c r="A39" s="487"/>
      <c r="B39" s="487"/>
      <c r="C39" s="487"/>
      <c r="D39" s="487"/>
      <c r="E39" s="487"/>
      <c r="F39" s="487"/>
      <c r="G39" s="487"/>
      <c r="H39" s="487"/>
      <c r="I39" s="487"/>
      <c r="J39" s="487"/>
      <c r="K39" s="487"/>
      <c r="L39" s="487"/>
    </row>
    <row r="40" spans="1:12" ht="15.75">
      <c r="A40" s="521" t="s">
        <v>627</v>
      </c>
      <c r="B40" s="625" t="s">
        <v>720</v>
      </c>
      <c r="C40" s="625"/>
      <c r="D40" s="626" t="s">
        <v>628</v>
      </c>
      <c r="E40" s="626"/>
      <c r="F40" s="625" t="s">
        <v>721</v>
      </c>
      <c r="G40" s="625"/>
      <c r="H40" s="487"/>
      <c r="I40" s="487"/>
      <c r="J40" s="487"/>
      <c r="K40" s="487"/>
      <c r="L40" s="487"/>
    </row>
    <row r="41" spans="1:12" ht="15.75">
      <c r="A41" s="487"/>
      <c r="B41" s="487"/>
      <c r="C41" s="487"/>
      <c r="D41" s="487"/>
      <c r="E41" s="487"/>
      <c r="F41" s="487"/>
      <c r="G41" s="487"/>
      <c r="H41" s="487"/>
      <c r="I41" s="487"/>
      <c r="J41" s="487"/>
      <c r="K41" s="487"/>
      <c r="L41" s="487"/>
    </row>
    <row r="42" spans="1:12" ht="15.75">
      <c r="A42" s="487"/>
      <c r="B42" s="487"/>
      <c r="C42" s="487"/>
      <c r="D42" s="487"/>
      <c r="E42" s="487"/>
      <c r="F42" s="487"/>
      <c r="G42" s="487"/>
      <c r="H42" s="487"/>
      <c r="I42" s="487"/>
      <c r="J42" s="487"/>
      <c r="K42" s="487"/>
      <c r="L42" s="487"/>
    </row>
    <row r="43" spans="1:12" ht="15.75">
      <c r="A43" s="487"/>
      <c r="B43" s="487"/>
      <c r="C43" s="487"/>
      <c r="D43" s="487"/>
      <c r="E43" s="487"/>
      <c r="F43" s="487"/>
      <c r="G43" s="487"/>
      <c r="H43" s="487"/>
      <c r="I43" s="487"/>
      <c r="J43" s="487"/>
      <c r="K43" s="487"/>
      <c r="L43" s="487"/>
    </row>
    <row r="44" spans="1:12" ht="15.75">
      <c r="A44" s="487"/>
      <c r="B44" s="487"/>
      <c r="C44" s="487"/>
      <c r="D44" s="487"/>
      <c r="E44" s="487"/>
      <c r="F44" s="487"/>
      <c r="G44" s="487"/>
      <c r="H44" s="487"/>
      <c r="I44" s="487"/>
      <c r="J44" s="487"/>
      <c r="K44" s="487"/>
      <c r="L44" s="487"/>
    </row>
    <row r="45" spans="1:12" ht="15.75">
      <c r="A45" s="487"/>
      <c r="B45" s="487"/>
      <c r="C45" s="487"/>
      <c r="D45" s="487"/>
      <c r="E45" s="487"/>
      <c r="F45" s="487"/>
      <c r="G45" s="487"/>
      <c r="H45" s="487"/>
      <c r="I45" s="487"/>
      <c r="J45" s="487"/>
      <c r="K45" s="487"/>
      <c r="L45" s="487"/>
    </row>
    <row r="46" spans="1:12" ht="15.75">
      <c r="A46" s="487"/>
      <c r="B46" s="487"/>
      <c r="C46" s="487"/>
      <c r="D46" s="487"/>
      <c r="E46" s="487"/>
      <c r="F46" s="487"/>
      <c r="G46" s="487"/>
      <c r="H46" s="487"/>
      <c r="I46" s="487"/>
      <c r="J46" s="487"/>
      <c r="K46" s="487"/>
      <c r="L46" s="487"/>
    </row>
    <row r="47" spans="1:12" ht="15.75">
      <c r="A47" s="487"/>
      <c r="B47" s="487"/>
      <c r="C47" s="487"/>
      <c r="D47" s="487"/>
      <c r="E47" s="487"/>
      <c r="F47" s="487"/>
      <c r="G47" s="487"/>
      <c r="H47" s="487"/>
      <c r="I47" s="487"/>
      <c r="J47" s="487"/>
      <c r="K47" s="487"/>
      <c r="L47" s="487"/>
    </row>
    <row r="48" spans="1:12" ht="15.75">
      <c r="A48" s="487"/>
      <c r="B48" s="487"/>
      <c r="C48" s="487"/>
      <c r="D48" s="487"/>
      <c r="E48" s="487"/>
      <c r="F48" s="487"/>
      <c r="G48" s="487"/>
      <c r="H48" s="487"/>
      <c r="I48" s="487"/>
      <c r="J48" s="487"/>
      <c r="K48" s="487"/>
      <c r="L48" s="487"/>
    </row>
    <row r="49" spans="1:12" ht="15.75">
      <c r="A49" s="487"/>
      <c r="B49" s="487"/>
      <c r="C49" s="487"/>
      <c r="D49" s="487"/>
      <c r="E49" s="487"/>
      <c r="F49" s="487"/>
      <c r="G49" s="487"/>
      <c r="H49" s="487"/>
      <c r="I49" s="487"/>
      <c r="J49" s="487"/>
      <c r="K49" s="487"/>
      <c r="L49" s="487"/>
    </row>
    <row r="50" spans="1:12" ht="15.75">
      <c r="A50" s="487"/>
      <c r="B50" s="487"/>
      <c r="C50" s="487"/>
      <c r="D50" s="487"/>
      <c r="E50" s="487"/>
      <c r="F50" s="487"/>
      <c r="G50" s="487"/>
      <c r="H50" s="487"/>
      <c r="I50" s="487"/>
      <c r="J50" s="487"/>
      <c r="K50" s="487"/>
      <c r="L50" s="487"/>
    </row>
    <row r="51" spans="1:12" ht="15.75">
      <c r="A51" s="487"/>
      <c r="B51" s="487"/>
      <c r="C51" s="487"/>
      <c r="D51" s="487"/>
      <c r="E51" s="487"/>
      <c r="F51" s="487"/>
      <c r="G51" s="487"/>
      <c r="H51" s="487"/>
      <c r="I51" s="487"/>
      <c r="J51" s="487"/>
      <c r="K51" s="487"/>
      <c r="L51" s="487"/>
    </row>
    <row r="52" spans="1:12" ht="15.75">
      <c r="A52" s="487"/>
      <c r="B52" s="487"/>
      <c r="C52" s="487"/>
      <c r="D52" s="487"/>
      <c r="E52" s="487"/>
      <c r="F52" s="487"/>
      <c r="G52" s="487"/>
      <c r="H52" s="487"/>
      <c r="I52" s="487"/>
      <c r="J52" s="487"/>
      <c r="K52" s="487"/>
      <c r="L52" s="487"/>
    </row>
    <row r="53" spans="1:12" ht="15.75">
      <c r="A53" s="487"/>
      <c r="B53" s="487"/>
      <c r="C53" s="487"/>
      <c r="D53" s="487"/>
      <c r="E53" s="487"/>
      <c r="F53" s="487"/>
      <c r="G53" s="487"/>
      <c r="H53" s="487"/>
      <c r="I53" s="487"/>
      <c r="J53" s="487"/>
      <c r="K53" s="487"/>
      <c r="L53" s="487"/>
    </row>
    <row r="54" spans="1:12" ht="15.75">
      <c r="A54" s="487"/>
      <c r="B54" s="487"/>
      <c r="C54" s="487"/>
      <c r="D54" s="487"/>
      <c r="E54" s="487"/>
      <c r="F54" s="487"/>
      <c r="G54" s="487"/>
      <c r="H54" s="487"/>
      <c r="I54" s="487"/>
      <c r="J54" s="487"/>
      <c r="K54" s="487"/>
      <c r="L54" s="487"/>
    </row>
    <row r="55" spans="1:12" ht="15.75">
      <c r="A55" s="487"/>
      <c r="B55" s="487"/>
      <c r="C55" s="487"/>
      <c r="D55" s="487"/>
      <c r="E55" s="487"/>
      <c r="F55" s="487"/>
      <c r="G55" s="487"/>
      <c r="H55" s="487"/>
      <c r="I55" s="487"/>
      <c r="J55" s="487"/>
      <c r="K55" s="487"/>
      <c r="L55" s="487"/>
    </row>
    <row r="56" spans="1:12" ht="15.75">
      <c r="A56" s="487"/>
      <c r="B56" s="487"/>
      <c r="C56" s="487"/>
      <c r="D56" s="487"/>
      <c r="E56" s="487"/>
      <c r="F56" s="487"/>
      <c r="G56" s="487"/>
      <c r="H56" s="487"/>
      <c r="I56" s="487"/>
      <c r="J56" s="487"/>
      <c r="K56" s="487"/>
      <c r="L56" s="487"/>
    </row>
    <row r="57" spans="1:12" ht="15.75">
      <c r="A57" s="487"/>
      <c r="B57" s="487"/>
      <c r="C57" s="487"/>
      <c r="D57" s="487"/>
      <c r="E57" s="487"/>
      <c r="F57" s="487"/>
      <c r="G57" s="487"/>
      <c r="H57" s="487"/>
      <c r="I57" s="487"/>
      <c r="J57" s="487"/>
      <c r="K57" s="487"/>
      <c r="L57" s="487"/>
    </row>
    <row r="58" spans="1:12" ht="15.75">
      <c r="A58" s="487"/>
      <c r="B58" s="487"/>
      <c r="C58" s="487"/>
      <c r="D58" s="487"/>
      <c r="E58" s="487"/>
      <c r="F58" s="487"/>
      <c r="G58" s="487"/>
      <c r="H58" s="487"/>
      <c r="I58" s="487"/>
      <c r="J58" s="487"/>
      <c r="K58" s="487"/>
      <c r="L58" s="487"/>
    </row>
    <row r="59" spans="1:12" ht="15.75">
      <c r="A59" s="487"/>
      <c r="B59" s="487"/>
      <c r="C59" s="487"/>
      <c r="D59" s="487"/>
      <c r="E59" s="487"/>
      <c r="F59" s="487"/>
      <c r="G59" s="487"/>
      <c r="H59" s="487"/>
      <c r="I59" s="487"/>
      <c r="J59" s="487"/>
      <c r="K59" s="487"/>
      <c r="L59" s="487"/>
    </row>
    <row r="60" spans="1:12" ht="15.75">
      <c r="A60" s="487"/>
      <c r="B60" s="487"/>
      <c r="C60" s="487"/>
      <c r="D60" s="487"/>
      <c r="E60" s="487"/>
      <c r="F60" s="487"/>
      <c r="G60" s="487"/>
      <c r="H60" s="487"/>
      <c r="I60" s="487"/>
      <c r="J60" s="487"/>
      <c r="K60" s="487"/>
      <c r="L60" s="487"/>
    </row>
    <row r="61" spans="1:12" ht="15.75">
      <c r="A61" s="487"/>
      <c r="B61" s="487"/>
      <c r="C61" s="487"/>
      <c r="D61" s="487"/>
      <c r="E61" s="487"/>
      <c r="F61" s="487"/>
      <c r="G61" s="487"/>
      <c r="H61" s="487"/>
      <c r="I61" s="487"/>
      <c r="J61" s="487"/>
      <c r="K61" s="487"/>
      <c r="L61" s="487"/>
    </row>
  </sheetData>
  <mergeCells count="31">
    <mergeCell ref="B23:C23"/>
    <mergeCell ref="D23:E23"/>
    <mergeCell ref="F23:G23"/>
    <mergeCell ref="B1:G1"/>
    <mergeCell ref="D21:G21"/>
    <mergeCell ref="B22:C22"/>
    <mergeCell ref="D22:E22"/>
    <mergeCell ref="F22:G22"/>
    <mergeCell ref="B31:C31"/>
    <mergeCell ref="F31:G31"/>
    <mergeCell ref="B24:C24"/>
    <mergeCell ref="D24:E24"/>
    <mergeCell ref="F24:G24"/>
    <mergeCell ref="B25:C25"/>
    <mergeCell ref="D25:E25"/>
    <mergeCell ref="F25:G25"/>
    <mergeCell ref="E28:G28"/>
    <mergeCell ref="B29:C29"/>
    <mergeCell ref="F29:G29"/>
    <mergeCell ref="B30:C30"/>
    <mergeCell ref="F30:G30"/>
    <mergeCell ref="B38:C38"/>
    <mergeCell ref="B40:C40"/>
    <mergeCell ref="D40:E40"/>
    <mergeCell ref="F40:G40"/>
    <mergeCell ref="B32:C32"/>
    <mergeCell ref="F32:G32"/>
    <mergeCell ref="E34:G34"/>
    <mergeCell ref="B35:C35"/>
    <mergeCell ref="B36:C36"/>
    <mergeCell ref="B37:C37"/>
  </mergeCells>
  <printOptions horizontalCentered="1"/>
  <pageMargins left="0.75" right="0.75" top="1" bottom="0.65" header="0.5" footer="0.5"/>
  <pageSetup orientation="portrait" horizontalDpi="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9"/>
  <sheetViews>
    <sheetView workbookViewId="0">
      <selection activeCell="E73" sqref="E73"/>
    </sheetView>
  </sheetViews>
  <sheetFormatPr defaultRowHeight="12.75"/>
  <cols>
    <col min="1" max="6" width="14.7109375" style="104" customWidth="1"/>
    <col min="7" max="256" width="9.140625" style="104"/>
    <col min="257" max="262" width="14.7109375" style="104" customWidth="1"/>
    <col min="263" max="512" width="9.140625" style="104"/>
    <col min="513" max="518" width="14.7109375" style="104" customWidth="1"/>
    <col min="519" max="768" width="9.140625" style="104"/>
    <col min="769" max="774" width="14.7109375" style="104" customWidth="1"/>
    <col min="775" max="1024" width="9.140625" style="104"/>
    <col min="1025" max="1030" width="14.7109375" style="104" customWidth="1"/>
    <col min="1031" max="1280" width="9.140625" style="104"/>
    <col min="1281" max="1286" width="14.7109375" style="104" customWidth="1"/>
    <col min="1287" max="1536" width="9.140625" style="104"/>
    <col min="1537" max="1542" width="14.7109375" style="104" customWidth="1"/>
    <col min="1543" max="1792" width="9.140625" style="104"/>
    <col min="1793" max="1798" width="14.7109375" style="104" customWidth="1"/>
    <col min="1799" max="2048" width="9.140625" style="104"/>
    <col min="2049" max="2054" width="14.7109375" style="104" customWidth="1"/>
    <col min="2055" max="2304" width="9.140625" style="104"/>
    <col min="2305" max="2310" width="14.7109375" style="104" customWidth="1"/>
    <col min="2311" max="2560" width="9.140625" style="104"/>
    <col min="2561" max="2566" width="14.7109375" style="104" customWidth="1"/>
    <col min="2567" max="2816" width="9.140625" style="104"/>
    <col min="2817" max="2822" width="14.7109375" style="104" customWidth="1"/>
    <col min="2823" max="3072" width="9.140625" style="104"/>
    <col min="3073" max="3078" width="14.7109375" style="104" customWidth="1"/>
    <col min="3079" max="3328" width="9.140625" style="104"/>
    <col min="3329" max="3334" width="14.7109375" style="104" customWidth="1"/>
    <col min="3335" max="3584" width="9.140625" style="104"/>
    <col min="3585" max="3590" width="14.7109375" style="104" customWidth="1"/>
    <col min="3591" max="3840" width="9.140625" style="104"/>
    <col min="3841" max="3846" width="14.7109375" style="104" customWidth="1"/>
    <col min="3847" max="4096" width="9.140625" style="104"/>
    <col min="4097" max="4102" width="14.7109375" style="104" customWidth="1"/>
    <col min="4103" max="4352" width="9.140625" style="104"/>
    <col min="4353" max="4358" width="14.7109375" style="104" customWidth="1"/>
    <col min="4359" max="4608" width="9.140625" style="104"/>
    <col min="4609" max="4614" width="14.7109375" style="104" customWidth="1"/>
    <col min="4615" max="4864" width="9.140625" style="104"/>
    <col min="4865" max="4870" width="14.7109375" style="104" customWidth="1"/>
    <col min="4871" max="5120" width="9.140625" style="104"/>
    <col min="5121" max="5126" width="14.7109375" style="104" customWidth="1"/>
    <col min="5127" max="5376" width="9.140625" style="104"/>
    <col min="5377" max="5382" width="14.7109375" style="104" customWidth="1"/>
    <col min="5383" max="5632" width="9.140625" style="104"/>
    <col min="5633" max="5638" width="14.7109375" style="104" customWidth="1"/>
    <col min="5639" max="5888" width="9.140625" style="104"/>
    <col min="5889" max="5894" width="14.7109375" style="104" customWidth="1"/>
    <col min="5895" max="6144" width="9.140625" style="104"/>
    <col min="6145" max="6150" width="14.7109375" style="104" customWidth="1"/>
    <col min="6151" max="6400" width="9.140625" style="104"/>
    <col min="6401" max="6406" width="14.7109375" style="104" customWidth="1"/>
    <col min="6407" max="6656" width="9.140625" style="104"/>
    <col min="6657" max="6662" width="14.7109375" style="104" customWidth="1"/>
    <col min="6663" max="6912" width="9.140625" style="104"/>
    <col min="6913" max="6918" width="14.7109375" style="104" customWidth="1"/>
    <col min="6919" max="7168" width="9.140625" style="104"/>
    <col min="7169" max="7174" width="14.7109375" style="104" customWidth="1"/>
    <col min="7175" max="7424" width="9.140625" style="104"/>
    <col min="7425" max="7430" width="14.7109375" style="104" customWidth="1"/>
    <col min="7431" max="7680" width="9.140625" style="104"/>
    <col min="7681" max="7686" width="14.7109375" style="104" customWidth="1"/>
    <col min="7687" max="7936" width="9.140625" style="104"/>
    <col min="7937" max="7942" width="14.7109375" style="104" customWidth="1"/>
    <col min="7943" max="8192" width="9.140625" style="104"/>
    <col min="8193" max="8198" width="14.7109375" style="104" customWidth="1"/>
    <col min="8199" max="8448" width="9.140625" style="104"/>
    <col min="8449" max="8454" width="14.7109375" style="104" customWidth="1"/>
    <col min="8455" max="8704" width="9.140625" style="104"/>
    <col min="8705" max="8710" width="14.7109375" style="104" customWidth="1"/>
    <col min="8711" max="8960" width="9.140625" style="104"/>
    <col min="8961" max="8966" width="14.7109375" style="104" customWidth="1"/>
    <col min="8967" max="9216" width="9.140625" style="104"/>
    <col min="9217" max="9222" width="14.7109375" style="104" customWidth="1"/>
    <col min="9223" max="9472" width="9.140625" style="104"/>
    <col min="9473" max="9478" width="14.7109375" style="104" customWidth="1"/>
    <col min="9479" max="9728" width="9.140625" style="104"/>
    <col min="9729" max="9734" width="14.7109375" style="104" customWidth="1"/>
    <col min="9735" max="9984" width="9.140625" style="104"/>
    <col min="9985" max="9990" width="14.7109375" style="104" customWidth="1"/>
    <col min="9991" max="10240" width="9.140625" style="104"/>
    <col min="10241" max="10246" width="14.7109375" style="104" customWidth="1"/>
    <col min="10247" max="10496" width="9.140625" style="104"/>
    <col min="10497" max="10502" width="14.7109375" style="104" customWidth="1"/>
    <col min="10503" max="10752" width="9.140625" style="104"/>
    <col min="10753" max="10758" width="14.7109375" style="104" customWidth="1"/>
    <col min="10759" max="11008" width="9.140625" style="104"/>
    <col min="11009" max="11014" width="14.7109375" style="104" customWidth="1"/>
    <col min="11015" max="11264" width="9.140625" style="104"/>
    <col min="11265" max="11270" width="14.7109375" style="104" customWidth="1"/>
    <col min="11271" max="11520" width="9.140625" style="104"/>
    <col min="11521" max="11526" width="14.7109375" style="104" customWidth="1"/>
    <col min="11527" max="11776" width="9.140625" style="104"/>
    <col min="11777" max="11782" width="14.7109375" style="104" customWidth="1"/>
    <col min="11783" max="12032" width="9.140625" style="104"/>
    <col min="12033" max="12038" width="14.7109375" style="104" customWidth="1"/>
    <col min="12039" max="12288" width="9.140625" style="104"/>
    <col min="12289" max="12294" width="14.7109375" style="104" customWidth="1"/>
    <col min="12295" max="12544" width="9.140625" style="104"/>
    <col min="12545" max="12550" width="14.7109375" style="104" customWidth="1"/>
    <col min="12551" max="12800" width="9.140625" style="104"/>
    <col min="12801" max="12806" width="14.7109375" style="104" customWidth="1"/>
    <col min="12807" max="13056" width="9.140625" style="104"/>
    <col min="13057" max="13062" width="14.7109375" style="104" customWidth="1"/>
    <col min="13063" max="13312" width="9.140625" style="104"/>
    <col min="13313" max="13318" width="14.7109375" style="104" customWidth="1"/>
    <col min="13319" max="13568" width="9.140625" style="104"/>
    <col min="13569" max="13574" width="14.7109375" style="104" customWidth="1"/>
    <col min="13575" max="13824" width="9.140625" style="104"/>
    <col min="13825" max="13830" width="14.7109375" style="104" customWidth="1"/>
    <col min="13831" max="14080" width="9.140625" style="104"/>
    <col min="14081" max="14086" width="14.7109375" style="104" customWidth="1"/>
    <col min="14087" max="14336" width="9.140625" style="104"/>
    <col min="14337" max="14342" width="14.7109375" style="104" customWidth="1"/>
    <col min="14343" max="14592" width="9.140625" style="104"/>
    <col min="14593" max="14598" width="14.7109375" style="104" customWidth="1"/>
    <col min="14599" max="14848" width="9.140625" style="104"/>
    <col min="14849" max="14854" width="14.7109375" style="104" customWidth="1"/>
    <col min="14855" max="15104" width="9.140625" style="104"/>
    <col min="15105" max="15110" width="14.7109375" style="104" customWidth="1"/>
    <col min="15111" max="15360" width="9.140625" style="104"/>
    <col min="15361" max="15366" width="14.7109375" style="104" customWidth="1"/>
    <col min="15367" max="15616" width="9.140625" style="104"/>
    <col min="15617" max="15622" width="14.7109375" style="104" customWidth="1"/>
    <col min="15623" max="15872" width="9.140625" style="104"/>
    <col min="15873" max="15878" width="14.7109375" style="104" customWidth="1"/>
    <col min="15879" max="16128" width="9.140625" style="104"/>
    <col min="16129" max="16134" width="14.7109375" style="104" customWidth="1"/>
    <col min="16135" max="16384" width="9.140625" style="104"/>
  </cols>
  <sheetData>
    <row r="1" spans="1:7" ht="20.25">
      <c r="A1" s="634" t="s">
        <v>534</v>
      </c>
      <c r="B1" s="634"/>
      <c r="C1" s="634"/>
      <c r="D1" s="634"/>
      <c r="E1" s="634"/>
      <c r="F1" s="634"/>
    </row>
    <row r="2" spans="1:7" ht="19.5" thickBot="1">
      <c r="A2" s="487"/>
      <c r="B2" s="487"/>
      <c r="C2" s="635" t="s">
        <v>535</v>
      </c>
      <c r="D2" s="635"/>
      <c r="E2" s="487" t="s">
        <v>536</v>
      </c>
      <c r="F2" s="487"/>
      <c r="G2" s="487"/>
    </row>
    <row r="3" spans="1:7" ht="19.5">
      <c r="A3" s="636" t="s">
        <v>537</v>
      </c>
      <c r="B3" s="637"/>
      <c r="C3" s="638"/>
      <c r="D3" s="636" t="s">
        <v>538</v>
      </c>
      <c r="E3" s="637"/>
      <c r="F3" s="638"/>
      <c r="G3" s="487"/>
    </row>
    <row r="4" spans="1:7" ht="15.75">
      <c r="A4" s="488" t="s">
        <v>539</v>
      </c>
      <c r="B4" s="639" t="s">
        <v>540</v>
      </c>
      <c r="C4" s="640"/>
      <c r="D4" s="641" t="s">
        <v>541</v>
      </c>
      <c r="E4" s="642"/>
      <c r="F4" s="643"/>
      <c r="G4" s="487"/>
    </row>
    <row r="5" spans="1:7" ht="16.5" thickBot="1">
      <c r="A5" s="489" t="s">
        <v>542</v>
      </c>
      <c r="B5" s="647" t="s">
        <v>542</v>
      </c>
      <c r="C5" s="648"/>
      <c r="D5" s="649" t="s">
        <v>543</v>
      </c>
      <c r="E5" s="650"/>
      <c r="F5" s="651"/>
      <c r="G5" s="487"/>
    </row>
    <row r="6" spans="1:7" ht="19.5">
      <c r="A6" s="636" t="s">
        <v>544</v>
      </c>
      <c r="B6" s="637"/>
      <c r="C6" s="637"/>
      <c r="D6" s="637"/>
      <c r="E6" s="637"/>
      <c r="F6" s="638"/>
      <c r="G6" s="487"/>
    </row>
    <row r="7" spans="1:7" ht="15.75">
      <c r="A7" s="490" t="s">
        <v>545</v>
      </c>
      <c r="B7" s="491" t="s">
        <v>546</v>
      </c>
      <c r="C7" s="492" t="s">
        <v>547</v>
      </c>
      <c r="D7" s="493" t="s">
        <v>548</v>
      </c>
      <c r="E7" s="652" t="s">
        <v>549</v>
      </c>
      <c r="F7" s="653"/>
      <c r="G7" s="487"/>
    </row>
    <row r="8" spans="1:7" ht="16.5" thickBot="1">
      <c r="A8" s="494"/>
      <c r="B8" s="495" t="s">
        <v>542</v>
      </c>
      <c r="C8" s="496"/>
      <c r="D8" s="497" t="s">
        <v>542</v>
      </c>
      <c r="E8" s="654" t="s">
        <v>550</v>
      </c>
      <c r="F8" s="651"/>
      <c r="G8" s="487"/>
    </row>
    <row r="9" spans="1:7" ht="19.5">
      <c r="A9" s="636" t="s">
        <v>551</v>
      </c>
      <c r="B9" s="637"/>
      <c r="C9" s="638"/>
      <c r="D9" s="636" t="s">
        <v>552</v>
      </c>
      <c r="E9" s="637"/>
      <c r="F9" s="638"/>
      <c r="G9" s="487"/>
    </row>
    <row r="10" spans="1:7" ht="15.75">
      <c r="A10" s="498" t="s">
        <v>553</v>
      </c>
      <c r="B10" s="655" t="s">
        <v>554</v>
      </c>
      <c r="C10" s="640"/>
      <c r="D10" s="656" t="s">
        <v>555</v>
      </c>
      <c r="E10" s="657"/>
      <c r="F10" s="499" t="s">
        <v>556</v>
      </c>
      <c r="G10" s="487"/>
    </row>
    <row r="11" spans="1:7" ht="16.5" thickBot="1">
      <c r="A11" s="500" t="s">
        <v>557</v>
      </c>
      <c r="B11" s="650" t="s">
        <v>558</v>
      </c>
      <c r="C11" s="651"/>
      <c r="D11" s="658"/>
      <c r="E11" s="659"/>
      <c r="F11" s="501" t="s">
        <v>542</v>
      </c>
      <c r="G11" s="487"/>
    </row>
    <row r="12" spans="1:7" ht="19.5">
      <c r="A12" s="636" t="s">
        <v>559</v>
      </c>
      <c r="B12" s="637"/>
      <c r="C12" s="637"/>
      <c r="D12" s="637"/>
      <c r="E12" s="637"/>
      <c r="F12" s="638"/>
      <c r="G12" s="487"/>
    </row>
    <row r="13" spans="1:7" ht="16.5" thickBot="1">
      <c r="A13" s="644" t="s">
        <v>560</v>
      </c>
      <c r="B13" s="645"/>
      <c r="C13" s="646" t="s">
        <v>561</v>
      </c>
      <c r="D13" s="646"/>
      <c r="E13" s="646"/>
      <c r="F13" s="502"/>
      <c r="G13" s="487"/>
    </row>
    <row r="14" spans="1:7" ht="18.95" customHeight="1">
      <c r="A14" s="503"/>
      <c r="B14" s="503"/>
      <c r="C14" s="503"/>
      <c r="D14" s="503"/>
      <c r="E14" s="503"/>
      <c r="F14" s="503"/>
      <c r="G14" s="487"/>
    </row>
    <row r="15" spans="1:7" ht="18.95" customHeight="1">
      <c r="G15" s="487"/>
    </row>
    <row r="16" spans="1:7" ht="15.75">
      <c r="G16" s="487"/>
    </row>
    <row r="17" spans="7:7" ht="15.75">
      <c r="G17" s="487"/>
    </row>
    <row r="18" spans="7:7" ht="15.75">
      <c r="G18" s="487"/>
    </row>
    <row r="19" spans="7:7" ht="15.75">
      <c r="G19" s="487"/>
    </row>
  </sheetData>
  <mergeCells count="20">
    <mergeCell ref="A13:B13"/>
    <mergeCell ref="C13:E13"/>
    <mergeCell ref="B5:C5"/>
    <mergeCell ref="D5:F5"/>
    <mergeCell ref="A6:F6"/>
    <mergeCell ref="E7:F7"/>
    <mergeCell ref="E8:F8"/>
    <mergeCell ref="A9:C9"/>
    <mergeCell ref="D9:F9"/>
    <mergeCell ref="B10:C10"/>
    <mergeCell ref="D10:E10"/>
    <mergeCell ref="B11:C11"/>
    <mergeCell ref="D11:E11"/>
    <mergeCell ref="A12:F12"/>
    <mergeCell ref="A1:F1"/>
    <mergeCell ref="C2:D2"/>
    <mergeCell ref="A3:C3"/>
    <mergeCell ref="D3:F3"/>
    <mergeCell ref="B4:C4"/>
    <mergeCell ref="D4:F4"/>
  </mergeCells>
  <printOptions horizontalCentered="1"/>
  <pageMargins left="0.75" right="0.75" top="1" bottom="1" header="0.5" footer="0.5"/>
  <pageSetup orientation="portrait" verticalDpi="300"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syncVertical="1" syncRef="A1" transitionEvaluation="1"/>
  <dimension ref="A1:N120"/>
  <sheetViews>
    <sheetView showGridLines="0" tabSelected="1" zoomScaleNormal="100" workbookViewId="0">
      <selection activeCell="Q24" sqref="Q24"/>
    </sheetView>
  </sheetViews>
  <sheetFormatPr defaultColWidth="12.5703125" defaultRowHeight="15.75"/>
  <cols>
    <col min="1" max="13" width="7" style="1" customWidth="1"/>
    <col min="14" max="14" width="7.140625" style="1" customWidth="1"/>
    <col min="15" max="16384" width="12.5703125" style="1"/>
  </cols>
  <sheetData>
    <row r="1" spans="1:14" ht="17.100000000000001" customHeight="1">
      <c r="A1" s="103" t="s">
        <v>112</v>
      </c>
      <c r="B1" s="102"/>
      <c r="C1" s="102"/>
      <c r="D1" s="102"/>
      <c r="E1" s="102"/>
      <c r="F1" s="102"/>
      <c r="G1" s="102"/>
      <c r="H1" s="102"/>
      <c r="I1" s="102"/>
      <c r="J1" s="101" t="s">
        <v>111</v>
      </c>
      <c r="K1" s="100"/>
      <c r="L1" s="99" t="s">
        <v>110</v>
      </c>
      <c r="M1" s="98"/>
      <c r="N1" s="4"/>
    </row>
    <row r="2" spans="1:14" ht="17.100000000000001" customHeight="1">
      <c r="A2" s="97" t="s">
        <v>109</v>
      </c>
      <c r="B2" s="96"/>
      <c r="C2" s="96"/>
      <c r="D2" s="96"/>
      <c r="E2" s="96"/>
      <c r="F2" s="96"/>
      <c r="G2" s="96"/>
      <c r="H2" s="96"/>
      <c r="I2" s="96"/>
      <c r="J2" s="89" t="s">
        <v>108</v>
      </c>
      <c r="K2" s="88"/>
      <c r="L2" s="91" t="s">
        <v>107</v>
      </c>
      <c r="M2" s="86"/>
      <c r="N2" s="4"/>
    </row>
    <row r="3" spans="1:14" ht="15.95" customHeight="1">
      <c r="A3" s="92"/>
      <c r="B3" s="74"/>
      <c r="C3" s="74"/>
      <c r="D3" s="74"/>
      <c r="E3" s="74"/>
      <c r="F3" s="74"/>
      <c r="G3" s="74"/>
      <c r="H3" s="74"/>
      <c r="I3" s="74"/>
      <c r="J3" s="89" t="s">
        <v>106</v>
      </c>
      <c r="K3" s="88"/>
      <c r="L3" s="95" t="s">
        <v>105</v>
      </c>
      <c r="M3" s="86"/>
      <c r="N3" s="4"/>
    </row>
    <row r="4" spans="1:14" ht="15.95" customHeight="1">
      <c r="A4" s="94"/>
      <c r="B4" s="74"/>
      <c r="C4" s="74"/>
      <c r="D4" s="74"/>
      <c r="E4" s="74"/>
      <c r="F4" s="74"/>
      <c r="G4" s="74"/>
      <c r="H4" s="74"/>
      <c r="I4" s="74"/>
      <c r="J4" s="89" t="s">
        <v>104</v>
      </c>
      <c r="K4" s="88"/>
      <c r="L4" s="93" t="s">
        <v>103</v>
      </c>
      <c r="M4" s="86"/>
      <c r="N4" s="4"/>
    </row>
    <row r="5" spans="1:14" ht="15.95" customHeight="1">
      <c r="A5" s="92"/>
      <c r="B5" s="74"/>
      <c r="C5" s="74"/>
      <c r="D5" s="74"/>
      <c r="E5" s="74"/>
      <c r="F5" s="74"/>
      <c r="G5" s="74"/>
      <c r="H5" s="74"/>
      <c r="I5" s="74"/>
      <c r="J5" s="89" t="s">
        <v>102</v>
      </c>
      <c r="K5" s="88"/>
      <c r="L5" s="91">
        <v>2</v>
      </c>
      <c r="M5" s="86"/>
      <c r="N5" s="4"/>
    </row>
    <row r="6" spans="1:14" ht="15.95" customHeight="1">
      <c r="A6" s="90" t="s">
        <v>101</v>
      </c>
      <c r="B6" s="74"/>
      <c r="C6" s="74"/>
      <c r="D6" s="74"/>
      <c r="E6" s="74"/>
      <c r="F6" s="74"/>
      <c r="G6" s="74"/>
      <c r="H6" s="74"/>
      <c r="I6" s="74"/>
      <c r="J6" s="89" t="s">
        <v>100</v>
      </c>
      <c r="K6" s="88"/>
      <c r="L6" s="87" t="s">
        <v>99</v>
      </c>
      <c r="M6" s="86"/>
      <c r="N6" s="4"/>
    </row>
    <row r="7" spans="1:14" ht="15.95" customHeight="1" thickBot="1">
      <c r="A7" s="85" t="s">
        <v>98</v>
      </c>
      <c r="B7" s="84"/>
      <c r="C7" s="84"/>
      <c r="D7" s="84"/>
      <c r="E7" s="84"/>
      <c r="F7" s="84"/>
      <c r="G7" s="84"/>
      <c r="H7" s="84"/>
      <c r="I7" s="84"/>
      <c r="J7" s="83" t="s">
        <v>97</v>
      </c>
      <c r="K7" s="82"/>
      <c r="L7" s="81" t="s">
        <v>96</v>
      </c>
      <c r="M7" s="80"/>
      <c r="N7" s="4"/>
    </row>
    <row r="8" spans="1:14" ht="15.95" customHeight="1">
      <c r="A8" s="79"/>
      <c r="B8" s="74"/>
      <c r="C8" s="74"/>
      <c r="D8" s="74"/>
      <c r="E8" s="74"/>
      <c r="F8" s="74"/>
      <c r="G8" s="74"/>
      <c r="H8" s="74"/>
      <c r="I8" s="74"/>
      <c r="J8" s="74"/>
      <c r="K8" s="78"/>
      <c r="L8" s="44"/>
      <c r="M8" s="77"/>
      <c r="N8" s="74"/>
    </row>
    <row r="9" spans="1:14" ht="12" customHeight="1">
      <c r="A9" s="513"/>
      <c r="B9" s="514" t="s">
        <v>95</v>
      </c>
      <c r="C9" s="515" t="s">
        <v>629</v>
      </c>
      <c r="D9" s="516"/>
      <c r="E9" s="75"/>
      <c r="F9" s="75"/>
      <c r="G9" s="75"/>
      <c r="H9" s="75"/>
      <c r="I9" s="75"/>
      <c r="J9" s="75"/>
      <c r="K9" s="76"/>
      <c r="L9" s="36"/>
      <c r="M9" s="75"/>
      <c r="N9" s="74"/>
    </row>
    <row r="10" spans="1:14" ht="12" customHeight="1">
      <c r="A10" s="513"/>
      <c r="B10" s="514" t="s">
        <v>94</v>
      </c>
      <c r="C10" s="517" t="s">
        <v>630</v>
      </c>
      <c r="D10" s="517"/>
      <c r="E10" s="36"/>
      <c r="F10" s="36"/>
      <c r="G10" s="36"/>
      <c r="H10" s="36"/>
      <c r="I10" s="36"/>
      <c r="J10" s="36"/>
      <c r="K10" s="36"/>
      <c r="L10" s="36"/>
      <c r="M10" s="36"/>
      <c r="N10" s="44"/>
    </row>
    <row r="11" spans="1:14" ht="16.5" thickBot="1">
      <c r="A11" s="73"/>
      <c r="B11" s="73"/>
      <c r="C11" s="73"/>
      <c r="D11" s="73"/>
      <c r="E11" s="73"/>
      <c r="F11" s="73"/>
      <c r="G11" s="73"/>
      <c r="H11" s="73"/>
      <c r="I11" s="73"/>
      <c r="J11" s="73"/>
      <c r="K11" s="73"/>
      <c r="L11" s="73"/>
      <c r="M11" s="73"/>
      <c r="N11" s="73"/>
    </row>
    <row r="12" spans="1:14" ht="20.100000000000001" customHeight="1" thickBot="1">
      <c r="A12" s="65" t="s">
        <v>93</v>
      </c>
      <c r="B12" s="64"/>
      <c r="C12" s="64"/>
      <c r="D12" s="64"/>
      <c r="E12" s="64"/>
      <c r="F12" s="64"/>
      <c r="G12" s="64"/>
      <c r="H12" s="64"/>
      <c r="I12" s="64"/>
      <c r="J12" s="64"/>
      <c r="K12" s="64"/>
      <c r="L12" s="64"/>
      <c r="M12" s="63"/>
      <c r="N12" s="4"/>
    </row>
    <row r="13" spans="1:14" ht="12.95" customHeight="1" thickTop="1">
      <c r="A13" s="38"/>
      <c r="B13" s="33" t="s">
        <v>92</v>
      </c>
      <c r="C13" s="72">
        <v>2000</v>
      </c>
      <c r="D13" s="36"/>
      <c r="E13" s="33" t="s">
        <v>91</v>
      </c>
      <c r="F13" s="72">
        <v>4000</v>
      </c>
      <c r="G13" s="36"/>
      <c r="H13" s="33" t="s">
        <v>90</v>
      </c>
      <c r="I13" s="72" t="s">
        <v>89</v>
      </c>
      <c r="J13" s="36"/>
      <c r="K13" s="36"/>
      <c r="L13" s="33" t="s">
        <v>88</v>
      </c>
      <c r="M13" s="71">
        <v>3600</v>
      </c>
      <c r="N13" s="4"/>
    </row>
    <row r="14" spans="1:14" ht="12.95" customHeight="1">
      <c r="A14" s="38"/>
      <c r="B14" s="33" t="s">
        <v>87</v>
      </c>
      <c r="C14" s="70" t="s">
        <v>86</v>
      </c>
      <c r="D14" s="36"/>
      <c r="E14" s="33" t="s">
        <v>85</v>
      </c>
      <c r="F14" s="72" t="s">
        <v>631</v>
      </c>
      <c r="G14" s="36"/>
      <c r="H14" s="33" t="s">
        <v>84</v>
      </c>
      <c r="I14" s="72">
        <v>256</v>
      </c>
      <c r="J14" s="36"/>
      <c r="K14" s="36"/>
      <c r="L14" s="33" t="s">
        <v>83</v>
      </c>
      <c r="M14" s="71">
        <v>3565</v>
      </c>
      <c r="N14" s="4"/>
    </row>
    <row r="15" spans="1:14" ht="12.95" customHeight="1">
      <c r="A15" s="38"/>
      <c r="B15" s="33" t="s">
        <v>82</v>
      </c>
      <c r="C15" s="72" t="s">
        <v>81</v>
      </c>
      <c r="D15" s="36"/>
      <c r="E15" s="33" t="s">
        <v>80</v>
      </c>
      <c r="F15" s="68" t="s">
        <v>165</v>
      </c>
      <c r="G15" s="36"/>
      <c r="H15" s="33" t="s">
        <v>79</v>
      </c>
      <c r="I15" s="72" t="s">
        <v>42</v>
      </c>
      <c r="J15" s="36"/>
      <c r="K15" s="36"/>
      <c r="L15" s="33" t="s">
        <v>78</v>
      </c>
      <c r="M15" s="71" t="s">
        <v>77</v>
      </c>
      <c r="N15" s="4"/>
    </row>
    <row r="16" spans="1:14" ht="12.95" customHeight="1">
      <c r="A16" s="38"/>
      <c r="B16" s="33" t="s">
        <v>76</v>
      </c>
      <c r="C16" s="72" t="s">
        <v>164</v>
      </c>
      <c r="D16" s="36"/>
      <c r="E16" s="33" t="s">
        <v>75</v>
      </c>
      <c r="F16" s="72" t="s">
        <v>74</v>
      </c>
      <c r="G16" s="36"/>
      <c r="H16" s="39" t="s">
        <v>73</v>
      </c>
      <c r="I16" s="68" t="s">
        <v>77</v>
      </c>
      <c r="J16" s="36"/>
      <c r="K16" s="36"/>
      <c r="L16" s="33" t="s">
        <v>72</v>
      </c>
      <c r="M16" s="71" t="s">
        <v>71</v>
      </c>
      <c r="N16" s="4"/>
    </row>
    <row r="17" spans="1:14" ht="12.95" customHeight="1">
      <c r="A17" s="38"/>
      <c r="B17" s="33" t="s">
        <v>70</v>
      </c>
      <c r="C17" s="70" t="s">
        <v>632</v>
      </c>
      <c r="D17" s="36"/>
      <c r="E17" s="33"/>
      <c r="F17" s="69"/>
      <c r="G17" s="36"/>
      <c r="H17" s="33" t="s">
        <v>69</v>
      </c>
      <c r="I17" s="68" t="s">
        <v>42</v>
      </c>
      <c r="J17" s="36"/>
      <c r="K17" s="36"/>
      <c r="L17" s="33"/>
      <c r="M17" s="32"/>
      <c r="N17" s="4"/>
    </row>
    <row r="18" spans="1:14" ht="12.95" customHeight="1" thickBot="1">
      <c r="A18" s="31"/>
      <c r="B18" s="30" t="s">
        <v>68</v>
      </c>
      <c r="C18" s="66" t="s">
        <v>42</v>
      </c>
      <c r="D18" s="28"/>
      <c r="E18" s="27" t="s">
        <v>67</v>
      </c>
      <c r="F18" s="66" t="s">
        <v>42</v>
      </c>
      <c r="G18" s="67"/>
      <c r="H18" s="27" t="s">
        <v>66</v>
      </c>
      <c r="I18" s="66" t="s">
        <v>42</v>
      </c>
      <c r="J18" s="28"/>
      <c r="K18" s="28"/>
      <c r="L18" s="28"/>
      <c r="M18" s="26"/>
      <c r="N18" s="4"/>
    </row>
    <row r="19" spans="1:14" ht="16.5" thickBot="1">
      <c r="A19" s="4"/>
      <c r="B19" s="4"/>
      <c r="C19" s="4"/>
      <c r="D19" s="4"/>
      <c r="E19" s="4"/>
      <c r="F19" s="4"/>
      <c r="G19" s="4"/>
      <c r="H19" s="4"/>
      <c r="I19" s="4"/>
      <c r="J19" s="4"/>
      <c r="K19" s="4"/>
      <c r="L19" s="4"/>
      <c r="M19" s="4"/>
      <c r="N19" s="4"/>
    </row>
    <row r="20" spans="1:14" ht="20.100000000000001" customHeight="1" thickBot="1">
      <c r="A20" s="65"/>
      <c r="B20" s="64"/>
      <c r="C20" s="64"/>
      <c r="D20" s="64"/>
      <c r="E20" s="64"/>
      <c r="F20" s="64"/>
      <c r="G20" s="64"/>
      <c r="H20" s="64"/>
      <c r="I20" s="64"/>
      <c r="J20" s="64"/>
      <c r="K20" s="64"/>
      <c r="L20" s="64"/>
      <c r="M20" s="63"/>
    </row>
    <row r="21" spans="1:14" ht="15.95" customHeight="1" thickTop="1">
      <c r="A21" s="62" t="s">
        <v>65</v>
      </c>
      <c r="B21" s="45"/>
      <c r="C21" s="44"/>
      <c r="D21" s="61"/>
      <c r="E21" s="42" t="s">
        <v>64</v>
      </c>
      <c r="F21" s="43"/>
      <c r="G21" s="43"/>
      <c r="H21" s="60"/>
      <c r="I21" s="59" t="s">
        <v>63</v>
      </c>
      <c r="J21" s="41"/>
      <c r="K21" s="41"/>
      <c r="L21" s="44"/>
      <c r="M21" s="40"/>
    </row>
    <row r="22" spans="1:14" ht="15.95" customHeight="1">
      <c r="A22" s="57"/>
      <c r="B22" s="36"/>
      <c r="C22" s="35" t="s">
        <v>62</v>
      </c>
      <c r="D22" s="55">
        <v>1551</v>
      </c>
      <c r="E22" s="33"/>
      <c r="G22" s="39" t="s">
        <v>61</v>
      </c>
      <c r="H22" s="58">
        <v>2946</v>
      </c>
      <c r="I22" s="35"/>
      <c r="J22" s="36"/>
      <c r="K22" s="35" t="s">
        <v>60</v>
      </c>
      <c r="L22" s="660"/>
      <c r="M22" s="661"/>
    </row>
    <row r="23" spans="1:14" ht="15.95" customHeight="1">
      <c r="A23" s="57"/>
      <c r="B23" s="35"/>
      <c r="C23" s="10"/>
      <c r="D23" s="56"/>
      <c r="E23" s="33"/>
      <c r="G23" s="33" t="s">
        <v>59</v>
      </c>
      <c r="H23" s="55">
        <v>175</v>
      </c>
      <c r="I23" s="36"/>
      <c r="J23" s="36"/>
      <c r="K23" s="33" t="s">
        <v>58</v>
      </c>
      <c r="L23" s="660"/>
      <c r="M23" s="661"/>
    </row>
    <row r="24" spans="1:14" ht="15.95" customHeight="1">
      <c r="A24" s="38"/>
      <c r="B24" s="33"/>
      <c r="C24" s="36"/>
      <c r="D24" s="56"/>
      <c r="E24" s="33"/>
      <c r="G24" s="39" t="s">
        <v>57</v>
      </c>
      <c r="H24" s="55">
        <v>215</v>
      </c>
      <c r="I24" s="36"/>
      <c r="J24" s="33"/>
      <c r="K24" s="36"/>
      <c r="L24" s="36"/>
      <c r="M24" s="32"/>
    </row>
    <row r="25" spans="1:14" ht="15.95" customHeight="1" thickBot="1">
      <c r="A25" s="31"/>
      <c r="B25" s="30"/>
      <c r="C25" s="28"/>
      <c r="D25" s="54"/>
      <c r="E25" s="27"/>
      <c r="F25" s="27"/>
      <c r="G25" s="27"/>
      <c r="H25" s="53"/>
      <c r="I25" s="28"/>
      <c r="J25" s="27"/>
      <c r="K25" s="28"/>
      <c r="L25" s="28"/>
      <c r="M25" s="26"/>
    </row>
    <row r="26" spans="1:14" ht="18.95" customHeight="1" thickBot="1">
      <c r="A26" s="52"/>
      <c r="B26" s="52"/>
      <c r="C26" s="52"/>
      <c r="D26" s="51"/>
      <c r="E26" s="51"/>
      <c r="F26" s="51"/>
      <c r="G26" s="51"/>
      <c r="H26" s="51"/>
      <c r="I26" s="51"/>
      <c r="J26" s="51"/>
      <c r="K26" s="51"/>
      <c r="L26" s="51"/>
      <c r="M26" s="4"/>
      <c r="N26" s="4"/>
    </row>
    <row r="27" spans="1:14" ht="20.100000000000001" customHeight="1" thickBot="1">
      <c r="A27" s="50"/>
      <c r="B27" s="48"/>
      <c r="C27" s="48"/>
      <c r="D27" s="48"/>
      <c r="E27" s="48"/>
      <c r="F27" s="48"/>
      <c r="G27" s="49"/>
      <c r="H27" s="48"/>
      <c r="I27" s="48"/>
      <c r="J27" s="48"/>
      <c r="K27" s="48"/>
      <c r="L27" s="48"/>
      <c r="M27" s="47"/>
    </row>
    <row r="28" spans="1:14" ht="15.95" customHeight="1" thickTop="1">
      <c r="A28" s="46" t="s">
        <v>56</v>
      </c>
      <c r="B28" s="45"/>
      <c r="C28" s="44"/>
      <c r="D28" s="44"/>
      <c r="E28" s="43"/>
      <c r="F28" s="43"/>
      <c r="G28" s="37"/>
      <c r="H28" s="42" t="s">
        <v>55</v>
      </c>
      <c r="I28" s="43"/>
      <c r="J28" s="41"/>
      <c r="K28" s="42"/>
      <c r="L28" s="41"/>
      <c r="M28" s="40"/>
    </row>
    <row r="29" spans="1:14" ht="15.95" customHeight="1">
      <c r="A29" s="38"/>
      <c r="B29" s="35"/>
      <c r="C29" s="35" t="s">
        <v>54</v>
      </c>
      <c r="D29" s="34">
        <v>95.3</v>
      </c>
      <c r="E29" s="33"/>
      <c r="F29" s="33"/>
      <c r="G29" s="37"/>
      <c r="H29" s="39"/>
      <c r="I29" s="35"/>
      <c r="J29" s="35" t="s">
        <v>54</v>
      </c>
      <c r="K29" s="34">
        <v>88.1</v>
      </c>
      <c r="L29" s="36"/>
      <c r="M29" s="32"/>
    </row>
    <row r="30" spans="1:14" ht="15.95" customHeight="1">
      <c r="A30" s="11"/>
      <c r="B30" s="36"/>
      <c r="C30" s="35" t="s">
        <v>53</v>
      </c>
      <c r="D30" s="34">
        <v>95.3</v>
      </c>
      <c r="E30" s="33"/>
      <c r="F30" s="33"/>
      <c r="G30" s="37"/>
      <c r="H30" s="33"/>
      <c r="I30" s="36"/>
      <c r="J30" s="35" t="s">
        <v>53</v>
      </c>
      <c r="K30" s="34">
        <v>86.9</v>
      </c>
      <c r="L30" s="36"/>
      <c r="M30" s="32"/>
    </row>
    <row r="31" spans="1:14" ht="15.95" customHeight="1">
      <c r="A31" s="38"/>
      <c r="B31" s="33"/>
      <c r="C31" s="35" t="s">
        <v>52</v>
      </c>
      <c r="D31" s="34">
        <v>94.8</v>
      </c>
      <c r="E31" s="33"/>
      <c r="F31" s="33"/>
      <c r="G31" s="37"/>
      <c r="H31" s="33"/>
      <c r="I31" s="36"/>
      <c r="J31" s="35" t="s">
        <v>52</v>
      </c>
      <c r="K31" s="34">
        <v>82.3</v>
      </c>
      <c r="L31" s="33"/>
      <c r="M31" s="32"/>
    </row>
    <row r="32" spans="1:14" ht="15.95" customHeight="1" thickBot="1">
      <c r="A32" s="31"/>
      <c r="B32" s="30"/>
      <c r="C32" s="28"/>
      <c r="D32" s="28"/>
      <c r="E32" s="27"/>
      <c r="F32" s="27"/>
      <c r="G32" s="29"/>
      <c r="H32" s="27"/>
      <c r="I32" s="28"/>
      <c r="J32" s="27"/>
      <c r="K32" s="28"/>
      <c r="L32" s="27"/>
      <c r="M32" s="26"/>
    </row>
    <row r="33" spans="1:14" ht="20.100000000000001" customHeight="1" thickBot="1">
      <c r="A33" s="25"/>
      <c r="B33" s="25"/>
      <c r="C33" s="25"/>
      <c r="D33" s="25"/>
      <c r="E33" s="25"/>
      <c r="F33" s="25"/>
      <c r="G33" s="25"/>
      <c r="H33" s="25"/>
      <c r="I33" s="25"/>
      <c r="J33" s="25"/>
      <c r="K33" s="25"/>
      <c r="L33" s="25"/>
      <c r="M33" s="24"/>
      <c r="N33" s="24"/>
    </row>
    <row r="34" spans="1:14" ht="8.25" customHeight="1" thickBot="1">
      <c r="A34" s="23"/>
      <c r="B34" s="22"/>
      <c r="C34" s="22"/>
      <c r="D34" s="22"/>
      <c r="E34" s="22"/>
      <c r="F34" s="22"/>
      <c r="G34" s="22"/>
      <c r="H34" s="22"/>
      <c r="I34" s="22"/>
      <c r="J34" s="22"/>
      <c r="K34" s="22"/>
      <c r="L34" s="22"/>
      <c r="M34" s="21"/>
    </row>
    <row r="35" spans="1:14" ht="15.95" customHeight="1" thickTop="1">
      <c r="A35" s="20" t="s">
        <v>51</v>
      </c>
      <c r="B35" s="10"/>
      <c r="C35" s="10"/>
      <c r="D35" s="10"/>
      <c r="E35" s="10"/>
      <c r="F35" s="10"/>
      <c r="G35" s="10"/>
      <c r="H35" s="10"/>
      <c r="I35" s="10"/>
      <c r="J35" s="10"/>
      <c r="K35" s="10"/>
      <c r="L35" s="10"/>
      <c r="M35" s="9"/>
    </row>
    <row r="36" spans="1:14" ht="15.95" customHeight="1">
      <c r="A36" s="19" t="s">
        <v>50</v>
      </c>
      <c r="B36" s="18"/>
      <c r="C36" s="18"/>
      <c r="D36" s="18"/>
      <c r="E36" s="18"/>
      <c r="F36" s="18"/>
      <c r="G36" s="18"/>
      <c r="H36" s="18"/>
      <c r="I36" s="18"/>
      <c r="J36" s="18"/>
      <c r="K36" s="18"/>
      <c r="L36" s="18"/>
      <c r="M36" s="17"/>
    </row>
    <row r="37" spans="1:14" ht="15.95" customHeight="1">
      <c r="A37" s="16" t="s">
        <v>49</v>
      </c>
      <c r="B37" s="15"/>
      <c r="C37" s="15"/>
      <c r="D37" s="15"/>
      <c r="E37" s="15"/>
      <c r="F37" s="15"/>
      <c r="G37" s="15"/>
      <c r="H37" s="15"/>
      <c r="I37" s="15"/>
      <c r="J37" s="15"/>
      <c r="K37" s="15"/>
      <c r="L37" s="15"/>
      <c r="M37" s="14"/>
    </row>
    <row r="38" spans="1:14" ht="15.95" customHeight="1">
      <c r="A38" s="13" t="s">
        <v>48</v>
      </c>
      <c r="B38" s="10"/>
      <c r="C38" s="10"/>
      <c r="D38" s="10"/>
      <c r="E38" s="12"/>
      <c r="F38" s="10"/>
      <c r="G38" s="10"/>
      <c r="H38" s="10"/>
      <c r="I38" s="10"/>
      <c r="J38" s="10"/>
      <c r="K38" s="10"/>
      <c r="L38" s="10"/>
      <c r="M38" s="9"/>
    </row>
    <row r="39" spans="1:14" ht="15.95" customHeight="1">
      <c r="A39" s="11" t="s">
        <v>47</v>
      </c>
      <c r="B39" s="10"/>
      <c r="C39" s="10"/>
      <c r="D39" s="10"/>
      <c r="E39" s="10"/>
      <c r="F39" s="10"/>
      <c r="G39" s="10"/>
      <c r="H39" s="10"/>
      <c r="I39" s="10"/>
      <c r="J39" s="10"/>
      <c r="K39" s="10"/>
      <c r="L39" s="10"/>
      <c r="M39" s="9"/>
    </row>
    <row r="40" spans="1:14" ht="15.95" customHeight="1" thickBot="1">
      <c r="A40" s="8" t="s">
        <v>46</v>
      </c>
      <c r="B40" s="7"/>
      <c r="C40" s="7"/>
      <c r="D40" s="7"/>
      <c r="E40" s="7"/>
      <c r="F40" s="7"/>
      <c r="G40" s="7"/>
      <c r="H40" s="7"/>
      <c r="I40" s="7"/>
      <c r="J40" s="7"/>
      <c r="K40" s="7"/>
      <c r="L40" s="7"/>
      <c r="M40" s="6"/>
    </row>
    <row r="41" spans="1:14" ht="15.95" customHeight="1"/>
    <row r="42" spans="1:14" ht="18">
      <c r="A42" s="5"/>
      <c r="B42" s="5"/>
      <c r="C42" s="5"/>
      <c r="D42" s="5"/>
      <c r="E42" s="5"/>
      <c r="F42" s="5"/>
      <c r="G42" s="5"/>
      <c r="H42" s="4"/>
      <c r="I42" s="4"/>
      <c r="J42" s="3" t="s">
        <v>45</v>
      </c>
      <c r="K42" s="662" t="s">
        <v>506</v>
      </c>
      <c r="L42" s="662"/>
      <c r="M42" s="662"/>
      <c r="N42" s="5"/>
    </row>
    <row r="43" spans="1:14" ht="7.5" customHeight="1">
      <c r="H43" s="4"/>
      <c r="I43" s="4"/>
      <c r="J43" s="4"/>
      <c r="K43" s="4"/>
      <c r="L43" s="4"/>
      <c r="M43" s="4"/>
    </row>
    <row r="44" spans="1:14" ht="16.5">
      <c r="H44" s="4"/>
      <c r="I44" s="4"/>
      <c r="J44" s="3" t="s">
        <v>44</v>
      </c>
      <c r="K44" s="663">
        <v>44286</v>
      </c>
      <c r="L44" s="663"/>
      <c r="M44" s="663"/>
    </row>
    <row r="59" spans="1:5">
      <c r="A59" s="1" t="s">
        <v>42</v>
      </c>
      <c r="B59" s="1" t="s">
        <v>43</v>
      </c>
      <c r="D59" s="1">
        <v>1</v>
      </c>
      <c r="E59" s="2" t="s">
        <v>42</v>
      </c>
    </row>
    <row r="60" spans="1:5">
      <c r="A60" s="1" t="s">
        <v>41</v>
      </c>
      <c r="B60" s="1" t="s">
        <v>40</v>
      </c>
      <c r="D60" s="1">
        <v>1.1499999999999999</v>
      </c>
      <c r="E60" s="2" t="s">
        <v>39</v>
      </c>
    </row>
    <row r="61" spans="1:5">
      <c r="A61" s="1" t="s">
        <v>38</v>
      </c>
      <c r="B61" s="1" t="s">
        <v>37</v>
      </c>
      <c r="E61" s="2" t="s">
        <v>36</v>
      </c>
    </row>
    <row r="62" spans="1:5">
      <c r="B62" s="1" t="s">
        <v>35</v>
      </c>
    </row>
    <row r="63" spans="1:5">
      <c r="B63" s="1" t="s">
        <v>34</v>
      </c>
    </row>
    <row r="64" spans="1:5">
      <c r="B64" s="1" t="s">
        <v>33</v>
      </c>
    </row>
    <row r="65" spans="2:2">
      <c r="B65" s="1" t="s">
        <v>32</v>
      </c>
    </row>
    <row r="66" spans="2:2">
      <c r="B66" s="1" t="s">
        <v>31</v>
      </c>
    </row>
    <row r="67" spans="2:2">
      <c r="B67" s="1" t="s">
        <v>30</v>
      </c>
    </row>
    <row r="68" spans="2:2">
      <c r="B68" s="1" t="s">
        <v>29</v>
      </c>
    </row>
    <row r="69" spans="2:2">
      <c r="B69" s="1" t="s">
        <v>28</v>
      </c>
    </row>
    <row r="70" spans="2:2">
      <c r="B70" s="1" t="s">
        <v>27</v>
      </c>
    </row>
    <row r="71" spans="2:2">
      <c r="B71" s="1" t="s">
        <v>26</v>
      </c>
    </row>
    <row r="72" spans="2:2">
      <c r="B72" s="1" t="s">
        <v>25</v>
      </c>
    </row>
    <row r="73" spans="2:2">
      <c r="B73" s="1" t="s">
        <v>24</v>
      </c>
    </row>
    <row r="74" spans="2:2">
      <c r="B74" s="1" t="s">
        <v>23</v>
      </c>
    </row>
    <row r="75" spans="2:2">
      <c r="B75" s="1" t="s">
        <v>22</v>
      </c>
    </row>
    <row r="76" spans="2:2">
      <c r="B76" s="1" t="s">
        <v>21</v>
      </c>
    </row>
    <row r="77" spans="2:2">
      <c r="B77" s="1" t="s">
        <v>20</v>
      </c>
    </row>
    <row r="78" spans="2:2">
      <c r="B78" s="1" t="s">
        <v>19</v>
      </c>
    </row>
    <row r="79" spans="2:2">
      <c r="B79" s="1" t="s">
        <v>18</v>
      </c>
    </row>
    <row r="80" spans="2:2">
      <c r="B80" s="1">
        <v>6312</v>
      </c>
    </row>
    <row r="81" spans="2:2">
      <c r="B81" s="1" t="s">
        <v>17</v>
      </c>
    </row>
    <row r="82" spans="2:2">
      <c r="B82" s="1" t="s">
        <v>16</v>
      </c>
    </row>
    <row r="83" spans="2:2">
      <c r="B83" s="1" t="s">
        <v>15</v>
      </c>
    </row>
    <row r="84" spans="2:2">
      <c r="B84" s="1" t="s">
        <v>14</v>
      </c>
    </row>
    <row r="85" spans="2:2">
      <c r="B85" s="1">
        <v>6313</v>
      </c>
    </row>
    <row r="86" spans="2:2">
      <c r="B86" s="1" t="s">
        <v>13</v>
      </c>
    </row>
    <row r="87" spans="2:2">
      <c r="B87" s="1" t="s">
        <v>12</v>
      </c>
    </row>
    <row r="88" spans="2:2">
      <c r="B88" s="1" t="s">
        <v>11</v>
      </c>
    </row>
    <row r="89" spans="2:2">
      <c r="B89" s="1">
        <v>6314</v>
      </c>
    </row>
    <row r="90" spans="2:2">
      <c r="B90" s="1" t="s">
        <v>10</v>
      </c>
    </row>
    <row r="91" spans="2:2">
      <c r="B91" s="1">
        <v>6317</v>
      </c>
    </row>
    <row r="92" spans="2:2">
      <c r="B92" s="1" t="s">
        <v>9</v>
      </c>
    </row>
    <row r="93" spans="2:2">
      <c r="B93" s="1">
        <v>6318</v>
      </c>
    </row>
    <row r="94" spans="2:2">
      <c r="B94" s="1" t="s">
        <v>8</v>
      </c>
    </row>
    <row r="95" spans="2:2">
      <c r="B95" s="1" t="s">
        <v>7</v>
      </c>
    </row>
    <row r="96" spans="2:2">
      <c r="B96" s="1" t="s">
        <v>6</v>
      </c>
    </row>
    <row r="97" spans="2:2">
      <c r="B97" s="1">
        <v>6320</v>
      </c>
    </row>
    <row r="98" spans="2:2">
      <c r="B98" s="1" t="s">
        <v>5</v>
      </c>
    </row>
    <row r="99" spans="2:2">
      <c r="B99" s="1" t="s">
        <v>4</v>
      </c>
    </row>
    <row r="100" spans="2:2">
      <c r="B100" s="1" t="s">
        <v>3</v>
      </c>
    </row>
    <row r="101" spans="2:2">
      <c r="B101" s="1" t="s">
        <v>2</v>
      </c>
    </row>
    <row r="102" spans="2:2">
      <c r="B102" s="1" t="s">
        <v>2</v>
      </c>
    </row>
    <row r="118" spans="2:2">
      <c r="B118" s="1" t="s">
        <v>1</v>
      </c>
    </row>
    <row r="120" spans="2:2">
      <c r="B120" s="1" t="s">
        <v>0</v>
      </c>
    </row>
  </sheetData>
  <mergeCells count="4">
    <mergeCell ref="L22:M22"/>
    <mergeCell ref="L23:M23"/>
    <mergeCell ref="K42:M42"/>
    <mergeCell ref="K44:M44"/>
  </mergeCells>
  <dataValidations count="1">
    <dataValidation type="list" allowBlank="1" showInputMessage="1" showErrorMessage="1" prompt="Choose from list" sqref="L22:L23">
      <formula1>$B$59:$B$102</formula1>
    </dataValidation>
  </dataValidations>
  <printOptions horizontalCentered="1" gridLinesSet="0"/>
  <pageMargins left="0.5" right="0.5" top="0.5" bottom="0.5" header="0.5" footer="0.5"/>
  <pageSetup orientation="portrait" horizontalDpi="4294967292" r:id="rId1"/>
  <headerFooter alignWithMargins="0">
    <oddFooter>&amp;L&amp;"Univers (WN),Regular"&amp;7N:\ELECTRIC\PERFORMA&amp;C&amp;"Univers (WN),Regular"&amp;7&amp;F</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7"/>
  <sheetViews>
    <sheetView workbookViewId="0">
      <selection activeCell="I30" sqref="I30"/>
    </sheetView>
  </sheetViews>
  <sheetFormatPr defaultRowHeight="12.75"/>
  <cols>
    <col min="1" max="6" width="16.7109375" style="104" customWidth="1"/>
    <col min="7" max="16384" width="9.140625" style="104"/>
  </cols>
  <sheetData>
    <row r="1" spans="1:6" ht="18.95" customHeight="1">
      <c r="A1" s="131"/>
      <c r="B1" s="130"/>
      <c r="C1" s="130"/>
      <c r="D1" s="130"/>
      <c r="E1" s="130"/>
      <c r="F1" s="129"/>
    </row>
    <row r="2" spans="1:6" ht="26.1" customHeight="1">
      <c r="A2" s="128" t="s">
        <v>112</v>
      </c>
      <c r="B2" s="126"/>
      <c r="C2" s="126"/>
      <c r="D2" s="126"/>
      <c r="E2" s="126"/>
      <c r="F2" s="125"/>
    </row>
    <row r="3" spans="1:6" ht="18.95" customHeight="1">
      <c r="A3" s="127" t="s">
        <v>142</v>
      </c>
      <c r="B3" s="126"/>
      <c r="C3" s="126"/>
      <c r="D3" s="126"/>
      <c r="E3" s="126"/>
      <c r="F3" s="125"/>
    </row>
    <row r="4" spans="1:6" ht="18.95" customHeight="1">
      <c r="A4" s="116"/>
      <c r="B4" s="115"/>
      <c r="C4" s="115"/>
      <c r="D4" s="115"/>
      <c r="E4" s="115"/>
      <c r="F4" s="114"/>
    </row>
    <row r="5" spans="1:6" ht="18.95" customHeight="1">
      <c r="A5" s="116"/>
      <c r="B5" s="115"/>
      <c r="C5" s="115"/>
      <c r="D5" s="115"/>
      <c r="E5" s="115"/>
      <c r="F5" s="114"/>
    </row>
    <row r="6" spans="1:6" ht="18.95" customHeight="1">
      <c r="A6" s="123" t="s">
        <v>141</v>
      </c>
      <c r="B6" s="664" t="str">
        <f>'Performance Data Sheet'!C17</f>
        <v>WT-10035612</v>
      </c>
      <c r="C6" s="665"/>
      <c r="D6" s="666"/>
      <c r="E6" s="123" t="s">
        <v>140</v>
      </c>
      <c r="F6" s="122">
        <f>'Performance Data Sheet'!I14</f>
        <v>256</v>
      </c>
    </row>
    <row r="7" spans="1:6" ht="18.95" customHeight="1">
      <c r="A7" s="123" t="s">
        <v>139</v>
      </c>
      <c r="B7" s="122" t="str">
        <f>'Performance Data Sheet'!F14</f>
        <v>WP-II</v>
      </c>
      <c r="C7" s="123" t="s">
        <v>138</v>
      </c>
      <c r="D7" s="122" t="str">
        <f>'Performance Data Sheet'!F13 &amp; " V"</f>
        <v>4000 V</v>
      </c>
      <c r="E7" s="123" t="s">
        <v>137</v>
      </c>
      <c r="F7" s="122" t="str">
        <f>'Performance Data Sheet'!C14</f>
        <v>5811USS</v>
      </c>
    </row>
    <row r="8" spans="1:6" ht="18.95" customHeight="1">
      <c r="A8" s="123" t="s">
        <v>136</v>
      </c>
      <c r="B8" s="122">
        <v>2</v>
      </c>
      <c r="C8" s="123" t="s">
        <v>135</v>
      </c>
      <c r="D8" s="122" t="s">
        <v>134</v>
      </c>
      <c r="E8" s="123" t="s">
        <v>133</v>
      </c>
      <c r="F8" s="122" t="str">
        <f>'Performance Data Sheet'!M15</f>
        <v>F</v>
      </c>
    </row>
    <row r="9" spans="1:6" ht="18.95" customHeight="1">
      <c r="A9" s="123" t="s">
        <v>132</v>
      </c>
      <c r="B9" s="122">
        <f>'Performance Data Sheet'!C13</f>
        <v>2000</v>
      </c>
      <c r="C9" s="123" t="s">
        <v>131</v>
      </c>
      <c r="D9" s="122" t="s">
        <v>130</v>
      </c>
      <c r="E9" s="123" t="s">
        <v>129</v>
      </c>
      <c r="F9" s="124">
        <f>'Performance Data Sheet'!K44</f>
        <v>44286</v>
      </c>
    </row>
    <row r="10" spans="1:6" ht="18.95" customHeight="1">
      <c r="A10" s="123" t="s">
        <v>83</v>
      </c>
      <c r="B10" s="122">
        <f>'Performance Data Sheet'!M14</f>
        <v>3565</v>
      </c>
      <c r="C10" s="123" t="s">
        <v>128</v>
      </c>
      <c r="D10" s="122" t="s">
        <v>633</v>
      </c>
      <c r="E10" s="123" t="s">
        <v>127</v>
      </c>
      <c r="F10" s="122" t="s">
        <v>634</v>
      </c>
    </row>
    <row r="11" spans="1:6" ht="18.95" customHeight="1">
      <c r="A11" s="116"/>
      <c r="B11" s="115"/>
      <c r="C11" s="115"/>
      <c r="D11" s="115"/>
      <c r="E11" s="115"/>
      <c r="F11" s="114"/>
    </row>
    <row r="12" spans="1:6" ht="18.95" customHeight="1">
      <c r="A12" s="116"/>
      <c r="B12" s="118" t="s">
        <v>126</v>
      </c>
      <c r="C12" s="120" t="str">
        <f>'Performance Data Sheet'!D22 &amp; " A"</f>
        <v>1551 A</v>
      </c>
      <c r="D12" s="118" t="s">
        <v>125</v>
      </c>
      <c r="E12" s="120" t="s">
        <v>633</v>
      </c>
      <c r="F12" s="114"/>
    </row>
    <row r="13" spans="1:6" ht="18.95" customHeight="1">
      <c r="A13" s="116"/>
      <c r="B13" s="118" t="s">
        <v>123</v>
      </c>
      <c r="C13" s="121">
        <f>'Performance Data Sheet'!H23/100</f>
        <v>1.75</v>
      </c>
      <c r="D13" s="118" t="s">
        <v>122</v>
      </c>
      <c r="E13" s="120" t="s">
        <v>633</v>
      </c>
      <c r="F13" s="114"/>
    </row>
    <row r="14" spans="1:6" ht="18.95" customHeight="1">
      <c r="A14" s="116"/>
      <c r="B14" s="118" t="s">
        <v>121</v>
      </c>
      <c r="C14" s="121">
        <v>2.15</v>
      </c>
      <c r="D14" s="118" t="s">
        <v>120</v>
      </c>
      <c r="E14" s="120" t="s">
        <v>633</v>
      </c>
      <c r="F14" s="114"/>
    </row>
    <row r="15" spans="1:6" ht="18.95" customHeight="1">
      <c r="A15" s="116"/>
      <c r="B15" s="118" t="s">
        <v>119</v>
      </c>
      <c r="C15" s="120" t="str">
        <f>'Performance Data Sheet'!H22 &amp; " lb-ft"</f>
        <v>2946 lb-ft</v>
      </c>
      <c r="D15" s="115"/>
      <c r="E15" s="115"/>
      <c r="F15" s="114"/>
    </row>
    <row r="16" spans="1:6" ht="18.95" customHeight="1">
      <c r="A16" s="116"/>
      <c r="B16" s="115"/>
      <c r="C16" s="115"/>
      <c r="D16" s="115"/>
      <c r="E16" s="115"/>
      <c r="F16" s="114"/>
    </row>
    <row r="17" spans="1:6" ht="18.95" customHeight="1">
      <c r="A17" s="116"/>
      <c r="B17" s="115"/>
      <c r="C17" s="115"/>
      <c r="D17" s="115"/>
      <c r="E17" s="115"/>
      <c r="F17" s="114"/>
    </row>
    <row r="18" spans="1:6" ht="18.95" customHeight="1">
      <c r="A18" s="116"/>
      <c r="B18" s="115"/>
      <c r="C18" s="115"/>
      <c r="D18" s="115"/>
      <c r="E18" s="115"/>
      <c r="F18" s="114"/>
    </row>
    <row r="19" spans="1:6" ht="18.95" customHeight="1">
      <c r="A19" s="116"/>
      <c r="B19" s="115"/>
      <c r="C19" s="115"/>
      <c r="D19" s="115"/>
      <c r="E19" s="115"/>
      <c r="F19" s="114"/>
    </row>
    <row r="20" spans="1:6" ht="18.95" customHeight="1">
      <c r="A20" s="116"/>
      <c r="B20" s="115"/>
      <c r="C20" s="115"/>
      <c r="D20" s="115"/>
      <c r="E20" s="115"/>
      <c r="F20" s="114"/>
    </row>
    <row r="21" spans="1:6" ht="18.95" customHeight="1">
      <c r="A21" s="116"/>
      <c r="B21" s="115"/>
      <c r="C21" s="115"/>
      <c r="D21" s="115"/>
      <c r="E21" s="115"/>
      <c r="F21" s="114"/>
    </row>
    <row r="22" spans="1:6" ht="18.95" customHeight="1">
      <c r="A22" s="116"/>
      <c r="B22" s="115"/>
      <c r="C22" s="115"/>
      <c r="D22" s="115"/>
      <c r="E22" s="115"/>
      <c r="F22" s="114"/>
    </row>
    <row r="23" spans="1:6" ht="18.95" customHeight="1">
      <c r="A23" s="116"/>
      <c r="B23" s="115"/>
      <c r="C23" s="115"/>
      <c r="D23" s="115"/>
      <c r="E23" s="115"/>
      <c r="F23" s="114"/>
    </row>
    <row r="24" spans="1:6" ht="18.95" customHeight="1">
      <c r="A24" s="116"/>
      <c r="B24" s="115"/>
      <c r="C24" s="115"/>
      <c r="D24" s="115"/>
      <c r="E24" s="115"/>
      <c r="F24" s="114"/>
    </row>
    <row r="25" spans="1:6" ht="18.95" customHeight="1">
      <c r="A25" s="116"/>
      <c r="B25" s="115"/>
      <c r="C25" s="115"/>
      <c r="D25" s="115"/>
      <c r="E25" s="115"/>
      <c r="F25" s="114"/>
    </row>
    <row r="26" spans="1:6" ht="18.95" customHeight="1">
      <c r="A26" s="116"/>
      <c r="B26" s="115"/>
      <c r="C26" s="115"/>
      <c r="D26" s="115"/>
      <c r="E26" s="115"/>
      <c r="F26" s="114"/>
    </row>
    <row r="27" spans="1:6" ht="18.95" customHeight="1">
      <c r="A27" s="116"/>
      <c r="B27" s="115"/>
      <c r="C27" s="115"/>
      <c r="D27" s="115"/>
      <c r="E27" s="115"/>
      <c r="F27" s="114"/>
    </row>
    <row r="28" spans="1:6" ht="18.95" customHeight="1">
      <c r="A28" s="116"/>
      <c r="B28" s="115"/>
      <c r="C28" s="115"/>
      <c r="D28" s="115"/>
      <c r="E28" s="115"/>
      <c r="F28" s="114"/>
    </row>
    <row r="29" spans="1:6" ht="18.95" customHeight="1">
      <c r="A29" s="116"/>
      <c r="B29" s="115"/>
      <c r="C29" s="115"/>
      <c r="D29" s="115"/>
      <c r="E29" s="115"/>
      <c r="F29" s="114"/>
    </row>
    <row r="30" spans="1:6" ht="18.95" customHeight="1">
      <c r="A30" s="116"/>
      <c r="B30" s="115"/>
      <c r="C30" s="115"/>
      <c r="D30" s="115"/>
      <c r="E30" s="115"/>
      <c r="F30" s="114"/>
    </row>
    <row r="31" spans="1:6" ht="18.95" customHeight="1">
      <c r="A31" s="116"/>
      <c r="B31" s="115"/>
      <c r="C31" s="115"/>
      <c r="D31" s="115"/>
      <c r="E31" s="115"/>
      <c r="F31" s="114"/>
    </row>
    <row r="32" spans="1:6" ht="18.95" customHeight="1">
      <c r="A32" s="116"/>
      <c r="B32" s="115"/>
      <c r="C32" s="115"/>
      <c r="D32" s="115"/>
      <c r="E32" s="115"/>
      <c r="F32" s="114"/>
    </row>
    <row r="33" spans="1:6" ht="18.95" customHeight="1">
      <c r="A33" s="116"/>
      <c r="B33" s="115"/>
      <c r="C33" s="115"/>
      <c r="D33" s="115"/>
      <c r="E33" s="115"/>
      <c r="F33" s="114"/>
    </row>
    <row r="34" spans="1:6" ht="18.95" customHeight="1">
      <c r="A34" s="116"/>
      <c r="B34" s="115"/>
      <c r="C34" s="115"/>
      <c r="D34" s="115"/>
      <c r="E34" s="115"/>
      <c r="F34" s="114"/>
    </row>
    <row r="35" spans="1:6" ht="18.95" customHeight="1">
      <c r="A35" s="116"/>
      <c r="B35" s="115"/>
      <c r="C35" s="115"/>
      <c r="D35" s="115"/>
      <c r="E35" s="115"/>
      <c r="F35" s="114"/>
    </row>
    <row r="36" spans="1:6" ht="18.95" customHeight="1">
      <c r="A36" s="116"/>
      <c r="B36" s="115"/>
      <c r="C36" s="115"/>
      <c r="D36" s="115"/>
      <c r="E36" s="115"/>
      <c r="F36" s="114"/>
    </row>
    <row r="37" spans="1:6" ht="18.95" customHeight="1">
      <c r="A37" s="116"/>
      <c r="B37" s="115"/>
      <c r="C37" s="115"/>
      <c r="D37" s="115"/>
      <c r="E37" s="115"/>
      <c r="F37" s="114"/>
    </row>
    <row r="38" spans="1:6" ht="18.95" customHeight="1">
      <c r="A38" s="116"/>
      <c r="B38" s="115"/>
      <c r="C38" s="115"/>
      <c r="D38" s="115"/>
      <c r="E38" s="115"/>
      <c r="F38" s="114"/>
    </row>
    <row r="39" spans="1:6" ht="18.95" customHeight="1">
      <c r="A39" s="119" t="s">
        <v>118</v>
      </c>
      <c r="B39" s="112" t="s">
        <v>117</v>
      </c>
      <c r="C39" s="112" t="str">
        <f>'Performance Data Sheet'!C10</f>
        <v>2213503.1</v>
      </c>
      <c r="D39" s="115"/>
      <c r="E39" s="118" t="s">
        <v>116</v>
      </c>
      <c r="F39" s="117" t="str">
        <f>F10</f>
        <v>H0102822</v>
      </c>
    </row>
    <row r="40" spans="1:6" ht="18.95" customHeight="1">
      <c r="A40" s="116"/>
      <c r="B40" s="112"/>
      <c r="C40" s="112"/>
      <c r="D40" s="115"/>
      <c r="E40" s="115"/>
      <c r="F40" s="114"/>
    </row>
    <row r="41" spans="1:6" ht="18.95" customHeight="1">
      <c r="A41" s="116"/>
      <c r="B41" s="112"/>
      <c r="C41" s="112"/>
      <c r="D41" s="115"/>
      <c r="E41" s="115"/>
      <c r="F41" s="114"/>
    </row>
    <row r="42" spans="1:6" ht="18.95" customHeight="1">
      <c r="A42" s="116"/>
      <c r="B42" s="115"/>
      <c r="C42" s="115"/>
      <c r="D42" s="115"/>
      <c r="E42" s="115"/>
      <c r="F42" s="114"/>
    </row>
    <row r="43" spans="1:6" ht="18.95" customHeight="1">
      <c r="A43" s="113"/>
      <c r="B43" s="112"/>
      <c r="C43" s="111" t="s">
        <v>115</v>
      </c>
      <c r="D43" s="110" t="str">
        <f>'Performance Data Sheet'!K42</f>
        <v>JERRY R</v>
      </c>
      <c r="E43" s="111" t="s">
        <v>114</v>
      </c>
      <c r="F43" s="110"/>
    </row>
    <row r="44" spans="1:6" ht="15" customHeight="1"/>
    <row r="45" spans="1:6" ht="15" customHeight="1"/>
    <row r="46" spans="1:6" ht="15" customHeight="1"/>
    <row r="47" spans="1:6" ht="15" customHeight="1"/>
    <row r="48" spans="1:6" ht="15" customHeight="1"/>
    <row r="49" spans="1:12" ht="15" customHeight="1"/>
    <row r="50" spans="1:12" ht="15" customHeight="1"/>
    <row r="51" spans="1:12" ht="15" customHeight="1"/>
    <row r="52" spans="1:12" ht="15" customHeight="1"/>
    <row r="53" spans="1:12" ht="15" customHeight="1">
      <c r="D53" s="105" t="s">
        <v>113</v>
      </c>
      <c r="E53" s="105"/>
      <c r="F53" s="105"/>
      <c r="G53" s="105"/>
      <c r="H53" s="105"/>
      <c r="I53" s="105"/>
      <c r="J53" s="105"/>
      <c r="K53" s="105"/>
      <c r="L53" s="105"/>
    </row>
    <row r="54" spans="1:12" ht="15" customHeight="1">
      <c r="A54" s="109">
        <v>100</v>
      </c>
      <c r="B54" s="107">
        <v>0</v>
      </c>
      <c r="C54" s="107">
        <v>0.22434405982494354</v>
      </c>
      <c r="D54" s="105">
        <v>100</v>
      </c>
      <c r="E54" s="105"/>
      <c r="F54" s="105"/>
      <c r="G54" s="105"/>
      <c r="H54" s="105"/>
      <c r="I54" s="105"/>
      <c r="J54" s="105"/>
      <c r="K54" s="105"/>
      <c r="L54" s="105"/>
    </row>
    <row r="55" spans="1:12" ht="15" customHeight="1">
      <c r="A55" s="109">
        <v>99.200000055134296</v>
      </c>
      <c r="B55" s="107">
        <v>78.014384670440649</v>
      </c>
      <c r="C55" s="107">
        <v>106.41206843261719</v>
      </c>
      <c r="D55" s="105">
        <v>98.400001525878906</v>
      </c>
      <c r="E55" s="105"/>
      <c r="F55" s="105"/>
      <c r="G55" s="105"/>
      <c r="H55" s="105"/>
      <c r="I55" s="105"/>
      <c r="J55" s="105"/>
      <c r="K55" s="105"/>
      <c r="L55" s="105"/>
    </row>
    <row r="56" spans="1:12" ht="15" customHeight="1">
      <c r="A56" s="109">
        <v>96.000000089406967</v>
      </c>
      <c r="B56" s="107">
        <v>215</v>
      </c>
      <c r="C56" s="107">
        <v>379.18820786132812</v>
      </c>
      <c r="D56" s="105">
        <v>89.75</v>
      </c>
      <c r="E56" s="105"/>
      <c r="F56" s="105"/>
      <c r="G56" s="105"/>
      <c r="H56" s="105"/>
      <c r="I56" s="105"/>
      <c r="J56" s="105"/>
      <c r="K56" s="105"/>
      <c r="L56" s="105"/>
    </row>
    <row r="57" spans="1:12">
      <c r="A57" s="109">
        <v>90.888889133930206</v>
      </c>
      <c r="B57" s="107">
        <v>183.76141890476322</v>
      </c>
      <c r="C57" s="107">
        <v>493.50242449218752</v>
      </c>
      <c r="D57" s="105">
        <v>76.311111450195313</v>
      </c>
      <c r="E57" s="105"/>
      <c r="F57" s="105"/>
      <c r="G57" s="105"/>
      <c r="H57" s="105"/>
      <c r="I57" s="105"/>
      <c r="J57" s="105"/>
      <c r="K57" s="105"/>
      <c r="L57" s="105"/>
    </row>
    <row r="58" spans="1:12">
      <c r="A58" s="109">
        <v>85.777777433395386</v>
      </c>
      <c r="B58" s="107">
        <v>152.31824707465833</v>
      </c>
      <c r="C58" s="107">
        <v>530.9361532617188</v>
      </c>
      <c r="D58" s="105">
        <v>63.022220611572266</v>
      </c>
      <c r="E58" s="105"/>
      <c r="F58" s="105"/>
      <c r="G58" s="105"/>
      <c r="H58" s="105"/>
      <c r="I58" s="105"/>
      <c r="J58" s="105"/>
      <c r="K58" s="105"/>
      <c r="L58" s="105"/>
    </row>
    <row r="59" spans="1:12">
      <c r="A59" s="109">
        <v>80.666665732860565</v>
      </c>
      <c r="B59" s="107">
        <v>138.22012087511735</v>
      </c>
      <c r="C59" s="107">
        <v>547.75137269531251</v>
      </c>
      <c r="D59" s="105">
        <v>51.466663360595703</v>
      </c>
      <c r="E59" s="105"/>
      <c r="F59" s="105"/>
      <c r="G59" s="105"/>
      <c r="H59" s="105"/>
      <c r="I59" s="105"/>
      <c r="J59" s="105"/>
      <c r="K59" s="105"/>
      <c r="L59" s="105"/>
    </row>
    <row r="60" spans="1:12">
      <c r="A60" s="109">
        <v>70.444443821907043</v>
      </c>
      <c r="B60" s="107">
        <v>130.6856747600294</v>
      </c>
      <c r="C60" s="107">
        <v>563.80109601562503</v>
      </c>
      <c r="D60" s="105">
        <v>33.75555419921875</v>
      </c>
      <c r="E60" s="105"/>
      <c r="F60" s="105"/>
      <c r="G60" s="105"/>
      <c r="H60" s="105"/>
      <c r="I60" s="105"/>
      <c r="J60" s="105"/>
      <c r="K60" s="105"/>
      <c r="L60" s="105"/>
    </row>
    <row r="61" spans="1:12">
      <c r="A61" s="109">
        <v>60.222220420837402</v>
      </c>
      <c r="B61" s="107">
        <v>130.20570755533026</v>
      </c>
      <c r="C61" s="107">
        <v>573.11588572265623</v>
      </c>
      <c r="D61" s="105">
        <v>22.244441986083984</v>
      </c>
      <c r="E61" s="105"/>
      <c r="F61" s="105"/>
      <c r="G61" s="105"/>
      <c r="H61" s="105"/>
      <c r="I61" s="105"/>
      <c r="J61" s="105"/>
      <c r="K61" s="105"/>
      <c r="L61" s="105"/>
    </row>
    <row r="62" spans="1:12">
      <c r="A62" s="109">
        <v>50</v>
      </c>
      <c r="B62" s="107">
        <v>130</v>
      </c>
      <c r="C62" s="107">
        <v>580.42874753906256</v>
      </c>
      <c r="D62" s="105">
        <v>14</v>
      </c>
      <c r="E62" s="105"/>
      <c r="F62" s="105"/>
      <c r="G62" s="105"/>
      <c r="H62" s="105"/>
      <c r="I62" s="105"/>
      <c r="J62" s="105"/>
      <c r="K62" s="105"/>
      <c r="L62" s="105"/>
    </row>
    <row r="63" spans="1:12">
      <c r="A63" s="109">
        <v>39.999997615814209</v>
      </c>
      <c r="B63" s="107">
        <v>131.49283250731324</v>
      </c>
      <c r="C63" s="107">
        <v>586.83758859374996</v>
      </c>
      <c r="D63" s="105">
        <v>7.9999995231628418</v>
      </c>
      <c r="E63" s="105"/>
      <c r="F63" s="105"/>
      <c r="G63" s="105"/>
      <c r="H63" s="105"/>
      <c r="I63" s="105"/>
      <c r="J63" s="105"/>
      <c r="K63" s="105"/>
      <c r="L63" s="105"/>
    </row>
    <row r="64" spans="1:12">
      <c r="A64" s="109">
        <v>30.000001192092896</v>
      </c>
      <c r="B64" s="107">
        <v>135.09953047586291</v>
      </c>
      <c r="C64" s="107">
        <v>592.36846500000001</v>
      </c>
      <c r="D64" s="105">
        <v>5.9999995231628418</v>
      </c>
      <c r="E64" s="105"/>
      <c r="F64" s="105"/>
      <c r="G64" s="105"/>
      <c r="H64" s="105"/>
      <c r="I64" s="105"/>
      <c r="J64" s="105"/>
      <c r="K64" s="105"/>
      <c r="L64" s="105"/>
    </row>
    <row r="65" spans="1:12">
      <c r="A65" s="109">
        <v>19.999998807907104</v>
      </c>
      <c r="B65" s="107">
        <v>142.055856963737</v>
      </c>
      <c r="C65" s="107">
        <v>597.38207039062502</v>
      </c>
      <c r="D65" s="105">
        <v>8.0000009536743164</v>
      </c>
      <c r="E65" s="105"/>
      <c r="F65" s="105"/>
      <c r="G65" s="105"/>
      <c r="H65" s="105"/>
      <c r="I65" s="105"/>
      <c r="J65" s="105"/>
      <c r="K65" s="105"/>
      <c r="L65" s="105"/>
    </row>
    <row r="66" spans="1:12">
      <c r="A66" s="109">
        <v>10.000002384185791</v>
      </c>
      <c r="B66" s="107">
        <v>154.3162057244725</v>
      </c>
      <c r="C66" s="107">
        <v>601.87690037109371</v>
      </c>
      <c r="D66" s="105">
        <v>14.999996185302734</v>
      </c>
      <c r="E66" s="105"/>
      <c r="F66" s="105"/>
      <c r="G66" s="105"/>
      <c r="H66" s="105"/>
      <c r="I66" s="105"/>
      <c r="J66" s="105"/>
      <c r="K66" s="105"/>
      <c r="L66" s="105"/>
    </row>
    <row r="67" spans="1:12">
      <c r="A67" s="108">
        <v>0</v>
      </c>
      <c r="B67" s="107">
        <v>175</v>
      </c>
      <c r="C67" s="107">
        <v>605.80162500000006</v>
      </c>
      <c r="D67" s="105">
        <v>30</v>
      </c>
      <c r="E67" s="159"/>
      <c r="F67" s="106"/>
      <c r="G67" s="105"/>
      <c r="H67" s="105"/>
      <c r="I67" s="105"/>
      <c r="J67" s="105"/>
      <c r="K67" s="105"/>
      <c r="L67" s="105"/>
    </row>
  </sheetData>
  <mergeCells count="1">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81"/>
  <sheetViews>
    <sheetView topLeftCell="A56" workbookViewId="0">
      <selection activeCell="O85" sqref="O85"/>
    </sheetView>
  </sheetViews>
  <sheetFormatPr defaultRowHeight="12.75"/>
  <cols>
    <col min="1" max="6" width="16.7109375" style="104" customWidth="1"/>
    <col min="7" max="16384" width="9.140625" style="104"/>
  </cols>
  <sheetData>
    <row r="1" spans="1:6" ht="18.95" customHeight="1">
      <c r="A1" s="131"/>
      <c r="B1" s="130"/>
      <c r="C1" s="130"/>
      <c r="D1" s="130"/>
      <c r="E1" s="130"/>
      <c r="F1" s="129"/>
    </row>
    <row r="2" spans="1:6" ht="26.1" customHeight="1">
      <c r="A2" s="128" t="s">
        <v>112</v>
      </c>
      <c r="B2" s="126"/>
      <c r="C2" s="126"/>
      <c r="D2" s="126"/>
      <c r="E2" s="126"/>
      <c r="F2" s="125"/>
    </row>
    <row r="3" spans="1:6" ht="18.95" customHeight="1">
      <c r="A3" s="667" t="s">
        <v>150</v>
      </c>
      <c r="B3" s="668"/>
      <c r="C3" s="668"/>
      <c r="D3" s="668"/>
      <c r="E3" s="668"/>
      <c r="F3" s="669"/>
    </row>
    <row r="4" spans="1:6" ht="18.95" customHeight="1">
      <c r="A4" s="670" t="s">
        <v>149</v>
      </c>
      <c r="B4" s="671"/>
      <c r="C4" s="671"/>
      <c r="D4" s="671"/>
      <c r="E4" s="671"/>
      <c r="F4" s="672"/>
    </row>
    <row r="5" spans="1:6" ht="18.95" customHeight="1">
      <c r="A5" s="116"/>
      <c r="B5" s="115"/>
      <c r="C5" s="115"/>
      <c r="D5" s="115"/>
      <c r="E5" s="115"/>
      <c r="F5" s="114"/>
    </row>
    <row r="6" spans="1:6" ht="18.95" customHeight="1">
      <c r="A6" s="123" t="s">
        <v>141</v>
      </c>
      <c r="B6" s="664" t="str">
        <f>'Performance Data Sheet'!C17</f>
        <v>WT-10035612</v>
      </c>
      <c r="C6" s="665"/>
      <c r="D6" s="666"/>
      <c r="E6" s="123" t="s">
        <v>140</v>
      </c>
      <c r="F6" s="122">
        <f>'Performance Data Sheet'!I14</f>
        <v>256</v>
      </c>
    </row>
    <row r="7" spans="1:6" ht="18.95" customHeight="1">
      <c r="A7" s="123" t="s">
        <v>139</v>
      </c>
      <c r="B7" s="122" t="str">
        <f>'Performance Data Sheet'!F14</f>
        <v>WP-II</v>
      </c>
      <c r="C7" s="123" t="s">
        <v>138</v>
      </c>
      <c r="D7" s="122" t="str">
        <f>'Performance Data Sheet'!F13 &amp; " V"</f>
        <v>4000 V</v>
      </c>
      <c r="E7" s="123" t="s">
        <v>137</v>
      </c>
      <c r="F7" s="122" t="str">
        <f>'Performance Data Sheet'!C14</f>
        <v>5811USS</v>
      </c>
    </row>
    <row r="8" spans="1:6" ht="18.95" customHeight="1">
      <c r="A8" s="123" t="s">
        <v>136</v>
      </c>
      <c r="B8" s="122">
        <v>2</v>
      </c>
      <c r="C8" s="123" t="s">
        <v>135</v>
      </c>
      <c r="D8" s="122" t="s">
        <v>134</v>
      </c>
      <c r="E8" s="123" t="s">
        <v>133</v>
      </c>
      <c r="F8" s="122" t="str">
        <f>'Performance Data Sheet'!M15</f>
        <v>F</v>
      </c>
    </row>
    <row r="9" spans="1:6" ht="18.95" customHeight="1">
      <c r="A9" s="123" t="s">
        <v>132</v>
      </c>
      <c r="B9" s="122">
        <f>'Performance Data Sheet'!C13</f>
        <v>2000</v>
      </c>
      <c r="C9" s="123" t="s">
        <v>131</v>
      </c>
      <c r="D9" s="122" t="s">
        <v>130</v>
      </c>
      <c r="E9" s="123" t="s">
        <v>129</v>
      </c>
      <c r="F9" s="124">
        <f>'Performance Data Sheet'!K44</f>
        <v>44286</v>
      </c>
    </row>
    <row r="10" spans="1:6" ht="18.95" customHeight="1">
      <c r="A10" s="123" t="s">
        <v>83</v>
      </c>
      <c r="B10" s="122">
        <f>'Performance Data Sheet'!M14</f>
        <v>3565</v>
      </c>
      <c r="C10" s="123" t="s">
        <v>128</v>
      </c>
      <c r="D10" s="122" t="s">
        <v>633</v>
      </c>
      <c r="E10" s="123" t="s">
        <v>127</v>
      </c>
      <c r="F10" s="122" t="s">
        <v>634</v>
      </c>
    </row>
    <row r="11" spans="1:6" ht="18.95" customHeight="1">
      <c r="A11" s="116"/>
      <c r="B11" s="115"/>
      <c r="C11" s="115"/>
      <c r="D11" s="115"/>
      <c r="E11" s="115"/>
      <c r="F11" s="114"/>
    </row>
    <row r="12" spans="1:6" ht="18.95" customHeight="1">
      <c r="A12" s="116"/>
      <c r="B12" s="118"/>
      <c r="C12" s="120" t="str">
        <f>'Performance Data Sheet'!D22 &amp; " A"</f>
        <v>1551 A</v>
      </c>
      <c r="D12" s="118"/>
      <c r="E12" s="120"/>
      <c r="F12" s="114"/>
    </row>
    <row r="13" spans="1:6" ht="18.95" customHeight="1">
      <c r="A13" s="116"/>
      <c r="B13" s="118"/>
      <c r="C13" s="121">
        <f>'Performance Data Sheet'!H23/100</f>
        <v>1.75</v>
      </c>
      <c r="D13" s="118"/>
      <c r="E13" s="120"/>
      <c r="F13" s="114"/>
    </row>
    <row r="14" spans="1:6" ht="18.95" customHeight="1">
      <c r="A14" s="116"/>
      <c r="B14" s="118"/>
      <c r="C14" s="121"/>
      <c r="D14" s="118"/>
      <c r="E14" s="120"/>
      <c r="F14" s="114"/>
    </row>
    <row r="15" spans="1:6" ht="18.95" customHeight="1">
      <c r="A15" s="116"/>
      <c r="B15" s="118"/>
      <c r="C15" s="120" t="str">
        <f>'Performance Data Sheet'!H22 &amp; " lb-ft"</f>
        <v>2946 lb-ft</v>
      </c>
      <c r="D15" s="115"/>
      <c r="E15" s="115"/>
      <c r="F15" s="114"/>
    </row>
    <row r="16" spans="1:6" ht="18.95" customHeight="1">
      <c r="A16" s="116"/>
      <c r="B16" s="115"/>
      <c r="C16" s="115"/>
      <c r="D16" s="115"/>
      <c r="E16" s="115"/>
      <c r="F16" s="114"/>
    </row>
    <row r="17" spans="1:6" ht="18.95" customHeight="1">
      <c r="A17" s="116"/>
      <c r="B17" s="115"/>
      <c r="C17" s="115"/>
      <c r="D17" s="115"/>
      <c r="E17" s="115"/>
      <c r="F17" s="114"/>
    </row>
    <row r="18" spans="1:6" ht="18.95" customHeight="1">
      <c r="A18" s="116"/>
      <c r="B18" s="115"/>
      <c r="C18" s="115"/>
      <c r="D18" s="115"/>
      <c r="E18" s="115"/>
      <c r="F18" s="114"/>
    </row>
    <row r="19" spans="1:6" ht="18.95" customHeight="1">
      <c r="A19" s="116"/>
      <c r="B19" s="115"/>
      <c r="C19" s="115"/>
      <c r="D19" s="115"/>
      <c r="E19" s="115"/>
      <c r="F19" s="114"/>
    </row>
    <row r="20" spans="1:6" ht="18.95" customHeight="1">
      <c r="A20" s="116"/>
      <c r="B20" s="115"/>
      <c r="C20" s="115"/>
      <c r="D20" s="115"/>
      <c r="E20" s="115"/>
      <c r="F20" s="114"/>
    </row>
    <row r="21" spans="1:6" ht="18.95" customHeight="1">
      <c r="A21" s="116"/>
      <c r="B21" s="115"/>
      <c r="C21" s="115"/>
      <c r="D21" s="115"/>
      <c r="E21" s="115"/>
      <c r="F21" s="114"/>
    </row>
    <row r="22" spans="1:6" ht="18.95" customHeight="1">
      <c r="A22" s="116"/>
      <c r="B22" s="115"/>
      <c r="C22" s="115"/>
      <c r="D22" s="115"/>
      <c r="E22" s="115"/>
      <c r="F22" s="114"/>
    </row>
    <row r="23" spans="1:6" ht="18.95" customHeight="1">
      <c r="A23" s="116"/>
      <c r="B23" s="115"/>
      <c r="C23" s="115"/>
      <c r="D23" s="115"/>
      <c r="E23" s="115"/>
      <c r="F23" s="114"/>
    </row>
    <row r="24" spans="1:6" ht="18.95" customHeight="1">
      <c r="A24" s="116"/>
      <c r="B24" s="115"/>
      <c r="C24" s="115"/>
      <c r="D24" s="115"/>
      <c r="E24" s="115"/>
      <c r="F24" s="114"/>
    </row>
    <row r="25" spans="1:6" ht="18.95" customHeight="1">
      <c r="A25" s="116"/>
      <c r="B25" s="115"/>
      <c r="C25" s="115"/>
      <c r="D25" s="115"/>
      <c r="E25" s="115"/>
      <c r="F25" s="114"/>
    </row>
    <row r="26" spans="1:6" ht="18.95" customHeight="1">
      <c r="A26" s="116"/>
      <c r="B26" s="115"/>
      <c r="C26" s="115"/>
      <c r="D26" s="115"/>
      <c r="E26" s="115"/>
      <c r="F26" s="114"/>
    </row>
    <row r="27" spans="1:6" ht="18.95" customHeight="1">
      <c r="A27" s="116"/>
      <c r="B27" s="115"/>
      <c r="C27" s="115"/>
      <c r="D27" s="115"/>
      <c r="E27" s="115"/>
      <c r="F27" s="114"/>
    </row>
    <row r="28" spans="1:6" ht="18.95" customHeight="1">
      <c r="A28" s="116"/>
      <c r="B28" s="115"/>
      <c r="C28" s="115"/>
      <c r="D28" s="115"/>
      <c r="E28" s="115"/>
      <c r="F28" s="114"/>
    </row>
    <row r="29" spans="1:6" ht="18.95" customHeight="1">
      <c r="A29" s="116"/>
      <c r="B29" s="115"/>
      <c r="C29" s="115"/>
      <c r="D29" s="115"/>
      <c r="E29" s="115"/>
      <c r="F29" s="114"/>
    </row>
    <row r="30" spans="1:6" ht="18.95" customHeight="1">
      <c r="A30" s="116"/>
      <c r="B30" s="115"/>
      <c r="C30" s="115"/>
      <c r="D30" s="115"/>
      <c r="E30" s="115"/>
      <c r="F30" s="114"/>
    </row>
    <row r="31" spans="1:6" ht="18.95" customHeight="1">
      <c r="A31" s="116"/>
      <c r="B31" s="115"/>
      <c r="C31" s="115"/>
      <c r="D31" s="115"/>
      <c r="E31" s="115"/>
      <c r="F31" s="114"/>
    </row>
    <row r="32" spans="1:6" ht="18.95" customHeight="1">
      <c r="A32" s="116"/>
      <c r="B32" s="115"/>
      <c r="C32" s="115"/>
      <c r="D32" s="115"/>
      <c r="E32" s="115"/>
      <c r="F32" s="114"/>
    </row>
    <row r="33" spans="1:6" ht="18.95" customHeight="1">
      <c r="A33" s="116"/>
      <c r="B33" s="115"/>
      <c r="C33" s="115"/>
      <c r="D33" s="115"/>
      <c r="E33" s="115"/>
      <c r="F33" s="114"/>
    </row>
    <row r="34" spans="1:6" ht="18.95" customHeight="1">
      <c r="A34" s="116"/>
      <c r="B34" s="115"/>
      <c r="C34" s="115"/>
      <c r="D34" s="115"/>
      <c r="E34" s="115"/>
      <c r="F34" s="114"/>
    </row>
    <row r="35" spans="1:6" ht="18.95" customHeight="1">
      <c r="A35" s="116"/>
      <c r="B35" s="115"/>
      <c r="C35" s="115"/>
      <c r="D35" s="115"/>
      <c r="E35" s="115"/>
      <c r="F35" s="114"/>
    </row>
    <row r="36" spans="1:6" ht="18.95" customHeight="1">
      <c r="A36" s="116"/>
      <c r="B36" s="115"/>
      <c r="C36" s="115"/>
      <c r="D36" s="115"/>
      <c r="E36" s="115"/>
      <c r="F36" s="114"/>
    </row>
    <row r="37" spans="1:6" ht="18.95" customHeight="1">
      <c r="A37" s="116"/>
      <c r="B37" s="115"/>
      <c r="C37" s="115"/>
      <c r="D37" s="115"/>
      <c r="E37" s="115"/>
      <c r="F37" s="114"/>
    </row>
    <row r="38" spans="1:6" ht="18.95" customHeight="1">
      <c r="A38" s="116"/>
      <c r="B38" s="115"/>
      <c r="C38" s="115"/>
      <c r="D38" s="115"/>
      <c r="E38" s="115"/>
      <c r="F38" s="114"/>
    </row>
    <row r="39" spans="1:6" ht="18.95" customHeight="1">
      <c r="A39" s="119" t="s">
        <v>118</v>
      </c>
      <c r="B39" s="112" t="s">
        <v>117</v>
      </c>
      <c r="C39" s="112" t="str">
        <f>'Performance Data Sheet'!C10</f>
        <v>2213503.1</v>
      </c>
      <c r="D39" s="115"/>
      <c r="E39" s="118" t="s">
        <v>116</v>
      </c>
      <c r="F39" s="117" t="str">
        <f>F10</f>
        <v>H0102822</v>
      </c>
    </row>
    <row r="40" spans="1:6" ht="18.95" customHeight="1">
      <c r="A40" s="116"/>
      <c r="B40" s="112"/>
      <c r="C40" s="112"/>
      <c r="D40" s="115"/>
      <c r="E40" s="115"/>
      <c r="F40" s="114"/>
    </row>
    <row r="41" spans="1:6" ht="18.95" customHeight="1">
      <c r="A41" s="116"/>
      <c r="B41" s="112"/>
      <c r="C41" s="112"/>
      <c r="D41" s="115"/>
      <c r="E41" s="115"/>
      <c r="F41" s="114"/>
    </row>
    <row r="42" spans="1:6" ht="18.95" customHeight="1">
      <c r="A42" s="116"/>
      <c r="B42" s="115"/>
      <c r="C42" s="115"/>
      <c r="D42" s="115"/>
      <c r="E42" s="115"/>
      <c r="F42" s="114"/>
    </row>
    <row r="43" spans="1:6" ht="18.95" customHeight="1">
      <c r="A43" s="113"/>
      <c r="B43" s="112"/>
      <c r="C43" s="111" t="s">
        <v>115</v>
      </c>
      <c r="D43" s="110" t="str">
        <f>'Performance Data Sheet'!K42</f>
        <v>JERRY R</v>
      </c>
      <c r="E43" s="111" t="s">
        <v>114</v>
      </c>
      <c r="F43" s="110"/>
    </row>
    <row r="44" spans="1:6" ht="15" customHeight="1"/>
    <row r="45" spans="1:6" ht="15" customHeight="1"/>
    <row r="46" spans="1:6" ht="15" customHeight="1"/>
    <row r="47" spans="1:6" ht="15" customHeight="1"/>
    <row r="48" spans="1:6" ht="15" customHeight="1"/>
    <row r="49" spans="6:9" ht="15" customHeight="1"/>
    <row r="50" spans="6:9" ht="15" customHeight="1">
      <c r="F50" s="136" t="e">
        <f>5252.1*B50/D53</f>
        <v>#DIV/0!</v>
      </c>
      <c r="G50" s="136"/>
    </row>
    <row r="51" spans="6:9" ht="15" customHeight="1">
      <c r="G51" s="139"/>
    </row>
    <row r="52" spans="6:9" ht="15" customHeight="1"/>
    <row r="53" spans="6:9" ht="15" customHeight="1"/>
    <row r="54" spans="6:9" ht="15" customHeight="1"/>
    <row r="55" spans="6:9" ht="15" customHeight="1"/>
    <row r="56" spans="6:9" ht="15" customHeight="1"/>
    <row r="62" spans="6:9">
      <c r="I62" s="138"/>
    </row>
    <row r="63" spans="6:9">
      <c r="I63" s="137" t="s">
        <v>148</v>
      </c>
    </row>
    <row r="64" spans="6:9">
      <c r="I64" s="137"/>
    </row>
    <row r="65" spans="1:9">
      <c r="I65" s="137"/>
    </row>
    <row r="66" spans="1:9">
      <c r="D66" s="136" t="e">
        <f>D65/D64</f>
        <v>#DIV/0!</v>
      </c>
    </row>
    <row r="67" spans="1:9">
      <c r="A67" s="135" t="s">
        <v>147</v>
      </c>
      <c r="B67" s="135" t="s">
        <v>146</v>
      </c>
      <c r="C67" s="135" t="s">
        <v>145</v>
      </c>
      <c r="E67" s="135" t="s">
        <v>144</v>
      </c>
      <c r="F67" s="135" t="s">
        <v>143</v>
      </c>
    </row>
    <row r="68" spans="1:9">
      <c r="A68" s="133">
        <v>605.80162500000006</v>
      </c>
      <c r="B68" s="132">
        <v>4.5874755723135818</v>
      </c>
      <c r="C68" s="132">
        <v>2</v>
      </c>
      <c r="E68" s="133">
        <f>A68</f>
        <v>605.80162500000006</v>
      </c>
      <c r="F68" s="132">
        <v>1E-4</v>
      </c>
    </row>
    <row r="69" spans="1:9">
      <c r="A69" s="133">
        <v>563.59101148349998</v>
      </c>
      <c r="B69" s="132">
        <f>((A68/A69)^2)*B68</f>
        <v>5.300374018069844</v>
      </c>
      <c r="C69" s="132">
        <f>((A68/A69)^2)*C68</f>
        <v>2.3108020672889289</v>
      </c>
      <c r="E69" s="133">
        <v>603.83748750000007</v>
      </c>
      <c r="F69" s="132">
        <v>0.36800000071525574</v>
      </c>
    </row>
    <row r="70" spans="1:9">
      <c r="A70" s="133">
        <v>521.36773351650004</v>
      </c>
      <c r="B70" s="132">
        <f>((A68/A70)^2)*B68</f>
        <v>6.1936453320057803</v>
      </c>
      <c r="C70" s="132">
        <f>((A68/A70)^2)*C68</f>
        <v>2.7002412260833752</v>
      </c>
      <c r="E70" s="133">
        <v>599.63962500000002</v>
      </c>
      <c r="F70" s="132">
        <v>0.75099998712539673</v>
      </c>
    </row>
    <row r="71" spans="1:9">
      <c r="A71" s="133">
        <v>479.15712000000002</v>
      </c>
      <c r="B71" s="132">
        <f>((A68/A71)^2)*B68</f>
        <v>7.332950287937047</v>
      </c>
      <c r="C71" s="132">
        <f>((A68/A71)^2)*C68</f>
        <v>3.1969435792499934</v>
      </c>
      <c r="E71" s="133">
        <v>594.86407499999996</v>
      </c>
      <c r="F71" s="132">
        <v>1.1489999294281006</v>
      </c>
    </row>
    <row r="72" spans="1:9">
      <c r="A72" s="133">
        <v>380.56511999999998</v>
      </c>
      <c r="B72" s="132">
        <f>((A68/A72)^2)*B68</f>
        <v>11.624563922585699</v>
      </c>
      <c r="C72" s="132"/>
      <c r="E72" s="133">
        <v>589.58786250000003</v>
      </c>
      <c r="F72" s="132">
        <v>1.5639998912811279</v>
      </c>
    </row>
    <row r="73" spans="1:9">
      <c r="A73" s="133">
        <v>281.97311999999999</v>
      </c>
      <c r="B73" s="132">
        <f>((A68/A73)^2)*B68</f>
        <v>21.174794931409593</v>
      </c>
      <c r="C73" s="132"/>
      <c r="E73" s="133">
        <v>583.618425</v>
      </c>
      <c r="F73" s="132">
        <v>2.000999927520752</v>
      </c>
    </row>
    <row r="74" spans="1:9">
      <c r="A74" s="133">
        <v>211.97280000000001</v>
      </c>
      <c r="B74" s="132">
        <f>((A68/A74)^2)*B68</f>
        <v>37.46919472600495</v>
      </c>
      <c r="C74" s="132">
        <f>((A68/A74)^2)*C68</f>
        <v>16.335430733251087</v>
      </c>
      <c r="E74" s="133">
        <v>576.76319999999998</v>
      </c>
      <c r="F74" s="132">
        <v>2.4789998531341553</v>
      </c>
    </row>
    <row r="75" spans="1:9">
      <c r="A75" s="133">
        <v>177.46559999999999</v>
      </c>
      <c r="B75" s="132">
        <f>((A68/A75)^2)*B69</f>
        <v>61.7645129157019</v>
      </c>
      <c r="C75" s="132">
        <f>((A68/A75)^2)*C68</f>
        <v>23.305718692732455</v>
      </c>
      <c r="E75" s="133">
        <v>568.44450000000006</v>
      </c>
      <c r="F75" s="132">
        <v>3.0019998550415039</v>
      </c>
    </row>
    <row r="76" spans="1:9">
      <c r="A76" s="133">
        <v>118.3104</v>
      </c>
      <c r="B76" s="132">
        <f>((A68/A76)^2)*B68</f>
        <v>120.27871709788741</v>
      </c>
      <c r="C76" s="132">
        <f>((A68/A76)^2)*C68</f>
        <v>52.437867058648017</v>
      </c>
      <c r="E76" s="133">
        <v>555.7738875</v>
      </c>
      <c r="F76" s="132">
        <v>3.5849997997283936</v>
      </c>
    </row>
    <row r="77" spans="1:9">
      <c r="A77" s="134">
        <v>110</v>
      </c>
      <c r="B77" s="132"/>
      <c r="C77" s="133">
        <f>CEILING(C76*2,100)</f>
        <v>200</v>
      </c>
      <c r="E77" s="133">
        <v>539.32905000000005</v>
      </c>
      <c r="F77" s="132">
        <v>3.8889997005462646</v>
      </c>
    </row>
    <row r="78" spans="1:9">
      <c r="A78" s="134">
        <v>110</v>
      </c>
      <c r="B78" s="132"/>
      <c r="C78" s="133">
        <f>2*C77</f>
        <v>400</v>
      </c>
      <c r="E78" s="133">
        <v>512.21625000000006</v>
      </c>
      <c r="F78" s="132">
        <v>4.1609997749328613</v>
      </c>
    </row>
    <row r="79" spans="1:9">
      <c r="A79" s="134">
        <v>110</v>
      </c>
      <c r="B79" s="134"/>
      <c r="C79" s="134">
        <v>10000</v>
      </c>
      <c r="E79" s="133">
        <v>436.34662500000002</v>
      </c>
      <c r="F79" s="132">
        <v>4.3909997940063477</v>
      </c>
    </row>
    <row r="80" spans="1:9">
      <c r="E80" s="133">
        <f>A77</f>
        <v>110</v>
      </c>
      <c r="F80" s="132">
        <v>4.6399998664855957</v>
      </c>
    </row>
    <row r="81" spans="5:6">
      <c r="E81" s="133"/>
      <c r="F81" s="132"/>
    </row>
  </sheetData>
  <mergeCells count="3">
    <mergeCell ref="A3:F3"/>
    <mergeCell ref="A4:F4"/>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69"/>
  <sheetViews>
    <sheetView topLeftCell="A7" workbookViewId="0">
      <selection activeCell="H26" sqref="H26"/>
    </sheetView>
  </sheetViews>
  <sheetFormatPr defaultRowHeight="12.75"/>
  <cols>
    <col min="1" max="6" width="16.7109375" style="104" customWidth="1"/>
    <col min="7" max="16384" width="9.140625" style="104"/>
  </cols>
  <sheetData>
    <row r="1" spans="1:6" ht="18.95" customHeight="1">
      <c r="A1" s="131"/>
      <c r="B1" s="130"/>
      <c r="C1" s="130"/>
      <c r="D1" s="130"/>
      <c r="E1" s="130"/>
      <c r="F1" s="129"/>
    </row>
    <row r="2" spans="1:6" ht="26.1" customHeight="1">
      <c r="A2" s="128" t="s">
        <v>112</v>
      </c>
      <c r="B2" s="126"/>
      <c r="C2" s="126"/>
      <c r="D2" s="126"/>
      <c r="E2" s="126"/>
      <c r="F2" s="125"/>
    </row>
    <row r="3" spans="1:6" ht="18.95" customHeight="1">
      <c r="A3" s="127" t="s">
        <v>163</v>
      </c>
      <c r="B3" s="126"/>
      <c r="C3" s="126"/>
      <c r="D3" s="126"/>
      <c r="E3" s="126"/>
      <c r="F3" s="125"/>
    </row>
    <row r="4" spans="1:6" ht="18.95" customHeight="1">
      <c r="A4" s="670" t="s">
        <v>149</v>
      </c>
      <c r="B4" s="671"/>
      <c r="C4" s="671"/>
      <c r="D4" s="671"/>
      <c r="E4" s="671"/>
      <c r="F4" s="672"/>
    </row>
    <row r="5" spans="1:6" ht="18.95" customHeight="1">
      <c r="A5" s="116"/>
      <c r="B5" s="115"/>
      <c r="C5" s="115"/>
      <c r="D5" s="115"/>
      <c r="E5" s="115"/>
      <c r="F5" s="114"/>
    </row>
    <row r="6" spans="1:6" ht="18.95" customHeight="1">
      <c r="A6" s="123" t="s">
        <v>141</v>
      </c>
      <c r="B6" s="664" t="str">
        <f>'Performance Data Sheet'!C17</f>
        <v>WT-10035612</v>
      </c>
      <c r="C6" s="665"/>
      <c r="D6" s="666"/>
      <c r="E6" s="123" t="s">
        <v>140</v>
      </c>
      <c r="F6" s="122">
        <f>'Performance Data Sheet'!I14</f>
        <v>256</v>
      </c>
    </row>
    <row r="7" spans="1:6" ht="18.95" customHeight="1">
      <c r="A7" s="123" t="s">
        <v>139</v>
      </c>
      <c r="B7" s="122" t="str">
        <f>'Performance Data Sheet'!F14</f>
        <v>WP-II</v>
      </c>
      <c r="C7" s="123" t="s">
        <v>138</v>
      </c>
      <c r="D7" s="122" t="str">
        <f>'Performance Data Sheet'!F13 &amp; " V"</f>
        <v>4000 V</v>
      </c>
      <c r="E7" s="123" t="s">
        <v>137</v>
      </c>
      <c r="F7" s="122" t="str">
        <f>'Performance Data Sheet'!C14</f>
        <v>5811USS</v>
      </c>
    </row>
    <row r="8" spans="1:6" ht="18.95" customHeight="1">
      <c r="A8" s="123" t="s">
        <v>136</v>
      </c>
      <c r="B8" s="122">
        <v>2</v>
      </c>
      <c r="C8" s="123" t="s">
        <v>135</v>
      </c>
      <c r="D8" s="122" t="s">
        <v>134</v>
      </c>
      <c r="E8" s="123" t="s">
        <v>133</v>
      </c>
      <c r="F8" s="122" t="str">
        <f>'Performance Data Sheet'!M15</f>
        <v>F</v>
      </c>
    </row>
    <row r="9" spans="1:6" ht="18.95" customHeight="1">
      <c r="A9" s="123" t="s">
        <v>132</v>
      </c>
      <c r="B9" s="122">
        <f>'Performance Data Sheet'!C13</f>
        <v>2000</v>
      </c>
      <c r="C9" s="123" t="s">
        <v>131</v>
      </c>
      <c r="D9" s="122" t="s">
        <v>130</v>
      </c>
      <c r="E9" s="123" t="s">
        <v>129</v>
      </c>
      <c r="F9" s="124">
        <f>'Performance Data Sheet'!K44</f>
        <v>44286</v>
      </c>
    </row>
    <row r="10" spans="1:6" ht="18.95" customHeight="1">
      <c r="A10" s="123" t="s">
        <v>83</v>
      </c>
      <c r="B10" s="122">
        <f>'Performance Data Sheet'!M14</f>
        <v>3565</v>
      </c>
      <c r="C10" s="123" t="s">
        <v>128</v>
      </c>
      <c r="D10" s="122" t="s">
        <v>633</v>
      </c>
      <c r="E10" s="123" t="s">
        <v>127</v>
      </c>
      <c r="F10" s="122" t="s">
        <v>634</v>
      </c>
    </row>
    <row r="11" spans="1:6" ht="18.95" customHeight="1">
      <c r="A11" s="116"/>
      <c r="B11" s="115"/>
      <c r="C11" s="115"/>
      <c r="D11" s="115"/>
      <c r="E11" s="115"/>
      <c r="F11" s="114"/>
    </row>
    <row r="12" spans="1:6" ht="18.95" customHeight="1">
      <c r="A12" s="116"/>
      <c r="B12" s="118" t="s">
        <v>126</v>
      </c>
      <c r="C12" s="120" t="str">
        <f>'Performance Data Sheet'!D22 &amp; " A"</f>
        <v>1551 A</v>
      </c>
      <c r="D12" s="118" t="s">
        <v>125</v>
      </c>
      <c r="E12" s="120" t="s">
        <v>633</v>
      </c>
      <c r="F12" s="114"/>
    </row>
    <row r="13" spans="1:6" ht="18.95" customHeight="1">
      <c r="A13" s="116"/>
      <c r="B13" s="118" t="s">
        <v>123</v>
      </c>
      <c r="C13" s="121">
        <f>'Performance Data Sheet'!H23/100</f>
        <v>1.75</v>
      </c>
      <c r="D13" s="118" t="s">
        <v>122</v>
      </c>
      <c r="E13" s="120" t="s">
        <v>633</v>
      </c>
      <c r="F13" s="114"/>
    </row>
    <row r="14" spans="1:6" ht="18.95" customHeight="1">
      <c r="A14" s="116"/>
      <c r="B14" s="118" t="s">
        <v>121</v>
      </c>
      <c r="C14" s="121">
        <v>2.15</v>
      </c>
      <c r="D14" s="118" t="s">
        <v>120</v>
      </c>
      <c r="E14" s="120" t="s">
        <v>633</v>
      </c>
      <c r="F14" s="114"/>
    </row>
    <row r="15" spans="1:6" ht="18.95" customHeight="1">
      <c r="A15" s="116"/>
      <c r="B15" s="118" t="s">
        <v>119</v>
      </c>
      <c r="C15" s="120" t="str">
        <f>'Performance Data Sheet'!H22 &amp; " lb-ft"</f>
        <v>2946 lb-ft</v>
      </c>
      <c r="D15" s="115"/>
      <c r="E15" s="115"/>
      <c r="F15" s="114"/>
    </row>
    <row r="16" spans="1:6" ht="18.95" customHeight="1">
      <c r="A16" s="116"/>
      <c r="B16" s="115"/>
      <c r="C16" s="115"/>
      <c r="D16" s="115"/>
      <c r="E16" s="115"/>
      <c r="F16" s="114"/>
    </row>
    <row r="17" spans="1:8" ht="18.95" customHeight="1">
      <c r="A17" s="116"/>
      <c r="B17" s="115"/>
      <c r="C17" s="115"/>
      <c r="D17" s="115"/>
      <c r="E17" s="115"/>
      <c r="F17" s="114"/>
    </row>
    <row r="18" spans="1:8" ht="18.95" customHeight="1">
      <c r="A18" s="116"/>
      <c r="B18" s="115"/>
      <c r="C18" s="115"/>
      <c r="D18" s="115"/>
      <c r="E18" s="115"/>
      <c r="F18" s="114"/>
    </row>
    <row r="19" spans="1:8" ht="18.95" customHeight="1">
      <c r="A19" s="116"/>
      <c r="B19" s="115"/>
      <c r="C19" s="115"/>
      <c r="D19" s="115"/>
      <c r="E19" s="115"/>
      <c r="F19" s="114"/>
    </row>
    <row r="20" spans="1:8" ht="18.95" customHeight="1">
      <c r="A20" s="116"/>
      <c r="B20" s="115"/>
      <c r="C20" s="115"/>
      <c r="D20" s="115"/>
      <c r="E20" s="115"/>
      <c r="F20" s="114"/>
    </row>
    <row r="21" spans="1:8" ht="18.95" customHeight="1">
      <c r="A21" s="116"/>
      <c r="B21" s="115"/>
      <c r="C21" s="115"/>
      <c r="D21" s="115"/>
      <c r="E21" s="115"/>
      <c r="F21" s="114"/>
    </row>
    <row r="22" spans="1:8" ht="18.95" customHeight="1">
      <c r="A22" s="116"/>
      <c r="B22" s="115"/>
      <c r="C22" s="115"/>
      <c r="D22" s="115"/>
      <c r="E22" s="115"/>
      <c r="F22" s="114"/>
    </row>
    <row r="23" spans="1:8" ht="18.95" customHeight="1">
      <c r="A23" s="116"/>
      <c r="B23" s="115"/>
      <c r="C23" s="115"/>
      <c r="D23" s="115"/>
      <c r="E23" s="115"/>
      <c r="F23" s="114"/>
    </row>
    <row r="24" spans="1:8" ht="18.95" customHeight="1">
      <c r="A24" s="116"/>
      <c r="B24" s="115"/>
      <c r="C24" s="115"/>
      <c r="D24" s="115"/>
      <c r="E24" s="115"/>
      <c r="F24" s="114"/>
      <c r="H24" s="158"/>
    </row>
    <row r="25" spans="1:8" ht="18.95" customHeight="1">
      <c r="A25" s="116"/>
      <c r="B25" s="115"/>
      <c r="C25" s="115"/>
      <c r="D25" s="115"/>
      <c r="E25" s="115"/>
      <c r="F25" s="114"/>
    </row>
    <row r="26" spans="1:8" ht="18.95" customHeight="1">
      <c r="A26" s="116"/>
      <c r="B26" s="115"/>
      <c r="C26" s="115"/>
      <c r="D26" s="115"/>
      <c r="E26" s="115"/>
      <c r="F26" s="114"/>
    </row>
    <row r="27" spans="1:8" ht="18.95" customHeight="1">
      <c r="A27" s="116"/>
      <c r="B27" s="115"/>
      <c r="C27" s="115"/>
      <c r="D27" s="115"/>
      <c r="E27" s="115"/>
      <c r="F27" s="114"/>
    </row>
    <row r="28" spans="1:8" ht="18.95" customHeight="1">
      <c r="A28" s="116"/>
      <c r="B28" s="115"/>
      <c r="C28" s="115"/>
      <c r="D28" s="115"/>
      <c r="E28" s="115"/>
      <c r="F28" s="114"/>
    </row>
    <row r="29" spans="1:8" ht="18.95" customHeight="1">
      <c r="A29" s="116"/>
      <c r="B29" s="115"/>
      <c r="C29" s="115"/>
      <c r="D29" s="115"/>
      <c r="E29" s="115"/>
      <c r="F29" s="114"/>
    </row>
    <row r="30" spans="1:8" ht="18.95" customHeight="1">
      <c r="A30" s="116"/>
      <c r="B30" s="115"/>
      <c r="C30" s="115"/>
      <c r="D30" s="115"/>
      <c r="E30" s="115"/>
      <c r="F30" s="114"/>
    </row>
    <row r="31" spans="1:8" ht="18.95" customHeight="1">
      <c r="A31" s="116"/>
      <c r="B31" s="115"/>
      <c r="C31" s="115"/>
      <c r="D31" s="115"/>
      <c r="E31" s="115"/>
      <c r="F31" s="114"/>
    </row>
    <row r="32" spans="1:8" ht="18.95" customHeight="1">
      <c r="A32" s="116"/>
      <c r="B32" s="115"/>
      <c r="C32" s="115"/>
      <c r="D32" s="115"/>
      <c r="E32" s="115"/>
      <c r="F32" s="114"/>
    </row>
    <row r="33" spans="1:15" ht="18.95" customHeight="1">
      <c r="A33" s="116"/>
      <c r="B33" s="115"/>
      <c r="C33" s="115"/>
      <c r="D33" s="115"/>
      <c r="E33" s="115"/>
      <c r="F33" s="114"/>
    </row>
    <row r="34" spans="1:15" ht="18.95" customHeight="1">
      <c r="A34" s="116"/>
      <c r="B34" s="115"/>
      <c r="C34" s="115"/>
      <c r="D34" s="115"/>
      <c r="E34" s="115"/>
      <c r="F34" s="114"/>
    </row>
    <row r="35" spans="1:15" ht="18.95" customHeight="1">
      <c r="A35" s="116"/>
      <c r="B35" s="115"/>
      <c r="C35" s="115"/>
      <c r="D35" s="115"/>
      <c r="E35" s="115"/>
      <c r="F35" s="114"/>
    </row>
    <row r="36" spans="1:15" ht="18.95" customHeight="1">
      <c r="A36" s="116"/>
      <c r="B36" s="115"/>
      <c r="C36" s="115"/>
      <c r="D36" s="115"/>
      <c r="E36" s="115"/>
      <c r="F36" s="114"/>
      <c r="N36" s="154" t="s">
        <v>162</v>
      </c>
      <c r="O36" s="154" t="s">
        <v>161</v>
      </c>
    </row>
    <row r="37" spans="1:15" ht="18.95" customHeight="1">
      <c r="A37" s="116"/>
      <c r="B37" s="115"/>
      <c r="C37" s="115"/>
      <c r="D37" s="115"/>
      <c r="E37" s="115"/>
      <c r="F37" s="114"/>
      <c r="N37" s="154">
        <f xml:space="preserve"> L43 - (L43-L44) / 10 * 0</f>
        <v>3600</v>
      </c>
      <c r="O37" s="154">
        <f xml:space="preserve"> L45 / 10 * 10</f>
        <v>4000</v>
      </c>
    </row>
    <row r="38" spans="1:15" ht="18.95" customHeight="1">
      <c r="A38" s="116"/>
      <c r="B38" s="115"/>
      <c r="C38" s="115"/>
      <c r="D38" s="115"/>
      <c r="E38" s="115"/>
      <c r="F38" s="114"/>
      <c r="N38" s="154">
        <f xml:space="preserve"> L43 - (L43-L44) / 10 * 1</f>
        <v>3595</v>
      </c>
      <c r="O38" s="154">
        <f xml:space="preserve"> L45 / 10 * 9</f>
        <v>3600</v>
      </c>
    </row>
    <row r="39" spans="1:15" ht="18.95" customHeight="1">
      <c r="A39" s="119" t="s">
        <v>118</v>
      </c>
      <c r="B39" s="112" t="s">
        <v>117</v>
      </c>
      <c r="C39" s="112" t="str">
        <f>'Performance Data Sheet'!C10</f>
        <v>2213503.1</v>
      </c>
      <c r="D39" s="115"/>
      <c r="E39" s="118" t="s">
        <v>116</v>
      </c>
      <c r="F39" s="117" t="str">
        <f>F10</f>
        <v>H0102822</v>
      </c>
      <c r="N39" s="154">
        <f xml:space="preserve"> L43 - (L43-L44) / 10 * 2</f>
        <v>3590</v>
      </c>
      <c r="O39" s="154">
        <f xml:space="preserve"> L45 / 10 * 8</f>
        <v>3200</v>
      </c>
    </row>
    <row r="40" spans="1:15" ht="18.95" customHeight="1">
      <c r="A40" s="116"/>
      <c r="B40" s="112"/>
      <c r="C40" s="112"/>
      <c r="D40" s="115"/>
      <c r="E40" s="115"/>
      <c r="F40" s="114"/>
      <c r="N40" s="154">
        <f xml:space="preserve"> L43 - (L43-L44) / 10 * 3</f>
        <v>3585</v>
      </c>
      <c r="O40" s="154">
        <f xml:space="preserve"> L45 / 10 * 7</f>
        <v>2800</v>
      </c>
    </row>
    <row r="41" spans="1:15" ht="18.95" customHeight="1">
      <c r="A41" s="116"/>
      <c r="B41" s="112"/>
      <c r="C41" s="112"/>
      <c r="D41" s="115"/>
      <c r="E41" s="115"/>
      <c r="F41" s="114"/>
      <c r="N41" s="154">
        <f xml:space="preserve"> L43 - (L43-L44) / 10 * 4</f>
        <v>3580</v>
      </c>
      <c r="O41" s="154">
        <f xml:space="preserve"> L45 / 10 * 6</f>
        <v>2400</v>
      </c>
    </row>
    <row r="42" spans="1:15" ht="18.95" customHeight="1">
      <c r="A42" s="116"/>
      <c r="B42" s="115"/>
      <c r="C42" s="115"/>
      <c r="D42" s="115"/>
      <c r="E42" s="115"/>
      <c r="F42" s="114"/>
      <c r="N42" s="154">
        <f xml:space="preserve"> L43 - (L43-L44) / 10 * 5</f>
        <v>3575</v>
      </c>
      <c r="O42" s="154">
        <f xml:space="preserve"> L45 / 10 * 5</f>
        <v>2000</v>
      </c>
    </row>
    <row r="43" spans="1:15" ht="18.95" customHeight="1">
      <c r="A43" s="113"/>
      <c r="B43" s="112"/>
      <c r="C43" s="111" t="s">
        <v>115</v>
      </c>
      <c r="D43" s="110" t="str">
        <f>'Performance Data Sheet'!K42</f>
        <v>JERRY R</v>
      </c>
      <c r="E43" s="111" t="s">
        <v>114</v>
      </c>
      <c r="F43" s="110"/>
      <c r="K43" s="156" t="s">
        <v>160</v>
      </c>
      <c r="L43" s="157">
        <v>3600</v>
      </c>
      <c r="N43" s="154">
        <f xml:space="preserve"> L43 - (L43-L44) / 10 * 6</f>
        <v>3570</v>
      </c>
      <c r="O43" s="154">
        <f xml:space="preserve"> L45 / 10 * 4</f>
        <v>1600</v>
      </c>
    </row>
    <row r="44" spans="1:15" ht="15" customHeight="1">
      <c r="K44" s="156" t="s">
        <v>159</v>
      </c>
      <c r="L44" s="155">
        <v>3550</v>
      </c>
      <c r="N44" s="154">
        <f xml:space="preserve"> L43 - (L43-L44) / 10 * 7</f>
        <v>3565</v>
      </c>
      <c r="O44" s="154">
        <f xml:space="preserve"> L45 / 10 * 3</f>
        <v>1200</v>
      </c>
    </row>
    <row r="45" spans="1:15" ht="15" customHeight="1">
      <c r="K45" s="156" t="s">
        <v>158</v>
      </c>
      <c r="L45" s="155">
        <v>4000</v>
      </c>
      <c r="N45" s="154">
        <f xml:space="preserve"> L43 - (L43-L44) / 10 * 8</f>
        <v>3560</v>
      </c>
      <c r="O45" s="154">
        <f xml:space="preserve"> L45 / 10 * 2</f>
        <v>800</v>
      </c>
    </row>
    <row r="46" spans="1:15" ht="15" customHeight="1">
      <c r="N46" s="154">
        <f xml:space="preserve"> L43 - (L43-L44) / 10 * 9</f>
        <v>3555</v>
      </c>
      <c r="O46" s="154">
        <f xml:space="preserve"> L45 / 10 * 1</f>
        <v>400</v>
      </c>
    </row>
    <row r="47" spans="1:15" ht="15" customHeight="1">
      <c r="N47" s="154">
        <f xml:space="preserve"> L43 - (L43-L44) / 10 * 10</f>
        <v>3550</v>
      </c>
      <c r="O47" s="154">
        <f xml:space="preserve"> L45 / 10 * 0</f>
        <v>0</v>
      </c>
    </row>
    <row r="48" spans="1:15" ht="15" customHeight="1"/>
    <row r="49" spans="1:6" ht="15" customHeight="1"/>
    <row r="50" spans="1:6" ht="15" customHeight="1"/>
    <row r="51" spans="1:6" ht="15" customHeight="1" thickBot="1"/>
    <row r="52" spans="1:6" ht="15" customHeight="1" thickBot="1">
      <c r="A52" s="673" t="s">
        <v>157</v>
      </c>
      <c r="B52" s="674"/>
      <c r="C52" s="674"/>
      <c r="D52" s="674"/>
      <c r="E52" s="674"/>
      <c r="F52" s="675"/>
    </row>
    <row r="53" spans="1:6" ht="15" customHeight="1" thickBot="1">
      <c r="A53" s="153" t="s">
        <v>113</v>
      </c>
      <c r="B53" s="153" t="s">
        <v>155</v>
      </c>
      <c r="C53" s="153" t="s">
        <v>154</v>
      </c>
      <c r="D53" s="153" t="s">
        <v>153</v>
      </c>
      <c r="E53" s="153" t="s">
        <v>152</v>
      </c>
      <c r="F53" s="152" t="s">
        <v>151</v>
      </c>
    </row>
    <row r="54" spans="1:6" ht="15" customHeight="1">
      <c r="A54" s="151">
        <v>0</v>
      </c>
      <c r="B54" s="150"/>
      <c r="C54" s="149"/>
      <c r="D54" s="149">
        <v>69</v>
      </c>
      <c r="E54" s="149">
        <v>100</v>
      </c>
      <c r="F54" s="148">
        <f>22917/(L45*1000) * 100</f>
        <v>0.57292500000000002</v>
      </c>
    </row>
    <row r="55" spans="1:6" ht="15" customHeight="1">
      <c r="A55" s="147">
        <v>25</v>
      </c>
      <c r="B55" s="146">
        <v>92.5</v>
      </c>
      <c r="C55" s="145">
        <v>65.599998474121094</v>
      </c>
      <c r="D55" s="145">
        <v>88.790000915527344</v>
      </c>
      <c r="E55" s="145">
        <f xml:space="preserve"> (1.00739*B10-L44)/(L43-L44)*100</f>
        <v>82.690700000000106</v>
      </c>
      <c r="F55" s="144">
        <f xml:space="preserve"> 403541.8/(L45*1000)*100</f>
        <v>10.088545</v>
      </c>
    </row>
    <row r="56" spans="1:6" ht="15" customHeight="1">
      <c r="A56" s="147">
        <v>50</v>
      </c>
      <c r="B56" s="146">
        <v>94.800003051757813</v>
      </c>
      <c r="C56" s="145">
        <v>82.300003051757813</v>
      </c>
      <c r="D56" s="145">
        <v>137.92999267578125</v>
      </c>
      <c r="E56" s="145">
        <f xml:space="preserve"> (1.005018*B10-L44)/(L43-L44)*100</f>
        <v>65.778339999999844</v>
      </c>
      <c r="F56" s="144">
        <f xml:space="preserve"> 786464.6/(L45*1000)*100</f>
        <v>19.661614999999998</v>
      </c>
    </row>
    <row r="57" spans="1:6">
      <c r="A57" s="147">
        <v>75</v>
      </c>
      <c r="B57" s="146">
        <v>95.300003051757813</v>
      </c>
      <c r="C57" s="145">
        <v>86.900001525878906</v>
      </c>
      <c r="D57" s="145">
        <v>194.92999267578125</v>
      </c>
      <c r="E57" s="145">
        <f xml:space="preserve"> (1.002592*B10-L44)/(L43-L44)*100</f>
        <v>48.480959999999868</v>
      </c>
      <c r="F57" s="144">
        <f xml:space="preserve"> 1173597/(L45*1000)*100</f>
        <v>29.339925000000001</v>
      </c>
    </row>
    <row r="58" spans="1:6">
      <c r="A58" s="147">
        <v>100</v>
      </c>
      <c r="B58" s="146">
        <v>95.300003051757813</v>
      </c>
      <c r="C58" s="145">
        <v>88.099998474121094</v>
      </c>
      <c r="D58" s="145">
        <v>256.25</v>
      </c>
      <c r="E58" s="145">
        <f xml:space="preserve"> (1*B10-L44)/(L43-L44)*100</f>
        <v>30</v>
      </c>
      <c r="F58" s="144">
        <f xml:space="preserve"> 1564085/(L45*1000)*100</f>
        <v>39.102125000000001</v>
      </c>
    </row>
    <row r="59" spans="1:6" ht="13.5" thickBot="1">
      <c r="A59" s="143">
        <v>125</v>
      </c>
      <c r="B59" s="142">
        <v>95.200004577636719</v>
      </c>
      <c r="C59" s="141">
        <v>88</v>
      </c>
      <c r="D59" s="141">
        <v>321.60000610351563</v>
      </c>
      <c r="E59" s="141">
        <f xml:space="preserve"> (0.9974908*B10-L44)/(L43-L44)*100</f>
        <v>12.109403999999813</v>
      </c>
      <c r="F59" s="140">
        <f xml:space="preserve"> 1960737/(L45*1000)*100</f>
        <v>49.018425000000001</v>
      </c>
    </row>
    <row r="60" spans="1:6">
      <c r="A60" s="109"/>
      <c r="B60" s="107"/>
      <c r="C60" s="107"/>
    </row>
    <row r="61" spans="1:6" ht="13.5" thickBot="1">
      <c r="A61" s="109"/>
      <c r="B61" s="107"/>
      <c r="C61" s="107"/>
    </row>
    <row r="62" spans="1:6" ht="13.5" thickBot="1">
      <c r="A62" s="673" t="s">
        <v>156</v>
      </c>
      <c r="B62" s="674"/>
      <c r="C62" s="674"/>
      <c r="D62" s="674"/>
      <c r="E62" s="674"/>
      <c r="F62" s="675"/>
    </row>
    <row r="63" spans="1:6" ht="13.5" thickBot="1">
      <c r="A63" s="153" t="s">
        <v>113</v>
      </c>
      <c r="B63" s="153" t="s">
        <v>155</v>
      </c>
      <c r="C63" s="153" t="s">
        <v>154</v>
      </c>
      <c r="D63" s="153" t="s">
        <v>153</v>
      </c>
      <c r="E63" s="153" t="s">
        <v>152</v>
      </c>
      <c r="F63" s="152" t="s">
        <v>151</v>
      </c>
    </row>
    <row r="64" spans="1:6">
      <c r="A64" s="151">
        <v>0</v>
      </c>
      <c r="B64" s="150"/>
      <c r="C64" s="149"/>
      <c r="D64" s="149">
        <v>59.068890021662313</v>
      </c>
      <c r="E64" s="149">
        <v>100</v>
      </c>
      <c r="F64" s="148">
        <v>22.971263189676264</v>
      </c>
    </row>
    <row r="65" spans="1:6">
      <c r="A65" s="147">
        <v>25</v>
      </c>
      <c r="B65" s="146">
        <v>92.449119567871094</v>
      </c>
      <c r="C65" s="145">
        <v>65.51263427734375</v>
      </c>
      <c r="D65" s="145">
        <v>88.789329528808594</v>
      </c>
      <c r="E65" s="145">
        <v>84.139202868041977</v>
      </c>
      <c r="F65" s="144">
        <v>10.07473741243909</v>
      </c>
    </row>
    <row r="66" spans="1:6">
      <c r="A66" s="147">
        <v>50</v>
      </c>
      <c r="B66" s="146">
        <v>94.780937194824219</v>
      </c>
      <c r="C66" s="145">
        <v>82.27105712890625</v>
      </c>
      <c r="D66" s="145">
        <v>137.92741394042969</v>
      </c>
      <c r="E66" s="145">
        <v>66.973165892739402</v>
      </c>
      <c r="F66" s="144">
        <v>19.65375559776961</v>
      </c>
    </row>
    <row r="67" spans="1:6">
      <c r="A67" s="147">
        <v>75</v>
      </c>
      <c r="B67" s="146">
        <v>95.283187866210938</v>
      </c>
      <c r="C67" s="145">
        <v>86.85955810546875</v>
      </c>
      <c r="D67" s="145">
        <v>194.92880249023438</v>
      </c>
      <c r="E67" s="145">
        <v>49.376035182264388</v>
      </c>
      <c r="F67" s="144">
        <v>29.325236383723631</v>
      </c>
    </row>
    <row r="68" spans="1:6">
      <c r="A68" s="147">
        <v>100</v>
      </c>
      <c r="B68" s="146">
        <v>95.29376220703125</v>
      </c>
      <c r="C68" s="145">
        <v>88.089439392089844</v>
      </c>
      <c r="D68" s="145">
        <v>256.24789428710938</v>
      </c>
      <c r="E68" s="145">
        <v>30.605991352044271</v>
      </c>
      <c r="F68" s="144">
        <v>39.09597623163765</v>
      </c>
    </row>
    <row r="69" spans="1:6" ht="13.5" thickBot="1">
      <c r="A69" s="143">
        <v>125</v>
      </c>
      <c r="B69" s="142">
        <v>95.10772705078125</v>
      </c>
      <c r="C69" s="141">
        <v>87.906913757324219</v>
      </c>
      <c r="D69" s="141">
        <v>321.60281372070313</v>
      </c>
      <c r="E69" s="141">
        <v>12.394615867991021</v>
      </c>
      <c r="F69" s="140">
        <v>48.965562991413393</v>
      </c>
    </row>
  </sheetData>
  <mergeCells count="4">
    <mergeCell ref="A4:F4"/>
    <mergeCell ref="B6:D6"/>
    <mergeCell ref="A52:F52"/>
    <mergeCell ref="A62:F62"/>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DesignSheet</vt:lpstr>
      <vt:lpstr>Data Sheet</vt:lpstr>
      <vt:lpstr>LoginSheet</vt:lpstr>
      <vt:lpstr>StallTime</vt:lpstr>
      <vt:lpstr>Form</vt:lpstr>
      <vt:lpstr>Performance Data Sheet</vt:lpstr>
      <vt:lpstr>STCurve</vt:lpstr>
      <vt:lpstr>Thermdam</vt:lpstr>
      <vt:lpstr>Performance</vt:lpstr>
      <vt:lpstr>'Data Sheet'!Print_Area</vt:lpstr>
      <vt:lpstr>DesignSheet!Print_Area</vt:lpstr>
      <vt:lpstr>Form!Print_Area</vt:lpstr>
      <vt:lpstr>LoginSheet!Print_Area</vt:lpstr>
      <vt:lpstr>Performance!Print_Area</vt:lpstr>
      <vt:lpstr>'Performance Data Sheet'!Print_Area</vt:lpstr>
      <vt:lpstr>StallTime!Print_Area</vt:lpstr>
      <vt:lpstr>STCurve!Print_Area</vt:lpstr>
      <vt:lpstr>Thermdam!Print_Area</vt:lpstr>
    </vt:vector>
  </TitlesOfParts>
  <Company>Toshiba International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Rodriguez, Jerry</dc:creator>
  <cp:lastModifiedBy>Xie, Zichao</cp:lastModifiedBy>
  <dcterms:created xsi:type="dcterms:W3CDTF">2021-03-31T12:34:33Z</dcterms:created>
  <dcterms:modified xsi:type="dcterms:W3CDTF">2023-02-15T19:37:46Z</dcterms:modified>
</cp:coreProperties>
</file>