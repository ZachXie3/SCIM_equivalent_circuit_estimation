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I:\ELECTRICAL DESIGN\Design Database\TIC\Form Wound\8 Pole\6813 WP-II\DT8M30U\"/>
    </mc:Choice>
  </mc:AlternateContent>
  <xr:revisionPtr revIDLastSave="0" documentId="13_ncr:1_{D60A7AFD-06D6-4CA8-BD3E-3E53B8AB7E85}" xr6:coauthVersionLast="47" xr6:coauthVersionMax="47" xr10:uidLastSave="{00000000-0000-0000-0000-000000000000}"/>
  <bookViews>
    <workbookView xWindow="22932" yWindow="1428" windowWidth="19416" windowHeight="10416" tabRatio="886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10" r:id="rId5"/>
    <sheet name="STCurve" sheetId="6" r:id="rId6"/>
    <sheet name="Thermdam" sheetId="7" r:id="rId7"/>
    <sheet name="Performance 4000V" sheetId="8" r:id="rId8"/>
    <sheet name="Performance 2300V" sheetId="11" r:id="rId9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8">'Performance 2300V'!$A$1:$F$43</definedName>
    <definedName name="_xlnm.Print_Area" localSheetId="7">'Performance 4000V'!$A$1:$F$43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 localSheetId="4">'Performance Data Sheet'!$A$10:$N$42</definedName>
    <definedName name="Print_Area_MI">#REF!</definedName>
    <definedName name="Z_852987ED_B4F5_11D1_ABEC_0000832EB49E_.wvu.PrintArea" localSheetId="8" hidden="1">'Performance 2300V'!$A$1:$F$43</definedName>
    <definedName name="Z_852987ED_B4F5_11D1_ABEC_0000832EB49E_.wvu.PrintArea" localSheetId="7" hidden="1">'Performance 4000V'!$A$1:$F$43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1" l="1"/>
  <c r="F58" i="11"/>
  <c r="F57" i="11"/>
  <c r="F56" i="11"/>
  <c r="E56" i="11"/>
  <c r="F55" i="11"/>
  <c r="E55" i="11"/>
  <c r="F54" i="11"/>
  <c r="O47" i="11"/>
  <c r="N47" i="11"/>
  <c r="O46" i="11"/>
  <c r="N46" i="11"/>
  <c r="O45" i="11"/>
  <c r="N45" i="11"/>
  <c r="O44" i="11"/>
  <c r="N44" i="11"/>
  <c r="O43" i="11"/>
  <c r="N43" i="11"/>
  <c r="D43" i="11"/>
  <c r="O42" i="11"/>
  <c r="N42" i="11"/>
  <c r="O41" i="11"/>
  <c r="N41" i="11"/>
  <c r="O40" i="11"/>
  <c r="N40" i="11"/>
  <c r="O39" i="11"/>
  <c r="N39" i="11"/>
  <c r="F39" i="11"/>
  <c r="C39" i="11"/>
  <c r="O38" i="11"/>
  <c r="N38" i="11"/>
  <c r="O37" i="11"/>
  <c r="N37" i="11"/>
  <c r="C15" i="11"/>
  <c r="C13" i="11"/>
  <c r="B10" i="11"/>
  <c r="E59" i="11" s="1"/>
  <c r="F9" i="11"/>
  <c r="B9" i="11"/>
  <c r="F8" i="11"/>
  <c r="F7" i="11"/>
  <c r="B7" i="11"/>
  <c r="B6" i="11"/>
  <c r="N21" i="3"/>
  <c r="F59" i="8"/>
  <c r="E59" i="8"/>
  <c r="F58" i="8"/>
  <c r="F57" i="8"/>
  <c r="E57" i="8"/>
  <c r="F56" i="8"/>
  <c r="E56" i="8"/>
  <c r="F55" i="8"/>
  <c r="E55" i="8"/>
  <c r="F54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D43" i="8"/>
  <c r="D43" i="7"/>
  <c r="D43" i="6"/>
  <c r="C39" i="8"/>
  <c r="C39" i="7"/>
  <c r="C39" i="6"/>
  <c r="C15" i="8"/>
  <c r="C15" i="7"/>
  <c r="C15" i="6"/>
  <c r="C13" i="8"/>
  <c r="C13" i="7"/>
  <c r="C13" i="6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7"/>
  <c r="F6" i="6"/>
  <c r="D7" i="7"/>
  <c r="D7" i="6"/>
  <c r="B10" i="8"/>
  <c r="E58" i="8" s="1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A69" i="7"/>
  <c r="A70" i="7" s="1"/>
  <c r="E68" i="7"/>
  <c r="D66" i="7"/>
  <c r="F50" i="7"/>
  <c r="M28" i="3"/>
  <c r="M18" i="3"/>
  <c r="P31" i="2"/>
  <c r="P32" i="2"/>
  <c r="P33" i="2"/>
  <c r="P34" i="2"/>
  <c r="P30" i="2"/>
  <c r="M52" i="2"/>
  <c r="M41" i="2"/>
  <c r="L41" i="2"/>
  <c r="M40" i="2"/>
  <c r="L40" i="2"/>
  <c r="M39" i="2"/>
  <c r="N39" i="2" s="1"/>
  <c r="L39" i="2"/>
  <c r="M38" i="2"/>
  <c r="N38" i="2" s="1"/>
  <c r="L38" i="2"/>
  <c r="M33" i="2"/>
  <c r="M32" i="2"/>
  <c r="M31" i="2"/>
  <c r="M30" i="2"/>
  <c r="M29" i="2"/>
  <c r="M50" i="2"/>
  <c r="M49" i="2"/>
  <c r="M48" i="2"/>
  <c r="M46" i="2"/>
  <c r="M47" i="2"/>
  <c r="E57" i="11" l="1"/>
  <c r="E58" i="11"/>
  <c r="N41" i="2"/>
  <c r="N40" i="2"/>
  <c r="A71" i="7"/>
  <c r="C70" i="7"/>
  <c r="B70" i="7"/>
  <c r="B69" i="7"/>
  <c r="B75" i="7" s="1"/>
  <c r="C69" i="7"/>
  <c r="M53" i="2"/>
  <c r="B71" i="7" l="1"/>
  <c r="A72" i="7"/>
  <c r="C71" i="7"/>
  <c r="A73" i="7" l="1"/>
  <c r="B73" i="7" s="1"/>
  <c r="B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<sst xmlns="http://schemas.openxmlformats.org/spreadsheetml/2006/main" count="1005" uniqueCount="732">
  <si>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</si>
  <si>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</si>
  <si>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</si>
  <si>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</si>
  <si>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</si>
  <si>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</si>
  <si>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</si>
  <si>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</si>
  <si>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</si>
  <si>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</si>
  <si>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</si>
  <si>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</si>
  <si>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</si>
  <si>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</si>
  <si>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</si>
  <si>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</si>
  <si>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</si>
  <si>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</si>
  <si>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</si>
  <si>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</si>
  <si>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</si>
  <si>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</si>
  <si>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</si>
  <si>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</si>
  <si>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</si>
  <si>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</si>
  <si>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</si>
  <si>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</si>
  <si>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</si>
  <si>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</si>
  <si>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</si>
  <si>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</si>
  <si>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</si>
  <si>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</si>
  <si>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</si>
  <si>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</si>
  <si>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</si>
  <si>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</si>
  <si>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</si>
  <si>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</si>
  <si>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</si>
  <si>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</si>
  <si>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</si>
  <si>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</si>
  <si>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</si>
  <si>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</si>
  <si>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</si>
  <si>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</si>
  <si>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</si>
  <si>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</si>
  <si>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</si>
  <si>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</si>
  <si>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</si>
  <si>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</si>
  <si>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</si>
  <si>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</si>
  <si>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</si>
  <si>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</si>
  <si>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</si>
  <si>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</si>
  <si>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</si>
  <si>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</si>
  <si>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</si>
  <si>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</si>
  <si>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</si>
  <si>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</si>
  <si>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</si>
  <si>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</si>
  <si>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</si>
  <si>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</si>
  <si>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</si>
  <si>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</si>
  <si>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</si>
  <si>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</si>
  <si>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</si>
  <si>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</si>
  <si>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</si>
  <si>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</si>
  <si>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</si>
  <si>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</si>
  <si>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</si>
  <si>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</si>
  <si>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</si>
  <si>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</si>
  <si>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</si>
  <si>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</si>
  <si>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</si>
  <si>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</si>
  <si>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</si>
  <si>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</si>
  <si>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</si>
  <si>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</si>
  <si>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</si>
  <si>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</si>
  <si>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</si>
  <si>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</si>
  <si>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</si>
  <si>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</si>
  <si>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</si>
  <si>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</si>
  <si>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</si>
  <si>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</si>
  <si>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</si>
  <si>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</si>
  <si>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</si>
  <si>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</si>
  <si>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</si>
  <si>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</si>
  <si>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</si>
  <si>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</si>
  <si>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</si>
  <si>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</si>
  <si>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</si>
  <si>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</si>
  <si>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</si>
  <si>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</si>
  <si>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</si>
  <si>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</si>
  <si>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</si>
  <si>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</si>
  <si>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</si>
  <si>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</si>
  <si>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</si>
  <si>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</si>
  <si>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</si>
  <si>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</si>
  <si>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</si>
  <si>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</si>
  <si>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</si>
  <si>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</si>
  <si>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</si>
  <si>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</si>
  <si>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</si>
  <si>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</si>
  <si>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</si>
  <si>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</si>
  <si>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</si>
  <si>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</si>
  <si>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</si>
  <si>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</si>
  <si>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</si>
  <si>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</si>
  <si>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</si>
  <si>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</si>
  <si>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</si>
  <si>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</si>
  <si>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</si>
  <si>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</si>
  <si>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</si>
  <si>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</si>
  <si>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</si>
  <si>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</si>
  <si>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</si>
  <si>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</si>
  <si>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</si>
  <si>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</si>
  <si>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</si>
  <si>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</si>
  <si>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</si>
  <si>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</si>
  <si>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</si>
  <si>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</si>
  <si>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</si>
  <si>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</si>
  <si>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</si>
  <si>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</si>
  <si>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</si>
  <si>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</si>
  <si>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</si>
  <si>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</si>
  <si>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</si>
  <si>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</si>
  <si>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</si>
  <si>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</si>
  <si>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</si>
  <si>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</si>
  <si>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</si>
  <si>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</si>
  <si>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</si>
  <si>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</si>
  <si>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</si>
  <si>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</si>
  <si>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</si>
  <si>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</si>
  <si>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</si>
  <si>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</si>
  <si>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</si>
  <si>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</si>
  <si>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</si>
  <si>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</si>
  <si>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</si>
  <si>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</si>
  <si>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</si>
  <si>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DCW4</t>
  </si>
  <si>
    <t>6813US</t>
  </si>
  <si>
    <t>Open</t>
  </si>
  <si>
    <t>Rectang</t>
  </si>
  <si>
    <t>9.99 - 9.99</t>
  </si>
  <si>
    <t>2.83 - 0.50</t>
  </si>
  <si>
    <t>Magnetic</t>
  </si>
  <si>
    <t>29 x 6</t>
  </si>
  <si>
    <t>1 ~ 9</t>
  </si>
  <si>
    <t>(.102"x.204")x2</t>
  </si>
  <si>
    <t>Wye</t>
  </si>
  <si>
    <t>(105°C)</t>
  </si>
  <si>
    <t>CU</t>
  </si>
  <si>
    <t>ERD1: 501.0</t>
  </si>
  <si>
    <t>EBL: 50.5</t>
  </si>
  <si>
    <t>ERT: 30.00</t>
  </si>
  <si>
    <t>ERH: 50.00</t>
  </si>
  <si>
    <t>(13 x 45)</t>
  </si>
  <si>
    <t>LB:  -</t>
  </si>
  <si>
    <t>LER:  -</t>
  </si>
  <si>
    <t>Single Cage Data</t>
  </si>
  <si>
    <t>UB: 585.0</t>
  </si>
  <si>
    <t>UER: 1500.0</t>
  </si>
  <si>
    <t>(Coeff.: 0.0530)</t>
  </si>
  <si>
    <t>Skew R.: 0.00</t>
  </si>
  <si>
    <t>G:\DESPRO\RAT FILES\DT8M30U.rat</t>
  </si>
  <si>
    <t>2-2-2-0-1-2</t>
  </si>
  <si>
    <t>B.L.-1  P.F.-1</t>
  </si>
  <si>
    <t>12690.7 / 13305.0</t>
  </si>
  <si>
    <t>5832.4 / 13428.0</t>
  </si>
  <si>
    <t>23052.9 / 16200.0</t>
  </si>
  <si>
    <t>5000.0 / 4487.0</t>
  </si>
  <si>
    <t>16885.8 / 9805.0</t>
  </si>
  <si>
    <t>2945.9 / 1710.6</t>
  </si>
  <si>
    <t>13939.9 / 8094.4</t>
  </si>
  <si>
    <t>1.75 / 1.02</t>
  </si>
  <si>
    <t>65 / 65</t>
  </si>
  <si>
    <t>Temp. Rise @ 100%:</t>
  </si>
  <si>
    <t>Stray Loss</t>
  </si>
  <si>
    <t>0.921 / 0.909</t>
  </si>
  <si>
    <t>0.953 / 0.941</t>
  </si>
  <si>
    <t>0.963 / 0.951</t>
  </si>
  <si>
    <t>0.966 / 0.954</t>
  </si>
  <si>
    <t>0.577 / 0.564</t>
  </si>
  <si>
    <t>0.730 / 0.713</t>
  </si>
  <si>
    <t>0.815 / 0.797</t>
  </si>
  <si>
    <t>0.849 / 0.829</t>
  </si>
  <si>
    <t>0.859 / 0.839</t>
  </si>
  <si>
    <t>75.96 / 78.75</t>
  </si>
  <si>
    <t>116.03 / 120.30</t>
  </si>
  <si>
    <t>154.29 / 159.97</t>
  </si>
  <si>
    <t>197.05 / 204.30</t>
  </si>
  <si>
    <t>243.40 / 252.36</t>
  </si>
  <si>
    <t>3.76 / 3.89</t>
  </si>
  <si>
    <t>UB: 2.44 / 2.53</t>
  </si>
  <si>
    <t>UER: 2.14 / 2.22</t>
  </si>
  <si>
    <t>898.6 / 892.1</t>
  </si>
  <si>
    <t>897.8 / 891.3</t>
  </si>
  <si>
    <t>896.7 / 890.2</t>
  </si>
  <si>
    <t>895.5 / 889.0</t>
  </si>
  <si>
    <t>894.3 / 887.8</t>
  </si>
  <si>
    <t>0.0015 / 0.0088</t>
  </si>
  <si>
    <t>0.0025 / 0.0097</t>
  </si>
  <si>
    <t>0.0037 / 0.0109</t>
  </si>
  <si>
    <t>0.0050 / 0.0122</t>
  </si>
  <si>
    <t>0.0063 / 0.0135</t>
  </si>
  <si>
    <t>69.019 / 72.655</t>
  </si>
  <si>
    <t>2.435 / 2.563</t>
  </si>
  <si>
    <t>69.06 / 72.70</t>
  </si>
  <si>
    <t>1069.7 / 1413.8</t>
  </si>
  <si>
    <t>542.8 / 717.5</t>
  </si>
  <si>
    <t>1057.0 / 1704.0</t>
  </si>
  <si>
    <t>86.8 / 140.0</t>
  </si>
  <si>
    <t>228.7 / 240.0</t>
  </si>
  <si>
    <t>Correlated to: DT8M30U_lab#1086_RM.dat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</si>
  <si>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</si>
  <si>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</si>
  <si>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</si>
  <si>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</si>
  <si>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</si>
  <si>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</si>
  <si>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</si>
  <si>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</si>
  <si>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</si>
  <si>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</si>
  <si>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</si>
  <si>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</si>
  <si>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</si>
  <si>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</si>
  <si>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</si>
  <si>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</si>
  <si>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</si>
  <si>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</si>
  <si>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</si>
  <si>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</si>
  <si>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</si>
  <si>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</si>
  <si>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</si>
  <si>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</si>
  <si>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</si>
  <si>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</si>
  <si>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</si>
  <si>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</si>
  <si>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</si>
  <si>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</si>
  <si>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</si>
  <si>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</si>
  <si>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</si>
  <si>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</si>
  <si>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</si>
  <si>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</si>
  <si>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</si>
  <si>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</si>
  <si>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</si>
  <si>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</si>
  <si>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</si>
  <si>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</si>
  <si>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</si>
  <si>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</si>
  <si>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</si>
  <si>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</si>
  <si>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</si>
  <si>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</si>
  <si>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</si>
  <si>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</si>
  <si>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</si>
  <si>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</si>
  <si>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</si>
  <si>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</si>
  <si>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</si>
  <si>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</si>
  <si>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</si>
  <si>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</si>
  <si>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</si>
  <si>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</si>
  <si>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</si>
  <si>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</si>
  <si>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</si>
  <si>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</si>
  <si>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</si>
  <si>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</si>
  <si>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</si>
  <si>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</si>
  <si>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</si>
  <si>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</si>
  <si>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</si>
  <si>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</si>
  <si>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</si>
  <si>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</si>
  <si>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</si>
  <si>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</si>
  <si>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</si>
  <si>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</si>
  <si>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</si>
  <si>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</si>
  <si>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</si>
  <si>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</si>
  <si>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</si>
  <si>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</si>
  <si>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</si>
  <si>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</si>
  <si>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</si>
  <si>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</si>
  <si>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</si>
  <si>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</si>
  <si>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</si>
  <si>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</si>
  <si>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</si>
  <si>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</si>
  <si>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</si>
  <si>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</si>
  <si>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</si>
  <si>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</si>
  <si>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</si>
  <si>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</si>
  <si>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</si>
  <si>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</si>
  <si>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</si>
  <si>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</si>
  <si>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</si>
  <si>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</si>
  <si>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</si>
  <si>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</si>
  <si>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</si>
  <si>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</si>
  <si>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</si>
  <si>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DT8M30U</t>
  </si>
  <si>
    <t>14 x 2</t>
  </si>
  <si>
    <t xml:space="preserve"> - </t>
  </si>
  <si>
    <t>65 / 86</t>
  </si>
  <si>
    <t>389 / 2696</t>
  </si>
  <si>
    <t>253 / 222</t>
  </si>
  <si>
    <t>M308WTQL11E-C</t>
  </si>
  <si>
    <t>Lab# 1086</t>
  </si>
  <si>
    <t>RM</t>
  </si>
  <si>
    <t>64.6/85.4</t>
  </si>
  <si>
    <t>34.7/</t>
  </si>
  <si>
    <t>36.2/43.5</t>
  </si>
  <si>
    <t>RTD</t>
  </si>
  <si>
    <t>87.2/115</t>
  </si>
  <si>
    <t xml:space="preserve">Stray(Assumed 1.2%) </t>
  </si>
  <si>
    <t>LINK:</t>
  </si>
  <si>
    <t>A. Gracia</t>
  </si>
  <si>
    <t>Rev.1 update correlation per lab 1086. Z.X 05/04/22</t>
  </si>
  <si>
    <t>DT8M30U.rat with DT8M30U_lab#1086_RM.dat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</si>
  <si>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</si>
  <si>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</si>
  <si>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</si>
  <si>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</si>
  <si>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</si>
  <si>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</si>
  <si>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</si>
  <si>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</si>
  <si>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</si>
  <si>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4610.2 kg.m²</t>
  </si>
  <si>
    <t>Acceleration Data (FV V)</t>
  </si>
  <si>
    <t>8.5 (s)</t>
  </si>
  <si>
    <t>1217.1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</si>
  <si>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</si>
  <si>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</si>
  <si>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</si>
  <si>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</si>
  <si>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</si>
  <si>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</si>
  <si>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</si>
  <si>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</si>
  <si>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</si>
  <si>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</si>
  <si>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</si>
  <si>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</si>
  <si>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</si>
  <si>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</si>
  <si>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</si>
  <si>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</si>
  <si>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</si>
  <si>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</si>
  <si>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</si>
  <si>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</si>
  <si>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</si>
  <si>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</si>
  <si>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</si>
  <si>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</si>
  <si>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</si>
  <si>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</si>
  <si>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</si>
  <si>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</si>
  <si>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</si>
  <si>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</si>
  <si>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</si>
  <si>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</si>
  <si>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</si>
  <si>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</si>
  <si>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</si>
  <si>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</si>
  <si>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</si>
  <si>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</si>
  <si>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</si>
  <si>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8 Pole - 1500.0 HP - 900 RPM - 4000 V - 60 Hz</t>
  </si>
  <si>
    <t>0~93</t>
  </si>
  <si>
    <t>93~186</t>
  </si>
  <si>
    <t>186~279</t>
  </si>
  <si>
    <t>279~371</t>
  </si>
  <si>
    <t>371~464</t>
  </si>
  <si>
    <t>464~557</t>
  </si>
  <si>
    <t>557~650</t>
  </si>
  <si>
    <t>650~743</t>
  </si>
  <si>
    <t>743~789</t>
  </si>
  <si>
    <t>789~836</t>
  </si>
  <si>
    <t>836~882</t>
  </si>
  <si>
    <t>882~896</t>
  </si>
  <si>
    <t>896~900</t>
  </si>
  <si>
    <t>Load Type: Fan / Pump - 27349.5 lb-ft²</t>
  </si>
  <si>
    <t>140.0</t>
  </si>
  <si>
    <t>140.1</t>
  </si>
  <si>
    <t>140.2</t>
  </si>
  <si>
    <t>140.5</t>
  </si>
  <si>
    <t>141.1</t>
  </si>
  <si>
    <t>142.1</t>
  </si>
  <si>
    <t>143.7</t>
  </si>
  <si>
    <t>146.3</t>
  </si>
  <si>
    <t>150.7</t>
  </si>
  <si>
    <t>160.8</t>
  </si>
  <si>
    <t>204.1</t>
  </si>
  <si>
    <t>205.0</t>
  </si>
  <si>
    <t>135.0</t>
  </si>
  <si>
    <t>22.4</t>
  </si>
  <si>
    <t>11.3</t>
  </si>
  <si>
    <t>7.0</t>
  </si>
  <si>
    <t>7.5</t>
  </si>
  <si>
    <t>12.0</t>
  </si>
  <si>
    <t>19.7</t>
  </si>
  <si>
    <t>30.4</t>
  </si>
  <si>
    <t>46.2</t>
  </si>
  <si>
    <t>61.8</t>
  </si>
  <si>
    <t>74.7</t>
  </si>
  <si>
    <t>88.3</t>
  </si>
  <si>
    <t>97.2</t>
  </si>
  <si>
    <t>99.6</t>
  </si>
  <si>
    <t>0.862</t>
  </si>
  <si>
    <t>0.787</t>
  </si>
  <si>
    <t>0.761</t>
  </si>
  <si>
    <t>0.762</t>
  </si>
  <si>
    <t>0.785</t>
  </si>
  <si>
    <t>0.828</t>
  </si>
  <si>
    <t>0.895</t>
  </si>
  <si>
    <t>1.012</t>
  </si>
  <si>
    <t>0.570</t>
  </si>
  <si>
    <t>0.589</t>
  </si>
  <si>
    <t>0.438</t>
  </si>
  <si>
    <t>0.146</t>
  </si>
  <si>
    <t>0.111</t>
  </si>
  <si>
    <t>1409.4</t>
  </si>
  <si>
    <t>1399.3</t>
  </si>
  <si>
    <t>1387.4</t>
  </si>
  <si>
    <t>1372.4</t>
  </si>
  <si>
    <t>1352.7</t>
  </si>
  <si>
    <t>1326.7</t>
  </si>
  <si>
    <t>1291.5</t>
  </si>
  <si>
    <t>1241.9</t>
  </si>
  <si>
    <t>1194.2</t>
  </si>
  <si>
    <t>1150.4</t>
  </si>
  <si>
    <t>1063.9</t>
  </si>
  <si>
    <t>702.1</t>
  </si>
  <si>
    <t>271.3</t>
  </si>
  <si>
    <t>563.5</t>
  </si>
  <si>
    <t>507.8</t>
  </si>
  <si>
    <t>483.4</t>
  </si>
  <si>
    <t>474.8</t>
  </si>
  <si>
    <t>477.6</t>
  </si>
  <si>
    <t>487.3</t>
  </si>
  <si>
    <t>503.5</t>
  </si>
  <si>
    <t>534.3</t>
  </si>
  <si>
    <t>274.2</t>
  </si>
  <si>
    <t>266.0</t>
  </si>
  <si>
    <t>181.2</t>
  </si>
  <si>
    <t>47.9</t>
  </si>
  <si>
    <t>1.5</t>
  </si>
  <si>
    <t>1199.1</t>
  </si>
  <si>
    <t>982.2</t>
  </si>
  <si>
    <t>841.1</t>
  </si>
  <si>
    <t>733.4</t>
  </si>
  <si>
    <t>644.9</t>
  </si>
  <si>
    <t>563.6</t>
  </si>
  <si>
    <t>483.3</t>
  </si>
  <si>
    <t>404.2</t>
  </si>
  <si>
    <t>293.0</t>
  </si>
  <si>
    <t>221.0</t>
  </si>
  <si>
    <t>104.7</t>
  </si>
  <si>
    <t>44.9</t>
  </si>
  <si>
    <t>24.2</t>
  </si>
  <si>
    <t>4803 kW / s</t>
  </si>
  <si>
    <t>5877 kW / s</t>
  </si>
  <si>
    <t>663 kW / s</t>
  </si>
  <si>
    <t>36°C</t>
  </si>
  <si>
    <t>45°C</t>
  </si>
  <si>
    <t>37°C</t>
  </si>
  <si>
    <t>73°C</t>
  </si>
  <si>
    <t>91°C</t>
  </si>
  <si>
    <t>75°C</t>
  </si>
  <si>
    <t>Acceleration Time:  8.5 s</t>
  </si>
  <si>
    <t>5.7°C / s</t>
  </si>
  <si>
    <t>10.9°C / s</t>
  </si>
  <si>
    <t>8.9°C / s</t>
  </si>
  <si>
    <t>754.2 kW</t>
  </si>
  <si>
    <t>1407.8 kW</t>
  </si>
  <si>
    <t>158.8 kW</t>
  </si>
  <si>
    <t>28.1 s</t>
  </si>
  <si>
    <t>23.9 s</t>
  </si>
  <si>
    <t>20.1 s</t>
  </si>
  <si>
    <t>65°C    +</t>
  </si>
  <si>
    <t>86°C    +</t>
  </si>
  <si>
    <t>95°C    +</t>
  </si>
  <si>
    <t>174°C   +</t>
  </si>
  <si>
    <t>94°C   +</t>
  </si>
  <si>
    <t>16.7 s</t>
  </si>
  <si>
    <t>16.0 s</t>
  </si>
  <si>
    <t>10.5 s</t>
  </si>
  <si>
    <t>42.6 s</t>
  </si>
  <si>
    <t>22.2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</si>
  <si>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</si>
  <si>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</si>
  <si>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</si>
  <si>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</si>
  <si>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</si>
  <si>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</si>
  <si>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</si>
  <si>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</si>
  <si>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</si>
  <si>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</si>
  <si>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</si>
  <si>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</si>
  <si>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</si>
  <si>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</si>
  <si>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</si>
  <si>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</si>
  <si>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</si>
  <si>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</si>
  <si>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</si>
  <si>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</si>
  <si>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</si>
  <si>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2224.3 lb-ft²</t>
  </si>
  <si>
    <t>27349.5 lb-ft²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</si>
  <si>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</si>
  <si>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</si>
  <si>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</si>
  <si>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</si>
  <si>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</si>
  <si>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</si>
  <si>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</si>
  <si>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</si>
  <si>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</si>
  <si>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</si>
  <si>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</si>
  <si>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</si>
  <si>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</si>
  <si>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</si>
  <si>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</si>
  <si>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</si>
  <si>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</si>
  <si>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</si>
  <si>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</si>
  <si>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</si>
  <si>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</si>
  <si>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</si>
  <si>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</si>
  <si>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</si>
  <si>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</si>
  <si>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</si>
  <si>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</si>
  <si>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</si>
  <si>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</si>
  <si>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</si>
  <si>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</si>
  <si>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</si>
  <si>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</si>
  <si>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</si>
  <si>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</si>
  <si>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</si>
  <si>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</si>
  <si>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</si>
  <si>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</si>
  <si>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</si>
  <si>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</si>
  <si>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</si>
  <si>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</si>
  <si>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</si>
  <si>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</si>
  <si>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</si>
  <si>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</si>
  <si>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</si>
  <si>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</si>
  <si>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</si>
  <si>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</si>
  <si>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</si>
  <si>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</si>
  <si>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</si>
  <si>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</si>
  <si>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</si>
  <si>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</si>
  <si>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</si>
  <si>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</si>
  <si>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</si>
  <si>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</si>
  <si>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</si>
  <si>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</si>
  <si>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</si>
  <si>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</si>
  <si>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</si>
  <si>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</si>
  <si>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</si>
  <si>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</si>
  <si>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</si>
  <si>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</si>
  <si>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</si>
  <si>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</si>
  <si>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</si>
  <si>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</si>
  <si>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</si>
  <si>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</si>
  <si>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</si>
  <si>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</si>
  <si>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</si>
  <si>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</si>
  <si>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</si>
  <si>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</si>
  <si>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</si>
  <si>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</si>
  <si>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</si>
  <si>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</si>
  <si>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</si>
  <si>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</si>
  <si>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</si>
  <si>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</si>
  <si>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</si>
  <si>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</si>
  <si>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</si>
  <si>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</si>
  <si>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</si>
  <si>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</si>
  <si>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</si>
  <si>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</si>
  <si>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</si>
  <si>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</si>
  <si>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</si>
  <si>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</si>
  <si>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</si>
  <si>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</si>
  <si>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</si>
  <si>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</si>
  <si>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</si>
  <si>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</si>
  <si>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</si>
  <si>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</si>
  <si>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</si>
  <si>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</si>
  <si>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</si>
  <si>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WP-II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</si>
  <si>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</si>
  <si>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</si>
  <si>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</si>
  <si>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</si>
  <si>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</si>
  <si>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</si>
  <si>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</si>
  <si>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REV1. ADDED 2300V DATA. JROD 08/18/2023</t>
  </si>
  <si>
    <t>353 / 204</t>
  </si>
  <si>
    <t>2449 / 1414</t>
  </si>
  <si>
    <t>Type: TIKE - Form: DCW4 - 8 Pole - 1500 HP - 2300/4000 V - 60 Hz - 6813US - Class F</t>
  </si>
  <si>
    <t>2 x Delta / 2 x Wye</t>
  </si>
  <si>
    <t>353 A</t>
  </si>
  <si>
    <t>2449 A</t>
  </si>
  <si>
    <t>2300 V</t>
  </si>
  <si>
    <t>N/A</t>
  </si>
  <si>
    <t>4000V</t>
  </si>
  <si>
    <t>204 A</t>
  </si>
  <si>
    <t>1414 A</t>
  </si>
  <si>
    <t>JERRY R</t>
  </si>
  <si>
    <t>RSO2: 400TB41-01</t>
  </si>
  <si>
    <t>TOP HAT ASSY: 135-M133-102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</si>
</sst>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7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24" fillId="0" borderId="0"/>
    <xf numFmtId="0" fontId="51" fillId="0" borderId="0"/>
    <xf numFmtId="0" fontId="1" fillId="0" borderId="0"/>
    <xf numFmtId="172" fontId="66" fillId="0" borderId="0"/>
  </cellStyleXfs>
  <cellXfs count="678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19" fillId="0" borderId="24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69" xfId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2" fontId="34" fillId="0" borderId="0" xfId="1" applyNumberFormat="1" applyFont="1"/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70" xfId="1" quotePrefix="1" applyNumberFormat="1" applyFont="1" applyFill="1" applyBorder="1" applyAlignment="1">
      <alignment horizontal="center"/>
    </xf>
    <xf numFmtId="0" fontId="38" fillId="5" borderId="70" xfId="1" quotePrefix="1" applyFont="1" applyFill="1" applyBorder="1" applyAlignment="1">
      <alignment horizontal="center"/>
    </xf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45" fillId="0" borderId="0" xfId="1" applyFont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quotePrefix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6" fillId="0" borderId="0" xfId="1" applyFont="1" applyAlignment="1">
      <alignment horizontal="right"/>
    </xf>
    <xf numFmtId="2" fontId="34" fillId="0" borderId="0" xfId="2" applyNumberFormat="1" applyFont="1"/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4" fillId="0" borderId="0" xfId="1" applyFont="1" applyAlignment="1">
      <alignment horizontal="righ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7" fillId="0" borderId="0" xfId="1" applyFont="1"/>
    <xf numFmtId="0" fontId="36" fillId="0" borderId="116" xfId="1" applyFont="1" applyBorder="1"/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1" fillId="0" borderId="23" xfId="1" applyFont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/>
    <xf numFmtId="0" fontId="51" fillId="0" borderId="6" xfId="3" applyBorder="1"/>
    <xf numFmtId="0" fontId="51" fillId="0" borderId="7" xfId="3" applyBorder="1"/>
    <xf numFmtId="0" fontId="51" fillId="0" borderId="41" xfId="3" applyBorder="1"/>
    <xf numFmtId="0" fontId="51" fillId="0" borderId="41" xfId="3" applyBorder="1" applyAlignment="1">
      <alignment horizontal="center"/>
    </xf>
    <xf numFmtId="0" fontId="52" fillId="0" borderId="41" xfId="3" applyFont="1" applyBorder="1" applyAlignment="1">
      <alignment horizontal="center"/>
    </xf>
    <xf numFmtId="0" fontId="51" fillId="0" borderId="0" xfId="3"/>
    <xf numFmtId="0" fontId="53" fillId="0" borderId="45" xfId="3" applyFont="1" applyBorder="1" applyAlignment="1">
      <alignment horizontal="center"/>
    </xf>
    <xf numFmtId="0" fontId="53" fillId="0" borderId="0" xfId="3" applyFont="1" applyAlignment="1">
      <alignment horizontal="center"/>
    </xf>
    <xf numFmtId="0" fontId="53" fillId="0" borderId="127" xfId="3" applyFont="1" applyBorder="1" applyAlignment="1">
      <alignment horizontal="center"/>
    </xf>
    <xf numFmtId="0" fontId="51" fillId="0" borderId="127" xfId="3" applyBorder="1" applyAlignment="1">
      <alignment horizontal="center"/>
    </xf>
    <xf numFmtId="0" fontId="52" fillId="0" borderId="127" xfId="3" applyFont="1" applyBorder="1" applyAlignment="1">
      <alignment horizontal="center"/>
    </xf>
    <xf numFmtId="0" fontId="51" fillId="0" borderId="45" xfId="3" applyBorder="1"/>
    <xf numFmtId="0" fontId="54" fillId="0" borderId="0" xfId="3" applyFont="1"/>
    <xf numFmtId="0" fontId="51" fillId="0" borderId="127" xfId="3" applyBorder="1"/>
    <xf numFmtId="0" fontId="52" fillId="0" borderId="0" xfId="3" applyFont="1"/>
    <xf numFmtId="0" fontId="52" fillId="0" borderId="127" xfId="3" applyFont="1" applyBorder="1"/>
    <xf numFmtId="170" fontId="51" fillId="0" borderId="3" xfId="3" applyNumberFormat="1" applyBorder="1"/>
    <xf numFmtId="49" fontId="51" fillId="0" borderId="1" xfId="3" applyNumberFormat="1" applyBorder="1" applyAlignment="1">
      <alignment horizontal="center"/>
    </xf>
    <xf numFmtId="49" fontId="51" fillId="0" borderId="1" xfId="3" applyNumberFormat="1" applyBorder="1"/>
    <xf numFmtId="49" fontId="52" fillId="0" borderId="1" xfId="3" applyNumberFormat="1" applyFont="1" applyBorder="1"/>
    <xf numFmtId="171" fontId="52" fillId="0" borderId="1" xfId="3" applyNumberFormat="1" applyFont="1" applyBorder="1"/>
    <xf numFmtId="0" fontId="51" fillId="0" borderId="1" xfId="3" applyBorder="1"/>
    <xf numFmtId="0" fontId="51" fillId="0" borderId="9" xfId="3" applyBorder="1"/>
    <xf numFmtId="171" fontId="51" fillId="0" borderId="1" xfId="3" applyNumberFormat="1" applyBorder="1"/>
    <xf numFmtId="0" fontId="51" fillId="0" borderId="1" xfId="3" applyBorder="1" applyAlignment="1">
      <alignment horizontal="center"/>
    </xf>
    <xf numFmtId="170" fontId="51" fillId="0" borderId="18" xfId="3" applyNumberFormat="1" applyBorder="1"/>
    <xf numFmtId="49" fontId="51" fillId="0" borderId="26" xfId="3" applyNumberFormat="1" applyBorder="1"/>
    <xf numFmtId="171" fontId="51" fillId="0" borderId="26" xfId="3" applyNumberFormat="1" applyBorder="1"/>
    <xf numFmtId="0" fontId="51" fillId="0" borderId="26" xfId="3" applyBorder="1"/>
    <xf numFmtId="0" fontId="51" fillId="0" borderId="128" xfId="3" applyBorder="1"/>
    <xf numFmtId="0" fontId="52" fillId="0" borderId="129" xfId="3" applyFont="1" applyBorder="1" applyAlignment="1">
      <alignment horizontal="center"/>
    </xf>
    <xf numFmtId="0" fontId="52" fillId="0" borderId="130" xfId="3" applyFont="1" applyBorder="1" applyAlignment="1">
      <alignment horizontal="center"/>
    </xf>
    <xf numFmtId="49" fontId="52" fillId="0" borderId="2" xfId="3" applyNumberFormat="1" applyFont="1" applyBorder="1" applyAlignment="1">
      <alignment horizontal="center"/>
    </xf>
    <xf numFmtId="0" fontId="51" fillId="0" borderId="55" xfId="3" applyBorder="1" applyAlignment="1">
      <alignment horizontal="left"/>
    </xf>
    <xf numFmtId="49" fontId="51" fillId="0" borderId="3" xfId="3" applyNumberFormat="1" applyBorder="1"/>
    <xf numFmtId="0" fontId="51" fillId="0" borderId="132" xfId="3" applyBorder="1" applyAlignment="1">
      <alignment horizontal="left"/>
    </xf>
    <xf numFmtId="49" fontId="51" fillId="0" borderId="4" xfId="3" applyNumberFormat="1" applyBorder="1"/>
    <xf numFmtId="0" fontId="51" fillId="0" borderId="133" xfId="3" applyBorder="1" applyAlignment="1">
      <alignment horizontal="left"/>
    </xf>
    <xf numFmtId="0" fontId="29" fillId="5" borderId="61" xfId="1" applyFont="1" applyFill="1" applyBorder="1"/>
    <xf numFmtId="0" fontId="29" fillId="5" borderId="62" xfId="1" applyFont="1" applyFill="1" applyBorder="1"/>
    <xf numFmtId="0" fontId="29" fillId="5" borderId="27" xfId="1" applyFont="1" applyFill="1" applyBorder="1"/>
    <xf numFmtId="0" fontId="29" fillId="0" borderId="80" xfId="1" applyFont="1" applyBorder="1"/>
    <xf numFmtId="0" fontId="29" fillId="0" borderId="81" xfId="1" applyFont="1" applyBorder="1"/>
    <xf numFmtId="0" fontId="29" fillId="0" borderId="82" xfId="1" applyFont="1" applyBorder="1" applyAlignment="1">
      <alignment horizontal="center"/>
    </xf>
    <xf numFmtId="0" fontId="29" fillId="0" borderId="0" xfId="1" applyFont="1" applyAlignment="1">
      <alignment horizontal="center"/>
    </xf>
    <xf numFmtId="0" fontId="43" fillId="0" borderId="0" xfId="1" applyFont="1" applyAlignment="1">
      <alignment horizontal="center"/>
    </xf>
    <xf numFmtId="167" fontId="38" fillId="5" borderId="70" xfId="1" quotePrefix="1" applyNumberFormat="1" applyFont="1" applyFill="1" applyBorder="1" applyAlignment="1">
      <alignment horizontal="center"/>
    </xf>
    <xf numFmtId="0" fontId="29" fillId="5" borderId="120" xfId="1" applyFont="1" applyFill="1" applyBorder="1" applyAlignment="1">
      <alignment horizontal="center" shrinkToFit="1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5" fillId="0" borderId="0" xfId="4" applyFont="1"/>
    <xf numFmtId="0" fontId="55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5" fillId="0" borderId="131" xfId="4" applyFont="1" applyBorder="1" applyAlignment="1">
      <alignment horizontal="center"/>
    </xf>
    <xf numFmtId="0" fontId="55" fillId="0" borderId="132" xfId="4" quotePrefix="1" applyFont="1" applyBorder="1" applyAlignment="1">
      <alignment horizontal="center"/>
    </xf>
    <xf numFmtId="0" fontId="55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61" xfId="4" applyFont="1" applyBorder="1"/>
    <xf numFmtId="0" fontId="58" fillId="0" borderId="62" xfId="4" applyFont="1" applyBorder="1"/>
    <xf numFmtId="0" fontId="58" fillId="0" borderId="38" xfId="4" applyFont="1" applyBorder="1"/>
    <xf numFmtId="0" fontId="59" fillId="0" borderId="83" xfId="4" applyFont="1" applyBorder="1" applyAlignment="1">
      <alignment horizontal="centerContinuous"/>
    </xf>
    <xf numFmtId="0" fontId="58" fillId="0" borderId="0" xfId="4" applyFont="1" applyAlignment="1">
      <alignment horizontal="centerContinuous"/>
    </xf>
    <xf numFmtId="0" fontId="58" fillId="0" borderId="108" xfId="4" applyFont="1" applyBorder="1" applyAlignment="1">
      <alignment horizontal="centerContinuous"/>
    </xf>
    <xf numFmtId="0" fontId="60" fillId="0" borderId="83" xfId="4" applyFont="1" applyBorder="1" applyAlignment="1">
      <alignment horizontal="centerContinuous"/>
    </xf>
    <xf numFmtId="0" fontId="58" fillId="0" borderId="83" xfId="4" applyFont="1" applyBorder="1"/>
    <xf numFmtId="0" fontId="58" fillId="0" borderId="0" xfId="4" applyFont="1"/>
    <xf numFmtId="0" fontId="58" fillId="0" borderId="108" xfId="4" applyFont="1" applyBorder="1"/>
    <xf numFmtId="0" fontId="61" fillId="0" borderId="1" xfId="4" applyFont="1" applyBorder="1" applyAlignment="1">
      <alignment horizontal="right"/>
    </xf>
    <xf numFmtId="0" fontId="58" fillId="0" borderId="1" xfId="4" applyFont="1" applyBorder="1" applyAlignment="1">
      <alignment horizontal="center"/>
    </xf>
    <xf numFmtId="14" fontId="58" fillId="0" borderId="1" xfId="4" applyNumberFormat="1" applyFont="1" applyBorder="1" applyAlignment="1">
      <alignment horizontal="center"/>
    </xf>
    <xf numFmtId="0" fontId="61" fillId="0" borderId="0" xfId="4" applyFont="1" applyAlignment="1">
      <alignment horizontal="right"/>
    </xf>
    <xf numFmtId="0" fontId="58" fillId="0" borderId="0" xfId="4" applyFont="1" applyAlignment="1">
      <alignment horizontal="center"/>
    </xf>
    <xf numFmtId="9" fontId="58" fillId="0" borderId="0" xfId="4" applyNumberFormat="1" applyFont="1" applyAlignment="1">
      <alignment horizontal="center"/>
    </xf>
    <xf numFmtId="0" fontId="61" fillId="0" borderId="83" xfId="4" applyFont="1" applyBorder="1" applyAlignment="1">
      <alignment horizontal="right"/>
    </xf>
    <xf numFmtId="0" fontId="58" fillId="0" borderId="40" xfId="4" applyFont="1" applyBorder="1"/>
    <xf numFmtId="0" fontId="58" fillId="0" borderId="39" xfId="4" applyFont="1" applyBorder="1" applyAlignment="1">
      <alignment horizontal="center"/>
    </xf>
    <xf numFmtId="0" fontId="58" fillId="0" borderId="85" xfId="4" applyFont="1" applyBorder="1"/>
    <xf numFmtId="0" fontId="61" fillId="0" borderId="17" xfId="4" applyFont="1" applyBorder="1" applyAlignment="1">
      <alignment horizontal="right"/>
    </xf>
    <xf numFmtId="0" fontId="58" fillId="0" borderId="132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63" fillId="0" borderId="0" xfId="4" applyFont="1"/>
    <xf numFmtId="0" fontId="64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5" fillId="0" borderId="0" xfId="4" applyFont="1"/>
    <xf numFmtId="167" fontId="3" fillId="0" borderId="135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6" xfId="4" applyNumberFormat="1" applyFont="1" applyBorder="1" applyAlignment="1">
      <alignment horizontal="center"/>
    </xf>
    <xf numFmtId="167" fontId="3" fillId="0" borderId="137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7" fillId="0" borderId="6" xfId="5" applyFont="1" applyBorder="1" applyAlignment="1">
      <alignment horizontal="centerContinuous"/>
    </xf>
    <xf numFmtId="172" fontId="67" fillId="0" borderId="7" xfId="5" applyFont="1" applyBorder="1" applyAlignment="1">
      <alignment horizontal="centerContinuous"/>
    </xf>
    <xf numFmtId="172" fontId="68" fillId="0" borderId="12" xfId="5" applyFont="1" applyBorder="1" applyAlignment="1">
      <alignment horizontal="left"/>
    </xf>
    <xf numFmtId="172" fontId="69" fillId="0" borderId="55" xfId="5" applyFont="1" applyBorder="1"/>
    <xf numFmtId="172" fontId="68" fillId="0" borderId="13" xfId="5" applyFont="1" applyBorder="1" applyAlignment="1">
      <alignment horizontal="centerContinuous"/>
    </xf>
    <xf numFmtId="172" fontId="69" fillId="0" borderId="14" xfId="5" applyFont="1" applyBorder="1" applyAlignment="1">
      <alignment horizontal="centerContinuous"/>
    </xf>
    <xf numFmtId="172" fontId="70" fillId="0" borderId="0" xfId="5" applyFont="1"/>
    <xf numFmtId="172" fontId="66" fillId="0" borderId="0" xfId="5"/>
    <xf numFmtId="172" fontId="67" fillId="0" borderId="45" xfId="5" applyFont="1" applyBorder="1" applyAlignment="1">
      <alignment horizontal="centerContinuous"/>
    </xf>
    <xf numFmtId="172" fontId="67" fillId="0" borderId="0" xfId="5" applyFont="1" applyAlignment="1">
      <alignment horizontal="centerContinuous"/>
    </xf>
    <xf numFmtId="172" fontId="68" fillId="0" borderId="109" xfId="5" applyFont="1" applyBorder="1" applyAlignment="1">
      <alignment horizontal="left"/>
    </xf>
    <xf numFmtId="172" fontId="69" fillId="0" borderId="39" xfId="5" applyFont="1" applyBorder="1"/>
    <xf numFmtId="172" fontId="68" fillId="0" borderId="40" xfId="5" applyFont="1" applyBorder="1" applyAlignment="1">
      <alignment horizontal="centerContinuous"/>
    </xf>
    <xf numFmtId="172" fontId="69" fillId="0" borderId="29" xfId="5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9" fillId="0" borderId="0" xfId="5" applyFont="1" applyAlignment="1">
      <alignment horizontal="centerContinuous"/>
    </xf>
    <xf numFmtId="172" fontId="68" fillId="0" borderId="40" xfId="5" quotePrefix="1" applyFont="1" applyBorder="1" applyAlignment="1">
      <alignment horizontal="centerContinuous"/>
    </xf>
    <xf numFmtId="172" fontId="71" fillId="0" borderId="45" xfId="5" applyFont="1" applyBorder="1" applyAlignment="1">
      <alignment horizontal="centerContinuous"/>
    </xf>
    <xf numFmtId="172" fontId="70" fillId="0" borderId="45" xfId="5" applyFont="1" applyBorder="1" applyAlignment="1">
      <alignment horizontal="centerContinuous"/>
    </xf>
    <xf numFmtId="172" fontId="70" fillId="0" borderId="46" xfId="5" applyFont="1" applyBorder="1" applyAlignment="1">
      <alignment horizontal="centerContinuous"/>
    </xf>
    <xf numFmtId="172" fontId="69" fillId="0" borderId="23" xfId="5" applyFont="1" applyBorder="1" applyAlignment="1">
      <alignment horizontal="centerContinuous"/>
    </xf>
    <xf numFmtId="172" fontId="68" fillId="0" borderId="46" xfId="5" applyFont="1" applyBorder="1" applyAlignment="1">
      <alignment horizontal="left"/>
    </xf>
    <xf numFmtId="172" fontId="69" fillId="0" borderId="48" xfId="5" applyFont="1" applyBorder="1"/>
    <xf numFmtId="172" fontId="72" fillId="0" borderId="23" xfId="5" applyFont="1" applyBorder="1" applyAlignment="1">
      <alignment horizontal="centerContinuous"/>
    </xf>
    <xf numFmtId="172" fontId="69" fillId="0" borderId="24" xfId="5" applyFont="1" applyBorder="1" applyAlignment="1">
      <alignment horizontal="centerContinuous"/>
    </xf>
    <xf numFmtId="172" fontId="70" fillId="0" borderId="0" xfId="5" applyFont="1" applyAlignment="1">
      <alignment horizontal="centerContinuous"/>
    </xf>
    <xf numFmtId="172" fontId="68" fillId="0" borderId="0" xfId="5" applyFont="1" applyAlignment="1">
      <alignment horizontal="left"/>
    </xf>
    <xf numFmtId="172" fontId="69" fillId="0" borderId="0" xfId="5" applyFont="1"/>
    <xf numFmtId="172" fontId="68" fillId="0" borderId="0" xfId="5" applyFont="1" applyAlignment="1">
      <alignment horizontal="centerContinuous"/>
    </xf>
    <xf numFmtId="172" fontId="73" fillId="0" borderId="0" xfId="5" applyFont="1"/>
    <xf numFmtId="172" fontId="73" fillId="0" borderId="0" xfId="5" applyFont="1" applyAlignment="1">
      <alignment horizontal="right"/>
    </xf>
    <xf numFmtId="172" fontId="73" fillId="0" borderId="0" xfId="5" applyFont="1" applyAlignment="1" applyProtection="1">
      <alignment horizontal="left"/>
      <protection locked="0"/>
    </xf>
    <xf numFmtId="172" fontId="73" fillId="0" borderId="0" xfId="5" applyFont="1" applyAlignment="1">
      <alignment horizontal="centerContinuous"/>
    </xf>
    <xf numFmtId="172" fontId="73" fillId="0" borderId="0" xfId="5" applyFont="1" applyAlignment="1">
      <alignment horizontal="left"/>
    </xf>
    <xf numFmtId="49" fontId="73" fillId="0" borderId="0" xfId="5" quotePrefix="1" applyNumberFormat="1" applyFont="1" applyAlignment="1" applyProtection="1">
      <alignment horizontal="left"/>
      <protection locked="0"/>
    </xf>
    <xf numFmtId="172" fontId="74" fillId="0" borderId="138" xfId="5" applyFont="1" applyBorder="1" applyAlignment="1">
      <alignment horizontal="centerContinuous"/>
    </xf>
    <xf numFmtId="172" fontId="70" fillId="0" borderId="139" xfId="5" applyFont="1" applyBorder="1" applyAlignment="1">
      <alignment horizontal="centerContinuous"/>
    </xf>
    <xf numFmtId="172" fontId="70" fillId="0" borderId="140" xfId="5" applyFont="1" applyBorder="1" applyAlignment="1">
      <alignment horizontal="centerContinuous"/>
    </xf>
    <xf numFmtId="172" fontId="73" fillId="0" borderId="45" xfId="5" applyFont="1" applyBorder="1"/>
    <xf numFmtId="172" fontId="73" fillId="0" borderId="0" xfId="5" applyFont="1" applyAlignment="1" applyProtection="1">
      <alignment horizontal="center"/>
      <protection locked="0"/>
    </xf>
    <xf numFmtId="172" fontId="73" fillId="0" borderId="21" xfId="5" applyFont="1" applyBorder="1" applyAlignment="1" applyProtection="1">
      <alignment horizontal="center"/>
      <protection locked="0"/>
    </xf>
    <xf numFmtId="172" fontId="73" fillId="0" borderId="0" xfId="5" applyFont="1" applyAlignment="1">
      <alignment horizontal="center"/>
    </xf>
    <xf numFmtId="49" fontId="73" fillId="0" borderId="0" xfId="5" applyNumberFormat="1" applyFont="1" applyAlignment="1">
      <alignment horizontal="center"/>
    </xf>
    <xf numFmtId="172" fontId="73" fillId="0" borderId="0" xfId="5" quotePrefix="1" applyFont="1" applyAlignment="1">
      <alignment horizontal="right"/>
    </xf>
    <xf numFmtId="172" fontId="73" fillId="0" borderId="0" xfId="5" quotePrefix="1" applyFont="1" applyAlignment="1" applyProtection="1">
      <alignment horizontal="center"/>
      <protection locked="0"/>
    </xf>
    <xf numFmtId="172" fontId="73" fillId="0" borderId="21" xfId="5" applyFont="1" applyBorder="1"/>
    <xf numFmtId="172" fontId="73" fillId="0" borderId="46" xfId="5" applyFont="1" applyBorder="1"/>
    <xf numFmtId="172" fontId="73" fillId="0" borderId="23" xfId="5" applyFont="1" applyBorder="1" applyAlignment="1">
      <alignment horizontal="right"/>
    </xf>
    <xf numFmtId="167" fontId="73" fillId="0" borderId="23" xfId="5" quotePrefix="1" applyNumberFormat="1" applyFont="1" applyBorder="1" applyAlignment="1" applyProtection="1">
      <alignment horizontal="center"/>
      <protection locked="0"/>
    </xf>
    <xf numFmtId="172" fontId="73" fillId="0" borderId="23" xfId="5" applyFont="1" applyBorder="1"/>
    <xf numFmtId="167" fontId="73" fillId="0" borderId="23" xfId="5" applyNumberFormat="1" applyFont="1" applyBorder="1"/>
    <xf numFmtId="172" fontId="73" fillId="0" borderId="24" xfId="5" applyFont="1" applyBorder="1"/>
    <xf numFmtId="172" fontId="75" fillId="0" borderId="45" xfId="5" quotePrefix="1" applyFont="1" applyBorder="1" applyAlignment="1">
      <alignment horizontal="left"/>
    </xf>
    <xf numFmtId="172" fontId="69" fillId="0" borderId="0" xfId="5" quotePrefix="1" applyFont="1" applyAlignment="1">
      <alignment horizontal="right"/>
    </xf>
    <xf numFmtId="172" fontId="69" fillId="0" borderId="108" xfId="5" applyFont="1" applyBorder="1"/>
    <xf numFmtId="172" fontId="75" fillId="0" borderId="0" xfId="5" applyFont="1" applyAlignment="1">
      <alignment horizontal="left"/>
    </xf>
    <xf numFmtId="172" fontId="69" fillId="0" borderId="0" xfId="5" applyFont="1" applyAlignment="1">
      <alignment horizontal="right"/>
    </xf>
    <xf numFmtId="172" fontId="69" fillId="0" borderId="108" xfId="5" applyFont="1" applyBorder="1" applyAlignment="1">
      <alignment horizontal="right"/>
    </xf>
    <xf numFmtId="172" fontId="75" fillId="0" borderId="0" xfId="5" quotePrefix="1" applyFont="1" applyAlignment="1">
      <alignment horizontal="left"/>
    </xf>
    <xf numFmtId="172" fontId="69" fillId="0" borderId="21" xfId="5" applyFont="1" applyBorder="1"/>
    <xf numFmtId="172" fontId="66" fillId="0" borderId="45" xfId="5" applyBorder="1"/>
    <xf numFmtId="172" fontId="73" fillId="0" borderId="108" xfId="5" applyFont="1" applyBorder="1" applyAlignment="1" applyProtection="1">
      <alignment horizontal="center"/>
      <protection locked="0"/>
    </xf>
    <xf numFmtId="0" fontId="73" fillId="0" borderId="108" xfId="5" applyNumberFormat="1" applyFont="1" applyBorder="1" applyAlignment="1">
      <alignment horizontal="center"/>
    </xf>
    <xf numFmtId="172" fontId="73" fillId="0" borderId="108" xfId="5" applyFont="1" applyBorder="1"/>
    <xf numFmtId="172" fontId="73" fillId="0" borderId="48" xfId="5" applyFont="1" applyBorder="1"/>
    <xf numFmtId="172" fontId="73" fillId="0" borderId="48" xfId="5" applyFont="1" applyBorder="1" applyAlignment="1">
      <alignment horizontal="left"/>
    </xf>
    <xf numFmtId="172" fontId="74" fillId="0" borderId="141" xfId="5" applyFont="1" applyBorder="1" applyAlignment="1">
      <alignment horizontal="centerContinuous"/>
    </xf>
    <xf numFmtId="172" fontId="70" fillId="0" borderId="142" xfId="5" applyFont="1" applyBorder="1" applyAlignment="1">
      <alignment horizontal="centerContinuous"/>
    </xf>
    <xf numFmtId="172" fontId="66" fillId="0" borderId="143" xfId="5" applyBorder="1"/>
    <xf numFmtId="172" fontId="70" fillId="0" borderId="144" xfId="5" applyFont="1" applyBorder="1" applyAlignment="1">
      <alignment horizontal="centerContinuous"/>
    </xf>
    <xf numFmtId="172" fontId="75" fillId="0" borderId="45" xfId="5" applyFont="1" applyBorder="1" applyAlignment="1">
      <alignment horizontal="left"/>
    </xf>
    <xf numFmtId="172" fontId="66" fillId="0" borderId="108" xfId="5" applyBorder="1"/>
    <xf numFmtId="167" fontId="73" fillId="0" borderId="0" xfId="5" applyNumberFormat="1" applyFont="1" applyAlignment="1" applyProtection="1">
      <alignment horizontal="center"/>
      <protection locked="0"/>
    </xf>
    <xf numFmtId="172" fontId="73" fillId="0" borderId="45" xfId="5" applyFont="1" applyBorder="1" applyAlignment="1">
      <alignment horizontal="left"/>
    </xf>
    <xf numFmtId="172" fontId="66" fillId="0" borderId="48" xfId="5" applyBorder="1"/>
    <xf numFmtId="172" fontId="70" fillId="0" borderId="0" xfId="5" applyFont="1" applyAlignment="1">
      <alignment horizontal="left"/>
    </xf>
    <xf numFmtId="172" fontId="70" fillId="0" borderId="141" xfId="5" applyFont="1" applyBorder="1"/>
    <xf numFmtId="172" fontId="69" fillId="0" borderId="142" xfId="5" applyFont="1" applyBorder="1" applyAlignment="1">
      <alignment horizontal="left"/>
    </xf>
    <xf numFmtId="172" fontId="69" fillId="0" borderId="144" xfId="5" applyFont="1" applyBorder="1" applyAlignment="1">
      <alignment horizontal="left"/>
    </xf>
    <xf numFmtId="172" fontId="73" fillId="0" borderId="45" xfId="5" quotePrefix="1" applyFont="1" applyBorder="1" applyAlignment="1">
      <alignment horizontal="left"/>
    </xf>
    <xf numFmtId="172" fontId="73" fillId="0" borderId="21" xfId="5" applyFont="1" applyBorder="1" applyAlignment="1">
      <alignment horizontal="left"/>
    </xf>
    <xf numFmtId="172" fontId="76" fillId="0" borderId="145" xfId="5" applyFont="1" applyBorder="1"/>
    <xf numFmtId="172" fontId="73" fillId="0" borderId="0" xfId="5" quotePrefix="1" applyFont="1" applyAlignment="1">
      <alignment horizontal="left"/>
    </xf>
    <xf numFmtId="172" fontId="73" fillId="0" borderId="146" xfId="5" quotePrefix="1" applyFont="1" applyBorder="1" applyAlignment="1">
      <alignment horizontal="left"/>
    </xf>
    <xf numFmtId="172" fontId="73" fillId="0" borderId="147" xfId="5" quotePrefix="1" applyFont="1" applyBorder="1" applyAlignment="1">
      <alignment horizontal="left"/>
    </xf>
    <xf numFmtId="172" fontId="73" fillId="0" borderId="46" xfId="5" applyFont="1" applyBorder="1" applyAlignment="1">
      <alignment horizontal="left"/>
    </xf>
    <xf numFmtId="172" fontId="73" fillId="0" borderId="23" xfId="5" applyFont="1" applyBorder="1" applyAlignment="1">
      <alignment horizontal="left"/>
    </xf>
    <xf numFmtId="172" fontId="73" fillId="0" borderId="24" xfId="5" applyFont="1" applyBorder="1" applyAlignment="1">
      <alignment horizontal="left"/>
    </xf>
    <xf numFmtId="172" fontId="69" fillId="0" borderId="0" xfId="5" applyFont="1" applyAlignment="1">
      <alignment horizontal="left"/>
    </xf>
    <xf numFmtId="172" fontId="77" fillId="0" borderId="0" xfId="5" applyFont="1" applyAlignment="1">
      <alignment horizontal="right"/>
    </xf>
    <xf numFmtId="172" fontId="66" fillId="0" borderId="0" xfId="5" applyAlignment="1">
      <alignment horizontal="right"/>
    </xf>
    <xf numFmtId="49" fontId="58" fillId="0" borderId="40" xfId="4" applyNumberFormat="1" applyFont="1" applyBorder="1"/>
    <xf numFmtId="0" fontId="1" fillId="0" borderId="0" xfId="4" applyAlignment="1">
      <alignment horizontal="center"/>
    </xf>
    <xf numFmtId="0" fontId="2" fillId="0" borderId="42" xfId="4" applyFont="1" applyBorder="1" applyAlignment="1">
      <alignment horizontal="center"/>
    </xf>
    <xf numFmtId="0" fontId="2" fillId="0" borderId="24" xfId="4" applyFont="1" applyBorder="1" applyAlignment="1">
      <alignment horizontal="center"/>
    </xf>
    <xf numFmtId="0" fontId="1" fillId="0" borderId="0" xfId="4" applyAlignment="1">
      <alignment horizontal="right"/>
    </xf>
    <xf numFmtId="0" fontId="1" fillId="6" borderId="0" xfId="4" applyFill="1"/>
    <xf numFmtId="0" fontId="1" fillId="7" borderId="0" xfId="4" applyFill="1"/>
    <xf numFmtId="167" fontId="1" fillId="0" borderId="0" xfId="4" applyNumberFormat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48" fillId="5" borderId="117" xfId="1" applyFont="1" applyFill="1" applyBorder="1" applyAlignment="1">
      <alignment horizontal="center"/>
    </xf>
    <xf numFmtId="0" fontId="48" fillId="5" borderId="118" xfId="1" applyFont="1" applyFill="1" applyBorder="1" applyAlignment="1">
      <alignment horizontal="center"/>
    </xf>
    <xf numFmtId="0" fontId="51" fillId="0" borderId="50" xfId="3" applyBorder="1" applyAlignment="1">
      <alignment horizontal="left"/>
    </xf>
    <xf numFmtId="0" fontId="51" fillId="0" borderId="13" xfId="3" applyBorder="1" applyAlignment="1">
      <alignment horizontal="left"/>
    </xf>
    <xf numFmtId="170" fontId="51" fillId="0" borderId="50" xfId="3" applyNumberFormat="1" applyBorder="1" applyAlignment="1">
      <alignment horizontal="center"/>
    </xf>
    <xf numFmtId="170" fontId="51" fillId="0" borderId="13" xfId="3" applyNumberFormat="1" applyBorder="1" applyAlignment="1">
      <alignment horizontal="center"/>
    </xf>
    <xf numFmtId="170" fontId="51" fillId="0" borderId="55" xfId="3" applyNumberFormat="1" applyBorder="1" applyAlignment="1">
      <alignment horizontal="center"/>
    </xf>
    <xf numFmtId="49" fontId="51" fillId="0" borderId="50" xfId="3" applyNumberFormat="1" applyBorder="1" applyAlignment="1">
      <alignment horizontal="center"/>
    </xf>
    <xf numFmtId="49" fontId="51" fillId="0" borderId="13" xfId="3" applyNumberFormat="1" applyBorder="1" applyAlignment="1">
      <alignment horizontal="center"/>
    </xf>
    <xf numFmtId="49" fontId="51" fillId="0" borderId="14" xfId="3" applyNumberFormat="1" applyBorder="1" applyAlignment="1">
      <alignment horizontal="center"/>
    </xf>
    <xf numFmtId="0" fontId="53" fillId="0" borderId="45" xfId="3" applyFont="1" applyBorder="1" applyAlignment="1">
      <alignment horizontal="center"/>
    </xf>
    <xf numFmtId="0" fontId="53" fillId="0" borderId="0" xfId="3" applyFont="1" applyAlignment="1">
      <alignment horizontal="center"/>
    </xf>
    <xf numFmtId="0" fontId="53" fillId="0" borderId="53" xfId="3" applyFont="1" applyBorder="1" applyAlignment="1">
      <alignment horizontal="center"/>
    </xf>
    <xf numFmtId="0" fontId="52" fillId="0" borderId="15" xfId="3" applyFont="1" applyBorder="1" applyAlignment="1">
      <alignment horizontal="center"/>
    </xf>
    <xf numFmtId="0" fontId="52" fillId="0" borderId="7" xfId="3" applyFont="1" applyBorder="1" applyAlignment="1">
      <alignment horizontal="center"/>
    </xf>
    <xf numFmtId="0" fontId="52" fillId="0" borderId="130" xfId="3" applyFont="1" applyBorder="1" applyAlignment="1">
      <alignment horizontal="center"/>
    </xf>
    <xf numFmtId="0" fontId="52" fillId="0" borderId="8" xfId="3" applyFont="1" applyBorder="1" applyAlignment="1">
      <alignment horizontal="center"/>
    </xf>
    <xf numFmtId="0" fontId="51" fillId="0" borderId="17" xfId="3" applyBorder="1" applyAlignment="1">
      <alignment horizontal="left"/>
    </xf>
    <xf numFmtId="0" fontId="51" fillId="0" borderId="131" xfId="3" applyBorder="1" applyAlignment="1">
      <alignment horizontal="left"/>
    </xf>
    <xf numFmtId="170" fontId="51" fillId="0" borderId="17" xfId="3" applyNumberFormat="1" applyBorder="1" applyAlignment="1">
      <alignment horizontal="center"/>
    </xf>
    <xf numFmtId="170" fontId="51" fillId="0" borderId="131" xfId="3" applyNumberFormat="1" applyBorder="1" applyAlignment="1">
      <alignment horizontal="center"/>
    </xf>
    <xf numFmtId="170" fontId="51" fillId="0" borderId="132" xfId="3" applyNumberFormat="1" applyBorder="1" applyAlignment="1">
      <alignment horizontal="center"/>
    </xf>
    <xf numFmtId="49" fontId="51" fillId="0" borderId="17" xfId="3" applyNumberFormat="1" applyBorder="1" applyAlignment="1">
      <alignment horizontal="center"/>
    </xf>
    <xf numFmtId="49" fontId="51" fillId="0" borderId="131" xfId="3" applyNumberFormat="1" applyBorder="1" applyAlignment="1">
      <alignment horizontal="center"/>
    </xf>
    <xf numFmtId="49" fontId="51" fillId="0" borderId="16" xfId="3" applyNumberFormat="1" applyBorder="1" applyAlignment="1">
      <alignment horizontal="center"/>
    </xf>
    <xf numFmtId="0" fontId="51" fillId="0" borderId="31" xfId="3" applyBorder="1" applyAlignment="1">
      <alignment horizontal="left"/>
    </xf>
    <xf numFmtId="0" fontId="51" fillId="0" borderId="51" xfId="3" applyBorder="1" applyAlignment="1">
      <alignment horizontal="left"/>
    </xf>
    <xf numFmtId="170" fontId="51" fillId="0" borderId="31" xfId="3" applyNumberFormat="1" applyBorder="1" applyAlignment="1">
      <alignment horizontal="center"/>
    </xf>
    <xf numFmtId="170" fontId="51" fillId="0" borderId="51" xfId="3" applyNumberFormat="1" applyBorder="1" applyAlignment="1">
      <alignment horizontal="center"/>
    </xf>
    <xf numFmtId="170" fontId="51" fillId="0" borderId="133" xfId="3" applyNumberFormat="1" applyBorder="1" applyAlignment="1">
      <alignment horizontal="center"/>
    </xf>
    <xf numFmtId="49" fontId="51" fillId="0" borderId="31" xfId="3" applyNumberFormat="1" applyBorder="1" applyAlignment="1">
      <alignment horizontal="center"/>
    </xf>
    <xf numFmtId="49" fontId="51" fillId="0" borderId="51" xfId="3" applyNumberFormat="1" applyBorder="1" applyAlignment="1">
      <alignment horizontal="center"/>
    </xf>
    <xf numFmtId="49" fontId="51" fillId="0" borderId="32" xfId="3" applyNumberForma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7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55" fillId="0" borderId="17" xfId="4" applyFont="1" applyBorder="1" applyAlignment="1">
      <alignment horizontal="right"/>
    </xf>
    <xf numFmtId="0" fontId="55" fillId="0" borderId="131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172" fontId="78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0" fontId="58" fillId="0" borderId="17" xfId="4" applyFont="1" applyBorder="1" applyAlignment="1">
      <alignment horizontal="center"/>
    </xf>
    <xf numFmtId="0" fontId="58" fillId="0" borderId="131" xfId="4" applyFont="1" applyBorder="1" applyAlignment="1">
      <alignment horizontal="center"/>
    </xf>
    <xf numFmtId="0" fontId="58" fillId="0" borderId="132" xfId="4" applyFont="1" applyBorder="1" applyAlignment="1">
      <alignment horizontal="center"/>
    </xf>
    <xf numFmtId="0" fontId="60" fillId="0" borderId="83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60" fillId="0" borderId="108" xfId="4" applyFont="1" applyBorder="1" applyAlignment="1">
      <alignment horizontal="center"/>
    </xf>
    <xf numFmtId="0" fontId="62" fillId="0" borderId="83" xfId="4" applyFont="1" applyBorder="1" applyAlignment="1">
      <alignment horizontal="center"/>
    </xf>
    <xf numFmtId="0" fontId="62" fillId="0" borderId="0" xfId="4" applyFont="1" applyAlignment="1">
      <alignment horizontal="center"/>
    </xf>
    <xf numFmtId="0" fontId="62" fillId="0" borderId="108" xfId="4" applyFont="1" applyBorder="1" applyAlignment="1">
      <alignment horizontal="center"/>
    </xf>
    <xf numFmtId="0" fontId="1" fillId="0" borderId="52" xfId="4" applyBorder="1" applyAlignment="1">
      <alignment horizontal="center"/>
    </xf>
    <xf numFmtId="0" fontId="1" fillId="0" borderId="53" xfId="4" applyBorder="1" applyAlignment="1">
      <alignment horizontal="center"/>
    </xf>
    <xf numFmtId="0" fontId="1" fillId="0" borderId="54" xfId="4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2" xr:uid="{00000000-0005-0000-0000-000004000000}"/>
    <cellStyle name="Normal_PROJ_REV_HIST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7.1578949689865112E-2</c:v>
                </c:pt>
                <c:pt idx="4" formatCode="0.00">
                  <c:v>0.12315789610147476</c:v>
                </c:pt>
                <c:pt idx="5" formatCode="0.00">
                  <c:v>0.17473684251308441</c:v>
                </c:pt>
                <c:pt idx="6" formatCode="0.00">
                  <c:v>0.27789473533630371</c:v>
                </c:pt>
                <c:pt idx="7" formatCode="0.00">
                  <c:v>0.3810526430606842</c:v>
                </c:pt>
                <c:pt idx="8" formatCode="0.00">
                  <c:v>0.48421052098274231</c:v>
                </c:pt>
                <c:pt idx="9" formatCode="0.00">
                  <c:v>0.5873684287071228</c:v>
                </c:pt>
                <c:pt idx="10" formatCode="0.00">
                  <c:v>0.69052630662918091</c:v>
                </c:pt>
                <c:pt idx="11" formatCode="0.00">
                  <c:v>0.79368424415588379</c:v>
                </c:pt>
                <c:pt idx="12" formatCode="0.00">
                  <c:v>0.89684206247329712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169.96999673919854</c:v>
                </c:pt>
                <c:pt idx="2">
                  <c:v>240</c:v>
                </c:pt>
                <c:pt idx="3">
                  <c:v>168.19492607735418</c:v>
                </c:pt>
                <c:pt idx="4">
                  <c:v>153.38442036652685</c:v>
                </c:pt>
                <c:pt idx="5">
                  <c:v>148.00629794916944</c:v>
                </c:pt>
                <c:pt idx="6">
                  <c:v>144.68834008118384</c:v>
                </c:pt>
                <c:pt idx="7">
                  <c:v>142.66957257845729</c:v>
                </c:pt>
                <c:pt idx="8">
                  <c:v>141.43126032799657</c:v>
                </c:pt>
                <c:pt idx="9">
                  <c:v>140.73384843144186</c:v>
                </c:pt>
                <c:pt idx="10">
                  <c:v>140.3498517130281</c:v>
                </c:pt>
                <c:pt idx="11">
                  <c:v>140.14471941691491</c:v>
                </c:pt>
                <c:pt idx="12">
                  <c:v>140.04492856188853</c:v>
                </c:pt>
                <c:pt idx="13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72-4443-89BE-936F90C46A39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7.1578949689865112E-2</c:v>
                </c:pt>
                <c:pt idx="4" formatCode="0.00">
                  <c:v>0.12315789610147476</c:v>
                </c:pt>
                <c:pt idx="5" formatCode="0.00">
                  <c:v>0.17473684251308441</c:v>
                </c:pt>
                <c:pt idx="6" formatCode="0.00">
                  <c:v>0.27789473533630371</c:v>
                </c:pt>
                <c:pt idx="7" formatCode="0.00">
                  <c:v>0.3810526430606842</c:v>
                </c:pt>
                <c:pt idx="8" formatCode="0.00">
                  <c:v>0.48421052098274231</c:v>
                </c:pt>
                <c:pt idx="9" formatCode="0.00">
                  <c:v>0.5873684287071228</c:v>
                </c:pt>
                <c:pt idx="10" formatCode="0.00">
                  <c:v>0.69052630662918091</c:v>
                </c:pt>
                <c:pt idx="11" formatCode="0.00">
                  <c:v>0.79368424415588379</c:v>
                </c:pt>
                <c:pt idx="12" formatCode="0.00">
                  <c:v>0.89684206247329712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99.199996948242188</c:v>
                </c:pt>
                <c:pt idx="2">
                  <c:v>95.25</c:v>
                </c:pt>
                <c:pt idx="3">
                  <c:v>81.389472961425781</c:v>
                </c:pt>
                <c:pt idx="4">
                  <c:v>67.978950500488281</c:v>
                </c:pt>
                <c:pt idx="5">
                  <c:v>55.557895660400391</c:v>
                </c:pt>
                <c:pt idx="6">
                  <c:v>36.757896423339844</c:v>
                </c:pt>
                <c:pt idx="7">
                  <c:v>24.084209442138672</c:v>
                </c:pt>
                <c:pt idx="8">
                  <c:v>15.263158798217773</c:v>
                </c:pt>
                <c:pt idx="9">
                  <c:v>8.7578945159912109</c:v>
                </c:pt>
                <c:pt idx="10">
                  <c:v>6.1894736289978027</c:v>
                </c:pt>
                <c:pt idx="11">
                  <c:v>7.8736848831176758</c:v>
                </c:pt>
                <c:pt idx="12">
                  <c:v>14.77894401550293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72-4443-89BE-936F90C46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38760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7.1578949689865112E-2</c:v>
                </c:pt>
                <c:pt idx="4" formatCode="0.00">
                  <c:v>0.12315789610147476</c:v>
                </c:pt>
                <c:pt idx="5" formatCode="0.00">
                  <c:v>0.17473684251308441</c:v>
                </c:pt>
                <c:pt idx="6" formatCode="0.00">
                  <c:v>0.27789473533630371</c:v>
                </c:pt>
                <c:pt idx="7" formatCode="0.00">
                  <c:v>0.3810526430606842</c:v>
                </c:pt>
                <c:pt idx="8" formatCode="0.00">
                  <c:v>0.48421052098274231</c:v>
                </c:pt>
                <c:pt idx="9" formatCode="0.00">
                  <c:v>0.5873684287071228</c:v>
                </c:pt>
                <c:pt idx="10" formatCode="0.00">
                  <c:v>0.69052630662918091</c:v>
                </c:pt>
                <c:pt idx="11" formatCode="0.00">
                  <c:v>0.79368424415588379</c:v>
                </c:pt>
                <c:pt idx="12" formatCode="0.00">
                  <c:v>0.89684206247329712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0.33853828907012939</c:v>
                </c:pt>
                <c:pt idx="1">
                  <c:v>196.92266845703125</c:v>
                </c:pt>
                <c:pt idx="2">
                  <c:v>491.44400024414063</c:v>
                </c:pt>
                <c:pt idx="3">
                  <c:v>551.61358642578125</c:v>
                </c:pt>
                <c:pt idx="4">
                  <c:v>576.2669677734375</c:v>
                </c:pt>
                <c:pt idx="5">
                  <c:v>594.52789306640625</c:v>
                </c:pt>
                <c:pt idx="6">
                  <c:v>623.02362060546875</c:v>
                </c:pt>
                <c:pt idx="7">
                  <c:v>643.11529541015625</c:v>
                </c:pt>
                <c:pt idx="8">
                  <c:v>657.6092529296875</c:v>
                </c:pt>
                <c:pt idx="9">
                  <c:v>668.5718994140625</c:v>
                </c:pt>
                <c:pt idx="10">
                  <c:v>676.880126953125</c:v>
                </c:pt>
                <c:pt idx="11">
                  <c:v>683.2799072265625</c:v>
                </c:pt>
                <c:pt idx="12">
                  <c:v>688.6051025390625</c:v>
                </c:pt>
                <c:pt idx="13">
                  <c:v>693.13726806640625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72-4443-89BE-936F90C46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58653876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6538760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92.842105031013489</c:v>
                </c:pt>
                <c:pt idx="4">
                  <c:v>87.684210389852524</c:v>
                </c:pt>
                <c:pt idx="5">
                  <c:v>82.526315748691559</c:v>
                </c:pt>
                <c:pt idx="6">
                  <c:v>72.210526466369629</c:v>
                </c:pt>
                <c:pt idx="7">
                  <c:v>61.89473569393158</c:v>
                </c:pt>
                <c:pt idx="8">
                  <c:v>51.578947901725769</c:v>
                </c:pt>
                <c:pt idx="9">
                  <c:v>41.26315712928772</c:v>
                </c:pt>
                <c:pt idx="10">
                  <c:v>30.947369337081909</c:v>
                </c:pt>
                <c:pt idx="11">
                  <c:v>20.631575584411621</c:v>
                </c:pt>
                <c:pt idx="12">
                  <c:v>10.315793752670288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99.199996948242188</c:v>
                </c:pt>
                <c:pt idx="2">
                  <c:v>95.25</c:v>
                </c:pt>
                <c:pt idx="3">
                  <c:v>81.389472961425781</c:v>
                </c:pt>
                <c:pt idx="4">
                  <c:v>67.978950500488281</c:v>
                </c:pt>
                <c:pt idx="5">
                  <c:v>55.557895660400391</c:v>
                </c:pt>
                <c:pt idx="6">
                  <c:v>36.757896423339844</c:v>
                </c:pt>
                <c:pt idx="7">
                  <c:v>24.084209442138672</c:v>
                </c:pt>
                <c:pt idx="8">
                  <c:v>15.263158798217773</c:v>
                </c:pt>
                <c:pt idx="9">
                  <c:v>8.7578945159912109</c:v>
                </c:pt>
                <c:pt idx="10">
                  <c:v>6.1894736289978027</c:v>
                </c:pt>
                <c:pt idx="11">
                  <c:v>7.8736848831176758</c:v>
                </c:pt>
                <c:pt idx="12">
                  <c:v>14.77894401550293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5A-4475-A202-CC338AF92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646344"/>
        <c:axId val="1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92.842105031013489</c:v>
                </c:pt>
                <c:pt idx="4">
                  <c:v>87.684210389852524</c:v>
                </c:pt>
                <c:pt idx="5">
                  <c:v>82.526315748691559</c:v>
                </c:pt>
                <c:pt idx="6">
                  <c:v>72.210526466369629</c:v>
                </c:pt>
                <c:pt idx="7">
                  <c:v>61.89473569393158</c:v>
                </c:pt>
                <c:pt idx="8">
                  <c:v>51.578947901725769</c:v>
                </c:pt>
                <c:pt idx="9">
                  <c:v>41.26315712928772</c:v>
                </c:pt>
                <c:pt idx="10">
                  <c:v>30.947369337081909</c:v>
                </c:pt>
                <c:pt idx="11">
                  <c:v>20.631575584411621</c:v>
                </c:pt>
                <c:pt idx="12">
                  <c:v>10.315793752670288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169.96999673919854</c:v>
                </c:pt>
                <c:pt idx="2">
                  <c:v>240</c:v>
                </c:pt>
                <c:pt idx="3">
                  <c:v>168.19492607735418</c:v>
                </c:pt>
                <c:pt idx="4">
                  <c:v>153.38442036652685</c:v>
                </c:pt>
                <c:pt idx="5">
                  <c:v>148.00629794916944</c:v>
                </c:pt>
                <c:pt idx="6">
                  <c:v>144.68834008118384</c:v>
                </c:pt>
                <c:pt idx="7">
                  <c:v>142.66957257845729</c:v>
                </c:pt>
                <c:pt idx="8">
                  <c:v>141.43126032799657</c:v>
                </c:pt>
                <c:pt idx="9">
                  <c:v>140.73384843144186</c:v>
                </c:pt>
                <c:pt idx="10">
                  <c:v>140.3498517130281</c:v>
                </c:pt>
                <c:pt idx="11">
                  <c:v>140.14471941691491</c:v>
                </c:pt>
                <c:pt idx="12">
                  <c:v>140.04492856188853</c:v>
                </c:pt>
                <c:pt idx="13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5A-4475-A202-CC338AF92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646344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92.842105031013489</c:v>
                </c:pt>
                <c:pt idx="4">
                  <c:v>87.684210389852524</c:v>
                </c:pt>
                <c:pt idx="5">
                  <c:v>82.526315748691559</c:v>
                </c:pt>
                <c:pt idx="6">
                  <c:v>72.210526466369629</c:v>
                </c:pt>
                <c:pt idx="7">
                  <c:v>61.89473569393158</c:v>
                </c:pt>
                <c:pt idx="8">
                  <c:v>51.578947901725769</c:v>
                </c:pt>
                <c:pt idx="9">
                  <c:v>41.26315712928772</c:v>
                </c:pt>
                <c:pt idx="10">
                  <c:v>30.947369337081909</c:v>
                </c:pt>
                <c:pt idx="11">
                  <c:v>20.631575584411621</c:v>
                </c:pt>
                <c:pt idx="12">
                  <c:v>10.315793752670288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0.33853828907012939</c:v>
                </c:pt>
                <c:pt idx="1">
                  <c:v>196.92266845703125</c:v>
                </c:pt>
                <c:pt idx="2">
                  <c:v>491.44400024414063</c:v>
                </c:pt>
                <c:pt idx="3">
                  <c:v>551.61358642578125</c:v>
                </c:pt>
                <c:pt idx="4">
                  <c:v>576.2669677734375</c:v>
                </c:pt>
                <c:pt idx="5">
                  <c:v>594.52789306640625</c:v>
                </c:pt>
                <c:pt idx="6">
                  <c:v>623.02362060546875</c:v>
                </c:pt>
                <c:pt idx="7">
                  <c:v>643.11529541015625</c:v>
                </c:pt>
                <c:pt idx="8">
                  <c:v>657.6092529296875</c:v>
                </c:pt>
                <c:pt idx="9">
                  <c:v>668.5718994140625</c:v>
                </c:pt>
                <c:pt idx="10">
                  <c:v>676.880126953125</c:v>
                </c:pt>
                <c:pt idx="11">
                  <c:v>683.2799072265625</c:v>
                </c:pt>
                <c:pt idx="12">
                  <c:v>688.6051025390625</c:v>
                </c:pt>
                <c:pt idx="13">
                  <c:v>693.13726806640625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5A-4475-A202-CC338AF92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2464634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4646344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8276378950730017"/>
          <c:w val="0.23762674402541786"/>
          <c:h val="0.1172362104926998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693.13725490196077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46.709371929599712</c:v>
                </c:pt>
                <c:pt idx="2">
                  <c:v>67.26149557862361</c:v>
                </c:pt>
                <c:pt idx="3">
                  <c:v>105.0960868415994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E1-496B-9AE1-D381C68ED040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693.13725490196077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20.018302255542736</c:v>
                </c:pt>
                <c:pt idx="2">
                  <c:v>28.826355247981546</c:v>
                </c:pt>
                <c:pt idx="3">
                  <c:v>45.041180074971173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E1-496B-9AE1-D381C68ED040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240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125.11438909714212</c:v>
                </c:pt>
                <c:pt idx="3">
                  <c:v>222.42558061714155</c:v>
                </c:pt>
                <c:pt idx="4">
                  <c:v>342.76284480358555</c:v>
                </c:pt>
                <c:pt idx="5" formatCode="0">
                  <c:v>700</c:v>
                </c:pt>
                <c:pt idx="6" formatCode="0">
                  <c:v>1400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E1-496B-9AE1-D381C68ED040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693.13725490196077</c:v>
                </c:pt>
                <c:pt idx="1">
                  <c:v>690.88235294117646</c:v>
                </c:pt>
                <c:pt idx="2">
                  <c:v>685.93137254901956</c:v>
                </c:pt>
                <c:pt idx="3">
                  <c:v>680.0980392156863</c:v>
                </c:pt>
                <c:pt idx="4">
                  <c:v>672.74509803921569</c:v>
                </c:pt>
                <c:pt idx="5">
                  <c:v>663.08823529411768</c:v>
                </c:pt>
                <c:pt idx="6">
                  <c:v>650.34313725490199</c:v>
                </c:pt>
                <c:pt idx="7">
                  <c:v>633.08823529411768</c:v>
                </c:pt>
                <c:pt idx="8">
                  <c:v>608.77450980392166</c:v>
                </c:pt>
                <c:pt idx="9">
                  <c:v>585.39215686274508</c:v>
                </c:pt>
                <c:pt idx="10">
                  <c:v>563.92156862745105</c:v>
                </c:pt>
                <c:pt idx="11">
                  <c:v>521.51960784313735</c:v>
                </c:pt>
                <c:pt idx="12">
                  <c:v>344.16666666666669</c:v>
                </c:pt>
                <c:pt idx="13">
                  <c:v>132.79490944689184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0.8619999885559082</c:v>
                </c:pt>
                <c:pt idx="2">
                  <c:v>1.6489999294281006</c:v>
                </c:pt>
                <c:pt idx="3">
                  <c:v>2.4099998474121094</c:v>
                </c:pt>
                <c:pt idx="4">
                  <c:v>3.1719999313354492</c:v>
                </c:pt>
                <c:pt idx="5">
                  <c:v>3.9570000171661377</c:v>
                </c:pt>
                <c:pt idx="6">
                  <c:v>4.7849998474121094</c:v>
                </c:pt>
                <c:pt idx="7">
                  <c:v>5.679999828338623</c:v>
                </c:pt>
                <c:pt idx="8">
                  <c:v>6.6919999122619629</c:v>
                </c:pt>
                <c:pt idx="9">
                  <c:v>7.2620000839233398</c:v>
                </c:pt>
                <c:pt idx="10">
                  <c:v>7.8510003089904785</c:v>
                </c:pt>
                <c:pt idx="11">
                  <c:v>8.2890005111694336</c:v>
                </c:pt>
                <c:pt idx="12">
                  <c:v>8.4350004196166992</c:v>
                </c:pt>
                <c:pt idx="13">
                  <c:v>8.5460004806518555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E1-496B-9AE1-D381C68ED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763696"/>
        <c:axId val="1"/>
      </c:scatterChart>
      <c:valAx>
        <c:axId val="59076369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076369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90.900001525878906</c:v>
                </c:pt>
                <c:pt idx="2">
                  <c:v>94.099998474121094</c:v>
                </c:pt>
                <c:pt idx="3">
                  <c:v>95.099998474121094</c:v>
                </c:pt>
                <c:pt idx="4">
                  <c:v>95.400001525878906</c:v>
                </c:pt>
                <c:pt idx="5">
                  <c:v>95.400001525878906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A2-44C3-AEC0-19331A3970BE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56.400001525878906</c:v>
                </c:pt>
                <c:pt idx="1">
                  <c:v>71.300003051757813</c:v>
                </c:pt>
                <c:pt idx="2">
                  <c:v>79.699996948242188</c:v>
                </c:pt>
                <c:pt idx="3">
                  <c:v>82.900001525878906</c:v>
                </c:pt>
                <c:pt idx="4">
                  <c:v>83.900001525878906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A2-44C3-AEC0-19331A3970BE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82.888488769517608</c:v>
                </c:pt>
                <c:pt idx="2">
                  <c:v>73.110961914082964</c:v>
                </c:pt>
                <c:pt idx="3">
                  <c:v>59.66674804685568</c:v>
                </c:pt>
                <c:pt idx="4">
                  <c:v>45</c:v>
                </c:pt>
                <c:pt idx="5">
                  <c:v>30.333251953126705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A2-44C3-AEC0-19331A3970BE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0.40499999999999997</c:v>
                </c:pt>
                <c:pt idx="1">
                  <c:v>7.6929049999999997</c:v>
                </c:pt>
                <c:pt idx="2">
                  <c:v>14.856475</c:v>
                </c:pt>
                <c:pt idx="3">
                  <c:v>22.082970000000003</c:v>
                </c:pt>
                <c:pt idx="4">
                  <c:v>29.334824999999999</c:v>
                </c:pt>
                <c:pt idx="5">
                  <c:v>36.672725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A2-44C3-AEC0-19331A39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30082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73</c:v>
                </c:pt>
                <c:pt idx="1">
                  <c:v>78.75</c:v>
                </c:pt>
                <c:pt idx="2">
                  <c:v>120.30000305175781</c:v>
                </c:pt>
                <c:pt idx="3">
                  <c:v>159.97000122070313</c:v>
                </c:pt>
                <c:pt idx="4">
                  <c:v>204.30000305175781</c:v>
                </c:pt>
                <c:pt idx="5">
                  <c:v>252.36000061035156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A2-44C3-AEC0-19331A39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5930082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930082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90.900001525878906</c:v>
                </c:pt>
                <c:pt idx="2">
                  <c:v>94.099998474121094</c:v>
                </c:pt>
                <c:pt idx="3">
                  <c:v>95.099998474121094</c:v>
                </c:pt>
                <c:pt idx="4">
                  <c:v>95.400001525878906</c:v>
                </c:pt>
                <c:pt idx="5">
                  <c:v>95.400001525878906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26-45FA-9C42-A7E8488F0BB9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56.400001525878906</c:v>
                </c:pt>
                <c:pt idx="1">
                  <c:v>71.300003051757813</c:v>
                </c:pt>
                <c:pt idx="2">
                  <c:v>79.699996948242188</c:v>
                </c:pt>
                <c:pt idx="3">
                  <c:v>82.900001525878906</c:v>
                </c:pt>
                <c:pt idx="4">
                  <c:v>83.900001525878906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26-45FA-9C42-A7E8488F0BB9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82.888488769517608</c:v>
                </c:pt>
                <c:pt idx="2">
                  <c:v>73.110961914082964</c:v>
                </c:pt>
                <c:pt idx="3">
                  <c:v>59.66674804685568</c:v>
                </c:pt>
                <c:pt idx="4">
                  <c:v>45</c:v>
                </c:pt>
                <c:pt idx="5">
                  <c:v>30.333251953126705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26-45FA-9C42-A7E8488F0BB9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0.40499999999999997</c:v>
                </c:pt>
                <c:pt idx="1">
                  <c:v>7.6929049999999997</c:v>
                </c:pt>
                <c:pt idx="2">
                  <c:v>14.856475</c:v>
                </c:pt>
                <c:pt idx="3">
                  <c:v>22.082970000000003</c:v>
                </c:pt>
                <c:pt idx="4">
                  <c:v>29.334824999999999</c:v>
                </c:pt>
                <c:pt idx="5">
                  <c:v>36.672725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26-45FA-9C42-A7E8488F0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30082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126.43970895252804</c:v>
                </c:pt>
                <c:pt idx="1">
                  <c:v>136.39900109604909</c:v>
                </c:pt>
                <c:pt idx="2">
                  <c:v>208.3657174363355</c:v>
                </c:pt>
                <c:pt idx="3">
                  <c:v>277.07616980111311</c:v>
                </c:pt>
                <c:pt idx="4">
                  <c:v>353</c:v>
                </c:pt>
                <c:pt idx="5">
                  <c:v>437.10034285524176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26-45FA-9C42-A7E8488F0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5930082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930082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5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47.55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54455" y="7778115"/>
          <a:ext cx="82105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14.4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49680" y="6273165"/>
          <a:ext cx="95440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179294</xdr:colOff>
      <xdr:row>42</xdr:row>
      <xdr:rowOff>66114</xdr:rowOff>
    </xdr:from>
    <xdr:to>
      <xdr:col>3</xdr:col>
      <xdr:colOff>503144</xdr:colOff>
      <xdr:row>42</xdr:row>
      <xdr:rowOff>191060</xdr:rowOff>
    </xdr:to>
    <xdr:sp macro="" textlink="">
      <xdr:nvSpPr>
        <xdr:cNvPr id="69" name="Radius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912844" y="9733989"/>
          <a:ext cx="323850" cy="1249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501.0</a:t>
          </a:r>
        </a:p>
      </xdr:txBody>
    </xdr:sp>
    <xdr:clientData/>
  </xdr:twoCellAnchor>
  <xdr:twoCellAnchor>
    <xdr:from>
      <xdr:col>3</xdr:col>
      <xdr:colOff>333376</xdr:colOff>
      <xdr:row>40</xdr:row>
      <xdr:rowOff>64247</xdr:rowOff>
    </xdr:from>
    <xdr:to>
      <xdr:col>3</xdr:col>
      <xdr:colOff>598955</xdr:colOff>
      <xdr:row>40</xdr:row>
      <xdr:rowOff>158376</xdr:rowOff>
    </xdr:to>
    <xdr:sp macro="" textlink="">
      <xdr:nvSpPr>
        <xdr:cNvPr id="70" name="Heigh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2066926" y="9274922"/>
          <a:ext cx="265579" cy="94129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2</xdr:col>
      <xdr:colOff>130548</xdr:colOff>
      <xdr:row>41</xdr:row>
      <xdr:rowOff>52107</xdr:rowOff>
    </xdr:from>
    <xdr:to>
      <xdr:col>2</xdr:col>
      <xdr:colOff>387723</xdr:colOff>
      <xdr:row>41</xdr:row>
      <xdr:rowOff>166407</xdr:rowOff>
    </xdr:to>
    <xdr:sp macro="" textlink="">
      <xdr:nvSpPr>
        <xdr:cNvPr id="71" name="Clear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9748" y="9491382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418353</xdr:colOff>
      <xdr:row>41</xdr:row>
      <xdr:rowOff>169582</xdr:rowOff>
    </xdr:from>
    <xdr:to>
      <xdr:col>3</xdr:col>
      <xdr:colOff>190874</xdr:colOff>
      <xdr:row>42</xdr:row>
      <xdr:rowOff>45757</xdr:rowOff>
    </xdr:to>
    <xdr:sp macro="" textlink="">
      <xdr:nvSpPr>
        <xdr:cNvPr id="72" name="Thickness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1637553" y="9608857"/>
          <a:ext cx="28687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3" name="Rectangle 210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74" name="Rectangle 21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75" name="Rectangle 212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76" name="Rectangle 213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7" name="Rectangle 214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238125</xdr:colOff>
      <xdr:row>39</xdr:row>
      <xdr:rowOff>104775</xdr:rowOff>
    </xdr:from>
    <xdr:to>
      <xdr:col>3</xdr:col>
      <xdr:colOff>428625</xdr:colOff>
      <xdr:row>42</xdr:row>
      <xdr:rowOff>152400</xdr:rowOff>
    </xdr:to>
    <xdr:grpSp>
      <xdr:nvGrpSpPr>
        <xdr:cNvPr id="78" name="Group 104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GrpSpPr>
          <a:grpSpLocks/>
        </xdr:cNvGrpSpPr>
      </xdr:nvGrpSpPr>
      <xdr:grpSpPr bwMode="auto">
        <a:xfrm>
          <a:off x="1068705" y="9073515"/>
          <a:ext cx="1135380" cy="733425"/>
          <a:chOff x="921807" y="9129183"/>
          <a:chExt cx="1110192" cy="729192"/>
        </a:xfrm>
      </xdr:grpSpPr>
      <xdr:grpSp>
        <xdr:nvGrpSpPr>
          <xdr:cNvPr id="79" name="Group 112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0" name="Group 113">
              <a:extLst>
                <a:ext uri="{FF2B5EF4-FFF2-40B4-BE49-F238E27FC236}">
                  <a16:creationId xmlns:a16="http://schemas.microsoft.com/office/drawing/2014/main" id="{00000000-0008-0000-0100-00005A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2" name="Line 114">
                <a:extLst>
                  <a:ext uri="{FF2B5EF4-FFF2-40B4-BE49-F238E27FC236}">
                    <a16:creationId xmlns:a16="http://schemas.microsoft.com/office/drawing/2014/main" id="{00000000-0008-0000-0100-00005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15">
                <a:extLst>
                  <a:ext uri="{FF2B5EF4-FFF2-40B4-BE49-F238E27FC236}">
                    <a16:creationId xmlns:a16="http://schemas.microsoft.com/office/drawing/2014/main" id="{00000000-0008-0000-0100-00005D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16">
                <a:extLst>
                  <a:ext uri="{FF2B5EF4-FFF2-40B4-BE49-F238E27FC236}">
                    <a16:creationId xmlns:a16="http://schemas.microsoft.com/office/drawing/2014/main" id="{00000000-0008-0000-0100-00005E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17">
                <a:extLst>
                  <a:ext uri="{FF2B5EF4-FFF2-40B4-BE49-F238E27FC236}">
                    <a16:creationId xmlns:a16="http://schemas.microsoft.com/office/drawing/2014/main" id="{00000000-0008-0000-0100-00005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18">
                <a:extLst>
                  <a:ext uri="{FF2B5EF4-FFF2-40B4-BE49-F238E27FC236}">
                    <a16:creationId xmlns:a16="http://schemas.microsoft.com/office/drawing/2014/main" id="{00000000-0008-0000-0100-00006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7" name="Line 119">
                <a:extLst>
                  <a:ext uri="{FF2B5EF4-FFF2-40B4-BE49-F238E27FC236}">
                    <a16:creationId xmlns:a16="http://schemas.microsoft.com/office/drawing/2014/main" id="{00000000-0008-0000-0100-00006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1" name="Line 120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10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1" name="Line 121">
              <a:extLst>
                <a:ext uri="{FF2B5EF4-FFF2-40B4-BE49-F238E27FC236}">
                  <a16:creationId xmlns:a16="http://schemas.microsoft.com/office/drawing/2014/main" id="{00000000-0008-0000-0100-00005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2" name="Group 108">
              <a:extLst>
                <a:ext uri="{FF2B5EF4-FFF2-40B4-BE49-F238E27FC236}">
                  <a16:creationId xmlns:a16="http://schemas.microsoft.com/office/drawing/2014/main" id="{00000000-0008-0000-0100-00005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83" name="Line 102">
                <a:extLst>
                  <a:ext uri="{FF2B5EF4-FFF2-40B4-BE49-F238E27FC236}">
                    <a16:creationId xmlns:a16="http://schemas.microsoft.com/office/drawing/2014/main" id="{00000000-0008-0000-0100-00005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4" name="Line 103">
                <a:extLst>
                  <a:ext uri="{FF2B5EF4-FFF2-40B4-BE49-F238E27FC236}">
                    <a16:creationId xmlns:a16="http://schemas.microsoft.com/office/drawing/2014/main" id="{00000000-0008-0000-0100-000054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5" name="Line 104">
                <a:extLst>
                  <a:ext uri="{FF2B5EF4-FFF2-40B4-BE49-F238E27FC236}">
                    <a16:creationId xmlns:a16="http://schemas.microsoft.com/office/drawing/2014/main" id="{00000000-0008-0000-0100-000055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105">
                <a:extLst>
                  <a:ext uri="{FF2B5EF4-FFF2-40B4-BE49-F238E27FC236}">
                    <a16:creationId xmlns:a16="http://schemas.microsoft.com/office/drawing/2014/main" id="{00000000-0008-0000-0100-000056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106">
                <a:extLst>
                  <a:ext uri="{FF2B5EF4-FFF2-40B4-BE49-F238E27FC236}">
                    <a16:creationId xmlns:a16="http://schemas.microsoft.com/office/drawing/2014/main" id="{00000000-0008-0000-0100-00005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107">
                <a:extLst>
                  <a:ext uri="{FF2B5EF4-FFF2-40B4-BE49-F238E27FC236}">
                    <a16:creationId xmlns:a16="http://schemas.microsoft.com/office/drawing/2014/main" id="{00000000-0008-0000-0100-00005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102">
                <a:extLst>
                  <a:ext uri="{FF2B5EF4-FFF2-40B4-BE49-F238E27FC236}">
                    <a16:creationId xmlns:a16="http://schemas.microsoft.com/office/drawing/2014/main" id="{00000000-0008-0000-0100-00005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98" name="Radius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99" name="Thickness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0" name="Radius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1" name="Thickness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2" name="Radius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3" name="Thickness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304800</xdr:colOff>
      <xdr:row>53</xdr:row>
      <xdr:rowOff>47625</xdr:rowOff>
    </xdr:to>
    <xdr:sp macro="" textlink="">
      <xdr:nvSpPr>
        <xdr:cNvPr id="104" name="Radius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4133850" y="11906250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352425</xdr:colOff>
      <xdr:row>52</xdr:row>
      <xdr:rowOff>19050</xdr:rowOff>
    </xdr:from>
    <xdr:to>
      <xdr:col>6</xdr:col>
      <xdr:colOff>47625</xdr:colOff>
      <xdr:row>52</xdr:row>
      <xdr:rowOff>123825</xdr:rowOff>
    </xdr:to>
    <xdr:sp macro="" textlink="">
      <xdr:nvSpPr>
        <xdr:cNvPr id="105" name="Thickness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3838575" y="11772900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381000</xdr:colOff>
      <xdr:row>52</xdr:row>
      <xdr:rowOff>133350</xdr:rowOff>
    </xdr:from>
    <xdr:to>
      <xdr:col>6</xdr:col>
      <xdr:colOff>504825</xdr:colOff>
      <xdr:row>53</xdr:row>
      <xdr:rowOff>0</xdr:rowOff>
    </xdr:to>
    <xdr:sp macro="" textlink="">
      <xdr:nvSpPr>
        <xdr:cNvPr id="106" name="Text 583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4495800" y="11887200"/>
          <a:ext cx="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695325</xdr:colOff>
      <xdr:row>28</xdr:row>
      <xdr:rowOff>190500</xdr:rowOff>
    </xdr:from>
    <xdr:to>
      <xdr:col>4</xdr:col>
      <xdr:colOff>722098</xdr:colOff>
      <xdr:row>29</xdr:row>
      <xdr:rowOff>123825</xdr:rowOff>
    </xdr:to>
    <xdr:sp macro="" textlink="">
      <xdr:nvSpPr>
        <xdr:cNvPr id="107" name="Text 219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428875" y="66579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695325</xdr:colOff>
      <xdr:row>34</xdr:row>
      <xdr:rowOff>200025</xdr:rowOff>
    </xdr:from>
    <xdr:to>
      <xdr:col>4</xdr:col>
      <xdr:colOff>722098</xdr:colOff>
      <xdr:row>35</xdr:row>
      <xdr:rowOff>133350</xdr:rowOff>
    </xdr:to>
    <xdr:sp macro="" textlink="">
      <xdr:nvSpPr>
        <xdr:cNvPr id="108" name="Text 219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2428875" y="8039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695325</xdr:colOff>
      <xdr:row>40</xdr:row>
      <xdr:rowOff>142875</xdr:rowOff>
    </xdr:from>
    <xdr:to>
      <xdr:col>4</xdr:col>
      <xdr:colOff>722098</xdr:colOff>
      <xdr:row>41</xdr:row>
      <xdr:rowOff>76200</xdr:rowOff>
    </xdr:to>
    <xdr:sp macro="" textlink="">
      <xdr:nvSpPr>
        <xdr:cNvPr id="109" name="Text 21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2428875" y="93535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0.65997</cdr:x>
      <cdr:y>0.58294</cdr:y>
    </cdr:from>
    <cdr:to>
      <cdr:x>0.89582</cdr:x>
      <cdr:y>0.60363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9759" y="37535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0.65509</cdr:x>
      <cdr:y>0.50094</cdr:y>
    </cdr:from>
    <cdr:to>
      <cdr:x>0.93791</cdr:x>
      <cdr:y>0.52607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31184" y="32255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0.70731</cdr:x>
      <cdr:y>0.76059</cdr:y>
    </cdr:from>
    <cdr:to>
      <cdr:x>0.95275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36584" y="4897363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A72DCF6-6446-40CA-AED2-8048AA11833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900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21ABD19-0CD0-4C8A-A826-97E6E3DBA3B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898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2E600A3-BD4C-42FF-8E77-0A10AB00AE2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896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C287BDA-EFDB-422A-888C-F76A262D3F9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894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3ACBEE8-BEA5-40F7-B941-32CFC552E18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892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A4BEAF7-4DC5-49E0-B625-BE14C494BE9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890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4AC2468-2833-4685-B317-AE1BA18A0EB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888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88DF5BA-1CDC-4D00-A5CB-F62D83B43CA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886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703E9F4-3076-4D73-BB9C-DE12F83651A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884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78E80C3-4CF6-40E3-B0AC-A6B789FAC89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882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66CB109-5FDD-41C6-B542-1E58FC15709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85DECBA-20E9-4685-AC4D-B976B2A7E41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594D26C-59CC-41D5-B6FE-7C2D8B5ABE4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9BC6E40-BC04-4244-A4BB-7F3AEEC9E9E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69C74CA-126D-468D-9672-79BA3F3BEEE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61CE28D-41BD-4A9D-B4D7-C13C7DDC764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06AF509-29E4-4B4C-864A-41B7095E526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432969F-F61A-46CA-B11B-854F5CB87BD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2400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D8A06BB-A8D2-4F60-AEC4-E96E8725677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2800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9FFB21D-67EA-49C0-B2A2-DA5BEF0763A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3200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B600381-F929-41E7-A0D0-E4017068DBC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2</xdr:col>
      <xdr:colOff>504825</xdr:colOff>
      <xdr:row>16</xdr:row>
      <xdr:rowOff>219075</xdr:rowOff>
    </xdr:from>
    <xdr:to>
      <xdr:col>2</xdr:col>
      <xdr:colOff>847725</xdr:colOff>
      <xdr:row>17</xdr:row>
      <xdr:rowOff>123825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2733675" y="41148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952500</xdr:colOff>
      <xdr:row>18</xdr:row>
      <xdr:rowOff>180975</xdr:rowOff>
    </xdr:from>
    <xdr:to>
      <xdr:col>4</xdr:col>
      <xdr:colOff>171450</xdr:colOff>
      <xdr:row>19</xdr:row>
      <xdr:rowOff>114300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295775" y="45529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180975</xdr:colOff>
      <xdr:row>22</xdr:row>
      <xdr:rowOff>47625</xdr:rowOff>
    </xdr:from>
    <xdr:to>
      <xdr:col>3</xdr:col>
      <xdr:colOff>523875</xdr:colOff>
      <xdr:row>22</xdr:row>
      <xdr:rowOff>190500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3524250" y="53721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895350</xdr:colOff>
      <xdr:row>28</xdr:row>
      <xdr:rowOff>28575</xdr:rowOff>
    </xdr:from>
    <xdr:to>
      <xdr:col>2</xdr:col>
      <xdr:colOff>219075</xdr:colOff>
      <xdr:row>28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2009775" y="678180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971550</xdr:colOff>
      <xdr:row>31</xdr:row>
      <xdr:rowOff>180975</xdr:rowOff>
    </xdr:from>
    <xdr:to>
      <xdr:col>3</xdr:col>
      <xdr:colOff>361950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320040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4D8A729-A745-48D4-8339-2874AA1E467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7F721-16F6-4F29-9B08-176BEECB6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155402CC-4CC8-4631-98C2-0A8800D4997A}"/>
            </a:ext>
          </a:extLst>
        </xdr:cNvPr>
        <xdr:cNvSpPr txBox="1">
          <a:spLocks noChangeArrowheads="1"/>
        </xdr:cNvSpPr>
      </xdr:nvSpPr>
      <xdr:spPr bwMode="auto">
        <a:xfrm>
          <a:off x="603409" y="3937635"/>
          <a:ext cx="501491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A72DCF6-6446-40CA-AED2-8048AA11833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900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9F3C1D50-2246-4BC3-B6A8-02167909E75D}"/>
            </a:ext>
          </a:extLst>
        </xdr:cNvPr>
        <xdr:cNvSpPr txBox="1">
          <a:spLocks noChangeArrowheads="1"/>
        </xdr:cNvSpPr>
      </xdr:nvSpPr>
      <xdr:spPr bwMode="auto">
        <a:xfrm>
          <a:off x="593884" y="43529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21ABD19-0CD0-4C8A-A826-97E6E3DBA3B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898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78B0B0A6-FDCB-439F-B5C2-B6249E86EE0B}"/>
            </a:ext>
          </a:extLst>
        </xdr:cNvPr>
        <xdr:cNvSpPr txBox="1">
          <a:spLocks noChangeArrowheads="1"/>
        </xdr:cNvSpPr>
      </xdr:nvSpPr>
      <xdr:spPr bwMode="auto">
        <a:xfrm>
          <a:off x="584359" y="4760595"/>
          <a:ext cx="501491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2E600A3-BD4C-42FF-8E77-0A10AB00AE2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896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E615D587-36E1-4DBD-A1A7-D2F30B7535F2}"/>
            </a:ext>
          </a:extLst>
        </xdr:cNvPr>
        <xdr:cNvSpPr txBox="1">
          <a:spLocks noChangeArrowheads="1"/>
        </xdr:cNvSpPr>
      </xdr:nvSpPr>
      <xdr:spPr bwMode="auto">
        <a:xfrm>
          <a:off x="584359" y="5166360"/>
          <a:ext cx="501491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C287BDA-EFDB-422A-888C-F76A262D3F9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894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D59DADEC-0C02-4EDE-8B49-80EF21CA2139}"/>
            </a:ext>
          </a:extLst>
        </xdr:cNvPr>
        <xdr:cNvSpPr txBox="1">
          <a:spLocks noChangeArrowheads="1"/>
        </xdr:cNvSpPr>
      </xdr:nvSpPr>
      <xdr:spPr bwMode="auto">
        <a:xfrm>
          <a:off x="593884" y="55721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3ACBEE8-BEA5-40F7-B941-32CFC552E18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892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A431E4B7-2791-4AF6-93D1-5E0170C868E3}"/>
            </a:ext>
          </a:extLst>
        </xdr:cNvPr>
        <xdr:cNvSpPr txBox="1">
          <a:spLocks noChangeArrowheads="1"/>
        </xdr:cNvSpPr>
      </xdr:nvSpPr>
      <xdr:spPr bwMode="auto">
        <a:xfrm>
          <a:off x="593884" y="5979795"/>
          <a:ext cx="501491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A4BEAF7-4DC5-49E0-B625-BE14C494BE9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890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20716367-BCFA-4AD4-A199-03E7D2781D18}"/>
            </a:ext>
          </a:extLst>
        </xdr:cNvPr>
        <xdr:cNvSpPr txBox="1">
          <a:spLocks noChangeArrowheads="1"/>
        </xdr:cNvSpPr>
      </xdr:nvSpPr>
      <xdr:spPr bwMode="auto">
        <a:xfrm>
          <a:off x="584359" y="6385560"/>
          <a:ext cx="501491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4AC2468-2833-4685-B317-AE1BA18A0EB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888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7D4502B7-CEB3-467B-82DA-47DB7197B5F0}"/>
            </a:ext>
          </a:extLst>
        </xdr:cNvPr>
        <xdr:cNvSpPr txBox="1">
          <a:spLocks noChangeArrowheads="1"/>
        </xdr:cNvSpPr>
      </xdr:nvSpPr>
      <xdr:spPr bwMode="auto">
        <a:xfrm>
          <a:off x="574834" y="6791325"/>
          <a:ext cx="501491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88DF5BA-1CDC-4D00-A5CB-F62D83B43CA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886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3E77D9FE-B82C-4F40-B57A-B1067F35CEA8}"/>
            </a:ext>
          </a:extLst>
        </xdr:cNvPr>
        <xdr:cNvSpPr txBox="1">
          <a:spLocks noChangeArrowheads="1"/>
        </xdr:cNvSpPr>
      </xdr:nvSpPr>
      <xdr:spPr bwMode="auto">
        <a:xfrm>
          <a:off x="574834" y="720661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703E9F4-3076-4D73-BB9C-DE12F83651A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884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AB775313-14C3-439E-A9E9-AE9BB0A1D557}"/>
            </a:ext>
          </a:extLst>
        </xdr:cNvPr>
        <xdr:cNvSpPr txBox="1">
          <a:spLocks noChangeArrowheads="1"/>
        </xdr:cNvSpPr>
      </xdr:nvSpPr>
      <xdr:spPr bwMode="auto">
        <a:xfrm>
          <a:off x="574834" y="7614285"/>
          <a:ext cx="501491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78E80C3-4CF6-40E3-B0AC-A6B789FAC89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882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BB381895-6494-4707-BA43-C94B6E948743}"/>
            </a:ext>
          </a:extLst>
        </xdr:cNvPr>
        <xdr:cNvSpPr txBox="1">
          <a:spLocks noChangeArrowheads="1"/>
        </xdr:cNvSpPr>
      </xdr:nvSpPr>
      <xdr:spPr bwMode="auto">
        <a:xfrm>
          <a:off x="584359" y="8020050"/>
          <a:ext cx="501491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66CB109-5FDD-41C6-B542-1E58FC15709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880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23DC2E11-4D9C-4C7C-922F-B413E34FDF34}"/>
            </a:ext>
          </a:extLst>
        </xdr:cNvPr>
        <xdr:cNvSpPr txBox="1">
          <a:spLocks noChangeArrowheads="1"/>
        </xdr:cNvSpPr>
      </xdr:nvSpPr>
      <xdr:spPr bwMode="auto">
        <a:xfrm>
          <a:off x="390525" y="5865495"/>
          <a:ext cx="209550" cy="5772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409338E6-6A3E-4A4B-8047-B9FE9478250D}"/>
            </a:ext>
          </a:extLst>
        </xdr:cNvPr>
        <xdr:cNvSpPr txBox="1">
          <a:spLocks noChangeArrowheads="1"/>
        </xdr:cNvSpPr>
      </xdr:nvSpPr>
      <xdr:spPr bwMode="auto">
        <a:xfrm>
          <a:off x="6067425" y="3956685"/>
          <a:ext cx="501491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85DECBA-20E9-4685-AC4D-B976B2A7E41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2FD76C00-D597-4C81-9102-5B72CA0ADB14}"/>
            </a:ext>
          </a:extLst>
        </xdr:cNvPr>
        <xdr:cNvSpPr txBox="1">
          <a:spLocks noChangeArrowheads="1"/>
        </xdr:cNvSpPr>
      </xdr:nvSpPr>
      <xdr:spPr bwMode="auto">
        <a:xfrm>
          <a:off x="6096000" y="599694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594D26C-59CC-41D5-B6FE-7C2D8B5ABE4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398EF029-876B-4444-9E4B-9A7DC1ABAD23}"/>
            </a:ext>
          </a:extLst>
        </xdr:cNvPr>
        <xdr:cNvSpPr txBox="1">
          <a:spLocks noChangeArrowheads="1"/>
        </xdr:cNvSpPr>
      </xdr:nvSpPr>
      <xdr:spPr bwMode="auto">
        <a:xfrm>
          <a:off x="6086475" y="6414135"/>
          <a:ext cx="501491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9BC6E40-BC04-4244-A4BB-7F3AEEC9E9E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24816116-2BD7-4518-AA4E-40541D3FF11F}"/>
            </a:ext>
          </a:extLst>
        </xdr:cNvPr>
        <xdr:cNvSpPr txBox="1">
          <a:spLocks noChangeArrowheads="1"/>
        </xdr:cNvSpPr>
      </xdr:nvSpPr>
      <xdr:spPr bwMode="auto">
        <a:xfrm>
          <a:off x="6096000" y="6819900"/>
          <a:ext cx="501491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69C74CA-126D-468D-9672-79BA3F3BEEE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43F53B8E-6DED-4353-83A8-C912D2FCDD5F}"/>
            </a:ext>
          </a:extLst>
        </xdr:cNvPr>
        <xdr:cNvSpPr txBox="1">
          <a:spLocks noChangeArrowheads="1"/>
        </xdr:cNvSpPr>
      </xdr:nvSpPr>
      <xdr:spPr bwMode="auto">
        <a:xfrm>
          <a:off x="6086475" y="721614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61CE28D-41BD-4A9D-B4D7-C13C7DDC764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96B36338-9900-49A8-9811-2BE37BA9B4D3}"/>
            </a:ext>
          </a:extLst>
        </xdr:cNvPr>
        <xdr:cNvSpPr txBox="1">
          <a:spLocks noChangeArrowheads="1"/>
        </xdr:cNvSpPr>
      </xdr:nvSpPr>
      <xdr:spPr bwMode="auto">
        <a:xfrm>
          <a:off x="6086475" y="7633335"/>
          <a:ext cx="501491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06AF509-29E4-4B4C-864A-41B7095E526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7097F177-81E3-42F5-A1E3-D18FA32510E2}"/>
            </a:ext>
          </a:extLst>
        </xdr:cNvPr>
        <xdr:cNvSpPr txBox="1">
          <a:spLocks noChangeArrowheads="1"/>
        </xdr:cNvSpPr>
      </xdr:nvSpPr>
      <xdr:spPr bwMode="auto">
        <a:xfrm>
          <a:off x="6448425" y="5534025"/>
          <a:ext cx="219075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6E76CC8B-DD36-4053-A7E5-A4AA6DC16B3F}"/>
            </a:ext>
          </a:extLst>
        </xdr:cNvPr>
        <xdr:cNvSpPr txBox="1">
          <a:spLocks noChangeArrowheads="1"/>
        </xdr:cNvSpPr>
      </xdr:nvSpPr>
      <xdr:spPr bwMode="auto">
        <a:xfrm>
          <a:off x="6086475" y="5591175"/>
          <a:ext cx="501491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432969F-F61A-46CA-B11B-854F5CB87BD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2400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6E5AF837-5681-4859-B5DB-B3306423BEE0}"/>
            </a:ext>
          </a:extLst>
        </xdr:cNvPr>
        <xdr:cNvSpPr txBox="1">
          <a:spLocks noChangeArrowheads="1"/>
        </xdr:cNvSpPr>
      </xdr:nvSpPr>
      <xdr:spPr bwMode="auto">
        <a:xfrm>
          <a:off x="6086475" y="5185410"/>
          <a:ext cx="501491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D8A06BB-A8D2-4F60-AEC4-E96E8725677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2800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688FF1EC-D3D0-41FA-8932-6F7F3F5CE8CA}"/>
            </a:ext>
          </a:extLst>
        </xdr:cNvPr>
        <xdr:cNvSpPr txBox="1">
          <a:spLocks noChangeArrowheads="1"/>
        </xdr:cNvSpPr>
      </xdr:nvSpPr>
      <xdr:spPr bwMode="auto">
        <a:xfrm>
          <a:off x="6076950" y="4779645"/>
          <a:ext cx="501491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9FFB21D-67EA-49C0-B2A2-DA5BEF0763A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3200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9A80BA95-5709-4F44-933E-0DB349F84D28}"/>
            </a:ext>
          </a:extLst>
        </xdr:cNvPr>
        <xdr:cNvSpPr txBox="1">
          <a:spLocks noChangeArrowheads="1"/>
        </xdr:cNvSpPr>
      </xdr:nvSpPr>
      <xdr:spPr bwMode="auto">
        <a:xfrm>
          <a:off x="6076950" y="43719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B600381-F929-41E7-A0D0-E4017068DBC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2</xdr:col>
      <xdr:colOff>504825</xdr:colOff>
      <xdr:row>16</xdr:row>
      <xdr:rowOff>219075</xdr:rowOff>
    </xdr:from>
    <xdr:to>
      <xdr:col>2</xdr:col>
      <xdr:colOff>847725</xdr:colOff>
      <xdr:row>17</xdr:row>
      <xdr:rowOff>123825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D16A70D0-A26E-43E5-A8E2-BE61ACF82E2F}"/>
            </a:ext>
          </a:extLst>
        </xdr:cNvPr>
        <xdr:cNvSpPr txBox="1">
          <a:spLocks noChangeArrowheads="1"/>
        </xdr:cNvSpPr>
      </xdr:nvSpPr>
      <xdr:spPr bwMode="auto">
        <a:xfrm>
          <a:off x="2790825" y="4090035"/>
          <a:ext cx="342900" cy="14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952500</xdr:colOff>
      <xdr:row>18</xdr:row>
      <xdr:rowOff>180975</xdr:rowOff>
    </xdr:from>
    <xdr:to>
      <xdr:col>4</xdr:col>
      <xdr:colOff>171450</xdr:colOff>
      <xdr:row>19</xdr:row>
      <xdr:rowOff>114300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AE64AAB2-68C5-430A-8A0C-19A89B587358}"/>
            </a:ext>
          </a:extLst>
        </xdr:cNvPr>
        <xdr:cNvSpPr txBox="1">
          <a:spLocks noChangeArrowheads="1"/>
        </xdr:cNvSpPr>
      </xdr:nvSpPr>
      <xdr:spPr bwMode="auto">
        <a:xfrm>
          <a:off x="4381500" y="4524375"/>
          <a:ext cx="361950" cy="16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180975</xdr:colOff>
      <xdr:row>22</xdr:row>
      <xdr:rowOff>47625</xdr:rowOff>
    </xdr:from>
    <xdr:to>
      <xdr:col>3</xdr:col>
      <xdr:colOff>523875</xdr:colOff>
      <xdr:row>22</xdr:row>
      <xdr:rowOff>190500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BAF98BA9-6007-406F-93B5-3CDA239D78CE}"/>
            </a:ext>
          </a:extLst>
        </xdr:cNvPr>
        <xdr:cNvSpPr txBox="1">
          <a:spLocks noChangeArrowheads="1"/>
        </xdr:cNvSpPr>
      </xdr:nvSpPr>
      <xdr:spPr bwMode="auto">
        <a:xfrm>
          <a:off x="3609975" y="533590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895350</xdr:colOff>
      <xdr:row>28</xdr:row>
      <xdr:rowOff>28575</xdr:rowOff>
    </xdr:from>
    <xdr:to>
      <xdr:col>2</xdr:col>
      <xdr:colOff>219075</xdr:colOff>
      <xdr:row>28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235D331D-9FA7-4DD3-9B01-62563158CA26}"/>
            </a:ext>
          </a:extLst>
        </xdr:cNvPr>
        <xdr:cNvSpPr txBox="1">
          <a:spLocks noChangeArrowheads="1"/>
        </xdr:cNvSpPr>
      </xdr:nvSpPr>
      <xdr:spPr bwMode="auto">
        <a:xfrm>
          <a:off x="2038350" y="6734175"/>
          <a:ext cx="4667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971550</xdr:colOff>
      <xdr:row>31</xdr:row>
      <xdr:rowOff>180975</xdr:rowOff>
    </xdr:from>
    <xdr:to>
      <xdr:col>3</xdr:col>
      <xdr:colOff>361950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2C7EA91-1ACF-4A1C-8A1A-7AB6E3346717}"/>
            </a:ext>
          </a:extLst>
        </xdr:cNvPr>
        <xdr:cNvSpPr txBox="1">
          <a:spLocks noChangeArrowheads="1"/>
        </xdr:cNvSpPr>
      </xdr:nvSpPr>
      <xdr:spPr bwMode="auto">
        <a:xfrm>
          <a:off x="3257550" y="7595235"/>
          <a:ext cx="533400" cy="15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890D587C-4028-4263-9EAB-B11D83E27353}"/>
            </a:ext>
          </a:extLst>
        </xdr:cNvPr>
        <xdr:cNvSpPr txBox="1">
          <a:spLocks noChangeArrowheads="1"/>
        </xdr:cNvSpPr>
      </xdr:nvSpPr>
      <xdr:spPr bwMode="auto">
        <a:xfrm>
          <a:off x="6076950" y="8029575"/>
          <a:ext cx="527209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4D8A729-A745-48D4-8339-2874AA1E467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Q113"/>
  <sheetViews>
    <sheetView topLeftCell="A35" zoomScale="95" zoomScaleNormal="95" workbookViewId="0">
      <selection activeCell="A99" sqref="A99:I113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  <col min="12" max="12" width="13.44140625" bestFit="1" customWidth="1"/>
    <col min="13" max="13" width="9" bestFit="1" customWidth="1"/>
  </cols>
  <sheetData>
    <row r="1" spans="1:10" ht="17.399999999999999">
      <c r="A1" s="32" t="s">
        <v>167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219</v>
      </c>
    </row>
    <row r="2" spans="1:10" ht="17.399999999999999">
      <c r="A2" s="32" t="s">
        <v>173</v>
      </c>
      <c r="B2" s="2"/>
      <c r="C2" s="2"/>
      <c r="D2" s="2"/>
      <c r="E2" s="2"/>
      <c r="F2" s="2"/>
      <c r="G2" s="2"/>
      <c r="H2" s="2"/>
      <c r="I2" s="2"/>
      <c r="J2" s="128" t="s">
        <v>220</v>
      </c>
    </row>
    <row r="3" spans="1:10" ht="15" customHeight="1" thickBot="1">
      <c r="A3" s="47" t="s">
        <v>1</v>
      </c>
      <c r="B3" s="94" t="s">
        <v>218</v>
      </c>
      <c r="C3" s="1"/>
      <c r="D3" s="47"/>
      <c r="E3" s="1"/>
      <c r="F3" s="1"/>
      <c r="G3" s="47" t="s">
        <v>2</v>
      </c>
      <c r="H3" s="172">
        <v>44685</v>
      </c>
      <c r="I3" s="47" t="s">
        <v>3</v>
      </c>
      <c r="J3" s="173">
        <v>0.40446759259259263</v>
      </c>
    </row>
    <row r="4" spans="1:10" ht="15" customHeight="1" thickBot="1">
      <c r="A4" s="11" t="s">
        <v>4</v>
      </c>
      <c r="B4" s="11" t="s">
        <v>171</v>
      </c>
      <c r="C4" s="11" t="s">
        <v>5</v>
      </c>
      <c r="D4" s="11" t="s">
        <v>172</v>
      </c>
      <c r="E4" s="155" t="s">
        <v>6</v>
      </c>
      <c r="F4" s="11" t="s">
        <v>7</v>
      </c>
      <c r="G4" s="11" t="s">
        <v>175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8</v>
      </c>
      <c r="B5" s="110">
        <v>1500</v>
      </c>
      <c r="C5" s="138">
        <v>900</v>
      </c>
      <c r="D5" s="48" t="s">
        <v>193</v>
      </c>
      <c r="E5" s="156">
        <v>4000</v>
      </c>
      <c r="F5" s="138">
        <v>60</v>
      </c>
      <c r="G5" s="48">
        <v>105</v>
      </c>
      <c r="H5" s="76" t="s">
        <v>252</v>
      </c>
      <c r="I5" s="75" t="s">
        <v>257</v>
      </c>
      <c r="J5" s="48" t="s">
        <v>194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26.398082638888887</v>
      </c>
      <c r="J7" s="104" t="s">
        <v>19</v>
      </c>
    </row>
    <row r="8" spans="1:10" ht="15" customHeight="1">
      <c r="A8" s="9" t="s">
        <v>20</v>
      </c>
      <c r="B8" s="67">
        <v>1.8999999761581421</v>
      </c>
      <c r="C8" s="50"/>
      <c r="D8" s="5"/>
      <c r="E8" s="49"/>
      <c r="F8" s="3"/>
      <c r="G8" s="15"/>
      <c r="H8" s="9" t="s">
        <v>21</v>
      </c>
      <c r="I8" s="66">
        <v>33.727212645532191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201</v>
      </c>
      <c r="F9" s="105" t="s">
        <v>25</v>
      </c>
      <c r="G9" s="29"/>
      <c r="H9" s="9" t="s">
        <v>26</v>
      </c>
      <c r="I9" s="67">
        <v>30.062647642210539</v>
      </c>
      <c r="J9" s="102">
        <v>736.8540263755259</v>
      </c>
    </row>
    <row r="10" spans="1:10" ht="15" customHeight="1">
      <c r="A10" s="9" t="s">
        <v>27</v>
      </c>
      <c r="B10" s="67">
        <v>994</v>
      </c>
      <c r="C10" s="71">
        <v>994</v>
      </c>
      <c r="D10" s="5"/>
      <c r="E10" s="49"/>
      <c r="F10" s="114" t="s">
        <v>214</v>
      </c>
      <c r="G10" s="112" t="s">
        <v>215</v>
      </c>
      <c r="H10" s="9" t="s">
        <v>28</v>
      </c>
      <c r="I10" s="66">
        <v>16.407302512603383</v>
      </c>
      <c r="J10" s="101" t="s">
        <v>29</v>
      </c>
    </row>
    <row r="11" spans="1:10" ht="15" customHeight="1" thickBot="1">
      <c r="A11" s="9" t="s">
        <v>30</v>
      </c>
      <c r="B11" s="67">
        <v>815</v>
      </c>
      <c r="C11" s="71">
        <v>601.20000004768372</v>
      </c>
      <c r="D11" s="9" t="s">
        <v>31</v>
      </c>
      <c r="E11" s="66">
        <v>0.88879999999999992</v>
      </c>
      <c r="F11" s="115"/>
      <c r="G11" s="111"/>
      <c r="H11" s="9" t="s">
        <v>32</v>
      </c>
      <c r="I11" s="66">
        <v>32.815701120941114</v>
      </c>
      <c r="J11" s="102">
        <v>45765.29449920576</v>
      </c>
    </row>
    <row r="12" spans="1:10" ht="15" customHeight="1">
      <c r="A12" s="9" t="s">
        <v>33</v>
      </c>
      <c r="B12" s="67">
        <v>605</v>
      </c>
      <c r="C12" s="71">
        <v>300</v>
      </c>
      <c r="D12" s="9" t="s">
        <v>34</v>
      </c>
      <c r="E12" s="151" t="s">
        <v>174</v>
      </c>
      <c r="F12" s="121" t="s">
        <v>207</v>
      </c>
      <c r="G12" s="113" t="s">
        <v>206</v>
      </c>
      <c r="H12" s="9" t="s">
        <v>35</v>
      </c>
      <c r="I12" s="66">
        <v>1.2307729519665558</v>
      </c>
      <c r="J12" s="101" t="s">
        <v>36</v>
      </c>
    </row>
    <row r="13" spans="1:10" ht="15" customHeight="1" thickBot="1">
      <c r="A13" s="9" t="s">
        <v>37</v>
      </c>
      <c r="B13" s="67">
        <v>49</v>
      </c>
      <c r="C13" s="71">
        <v>103.05000078678131</v>
      </c>
      <c r="D13" s="9" t="s">
        <v>38</v>
      </c>
      <c r="E13" s="68">
        <v>14</v>
      </c>
      <c r="F13" s="121"/>
      <c r="G13" s="113" t="s">
        <v>208</v>
      </c>
      <c r="H13" s="9" t="s">
        <v>40</v>
      </c>
      <c r="I13" s="66">
        <v>1.0277766890072448</v>
      </c>
      <c r="J13" s="102">
        <v>197.05067443847656</v>
      </c>
    </row>
    <row r="14" spans="1:10" ht="15" customHeight="1" thickBot="1">
      <c r="A14" s="158" t="s">
        <v>41</v>
      </c>
      <c r="B14" s="131">
        <v>762.5999755859375</v>
      </c>
      <c r="C14" s="132">
        <v>762.5999755859375</v>
      </c>
      <c r="D14" s="9" t="s">
        <v>42</v>
      </c>
      <c r="E14" s="49" t="s">
        <v>202</v>
      </c>
      <c r="F14" s="49" t="s">
        <v>210</v>
      </c>
      <c r="G14" s="113" t="s">
        <v>209</v>
      </c>
      <c r="H14" s="47" t="s">
        <v>43</v>
      </c>
      <c r="I14" s="66">
        <v>1.2649597494918594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174</v>
      </c>
      <c r="F15" s="49"/>
      <c r="G15" s="113"/>
      <c r="H15" s="9" t="s">
        <v>47</v>
      </c>
      <c r="I15" s="66">
        <v>0.98478329261472586</v>
      </c>
      <c r="J15" s="102">
        <v>27.493675595238095</v>
      </c>
    </row>
    <row r="16" spans="1:10" ht="15" customHeight="1">
      <c r="A16" s="9" t="s">
        <v>48</v>
      </c>
      <c r="B16" s="49">
        <v>72</v>
      </c>
      <c r="C16" s="50">
        <v>56</v>
      </c>
      <c r="D16" s="9" t="s">
        <v>49</v>
      </c>
      <c r="E16" s="49">
        <v>2</v>
      </c>
      <c r="F16" s="49"/>
      <c r="G16" s="113"/>
      <c r="H16" s="9" t="s">
        <v>50</v>
      </c>
      <c r="I16" s="66">
        <v>0.95963581196089087</v>
      </c>
      <c r="J16" s="103" t="s">
        <v>51</v>
      </c>
    </row>
    <row r="17" spans="1:17" ht="15" customHeight="1" thickBot="1">
      <c r="A17" s="9" t="s">
        <v>52</v>
      </c>
      <c r="B17" s="49" t="s">
        <v>195</v>
      </c>
      <c r="C17" s="50" t="s">
        <v>196</v>
      </c>
      <c r="D17" s="47" t="s">
        <v>53</v>
      </c>
      <c r="E17" s="49" t="s">
        <v>203</v>
      </c>
      <c r="F17" s="49"/>
      <c r="G17" s="113"/>
      <c r="H17" s="9" t="s">
        <v>54</v>
      </c>
      <c r="I17" s="66">
        <v>0.94503331461385198</v>
      </c>
      <c r="J17" s="102">
        <v>522.5207981724061</v>
      </c>
    </row>
    <row r="18" spans="1:17" ht="15" customHeight="1">
      <c r="A18" s="9" t="s">
        <v>55</v>
      </c>
      <c r="B18" s="49" t="s">
        <v>174</v>
      </c>
      <c r="C18" s="71">
        <v>0</v>
      </c>
      <c r="D18" s="9" t="s">
        <v>56</v>
      </c>
      <c r="E18" s="135">
        <v>1464</v>
      </c>
      <c r="F18" s="68">
        <v>1125</v>
      </c>
      <c r="G18" s="72"/>
      <c r="H18" s="12" t="s">
        <v>57</v>
      </c>
      <c r="I18" s="129" t="s">
        <v>216</v>
      </c>
      <c r="J18" s="130"/>
    </row>
    <row r="19" spans="1:17" ht="15" customHeight="1">
      <c r="A19" s="9" t="s">
        <v>58</v>
      </c>
      <c r="B19" s="67">
        <v>56</v>
      </c>
      <c r="C19" s="71">
        <v>47.549999237060547</v>
      </c>
      <c r="D19" s="9" t="s">
        <v>59</v>
      </c>
      <c r="E19" s="68">
        <v>168</v>
      </c>
      <c r="F19" s="49"/>
      <c r="G19" s="50"/>
      <c r="H19" s="141"/>
      <c r="I19" s="3" t="s">
        <v>60</v>
      </c>
      <c r="J19" s="30" t="s">
        <v>61</v>
      </c>
    </row>
    <row r="20" spans="1:17" ht="15" customHeight="1">
      <c r="A20" s="9" t="s">
        <v>62</v>
      </c>
      <c r="B20" s="67" t="s">
        <v>197</v>
      </c>
      <c r="C20" s="71">
        <v>13.050000190734863</v>
      </c>
      <c r="D20" s="9" t="s">
        <v>166</v>
      </c>
      <c r="E20" s="163">
        <v>8.1668563292673552E-2</v>
      </c>
      <c r="F20" s="49"/>
      <c r="G20" s="50"/>
      <c r="H20" s="9" t="s">
        <v>63</v>
      </c>
      <c r="I20" s="66">
        <v>17.612171173095703</v>
      </c>
      <c r="J20" s="70">
        <v>17.612171173095703</v>
      </c>
    </row>
    <row r="21" spans="1:17" ht="15" customHeight="1">
      <c r="A21" s="9" t="s">
        <v>64</v>
      </c>
      <c r="B21" s="67">
        <v>14.399999618530273</v>
      </c>
      <c r="C21" s="71">
        <v>3.5</v>
      </c>
      <c r="D21" s="9" t="s">
        <v>204</v>
      </c>
      <c r="E21" s="65">
        <v>0.10894490073816374</v>
      </c>
      <c r="F21" s="65">
        <v>6.1961844563484192E-2</v>
      </c>
      <c r="G21" s="69">
        <v>6.9914426718947053E-3</v>
      </c>
      <c r="H21" s="9" t="s">
        <v>65</v>
      </c>
      <c r="I21" s="66">
        <v>18.881341934204102</v>
      </c>
      <c r="J21" s="70">
        <v>11.114193916320801</v>
      </c>
    </row>
    <row r="22" spans="1:17" ht="15" customHeight="1">
      <c r="A22" s="9" t="s">
        <v>66</v>
      </c>
      <c r="B22" s="67">
        <v>2.8299999237060547</v>
      </c>
      <c r="C22" s="71">
        <v>2.5</v>
      </c>
      <c r="D22" s="9" t="s">
        <v>67</v>
      </c>
      <c r="E22" s="49" t="s">
        <v>205</v>
      </c>
      <c r="F22" s="49" t="s">
        <v>205</v>
      </c>
      <c r="G22" s="50" t="s">
        <v>205</v>
      </c>
      <c r="H22" s="9" t="s">
        <v>68</v>
      </c>
      <c r="I22" s="66">
        <v>8.4518556594848633</v>
      </c>
      <c r="J22" s="70">
        <v>5.5005230903625488</v>
      </c>
    </row>
    <row r="23" spans="1:17" ht="15" customHeight="1">
      <c r="A23" s="9" t="s">
        <v>69</v>
      </c>
      <c r="B23" s="67">
        <v>11.998083114624023</v>
      </c>
      <c r="C23" s="71">
        <v>15.347759246826172</v>
      </c>
      <c r="D23" s="9" t="s">
        <v>70</v>
      </c>
      <c r="E23" s="66">
        <v>1.7419999837875366</v>
      </c>
      <c r="F23" s="66">
        <v>1.7419999837875366</v>
      </c>
      <c r="G23" s="70">
        <v>1.7419999837875366</v>
      </c>
      <c r="H23" s="9" t="s">
        <v>71</v>
      </c>
      <c r="I23" s="66">
        <v>3.771624044556142</v>
      </c>
      <c r="J23" s="15" t="s">
        <v>217</v>
      </c>
    </row>
    <row r="24" spans="1:17" ht="15" customHeight="1">
      <c r="A24" s="9" t="s">
        <v>72</v>
      </c>
      <c r="B24" s="67">
        <v>0</v>
      </c>
      <c r="C24" s="71">
        <v>0.80000001192092896</v>
      </c>
      <c r="D24" s="9" t="s">
        <v>73</v>
      </c>
      <c r="E24" s="66">
        <v>8.8900003433227539</v>
      </c>
      <c r="F24" s="66">
        <v>8.8900003433227539</v>
      </c>
      <c r="G24" s="70">
        <v>8.8900003433227539</v>
      </c>
      <c r="H24" s="9" t="s">
        <v>74</v>
      </c>
      <c r="I24" s="66">
        <v>3.1222731828892414</v>
      </c>
      <c r="J24" s="70">
        <v>2.2685725023225687</v>
      </c>
    </row>
    <row r="25" spans="1:17" ht="15" customHeight="1">
      <c r="A25" s="9" t="s">
        <v>75</v>
      </c>
      <c r="B25" s="49" t="s">
        <v>174</v>
      </c>
      <c r="C25" s="71">
        <v>0.80000001192092896</v>
      </c>
      <c r="D25" s="107" t="s">
        <v>76</v>
      </c>
      <c r="E25" s="51"/>
      <c r="F25" s="51"/>
      <c r="G25" s="58"/>
      <c r="H25" s="9" t="s">
        <v>77</v>
      </c>
      <c r="I25" s="66">
        <v>0.17789818346500397</v>
      </c>
      <c r="J25" s="70">
        <v>0.39287930727005005</v>
      </c>
    </row>
    <row r="26" spans="1:17" ht="15" customHeight="1">
      <c r="A26" s="9" t="s">
        <v>78</v>
      </c>
      <c r="B26" s="51" t="s">
        <v>198</v>
      </c>
      <c r="C26" s="58" t="s">
        <v>199</v>
      </c>
      <c r="D26" s="9" t="s">
        <v>79</v>
      </c>
      <c r="E26" s="67">
        <v>344.12559904349132</v>
      </c>
      <c r="F26" s="67">
        <v>336.37805499057771</v>
      </c>
      <c r="G26" s="71">
        <v>46.178768902391035</v>
      </c>
      <c r="H26" s="9" t="s">
        <v>80</v>
      </c>
      <c r="I26" s="66">
        <v>2.7492303848266602</v>
      </c>
      <c r="J26" s="70">
        <v>2.1229677200317383</v>
      </c>
    </row>
    <row r="27" spans="1:17" ht="15" customHeight="1" thickBot="1">
      <c r="A27" s="9" t="s">
        <v>81</v>
      </c>
      <c r="B27" s="49" t="s">
        <v>200</v>
      </c>
      <c r="C27" s="50" t="s">
        <v>200</v>
      </c>
      <c r="D27" s="10" t="s">
        <v>82</v>
      </c>
      <c r="E27" s="78" t="s">
        <v>174</v>
      </c>
      <c r="F27" s="78" t="s">
        <v>174</v>
      </c>
      <c r="G27" s="80" t="s">
        <v>174</v>
      </c>
      <c r="H27" s="10" t="s">
        <v>83</v>
      </c>
      <c r="I27" s="77">
        <v>2.7549800872802734</v>
      </c>
      <c r="J27" s="79">
        <v>2.1590149402618408</v>
      </c>
      <c r="M27" s="169"/>
      <c r="N27" s="169"/>
      <c r="O27" s="169"/>
      <c r="P27" s="169"/>
      <c r="Q27" s="169"/>
    </row>
    <row r="28" spans="1:17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  <c r="M28" s="169"/>
      <c r="N28" s="169"/>
      <c r="O28" s="169"/>
      <c r="P28" s="169"/>
      <c r="Q28" s="169"/>
    </row>
    <row r="29" spans="1:17" ht="15" customHeight="1">
      <c r="A29" s="6"/>
      <c r="B29" s="33" t="s">
        <v>87</v>
      </c>
      <c r="C29" s="73">
        <v>44.881217304292704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70" t="str">
        <f>RIGHT(F$41,SEARCH("/",F$41,1)-1)</f>
        <v xml:space="preserve"> 887.8</v>
      </c>
      <c r="N29" s="169" t="s">
        <v>186</v>
      </c>
      <c r="O29" s="169"/>
      <c r="P29" s="3" t="s">
        <v>192</v>
      </c>
      <c r="Q29" s="169"/>
    </row>
    <row r="30" spans="1:17" ht="15" customHeight="1" thickBot="1">
      <c r="A30" s="7"/>
      <c r="B30" s="61" t="s">
        <v>94</v>
      </c>
      <c r="C30" s="74">
        <v>45.001599211770689</v>
      </c>
      <c r="D30" s="9" t="s">
        <v>95</v>
      </c>
      <c r="E30" s="164">
        <v>16.002474062499999</v>
      </c>
      <c r="F30" s="164">
        <v>747.34797607421876</v>
      </c>
      <c r="G30" s="164">
        <v>14.612637209574995</v>
      </c>
      <c r="H30" s="165">
        <v>257.40904514688492</v>
      </c>
      <c r="I30" s="68">
        <v>89923.073548336688</v>
      </c>
      <c r="J30" s="72">
        <v>5897.8729901279166</v>
      </c>
      <c r="M30" s="170" t="str">
        <f>RIGHT(E$41,SEARCH("/",E$41,1)-1)</f>
        <v xml:space="preserve"> 889.0</v>
      </c>
      <c r="N30" s="169" t="s">
        <v>187</v>
      </c>
      <c r="O30" s="169"/>
      <c r="P30" s="171">
        <f>G30*6.4516</f>
        <v>94.274890221294044</v>
      </c>
      <c r="Q30" s="169"/>
    </row>
    <row r="31" spans="1:17" ht="15" customHeight="1">
      <c r="A31" s="22" t="s">
        <v>96</v>
      </c>
      <c r="B31" s="142"/>
      <c r="C31" s="26"/>
      <c r="D31" s="9" t="s">
        <v>97</v>
      </c>
      <c r="E31" s="164">
        <v>5.6000000000000005</v>
      </c>
      <c r="F31" s="164">
        <v>823.47641012612962</v>
      </c>
      <c r="G31" s="164">
        <v>13.261733681004895</v>
      </c>
      <c r="H31" s="165">
        <v>58.734688769443089</v>
      </c>
      <c r="I31" s="68">
        <v>36891.743173650611</v>
      </c>
      <c r="J31" s="72">
        <v>2067.7860642965638</v>
      </c>
      <c r="M31" s="170" t="str">
        <f>RIGHT(D$41,SEARCH("/",D$41,1)-1)</f>
        <v xml:space="preserve"> 890.2</v>
      </c>
      <c r="N31" s="169" t="s">
        <v>188</v>
      </c>
      <c r="O31" s="169"/>
      <c r="P31" s="171">
        <f>G31*6.4516</f>
        <v>85.559401016371183</v>
      </c>
      <c r="Q31" s="169"/>
    </row>
    <row r="32" spans="1:17" ht="15" customHeight="1">
      <c r="A32" s="5" t="s">
        <v>98</v>
      </c>
      <c r="B32" s="66" t="s">
        <v>259</v>
      </c>
      <c r="C32" s="108"/>
      <c r="D32" s="9" t="s">
        <v>99</v>
      </c>
      <c r="E32" s="164">
        <v>9.9372418996468035</v>
      </c>
      <c r="F32" s="164">
        <v>1571.7185616826055</v>
      </c>
      <c r="G32" s="164">
        <v>6.9482699447103915</v>
      </c>
      <c r="H32" s="165">
        <v>17.880433833828892</v>
      </c>
      <c r="I32" s="8" t="s">
        <v>100</v>
      </c>
      <c r="J32" s="72">
        <v>7965.6590544244809</v>
      </c>
      <c r="M32" s="170" t="str">
        <f>RIGHT(C$41,SEARCH("/",C$41,1)-1)</f>
        <v xml:space="preserve"> 891.3</v>
      </c>
      <c r="N32" s="169" t="s">
        <v>189</v>
      </c>
      <c r="O32" s="169"/>
      <c r="P32" s="171">
        <f>G32*6.4516</f>
        <v>44.82745837529356</v>
      </c>
      <c r="Q32" s="169"/>
    </row>
    <row r="33" spans="1:17" ht="15" customHeight="1">
      <c r="A33" s="5" t="s">
        <v>101</v>
      </c>
      <c r="B33" s="66" t="s">
        <v>260</v>
      </c>
      <c r="C33" s="109" t="s">
        <v>102</v>
      </c>
      <c r="D33" s="9" t="s">
        <v>97</v>
      </c>
      <c r="E33" s="164">
        <v>4.7549999237060545</v>
      </c>
      <c r="F33" s="164">
        <v>819.294057884994</v>
      </c>
      <c r="G33" s="164">
        <v>13.329432501774178</v>
      </c>
      <c r="H33" s="165">
        <v>51.012908537754974</v>
      </c>
      <c r="I33" s="8" t="s">
        <v>103</v>
      </c>
      <c r="J33" s="71" t="s">
        <v>228</v>
      </c>
      <c r="M33" s="170" t="str">
        <f>RIGHT(B$41,SEARCH("/",B$41,1)-1)</f>
        <v xml:space="preserve"> 892.1</v>
      </c>
      <c r="N33" s="169" t="s">
        <v>190</v>
      </c>
      <c r="O33" s="169"/>
      <c r="P33" s="171">
        <f>G33*6.4516</f>
        <v>85.996166728446283</v>
      </c>
      <c r="Q33" s="169"/>
    </row>
    <row r="34" spans="1:17" ht="15" customHeight="1" thickBot="1">
      <c r="A34" s="16" t="s">
        <v>104</v>
      </c>
      <c r="B34" s="77" t="s">
        <v>261</v>
      </c>
      <c r="C34" s="162">
        <v>10.920724843682693</v>
      </c>
      <c r="D34" s="10" t="s">
        <v>20</v>
      </c>
      <c r="E34" s="166">
        <v>0.18999999761581421</v>
      </c>
      <c r="F34" s="167">
        <v>1540.1110585001561</v>
      </c>
      <c r="G34" s="167">
        <v>7.090868404203194</v>
      </c>
      <c r="H34" s="168">
        <v>1072.1203116038846</v>
      </c>
      <c r="I34" s="8" t="s">
        <v>105</v>
      </c>
      <c r="J34" s="71">
        <v>6.0500001907348633</v>
      </c>
      <c r="M34" s="169"/>
      <c r="N34" s="169"/>
      <c r="O34" s="169"/>
      <c r="P34" s="171">
        <f>G34*6.4516</f>
        <v>45.747446596557324</v>
      </c>
      <c r="Q34" s="169"/>
    </row>
    <row r="35" spans="1:17" ht="15" customHeight="1">
      <c r="A35" s="12" t="s">
        <v>106</v>
      </c>
      <c r="B35" s="13"/>
      <c r="C35" s="13"/>
      <c r="D35" s="133" t="s">
        <v>230</v>
      </c>
      <c r="E35" s="143" t="s">
        <v>229</v>
      </c>
      <c r="F35" s="14"/>
      <c r="G35" s="25" t="s">
        <v>107</v>
      </c>
      <c r="H35" s="83" t="s">
        <v>223</v>
      </c>
      <c r="I35" s="9" t="s">
        <v>108</v>
      </c>
      <c r="J35" s="72" t="s">
        <v>227</v>
      </c>
      <c r="M35" s="169"/>
      <c r="N35" s="169"/>
      <c r="O35" s="169"/>
      <c r="P35" s="169"/>
      <c r="Q35" s="169"/>
    </row>
    <row r="36" spans="1:17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221</v>
      </c>
      <c r="I36" s="9" t="s">
        <v>111</v>
      </c>
      <c r="J36" s="72" t="s">
        <v>226</v>
      </c>
      <c r="M36" s="169"/>
      <c r="N36" s="169"/>
      <c r="O36" s="169"/>
      <c r="P36" s="169"/>
      <c r="Q36" s="169"/>
    </row>
    <row r="37" spans="1:17" ht="15" customHeight="1" thickBot="1">
      <c r="A37" s="9" t="s">
        <v>112</v>
      </c>
      <c r="B37" s="174" t="s">
        <v>241</v>
      </c>
      <c r="C37" s="174" t="s">
        <v>242</v>
      </c>
      <c r="D37" s="174" t="s">
        <v>243</v>
      </c>
      <c r="E37" s="174" t="s">
        <v>244</v>
      </c>
      <c r="F37" s="175" t="s">
        <v>245</v>
      </c>
      <c r="G37" s="9" t="s">
        <v>113</v>
      </c>
      <c r="H37" s="72" t="s">
        <v>222</v>
      </c>
      <c r="I37" s="10" t="s">
        <v>114</v>
      </c>
      <c r="J37" s="81" t="s">
        <v>225</v>
      </c>
      <c r="O37" s="148"/>
    </row>
    <row r="38" spans="1:17" ht="15" customHeight="1" thickBot="1">
      <c r="A38" s="9" t="s">
        <v>115</v>
      </c>
      <c r="B38" s="176" t="s">
        <v>232</v>
      </c>
      <c r="C38" s="176" t="s">
        <v>233</v>
      </c>
      <c r="D38" s="176" t="s">
        <v>234</v>
      </c>
      <c r="E38" s="176" t="s">
        <v>235</v>
      </c>
      <c r="F38" s="177" t="s">
        <v>235</v>
      </c>
      <c r="G38" s="16" t="s">
        <v>116</v>
      </c>
      <c r="H38" s="81" t="s">
        <v>224</v>
      </c>
      <c r="I38" s="134" t="s">
        <v>231</v>
      </c>
      <c r="J38" s="82">
        <v>13428.0009765625</v>
      </c>
      <c r="L38" t="str">
        <f>LEFT(E38,SEARCH("/",E38,1)-1)</f>
        <v xml:space="preserve">0.966 </v>
      </c>
      <c r="M38" t="str">
        <f>RIGHT(E38,SEARCH("/",E38,1)-1)</f>
        <v xml:space="preserve"> 0.954</v>
      </c>
      <c r="N38" s="149">
        <f>M38/L38</f>
        <v>0.98757763975155277</v>
      </c>
      <c r="O38" s="148" t="s">
        <v>177</v>
      </c>
    </row>
    <row r="39" spans="1:17" ht="15" customHeight="1">
      <c r="A39" s="9" t="s">
        <v>117</v>
      </c>
      <c r="B39" s="176" t="s">
        <v>236</v>
      </c>
      <c r="C39" s="176" t="s">
        <v>237</v>
      </c>
      <c r="D39" s="176" t="s">
        <v>238</v>
      </c>
      <c r="E39" s="176" t="s">
        <v>239</v>
      </c>
      <c r="F39" s="177" t="s">
        <v>240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0.849 </v>
      </c>
      <c r="M39" t="str">
        <f>RIGHT(E39,SEARCH("/",E39,1)-1)</f>
        <v xml:space="preserve"> 0.829</v>
      </c>
      <c r="N39" s="149">
        <f>M39/L39</f>
        <v>0.97644287396937568</v>
      </c>
      <c r="O39" s="148" t="s">
        <v>178</v>
      </c>
    </row>
    <row r="40" spans="1:17" ht="15" customHeight="1">
      <c r="A40" s="9" t="s">
        <v>119</v>
      </c>
      <c r="B40" s="178" t="s">
        <v>254</v>
      </c>
      <c r="C40" s="178" t="s">
        <v>255</v>
      </c>
      <c r="D40" s="178" t="s">
        <v>256</v>
      </c>
      <c r="E40" s="178" t="s">
        <v>257</v>
      </c>
      <c r="F40" s="179" t="s">
        <v>258</v>
      </c>
      <c r="G40" s="34" t="s">
        <v>121</v>
      </c>
      <c r="H40" s="89" t="s">
        <v>262</v>
      </c>
      <c r="I40" s="53"/>
      <c r="J40" s="54"/>
      <c r="L40" t="str">
        <f>LEFT(E37,SEARCH("/",E37,1)-1)</f>
        <v xml:space="preserve">197.05 </v>
      </c>
      <c r="M40" t="str">
        <f>RIGHT(E37,SEARCH("/",E37,1)-1)</f>
        <v xml:space="preserve"> 204.30</v>
      </c>
      <c r="N40" s="149">
        <f>M40/L40</f>
        <v>1.036792692210099</v>
      </c>
      <c r="O40" s="148" t="s">
        <v>176</v>
      </c>
    </row>
    <row r="41" spans="1:17" ht="15" customHeight="1">
      <c r="A41" s="9" t="s">
        <v>5</v>
      </c>
      <c r="B41" s="180" t="s">
        <v>249</v>
      </c>
      <c r="C41" s="180" t="s">
        <v>250</v>
      </c>
      <c r="D41" s="180" t="s">
        <v>251</v>
      </c>
      <c r="E41" s="180" t="s">
        <v>252</v>
      </c>
      <c r="F41" s="181" t="s">
        <v>253</v>
      </c>
      <c r="G41" s="35" t="s">
        <v>122</v>
      </c>
      <c r="H41" s="90" t="s">
        <v>263</v>
      </c>
      <c r="I41" s="55"/>
      <c r="J41" s="56"/>
      <c r="L41" t="str">
        <f>LEFT(E41,SEARCH("/",E41,1)-1)</f>
        <v xml:space="preserve">895.5 </v>
      </c>
      <c r="M41" t="str">
        <f>RIGHT(E41,SEARCH("/",E41,1)-1)</f>
        <v xml:space="preserve"> 889.0</v>
      </c>
      <c r="N41" s="149">
        <f>M41/L41</f>
        <v>0.99274148520379679</v>
      </c>
      <c r="O41" s="148" t="s">
        <v>5</v>
      </c>
    </row>
    <row r="42" spans="1:17" ht="15" customHeight="1">
      <c r="A42" s="9" t="s">
        <v>123</v>
      </c>
      <c r="B42" s="176">
        <v>5.2744108224001813</v>
      </c>
      <c r="C42" s="176">
        <v>5.2744108224001813</v>
      </c>
      <c r="D42" s="176">
        <v>5.2744108224001813</v>
      </c>
      <c r="E42" s="176">
        <v>5.2693339662340613</v>
      </c>
      <c r="F42" s="177">
        <v>5.2267432438669896</v>
      </c>
      <c r="G42" s="34" t="s">
        <v>124</v>
      </c>
      <c r="H42" s="89" t="s">
        <v>264</v>
      </c>
      <c r="I42" s="53"/>
      <c r="J42" s="95">
        <v>0.18197697852644812</v>
      </c>
    </row>
    <row r="43" spans="1:17" ht="15" customHeight="1" thickBot="1">
      <c r="A43" s="10" t="s">
        <v>125</v>
      </c>
      <c r="B43" s="182">
        <v>5.2744108224001813</v>
      </c>
      <c r="C43" s="183"/>
      <c r="D43" s="184" t="s">
        <v>267</v>
      </c>
      <c r="E43" s="184"/>
      <c r="F43" s="185"/>
      <c r="G43" s="35" t="s">
        <v>122</v>
      </c>
      <c r="H43" s="90" t="s">
        <v>265</v>
      </c>
      <c r="I43" s="55"/>
      <c r="J43" s="56"/>
    </row>
    <row r="44" spans="1:17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2571.9531118706209</v>
      </c>
      <c r="I44" s="88">
        <v>2.5061273437140374E-2</v>
      </c>
      <c r="J44" s="95">
        <v>0.62171899894504445</v>
      </c>
    </row>
    <row r="45" spans="1:17" ht="15" customHeight="1">
      <c r="A45" s="9" t="s">
        <v>129</v>
      </c>
      <c r="B45" s="66">
        <v>0.4110369086265564</v>
      </c>
      <c r="C45" s="159" t="s">
        <v>130</v>
      </c>
      <c r="D45" s="70">
        <v>9.2375092208385468E-3</v>
      </c>
      <c r="E45" s="9" t="s">
        <v>131</v>
      </c>
      <c r="F45" s="72">
        <v>1741.4316584162352</v>
      </c>
      <c r="G45" s="36" t="s">
        <v>122</v>
      </c>
      <c r="H45" s="84" t="s">
        <v>266</v>
      </c>
      <c r="I45" s="57"/>
      <c r="J45" s="58"/>
    </row>
    <row r="46" spans="1:17" ht="15" customHeight="1">
      <c r="A46" s="9" t="s">
        <v>132</v>
      </c>
      <c r="B46" s="66">
        <v>0.1998877078294754</v>
      </c>
      <c r="C46" s="159" t="s">
        <v>133</v>
      </c>
      <c r="D46" s="70">
        <v>5.0133722834289074E-3</v>
      </c>
      <c r="E46" s="9" t="s">
        <v>134</v>
      </c>
      <c r="F46" s="72">
        <v>3053.9271287541524</v>
      </c>
      <c r="G46" s="35" t="s">
        <v>135</v>
      </c>
      <c r="H46" s="92">
        <v>582.12048812164642</v>
      </c>
      <c r="I46" s="55"/>
      <c r="J46" s="56"/>
      <c r="L46" s="144" t="s">
        <v>179</v>
      </c>
      <c r="M46" s="146">
        <f>B5^0.95</f>
        <v>1040.606887628888</v>
      </c>
    </row>
    <row r="47" spans="1:17" ht="15" customHeight="1">
      <c r="A47" s="9" t="s">
        <v>136</v>
      </c>
      <c r="B47" s="66">
        <v>0.61092460155487061</v>
      </c>
      <c r="C47" s="159" t="s">
        <v>137</v>
      </c>
      <c r="D47" s="70">
        <v>4.4682752341032028E-3</v>
      </c>
      <c r="E47" s="9" t="s">
        <v>138</v>
      </c>
      <c r="F47" s="72">
        <v>2448.6920718599458</v>
      </c>
      <c r="G47" s="62" t="s">
        <v>139</v>
      </c>
      <c r="H47" s="91">
        <v>2508.3353892238242</v>
      </c>
      <c r="I47" s="88">
        <v>2.4417463316718135E-2</v>
      </c>
      <c r="J47" s="93">
        <v>0.63017533411477622</v>
      </c>
      <c r="L47" s="144" t="s">
        <v>180</v>
      </c>
      <c r="M47" s="146">
        <f>B5^1.5</f>
        <v>58094.750193111278</v>
      </c>
    </row>
    <row r="48" spans="1:17" ht="15" customHeight="1">
      <c r="A48" s="9" t="s">
        <v>140</v>
      </c>
      <c r="B48" s="66">
        <v>1.2433518655598164E-2</v>
      </c>
      <c r="C48" s="159" t="s">
        <v>100</v>
      </c>
      <c r="D48" s="70">
        <v>3.1152674928307533E-2</v>
      </c>
      <c r="E48" s="9" t="s">
        <v>141</v>
      </c>
      <c r="F48" s="72">
        <v>654.83576442916342</v>
      </c>
      <c r="G48" s="63" t="s">
        <v>122</v>
      </c>
      <c r="H48" s="84">
        <v>224.15865855440788</v>
      </c>
      <c r="I48" s="57"/>
      <c r="J48" s="58"/>
      <c r="L48" s="144" t="s">
        <v>181</v>
      </c>
      <c r="M48" s="145">
        <f>IF(A5="",0,(7200/(1000*A5))^2.4)</f>
        <v>0.77657252756648809</v>
      </c>
    </row>
    <row r="49" spans="1:13" ht="15" customHeight="1" thickBot="1">
      <c r="A49" s="7"/>
      <c r="B49" s="52"/>
      <c r="C49" s="160" t="s">
        <v>142</v>
      </c>
      <c r="D49" s="79">
        <v>0.96884733438491821</v>
      </c>
      <c r="E49" s="10" t="s">
        <v>143</v>
      </c>
      <c r="F49" s="81">
        <v>1363.3880245113392</v>
      </c>
      <c r="G49" s="64" t="s">
        <v>135</v>
      </c>
      <c r="H49" s="92">
        <v>574.50109447212617</v>
      </c>
      <c r="I49" s="55"/>
      <c r="J49" s="59"/>
      <c r="L49" s="144" t="s">
        <v>182</v>
      </c>
      <c r="M49" s="145">
        <f>IF(A5="",0,(7200/(1000*A5))^1.8)</f>
        <v>0.82724950695610944</v>
      </c>
    </row>
    <row r="50" spans="1:13" ht="15" customHeight="1">
      <c r="A50" s="12" t="s">
        <v>213</v>
      </c>
      <c r="B50" s="13"/>
      <c r="C50" s="13"/>
      <c r="D50" s="13"/>
      <c r="E50" s="13"/>
      <c r="F50" s="14"/>
      <c r="G50" s="12" t="s">
        <v>144</v>
      </c>
      <c r="H50" s="13"/>
      <c r="I50" s="40"/>
      <c r="J50" s="26"/>
      <c r="L50" s="144" t="s">
        <v>183</v>
      </c>
      <c r="M50" s="147">
        <f>IF(A5=2,27,24)</f>
        <v>24</v>
      </c>
    </row>
    <row r="51" spans="1:13" ht="15" customHeight="1">
      <c r="A51" s="9" t="s">
        <v>145</v>
      </c>
      <c r="B51" s="49">
        <v>56</v>
      </c>
      <c r="C51" s="8" t="s">
        <v>146</v>
      </c>
      <c r="D51" s="67" t="s">
        <v>174</v>
      </c>
      <c r="E51" s="8" t="s">
        <v>147</v>
      </c>
      <c r="F51" s="71" t="s">
        <v>174</v>
      </c>
      <c r="G51" s="8" t="s">
        <v>148</v>
      </c>
      <c r="H51" s="65">
        <v>8.3528273840186143E-2</v>
      </c>
      <c r="I51" s="43" t="s">
        <v>149</v>
      </c>
      <c r="J51" s="37"/>
      <c r="L51" s="144" t="s">
        <v>184</v>
      </c>
      <c r="M51" s="147">
        <v>6.8500000000000005E-2</v>
      </c>
    </row>
    <row r="52" spans="1:13" ht="15" customHeight="1">
      <c r="A52" s="9" t="s">
        <v>58</v>
      </c>
      <c r="B52" s="67">
        <v>47.549999237060547</v>
      </c>
      <c r="C52" s="8" t="s">
        <v>150</v>
      </c>
      <c r="D52" s="67" t="s">
        <v>174</v>
      </c>
      <c r="E52" s="8" t="s">
        <v>151</v>
      </c>
      <c r="F52" s="71" t="s">
        <v>174</v>
      </c>
      <c r="G52" s="8" t="s">
        <v>168</v>
      </c>
      <c r="H52" s="67">
        <v>296381.98084701464</v>
      </c>
      <c r="I52" s="96" t="s">
        <v>246</v>
      </c>
      <c r="J52" s="60"/>
      <c r="L52" s="144" t="s">
        <v>191</v>
      </c>
      <c r="M52" s="161">
        <f>F5</f>
        <v>60</v>
      </c>
    </row>
    <row r="53" spans="1:13" ht="15" customHeight="1">
      <c r="A53" s="9" t="s">
        <v>64</v>
      </c>
      <c r="B53" s="67">
        <v>3.5</v>
      </c>
      <c r="C53" s="8" t="s">
        <v>152</v>
      </c>
      <c r="D53" s="67" t="s">
        <v>174</v>
      </c>
      <c r="E53" s="8" t="s">
        <v>153</v>
      </c>
      <c r="F53" s="71" t="s">
        <v>174</v>
      </c>
      <c r="G53" s="8" t="s">
        <v>169</v>
      </c>
      <c r="H53" s="66">
        <v>374.93655487536643</v>
      </c>
      <c r="I53" s="42" t="s">
        <v>154</v>
      </c>
      <c r="J53" s="37"/>
      <c r="L53" s="144" t="s">
        <v>185</v>
      </c>
      <c r="M53" s="150">
        <f>IF(F5=60,M50*M46/M48-M51*M47/M49,IF(F5&lt;&gt;60,(60/M52)^2*(M50*M46/M48-M51*M47/M49),0))</f>
        <v>27349.482729234202</v>
      </c>
    </row>
    <row r="54" spans="1:13" ht="15" customHeight="1">
      <c r="A54" s="9" t="s">
        <v>66</v>
      </c>
      <c r="B54" s="67">
        <v>2.5</v>
      </c>
      <c r="C54" s="8" t="s">
        <v>155</v>
      </c>
      <c r="D54" s="67" t="s">
        <v>174</v>
      </c>
      <c r="E54" s="8" t="s">
        <v>153</v>
      </c>
      <c r="F54" s="71" t="s">
        <v>174</v>
      </c>
      <c r="G54" s="8" t="s">
        <v>170</v>
      </c>
      <c r="H54" s="68">
        <v>544664.5</v>
      </c>
      <c r="I54" s="97" t="s">
        <v>247</v>
      </c>
      <c r="J54" s="98" t="s">
        <v>211</v>
      </c>
    </row>
    <row r="55" spans="1:13" ht="15" customHeight="1">
      <c r="A55" s="9" t="s">
        <v>156</v>
      </c>
      <c r="B55" s="67">
        <v>13.050000190734863</v>
      </c>
      <c r="C55" s="8" t="s">
        <v>157</v>
      </c>
      <c r="D55" s="67" t="s">
        <v>174</v>
      </c>
      <c r="E55" s="8" t="s">
        <v>158</v>
      </c>
      <c r="F55" s="71" t="s">
        <v>174</v>
      </c>
      <c r="G55" s="8" t="s">
        <v>159</v>
      </c>
      <c r="H55" s="67">
        <v>1</v>
      </c>
      <c r="I55" s="42" t="s">
        <v>160</v>
      </c>
      <c r="J55" s="37"/>
    </row>
    <row r="56" spans="1:13" ht="15" customHeight="1" thickBot="1">
      <c r="A56" s="10" t="s">
        <v>161</v>
      </c>
      <c r="B56" s="78" t="s">
        <v>174</v>
      </c>
      <c r="C56" s="20" t="s">
        <v>162</v>
      </c>
      <c r="D56" s="78" t="s">
        <v>174</v>
      </c>
      <c r="E56" s="20" t="s">
        <v>163</v>
      </c>
      <c r="F56" s="80" t="s">
        <v>174</v>
      </c>
      <c r="G56" s="20" t="s">
        <v>164</v>
      </c>
      <c r="H56" s="77">
        <v>0.91659999999999997</v>
      </c>
      <c r="I56" s="99" t="s">
        <v>248</v>
      </c>
      <c r="J56" s="59" t="s">
        <v>212</v>
      </c>
    </row>
    <row r="57" spans="1:13" ht="15" customHeight="1">
      <c r="A57" s="22" t="s">
        <v>400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165</v>
      </c>
      <c r="C58" s="15" t="s">
        <v>398</v>
      </c>
      <c r="D58" s="3" t="s">
        <v>119</v>
      </c>
      <c r="E58" s="3" t="s">
        <v>165</v>
      </c>
      <c r="F58" s="15" t="s">
        <v>399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0.33853828907012939</v>
      </c>
      <c r="D59" s="125">
        <v>0.69052630662918091</v>
      </c>
      <c r="E59" s="84">
        <v>140.3498517130281</v>
      </c>
      <c r="F59" s="85">
        <v>676.880126953125</v>
      </c>
      <c r="G59" s="119"/>
      <c r="H59" s="31"/>
      <c r="I59" s="31"/>
      <c r="J59" s="44"/>
    </row>
    <row r="60" spans="1:13" ht="15" customHeight="1">
      <c r="A60" s="127">
        <v>3.9999997243285179E-3</v>
      </c>
      <c r="B60" s="84">
        <v>169.96999673919854</v>
      </c>
      <c r="C60" s="85">
        <v>196.92266845703125</v>
      </c>
      <c r="D60" s="125">
        <v>0.79368424415588379</v>
      </c>
      <c r="E60" s="84">
        <v>140.14471941691491</v>
      </c>
      <c r="F60" s="85">
        <v>683.2799072265625</v>
      </c>
      <c r="G60" s="119"/>
      <c r="H60" s="31"/>
      <c r="I60" s="31"/>
      <c r="J60" s="44"/>
    </row>
    <row r="61" spans="1:13" ht="15" customHeight="1">
      <c r="A61" s="127">
        <v>1.9999999552965164E-2</v>
      </c>
      <c r="B61" s="84">
        <v>240</v>
      </c>
      <c r="C61" s="85">
        <v>491.44400024414063</v>
      </c>
      <c r="D61" s="125">
        <v>0.89684206247329712</v>
      </c>
      <c r="E61" s="84">
        <v>140.04492856188853</v>
      </c>
      <c r="F61" s="85">
        <v>688.6051025390625</v>
      </c>
      <c r="G61" s="119"/>
      <c r="H61" s="31"/>
      <c r="I61" s="31"/>
      <c r="J61" s="44"/>
    </row>
    <row r="62" spans="1:13" ht="15" customHeight="1">
      <c r="A62" s="123">
        <v>7.1578949689865112E-2</v>
      </c>
      <c r="B62" s="84">
        <v>168.19492607735418</v>
      </c>
      <c r="C62" s="85">
        <v>551.61358642578125</v>
      </c>
      <c r="D62" s="126">
        <v>1</v>
      </c>
      <c r="E62" s="84">
        <v>140</v>
      </c>
      <c r="F62" s="85">
        <v>693.13726806640625</v>
      </c>
      <c r="G62" s="119"/>
      <c r="H62" s="31"/>
      <c r="I62" s="31"/>
      <c r="J62" s="44"/>
    </row>
    <row r="63" spans="1:13" ht="15" customHeight="1" thickBot="1">
      <c r="A63" s="123">
        <v>0.12315789610147476</v>
      </c>
      <c r="B63" s="84">
        <v>153.38442036652685</v>
      </c>
      <c r="C63" s="85">
        <v>576.2669677734375</v>
      </c>
      <c r="D63" s="384"/>
      <c r="E63" s="86"/>
      <c r="F63" s="385"/>
      <c r="G63" s="119"/>
      <c r="H63" s="31"/>
      <c r="I63" s="31"/>
      <c r="J63" s="44"/>
    </row>
    <row r="64" spans="1:13" ht="15" customHeight="1">
      <c r="A64" s="123">
        <v>0.17473684251308441</v>
      </c>
      <c r="B64" s="84">
        <v>148.00629794916944</v>
      </c>
      <c r="C64" s="85">
        <v>594.52789306640625</v>
      </c>
      <c r="D64" s="386" t="s">
        <v>408</v>
      </c>
      <c r="E64" s="387"/>
      <c r="F64" s="387"/>
      <c r="G64" s="119"/>
      <c r="H64" s="31"/>
      <c r="I64" s="31"/>
      <c r="J64" s="44"/>
    </row>
    <row r="65" spans="1:10" ht="15" customHeight="1">
      <c r="A65" s="123">
        <v>0.27789473533630371</v>
      </c>
      <c r="B65" s="84">
        <v>144.68834008118384</v>
      </c>
      <c r="C65" s="85">
        <v>623.02362060546875</v>
      </c>
      <c r="D65" s="388" t="s">
        <v>402</v>
      </c>
      <c r="E65" s="390" t="s">
        <v>406</v>
      </c>
      <c r="F65" s="390"/>
      <c r="G65" s="119"/>
      <c r="H65" s="31"/>
      <c r="I65" s="31"/>
      <c r="J65" s="44"/>
    </row>
    <row r="66" spans="1:10" ht="15" customHeight="1">
      <c r="A66" s="123">
        <v>0.3810526430606842</v>
      </c>
      <c r="B66" s="84">
        <v>142.66957257845729</v>
      </c>
      <c r="C66" s="85">
        <v>643.11529541015625</v>
      </c>
      <c r="D66" s="388" t="s">
        <v>403</v>
      </c>
      <c r="E66" s="390" t="s">
        <v>407</v>
      </c>
      <c r="F66" s="390"/>
      <c r="G66" s="119"/>
      <c r="H66" s="31"/>
      <c r="I66" s="31"/>
      <c r="J66" s="44"/>
    </row>
    <row r="67" spans="1:10" ht="15" customHeight="1">
      <c r="A67" s="123">
        <v>0.48421052098274231</v>
      </c>
      <c r="B67" s="84">
        <v>141.43126032799657</v>
      </c>
      <c r="C67" s="85">
        <v>657.6092529296875</v>
      </c>
      <c r="D67" s="388" t="s">
        <v>404</v>
      </c>
      <c r="E67" s="390" t="s">
        <v>409</v>
      </c>
      <c r="F67" s="390"/>
      <c r="G67" s="119"/>
      <c r="H67" s="31"/>
      <c r="I67" s="31"/>
      <c r="J67" s="44"/>
    </row>
    <row r="68" spans="1:10" ht="15" customHeight="1" thickBot="1">
      <c r="A68" s="124">
        <v>0.5873684287071228</v>
      </c>
      <c r="B68" s="86">
        <v>140.73384843144186</v>
      </c>
      <c r="C68" s="87">
        <v>668.5718994140625</v>
      </c>
      <c r="D68" s="389" t="s">
        <v>405</v>
      </c>
      <c r="E68" s="391" t="s">
        <v>410</v>
      </c>
      <c r="F68" s="391"/>
      <c r="G68" s="120"/>
      <c r="H68" s="45"/>
      <c r="I68" s="45"/>
      <c r="J68" s="46"/>
    </row>
    <row r="69" spans="1:10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3" t="s">
        <v>401</v>
      </c>
      <c r="B99" s="383"/>
      <c r="C99" s="383"/>
      <c r="D99" s="383"/>
      <c r="E99" s="383"/>
      <c r="F99" s="383"/>
      <c r="G99" s="383"/>
      <c r="H99" s="383"/>
      <c r="I99" s="383"/>
    </row>
    <row r="100" spans="1:9">
      <c r="A100" s="383">
        <v>100</v>
      </c>
      <c r="B100" s="383"/>
      <c r="C100" s="383"/>
      <c r="D100" s="383"/>
      <c r="E100" s="383"/>
      <c r="F100" s="383"/>
      <c r="G100" s="383"/>
      <c r="H100" s="383"/>
      <c r="I100" s="383"/>
    </row>
    <row r="101" spans="1:9">
      <c r="A101" s="383">
        <v>99.199996948242188</v>
      </c>
      <c r="B101" s="383"/>
      <c r="C101" s="383"/>
      <c r="D101" s="383"/>
      <c r="E101" s="383"/>
      <c r="F101" s="383"/>
      <c r="G101" s="383"/>
      <c r="H101" s="383"/>
      <c r="I101" s="383"/>
    </row>
    <row r="102" spans="1:9">
      <c r="A102" s="383">
        <v>95.25</v>
      </c>
      <c r="B102" s="383"/>
      <c r="C102" s="383"/>
      <c r="D102" s="383"/>
      <c r="E102" s="383"/>
      <c r="F102" s="383"/>
      <c r="G102" s="383"/>
      <c r="H102" s="383"/>
      <c r="I102" s="383"/>
    </row>
    <row r="103" spans="1:9">
      <c r="A103" s="383">
        <v>81.389472961425781</v>
      </c>
      <c r="B103" s="383"/>
      <c r="C103" s="383"/>
      <c r="D103" s="383"/>
      <c r="E103" s="383"/>
      <c r="F103" s="383"/>
      <c r="G103" s="383"/>
      <c r="H103" s="383"/>
      <c r="I103" s="383"/>
    </row>
    <row r="104" spans="1:9">
      <c r="A104" s="383">
        <v>67.978950500488281</v>
      </c>
      <c r="B104" s="383"/>
      <c r="C104" s="383"/>
      <c r="D104" s="383"/>
      <c r="E104" s="383"/>
      <c r="F104" s="383"/>
      <c r="G104" s="383"/>
      <c r="H104" s="383"/>
      <c r="I104" s="383"/>
    </row>
    <row r="105" spans="1:9">
      <c r="A105" s="383">
        <v>55.557895660400391</v>
      </c>
      <c r="B105" s="383"/>
      <c r="C105" s="383"/>
      <c r="D105" s="383"/>
      <c r="E105" s="383"/>
      <c r="F105" s="383"/>
      <c r="G105" s="383"/>
      <c r="H105" s="383"/>
      <c r="I105" s="383"/>
    </row>
    <row r="106" spans="1:9">
      <c r="A106" s="383">
        <v>36.757896423339844</v>
      </c>
      <c r="B106" s="383"/>
      <c r="C106" s="383"/>
      <c r="D106" s="383"/>
      <c r="E106" s="383"/>
      <c r="F106" s="383"/>
      <c r="G106" s="383"/>
      <c r="H106" s="383"/>
      <c r="I106" s="383"/>
    </row>
    <row r="107" spans="1:9">
      <c r="A107" s="383">
        <v>24.084209442138672</v>
      </c>
      <c r="B107" s="383"/>
      <c r="C107" s="383"/>
      <c r="D107" s="383"/>
      <c r="E107" s="383"/>
      <c r="F107" s="383"/>
      <c r="G107" s="383"/>
      <c r="H107" s="383"/>
      <c r="I107" s="383"/>
    </row>
    <row r="108" spans="1:9">
      <c r="A108" s="383">
        <v>15.263158798217773</v>
      </c>
      <c r="B108" s="383"/>
      <c r="C108" s="383"/>
      <c r="D108" s="383"/>
      <c r="E108" s="383"/>
      <c r="F108" s="383"/>
      <c r="G108" s="383"/>
      <c r="H108" s="383"/>
      <c r="I108" s="383"/>
    </row>
    <row r="109" spans="1:9">
      <c r="A109" s="383">
        <v>8.7578945159912109</v>
      </c>
      <c r="B109" s="383"/>
      <c r="C109" s="383"/>
      <c r="D109" s="383"/>
      <c r="E109" s="383"/>
      <c r="F109" s="383"/>
      <c r="G109" s="383"/>
      <c r="H109" s="383"/>
      <c r="I109" s="383"/>
    </row>
    <row r="110" spans="1:9">
      <c r="A110" s="383">
        <v>6.1894736289978027</v>
      </c>
      <c r="B110" s="383"/>
      <c r="C110" s="383"/>
      <c r="D110" s="383"/>
      <c r="E110" s="383"/>
      <c r="F110" s="383"/>
      <c r="G110" s="383"/>
      <c r="H110" s="383"/>
      <c r="I110" s="383"/>
    </row>
    <row r="111" spans="1:9">
      <c r="A111" s="383">
        <v>7.8736848831176758</v>
      </c>
      <c r="B111" s="383"/>
      <c r="C111" s="383"/>
      <c r="D111" s="383"/>
      <c r="E111" s="383"/>
      <c r="F111" s="383"/>
      <c r="G111" s="383"/>
      <c r="H111" s="383"/>
      <c r="I111" s="383"/>
    </row>
    <row r="112" spans="1:9">
      <c r="A112" s="383">
        <v>14.77894401550293</v>
      </c>
      <c r="B112" s="383"/>
      <c r="C112" s="383"/>
      <c r="D112" s="383"/>
      <c r="E112" s="383"/>
      <c r="F112" s="383"/>
      <c r="G112" s="383"/>
      <c r="H112" s="383"/>
      <c r="I112" s="383"/>
    </row>
    <row r="113" spans="1:9">
      <c r="A113" s="383">
        <v>30</v>
      </c>
      <c r="B113" s="383"/>
      <c r="C113" s="383"/>
      <c r="D113" s="383"/>
      <c r="E113" s="383"/>
      <c r="F113" s="383"/>
      <c r="G113" s="383"/>
      <c r="H113" s="383"/>
      <c r="I113" s="383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34" zoomScaleNormal="100" workbookViewId="0">
      <selection activeCell="G43" sqref="G43"/>
    </sheetView>
  </sheetViews>
  <sheetFormatPr defaultColWidth="9.109375" defaultRowHeight="15"/>
  <cols>
    <col min="1" max="1" width="12.109375" style="334" customWidth="1"/>
    <col min="2" max="2" width="6.109375" style="334" customWidth="1"/>
    <col min="3" max="3" width="7.6640625" style="334" customWidth="1"/>
    <col min="4" max="5" width="13.109375" style="334" customWidth="1"/>
    <col min="6" max="6" width="9.44140625" style="334" customWidth="1"/>
    <col min="7" max="7" width="5.6640625" style="334" customWidth="1"/>
    <col min="8" max="8" width="7.88671875" style="334" customWidth="1"/>
    <col min="9" max="9" width="6.5546875" style="334" customWidth="1"/>
    <col min="10" max="11" width="12" style="334" customWidth="1"/>
    <col min="12" max="12" width="16" style="186" customWidth="1"/>
    <col min="13" max="26" width="9.109375" style="186"/>
    <col min="27" max="16384" width="9.109375" style="187"/>
  </cols>
  <sheetData>
    <row r="1" spans="1:26" ht="20.25" customHeight="1">
      <c r="A1" s="549" t="s">
        <v>268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</row>
    <row r="2" spans="1:26" ht="20.25" customHeight="1">
      <c r="A2" s="550" t="s">
        <v>269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</row>
    <row r="3" spans="1:26" ht="18.75" customHeight="1" thickBot="1">
      <c r="A3" s="189" t="s">
        <v>1</v>
      </c>
      <c r="B3" s="190" t="s">
        <v>379</v>
      </c>
      <c r="C3" s="191"/>
      <c r="D3" s="191"/>
      <c r="E3" s="191"/>
      <c r="F3" s="188"/>
      <c r="G3" s="191"/>
      <c r="H3" s="191"/>
      <c r="I3" s="189" t="s">
        <v>270</v>
      </c>
      <c r="J3" s="551" t="s">
        <v>385</v>
      </c>
      <c r="K3" s="551"/>
    </row>
    <row r="4" spans="1:26" s="200" customFormat="1" ht="18.45" customHeight="1" thickBot="1">
      <c r="A4" s="192" t="s">
        <v>720</v>
      </c>
      <c r="B4" s="193"/>
      <c r="C4" s="194"/>
      <c r="D4" s="194"/>
      <c r="E4" s="194"/>
      <c r="F4" s="194"/>
      <c r="G4" s="194"/>
      <c r="H4" s="194"/>
      <c r="I4" s="194"/>
      <c r="J4" s="194"/>
      <c r="K4" s="195"/>
      <c r="L4" s="196"/>
      <c r="M4" s="196"/>
      <c r="N4" s="196"/>
      <c r="O4" s="196"/>
      <c r="P4" s="196"/>
      <c r="Q4" s="197" t="s">
        <v>271</v>
      </c>
      <c r="R4" s="198"/>
      <c r="S4" s="196"/>
      <c r="T4" s="197" t="s">
        <v>272</v>
      </c>
      <c r="U4" s="199"/>
      <c r="V4" s="196"/>
      <c r="W4" s="196"/>
      <c r="X4" s="196"/>
      <c r="Y4" s="196"/>
      <c r="Z4" s="196"/>
    </row>
    <row r="5" spans="1:26" s="200" customFormat="1" ht="18.45" customHeight="1">
      <c r="A5" s="552" t="s">
        <v>273</v>
      </c>
      <c r="B5" s="553"/>
      <c r="C5" s="553"/>
      <c r="D5" s="201"/>
      <c r="E5" s="202"/>
      <c r="F5" s="203" t="s">
        <v>274</v>
      </c>
      <c r="G5" s="191"/>
      <c r="H5" s="191"/>
      <c r="I5" s="204"/>
      <c r="J5" s="205" t="s">
        <v>275</v>
      </c>
      <c r="K5" s="206" t="s">
        <v>276</v>
      </c>
      <c r="L5" s="196"/>
      <c r="M5" s="196"/>
      <c r="N5" s="196"/>
      <c r="O5" s="196"/>
      <c r="P5" s="196"/>
      <c r="Q5" s="207" t="s">
        <v>277</v>
      </c>
      <c r="R5" s="208"/>
      <c r="S5" s="196"/>
      <c r="T5" s="207" t="s">
        <v>278</v>
      </c>
      <c r="U5" s="209"/>
      <c r="V5" s="196"/>
      <c r="W5" s="196"/>
      <c r="X5" s="196"/>
      <c r="Y5" s="196"/>
      <c r="Z5" s="196"/>
    </row>
    <row r="6" spans="1:26" s="200" customFormat="1" ht="18.45" customHeight="1">
      <c r="A6" s="554" t="s">
        <v>67</v>
      </c>
      <c r="B6" s="555"/>
      <c r="C6" s="555"/>
      <c r="D6" s="556" t="s">
        <v>282</v>
      </c>
      <c r="E6" s="557"/>
      <c r="F6" s="373" t="s">
        <v>280</v>
      </c>
      <c r="G6" s="374"/>
      <c r="H6" s="374"/>
      <c r="I6" s="374"/>
      <c r="J6" s="374"/>
      <c r="K6" s="375" t="s">
        <v>386</v>
      </c>
      <c r="L6" s="196"/>
      <c r="M6" s="196"/>
      <c r="N6" s="196"/>
      <c r="O6" s="196"/>
      <c r="P6" s="196"/>
      <c r="Q6" s="207" t="s">
        <v>281</v>
      </c>
      <c r="R6" s="208"/>
      <c r="S6" s="196"/>
      <c r="T6" s="207" t="s">
        <v>282</v>
      </c>
      <c r="U6" s="209"/>
      <c r="V6" s="196"/>
      <c r="W6" s="196"/>
      <c r="X6" s="196"/>
      <c r="Y6" s="196"/>
      <c r="Z6" s="196"/>
    </row>
    <row r="7" spans="1:26" s="200" customFormat="1" ht="18.45" customHeight="1">
      <c r="A7" s="558" t="s">
        <v>20</v>
      </c>
      <c r="B7" s="559"/>
      <c r="C7" s="559"/>
      <c r="D7" s="560">
        <v>1.8999999761581401</v>
      </c>
      <c r="E7" s="561"/>
      <c r="F7" s="210" t="s">
        <v>283</v>
      </c>
      <c r="G7" s="211"/>
      <c r="H7" s="212"/>
      <c r="I7" s="213"/>
      <c r="J7" s="214">
        <v>73</v>
      </c>
      <c r="K7" s="215">
        <v>72.790000000000006</v>
      </c>
      <c r="L7" s="196"/>
      <c r="M7" s="196"/>
      <c r="N7" s="196"/>
      <c r="O7" s="196"/>
      <c r="P7" s="196"/>
      <c r="Q7" s="207" t="s">
        <v>284</v>
      </c>
      <c r="R7" s="208"/>
      <c r="S7" s="196"/>
      <c r="T7" s="207" t="s">
        <v>279</v>
      </c>
      <c r="U7" s="209"/>
      <c r="V7" s="196"/>
      <c r="W7" s="196"/>
      <c r="X7" s="196"/>
      <c r="Y7" s="196"/>
      <c r="Z7" s="196"/>
    </row>
    <row r="8" spans="1:26" s="200" customFormat="1" ht="18.45" customHeight="1">
      <c r="A8" s="558" t="s">
        <v>285</v>
      </c>
      <c r="B8" s="559"/>
      <c r="C8" s="559"/>
      <c r="D8" s="562">
        <v>994</v>
      </c>
      <c r="E8" s="563"/>
      <c r="F8" s="216" t="s">
        <v>286</v>
      </c>
      <c r="G8" s="217"/>
      <c r="H8" s="218"/>
      <c r="I8" s="219"/>
      <c r="J8" s="220">
        <v>16200</v>
      </c>
      <c r="K8" s="221">
        <v>16200</v>
      </c>
      <c r="L8" s="196"/>
      <c r="M8" s="196"/>
      <c r="N8" s="196"/>
      <c r="O8" s="196"/>
      <c r="P8" s="196"/>
      <c r="Q8" s="207" t="s">
        <v>287</v>
      </c>
      <c r="R8" s="208"/>
      <c r="S8" s="196"/>
      <c r="T8" s="207" t="s">
        <v>288</v>
      </c>
      <c r="U8" s="209"/>
      <c r="V8" s="196"/>
      <c r="W8" s="196"/>
      <c r="X8" s="196"/>
      <c r="Y8" s="196"/>
      <c r="Z8" s="196"/>
    </row>
    <row r="9" spans="1:26" s="200" customFormat="1" ht="18.45" customHeight="1">
      <c r="A9" s="564" t="s">
        <v>289</v>
      </c>
      <c r="B9" s="565"/>
      <c r="C9" s="566"/>
      <c r="D9" s="562">
        <v>7</v>
      </c>
      <c r="E9" s="563"/>
      <c r="F9" s="210" t="s">
        <v>290</v>
      </c>
      <c r="G9" s="211"/>
      <c r="H9" s="222">
        <v>1</v>
      </c>
      <c r="I9" s="223" t="s">
        <v>291</v>
      </c>
      <c r="J9" s="224">
        <v>308</v>
      </c>
      <c r="K9" s="221">
        <v>206.3</v>
      </c>
      <c r="L9" s="196"/>
      <c r="M9" s="196"/>
      <c r="N9" s="196"/>
      <c r="O9" s="196"/>
      <c r="P9" s="196"/>
      <c r="Q9" s="207" t="s">
        <v>292</v>
      </c>
      <c r="R9" s="208"/>
      <c r="S9" s="196"/>
      <c r="T9" s="207" t="s">
        <v>293</v>
      </c>
      <c r="U9" s="209"/>
      <c r="V9" s="196"/>
      <c r="W9" s="196"/>
      <c r="X9" s="196"/>
      <c r="Y9" s="196"/>
      <c r="Z9" s="196"/>
    </row>
    <row r="10" spans="1:26" s="200" customFormat="1" ht="18.45" customHeight="1" thickBot="1">
      <c r="A10" s="564" t="s">
        <v>294</v>
      </c>
      <c r="B10" s="565"/>
      <c r="C10" s="566"/>
      <c r="D10" s="567" t="s">
        <v>202</v>
      </c>
      <c r="E10" s="568"/>
      <c r="F10" s="210" t="s">
        <v>295</v>
      </c>
      <c r="G10" s="211"/>
      <c r="H10" s="222">
        <v>1</v>
      </c>
      <c r="I10" s="223" t="s">
        <v>291</v>
      </c>
      <c r="J10" s="224">
        <v>1150</v>
      </c>
      <c r="K10" s="221">
        <v>904</v>
      </c>
      <c r="L10" s="196"/>
      <c r="M10" s="196"/>
      <c r="N10" s="196"/>
      <c r="O10" s="196"/>
      <c r="P10" s="196"/>
      <c r="Q10" s="207" t="s">
        <v>296</v>
      </c>
      <c r="R10" s="208"/>
      <c r="S10" s="196"/>
      <c r="T10" s="225" t="s">
        <v>297</v>
      </c>
      <c r="U10" s="226"/>
      <c r="V10" s="196"/>
      <c r="W10" s="196"/>
      <c r="X10" s="196"/>
      <c r="Y10" s="196"/>
      <c r="Z10" s="196"/>
    </row>
    <row r="11" spans="1:26" s="200" customFormat="1" ht="18.45" customHeight="1" thickBot="1">
      <c r="A11" s="564" t="s">
        <v>298</v>
      </c>
      <c r="B11" s="565"/>
      <c r="C11" s="566"/>
      <c r="D11" s="569" t="s">
        <v>174</v>
      </c>
      <c r="E11" s="570"/>
      <c r="F11" s="227" t="s">
        <v>299</v>
      </c>
      <c r="G11" s="228"/>
      <c r="H11" s="229">
        <v>1</v>
      </c>
      <c r="I11" s="223" t="s">
        <v>291</v>
      </c>
      <c r="J11" s="230">
        <v>45765</v>
      </c>
      <c r="K11" s="231">
        <v>42000</v>
      </c>
      <c r="L11" s="196"/>
      <c r="M11" s="196"/>
      <c r="N11" s="196"/>
      <c r="O11" s="196"/>
      <c r="P11" s="196"/>
      <c r="Q11" s="207" t="s">
        <v>300</v>
      </c>
      <c r="R11" s="208"/>
      <c r="S11" s="196"/>
      <c r="T11" s="197" t="s">
        <v>301</v>
      </c>
      <c r="U11" s="199"/>
      <c r="V11" s="196"/>
      <c r="W11" s="196"/>
      <c r="X11" s="196"/>
      <c r="Y11" s="196"/>
      <c r="Z11" s="196"/>
    </row>
    <row r="12" spans="1:26" s="200" customFormat="1" ht="18.45" customHeight="1" thickBot="1">
      <c r="A12" s="232" t="s">
        <v>302</v>
      </c>
      <c r="C12" s="233"/>
      <c r="D12" s="571" t="s">
        <v>174</v>
      </c>
      <c r="E12" s="572"/>
      <c r="F12" s="376" t="s">
        <v>303</v>
      </c>
      <c r="G12" s="377"/>
      <c r="H12" s="377"/>
      <c r="I12" s="377"/>
      <c r="J12" s="377"/>
      <c r="K12" s="378" t="s">
        <v>387</v>
      </c>
      <c r="L12" s="379" t="s">
        <v>391</v>
      </c>
      <c r="M12" s="196"/>
      <c r="N12" s="196"/>
      <c r="O12" s="196"/>
      <c r="P12" s="196"/>
      <c r="Q12" s="225" t="s">
        <v>304</v>
      </c>
      <c r="R12" s="234"/>
      <c r="S12" s="196"/>
      <c r="T12" s="196"/>
      <c r="U12" s="196"/>
      <c r="V12" s="196"/>
      <c r="W12" s="196"/>
      <c r="X12" s="196"/>
      <c r="Y12" s="196"/>
      <c r="Z12" s="196"/>
    </row>
    <row r="13" spans="1:26" s="200" customFormat="1" ht="18.45" customHeight="1">
      <c r="A13" s="564" t="s">
        <v>53</v>
      </c>
      <c r="B13" s="565"/>
      <c r="C13" s="566"/>
      <c r="D13" s="573" t="s">
        <v>721</v>
      </c>
      <c r="E13" s="574"/>
      <c r="F13" s="235"/>
      <c r="G13" s="236" t="s">
        <v>305</v>
      </c>
      <c r="H13" s="237"/>
      <c r="I13" s="238" t="s">
        <v>306</v>
      </c>
      <c r="J13" s="239" t="s">
        <v>382</v>
      </c>
      <c r="K13" s="240" t="s">
        <v>388</v>
      </c>
      <c r="L13" s="380" t="s">
        <v>392</v>
      </c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s="200" customFormat="1" ht="18.45" customHeight="1">
      <c r="A14" s="564" t="s">
        <v>56</v>
      </c>
      <c r="B14" s="565"/>
      <c r="C14" s="566"/>
      <c r="D14" s="571">
        <v>1464</v>
      </c>
      <c r="E14" s="572"/>
      <c r="F14" s="235"/>
      <c r="G14" s="241" t="s">
        <v>10</v>
      </c>
      <c r="H14" s="242"/>
      <c r="I14" s="242"/>
      <c r="J14" s="224" t="s">
        <v>174</v>
      </c>
      <c r="K14" s="221" t="s">
        <v>389</v>
      </c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s="200" customFormat="1" ht="18.45" customHeight="1">
      <c r="A15" s="575" t="s">
        <v>307</v>
      </c>
      <c r="B15" s="576"/>
      <c r="C15" s="577"/>
      <c r="D15" s="578">
        <v>14.098799705505371</v>
      </c>
      <c r="E15" s="579"/>
      <c r="F15" s="235"/>
      <c r="G15" s="241" t="s">
        <v>308</v>
      </c>
      <c r="H15" s="242"/>
      <c r="I15" s="242"/>
      <c r="J15" s="224" t="s">
        <v>174</v>
      </c>
      <c r="K15" s="221" t="s">
        <v>390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s="200" customFormat="1" ht="18.45" customHeight="1">
      <c r="A16" s="585" t="s">
        <v>309</v>
      </c>
      <c r="B16" s="586"/>
      <c r="C16" s="587"/>
      <c r="D16" s="578">
        <v>3.6367995738983154</v>
      </c>
      <c r="E16" s="579"/>
      <c r="F16" s="244"/>
      <c r="G16" s="245" t="s">
        <v>17</v>
      </c>
      <c r="H16" s="246"/>
      <c r="I16" s="246"/>
      <c r="J16" s="230" t="s">
        <v>174</v>
      </c>
      <c r="K16" s="231" t="s">
        <v>174</v>
      </c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s="200" customFormat="1" ht="18.45" customHeight="1">
      <c r="A17" s="247" t="s">
        <v>310</v>
      </c>
      <c r="B17" s="248"/>
      <c r="C17" s="249"/>
      <c r="D17" s="569" t="s">
        <v>380</v>
      </c>
      <c r="E17" s="570"/>
      <c r="F17" s="588" t="s">
        <v>311</v>
      </c>
      <c r="G17" s="589"/>
      <c r="H17" s="589"/>
      <c r="I17" s="589"/>
      <c r="J17" s="589"/>
      <c r="K17" s="590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s="200" customFormat="1" ht="18.45" customHeight="1">
      <c r="A18" s="250" t="s">
        <v>312</v>
      </c>
      <c r="B18" s="251"/>
      <c r="C18" s="249"/>
      <c r="D18" s="567" t="s">
        <v>174</v>
      </c>
      <c r="E18" s="568"/>
      <c r="F18" s="591"/>
      <c r="G18" s="592"/>
      <c r="H18" s="252" t="s">
        <v>313</v>
      </c>
      <c r="I18" s="253"/>
      <c r="J18" s="220" t="s">
        <v>718</v>
      </c>
      <c r="K18" s="221">
        <v>205</v>
      </c>
      <c r="L18" s="196"/>
      <c r="M18" s="196" t="e">
        <f>J18*6.5</f>
        <v>#VALUE!</v>
      </c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s="200" customFormat="1" ht="18.45" customHeight="1">
      <c r="A19" s="597" t="s">
        <v>314</v>
      </c>
      <c r="B19" s="598"/>
      <c r="C19" s="599"/>
      <c r="D19" s="600" t="s">
        <v>174</v>
      </c>
      <c r="E19" s="570"/>
      <c r="F19" s="593"/>
      <c r="G19" s="594"/>
      <c r="H19" s="252" t="s">
        <v>5</v>
      </c>
      <c r="I19" s="213"/>
      <c r="J19" s="220">
        <v>889</v>
      </c>
      <c r="K19" s="221">
        <v>889</v>
      </c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s="200" customFormat="1" ht="18.45" customHeight="1" thickBot="1">
      <c r="A20" s="254" t="s">
        <v>315</v>
      </c>
      <c r="C20" s="255"/>
      <c r="D20" s="601" t="s">
        <v>201</v>
      </c>
      <c r="E20" s="563"/>
      <c r="F20" s="593"/>
      <c r="G20" s="594"/>
      <c r="H20" s="252" t="s">
        <v>316</v>
      </c>
      <c r="I20" s="213"/>
      <c r="J20" s="224" t="s">
        <v>360</v>
      </c>
      <c r="K20" s="221" t="s">
        <v>360</v>
      </c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s="200" customFormat="1" ht="18.45" customHeight="1" thickBot="1">
      <c r="A21" s="575" t="s">
        <v>317</v>
      </c>
      <c r="B21" s="576"/>
      <c r="C21" s="577"/>
      <c r="D21" s="562" t="s">
        <v>174</v>
      </c>
      <c r="E21" s="563"/>
      <c r="F21" s="593"/>
      <c r="G21" s="594"/>
      <c r="H21" s="256" t="s">
        <v>318</v>
      </c>
      <c r="I21" s="213"/>
      <c r="J21" s="224">
        <v>1.1499999999999999</v>
      </c>
      <c r="K21" s="221">
        <v>1.1499999999999999</v>
      </c>
      <c r="L21" s="196"/>
      <c r="M21" s="196"/>
      <c r="N21" s="196">
        <f>SQRT(3)*204</f>
        <v>353.33836474405092</v>
      </c>
      <c r="O21" s="196"/>
      <c r="P21" s="196"/>
      <c r="Q21" s="197" t="s">
        <v>319</v>
      </c>
      <c r="R21" s="199"/>
      <c r="S21" s="196"/>
      <c r="T21" s="196"/>
      <c r="U21" s="196"/>
      <c r="V21" s="196"/>
      <c r="W21" s="196"/>
      <c r="X21" s="196"/>
      <c r="Y21" s="196"/>
      <c r="Z21" s="196"/>
    </row>
    <row r="22" spans="1:26" s="200" customFormat="1" ht="18.45" customHeight="1">
      <c r="A22" s="250" t="s">
        <v>320</v>
      </c>
      <c r="B22" s="257"/>
      <c r="C22" s="257"/>
      <c r="D22" s="602">
        <v>8.1699997186660767E-2</v>
      </c>
      <c r="E22" s="603"/>
      <c r="F22" s="593"/>
      <c r="G22" s="594"/>
      <c r="H22" s="252" t="s">
        <v>275</v>
      </c>
      <c r="I22" s="213"/>
      <c r="J22" s="224" t="s">
        <v>174</v>
      </c>
      <c r="K22" s="221"/>
      <c r="L22" s="196"/>
      <c r="M22" s="196"/>
      <c r="N22" s="196"/>
      <c r="O22" s="196"/>
      <c r="P22" s="196"/>
      <c r="Q22" s="207" t="s">
        <v>322</v>
      </c>
      <c r="R22" s="209"/>
      <c r="S22" s="196"/>
      <c r="T22" s="196"/>
      <c r="U22" s="196"/>
      <c r="V22" s="196"/>
      <c r="W22" s="196"/>
      <c r="X22" s="196"/>
      <c r="Y22" s="196"/>
      <c r="Z22" s="196"/>
    </row>
    <row r="23" spans="1:26" s="200" customFormat="1" ht="18.45" customHeight="1">
      <c r="A23" s="258" t="s">
        <v>323</v>
      </c>
      <c r="B23" s="259" t="s">
        <v>324</v>
      </c>
      <c r="C23" s="260"/>
      <c r="D23" s="573">
        <v>757.1</v>
      </c>
      <c r="E23" s="574"/>
      <c r="F23" s="593"/>
      <c r="G23" s="594"/>
      <c r="H23" s="261" t="s">
        <v>325</v>
      </c>
      <c r="I23" s="262"/>
      <c r="J23" s="263">
        <v>95.4</v>
      </c>
      <c r="K23" s="264"/>
      <c r="L23" s="196"/>
      <c r="Q23" s="207" t="s">
        <v>326</v>
      </c>
      <c r="R23" s="209"/>
      <c r="S23" s="196"/>
      <c r="T23" s="196"/>
      <c r="U23" s="196"/>
      <c r="V23" s="196"/>
      <c r="W23" s="196"/>
      <c r="X23" s="196"/>
      <c r="Y23" s="196"/>
      <c r="Z23" s="196"/>
    </row>
    <row r="24" spans="1:26" s="200" customFormat="1" ht="18.45" customHeight="1" thickBot="1">
      <c r="A24" s="265" t="s">
        <v>327</v>
      </c>
      <c r="B24" s="266" t="s">
        <v>328</v>
      </c>
      <c r="C24" s="267"/>
      <c r="D24" s="604" t="s">
        <v>174</v>
      </c>
      <c r="E24" s="605"/>
      <c r="F24" s="593"/>
      <c r="G24" s="594"/>
      <c r="H24" s="252" t="s">
        <v>329</v>
      </c>
      <c r="I24" s="233"/>
      <c r="J24" s="268" t="s">
        <v>174</v>
      </c>
      <c r="K24" s="269"/>
      <c r="Q24" s="270" t="s">
        <v>174</v>
      </c>
      <c r="R24" s="271"/>
      <c r="S24" s="196"/>
      <c r="T24" s="196"/>
      <c r="U24" s="196"/>
      <c r="V24" s="196"/>
      <c r="W24" s="196"/>
      <c r="X24" s="196"/>
      <c r="Y24" s="196"/>
      <c r="Z24" s="196"/>
    </row>
    <row r="25" spans="1:26" s="200" customFormat="1" ht="18.45" customHeight="1">
      <c r="A25" s="272" t="s">
        <v>330</v>
      </c>
      <c r="B25" s="273"/>
      <c r="C25" s="273"/>
      <c r="D25" s="274"/>
      <c r="E25" s="274" t="s">
        <v>331</v>
      </c>
      <c r="F25" s="593"/>
      <c r="G25" s="594"/>
      <c r="H25" s="252" t="s">
        <v>332</v>
      </c>
      <c r="I25" s="233"/>
      <c r="J25" s="275">
        <v>82.5</v>
      </c>
      <c r="K25" s="269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s="200" customFormat="1" ht="18.45" customHeight="1">
      <c r="A26" s="276" t="s">
        <v>333</v>
      </c>
      <c r="B26" s="277"/>
      <c r="C26" s="278"/>
      <c r="D26" s="279" t="s">
        <v>383</v>
      </c>
      <c r="E26" s="279" t="s">
        <v>384</v>
      </c>
      <c r="F26" s="595"/>
      <c r="G26" s="596"/>
      <c r="H26" s="606"/>
      <c r="I26" s="607"/>
      <c r="J26" s="280"/>
      <c r="K26" s="281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s="200" customFormat="1" ht="18.45" customHeight="1">
      <c r="A27" s="580" t="s">
        <v>334</v>
      </c>
      <c r="B27" s="581"/>
      <c r="C27" s="581"/>
      <c r="D27" s="581"/>
      <c r="E27" s="581"/>
      <c r="F27" s="582" t="s">
        <v>335</v>
      </c>
      <c r="G27" s="583"/>
      <c r="H27" s="583"/>
      <c r="I27" s="583"/>
      <c r="J27" s="583"/>
      <c r="K27" s="584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s="200" customFormat="1" ht="18.45" customHeight="1">
      <c r="A28" s="610"/>
      <c r="B28" s="611"/>
      <c r="C28" s="611"/>
      <c r="D28" s="611"/>
      <c r="E28" s="612"/>
      <c r="F28" s="282"/>
      <c r="G28" s="283"/>
      <c r="H28" s="241" t="s">
        <v>336</v>
      </c>
      <c r="I28" s="284" t="s">
        <v>381</v>
      </c>
      <c r="J28" s="220" t="s">
        <v>719</v>
      </c>
      <c r="K28" s="381">
        <v>1413.8</v>
      </c>
      <c r="M28" s="200" t="e">
        <f>(J28/J18)*100</f>
        <v>#VALUE!</v>
      </c>
      <c r="N28" s="285"/>
      <c r="O28" s="285"/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s="200" customFormat="1" ht="18.45" customHeight="1">
      <c r="A29" s="610"/>
      <c r="B29" s="611"/>
      <c r="C29" s="611"/>
      <c r="D29" s="611"/>
      <c r="E29" s="612"/>
      <c r="F29" s="286"/>
      <c r="G29" s="287"/>
      <c r="H29" s="241" t="s">
        <v>337</v>
      </c>
      <c r="I29" s="288">
        <v>60</v>
      </c>
      <c r="J29" s="220">
        <v>140</v>
      </c>
      <c r="K29" s="289">
        <v>140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s="200" customFormat="1" ht="18.45" customHeight="1">
      <c r="A30" s="610"/>
      <c r="B30" s="611"/>
      <c r="C30" s="611"/>
      <c r="D30" s="611"/>
      <c r="E30" s="612"/>
      <c r="F30" s="286"/>
      <c r="G30" s="287"/>
      <c r="H30" s="241" t="s">
        <v>338</v>
      </c>
      <c r="I30" s="288">
        <v>175</v>
      </c>
      <c r="J30" s="220">
        <v>240</v>
      </c>
      <c r="K30" s="290">
        <v>240</v>
      </c>
      <c r="L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s="200" customFormat="1" ht="18.45" customHeight="1">
      <c r="A31" s="610"/>
      <c r="B31" s="611"/>
      <c r="C31" s="611"/>
      <c r="D31" s="611"/>
      <c r="E31" s="612"/>
      <c r="F31" s="286"/>
      <c r="G31" s="287"/>
      <c r="H31" s="241" t="s">
        <v>339</v>
      </c>
      <c r="I31" s="242"/>
      <c r="J31" s="291">
        <v>1.22</v>
      </c>
      <c r="K31" s="215">
        <v>1.19</v>
      </c>
      <c r="L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s="200" customFormat="1" ht="18.45" customHeight="1">
      <c r="A32" s="613"/>
      <c r="B32" s="614"/>
      <c r="C32" s="614"/>
      <c r="D32" s="614"/>
      <c r="E32" s="615"/>
      <c r="F32" s="286"/>
      <c r="G32" s="292" t="s">
        <v>340</v>
      </c>
      <c r="H32" s="241" t="s">
        <v>341</v>
      </c>
      <c r="I32" s="293"/>
      <c r="J32" s="214">
        <v>95.4</v>
      </c>
      <c r="K32" s="289">
        <v>95.3</v>
      </c>
      <c r="L32" s="196"/>
      <c r="N32" s="294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s="200" customFormat="1" ht="18.45" customHeight="1">
      <c r="A33" s="580" t="s">
        <v>342</v>
      </c>
      <c r="B33" s="581"/>
      <c r="C33" s="581"/>
      <c r="D33" s="581"/>
      <c r="E33" s="616"/>
      <c r="F33" s="295"/>
      <c r="G33" s="296"/>
      <c r="H33" s="297" t="s">
        <v>343</v>
      </c>
      <c r="I33" s="298"/>
      <c r="J33" s="299">
        <v>82.9</v>
      </c>
      <c r="K33" s="300">
        <v>82.9</v>
      </c>
      <c r="L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s="200" customFormat="1" ht="18.45" customHeight="1">
      <c r="A34" s="610"/>
      <c r="B34" s="611"/>
      <c r="C34" s="611"/>
      <c r="D34" s="611"/>
      <c r="E34" s="612"/>
      <c r="F34" s="216" t="s">
        <v>344</v>
      </c>
      <c r="G34" s="301"/>
      <c r="H34" s="302" t="s">
        <v>14</v>
      </c>
      <c r="I34" s="303"/>
      <c r="J34" s="304">
        <v>13305</v>
      </c>
      <c r="K34" s="305">
        <v>13305</v>
      </c>
      <c r="L34" s="306"/>
      <c r="M34" s="307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s="200" customFormat="1" ht="18.45" customHeight="1">
      <c r="A35" s="610"/>
      <c r="B35" s="611"/>
      <c r="C35" s="611"/>
      <c r="D35" s="611"/>
      <c r="E35" s="612"/>
      <c r="F35" s="235"/>
      <c r="G35" s="308"/>
      <c r="H35" s="309" t="s">
        <v>15</v>
      </c>
      <c r="I35" s="243"/>
      <c r="J35" s="220">
        <v>13428</v>
      </c>
      <c r="K35" s="215">
        <v>13428</v>
      </c>
      <c r="L35" s="310"/>
      <c r="M35" s="307"/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s="200" customFormat="1" ht="18.45" customHeight="1">
      <c r="A36" s="610"/>
      <c r="B36" s="611"/>
      <c r="C36" s="611"/>
      <c r="D36" s="611"/>
      <c r="E36" s="612"/>
      <c r="F36" s="235"/>
      <c r="G36" s="308"/>
      <c r="H36" s="309" t="s">
        <v>345</v>
      </c>
      <c r="I36" s="243"/>
      <c r="J36" s="220">
        <v>9805</v>
      </c>
      <c r="K36" s="215">
        <v>9805</v>
      </c>
      <c r="L36" s="310"/>
      <c r="M36" s="285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s="200" customFormat="1" ht="18.45" customHeight="1">
      <c r="A37" s="610"/>
      <c r="B37" s="611"/>
      <c r="C37" s="611"/>
      <c r="D37" s="611"/>
      <c r="E37" s="612"/>
      <c r="F37" s="286"/>
      <c r="G37" s="308"/>
      <c r="H37" s="309" t="s">
        <v>346</v>
      </c>
      <c r="I37" s="243"/>
      <c r="J37" s="220">
        <v>4487</v>
      </c>
      <c r="K37" s="215">
        <v>4487</v>
      </c>
      <c r="L37" s="310"/>
      <c r="M37" s="285"/>
      <c r="N37" s="310"/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s="200" customFormat="1" ht="18.45" customHeight="1">
      <c r="A38" s="613"/>
      <c r="B38" s="614"/>
      <c r="C38" s="614"/>
      <c r="D38" s="614"/>
      <c r="E38" s="615"/>
      <c r="F38" s="244"/>
      <c r="G38" s="311"/>
      <c r="H38" s="312" t="s">
        <v>393</v>
      </c>
      <c r="I38" s="313"/>
      <c r="J38" s="314">
        <v>13428</v>
      </c>
      <c r="K38" s="315">
        <v>13428</v>
      </c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s="200" customFormat="1" ht="18.45" customHeight="1">
      <c r="A39" s="580" t="s">
        <v>347</v>
      </c>
      <c r="B39" s="581"/>
      <c r="C39" s="581"/>
      <c r="D39" s="581"/>
      <c r="E39" s="581"/>
      <c r="F39" s="316" t="s">
        <v>348</v>
      </c>
      <c r="G39" s="317"/>
      <c r="H39" s="317"/>
      <c r="I39" s="317"/>
      <c r="J39" s="317"/>
      <c r="K39" s="318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s="200" customFormat="1" ht="18.45" customHeight="1">
      <c r="A40" s="610"/>
      <c r="B40" s="611"/>
      <c r="C40" s="611"/>
      <c r="D40" s="611"/>
      <c r="E40" s="612"/>
      <c r="F40" s="319" t="s">
        <v>394</v>
      </c>
      <c r="G40" s="320" t="s">
        <v>397</v>
      </c>
      <c r="H40" s="320"/>
      <c r="I40" s="320"/>
      <c r="J40" s="320"/>
      <c r="K40" s="321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s="200" customFormat="1" ht="18.45" customHeight="1">
      <c r="A41" s="610"/>
      <c r="B41" s="611"/>
      <c r="C41" s="611"/>
      <c r="D41" s="611"/>
      <c r="E41" s="612"/>
      <c r="F41" s="319"/>
      <c r="G41" s="322" t="s">
        <v>730</v>
      </c>
      <c r="H41" s="322"/>
      <c r="I41" s="322"/>
      <c r="J41" s="322"/>
      <c r="K41" s="323"/>
      <c r="L41" s="324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s="200" customFormat="1" ht="18.45" customHeight="1">
      <c r="A42" s="610"/>
      <c r="B42" s="611"/>
      <c r="C42" s="611"/>
      <c r="D42" s="611"/>
      <c r="E42" s="612"/>
      <c r="F42" s="319"/>
      <c r="G42" s="322" t="s">
        <v>731</v>
      </c>
      <c r="H42" s="322"/>
      <c r="I42" s="322"/>
      <c r="J42" s="322"/>
      <c r="K42" s="323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s="200" customFormat="1" ht="18.45" customHeight="1">
      <c r="A43" s="610"/>
      <c r="B43" s="611"/>
      <c r="C43" s="611"/>
      <c r="D43" s="611"/>
      <c r="E43" s="612"/>
      <c r="F43" s="319"/>
      <c r="G43" s="322"/>
      <c r="H43" s="322"/>
      <c r="I43" s="322"/>
      <c r="J43" s="322"/>
      <c r="K43" s="323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s="200" customFormat="1" ht="17.100000000000001" customHeight="1" thickBot="1">
      <c r="A44" s="617"/>
      <c r="B44" s="618"/>
      <c r="C44" s="618"/>
      <c r="D44" s="618"/>
      <c r="E44" s="619"/>
      <c r="F44" s="319"/>
      <c r="G44" s="322"/>
      <c r="H44" s="322"/>
      <c r="I44" s="322"/>
      <c r="J44" s="322"/>
      <c r="K44" s="323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s="200" customFormat="1" ht="17.100000000000001" customHeight="1">
      <c r="A45" s="325" t="s">
        <v>349</v>
      </c>
      <c r="B45" s="620"/>
      <c r="C45" s="621"/>
      <c r="D45" s="326" t="s">
        <v>350</v>
      </c>
      <c r="E45" s="382" t="s">
        <v>395</v>
      </c>
      <c r="F45" s="327"/>
      <c r="G45" s="322"/>
      <c r="H45" s="322"/>
      <c r="I45" s="322"/>
      <c r="J45" s="322"/>
      <c r="K45" s="323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s="200" customFormat="1" ht="17.100000000000001" customHeight="1" thickBot="1">
      <c r="A46" s="328" t="s">
        <v>351</v>
      </c>
      <c r="B46" s="608"/>
      <c r="C46" s="609"/>
      <c r="D46" s="329" t="s">
        <v>351</v>
      </c>
      <c r="E46" s="330">
        <v>40954</v>
      </c>
      <c r="F46" s="331"/>
      <c r="G46" s="332" t="s">
        <v>396</v>
      </c>
      <c r="H46" s="332"/>
      <c r="I46" s="332"/>
      <c r="J46" s="332"/>
      <c r="K46" s="333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s="200" customFormat="1" ht="17.100000000000001" customHeight="1">
      <c r="F47" s="334"/>
      <c r="G47" s="196" t="s">
        <v>717</v>
      </c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</row>
    <row r="48" spans="1:26" s="200" customFormat="1" ht="17.100000000000001" customHeight="1">
      <c r="F48" s="196"/>
      <c r="G48" s="196"/>
      <c r="H48" s="196"/>
      <c r="I48" s="196"/>
      <c r="J48" s="196"/>
      <c r="K48" s="196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7"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A7:C7"/>
    <mergeCell ref="D7:E7"/>
    <mergeCell ref="A8:C8"/>
    <mergeCell ref="D8:E8"/>
    <mergeCell ref="A9:C9"/>
    <mergeCell ref="D9:E9"/>
    <mergeCell ref="A1:K1"/>
    <mergeCell ref="A2:K2"/>
    <mergeCell ref="J3:K3"/>
    <mergeCell ref="A5:C5"/>
    <mergeCell ref="A6:C6"/>
    <mergeCell ref="D6:E6"/>
  </mergeCells>
  <dataValidations count="3">
    <dataValidation type="list" allowBlank="1" showErrorMessage="1" error="Choose from list!" sqref="D21" xr:uid="{00000000-0002-0000-0100-000000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1000000}">
      <formula1>$Q$5:$Q$12</formula1>
    </dataValidation>
    <dataValidation type="list" allowBlank="1" showInputMessage="1" sqref="D6:E6" xr:uid="{00000000-0002-0000-0100-000002000000}">
      <formula1>$T$5:$T$10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>
      <selection activeCell="K4" sqref="K4"/>
    </sheetView>
  </sheetViews>
  <sheetFormatPr defaultColWidth="9.109375" defaultRowHeight="13.2"/>
  <cols>
    <col min="1" max="1" width="9.109375" style="340" customWidth="1"/>
    <col min="2" max="2" width="18.109375" style="340" customWidth="1"/>
    <col min="3" max="3" width="21.5546875" style="340" customWidth="1"/>
    <col min="4" max="4" width="21.33203125" style="340" bestFit="1" customWidth="1"/>
    <col min="5" max="5" width="6.88671875" style="340" bestFit="1" customWidth="1"/>
    <col min="6" max="6" width="29.88671875" style="340" customWidth="1"/>
    <col min="7" max="7" width="43.6640625" style="340" customWidth="1"/>
    <col min="8" max="8" width="17.109375" style="340" customWidth="1"/>
    <col min="9" max="9" width="7.88671875" style="340" customWidth="1"/>
    <col min="10" max="10" width="2.33203125" style="340" bestFit="1" customWidth="1"/>
    <col min="11" max="12" width="2.33203125" style="340" customWidth="1"/>
    <col min="13" max="13" width="2.5546875" style="340" bestFit="1" customWidth="1"/>
    <col min="14" max="14" width="2.33203125" style="340" bestFit="1" customWidth="1"/>
    <col min="15" max="16384" width="9.109375" style="340"/>
  </cols>
  <sheetData>
    <row r="1" spans="2:14" ht="12.75" customHeight="1">
      <c r="B1" s="335"/>
      <c r="C1" s="336"/>
      <c r="D1" s="336"/>
      <c r="E1" s="336"/>
      <c r="F1" s="336"/>
      <c r="G1" s="336"/>
      <c r="H1" s="337"/>
      <c r="I1" s="338"/>
      <c r="J1" s="339" t="s">
        <v>352</v>
      </c>
      <c r="K1" s="339" t="s">
        <v>353</v>
      </c>
      <c r="L1" s="339" t="s">
        <v>354</v>
      </c>
      <c r="M1" s="339" t="s">
        <v>353</v>
      </c>
      <c r="N1" s="339"/>
    </row>
    <row r="2" spans="2:14" ht="12.75" customHeight="1">
      <c r="B2" s="630" t="s">
        <v>355</v>
      </c>
      <c r="C2" s="631"/>
      <c r="D2" s="631"/>
      <c r="E2" s="631"/>
      <c r="F2" s="631"/>
      <c r="G2" s="631"/>
      <c r="H2" s="343"/>
      <c r="I2" s="344"/>
      <c r="J2" s="345" t="s">
        <v>356</v>
      </c>
      <c r="K2" s="345" t="s">
        <v>357</v>
      </c>
      <c r="L2" s="345" t="s">
        <v>358</v>
      </c>
      <c r="M2" s="345" t="s">
        <v>359</v>
      </c>
      <c r="N2" s="345" t="s">
        <v>360</v>
      </c>
    </row>
    <row r="3" spans="2:14" ht="12.75" customHeight="1">
      <c r="B3" s="630"/>
      <c r="C3" s="631"/>
      <c r="D3" s="631"/>
      <c r="E3" s="631"/>
      <c r="F3" s="631"/>
      <c r="G3" s="631"/>
      <c r="H3" s="343"/>
      <c r="I3" s="344"/>
      <c r="J3" s="345" t="s">
        <v>361</v>
      </c>
      <c r="K3" s="345"/>
      <c r="L3" s="345" t="s">
        <v>362</v>
      </c>
      <c r="M3" s="345" t="s">
        <v>352</v>
      </c>
      <c r="N3" s="345"/>
    </row>
    <row r="4" spans="2:14" ht="12.75" customHeight="1">
      <c r="B4" s="630"/>
      <c r="C4" s="631"/>
      <c r="D4" s="631"/>
      <c r="E4" s="631"/>
      <c r="F4" s="631"/>
      <c r="G4" s="631"/>
      <c r="H4" s="343"/>
      <c r="I4" s="344"/>
      <c r="J4" s="345" t="s">
        <v>363</v>
      </c>
      <c r="K4" s="345"/>
      <c r="L4" s="345" t="s">
        <v>358</v>
      </c>
      <c r="M4" s="345" t="s">
        <v>356</v>
      </c>
      <c r="N4" s="345"/>
    </row>
    <row r="5" spans="2:14" ht="12.75" customHeight="1">
      <c r="B5" s="341"/>
      <c r="C5" s="342"/>
      <c r="D5" s="342"/>
      <c r="E5" s="342"/>
      <c r="F5" s="342"/>
      <c r="G5" s="342"/>
      <c r="H5" s="343"/>
      <c r="I5" s="344"/>
      <c r="J5" s="345"/>
      <c r="K5" s="345" t="s">
        <v>364</v>
      </c>
      <c r="L5" s="345" t="s">
        <v>353</v>
      </c>
      <c r="M5" s="345"/>
      <c r="N5" s="345" t="s">
        <v>358</v>
      </c>
    </row>
    <row r="6" spans="2:14" ht="12" customHeight="1">
      <c r="B6" s="346"/>
      <c r="C6" s="347"/>
      <c r="D6" s="347"/>
      <c r="F6" s="347"/>
      <c r="H6" s="348"/>
      <c r="I6" s="344"/>
      <c r="J6" s="345" t="s">
        <v>357</v>
      </c>
      <c r="K6" s="345" t="s">
        <v>365</v>
      </c>
      <c r="L6" s="345"/>
      <c r="M6" s="345" t="s">
        <v>353</v>
      </c>
      <c r="N6" s="345" t="s">
        <v>366</v>
      </c>
    </row>
    <row r="7" spans="2:14" ht="12.75" customHeight="1">
      <c r="B7" s="346"/>
      <c r="D7" s="349"/>
      <c r="H7" s="348"/>
      <c r="I7" s="344"/>
      <c r="J7" s="345" t="s">
        <v>183</v>
      </c>
      <c r="K7" s="345" t="s">
        <v>361</v>
      </c>
      <c r="L7" s="345" t="s">
        <v>361</v>
      </c>
      <c r="M7" s="345" t="s">
        <v>356</v>
      </c>
      <c r="N7" s="345" t="s">
        <v>367</v>
      </c>
    </row>
    <row r="8" spans="2:14" ht="12.75" customHeight="1">
      <c r="B8" s="346"/>
      <c r="G8" s="349"/>
      <c r="H8" s="350"/>
      <c r="I8" s="345" t="s">
        <v>367</v>
      </c>
      <c r="J8" s="345" t="s">
        <v>353</v>
      </c>
      <c r="K8" s="345" t="s">
        <v>368</v>
      </c>
      <c r="L8" s="345" t="s">
        <v>356</v>
      </c>
      <c r="M8" s="345" t="s">
        <v>367</v>
      </c>
      <c r="N8" s="345" t="s">
        <v>365</v>
      </c>
    </row>
    <row r="9" spans="2:14">
      <c r="B9" s="345" t="s">
        <v>369</v>
      </c>
      <c r="C9" s="350" t="s">
        <v>370</v>
      </c>
      <c r="D9" s="350" t="s">
        <v>371</v>
      </c>
      <c r="E9" s="350" t="s">
        <v>372</v>
      </c>
      <c r="F9" s="345" t="s">
        <v>373</v>
      </c>
      <c r="G9" s="345" t="s">
        <v>374</v>
      </c>
      <c r="H9" s="345" t="s">
        <v>375</v>
      </c>
      <c r="I9" s="345" t="s">
        <v>363</v>
      </c>
      <c r="J9" s="345" t="s">
        <v>183</v>
      </c>
      <c r="K9" s="345" t="s">
        <v>356</v>
      </c>
      <c r="L9" s="345" t="s">
        <v>368</v>
      </c>
      <c r="M9" s="345" t="s">
        <v>353</v>
      </c>
      <c r="N9" s="345" t="s">
        <v>354</v>
      </c>
    </row>
    <row r="10" spans="2:14" ht="15" customHeight="1">
      <c r="B10" s="351"/>
      <c r="C10" s="352"/>
      <c r="D10" s="352"/>
      <c r="E10" s="352"/>
      <c r="F10" s="353"/>
      <c r="G10" s="354"/>
      <c r="H10" s="354"/>
      <c r="I10" s="355"/>
      <c r="J10" s="356"/>
      <c r="K10" s="356"/>
      <c r="L10" s="356"/>
      <c r="M10" s="356"/>
      <c r="N10" s="357"/>
    </row>
    <row r="11" spans="2:14" ht="15" customHeight="1">
      <c r="B11" s="351"/>
      <c r="C11" s="353"/>
      <c r="D11" s="353"/>
      <c r="E11" s="353"/>
      <c r="F11" s="353"/>
      <c r="G11" s="353"/>
      <c r="H11" s="353"/>
      <c r="I11" s="358"/>
      <c r="J11" s="356"/>
      <c r="K11" s="356"/>
      <c r="L11" s="356"/>
      <c r="M11" s="356"/>
      <c r="N11" s="357"/>
    </row>
    <row r="12" spans="2:14" ht="15" customHeight="1">
      <c r="B12" s="351"/>
      <c r="C12" s="353"/>
      <c r="D12" s="353"/>
      <c r="E12" s="353"/>
      <c r="F12" s="353"/>
      <c r="G12" s="353"/>
      <c r="H12" s="353"/>
      <c r="I12" s="358"/>
      <c r="J12" s="359"/>
      <c r="K12" s="356"/>
      <c r="L12" s="356"/>
      <c r="M12" s="356"/>
      <c r="N12" s="357"/>
    </row>
    <row r="13" spans="2:14" ht="15" customHeight="1">
      <c r="B13" s="351"/>
      <c r="C13" s="353"/>
      <c r="D13" s="353"/>
      <c r="E13" s="353"/>
      <c r="F13" s="353"/>
      <c r="G13" s="353"/>
      <c r="H13" s="353"/>
      <c r="I13" s="358"/>
      <c r="J13" s="356"/>
      <c r="K13" s="356"/>
      <c r="L13" s="356"/>
      <c r="M13" s="356"/>
      <c r="N13" s="357"/>
    </row>
    <row r="14" spans="2:14" ht="15" customHeight="1">
      <c r="B14" s="351"/>
      <c r="C14" s="353"/>
      <c r="D14" s="353"/>
      <c r="E14" s="353"/>
      <c r="F14" s="353"/>
      <c r="G14" s="353"/>
      <c r="H14" s="353"/>
      <c r="I14" s="358"/>
      <c r="J14" s="356"/>
      <c r="K14" s="356"/>
      <c r="L14" s="356"/>
      <c r="M14" s="356"/>
      <c r="N14" s="357"/>
    </row>
    <row r="15" spans="2:14" ht="15" customHeight="1">
      <c r="B15" s="351"/>
      <c r="C15" s="353"/>
      <c r="D15" s="353"/>
      <c r="E15" s="353"/>
      <c r="F15" s="353"/>
      <c r="G15" s="353"/>
      <c r="H15" s="353"/>
      <c r="I15" s="358"/>
      <c r="J15" s="356"/>
      <c r="K15" s="356"/>
      <c r="L15" s="356"/>
      <c r="M15" s="356"/>
      <c r="N15" s="357"/>
    </row>
    <row r="16" spans="2:14" ht="15" customHeight="1">
      <c r="B16" s="351"/>
      <c r="C16" s="353"/>
      <c r="D16" s="353"/>
      <c r="E16" s="353"/>
      <c r="F16" s="353"/>
      <c r="G16" s="353"/>
      <c r="H16" s="353"/>
      <c r="I16" s="358"/>
      <c r="J16" s="356"/>
      <c r="K16" s="356"/>
      <c r="L16" s="356"/>
      <c r="M16" s="356"/>
      <c r="N16" s="357"/>
    </row>
    <row r="17" spans="2:14" ht="15" customHeight="1">
      <c r="B17" s="351"/>
      <c r="C17" s="353"/>
      <c r="D17" s="353"/>
      <c r="E17" s="353"/>
      <c r="F17" s="353"/>
      <c r="G17" s="353"/>
      <c r="H17" s="353"/>
      <c r="I17" s="358"/>
      <c r="J17" s="356"/>
      <c r="K17" s="356"/>
      <c r="L17" s="356"/>
      <c r="M17" s="356"/>
      <c r="N17" s="357"/>
    </row>
    <row r="18" spans="2:14" ht="15" customHeight="1">
      <c r="B18" s="351"/>
      <c r="C18" s="353"/>
      <c r="D18" s="353"/>
      <c r="E18" s="353"/>
      <c r="F18" s="353"/>
      <c r="G18" s="353"/>
      <c r="H18" s="353"/>
      <c r="I18" s="358"/>
      <c r="J18" s="356"/>
      <c r="K18" s="356"/>
      <c r="L18" s="356"/>
      <c r="M18" s="356"/>
      <c r="N18" s="357"/>
    </row>
    <row r="19" spans="2:14" ht="15" customHeight="1">
      <c r="B19" s="351"/>
      <c r="C19" s="353"/>
      <c r="D19" s="353"/>
      <c r="E19" s="353"/>
      <c r="F19" s="353"/>
      <c r="G19" s="353"/>
      <c r="H19" s="353"/>
      <c r="I19" s="358"/>
      <c r="J19" s="356"/>
      <c r="K19" s="356"/>
      <c r="L19" s="356"/>
      <c r="M19" s="356"/>
      <c r="N19" s="357"/>
    </row>
    <row r="20" spans="2:14" ht="15" customHeight="1">
      <c r="B20" s="351"/>
      <c r="C20" s="353"/>
      <c r="D20" s="353"/>
      <c r="E20" s="353"/>
      <c r="F20" s="353"/>
      <c r="G20" s="353"/>
      <c r="H20" s="353"/>
      <c r="I20" s="358"/>
      <c r="J20" s="356"/>
      <c r="K20" s="356"/>
      <c r="L20" s="356"/>
      <c r="M20" s="356"/>
      <c r="N20" s="357"/>
    </row>
    <row r="21" spans="2:14" ht="15" customHeight="1">
      <c r="B21" s="351"/>
      <c r="C21" s="353"/>
      <c r="D21" s="353"/>
      <c r="E21" s="353"/>
      <c r="F21" s="353"/>
      <c r="G21" s="353"/>
      <c r="H21" s="353"/>
      <c r="I21" s="358"/>
      <c r="J21" s="356"/>
      <c r="K21" s="356"/>
      <c r="L21" s="356"/>
      <c r="M21" s="356"/>
      <c r="N21" s="357"/>
    </row>
    <row r="22" spans="2:14" ht="15" customHeight="1">
      <c r="B22" s="351"/>
      <c r="C22" s="353"/>
      <c r="D22" s="353"/>
      <c r="E22" s="353"/>
      <c r="F22" s="353"/>
      <c r="G22" s="353"/>
      <c r="H22" s="353"/>
      <c r="I22" s="358"/>
      <c r="J22" s="356"/>
      <c r="K22" s="356"/>
      <c r="L22" s="356"/>
      <c r="M22" s="356"/>
      <c r="N22" s="357"/>
    </row>
    <row r="23" spans="2:14" ht="15" customHeight="1">
      <c r="B23" s="351"/>
      <c r="C23" s="353"/>
      <c r="D23" s="353"/>
      <c r="E23" s="353"/>
      <c r="F23" s="353"/>
      <c r="G23" s="353"/>
      <c r="H23" s="353"/>
      <c r="I23" s="358"/>
      <c r="J23" s="356"/>
      <c r="K23" s="356"/>
      <c r="L23" s="356"/>
      <c r="M23" s="356"/>
      <c r="N23" s="357"/>
    </row>
    <row r="24" spans="2:14" ht="15" customHeight="1">
      <c r="B24" s="351"/>
      <c r="C24" s="353"/>
      <c r="D24" s="353"/>
      <c r="E24" s="353"/>
      <c r="F24" s="353"/>
      <c r="G24" s="353"/>
      <c r="H24" s="353"/>
      <c r="I24" s="358"/>
      <c r="J24" s="356"/>
      <c r="K24" s="356"/>
      <c r="L24" s="356"/>
      <c r="M24" s="356"/>
      <c r="N24" s="357"/>
    </row>
    <row r="25" spans="2:14" ht="15" customHeight="1">
      <c r="B25" s="351"/>
      <c r="C25" s="353"/>
      <c r="D25" s="353"/>
      <c r="E25" s="353"/>
      <c r="F25" s="353"/>
      <c r="G25" s="353"/>
      <c r="H25" s="353"/>
      <c r="I25" s="358"/>
      <c r="J25" s="356"/>
      <c r="K25" s="356"/>
      <c r="L25" s="356"/>
      <c r="M25" s="356"/>
      <c r="N25" s="357"/>
    </row>
    <row r="26" spans="2:14" ht="15" customHeight="1">
      <c r="B26" s="351"/>
      <c r="C26" s="353"/>
      <c r="D26" s="353"/>
      <c r="E26" s="353"/>
      <c r="F26" s="353"/>
      <c r="G26" s="353"/>
      <c r="H26" s="353"/>
      <c r="I26" s="358"/>
      <c r="J26" s="356"/>
      <c r="K26" s="356"/>
      <c r="L26" s="356"/>
      <c r="M26" s="356"/>
      <c r="N26" s="357"/>
    </row>
    <row r="27" spans="2:14" ht="15" customHeight="1">
      <c r="B27" s="351"/>
      <c r="C27" s="353"/>
      <c r="D27" s="353"/>
      <c r="E27" s="353"/>
      <c r="F27" s="353"/>
      <c r="G27" s="353"/>
      <c r="H27" s="353"/>
      <c r="I27" s="358"/>
      <c r="J27" s="356"/>
      <c r="K27" s="356"/>
      <c r="L27" s="356"/>
      <c r="M27" s="356"/>
      <c r="N27" s="357"/>
    </row>
    <row r="28" spans="2:14" ht="15" customHeight="1">
      <c r="B28" s="351"/>
      <c r="C28" s="353"/>
      <c r="D28" s="353"/>
      <c r="E28" s="353"/>
      <c r="F28" s="353"/>
      <c r="G28" s="353"/>
      <c r="H28" s="353"/>
      <c r="I28" s="358"/>
      <c r="J28" s="356"/>
      <c r="K28" s="356"/>
      <c r="L28" s="356"/>
      <c r="M28" s="356"/>
      <c r="N28" s="357"/>
    </row>
    <row r="29" spans="2:14" ht="15" customHeight="1">
      <c r="B29" s="351"/>
      <c r="C29" s="353"/>
      <c r="D29" s="353"/>
      <c r="E29" s="353"/>
      <c r="F29" s="353"/>
      <c r="G29" s="353"/>
      <c r="H29" s="353"/>
      <c r="I29" s="358"/>
      <c r="J29" s="356"/>
      <c r="K29" s="356"/>
      <c r="L29" s="356"/>
      <c r="M29" s="356"/>
      <c r="N29" s="357"/>
    </row>
    <row r="30" spans="2:14" ht="15" customHeight="1">
      <c r="B30" s="351"/>
      <c r="C30" s="353"/>
      <c r="D30" s="353"/>
      <c r="E30" s="353"/>
      <c r="F30" s="353"/>
      <c r="G30" s="353"/>
      <c r="H30" s="353"/>
      <c r="I30" s="358"/>
      <c r="J30" s="356"/>
      <c r="K30" s="356"/>
      <c r="L30" s="356"/>
      <c r="M30" s="356"/>
      <c r="N30" s="357"/>
    </row>
    <row r="31" spans="2:14" ht="15" customHeight="1">
      <c r="B31" s="351"/>
      <c r="C31" s="353"/>
      <c r="D31" s="353"/>
      <c r="E31" s="353"/>
      <c r="F31" s="353"/>
      <c r="G31" s="353"/>
      <c r="H31" s="353"/>
      <c r="I31" s="358"/>
      <c r="J31" s="356"/>
      <c r="K31" s="356"/>
      <c r="L31" s="356"/>
      <c r="M31" s="356"/>
      <c r="N31" s="357"/>
    </row>
    <row r="32" spans="2:14" ht="15" customHeight="1">
      <c r="B32" s="351"/>
      <c r="C32" s="353"/>
      <c r="D32" s="353"/>
      <c r="E32" s="353"/>
      <c r="F32" s="353"/>
      <c r="G32" s="353"/>
      <c r="H32" s="353"/>
      <c r="I32" s="358"/>
      <c r="J32" s="356"/>
      <c r="K32" s="356"/>
      <c r="L32" s="356"/>
      <c r="M32" s="356"/>
      <c r="N32" s="357"/>
    </row>
    <row r="33" spans="2:14" ht="15" customHeight="1">
      <c r="B33" s="351"/>
      <c r="C33" s="353"/>
      <c r="D33" s="353"/>
      <c r="E33" s="353"/>
      <c r="F33" s="353"/>
      <c r="G33" s="353"/>
      <c r="H33" s="353"/>
      <c r="I33" s="358"/>
      <c r="J33" s="356"/>
      <c r="K33" s="356"/>
      <c r="L33" s="356"/>
      <c r="M33" s="356"/>
      <c r="N33" s="357"/>
    </row>
    <row r="34" spans="2:14" ht="15" customHeight="1">
      <c r="B34" s="351"/>
      <c r="C34" s="353"/>
      <c r="D34" s="353"/>
      <c r="E34" s="353"/>
      <c r="F34" s="353"/>
      <c r="G34" s="353"/>
      <c r="H34" s="353"/>
      <c r="I34" s="358"/>
      <c r="J34" s="356"/>
      <c r="K34" s="356"/>
      <c r="L34" s="356"/>
      <c r="M34" s="356"/>
      <c r="N34" s="357"/>
    </row>
    <row r="35" spans="2:14" ht="15" customHeight="1">
      <c r="B35" s="351"/>
      <c r="C35" s="353"/>
      <c r="D35" s="353"/>
      <c r="E35" s="353"/>
      <c r="F35" s="353"/>
      <c r="G35" s="353"/>
      <c r="H35" s="353"/>
      <c r="I35" s="358"/>
      <c r="J35" s="356"/>
      <c r="K35" s="356"/>
      <c r="L35" s="356"/>
      <c r="M35" s="356"/>
      <c r="N35" s="357"/>
    </row>
    <row r="36" spans="2:14" ht="15" customHeight="1">
      <c r="B36" s="351"/>
      <c r="C36" s="353"/>
      <c r="D36" s="353"/>
      <c r="E36" s="353"/>
      <c r="F36" s="353"/>
      <c r="G36" s="353"/>
      <c r="H36" s="353"/>
      <c r="I36" s="358"/>
      <c r="J36" s="356"/>
      <c r="K36" s="356"/>
      <c r="L36" s="356"/>
      <c r="M36" s="356"/>
      <c r="N36" s="357"/>
    </row>
    <row r="37" spans="2:14" ht="15" customHeight="1">
      <c r="B37" s="351"/>
      <c r="C37" s="353"/>
      <c r="D37" s="353"/>
      <c r="E37" s="353"/>
      <c r="F37" s="353"/>
      <c r="G37" s="353"/>
      <c r="H37" s="353"/>
      <c r="I37" s="358"/>
      <c r="J37" s="356"/>
      <c r="K37" s="356"/>
      <c r="L37" s="356"/>
      <c r="M37" s="356"/>
      <c r="N37" s="357"/>
    </row>
    <row r="38" spans="2:14" ht="15" customHeight="1">
      <c r="B38" s="351"/>
      <c r="C38" s="353"/>
      <c r="D38" s="353"/>
      <c r="E38" s="353"/>
      <c r="F38" s="353"/>
      <c r="G38" s="353"/>
      <c r="H38" s="353"/>
      <c r="I38" s="358"/>
      <c r="J38" s="356"/>
      <c r="K38" s="356"/>
      <c r="L38" s="356"/>
      <c r="M38" s="356"/>
      <c r="N38" s="357"/>
    </row>
    <row r="39" spans="2:14" ht="15" customHeight="1">
      <c r="B39" s="351"/>
      <c r="C39" s="353"/>
      <c r="D39" s="353"/>
      <c r="E39" s="353"/>
      <c r="F39" s="353"/>
      <c r="G39" s="353"/>
      <c r="H39" s="353"/>
      <c r="I39" s="358"/>
      <c r="J39" s="356"/>
      <c r="K39" s="356"/>
      <c r="L39" s="356"/>
      <c r="M39" s="356"/>
      <c r="N39" s="357"/>
    </row>
    <row r="40" spans="2:14" ht="15" customHeight="1">
      <c r="B40" s="351"/>
      <c r="C40" s="353"/>
      <c r="D40" s="353"/>
      <c r="E40" s="353"/>
      <c r="F40" s="353"/>
      <c r="G40" s="353"/>
      <c r="H40" s="353"/>
      <c r="I40" s="358"/>
      <c r="J40" s="356"/>
      <c r="K40" s="356"/>
      <c r="L40" s="356"/>
      <c r="M40" s="356"/>
      <c r="N40" s="357"/>
    </row>
    <row r="41" spans="2:14" ht="15" customHeight="1">
      <c r="B41" s="351"/>
      <c r="C41" s="353"/>
      <c r="D41" s="353"/>
      <c r="E41" s="353"/>
      <c r="F41" s="353"/>
      <c r="G41" s="353"/>
      <c r="H41" s="353"/>
      <c r="I41" s="358"/>
      <c r="J41" s="356"/>
      <c r="K41" s="356"/>
      <c r="L41" s="356"/>
      <c r="M41" s="356"/>
      <c r="N41" s="357"/>
    </row>
    <row r="42" spans="2:14" ht="15" customHeight="1">
      <c r="B42" s="351"/>
      <c r="C42" s="353"/>
      <c r="D42" s="353"/>
      <c r="E42" s="353"/>
      <c r="F42" s="353"/>
      <c r="G42" s="353"/>
      <c r="H42" s="353"/>
      <c r="I42" s="358"/>
      <c r="J42" s="356"/>
      <c r="K42" s="356"/>
      <c r="L42" s="356"/>
      <c r="M42" s="356"/>
      <c r="N42" s="357"/>
    </row>
    <row r="43" spans="2:14" ht="15" customHeight="1">
      <c r="B43" s="351"/>
      <c r="C43" s="353"/>
      <c r="D43" s="353"/>
      <c r="E43" s="353"/>
      <c r="F43" s="353"/>
      <c r="G43" s="353"/>
      <c r="H43" s="353"/>
      <c r="I43" s="358"/>
      <c r="J43" s="356"/>
      <c r="K43" s="356"/>
      <c r="L43" s="356"/>
      <c r="M43" s="356"/>
      <c r="N43" s="357"/>
    </row>
    <row r="44" spans="2:14" ht="15" customHeight="1">
      <c r="B44" s="351"/>
      <c r="C44" s="353"/>
      <c r="D44" s="353"/>
      <c r="E44" s="353"/>
      <c r="F44" s="353"/>
      <c r="G44" s="353"/>
      <c r="H44" s="353"/>
      <c r="I44" s="358"/>
      <c r="J44" s="356"/>
      <c r="K44" s="356"/>
      <c r="L44" s="356"/>
      <c r="M44" s="356"/>
      <c r="N44" s="357"/>
    </row>
    <row r="45" spans="2:14" ht="15" customHeight="1">
      <c r="B45" s="351"/>
      <c r="C45" s="353"/>
      <c r="D45" s="353"/>
      <c r="E45" s="353"/>
      <c r="F45" s="353"/>
      <c r="G45" s="353"/>
      <c r="H45" s="353"/>
      <c r="I45" s="358"/>
      <c r="J45" s="356"/>
      <c r="K45" s="356"/>
      <c r="L45" s="356"/>
      <c r="M45" s="356"/>
      <c r="N45" s="357"/>
    </row>
    <row r="46" spans="2:14" ht="15" customHeight="1">
      <c r="B46" s="351"/>
      <c r="C46" s="353"/>
      <c r="D46" s="353"/>
      <c r="E46" s="353"/>
      <c r="F46" s="353"/>
      <c r="G46" s="353"/>
      <c r="H46" s="353"/>
      <c r="I46" s="358"/>
      <c r="J46" s="356"/>
      <c r="K46" s="356"/>
      <c r="L46" s="356"/>
      <c r="M46" s="356"/>
      <c r="N46" s="357"/>
    </row>
    <row r="47" spans="2:14" ht="15" customHeight="1">
      <c r="B47" s="351"/>
      <c r="C47" s="353"/>
      <c r="D47" s="353"/>
      <c r="E47" s="353"/>
      <c r="F47" s="353"/>
      <c r="G47" s="353"/>
      <c r="H47" s="353"/>
      <c r="I47" s="358"/>
      <c r="J47" s="356"/>
      <c r="K47" s="356"/>
      <c r="L47" s="356"/>
      <c r="M47" s="356"/>
      <c r="N47" s="357"/>
    </row>
    <row r="48" spans="2:14" ht="15" customHeight="1">
      <c r="B48" s="351"/>
      <c r="C48" s="353"/>
      <c r="D48" s="353"/>
      <c r="E48" s="353"/>
      <c r="F48" s="353"/>
      <c r="G48" s="353"/>
      <c r="H48" s="353"/>
      <c r="I48" s="358"/>
      <c r="J48" s="356"/>
      <c r="K48" s="356"/>
      <c r="L48" s="356"/>
      <c r="M48" s="356"/>
      <c r="N48" s="357"/>
    </row>
    <row r="49" spans="2:14" ht="15" customHeight="1">
      <c r="B49" s="351"/>
      <c r="C49" s="353"/>
      <c r="D49" s="353"/>
      <c r="E49" s="353"/>
      <c r="F49" s="353"/>
      <c r="G49" s="353"/>
      <c r="H49" s="353"/>
      <c r="I49" s="358"/>
      <c r="J49" s="356"/>
      <c r="K49" s="356"/>
      <c r="L49" s="356"/>
      <c r="M49" s="356"/>
      <c r="N49" s="357"/>
    </row>
    <row r="50" spans="2:14" ht="15" customHeight="1">
      <c r="B50" s="351"/>
      <c r="C50" s="353"/>
      <c r="D50" s="353"/>
      <c r="E50" s="353"/>
      <c r="F50" s="353"/>
      <c r="G50" s="353"/>
      <c r="H50" s="353"/>
      <c r="I50" s="358"/>
      <c r="J50" s="356"/>
      <c r="K50" s="356"/>
      <c r="L50" s="356"/>
      <c r="M50" s="356"/>
      <c r="N50" s="357"/>
    </row>
    <row r="51" spans="2:14" ht="15" customHeight="1">
      <c r="B51" s="351"/>
      <c r="C51" s="353"/>
      <c r="D51" s="353"/>
      <c r="E51" s="353"/>
      <c r="F51" s="353"/>
      <c r="G51" s="353"/>
      <c r="H51" s="353"/>
      <c r="I51" s="358"/>
      <c r="J51" s="356"/>
      <c r="K51" s="356"/>
      <c r="L51" s="356"/>
      <c r="M51" s="356"/>
      <c r="N51" s="357"/>
    </row>
    <row r="52" spans="2:14" ht="15" customHeight="1" thickBot="1">
      <c r="B52" s="360"/>
      <c r="C52" s="361"/>
      <c r="D52" s="361"/>
      <c r="E52" s="361"/>
      <c r="F52" s="361"/>
      <c r="G52" s="361"/>
      <c r="H52" s="361"/>
      <c r="I52" s="362"/>
      <c r="J52" s="363"/>
      <c r="K52" s="363"/>
      <c r="L52" s="363"/>
      <c r="M52" s="363"/>
      <c r="N52" s="364"/>
    </row>
    <row r="53" spans="2:14" ht="20.25" customHeight="1" thickBot="1">
      <c r="B53" s="632" t="s">
        <v>376</v>
      </c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</row>
    <row r="54" spans="2:14" ht="15" customHeight="1" thickBot="1">
      <c r="B54" s="365" t="s">
        <v>377</v>
      </c>
      <c r="C54" s="633" t="s">
        <v>374</v>
      </c>
      <c r="D54" s="634"/>
      <c r="E54" s="634"/>
      <c r="F54" s="634"/>
      <c r="G54" s="634"/>
      <c r="H54" s="366"/>
      <c r="I54" s="633" t="s">
        <v>369</v>
      </c>
      <c r="J54" s="634"/>
      <c r="K54" s="635"/>
      <c r="L54" s="633" t="s">
        <v>378</v>
      </c>
      <c r="M54" s="634"/>
      <c r="N54" s="636"/>
    </row>
    <row r="55" spans="2:14" ht="15" customHeight="1">
      <c r="B55" s="367"/>
      <c r="C55" s="622"/>
      <c r="D55" s="623"/>
      <c r="E55" s="623"/>
      <c r="F55" s="623"/>
      <c r="G55" s="623"/>
      <c r="H55" s="368"/>
      <c r="I55" s="624"/>
      <c r="J55" s="625"/>
      <c r="K55" s="626"/>
      <c r="L55" s="627"/>
      <c r="M55" s="628"/>
      <c r="N55" s="629"/>
    </row>
    <row r="56" spans="2:14" ht="15" customHeight="1">
      <c r="B56" s="369"/>
      <c r="C56" s="637"/>
      <c r="D56" s="638"/>
      <c r="E56" s="638"/>
      <c r="F56" s="638"/>
      <c r="G56" s="638"/>
      <c r="H56" s="370"/>
      <c r="I56" s="639"/>
      <c r="J56" s="640"/>
      <c r="K56" s="641"/>
      <c r="L56" s="642"/>
      <c r="M56" s="643"/>
      <c r="N56" s="644"/>
    </row>
    <row r="57" spans="2:14" ht="15" customHeight="1">
      <c r="B57" s="369"/>
      <c r="C57" s="637"/>
      <c r="D57" s="638"/>
      <c r="E57" s="638"/>
      <c r="F57" s="638"/>
      <c r="G57" s="638"/>
      <c r="H57" s="370"/>
      <c r="I57" s="639"/>
      <c r="J57" s="640"/>
      <c r="K57" s="641"/>
      <c r="L57" s="642"/>
      <c r="M57" s="643"/>
      <c r="N57" s="644"/>
    </row>
    <row r="58" spans="2:14" ht="15" customHeight="1">
      <c r="B58" s="369"/>
      <c r="C58" s="637"/>
      <c r="D58" s="638"/>
      <c r="E58" s="638"/>
      <c r="F58" s="638"/>
      <c r="G58" s="638"/>
      <c r="H58" s="370"/>
      <c r="I58" s="639"/>
      <c r="J58" s="640"/>
      <c r="K58" s="641"/>
      <c r="L58" s="642"/>
      <c r="M58" s="643"/>
      <c r="N58" s="644"/>
    </row>
    <row r="59" spans="2:14" ht="15" customHeight="1">
      <c r="B59" s="369"/>
      <c r="C59" s="637"/>
      <c r="D59" s="638"/>
      <c r="E59" s="638"/>
      <c r="F59" s="638"/>
      <c r="G59" s="638"/>
      <c r="H59" s="370"/>
      <c r="I59" s="639"/>
      <c r="J59" s="640"/>
      <c r="K59" s="641"/>
      <c r="L59" s="642"/>
      <c r="M59" s="643"/>
      <c r="N59" s="644"/>
    </row>
    <row r="60" spans="2:14" ht="15" customHeight="1">
      <c r="B60" s="369"/>
      <c r="C60" s="637"/>
      <c r="D60" s="638"/>
      <c r="E60" s="638"/>
      <c r="F60" s="638"/>
      <c r="G60" s="638"/>
      <c r="H60" s="370"/>
      <c r="I60" s="639"/>
      <c r="J60" s="640"/>
      <c r="K60" s="641"/>
      <c r="L60" s="642"/>
      <c r="M60" s="643"/>
      <c r="N60" s="644"/>
    </row>
    <row r="61" spans="2:14" ht="15" customHeight="1">
      <c r="B61" s="369"/>
      <c r="C61" s="637"/>
      <c r="D61" s="638"/>
      <c r="E61" s="638"/>
      <c r="F61" s="638"/>
      <c r="G61" s="638"/>
      <c r="H61" s="370"/>
      <c r="I61" s="639"/>
      <c r="J61" s="640"/>
      <c r="K61" s="641"/>
      <c r="L61" s="642"/>
      <c r="M61" s="643"/>
      <c r="N61" s="644"/>
    </row>
    <row r="62" spans="2:14" ht="15" customHeight="1">
      <c r="B62" s="369"/>
      <c r="C62" s="637"/>
      <c r="D62" s="638"/>
      <c r="E62" s="638"/>
      <c r="F62" s="638"/>
      <c r="G62" s="638"/>
      <c r="H62" s="370"/>
      <c r="I62" s="639"/>
      <c r="J62" s="640"/>
      <c r="K62" s="641"/>
      <c r="L62" s="642"/>
      <c r="M62" s="643"/>
      <c r="N62" s="644"/>
    </row>
    <row r="63" spans="2:14" ht="15" customHeight="1">
      <c r="B63" s="369"/>
      <c r="C63" s="637"/>
      <c r="D63" s="638"/>
      <c r="E63" s="638"/>
      <c r="F63" s="638"/>
      <c r="G63" s="638"/>
      <c r="H63" s="370"/>
      <c r="I63" s="639"/>
      <c r="J63" s="640"/>
      <c r="K63" s="641"/>
      <c r="L63" s="642"/>
      <c r="M63" s="643"/>
      <c r="N63" s="644"/>
    </row>
    <row r="64" spans="2:14" ht="15" customHeight="1">
      <c r="B64" s="369"/>
      <c r="C64" s="637"/>
      <c r="D64" s="638"/>
      <c r="E64" s="638"/>
      <c r="F64" s="638"/>
      <c r="G64" s="638"/>
      <c r="H64" s="370"/>
      <c r="I64" s="639"/>
      <c r="J64" s="640"/>
      <c r="K64" s="641"/>
      <c r="L64" s="642"/>
      <c r="M64" s="643"/>
      <c r="N64" s="644"/>
    </row>
    <row r="65" spans="2:14" ht="15" customHeight="1">
      <c r="B65" s="369"/>
      <c r="C65" s="637"/>
      <c r="D65" s="638"/>
      <c r="E65" s="638"/>
      <c r="F65" s="638"/>
      <c r="G65" s="638"/>
      <c r="H65" s="370"/>
      <c r="I65" s="639"/>
      <c r="J65" s="640"/>
      <c r="K65" s="641"/>
      <c r="L65" s="642"/>
      <c r="M65" s="643"/>
      <c r="N65" s="644"/>
    </row>
    <row r="66" spans="2:14" ht="15" customHeight="1">
      <c r="B66" s="369"/>
      <c r="C66" s="637"/>
      <c r="D66" s="638"/>
      <c r="E66" s="638"/>
      <c r="F66" s="638"/>
      <c r="G66" s="638"/>
      <c r="H66" s="370"/>
      <c r="I66" s="639"/>
      <c r="J66" s="640"/>
      <c r="K66" s="641"/>
      <c r="L66" s="642"/>
      <c r="M66" s="643"/>
      <c r="N66" s="644"/>
    </row>
    <row r="67" spans="2:14" ht="15" customHeight="1">
      <c r="B67" s="369"/>
      <c r="C67" s="637"/>
      <c r="D67" s="638"/>
      <c r="E67" s="638"/>
      <c r="F67" s="638"/>
      <c r="G67" s="638"/>
      <c r="H67" s="370"/>
      <c r="I67" s="639"/>
      <c r="J67" s="640"/>
      <c r="K67" s="641"/>
      <c r="L67" s="642"/>
      <c r="M67" s="643"/>
      <c r="N67" s="644"/>
    </row>
    <row r="68" spans="2:14" ht="15" customHeight="1">
      <c r="B68" s="369"/>
      <c r="C68" s="637"/>
      <c r="D68" s="638"/>
      <c r="E68" s="638"/>
      <c r="F68" s="638"/>
      <c r="G68" s="638"/>
      <c r="H68" s="370"/>
      <c r="I68" s="639"/>
      <c r="J68" s="640"/>
      <c r="K68" s="641"/>
      <c r="L68" s="642"/>
      <c r="M68" s="643"/>
      <c r="N68" s="644"/>
    </row>
    <row r="69" spans="2:14" ht="15" customHeight="1">
      <c r="B69" s="369"/>
      <c r="C69" s="637"/>
      <c r="D69" s="638"/>
      <c r="E69" s="638"/>
      <c r="F69" s="638"/>
      <c r="G69" s="638"/>
      <c r="H69" s="370"/>
      <c r="I69" s="639"/>
      <c r="J69" s="640"/>
      <c r="K69" s="641"/>
      <c r="L69" s="642"/>
      <c r="M69" s="643"/>
      <c r="N69" s="644"/>
    </row>
    <row r="70" spans="2:14" ht="15" customHeight="1">
      <c r="B70" s="369"/>
      <c r="C70" s="637"/>
      <c r="D70" s="638"/>
      <c r="E70" s="638"/>
      <c r="F70" s="638"/>
      <c r="G70" s="638"/>
      <c r="H70" s="370"/>
      <c r="I70" s="639"/>
      <c r="J70" s="640"/>
      <c r="K70" s="641"/>
      <c r="L70" s="642"/>
      <c r="M70" s="643"/>
      <c r="N70" s="644"/>
    </row>
    <row r="71" spans="2:14" ht="15" customHeight="1">
      <c r="B71" s="369"/>
      <c r="C71" s="637"/>
      <c r="D71" s="638"/>
      <c r="E71" s="638"/>
      <c r="F71" s="638"/>
      <c r="G71" s="638"/>
      <c r="H71" s="370"/>
      <c r="I71" s="639"/>
      <c r="J71" s="640"/>
      <c r="K71" s="641"/>
      <c r="L71" s="642"/>
      <c r="M71" s="643"/>
      <c r="N71" s="644"/>
    </row>
    <row r="72" spans="2:14">
      <c r="B72" s="369"/>
      <c r="C72" s="637"/>
      <c r="D72" s="638"/>
      <c r="E72" s="638"/>
      <c r="F72" s="638"/>
      <c r="G72" s="638"/>
      <c r="H72" s="370"/>
      <c r="I72" s="639"/>
      <c r="J72" s="640"/>
      <c r="K72" s="641"/>
      <c r="L72" s="642"/>
      <c r="M72" s="643"/>
      <c r="N72" s="644"/>
    </row>
    <row r="73" spans="2:14">
      <c r="B73" s="369"/>
      <c r="C73" s="637"/>
      <c r="D73" s="638"/>
      <c r="E73" s="638"/>
      <c r="F73" s="638"/>
      <c r="G73" s="638"/>
      <c r="H73" s="370"/>
      <c r="I73" s="639"/>
      <c r="J73" s="640"/>
      <c r="K73" s="641"/>
      <c r="L73" s="642"/>
      <c r="M73" s="643"/>
      <c r="N73" s="644"/>
    </row>
    <row r="74" spans="2:14">
      <c r="B74" s="369"/>
      <c r="C74" s="637"/>
      <c r="D74" s="638"/>
      <c r="E74" s="638"/>
      <c r="F74" s="638"/>
      <c r="G74" s="638"/>
      <c r="H74" s="370"/>
      <c r="I74" s="639"/>
      <c r="J74" s="640"/>
      <c r="K74" s="641"/>
      <c r="L74" s="642"/>
      <c r="M74" s="643"/>
      <c r="N74" s="644"/>
    </row>
    <row r="75" spans="2:14">
      <c r="B75" s="369"/>
      <c r="C75" s="637"/>
      <c r="D75" s="638"/>
      <c r="E75" s="638"/>
      <c r="F75" s="638"/>
      <c r="G75" s="638"/>
      <c r="H75" s="370"/>
      <c r="I75" s="639"/>
      <c r="J75" s="640"/>
      <c r="K75" s="641"/>
      <c r="L75" s="642"/>
      <c r="M75" s="643"/>
      <c r="N75" s="644"/>
    </row>
    <row r="76" spans="2:14">
      <c r="B76" s="369"/>
      <c r="C76" s="637"/>
      <c r="D76" s="638"/>
      <c r="E76" s="638"/>
      <c r="F76" s="638"/>
      <c r="G76" s="638"/>
      <c r="H76" s="370"/>
      <c r="I76" s="639"/>
      <c r="J76" s="640"/>
      <c r="K76" s="641"/>
      <c r="L76" s="642"/>
      <c r="M76" s="643"/>
      <c r="N76" s="644"/>
    </row>
    <row r="77" spans="2:14">
      <c r="B77" s="369"/>
      <c r="C77" s="637"/>
      <c r="D77" s="638"/>
      <c r="E77" s="638"/>
      <c r="F77" s="638"/>
      <c r="G77" s="638"/>
      <c r="H77" s="370"/>
      <c r="I77" s="639"/>
      <c r="J77" s="640"/>
      <c r="K77" s="641"/>
      <c r="L77" s="642"/>
      <c r="M77" s="643"/>
      <c r="N77" s="644"/>
    </row>
    <row r="78" spans="2:14">
      <c r="B78" s="369"/>
      <c r="C78" s="637"/>
      <c r="D78" s="638"/>
      <c r="E78" s="638"/>
      <c r="F78" s="638"/>
      <c r="G78" s="638"/>
      <c r="H78" s="370"/>
      <c r="I78" s="639"/>
      <c r="J78" s="640"/>
      <c r="K78" s="641"/>
      <c r="L78" s="642"/>
      <c r="M78" s="643"/>
      <c r="N78" s="644"/>
    </row>
    <row r="79" spans="2:14" ht="13.8" thickBot="1">
      <c r="B79" s="371"/>
      <c r="C79" s="645"/>
      <c r="D79" s="646"/>
      <c r="E79" s="646"/>
      <c r="F79" s="646"/>
      <c r="G79" s="646"/>
      <c r="H79" s="372"/>
      <c r="I79" s="647"/>
      <c r="J79" s="648"/>
      <c r="K79" s="649"/>
      <c r="L79" s="650"/>
      <c r="M79" s="651"/>
      <c r="N79" s="652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393" customWidth="1"/>
    <col min="2" max="7" width="10.6640625" style="393" customWidth="1"/>
    <col min="8" max="16384" width="9.109375" style="393"/>
  </cols>
  <sheetData>
    <row r="1" spans="1:12" ht="21" customHeight="1">
      <c r="A1" s="392" t="s">
        <v>411</v>
      </c>
      <c r="B1" s="654" t="s">
        <v>450</v>
      </c>
      <c r="C1" s="654"/>
      <c r="D1" s="654"/>
      <c r="E1" s="654"/>
      <c r="F1" s="654"/>
      <c r="G1" s="654"/>
    </row>
    <row r="2" spans="1:12" ht="15" customHeight="1"/>
    <row r="3" spans="1:12" ht="20.399999999999999">
      <c r="A3" s="394" t="s">
        <v>412</v>
      </c>
    </row>
    <row r="4" spans="1:12" ht="12" customHeight="1">
      <c r="A4" s="395"/>
      <c r="B4" s="395"/>
      <c r="C4" s="395"/>
      <c r="D4" s="395" t="s">
        <v>464</v>
      </c>
      <c r="E4" s="395"/>
      <c r="F4" s="395"/>
      <c r="G4" s="395"/>
      <c r="H4" s="395"/>
      <c r="I4" s="395"/>
      <c r="J4" s="395"/>
      <c r="K4" s="395"/>
      <c r="L4" s="395"/>
    </row>
    <row r="5" spans="1:12" ht="15.6" customHeight="1">
      <c r="A5" s="396" t="s">
        <v>5</v>
      </c>
      <c r="B5" s="396" t="s">
        <v>413</v>
      </c>
      <c r="C5" s="396" t="s">
        <v>414</v>
      </c>
      <c r="D5" s="396" t="s">
        <v>415</v>
      </c>
      <c r="E5" s="396" t="s">
        <v>416</v>
      </c>
      <c r="F5" s="396" t="s">
        <v>417</v>
      </c>
      <c r="G5" s="396" t="s">
        <v>418</v>
      </c>
      <c r="H5" s="395"/>
      <c r="I5" s="395"/>
      <c r="J5" s="395"/>
      <c r="K5" s="395"/>
      <c r="L5" s="395"/>
    </row>
    <row r="6" spans="1:12" ht="15.6" customHeight="1">
      <c r="A6" s="397" t="s">
        <v>419</v>
      </c>
      <c r="B6" s="397" t="s">
        <v>165</v>
      </c>
      <c r="C6" s="397" t="s">
        <v>165</v>
      </c>
      <c r="D6" s="397" t="s">
        <v>420</v>
      </c>
      <c r="E6" s="397" t="s">
        <v>135</v>
      </c>
      <c r="F6" s="397" t="s">
        <v>421</v>
      </c>
      <c r="G6" s="397" t="s">
        <v>421</v>
      </c>
      <c r="H6" s="395"/>
      <c r="I6" s="395"/>
      <c r="J6" s="395"/>
      <c r="K6" s="395"/>
      <c r="L6" s="395"/>
    </row>
    <row r="7" spans="1:12" ht="15.9" customHeight="1">
      <c r="A7" s="398" t="s">
        <v>451</v>
      </c>
      <c r="B7" s="398" t="s">
        <v>465</v>
      </c>
      <c r="C7" s="398" t="s">
        <v>478</v>
      </c>
      <c r="D7" s="398" t="s">
        <v>491</v>
      </c>
      <c r="E7" s="398" t="s">
        <v>504</v>
      </c>
      <c r="F7" s="398" t="s">
        <v>517</v>
      </c>
      <c r="G7" s="398" t="s">
        <v>530</v>
      </c>
      <c r="H7" s="395"/>
      <c r="I7" s="395"/>
      <c r="J7" s="395"/>
      <c r="K7" s="395"/>
      <c r="L7" s="395"/>
    </row>
    <row r="8" spans="1:12" ht="15.9" customHeight="1">
      <c r="A8" s="398" t="s">
        <v>452</v>
      </c>
      <c r="B8" s="398" t="s">
        <v>466</v>
      </c>
      <c r="C8" s="398" t="s">
        <v>479</v>
      </c>
      <c r="D8" s="398" t="s">
        <v>492</v>
      </c>
      <c r="E8" s="398" t="s">
        <v>505</v>
      </c>
      <c r="F8" s="398" t="s">
        <v>518</v>
      </c>
      <c r="G8" s="398" t="s">
        <v>531</v>
      </c>
      <c r="H8" s="395"/>
      <c r="I8" s="395"/>
      <c r="J8" s="395"/>
      <c r="K8" s="395"/>
      <c r="L8" s="395"/>
    </row>
    <row r="9" spans="1:12" ht="15.9" customHeight="1">
      <c r="A9" s="398" t="s">
        <v>453</v>
      </c>
      <c r="B9" s="398" t="s">
        <v>467</v>
      </c>
      <c r="C9" s="398" t="s">
        <v>480</v>
      </c>
      <c r="D9" s="398" t="s">
        <v>493</v>
      </c>
      <c r="E9" s="398" t="s">
        <v>506</v>
      </c>
      <c r="F9" s="398" t="s">
        <v>519</v>
      </c>
      <c r="G9" s="398" t="s">
        <v>532</v>
      </c>
      <c r="H9" s="395"/>
      <c r="I9" s="395"/>
      <c r="J9" s="395"/>
      <c r="K9" s="395"/>
      <c r="L9" s="395"/>
    </row>
    <row r="10" spans="1:12" ht="15.9" customHeight="1">
      <c r="A10" s="398" t="s">
        <v>454</v>
      </c>
      <c r="B10" s="398" t="s">
        <v>468</v>
      </c>
      <c r="C10" s="398" t="s">
        <v>481</v>
      </c>
      <c r="D10" s="398" t="s">
        <v>494</v>
      </c>
      <c r="E10" s="398" t="s">
        <v>507</v>
      </c>
      <c r="F10" s="398" t="s">
        <v>520</v>
      </c>
      <c r="G10" s="398" t="s">
        <v>533</v>
      </c>
      <c r="H10" s="395"/>
      <c r="I10" s="395"/>
      <c r="J10" s="395"/>
      <c r="K10" s="395"/>
      <c r="L10" s="395"/>
    </row>
    <row r="11" spans="1:12" ht="15.9" customHeight="1">
      <c r="A11" s="398" t="s">
        <v>455</v>
      </c>
      <c r="B11" s="398" t="s">
        <v>469</v>
      </c>
      <c r="C11" s="398" t="s">
        <v>482</v>
      </c>
      <c r="D11" s="398" t="s">
        <v>495</v>
      </c>
      <c r="E11" s="398" t="s">
        <v>508</v>
      </c>
      <c r="F11" s="398" t="s">
        <v>521</v>
      </c>
      <c r="G11" s="398" t="s">
        <v>534</v>
      </c>
      <c r="H11" s="395"/>
      <c r="I11" s="395"/>
      <c r="J11" s="395"/>
      <c r="K11" s="395"/>
      <c r="L11" s="395"/>
    </row>
    <row r="12" spans="1:12" ht="15.9" customHeight="1">
      <c r="A12" s="398" t="s">
        <v>456</v>
      </c>
      <c r="B12" s="398" t="s">
        <v>470</v>
      </c>
      <c r="C12" s="398" t="s">
        <v>483</v>
      </c>
      <c r="D12" s="398" t="s">
        <v>496</v>
      </c>
      <c r="E12" s="398" t="s">
        <v>509</v>
      </c>
      <c r="F12" s="398" t="s">
        <v>522</v>
      </c>
      <c r="G12" s="398" t="s">
        <v>535</v>
      </c>
      <c r="H12" s="395"/>
      <c r="I12" s="395"/>
      <c r="J12" s="395"/>
      <c r="K12" s="395"/>
      <c r="L12" s="395"/>
    </row>
    <row r="13" spans="1:12" ht="15.9" customHeight="1">
      <c r="A13" s="398" t="s">
        <v>457</v>
      </c>
      <c r="B13" s="398" t="s">
        <v>471</v>
      </c>
      <c r="C13" s="398" t="s">
        <v>484</v>
      </c>
      <c r="D13" s="398" t="s">
        <v>497</v>
      </c>
      <c r="E13" s="398" t="s">
        <v>510</v>
      </c>
      <c r="F13" s="398" t="s">
        <v>523</v>
      </c>
      <c r="G13" s="398" t="s">
        <v>536</v>
      </c>
      <c r="H13" s="395"/>
      <c r="I13" s="395"/>
      <c r="J13" s="395"/>
      <c r="K13" s="395"/>
      <c r="L13" s="395"/>
    </row>
    <row r="14" spans="1:12" ht="15.9" customHeight="1">
      <c r="A14" s="398" t="s">
        <v>458</v>
      </c>
      <c r="B14" s="398" t="s">
        <v>472</v>
      </c>
      <c r="C14" s="398" t="s">
        <v>485</v>
      </c>
      <c r="D14" s="398" t="s">
        <v>498</v>
      </c>
      <c r="E14" s="398" t="s">
        <v>511</v>
      </c>
      <c r="F14" s="398" t="s">
        <v>524</v>
      </c>
      <c r="G14" s="398" t="s">
        <v>537</v>
      </c>
      <c r="H14" s="395"/>
      <c r="I14" s="395"/>
      <c r="J14" s="395"/>
      <c r="K14" s="395"/>
      <c r="L14" s="395"/>
    </row>
    <row r="15" spans="1:12" ht="15.9" customHeight="1">
      <c r="A15" s="398" t="s">
        <v>459</v>
      </c>
      <c r="B15" s="398" t="s">
        <v>473</v>
      </c>
      <c r="C15" s="398" t="s">
        <v>486</v>
      </c>
      <c r="D15" s="398" t="s">
        <v>499</v>
      </c>
      <c r="E15" s="398" t="s">
        <v>512</v>
      </c>
      <c r="F15" s="398" t="s">
        <v>525</v>
      </c>
      <c r="G15" s="398" t="s">
        <v>538</v>
      </c>
      <c r="H15" s="395"/>
      <c r="I15" s="395"/>
      <c r="J15" s="395"/>
      <c r="K15" s="395"/>
      <c r="L15" s="395"/>
    </row>
    <row r="16" spans="1:12" ht="15.9" customHeight="1">
      <c r="A16" s="398" t="s">
        <v>460</v>
      </c>
      <c r="B16" s="398" t="s">
        <v>474</v>
      </c>
      <c r="C16" s="398" t="s">
        <v>487</v>
      </c>
      <c r="D16" s="398" t="s">
        <v>500</v>
      </c>
      <c r="E16" s="398" t="s">
        <v>513</v>
      </c>
      <c r="F16" s="398" t="s">
        <v>526</v>
      </c>
      <c r="G16" s="398" t="s">
        <v>539</v>
      </c>
      <c r="H16" s="395"/>
      <c r="I16" s="395"/>
      <c r="J16" s="395"/>
      <c r="K16" s="395"/>
      <c r="L16" s="395"/>
    </row>
    <row r="17" spans="1:12" ht="15.9" customHeight="1">
      <c r="A17" s="398" t="s">
        <v>461</v>
      </c>
      <c r="B17" s="398" t="s">
        <v>475</v>
      </c>
      <c r="C17" s="398" t="s">
        <v>488</v>
      </c>
      <c r="D17" s="398" t="s">
        <v>501</v>
      </c>
      <c r="E17" s="398" t="s">
        <v>514</v>
      </c>
      <c r="F17" s="398" t="s">
        <v>527</v>
      </c>
      <c r="G17" s="398" t="s">
        <v>540</v>
      </c>
      <c r="H17" s="395"/>
      <c r="I17" s="395"/>
      <c r="J17" s="395"/>
      <c r="K17" s="395"/>
      <c r="L17" s="395"/>
    </row>
    <row r="18" spans="1:12" ht="15.9" customHeight="1">
      <c r="A18" s="398" t="s">
        <v>462</v>
      </c>
      <c r="B18" s="398" t="s">
        <v>476</v>
      </c>
      <c r="C18" s="398" t="s">
        <v>489</v>
      </c>
      <c r="D18" s="398" t="s">
        <v>502</v>
      </c>
      <c r="E18" s="398" t="s">
        <v>515</v>
      </c>
      <c r="F18" s="398" t="s">
        <v>528</v>
      </c>
      <c r="G18" s="398" t="s">
        <v>541</v>
      </c>
      <c r="H18" s="395"/>
      <c r="I18" s="395"/>
      <c r="J18" s="395"/>
      <c r="K18" s="395"/>
      <c r="L18" s="395"/>
    </row>
    <row r="19" spans="1:12" ht="15.9" customHeight="1">
      <c r="A19" s="398" t="s">
        <v>463</v>
      </c>
      <c r="B19" s="398" t="s">
        <v>477</v>
      </c>
      <c r="C19" s="398" t="s">
        <v>490</v>
      </c>
      <c r="D19" s="398" t="s">
        <v>503</v>
      </c>
      <c r="E19" s="398" t="s">
        <v>516</v>
      </c>
      <c r="F19" s="398" t="s">
        <v>529</v>
      </c>
      <c r="G19" s="398" t="s">
        <v>542</v>
      </c>
      <c r="H19" s="395"/>
      <c r="I19" s="395"/>
      <c r="J19" s="395"/>
      <c r="K19" s="395"/>
      <c r="L19" s="395"/>
    </row>
    <row r="20" spans="1:12" ht="15.6">
      <c r="A20" s="395"/>
      <c r="B20" s="395"/>
      <c r="C20" s="395"/>
      <c r="D20" s="395"/>
      <c r="E20" s="395"/>
      <c r="F20" s="395"/>
      <c r="G20" s="395"/>
      <c r="H20" s="395"/>
      <c r="I20" s="395"/>
      <c r="J20" s="395"/>
      <c r="K20" s="395"/>
      <c r="L20" s="395"/>
    </row>
    <row r="21" spans="1:12" ht="16.2">
      <c r="A21" s="395"/>
      <c r="B21" s="395"/>
      <c r="C21" s="395"/>
      <c r="D21" s="655" t="s">
        <v>552</v>
      </c>
      <c r="E21" s="656"/>
      <c r="F21" s="656"/>
      <c r="G21" s="657"/>
      <c r="H21" s="395"/>
      <c r="I21" s="395"/>
      <c r="J21" s="395"/>
      <c r="K21" s="395"/>
      <c r="L21" s="395"/>
    </row>
    <row r="22" spans="1:12" ht="17.25" customHeight="1">
      <c r="A22" s="395"/>
      <c r="B22" s="658" t="s">
        <v>422</v>
      </c>
      <c r="C22" s="658"/>
      <c r="D22" s="658" t="s">
        <v>423</v>
      </c>
      <c r="E22" s="658"/>
      <c r="F22" s="658" t="s">
        <v>424</v>
      </c>
      <c r="G22" s="658"/>
      <c r="H22" s="395"/>
      <c r="I22" s="395"/>
      <c r="J22" s="395"/>
      <c r="K22" s="395"/>
      <c r="L22" s="395"/>
    </row>
    <row r="23" spans="1:12" ht="15.6">
      <c r="A23" s="400" t="s">
        <v>425</v>
      </c>
      <c r="B23" s="653" t="s">
        <v>543</v>
      </c>
      <c r="C23" s="653"/>
      <c r="D23" s="653" t="s">
        <v>546</v>
      </c>
      <c r="E23" s="653"/>
      <c r="F23" s="653" t="s">
        <v>549</v>
      </c>
      <c r="G23" s="653"/>
      <c r="H23" s="395"/>
      <c r="I23" s="395"/>
      <c r="J23" s="395"/>
      <c r="K23" s="395"/>
      <c r="L23" s="395"/>
    </row>
    <row r="24" spans="1:12" ht="18" customHeight="1">
      <c r="A24" s="400" t="s">
        <v>426</v>
      </c>
      <c r="B24" s="653" t="s">
        <v>544</v>
      </c>
      <c r="C24" s="653"/>
      <c r="D24" s="653" t="s">
        <v>547</v>
      </c>
      <c r="E24" s="653"/>
      <c r="F24" s="653" t="s">
        <v>550</v>
      </c>
      <c r="G24" s="653"/>
      <c r="H24" s="395"/>
      <c r="I24" s="395"/>
      <c r="J24" s="395"/>
      <c r="K24" s="395"/>
      <c r="L24" s="395"/>
    </row>
    <row r="25" spans="1:12" ht="15.6">
      <c r="A25" s="400" t="s">
        <v>427</v>
      </c>
      <c r="B25" s="653" t="s">
        <v>545</v>
      </c>
      <c r="C25" s="653"/>
      <c r="D25" s="653" t="s">
        <v>548</v>
      </c>
      <c r="E25" s="653"/>
      <c r="F25" s="653" t="s">
        <v>551</v>
      </c>
      <c r="G25" s="653"/>
      <c r="H25" s="395"/>
      <c r="I25" s="395"/>
      <c r="J25" s="395"/>
      <c r="K25" s="395"/>
      <c r="L25" s="395"/>
    </row>
    <row r="26" spans="1:12" ht="15.6">
      <c r="A26" s="395"/>
      <c r="B26" s="395"/>
      <c r="C26" s="395"/>
      <c r="D26" s="395"/>
      <c r="E26" s="395"/>
      <c r="F26" s="395"/>
      <c r="G26" s="395"/>
      <c r="H26" s="395"/>
      <c r="I26" s="395"/>
      <c r="J26" s="395"/>
      <c r="K26" s="395"/>
      <c r="L26" s="395"/>
    </row>
    <row r="27" spans="1:12" ht="20.399999999999999">
      <c r="A27" s="394" t="s">
        <v>428</v>
      </c>
      <c r="B27" s="395"/>
      <c r="C27" s="395"/>
      <c r="D27" s="395"/>
      <c r="E27" s="395"/>
      <c r="F27" s="395"/>
      <c r="G27" s="395"/>
      <c r="H27" s="395"/>
      <c r="I27" s="395"/>
      <c r="J27" s="395"/>
      <c r="K27" s="395"/>
      <c r="L27" s="395"/>
    </row>
    <row r="28" spans="1:12" ht="15.6">
      <c r="A28" s="395"/>
      <c r="B28" s="395"/>
      <c r="C28" s="395"/>
      <c r="D28" s="395"/>
      <c r="E28" s="659" t="s">
        <v>429</v>
      </c>
      <c r="F28" s="656"/>
      <c r="G28" s="657"/>
      <c r="H28" s="395"/>
      <c r="I28" s="395"/>
      <c r="J28" s="395"/>
      <c r="K28" s="395"/>
      <c r="L28" s="395"/>
    </row>
    <row r="29" spans="1:12" ht="15.6">
      <c r="A29" s="395"/>
      <c r="B29" s="658" t="s">
        <v>430</v>
      </c>
      <c r="C29" s="658"/>
      <c r="D29" s="399" t="s">
        <v>431</v>
      </c>
      <c r="E29" s="399" t="s">
        <v>432</v>
      </c>
      <c r="F29" s="658" t="s">
        <v>433</v>
      </c>
      <c r="G29" s="658"/>
      <c r="H29" s="395"/>
      <c r="I29" s="395"/>
      <c r="J29" s="395"/>
      <c r="K29" s="395"/>
      <c r="L29" s="395"/>
    </row>
    <row r="30" spans="1:12" ht="15.6">
      <c r="A30" s="400" t="s">
        <v>434</v>
      </c>
      <c r="B30" s="653" t="s">
        <v>553</v>
      </c>
      <c r="C30" s="653"/>
      <c r="D30" s="398" t="s">
        <v>556</v>
      </c>
      <c r="E30" s="398" t="s">
        <v>435</v>
      </c>
      <c r="F30" s="653" t="s">
        <v>559</v>
      </c>
      <c r="G30" s="653"/>
      <c r="H30" s="395"/>
      <c r="I30" s="395"/>
      <c r="J30" s="395"/>
      <c r="K30" s="395"/>
      <c r="L30" s="395"/>
    </row>
    <row r="31" spans="1:12" ht="15.6">
      <c r="A31" s="400" t="s">
        <v>436</v>
      </c>
      <c r="B31" s="653" t="s">
        <v>554</v>
      </c>
      <c r="C31" s="653"/>
      <c r="D31" s="398" t="s">
        <v>557</v>
      </c>
      <c r="E31" s="398" t="s">
        <v>437</v>
      </c>
      <c r="F31" s="653" t="s">
        <v>560</v>
      </c>
      <c r="G31" s="653"/>
      <c r="H31" s="395"/>
      <c r="I31" s="395"/>
      <c r="J31" s="395"/>
      <c r="K31" s="395"/>
      <c r="L31" s="395"/>
    </row>
    <row r="32" spans="1:12" ht="15.6">
      <c r="A32" s="400" t="s">
        <v>438</v>
      </c>
      <c r="B32" s="653" t="s">
        <v>555</v>
      </c>
      <c r="C32" s="653"/>
      <c r="D32" s="398" t="s">
        <v>558</v>
      </c>
      <c r="E32" s="398" t="s">
        <v>439</v>
      </c>
      <c r="F32" s="653" t="s">
        <v>561</v>
      </c>
      <c r="G32" s="653"/>
      <c r="H32" s="395"/>
      <c r="I32" s="395"/>
      <c r="J32" s="395"/>
      <c r="K32" s="395"/>
      <c r="L32" s="395"/>
    </row>
    <row r="33" spans="1:12" ht="15.6">
      <c r="A33" s="395"/>
      <c r="B33" s="395"/>
      <c r="C33" s="395"/>
      <c r="D33" s="395"/>
      <c r="E33" s="395"/>
      <c r="F33" s="395"/>
      <c r="G33" s="395"/>
      <c r="H33" s="395"/>
      <c r="I33" s="395"/>
      <c r="J33" s="395"/>
      <c r="K33" s="395"/>
      <c r="L33" s="395"/>
    </row>
    <row r="34" spans="1:12" ht="15.6">
      <c r="A34" s="395"/>
      <c r="B34" s="395"/>
      <c r="C34" s="395"/>
      <c r="D34" s="395"/>
      <c r="E34" s="659" t="s">
        <v>440</v>
      </c>
      <c r="F34" s="656"/>
      <c r="G34" s="657"/>
      <c r="H34" s="395"/>
      <c r="I34" s="395"/>
      <c r="J34" s="395"/>
      <c r="K34" s="395"/>
      <c r="L34" s="395"/>
    </row>
    <row r="35" spans="1:12" ht="15.6">
      <c r="A35" s="395"/>
      <c r="B35" s="658" t="s">
        <v>441</v>
      </c>
      <c r="C35" s="658"/>
      <c r="D35" s="399" t="s">
        <v>432</v>
      </c>
      <c r="E35" s="399" t="s">
        <v>442</v>
      </c>
      <c r="F35" s="399" t="s">
        <v>100</v>
      </c>
      <c r="G35" s="399" t="s">
        <v>443</v>
      </c>
      <c r="H35" s="395"/>
      <c r="I35" s="395"/>
      <c r="J35" s="395"/>
      <c r="K35" s="395"/>
      <c r="L35" s="395"/>
    </row>
    <row r="36" spans="1:12" ht="15.6">
      <c r="A36" s="400" t="s">
        <v>434</v>
      </c>
      <c r="B36" s="660" t="s">
        <v>562</v>
      </c>
      <c r="C36" s="661"/>
      <c r="D36" s="401" t="s">
        <v>564</v>
      </c>
      <c r="E36" s="401" t="s">
        <v>444</v>
      </c>
      <c r="F36" s="402" t="s">
        <v>445</v>
      </c>
      <c r="G36" s="398" t="s">
        <v>567</v>
      </c>
      <c r="H36" s="395"/>
      <c r="I36" s="395"/>
      <c r="J36" s="395"/>
      <c r="K36" s="395"/>
      <c r="L36" s="395"/>
    </row>
    <row r="37" spans="1:12" ht="15.6">
      <c r="A37" s="400" t="s">
        <v>436</v>
      </c>
      <c r="B37" s="660" t="s">
        <v>563</v>
      </c>
      <c r="C37" s="661"/>
      <c r="D37" s="401" t="s">
        <v>565</v>
      </c>
      <c r="E37" s="401" t="s">
        <v>444</v>
      </c>
      <c r="F37" s="402" t="s">
        <v>446</v>
      </c>
      <c r="G37" s="403" t="s">
        <v>568</v>
      </c>
      <c r="H37" s="395"/>
      <c r="I37" s="395"/>
      <c r="J37" s="395"/>
      <c r="K37" s="395"/>
      <c r="L37" s="395"/>
    </row>
    <row r="38" spans="1:12" ht="15.6">
      <c r="A38" s="400" t="s">
        <v>438</v>
      </c>
      <c r="B38" s="660" t="s">
        <v>563</v>
      </c>
      <c r="C38" s="661"/>
      <c r="D38" s="401" t="s">
        <v>566</v>
      </c>
      <c r="E38" s="401" t="s">
        <v>444</v>
      </c>
      <c r="F38" s="402" t="s">
        <v>447</v>
      </c>
      <c r="G38" s="398" t="s">
        <v>569</v>
      </c>
      <c r="H38" s="395"/>
      <c r="I38" s="395"/>
      <c r="J38" s="395"/>
      <c r="K38" s="395"/>
      <c r="L38" s="395"/>
    </row>
    <row r="39" spans="1:12" ht="15.6">
      <c r="A39" s="395"/>
      <c r="B39" s="395"/>
      <c r="C39" s="395"/>
      <c r="D39" s="395"/>
      <c r="E39" s="395"/>
      <c r="F39" s="395"/>
      <c r="G39" s="395"/>
      <c r="H39" s="395"/>
      <c r="I39" s="395"/>
      <c r="J39" s="395"/>
      <c r="K39" s="395"/>
      <c r="L39" s="395"/>
    </row>
    <row r="40" spans="1:12" ht="15.6">
      <c r="A40" s="404" t="s">
        <v>448</v>
      </c>
      <c r="B40" s="662" t="s">
        <v>570</v>
      </c>
      <c r="C40" s="662"/>
      <c r="D40" s="663" t="s">
        <v>449</v>
      </c>
      <c r="E40" s="663"/>
      <c r="F40" s="662" t="s">
        <v>571</v>
      </c>
      <c r="G40" s="662"/>
      <c r="H40" s="395"/>
      <c r="I40" s="395"/>
      <c r="J40" s="395"/>
      <c r="K40" s="395"/>
      <c r="L40" s="395"/>
    </row>
    <row r="41" spans="1:12" ht="15.6">
      <c r="A41" s="395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</row>
    <row r="42" spans="1:12" ht="15.6">
      <c r="A42" s="395"/>
      <c r="B42" s="395"/>
      <c r="C42" s="395"/>
      <c r="D42" s="395"/>
      <c r="E42" s="395"/>
      <c r="F42" s="395"/>
      <c r="G42" s="395"/>
      <c r="H42" s="395"/>
      <c r="I42" s="395"/>
      <c r="J42" s="395"/>
      <c r="K42" s="395"/>
      <c r="L42" s="395"/>
    </row>
    <row r="43" spans="1:12" ht="15.6">
      <c r="A43" s="395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</row>
    <row r="44" spans="1:12" ht="15.6">
      <c r="A44" s="395"/>
      <c r="B44" s="395"/>
      <c r="C44" s="395"/>
      <c r="D44" s="395"/>
      <c r="E44" s="395"/>
      <c r="F44" s="395"/>
      <c r="G44" s="395"/>
      <c r="H44" s="395"/>
      <c r="I44" s="395"/>
      <c r="J44" s="395"/>
      <c r="K44" s="395"/>
      <c r="L44" s="395"/>
    </row>
    <row r="45" spans="1:12" ht="15.6">
      <c r="A45" s="395"/>
      <c r="B45" s="395"/>
      <c r="C45" s="395"/>
      <c r="D45" s="395"/>
      <c r="E45" s="395"/>
      <c r="F45" s="395"/>
      <c r="G45" s="395"/>
      <c r="H45" s="395"/>
      <c r="I45" s="395"/>
      <c r="J45" s="395"/>
      <c r="K45" s="395"/>
      <c r="L45" s="395"/>
    </row>
    <row r="46" spans="1:12" ht="15.6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</row>
    <row r="47" spans="1:12" ht="15.6">
      <c r="A47" s="395"/>
      <c r="B47" s="395"/>
      <c r="C47" s="395"/>
      <c r="D47" s="395"/>
      <c r="E47" s="395"/>
      <c r="F47" s="395"/>
      <c r="G47" s="395"/>
      <c r="H47" s="395"/>
      <c r="I47" s="395"/>
      <c r="J47" s="395"/>
      <c r="K47" s="395"/>
      <c r="L47" s="395"/>
    </row>
    <row r="48" spans="1:12" ht="15.6">
      <c r="A48" s="395"/>
      <c r="B48" s="395"/>
      <c r="C48" s="395"/>
      <c r="D48" s="395"/>
      <c r="E48" s="395"/>
      <c r="F48" s="395"/>
      <c r="G48" s="395"/>
      <c r="H48" s="395"/>
      <c r="I48" s="395"/>
      <c r="J48" s="395"/>
      <c r="K48" s="395"/>
      <c r="L48" s="395"/>
    </row>
    <row r="49" spans="1:12" ht="15.6">
      <c r="A49" s="395"/>
      <c r="B49" s="395"/>
      <c r="C49" s="395"/>
      <c r="D49" s="395"/>
      <c r="E49" s="395"/>
      <c r="F49" s="395"/>
      <c r="G49" s="395"/>
      <c r="H49" s="395"/>
      <c r="I49" s="395"/>
      <c r="J49" s="395"/>
      <c r="K49" s="395"/>
      <c r="L49" s="395"/>
    </row>
    <row r="50" spans="1:12" ht="15.6">
      <c r="A50" s="395"/>
      <c r="B50" s="395"/>
      <c r="C50" s="395"/>
      <c r="D50" s="395"/>
      <c r="E50" s="395"/>
      <c r="F50" s="395"/>
      <c r="G50" s="395"/>
      <c r="H50" s="395"/>
      <c r="I50" s="395"/>
      <c r="J50" s="395"/>
      <c r="K50" s="395"/>
      <c r="L50" s="395"/>
    </row>
    <row r="51" spans="1:12" ht="15.6">
      <c r="A51" s="395"/>
      <c r="B51" s="395"/>
      <c r="C51" s="395"/>
      <c r="D51" s="395"/>
      <c r="E51" s="395"/>
      <c r="F51" s="395"/>
      <c r="G51" s="395"/>
      <c r="H51" s="395"/>
      <c r="I51" s="395"/>
      <c r="J51" s="395"/>
      <c r="K51" s="395"/>
      <c r="L51" s="395"/>
    </row>
    <row r="52" spans="1:12" ht="15.6">
      <c r="A52" s="395"/>
      <c r="B52" s="395"/>
      <c r="C52" s="395"/>
      <c r="D52" s="395"/>
      <c r="E52" s="395"/>
      <c r="F52" s="395"/>
      <c r="G52" s="395"/>
      <c r="H52" s="395"/>
      <c r="I52" s="395"/>
      <c r="J52" s="395"/>
      <c r="K52" s="395"/>
      <c r="L52" s="395"/>
    </row>
    <row r="53" spans="1:12" ht="15.6">
      <c r="A53" s="395"/>
      <c r="B53" s="395"/>
      <c r="C53" s="395"/>
      <c r="D53" s="395"/>
      <c r="E53" s="395"/>
      <c r="F53" s="395"/>
      <c r="G53" s="395"/>
      <c r="H53" s="395"/>
      <c r="I53" s="395"/>
      <c r="J53" s="395"/>
      <c r="K53" s="395"/>
      <c r="L53" s="395"/>
    </row>
    <row r="54" spans="1:12" ht="15.6">
      <c r="A54" s="395"/>
      <c r="B54" s="395"/>
      <c r="C54" s="395"/>
      <c r="D54" s="395"/>
      <c r="E54" s="395"/>
      <c r="F54" s="395"/>
      <c r="G54" s="395"/>
      <c r="H54" s="395"/>
      <c r="I54" s="395"/>
      <c r="J54" s="395"/>
      <c r="K54" s="395"/>
      <c r="L54" s="395"/>
    </row>
    <row r="55" spans="1:12" ht="15.6">
      <c r="A55" s="395"/>
      <c r="B55" s="395"/>
      <c r="C55" s="395"/>
      <c r="D55" s="395"/>
      <c r="E55" s="395"/>
      <c r="F55" s="395"/>
      <c r="G55" s="395"/>
      <c r="H55" s="395"/>
      <c r="I55" s="395"/>
      <c r="J55" s="395"/>
      <c r="K55" s="395"/>
      <c r="L55" s="395"/>
    </row>
    <row r="56" spans="1:12" ht="15.6">
      <c r="A56" s="395"/>
      <c r="B56" s="395"/>
      <c r="C56" s="395"/>
      <c r="D56" s="395"/>
      <c r="E56" s="395"/>
      <c r="F56" s="395"/>
      <c r="G56" s="395"/>
      <c r="H56" s="395"/>
      <c r="I56" s="395"/>
      <c r="J56" s="395"/>
      <c r="K56" s="395"/>
      <c r="L56" s="395"/>
    </row>
    <row r="57" spans="1:12" ht="15.6">
      <c r="A57" s="395"/>
      <c r="B57" s="395"/>
      <c r="C57" s="395"/>
      <c r="D57" s="395"/>
      <c r="E57" s="395"/>
      <c r="F57" s="395"/>
      <c r="G57" s="395"/>
      <c r="H57" s="395"/>
      <c r="I57" s="395"/>
      <c r="J57" s="395"/>
      <c r="K57" s="395"/>
      <c r="L57" s="395"/>
    </row>
    <row r="58" spans="1:12" ht="15.6">
      <c r="A58" s="395"/>
      <c r="B58" s="395"/>
      <c r="C58" s="395"/>
      <c r="D58" s="395"/>
      <c r="E58" s="395"/>
      <c r="F58" s="395"/>
      <c r="G58" s="395"/>
      <c r="H58" s="395"/>
      <c r="I58" s="395"/>
      <c r="J58" s="395"/>
      <c r="K58" s="395"/>
      <c r="L58" s="395"/>
    </row>
    <row r="59" spans="1:12" ht="15.6">
      <c r="A59" s="395"/>
      <c r="B59" s="395"/>
      <c r="C59" s="395"/>
      <c r="D59" s="395"/>
      <c r="E59" s="395"/>
      <c r="F59" s="395"/>
      <c r="G59" s="395"/>
      <c r="H59" s="395"/>
      <c r="I59" s="395"/>
      <c r="J59" s="395"/>
      <c r="K59" s="395"/>
      <c r="L59" s="395"/>
    </row>
    <row r="60" spans="1:12" ht="15.6">
      <c r="A60" s="395"/>
      <c r="B60" s="395"/>
      <c r="C60" s="395"/>
      <c r="D60" s="395"/>
      <c r="E60" s="395"/>
      <c r="F60" s="395"/>
      <c r="G60" s="395"/>
      <c r="H60" s="395"/>
      <c r="I60" s="395"/>
      <c r="J60" s="395"/>
      <c r="K60" s="395"/>
      <c r="L60" s="395"/>
    </row>
    <row r="61" spans="1:12" ht="15.6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33" transitionEvaluation="1"/>
  <dimension ref="A1:N120"/>
  <sheetViews>
    <sheetView showGridLines="0" topLeftCell="A33" zoomScaleNormal="100" workbookViewId="0">
      <selection activeCell="K45" sqref="K45"/>
    </sheetView>
  </sheetViews>
  <sheetFormatPr defaultColWidth="12.5546875" defaultRowHeight="15.6"/>
  <cols>
    <col min="1" max="13" width="7" style="457" customWidth="1"/>
    <col min="14" max="14" width="7.109375" style="457" customWidth="1"/>
    <col min="15" max="16384" width="12.5546875" style="457"/>
  </cols>
  <sheetData>
    <row r="1" spans="1:14" ht="17.100000000000001" customHeight="1">
      <c r="A1" s="450" t="s">
        <v>268</v>
      </c>
      <c r="B1" s="451"/>
      <c r="C1" s="451"/>
      <c r="D1" s="451"/>
      <c r="E1" s="451"/>
      <c r="F1" s="451"/>
      <c r="G1" s="451"/>
      <c r="H1" s="451"/>
      <c r="I1" s="451"/>
      <c r="J1" s="452" t="s">
        <v>603</v>
      </c>
      <c r="K1" s="453"/>
      <c r="L1" s="454" t="s">
        <v>604</v>
      </c>
      <c r="M1" s="455"/>
      <c r="N1" s="456"/>
    </row>
    <row r="2" spans="1:14" ht="17.100000000000001" customHeight="1">
      <c r="A2" s="458" t="s">
        <v>605</v>
      </c>
      <c r="B2" s="459"/>
      <c r="C2" s="459"/>
      <c r="D2" s="459"/>
      <c r="E2" s="459"/>
      <c r="F2" s="459"/>
      <c r="G2" s="459"/>
      <c r="H2" s="459"/>
      <c r="I2" s="459"/>
      <c r="J2" s="460" t="s">
        <v>606</v>
      </c>
      <c r="K2" s="461"/>
      <c r="L2" s="462" t="s">
        <v>607</v>
      </c>
      <c r="M2" s="463"/>
      <c r="N2" s="456"/>
    </row>
    <row r="3" spans="1:14" ht="15.9" customHeight="1">
      <c r="A3" s="464"/>
      <c r="B3" s="465"/>
      <c r="C3" s="465"/>
      <c r="D3" s="465"/>
      <c r="E3" s="465"/>
      <c r="F3" s="465"/>
      <c r="G3" s="465"/>
      <c r="H3" s="465"/>
      <c r="I3" s="465"/>
      <c r="J3" s="460" t="s">
        <v>608</v>
      </c>
      <c r="K3" s="461"/>
      <c r="L3" s="466" t="s">
        <v>609</v>
      </c>
      <c r="M3" s="463"/>
      <c r="N3" s="456"/>
    </row>
    <row r="4" spans="1:14" ht="15.9" customHeight="1">
      <c r="A4" s="467"/>
      <c r="B4" s="465"/>
      <c r="C4" s="465"/>
      <c r="D4" s="465"/>
      <c r="E4" s="465"/>
      <c r="F4" s="465"/>
      <c r="G4" s="465"/>
      <c r="H4" s="465"/>
      <c r="I4" s="465"/>
      <c r="J4" s="460" t="s">
        <v>610</v>
      </c>
      <c r="K4" s="461"/>
      <c r="L4" s="466" t="s">
        <v>611</v>
      </c>
      <c r="M4" s="463"/>
      <c r="N4" s="456"/>
    </row>
    <row r="5" spans="1:14" ht="15.9" customHeight="1">
      <c r="A5" s="464"/>
      <c r="B5" s="465"/>
      <c r="C5" s="465"/>
      <c r="D5" s="465"/>
      <c r="E5" s="465"/>
      <c r="F5" s="465"/>
      <c r="G5" s="465"/>
      <c r="H5" s="465"/>
      <c r="I5" s="465"/>
      <c r="J5" s="460" t="s">
        <v>612</v>
      </c>
      <c r="K5" s="461"/>
      <c r="L5" s="462">
        <v>2</v>
      </c>
      <c r="M5" s="463"/>
      <c r="N5" s="456"/>
    </row>
    <row r="6" spans="1:14" ht="15.9" customHeight="1">
      <c r="A6" s="468" t="s">
        <v>613</v>
      </c>
      <c r="B6" s="465"/>
      <c r="C6" s="465"/>
      <c r="D6" s="465"/>
      <c r="E6" s="465"/>
      <c r="F6" s="465"/>
      <c r="G6" s="465"/>
      <c r="H6" s="465"/>
      <c r="I6" s="465"/>
      <c r="J6" s="460" t="s">
        <v>614</v>
      </c>
      <c r="K6" s="461"/>
      <c r="L6" s="462" t="s">
        <v>615</v>
      </c>
      <c r="M6" s="463"/>
      <c r="N6" s="456"/>
    </row>
    <row r="7" spans="1:14" ht="15.9" customHeight="1" thickBot="1">
      <c r="A7" s="469" t="s">
        <v>616</v>
      </c>
      <c r="B7" s="470"/>
      <c r="C7" s="470"/>
      <c r="D7" s="470"/>
      <c r="E7" s="470"/>
      <c r="F7" s="470"/>
      <c r="G7" s="470"/>
      <c r="H7" s="470"/>
      <c r="I7" s="470"/>
      <c r="J7" s="471" t="s">
        <v>617</v>
      </c>
      <c r="K7" s="472"/>
      <c r="L7" s="473" t="s">
        <v>618</v>
      </c>
      <c r="M7" s="474"/>
      <c r="N7" s="456"/>
    </row>
    <row r="8" spans="1:14" ht="15.9" customHeight="1">
      <c r="A8" s="475"/>
      <c r="B8" s="465"/>
      <c r="C8" s="465"/>
      <c r="D8" s="465"/>
      <c r="E8" s="465"/>
      <c r="F8" s="465"/>
      <c r="G8" s="465"/>
      <c r="H8" s="465"/>
      <c r="I8" s="465"/>
      <c r="J8" s="465"/>
      <c r="K8" s="476"/>
      <c r="L8" s="477"/>
      <c r="M8" s="478"/>
      <c r="N8" s="465"/>
    </row>
    <row r="9" spans="1:14" ht="12" customHeight="1">
      <c r="A9" s="479"/>
      <c r="B9" s="480" t="s">
        <v>619</v>
      </c>
      <c r="C9" s="481" t="s">
        <v>174</v>
      </c>
      <c r="D9" s="482"/>
      <c r="E9" s="482"/>
      <c r="F9" s="482"/>
      <c r="G9" s="482"/>
      <c r="H9" s="482"/>
      <c r="I9" s="482"/>
      <c r="J9" s="482"/>
      <c r="K9" s="483"/>
      <c r="L9" s="479"/>
      <c r="M9" s="482"/>
      <c r="N9" s="465"/>
    </row>
    <row r="10" spans="1:14" ht="12" customHeight="1">
      <c r="A10" s="479"/>
      <c r="B10" s="480" t="s">
        <v>620</v>
      </c>
      <c r="C10" s="484" t="s">
        <v>174</v>
      </c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7"/>
    </row>
    <row r="11" spans="1:14" ht="16.2" thickBot="1">
      <c r="A11" s="477"/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</row>
    <row r="12" spans="1:14" ht="20.100000000000001" customHeight="1" thickBot="1">
      <c r="A12" s="485" t="s">
        <v>621</v>
      </c>
      <c r="B12" s="486"/>
      <c r="C12" s="486"/>
      <c r="D12" s="486"/>
      <c r="E12" s="486"/>
      <c r="F12" s="486"/>
      <c r="G12" s="486"/>
      <c r="H12" s="486"/>
      <c r="I12" s="486"/>
      <c r="J12" s="486"/>
      <c r="K12" s="486"/>
      <c r="L12" s="486"/>
      <c r="M12" s="487"/>
      <c r="N12" s="456"/>
    </row>
    <row r="13" spans="1:14" ht="12.9" customHeight="1" thickTop="1">
      <c r="A13" s="488"/>
      <c r="B13" s="480" t="s">
        <v>622</v>
      </c>
      <c r="C13" s="489">
        <v>1500</v>
      </c>
      <c r="D13" s="479"/>
      <c r="E13" s="480" t="s">
        <v>623</v>
      </c>
      <c r="F13" s="489">
        <v>4000</v>
      </c>
      <c r="G13" s="479"/>
      <c r="H13" s="480" t="s">
        <v>624</v>
      </c>
      <c r="I13" s="489" t="s">
        <v>708</v>
      </c>
      <c r="J13" s="479"/>
      <c r="K13" s="479"/>
      <c r="L13" s="480" t="s">
        <v>625</v>
      </c>
      <c r="M13" s="490">
        <v>900</v>
      </c>
      <c r="N13" s="456"/>
    </row>
    <row r="14" spans="1:14" ht="12.9" customHeight="1">
      <c r="A14" s="488"/>
      <c r="B14" s="480" t="s">
        <v>626</v>
      </c>
      <c r="C14" s="489" t="s">
        <v>194</v>
      </c>
      <c r="D14" s="479"/>
      <c r="E14" s="480" t="s">
        <v>627</v>
      </c>
      <c r="F14" s="491" t="s">
        <v>709</v>
      </c>
      <c r="G14" s="479"/>
      <c r="H14" s="480" t="s">
        <v>628</v>
      </c>
      <c r="I14" s="489">
        <v>204</v>
      </c>
      <c r="J14" s="479"/>
      <c r="K14" s="479"/>
      <c r="L14" s="480" t="s">
        <v>584</v>
      </c>
      <c r="M14" s="490">
        <v>889</v>
      </c>
      <c r="N14" s="456"/>
    </row>
    <row r="15" spans="1:14" ht="12.9" customHeight="1">
      <c r="A15" s="488"/>
      <c r="B15" s="480" t="s">
        <v>629</v>
      </c>
      <c r="C15" s="489" t="s">
        <v>193</v>
      </c>
      <c r="D15" s="479"/>
      <c r="E15" s="480" t="s">
        <v>630</v>
      </c>
      <c r="F15" s="492">
        <v>1.1499999999999999</v>
      </c>
      <c r="G15" s="479"/>
      <c r="H15" s="480" t="s">
        <v>631</v>
      </c>
      <c r="I15" s="491" t="s">
        <v>174</v>
      </c>
      <c r="J15" s="479"/>
      <c r="K15" s="479"/>
      <c r="L15" s="480" t="s">
        <v>632</v>
      </c>
      <c r="M15" s="490" t="s">
        <v>363</v>
      </c>
      <c r="N15" s="456"/>
    </row>
    <row r="16" spans="1:14" ht="12.9" customHeight="1">
      <c r="A16" s="488"/>
      <c r="B16" s="480" t="s">
        <v>633</v>
      </c>
      <c r="C16" s="489" t="s">
        <v>707</v>
      </c>
      <c r="D16" s="479"/>
      <c r="E16" s="480" t="s">
        <v>634</v>
      </c>
      <c r="F16" s="489" t="s">
        <v>444</v>
      </c>
      <c r="G16" s="479"/>
      <c r="H16" s="493" t="s">
        <v>635</v>
      </c>
      <c r="I16" s="494" t="s">
        <v>360</v>
      </c>
      <c r="J16" s="479"/>
      <c r="K16" s="479"/>
      <c r="L16" s="480" t="s">
        <v>636</v>
      </c>
      <c r="M16" s="490" t="s">
        <v>637</v>
      </c>
      <c r="N16" s="456"/>
    </row>
    <row r="17" spans="1:14" ht="12.9" customHeight="1">
      <c r="A17" s="488"/>
      <c r="B17" s="480" t="s">
        <v>638</v>
      </c>
      <c r="C17" s="481" t="s">
        <v>385</v>
      </c>
      <c r="D17" s="479"/>
      <c r="E17" s="480"/>
      <c r="F17" s="491"/>
      <c r="G17" s="479"/>
      <c r="H17" s="480" t="s">
        <v>639</v>
      </c>
      <c r="I17" s="494" t="s">
        <v>174</v>
      </c>
      <c r="J17" s="479"/>
      <c r="K17" s="479"/>
      <c r="L17" s="480"/>
      <c r="M17" s="495"/>
      <c r="N17" s="456"/>
    </row>
    <row r="18" spans="1:14" ht="12.9" customHeight="1" thickBot="1">
      <c r="A18" s="496"/>
      <c r="B18" s="497" t="s">
        <v>640</v>
      </c>
      <c r="C18" s="498" t="s">
        <v>174</v>
      </c>
      <c r="D18" s="499"/>
      <c r="E18" s="497" t="s">
        <v>641</v>
      </c>
      <c r="F18" s="498" t="s">
        <v>174</v>
      </c>
      <c r="G18" s="500"/>
      <c r="H18" s="497" t="s">
        <v>642</v>
      </c>
      <c r="I18" s="498" t="s">
        <v>174</v>
      </c>
      <c r="J18" s="499"/>
      <c r="K18" s="499"/>
      <c r="L18" s="499"/>
      <c r="M18" s="501"/>
      <c r="N18" s="456"/>
    </row>
    <row r="19" spans="1:14" ht="16.2" thickBot="1">
      <c r="A19" s="456"/>
      <c r="B19" s="456"/>
      <c r="C19" s="456"/>
      <c r="D19" s="456"/>
      <c r="E19" s="456"/>
      <c r="F19" s="456"/>
      <c r="G19" s="456"/>
      <c r="H19" s="456"/>
      <c r="I19" s="456"/>
      <c r="J19" s="456"/>
      <c r="K19" s="456"/>
      <c r="L19" s="456"/>
      <c r="M19" s="456"/>
      <c r="N19" s="456"/>
    </row>
    <row r="20" spans="1:14" ht="20.100000000000001" customHeight="1" thickBot="1">
      <c r="A20" s="485"/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7"/>
    </row>
    <row r="21" spans="1:14" ht="15.9" customHeight="1" thickTop="1">
      <c r="A21" s="502" t="s">
        <v>643</v>
      </c>
      <c r="B21" s="503"/>
      <c r="C21" s="477"/>
      <c r="D21" s="504"/>
      <c r="E21" s="505" t="s">
        <v>644</v>
      </c>
      <c r="F21" s="506"/>
      <c r="G21" s="506"/>
      <c r="H21" s="507"/>
      <c r="I21" s="508" t="s">
        <v>645</v>
      </c>
      <c r="J21" s="506"/>
      <c r="K21" s="506"/>
      <c r="L21" s="477"/>
      <c r="M21" s="509"/>
    </row>
    <row r="22" spans="1:14" ht="15.9" customHeight="1">
      <c r="A22" s="510"/>
      <c r="B22" s="479"/>
      <c r="C22" s="480" t="s">
        <v>646</v>
      </c>
      <c r="D22" s="511">
        <v>1414</v>
      </c>
      <c r="E22" s="480"/>
      <c r="G22" s="493" t="s">
        <v>647</v>
      </c>
      <c r="H22" s="512">
        <v>8862</v>
      </c>
      <c r="I22" s="480"/>
      <c r="J22" s="479"/>
      <c r="K22" s="480" t="s">
        <v>648</v>
      </c>
      <c r="L22" s="479" t="s">
        <v>649</v>
      </c>
      <c r="M22" s="495"/>
    </row>
    <row r="23" spans="1:14" ht="15.9" customHeight="1">
      <c r="A23" s="510"/>
      <c r="B23" s="480"/>
      <c r="C23" s="483"/>
      <c r="D23" s="513"/>
      <c r="E23" s="480"/>
      <c r="G23" s="480" t="s">
        <v>650</v>
      </c>
      <c r="H23" s="511">
        <v>140</v>
      </c>
      <c r="I23" s="479"/>
      <c r="J23" s="479"/>
      <c r="K23" s="480" t="s">
        <v>651</v>
      </c>
      <c r="L23" s="479" t="s">
        <v>649</v>
      </c>
      <c r="M23" s="495"/>
    </row>
    <row r="24" spans="1:14" ht="15.9" customHeight="1">
      <c r="A24" s="488"/>
      <c r="B24" s="480"/>
      <c r="C24" s="479"/>
      <c r="D24" s="513"/>
      <c r="E24" s="480"/>
      <c r="G24" s="493" t="s">
        <v>652</v>
      </c>
      <c r="H24" s="511">
        <v>240</v>
      </c>
      <c r="I24" s="479"/>
      <c r="J24" s="480"/>
      <c r="K24" s="479"/>
      <c r="L24" s="479"/>
      <c r="M24" s="495"/>
    </row>
    <row r="25" spans="1:14" ht="15.9" customHeight="1" thickBot="1">
      <c r="A25" s="496"/>
      <c r="B25" s="497"/>
      <c r="C25" s="499"/>
      <c r="D25" s="514"/>
      <c r="E25" s="497"/>
      <c r="F25" s="497"/>
      <c r="G25" s="497"/>
      <c r="H25" s="515"/>
      <c r="I25" s="499"/>
      <c r="J25" s="497"/>
      <c r="K25" s="499"/>
      <c r="L25" s="499"/>
      <c r="M25" s="501"/>
    </row>
    <row r="26" spans="1:14" ht="18.899999999999999" customHeight="1" thickBot="1">
      <c r="A26" s="475"/>
      <c r="B26" s="475"/>
      <c r="C26" s="475"/>
      <c r="D26" s="456"/>
      <c r="E26" s="456"/>
      <c r="F26" s="456"/>
      <c r="G26" s="456"/>
      <c r="H26" s="456"/>
      <c r="I26" s="456"/>
      <c r="J26" s="456"/>
      <c r="K26" s="456"/>
      <c r="L26" s="456"/>
      <c r="M26" s="456"/>
      <c r="N26" s="456"/>
    </row>
    <row r="27" spans="1:14" ht="20.100000000000001" customHeight="1" thickBot="1">
      <c r="A27" s="516"/>
      <c r="B27" s="517"/>
      <c r="C27" s="517"/>
      <c r="D27" s="517"/>
      <c r="E27" s="517"/>
      <c r="F27" s="517"/>
      <c r="G27" s="518"/>
      <c r="H27" s="517"/>
      <c r="I27" s="517"/>
      <c r="J27" s="517"/>
      <c r="K27" s="517"/>
      <c r="L27" s="517"/>
      <c r="M27" s="519"/>
    </row>
    <row r="28" spans="1:14" ht="15.9" customHeight="1" thickTop="1">
      <c r="A28" s="520" t="s">
        <v>653</v>
      </c>
      <c r="B28" s="503"/>
      <c r="C28" s="477"/>
      <c r="D28" s="477"/>
      <c r="E28" s="506"/>
      <c r="F28" s="506"/>
      <c r="G28" s="521"/>
      <c r="H28" s="505" t="s">
        <v>654</v>
      </c>
      <c r="I28" s="506"/>
      <c r="J28" s="506"/>
      <c r="K28" s="505"/>
      <c r="L28" s="506"/>
      <c r="M28" s="509"/>
    </row>
    <row r="29" spans="1:14" ht="15.9" customHeight="1">
      <c r="A29" s="488"/>
      <c r="B29" s="480"/>
      <c r="C29" s="480" t="s">
        <v>655</v>
      </c>
      <c r="D29" s="522">
        <v>95.4</v>
      </c>
      <c r="E29" s="480"/>
      <c r="F29" s="480"/>
      <c r="G29" s="521"/>
      <c r="H29" s="493"/>
      <c r="I29" s="480"/>
      <c r="J29" s="480" t="s">
        <v>655</v>
      </c>
      <c r="K29" s="522">
        <v>82.9</v>
      </c>
      <c r="L29" s="479"/>
      <c r="M29" s="495"/>
    </row>
    <row r="30" spans="1:14" ht="15.9" customHeight="1">
      <c r="A30" s="523"/>
      <c r="B30" s="479"/>
      <c r="C30" s="480" t="s">
        <v>656</v>
      </c>
      <c r="D30" s="522">
        <v>95.1</v>
      </c>
      <c r="E30" s="480"/>
      <c r="F30" s="480"/>
      <c r="G30" s="521"/>
      <c r="H30" s="480"/>
      <c r="I30" s="479"/>
      <c r="J30" s="480" t="s">
        <v>656</v>
      </c>
      <c r="K30" s="522">
        <v>79.7</v>
      </c>
      <c r="L30" s="479"/>
      <c r="M30" s="495"/>
    </row>
    <row r="31" spans="1:14" ht="15.9" customHeight="1">
      <c r="A31" s="488"/>
      <c r="B31" s="480"/>
      <c r="C31" s="480" t="s">
        <v>657</v>
      </c>
      <c r="D31" s="522">
        <v>94.1</v>
      </c>
      <c r="E31" s="480"/>
      <c r="F31" s="480"/>
      <c r="G31" s="521"/>
      <c r="H31" s="480"/>
      <c r="I31" s="479"/>
      <c r="J31" s="480" t="s">
        <v>657</v>
      </c>
      <c r="K31" s="522">
        <v>71.3</v>
      </c>
      <c r="L31" s="480"/>
      <c r="M31" s="495"/>
    </row>
    <row r="32" spans="1:14" ht="15.9" customHeight="1" thickBot="1">
      <c r="A32" s="496"/>
      <c r="B32" s="497"/>
      <c r="C32" s="499"/>
      <c r="D32" s="499"/>
      <c r="E32" s="497"/>
      <c r="F32" s="497"/>
      <c r="G32" s="524"/>
      <c r="H32" s="497"/>
      <c r="I32" s="499"/>
      <c r="J32" s="497"/>
      <c r="K32" s="499"/>
      <c r="L32" s="497"/>
      <c r="M32" s="501"/>
    </row>
    <row r="33" spans="1:14" ht="20.100000000000001" customHeight="1" thickBot="1">
      <c r="A33" s="525"/>
      <c r="B33" s="525"/>
      <c r="C33" s="525"/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N33" s="525"/>
    </row>
    <row r="34" spans="1:14" ht="20.100000000000001" customHeight="1" thickBot="1">
      <c r="A34" s="526"/>
      <c r="B34" s="527"/>
      <c r="C34" s="527"/>
      <c r="D34" s="527"/>
      <c r="E34" s="527"/>
      <c r="F34" s="527"/>
      <c r="G34" s="527"/>
      <c r="H34" s="527"/>
      <c r="I34" s="527"/>
      <c r="J34" s="527"/>
      <c r="K34" s="527"/>
      <c r="L34" s="527"/>
      <c r="M34" s="528"/>
    </row>
    <row r="35" spans="1:14" ht="15.9" customHeight="1" thickTop="1">
      <c r="A35" s="529" t="s">
        <v>658</v>
      </c>
      <c r="B35" s="483"/>
      <c r="C35" s="483"/>
      <c r="D35" s="483"/>
      <c r="E35" s="483"/>
      <c r="F35" s="483"/>
      <c r="G35" s="483"/>
      <c r="H35" s="483"/>
      <c r="I35" s="483"/>
      <c r="J35" s="483"/>
      <c r="K35" s="483"/>
      <c r="L35" s="483"/>
      <c r="M35" s="530"/>
    </row>
    <row r="36" spans="1:14" ht="15.9" customHeight="1">
      <c r="A36" s="523" t="s">
        <v>659</v>
      </c>
      <c r="B36" s="483"/>
      <c r="C36" s="483"/>
      <c r="D36" s="483"/>
      <c r="E36" s="483"/>
      <c r="F36" s="483"/>
      <c r="G36" s="483"/>
      <c r="H36" s="483"/>
      <c r="I36" s="483"/>
      <c r="J36" s="483"/>
      <c r="K36" s="483"/>
      <c r="L36" s="483"/>
      <c r="M36" s="530"/>
    </row>
    <row r="37" spans="1:14" ht="15.9" customHeight="1">
      <c r="A37" s="531" t="s">
        <v>660</v>
      </c>
      <c r="B37" s="483"/>
      <c r="C37" s="483"/>
      <c r="D37" s="483"/>
      <c r="E37" s="532"/>
      <c r="F37" s="483"/>
      <c r="G37" s="483"/>
      <c r="H37" s="483"/>
      <c r="I37" s="483"/>
      <c r="J37" s="483"/>
      <c r="K37" s="483"/>
      <c r="L37" s="483"/>
      <c r="M37" s="530"/>
    </row>
    <row r="38" spans="1:14" ht="15.9" customHeight="1">
      <c r="A38" s="533" t="s">
        <v>661</v>
      </c>
      <c r="B38" s="483"/>
      <c r="C38" s="483"/>
      <c r="D38" s="483"/>
      <c r="E38" s="483"/>
      <c r="F38" s="483"/>
      <c r="G38" s="483"/>
      <c r="H38" s="483"/>
      <c r="I38" s="483"/>
      <c r="J38" s="483"/>
      <c r="K38" s="483"/>
      <c r="L38" s="483"/>
      <c r="M38" s="530"/>
    </row>
    <row r="39" spans="1:14" ht="15.9" customHeight="1">
      <c r="A39" s="534" t="s">
        <v>662</v>
      </c>
      <c r="B39" s="483"/>
      <c r="C39" s="483"/>
      <c r="D39" s="483"/>
      <c r="E39" s="483"/>
      <c r="F39" s="483"/>
      <c r="G39" s="483"/>
      <c r="H39" s="483"/>
      <c r="I39" s="483"/>
      <c r="J39" s="483"/>
      <c r="K39" s="483"/>
      <c r="L39" s="483"/>
      <c r="M39" s="530"/>
    </row>
    <row r="40" spans="1:14" ht="15.9" customHeight="1" thickBot="1">
      <c r="A40" s="535" t="s">
        <v>663</v>
      </c>
      <c r="B40" s="536"/>
      <c r="C40" s="536"/>
      <c r="D40" s="536"/>
      <c r="E40" s="536"/>
      <c r="F40" s="536"/>
      <c r="G40" s="536"/>
      <c r="H40" s="536"/>
      <c r="I40" s="536"/>
      <c r="J40" s="536"/>
      <c r="K40" s="536"/>
      <c r="L40" s="536"/>
      <c r="M40" s="537"/>
    </row>
    <row r="41" spans="1:14" ht="15.9" customHeight="1"/>
    <row r="42" spans="1:14" ht="18.600000000000001">
      <c r="A42" s="538"/>
      <c r="B42" s="538"/>
      <c r="C42" s="538"/>
      <c r="D42" s="538"/>
      <c r="E42" s="538"/>
      <c r="F42" s="538"/>
      <c r="G42" s="538"/>
      <c r="H42" s="456"/>
      <c r="I42" s="456"/>
      <c r="J42" s="539" t="s">
        <v>664</v>
      </c>
      <c r="K42" s="664" t="s">
        <v>729</v>
      </c>
      <c r="L42" s="664"/>
      <c r="M42" s="664"/>
      <c r="N42" s="538"/>
    </row>
    <row r="43" spans="1:14" ht="7.5" customHeight="1">
      <c r="H43" s="456"/>
      <c r="I43" s="456"/>
      <c r="J43" s="456"/>
      <c r="K43" s="456"/>
      <c r="L43" s="456"/>
      <c r="M43" s="456"/>
    </row>
    <row r="44" spans="1:14" ht="16.8">
      <c r="H44" s="456"/>
      <c r="I44" s="456"/>
      <c r="J44" s="539" t="s">
        <v>665</v>
      </c>
      <c r="K44" s="665">
        <v>45156</v>
      </c>
      <c r="L44" s="665"/>
      <c r="M44" s="665"/>
    </row>
    <row r="59" spans="1:5">
      <c r="A59" s="457" t="s">
        <v>174</v>
      </c>
      <c r="B59" s="457" t="s">
        <v>666</v>
      </c>
      <c r="D59" s="457">
        <v>1</v>
      </c>
      <c r="E59" s="540" t="s">
        <v>174</v>
      </c>
    </row>
    <row r="60" spans="1:5">
      <c r="A60" s="457" t="s">
        <v>667</v>
      </c>
      <c r="B60" s="457" t="s">
        <v>668</v>
      </c>
      <c r="D60" s="457">
        <v>1.1499999999999999</v>
      </c>
      <c r="E60" s="540" t="s">
        <v>183</v>
      </c>
    </row>
    <row r="61" spans="1:5">
      <c r="A61" s="457" t="s">
        <v>669</v>
      </c>
      <c r="B61" s="457" t="s">
        <v>670</v>
      </c>
      <c r="E61" s="540" t="s">
        <v>321</v>
      </c>
    </row>
    <row r="62" spans="1:5">
      <c r="B62" s="457" t="s">
        <v>671</v>
      </c>
    </row>
    <row r="63" spans="1:5">
      <c r="B63" s="457" t="s">
        <v>672</v>
      </c>
    </row>
    <row r="64" spans="1:5">
      <c r="B64" s="457" t="s">
        <v>673</v>
      </c>
    </row>
    <row r="65" spans="2:2">
      <c r="B65" s="457" t="s">
        <v>674</v>
      </c>
    </row>
    <row r="66" spans="2:2">
      <c r="B66" s="457" t="s">
        <v>675</v>
      </c>
    </row>
    <row r="67" spans="2:2">
      <c r="B67" s="457" t="s">
        <v>676</v>
      </c>
    </row>
    <row r="68" spans="2:2">
      <c r="B68" s="457" t="s">
        <v>677</v>
      </c>
    </row>
    <row r="69" spans="2:2">
      <c r="B69" s="457" t="s">
        <v>678</v>
      </c>
    </row>
    <row r="70" spans="2:2">
      <c r="B70" s="457" t="s">
        <v>679</v>
      </c>
    </row>
    <row r="71" spans="2:2">
      <c r="B71" s="457" t="s">
        <v>680</v>
      </c>
    </row>
    <row r="72" spans="2:2">
      <c r="B72" s="457" t="s">
        <v>681</v>
      </c>
    </row>
    <row r="73" spans="2:2">
      <c r="B73" s="457" t="s">
        <v>682</v>
      </c>
    </row>
    <row r="74" spans="2:2">
      <c r="B74" s="457" t="s">
        <v>683</v>
      </c>
    </row>
    <row r="75" spans="2:2">
      <c r="B75" s="457" t="s">
        <v>684</v>
      </c>
    </row>
    <row r="76" spans="2:2">
      <c r="B76" s="457" t="s">
        <v>685</v>
      </c>
    </row>
    <row r="77" spans="2:2">
      <c r="B77" s="457" t="s">
        <v>686</v>
      </c>
    </row>
    <row r="78" spans="2:2">
      <c r="B78" s="457" t="s">
        <v>687</v>
      </c>
    </row>
    <row r="79" spans="2:2">
      <c r="B79" s="457" t="s">
        <v>688</v>
      </c>
    </row>
    <row r="80" spans="2:2">
      <c r="B80" s="457">
        <v>6312</v>
      </c>
    </row>
    <row r="81" spans="2:2">
      <c r="B81" s="457" t="s">
        <v>689</v>
      </c>
    </row>
    <row r="82" spans="2:2">
      <c r="B82" s="457" t="s">
        <v>690</v>
      </c>
    </row>
    <row r="83" spans="2:2">
      <c r="B83" s="457" t="s">
        <v>691</v>
      </c>
    </row>
    <row r="84" spans="2:2">
      <c r="B84" s="457" t="s">
        <v>692</v>
      </c>
    </row>
    <row r="85" spans="2:2">
      <c r="B85" s="457">
        <v>6313</v>
      </c>
    </row>
    <row r="86" spans="2:2">
      <c r="B86" s="457" t="s">
        <v>693</v>
      </c>
    </row>
    <row r="87" spans="2:2">
      <c r="B87" s="457" t="s">
        <v>694</v>
      </c>
    </row>
    <row r="88" spans="2:2">
      <c r="B88" s="457" t="s">
        <v>695</v>
      </c>
    </row>
    <row r="89" spans="2:2">
      <c r="B89" s="457">
        <v>6314</v>
      </c>
    </row>
    <row r="90" spans="2:2">
      <c r="B90" s="457" t="s">
        <v>696</v>
      </c>
    </row>
    <row r="91" spans="2:2">
      <c r="B91" s="457">
        <v>6317</v>
      </c>
    </row>
    <row r="92" spans="2:2">
      <c r="B92" s="457" t="s">
        <v>697</v>
      </c>
    </row>
    <row r="93" spans="2:2">
      <c r="B93" s="457">
        <v>6318</v>
      </c>
    </row>
    <row r="94" spans="2:2">
      <c r="B94" s="457" t="s">
        <v>698</v>
      </c>
    </row>
    <row r="95" spans="2:2">
      <c r="B95" s="457" t="s">
        <v>699</v>
      </c>
    </row>
    <row r="96" spans="2:2">
      <c r="B96" s="457" t="s">
        <v>700</v>
      </c>
    </row>
    <row r="97" spans="2:2">
      <c r="B97" s="457">
        <v>6320</v>
      </c>
    </row>
    <row r="98" spans="2:2">
      <c r="B98" s="457" t="s">
        <v>701</v>
      </c>
    </row>
    <row r="99" spans="2:2">
      <c r="B99" s="457" t="s">
        <v>702</v>
      </c>
    </row>
    <row r="100" spans="2:2">
      <c r="B100" s="457" t="s">
        <v>703</v>
      </c>
    </row>
    <row r="101" spans="2:2">
      <c r="B101" s="457" t="s">
        <v>704</v>
      </c>
    </row>
    <row r="102" spans="2:2">
      <c r="B102" s="457" t="s">
        <v>704</v>
      </c>
    </row>
    <row r="118" spans="2:2">
      <c r="B118" s="457" t="s">
        <v>705</v>
      </c>
    </row>
    <row r="120" spans="2:2">
      <c r="B120" s="457" t="s">
        <v>706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workbookViewId="0">
      <selection activeCell="E15" sqref="E15"/>
    </sheetView>
  </sheetViews>
  <sheetFormatPr defaultColWidth="9.109375" defaultRowHeight="13.2"/>
  <cols>
    <col min="1" max="6" width="16.6640625" style="393" customWidth="1"/>
    <col min="7" max="16384" width="9.109375" style="393"/>
  </cols>
  <sheetData>
    <row r="1" spans="1:6" ht="18.899999999999999" customHeight="1">
      <c r="A1" s="405"/>
      <c r="B1" s="406"/>
      <c r="C1" s="406"/>
      <c r="D1" s="406"/>
      <c r="E1" s="406"/>
      <c r="F1" s="407"/>
    </row>
    <row r="2" spans="1:6" ht="26.1" customHeight="1">
      <c r="A2" s="408" t="s">
        <v>268</v>
      </c>
      <c r="B2" s="409"/>
      <c r="C2" s="409"/>
      <c r="D2" s="409"/>
      <c r="E2" s="409"/>
      <c r="F2" s="410"/>
    </row>
    <row r="3" spans="1:6" ht="18.899999999999999" customHeight="1">
      <c r="A3" s="411" t="s">
        <v>572</v>
      </c>
      <c r="B3" s="409"/>
      <c r="C3" s="409"/>
      <c r="D3" s="409"/>
      <c r="E3" s="409"/>
      <c r="F3" s="410"/>
    </row>
    <row r="4" spans="1:6" ht="18.899999999999999" customHeight="1">
      <c r="A4" s="412"/>
      <c r="B4" s="413"/>
      <c r="C4" s="413"/>
      <c r="D4" s="413"/>
      <c r="E4" s="413"/>
      <c r="F4" s="414"/>
    </row>
    <row r="5" spans="1:6" ht="18.899999999999999" customHeight="1">
      <c r="A5" s="412"/>
      <c r="B5" s="413"/>
      <c r="C5" s="413"/>
      <c r="D5" s="413"/>
      <c r="E5" s="413"/>
      <c r="F5" s="414"/>
    </row>
    <row r="6" spans="1:6" ht="18.899999999999999" customHeight="1">
      <c r="A6" s="415" t="s">
        <v>573</v>
      </c>
      <c r="B6" s="666" t="str">
        <f>'Performance Data Sheet'!C17</f>
        <v>M308WTQL11E-C</v>
      </c>
      <c r="C6" s="667"/>
      <c r="D6" s="668"/>
      <c r="E6" s="415" t="s">
        <v>574</v>
      </c>
      <c r="F6" s="416">
        <f>'Performance Data Sheet'!I14</f>
        <v>204</v>
      </c>
    </row>
    <row r="7" spans="1:6" ht="18.899999999999999" customHeight="1">
      <c r="A7" s="415" t="s">
        <v>575</v>
      </c>
      <c r="B7" s="416" t="str">
        <f>'Performance Data Sheet'!F14</f>
        <v>WP-II</v>
      </c>
      <c r="C7" s="415" t="s">
        <v>576</v>
      </c>
      <c r="D7" s="416" t="str">
        <f>'Performance Data Sheet'!F13 &amp; " V"</f>
        <v>4000 V</v>
      </c>
      <c r="E7" s="415" t="s">
        <v>577</v>
      </c>
      <c r="F7" s="416" t="str">
        <f>'Performance Data Sheet'!C14</f>
        <v>6813US</v>
      </c>
    </row>
    <row r="8" spans="1:6" ht="18.899999999999999" customHeight="1">
      <c r="A8" s="415" t="s">
        <v>578</v>
      </c>
      <c r="B8" s="416">
        <v>8</v>
      </c>
      <c r="C8" s="415" t="s">
        <v>579</v>
      </c>
      <c r="D8" s="416" t="s">
        <v>580</v>
      </c>
      <c r="E8" s="415" t="s">
        <v>581</v>
      </c>
      <c r="F8" s="416" t="str">
        <f>'Performance Data Sheet'!M15</f>
        <v>F</v>
      </c>
    </row>
    <row r="9" spans="1:6" ht="18.899999999999999" customHeight="1">
      <c r="A9" s="415" t="s">
        <v>582</v>
      </c>
      <c r="B9" s="416">
        <f>'Performance Data Sheet'!C13</f>
        <v>1500</v>
      </c>
      <c r="C9" s="415" t="s">
        <v>583</v>
      </c>
      <c r="D9" s="416" t="s">
        <v>593</v>
      </c>
      <c r="E9" s="415" t="s">
        <v>2</v>
      </c>
      <c r="F9" s="417">
        <f>'Performance Data Sheet'!K44</f>
        <v>45156</v>
      </c>
    </row>
    <row r="10" spans="1:6" ht="18.899999999999999" customHeight="1">
      <c r="A10" s="415" t="s">
        <v>584</v>
      </c>
      <c r="B10" s="416">
        <f>'Performance Data Sheet'!M14</f>
        <v>889</v>
      </c>
      <c r="C10" s="415" t="s">
        <v>403</v>
      </c>
      <c r="D10" s="416" t="s">
        <v>725</v>
      </c>
      <c r="E10" s="415" t="s">
        <v>1</v>
      </c>
      <c r="F10" s="416" t="s">
        <v>379</v>
      </c>
    </row>
    <row r="11" spans="1:6" ht="18.899999999999999" customHeight="1">
      <c r="A11" s="412"/>
      <c r="B11" s="413"/>
      <c r="C11" s="413"/>
      <c r="D11" s="413"/>
      <c r="E11" s="413"/>
      <c r="F11" s="414"/>
    </row>
    <row r="12" spans="1:6" ht="18.899999999999999" customHeight="1">
      <c r="A12" s="412"/>
      <c r="B12" s="418" t="s">
        <v>585</v>
      </c>
      <c r="C12" s="419" t="str">
        <f>'Performance Data Sheet'!D22 &amp; " A"</f>
        <v>1414 A</v>
      </c>
      <c r="D12" s="418" t="s">
        <v>402</v>
      </c>
      <c r="E12" s="419" t="s">
        <v>725</v>
      </c>
      <c r="F12" s="414"/>
    </row>
    <row r="13" spans="1:6" ht="18.899999999999999" customHeight="1">
      <c r="A13" s="412"/>
      <c r="B13" s="418" t="s">
        <v>586</v>
      </c>
      <c r="C13" s="420">
        <f>'Performance Data Sheet'!H23/100</f>
        <v>1.4</v>
      </c>
      <c r="D13" s="418" t="s">
        <v>587</v>
      </c>
      <c r="E13" s="419" t="s">
        <v>725</v>
      </c>
      <c r="F13" s="414"/>
    </row>
    <row r="14" spans="1:6" ht="18.899999999999999" customHeight="1">
      <c r="A14" s="412"/>
      <c r="B14" s="418" t="s">
        <v>588</v>
      </c>
      <c r="C14" s="420">
        <v>2.4</v>
      </c>
      <c r="D14" s="418" t="s">
        <v>404</v>
      </c>
      <c r="E14" s="419" t="s">
        <v>725</v>
      </c>
      <c r="F14" s="414"/>
    </row>
    <row r="15" spans="1:6" ht="18.899999999999999" customHeight="1">
      <c r="A15" s="412"/>
      <c r="B15" s="418" t="s">
        <v>405</v>
      </c>
      <c r="C15" s="419" t="str">
        <f>'Performance Data Sheet'!H22 &amp; " lb-ft"</f>
        <v>8862 lb-ft</v>
      </c>
      <c r="D15" s="413"/>
      <c r="E15" s="413"/>
      <c r="F15" s="414"/>
    </row>
    <row r="16" spans="1:6" ht="18.899999999999999" customHeight="1">
      <c r="A16" s="412"/>
      <c r="B16" s="413"/>
      <c r="C16" s="413"/>
      <c r="D16" s="413"/>
      <c r="E16" s="413"/>
      <c r="F16" s="414"/>
    </row>
    <row r="17" spans="1:6" ht="18.899999999999999" customHeight="1">
      <c r="A17" s="412"/>
      <c r="B17" s="413"/>
      <c r="C17" s="413"/>
      <c r="D17" s="413"/>
      <c r="E17" s="413"/>
      <c r="F17" s="414"/>
    </row>
    <row r="18" spans="1:6" ht="18.899999999999999" customHeight="1">
      <c r="A18" s="412"/>
      <c r="B18" s="413"/>
      <c r="C18" s="413"/>
      <c r="D18" s="413"/>
      <c r="E18" s="413"/>
      <c r="F18" s="414"/>
    </row>
    <row r="19" spans="1:6" ht="18.899999999999999" customHeight="1">
      <c r="A19" s="412"/>
      <c r="B19" s="413"/>
      <c r="C19" s="413"/>
      <c r="D19" s="413"/>
      <c r="E19" s="413"/>
      <c r="F19" s="414"/>
    </row>
    <row r="20" spans="1:6" ht="18.899999999999999" customHeight="1">
      <c r="A20" s="412"/>
      <c r="B20" s="413"/>
      <c r="C20" s="413"/>
      <c r="D20" s="413"/>
      <c r="E20" s="413"/>
      <c r="F20" s="414"/>
    </row>
    <row r="21" spans="1:6" ht="18.899999999999999" customHeight="1">
      <c r="A21" s="412"/>
      <c r="B21" s="413"/>
      <c r="C21" s="413"/>
      <c r="D21" s="413"/>
      <c r="E21" s="413"/>
      <c r="F21" s="414"/>
    </row>
    <row r="22" spans="1:6" ht="18.899999999999999" customHeight="1">
      <c r="A22" s="412"/>
      <c r="B22" s="413"/>
      <c r="C22" s="413"/>
      <c r="D22" s="413"/>
      <c r="E22" s="413"/>
      <c r="F22" s="414"/>
    </row>
    <row r="23" spans="1:6" ht="18.899999999999999" customHeight="1">
      <c r="A23" s="412"/>
      <c r="B23" s="413"/>
      <c r="C23" s="413"/>
      <c r="D23" s="413"/>
      <c r="E23" s="413"/>
      <c r="F23" s="414"/>
    </row>
    <row r="24" spans="1:6" ht="18.899999999999999" customHeight="1">
      <c r="A24" s="412"/>
      <c r="B24" s="413"/>
      <c r="C24" s="413"/>
      <c r="D24" s="413"/>
      <c r="E24" s="413"/>
      <c r="F24" s="414"/>
    </row>
    <row r="25" spans="1:6" ht="18.899999999999999" customHeight="1">
      <c r="A25" s="412"/>
      <c r="B25" s="413"/>
      <c r="C25" s="413"/>
      <c r="D25" s="413"/>
      <c r="E25" s="413"/>
      <c r="F25" s="414"/>
    </row>
    <row r="26" spans="1:6" ht="18.899999999999999" customHeight="1">
      <c r="A26" s="412"/>
      <c r="B26" s="413"/>
      <c r="C26" s="413"/>
      <c r="D26" s="413"/>
      <c r="E26" s="413"/>
      <c r="F26" s="414"/>
    </row>
    <row r="27" spans="1:6" ht="18.899999999999999" customHeight="1">
      <c r="A27" s="412"/>
      <c r="B27" s="413"/>
      <c r="C27" s="413"/>
      <c r="D27" s="413"/>
      <c r="E27" s="413"/>
      <c r="F27" s="414"/>
    </row>
    <row r="28" spans="1:6" ht="18.899999999999999" customHeight="1">
      <c r="A28" s="412"/>
      <c r="B28" s="413"/>
      <c r="C28" s="413"/>
      <c r="D28" s="413"/>
      <c r="E28" s="413"/>
      <c r="F28" s="414"/>
    </row>
    <row r="29" spans="1:6" ht="18.899999999999999" customHeight="1">
      <c r="A29" s="412"/>
      <c r="B29" s="413"/>
      <c r="C29" s="413"/>
      <c r="D29" s="413"/>
      <c r="E29" s="413"/>
      <c r="F29" s="414"/>
    </row>
    <row r="30" spans="1:6" ht="18.899999999999999" customHeight="1">
      <c r="A30" s="412"/>
      <c r="B30" s="413"/>
      <c r="C30" s="413"/>
      <c r="D30" s="413"/>
      <c r="E30" s="413"/>
      <c r="F30" s="414"/>
    </row>
    <row r="31" spans="1:6" ht="18.899999999999999" customHeight="1">
      <c r="A31" s="412"/>
      <c r="B31" s="413"/>
      <c r="C31" s="413"/>
      <c r="D31" s="413"/>
      <c r="E31" s="413"/>
      <c r="F31" s="414"/>
    </row>
    <row r="32" spans="1:6" ht="18.899999999999999" customHeight="1">
      <c r="A32" s="412"/>
      <c r="B32" s="413"/>
      <c r="C32" s="413"/>
      <c r="D32" s="413"/>
      <c r="E32" s="413"/>
      <c r="F32" s="414"/>
    </row>
    <row r="33" spans="1:6" ht="18.899999999999999" customHeight="1">
      <c r="A33" s="412"/>
      <c r="B33" s="413"/>
      <c r="C33" s="413"/>
      <c r="D33" s="413"/>
      <c r="E33" s="413"/>
      <c r="F33" s="414"/>
    </row>
    <row r="34" spans="1:6" ht="18.899999999999999" customHeight="1">
      <c r="A34" s="412"/>
      <c r="B34" s="413"/>
      <c r="C34" s="413"/>
      <c r="D34" s="413"/>
      <c r="E34" s="413"/>
      <c r="F34" s="414"/>
    </row>
    <row r="35" spans="1:6" ht="18.899999999999999" customHeight="1">
      <c r="A35" s="412"/>
      <c r="B35" s="413"/>
      <c r="C35" s="413"/>
      <c r="D35" s="413"/>
      <c r="E35" s="413"/>
      <c r="F35" s="414"/>
    </row>
    <row r="36" spans="1:6" ht="18.899999999999999" customHeight="1">
      <c r="A36" s="412"/>
      <c r="B36" s="413"/>
      <c r="C36" s="413"/>
      <c r="D36" s="413"/>
      <c r="E36" s="413"/>
      <c r="F36" s="414"/>
    </row>
    <row r="37" spans="1:6" ht="18.899999999999999" customHeight="1">
      <c r="A37" s="412"/>
      <c r="B37" s="413"/>
      <c r="C37" s="413"/>
      <c r="D37" s="413"/>
      <c r="E37" s="413"/>
      <c r="F37" s="414"/>
    </row>
    <row r="38" spans="1:6" ht="18.899999999999999" customHeight="1">
      <c r="A38" s="412"/>
      <c r="B38" s="413"/>
      <c r="C38" s="413"/>
      <c r="D38" s="413"/>
      <c r="E38" s="413"/>
      <c r="F38" s="414"/>
    </row>
    <row r="39" spans="1:6" ht="18.899999999999999" customHeight="1">
      <c r="A39" s="421" t="s">
        <v>589</v>
      </c>
      <c r="B39" s="422" t="s">
        <v>370</v>
      </c>
      <c r="C39" s="541" t="str">
        <f>'Performance Data Sheet'!C10</f>
        <v>-</v>
      </c>
      <c r="D39" s="413"/>
      <c r="E39" s="418" t="s">
        <v>590</v>
      </c>
      <c r="F39" s="423" t="str">
        <f>F10</f>
        <v>DT8M30U</v>
      </c>
    </row>
    <row r="40" spans="1:6" ht="18.899999999999999" customHeight="1">
      <c r="A40" s="412"/>
      <c r="B40" s="422"/>
      <c r="C40" s="422"/>
      <c r="D40" s="413"/>
      <c r="E40" s="413"/>
      <c r="F40" s="414"/>
    </row>
    <row r="41" spans="1:6" ht="18.899999999999999" customHeight="1">
      <c r="A41" s="412"/>
      <c r="B41" s="422"/>
      <c r="C41" s="422"/>
      <c r="D41" s="413"/>
      <c r="E41" s="413"/>
      <c r="F41" s="414"/>
    </row>
    <row r="42" spans="1:6" ht="18.899999999999999" customHeight="1">
      <c r="A42" s="412"/>
      <c r="B42" s="413"/>
      <c r="C42" s="413"/>
      <c r="D42" s="413"/>
      <c r="E42" s="413"/>
      <c r="F42" s="414"/>
    </row>
    <row r="43" spans="1:6" ht="18.899999999999999" customHeight="1">
      <c r="A43" s="424"/>
      <c r="B43" s="422"/>
      <c r="C43" s="425" t="s">
        <v>591</v>
      </c>
      <c r="D43" s="426" t="str">
        <f>'Performance Data Sheet'!K42</f>
        <v>JERRY R</v>
      </c>
      <c r="E43" s="425" t="s">
        <v>592</v>
      </c>
      <c r="F43" s="426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83" t="s">
        <v>401</v>
      </c>
      <c r="E53" s="383"/>
      <c r="F53" s="383"/>
      <c r="G53" s="383"/>
      <c r="H53" s="383"/>
      <c r="I53" s="383"/>
      <c r="J53" s="383"/>
      <c r="K53" s="383"/>
      <c r="L53" s="383"/>
    </row>
    <row r="54" spans="1:12" ht="15" customHeight="1">
      <c r="A54" s="429">
        <v>100</v>
      </c>
      <c r="B54" s="383">
        <v>0</v>
      </c>
      <c r="C54" s="383">
        <v>0.33853828907012939</v>
      </c>
      <c r="D54" s="383">
        <v>100</v>
      </c>
      <c r="E54" s="383"/>
      <c r="F54" s="383"/>
      <c r="G54" s="383"/>
      <c r="H54" s="383"/>
      <c r="I54" s="383"/>
      <c r="J54" s="383"/>
      <c r="K54" s="383"/>
      <c r="L54" s="383"/>
    </row>
    <row r="55" spans="1:12" ht="15" customHeight="1">
      <c r="A55" s="429">
        <v>99.600000027567148</v>
      </c>
      <c r="B55" s="383">
        <v>169.96999673919854</v>
      </c>
      <c r="C55" s="383">
        <v>196.92266845703125</v>
      </c>
      <c r="D55" s="383">
        <v>99.199996948242188</v>
      </c>
      <c r="E55" s="383"/>
      <c r="F55" s="383"/>
      <c r="G55" s="383"/>
      <c r="H55" s="383"/>
      <c r="I55" s="383"/>
      <c r="J55" s="383"/>
      <c r="K55" s="383"/>
      <c r="L55" s="383"/>
    </row>
    <row r="56" spans="1:12" ht="15" customHeight="1">
      <c r="A56" s="429">
        <v>98.000000044703484</v>
      </c>
      <c r="B56" s="383">
        <v>240</v>
      </c>
      <c r="C56" s="383">
        <v>491.44400024414063</v>
      </c>
      <c r="D56" s="383">
        <v>95.25</v>
      </c>
      <c r="E56" s="383"/>
      <c r="F56" s="383"/>
      <c r="G56" s="383"/>
      <c r="H56" s="383"/>
      <c r="I56" s="383"/>
      <c r="J56" s="383"/>
      <c r="K56" s="383"/>
      <c r="L56" s="383"/>
    </row>
    <row r="57" spans="1:12">
      <c r="A57" s="429">
        <v>92.842105031013489</v>
      </c>
      <c r="B57" s="383">
        <v>168.19492607735418</v>
      </c>
      <c r="C57" s="383">
        <v>551.61358642578125</v>
      </c>
      <c r="D57" s="383">
        <v>81.389472961425781</v>
      </c>
      <c r="E57" s="383"/>
      <c r="F57" s="383"/>
      <c r="G57" s="383"/>
      <c r="H57" s="383"/>
      <c r="I57" s="383"/>
      <c r="J57" s="383"/>
      <c r="K57" s="383"/>
      <c r="L57" s="383"/>
    </row>
    <row r="58" spans="1:12">
      <c r="A58" s="429">
        <v>87.684210389852524</v>
      </c>
      <c r="B58" s="383">
        <v>153.38442036652685</v>
      </c>
      <c r="C58" s="383">
        <v>576.2669677734375</v>
      </c>
      <c r="D58" s="383">
        <v>67.978950500488281</v>
      </c>
      <c r="E58" s="383"/>
      <c r="F58" s="383"/>
      <c r="G58" s="383"/>
      <c r="H58" s="383"/>
      <c r="I58" s="383"/>
      <c r="J58" s="383"/>
      <c r="K58" s="383"/>
      <c r="L58" s="383"/>
    </row>
    <row r="59" spans="1:12">
      <c r="A59" s="429">
        <v>82.526315748691559</v>
      </c>
      <c r="B59" s="383">
        <v>148.00629794916944</v>
      </c>
      <c r="C59" s="383">
        <v>594.52789306640625</v>
      </c>
      <c r="D59" s="383">
        <v>55.557895660400391</v>
      </c>
      <c r="E59" s="383"/>
      <c r="F59" s="383"/>
      <c r="G59" s="383"/>
      <c r="H59" s="383"/>
      <c r="I59" s="383"/>
      <c r="J59" s="383"/>
      <c r="K59" s="383"/>
      <c r="L59" s="383"/>
    </row>
    <row r="60" spans="1:12">
      <c r="A60" s="429">
        <v>72.210526466369629</v>
      </c>
      <c r="B60" s="383">
        <v>144.68834008118384</v>
      </c>
      <c r="C60" s="383">
        <v>623.02362060546875</v>
      </c>
      <c r="D60" s="383">
        <v>36.757896423339844</v>
      </c>
      <c r="E60" s="383"/>
      <c r="F60" s="383"/>
      <c r="G60" s="383"/>
      <c r="H60" s="383"/>
      <c r="I60" s="383"/>
      <c r="J60" s="383"/>
      <c r="K60" s="383"/>
      <c r="L60" s="383"/>
    </row>
    <row r="61" spans="1:12">
      <c r="A61" s="429">
        <v>61.89473569393158</v>
      </c>
      <c r="B61" s="383">
        <v>142.66957257845729</v>
      </c>
      <c r="C61" s="383">
        <v>643.11529541015625</v>
      </c>
      <c r="D61" s="383">
        <v>24.084209442138672</v>
      </c>
      <c r="E61" s="383"/>
      <c r="F61" s="383"/>
      <c r="G61" s="383"/>
      <c r="H61" s="383"/>
      <c r="I61" s="383"/>
      <c r="J61" s="383"/>
      <c r="K61" s="383"/>
      <c r="L61" s="383"/>
    </row>
    <row r="62" spans="1:12">
      <c r="A62" s="429">
        <v>51.578947901725769</v>
      </c>
      <c r="B62" s="383">
        <v>141.43126032799657</v>
      </c>
      <c r="C62" s="383">
        <v>657.6092529296875</v>
      </c>
      <c r="D62" s="383">
        <v>15.263158798217773</v>
      </c>
      <c r="E62" s="383"/>
      <c r="F62" s="383"/>
      <c r="G62" s="383"/>
      <c r="H62" s="383"/>
      <c r="I62" s="383"/>
      <c r="J62" s="383"/>
      <c r="K62" s="383"/>
      <c r="L62" s="383"/>
    </row>
    <row r="63" spans="1:12">
      <c r="A63" s="429">
        <v>41.26315712928772</v>
      </c>
      <c r="B63" s="383">
        <v>140.73384843144186</v>
      </c>
      <c r="C63" s="383">
        <v>668.5718994140625</v>
      </c>
      <c r="D63" s="383">
        <v>8.7578945159912109</v>
      </c>
      <c r="E63" s="383"/>
      <c r="F63" s="383"/>
      <c r="G63" s="383"/>
      <c r="H63" s="383"/>
      <c r="I63" s="383"/>
      <c r="J63" s="383"/>
      <c r="K63" s="383"/>
      <c r="L63" s="383"/>
    </row>
    <row r="64" spans="1:12">
      <c r="A64" s="429">
        <v>30.947369337081909</v>
      </c>
      <c r="B64" s="383">
        <v>140.3498517130281</v>
      </c>
      <c r="C64" s="383">
        <v>676.880126953125</v>
      </c>
      <c r="D64" s="383">
        <v>6.1894736289978027</v>
      </c>
      <c r="E64" s="383"/>
      <c r="F64" s="383"/>
      <c r="G64" s="383"/>
      <c r="H64" s="383"/>
      <c r="I64" s="383"/>
      <c r="J64" s="383"/>
      <c r="K64" s="383"/>
      <c r="L64" s="383"/>
    </row>
    <row r="65" spans="1:12">
      <c r="A65" s="429">
        <v>20.631575584411621</v>
      </c>
      <c r="B65" s="383">
        <v>140.14471941691491</v>
      </c>
      <c r="C65" s="383">
        <v>683.2799072265625</v>
      </c>
      <c r="D65" s="383">
        <v>7.8736848831176758</v>
      </c>
      <c r="E65" s="383"/>
      <c r="F65" s="383"/>
      <c r="G65" s="383"/>
      <c r="H65" s="383"/>
      <c r="I65" s="383"/>
      <c r="J65" s="383"/>
      <c r="K65" s="383"/>
      <c r="L65" s="383"/>
    </row>
    <row r="66" spans="1:12">
      <c r="A66" s="429">
        <v>10.315793752670288</v>
      </c>
      <c r="B66" s="383">
        <v>140.04492856188853</v>
      </c>
      <c r="C66" s="383">
        <v>688.6051025390625</v>
      </c>
      <c r="D66" s="383">
        <v>14.77894401550293</v>
      </c>
      <c r="E66" s="383"/>
      <c r="F66" s="383"/>
      <c r="G66" s="383"/>
      <c r="H66" s="383"/>
      <c r="I66" s="383"/>
      <c r="J66" s="383"/>
      <c r="K66" s="383"/>
      <c r="L66" s="383"/>
    </row>
    <row r="67" spans="1:12">
      <c r="A67" s="430">
        <v>0</v>
      </c>
      <c r="B67" s="383">
        <v>140</v>
      </c>
      <c r="C67" s="383">
        <v>693.13726806640625</v>
      </c>
      <c r="D67" s="383">
        <v>30</v>
      </c>
      <c r="E67" s="383"/>
      <c r="F67" s="383"/>
      <c r="G67" s="383"/>
      <c r="H67" s="383"/>
      <c r="I67" s="383"/>
      <c r="J67" s="383"/>
      <c r="K67" s="383"/>
      <c r="L67" s="383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N22" sqref="N22"/>
    </sheetView>
  </sheetViews>
  <sheetFormatPr defaultColWidth="9.109375" defaultRowHeight="13.2"/>
  <cols>
    <col min="1" max="6" width="16.6640625" style="393" customWidth="1"/>
    <col min="7" max="16384" width="9.109375" style="393"/>
  </cols>
  <sheetData>
    <row r="1" spans="1:6" ht="18.899999999999999" customHeight="1">
      <c r="A1" s="405"/>
      <c r="B1" s="406"/>
      <c r="C1" s="406"/>
      <c r="D1" s="406"/>
      <c r="E1" s="406"/>
      <c r="F1" s="407"/>
    </row>
    <row r="2" spans="1:6" ht="26.1" customHeight="1">
      <c r="A2" s="408" t="s">
        <v>268</v>
      </c>
      <c r="B2" s="409"/>
      <c r="C2" s="409"/>
      <c r="D2" s="409"/>
      <c r="E2" s="409"/>
      <c r="F2" s="410"/>
    </row>
    <row r="3" spans="1:6" ht="18.899999999999999" customHeight="1">
      <c r="A3" s="669" t="s">
        <v>595</v>
      </c>
      <c r="B3" s="670"/>
      <c r="C3" s="670"/>
      <c r="D3" s="670"/>
      <c r="E3" s="670"/>
      <c r="F3" s="671"/>
    </row>
    <row r="4" spans="1:6" ht="18.899999999999999" customHeight="1">
      <c r="A4" s="672" t="s">
        <v>596</v>
      </c>
      <c r="B4" s="673"/>
      <c r="C4" s="673"/>
      <c r="D4" s="673"/>
      <c r="E4" s="673"/>
      <c r="F4" s="674"/>
    </row>
    <row r="5" spans="1:6" ht="18.899999999999999" customHeight="1">
      <c r="A5" s="412"/>
      <c r="B5" s="413"/>
      <c r="C5" s="413"/>
      <c r="D5" s="413"/>
      <c r="E5" s="413"/>
      <c r="F5" s="414"/>
    </row>
    <row r="6" spans="1:6" ht="18.899999999999999" customHeight="1">
      <c r="A6" s="415" t="s">
        <v>573</v>
      </c>
      <c r="B6" s="666" t="str">
        <f>'Performance Data Sheet'!C17</f>
        <v>M308WTQL11E-C</v>
      </c>
      <c r="C6" s="667"/>
      <c r="D6" s="668"/>
      <c r="E6" s="415" t="s">
        <v>574</v>
      </c>
      <c r="F6" s="416">
        <f>'Performance Data Sheet'!I14</f>
        <v>204</v>
      </c>
    </row>
    <row r="7" spans="1:6" ht="18.899999999999999" customHeight="1">
      <c r="A7" s="415" t="s">
        <v>575</v>
      </c>
      <c r="B7" s="416" t="str">
        <f>'Performance Data Sheet'!F14</f>
        <v>WP-II</v>
      </c>
      <c r="C7" s="415" t="s">
        <v>576</v>
      </c>
      <c r="D7" s="416" t="str">
        <f>'Performance Data Sheet'!F13 &amp; " V"</f>
        <v>4000 V</v>
      </c>
      <c r="E7" s="415" t="s">
        <v>577</v>
      </c>
      <c r="F7" s="416" t="str">
        <f>'Performance Data Sheet'!C14</f>
        <v>6813US</v>
      </c>
    </row>
    <row r="8" spans="1:6" ht="18.899999999999999" customHeight="1">
      <c r="A8" s="415" t="s">
        <v>578</v>
      </c>
      <c r="B8" s="416">
        <v>8</v>
      </c>
      <c r="C8" s="415" t="s">
        <v>579</v>
      </c>
      <c r="D8" s="416" t="s">
        <v>580</v>
      </c>
      <c r="E8" s="415" t="s">
        <v>581</v>
      </c>
      <c r="F8" s="416" t="str">
        <f>'Performance Data Sheet'!M15</f>
        <v>F</v>
      </c>
    </row>
    <row r="9" spans="1:6" ht="18.899999999999999" customHeight="1">
      <c r="A9" s="415" t="s">
        <v>582</v>
      </c>
      <c r="B9" s="416">
        <f>'Performance Data Sheet'!C13</f>
        <v>1500</v>
      </c>
      <c r="C9" s="415" t="s">
        <v>583</v>
      </c>
      <c r="D9" s="416" t="s">
        <v>593</v>
      </c>
      <c r="E9" s="415" t="s">
        <v>2</v>
      </c>
      <c r="F9" s="417">
        <f>'Performance Data Sheet'!K44</f>
        <v>45156</v>
      </c>
    </row>
    <row r="10" spans="1:6" ht="18.899999999999999" customHeight="1">
      <c r="A10" s="415" t="s">
        <v>584</v>
      </c>
      <c r="B10" s="416">
        <f>'Performance Data Sheet'!M14</f>
        <v>889</v>
      </c>
      <c r="C10" s="415" t="s">
        <v>403</v>
      </c>
      <c r="D10" s="416" t="s">
        <v>594</v>
      </c>
      <c r="E10" s="415" t="s">
        <v>1</v>
      </c>
      <c r="F10" s="416" t="s">
        <v>379</v>
      </c>
    </row>
    <row r="11" spans="1:6" ht="18.899999999999999" customHeight="1">
      <c r="A11" s="412"/>
      <c r="B11" s="413"/>
      <c r="C11" s="413"/>
      <c r="D11" s="413"/>
      <c r="E11" s="413"/>
      <c r="F11" s="414"/>
    </row>
    <row r="12" spans="1:6" ht="18.899999999999999" customHeight="1">
      <c r="A12" s="412"/>
      <c r="B12" s="418"/>
      <c r="C12" s="419" t="str">
        <f>'Performance Data Sheet'!D22 &amp; " A"</f>
        <v>1414 A</v>
      </c>
      <c r="D12" s="418"/>
      <c r="E12" s="419"/>
      <c r="F12" s="414"/>
    </row>
    <row r="13" spans="1:6" ht="18.899999999999999" customHeight="1">
      <c r="A13" s="412"/>
      <c r="B13" s="418"/>
      <c r="C13" s="420">
        <f>'Performance Data Sheet'!H23/100</f>
        <v>1.4</v>
      </c>
      <c r="D13" s="418"/>
      <c r="E13" s="419"/>
      <c r="F13" s="414"/>
    </row>
    <row r="14" spans="1:6" ht="18.899999999999999" customHeight="1">
      <c r="A14" s="412"/>
      <c r="B14" s="418"/>
      <c r="C14" s="420"/>
      <c r="D14" s="418"/>
      <c r="E14" s="419"/>
      <c r="F14" s="414"/>
    </row>
    <row r="15" spans="1:6" ht="18.899999999999999" customHeight="1">
      <c r="A15" s="412"/>
      <c r="B15" s="418"/>
      <c r="C15" s="419" t="str">
        <f>'Performance Data Sheet'!H22 &amp; " lb-ft"</f>
        <v>8862 lb-ft</v>
      </c>
      <c r="D15" s="413"/>
      <c r="E15" s="413"/>
      <c r="F15" s="414"/>
    </row>
    <row r="16" spans="1:6" ht="18.899999999999999" customHeight="1">
      <c r="A16" s="412"/>
      <c r="B16" s="413"/>
      <c r="C16" s="413"/>
      <c r="D16" s="413"/>
      <c r="E16" s="413"/>
      <c r="F16" s="414"/>
    </row>
    <row r="17" spans="1:6" ht="18.899999999999999" customHeight="1">
      <c r="A17" s="412"/>
      <c r="B17" s="413"/>
      <c r="C17" s="413"/>
      <c r="D17" s="413"/>
      <c r="E17" s="413"/>
      <c r="F17" s="414"/>
    </row>
    <row r="18" spans="1:6" ht="18.899999999999999" customHeight="1">
      <c r="A18" s="412"/>
      <c r="B18" s="413"/>
      <c r="C18" s="413"/>
      <c r="D18" s="413"/>
      <c r="E18" s="413"/>
      <c r="F18" s="414"/>
    </row>
    <row r="19" spans="1:6" ht="18.899999999999999" customHeight="1">
      <c r="A19" s="412"/>
      <c r="B19" s="413"/>
      <c r="C19" s="413"/>
      <c r="D19" s="413"/>
      <c r="E19" s="413"/>
      <c r="F19" s="414"/>
    </row>
    <row r="20" spans="1:6" ht="18.899999999999999" customHeight="1">
      <c r="A20" s="412"/>
      <c r="B20" s="413"/>
      <c r="C20" s="413"/>
      <c r="D20" s="413"/>
      <c r="E20" s="413"/>
      <c r="F20" s="414"/>
    </row>
    <row r="21" spans="1:6" ht="18.899999999999999" customHeight="1">
      <c r="A21" s="412"/>
      <c r="B21" s="413"/>
      <c r="C21" s="413"/>
      <c r="D21" s="413"/>
      <c r="E21" s="413"/>
      <c r="F21" s="414"/>
    </row>
    <row r="22" spans="1:6" ht="18.899999999999999" customHeight="1">
      <c r="A22" s="412"/>
      <c r="B22" s="413"/>
      <c r="C22" s="413"/>
      <c r="D22" s="413"/>
      <c r="E22" s="413"/>
      <c r="F22" s="414"/>
    </row>
    <row r="23" spans="1:6" ht="18.899999999999999" customHeight="1">
      <c r="A23" s="412"/>
      <c r="B23" s="413"/>
      <c r="C23" s="413"/>
      <c r="D23" s="413"/>
      <c r="E23" s="413"/>
      <c r="F23" s="414"/>
    </row>
    <row r="24" spans="1:6" ht="18.899999999999999" customHeight="1">
      <c r="A24" s="412"/>
      <c r="B24" s="413"/>
      <c r="C24" s="413"/>
      <c r="D24" s="413"/>
      <c r="E24" s="413"/>
      <c r="F24" s="414"/>
    </row>
    <row r="25" spans="1:6" ht="18.899999999999999" customHeight="1">
      <c r="A25" s="412"/>
      <c r="B25" s="413"/>
      <c r="C25" s="413"/>
      <c r="D25" s="413"/>
      <c r="E25" s="413"/>
      <c r="F25" s="414"/>
    </row>
    <row r="26" spans="1:6" ht="18.899999999999999" customHeight="1">
      <c r="A26" s="412"/>
      <c r="B26" s="413"/>
      <c r="C26" s="413"/>
      <c r="D26" s="413"/>
      <c r="E26" s="413"/>
      <c r="F26" s="414"/>
    </row>
    <row r="27" spans="1:6" ht="18.899999999999999" customHeight="1">
      <c r="A27" s="412"/>
      <c r="B27" s="413"/>
      <c r="C27" s="413"/>
      <c r="D27" s="413"/>
      <c r="E27" s="413"/>
      <c r="F27" s="414"/>
    </row>
    <row r="28" spans="1:6" ht="18.899999999999999" customHeight="1">
      <c r="A28" s="412"/>
      <c r="B28" s="413"/>
      <c r="C28" s="413"/>
      <c r="D28" s="413"/>
      <c r="E28" s="413"/>
      <c r="F28" s="414"/>
    </row>
    <row r="29" spans="1:6" ht="18.899999999999999" customHeight="1">
      <c r="A29" s="412"/>
      <c r="B29" s="413"/>
      <c r="C29" s="413"/>
      <c r="D29" s="413"/>
      <c r="E29" s="413"/>
      <c r="F29" s="414"/>
    </row>
    <row r="30" spans="1:6" ht="18.899999999999999" customHeight="1">
      <c r="A30" s="412"/>
      <c r="B30" s="413"/>
      <c r="C30" s="413"/>
      <c r="D30" s="413"/>
      <c r="E30" s="413"/>
      <c r="F30" s="414"/>
    </row>
    <row r="31" spans="1:6" ht="18.899999999999999" customHeight="1">
      <c r="A31" s="412"/>
      <c r="B31" s="413"/>
      <c r="C31" s="413"/>
      <c r="D31" s="413"/>
      <c r="E31" s="413"/>
      <c r="F31" s="414"/>
    </row>
    <row r="32" spans="1:6" ht="18.899999999999999" customHeight="1">
      <c r="A32" s="412"/>
      <c r="B32" s="413"/>
      <c r="C32" s="413"/>
      <c r="D32" s="413"/>
      <c r="E32" s="413"/>
      <c r="F32" s="414"/>
    </row>
    <row r="33" spans="1:6" ht="18.899999999999999" customHeight="1">
      <c r="A33" s="412"/>
      <c r="B33" s="413"/>
      <c r="C33" s="413"/>
      <c r="D33" s="413"/>
      <c r="E33" s="413"/>
      <c r="F33" s="414"/>
    </row>
    <row r="34" spans="1:6" ht="18.899999999999999" customHeight="1">
      <c r="A34" s="412"/>
      <c r="B34" s="413"/>
      <c r="C34" s="413"/>
      <c r="D34" s="413"/>
      <c r="E34" s="413"/>
      <c r="F34" s="414"/>
    </row>
    <row r="35" spans="1:6" ht="18.899999999999999" customHeight="1">
      <c r="A35" s="412"/>
      <c r="B35" s="413"/>
      <c r="C35" s="413"/>
      <c r="D35" s="413"/>
      <c r="E35" s="413"/>
      <c r="F35" s="414"/>
    </row>
    <row r="36" spans="1:6" ht="18.899999999999999" customHeight="1">
      <c r="A36" s="412"/>
      <c r="B36" s="413"/>
      <c r="C36" s="413"/>
      <c r="D36" s="413"/>
      <c r="E36" s="413"/>
      <c r="F36" s="414"/>
    </row>
    <row r="37" spans="1:6" ht="18.899999999999999" customHeight="1">
      <c r="A37" s="412"/>
      <c r="B37" s="413"/>
      <c r="C37" s="413"/>
      <c r="D37" s="413"/>
      <c r="E37" s="413"/>
      <c r="F37" s="414"/>
    </row>
    <row r="38" spans="1:6" ht="18.899999999999999" customHeight="1">
      <c r="A38" s="412"/>
      <c r="B38" s="413"/>
      <c r="C38" s="413"/>
      <c r="D38" s="413"/>
      <c r="E38" s="413"/>
      <c r="F38" s="414"/>
    </row>
    <row r="39" spans="1:6" ht="18.899999999999999" customHeight="1">
      <c r="A39" s="421" t="s">
        <v>589</v>
      </c>
      <c r="B39" s="422" t="s">
        <v>370</v>
      </c>
      <c r="C39" s="541" t="str">
        <f>'Performance Data Sheet'!C10</f>
        <v>-</v>
      </c>
      <c r="D39" s="413"/>
      <c r="E39" s="418" t="s">
        <v>590</v>
      </c>
      <c r="F39" s="423" t="str">
        <f>F10</f>
        <v>DT8M30U</v>
      </c>
    </row>
    <row r="40" spans="1:6" ht="18.899999999999999" customHeight="1">
      <c r="A40" s="412"/>
      <c r="B40" s="422"/>
      <c r="C40" s="422"/>
      <c r="D40" s="413"/>
      <c r="E40" s="413"/>
      <c r="F40" s="414"/>
    </row>
    <row r="41" spans="1:6" ht="18.899999999999999" customHeight="1">
      <c r="A41" s="412"/>
      <c r="B41" s="422"/>
      <c r="C41" s="422"/>
      <c r="D41" s="413"/>
      <c r="E41" s="413"/>
      <c r="F41" s="414"/>
    </row>
    <row r="42" spans="1:6" ht="18.899999999999999" customHeight="1">
      <c r="A42" s="412"/>
      <c r="B42" s="413"/>
      <c r="C42" s="413"/>
      <c r="D42" s="413"/>
      <c r="E42" s="413"/>
      <c r="F42" s="414"/>
    </row>
    <row r="43" spans="1:6" ht="18.899999999999999" customHeight="1">
      <c r="A43" s="424"/>
      <c r="B43" s="422"/>
      <c r="C43" s="425" t="s">
        <v>591</v>
      </c>
      <c r="D43" s="426" t="str">
        <f>'Performance Data Sheet'!K42</f>
        <v>JERRY R</v>
      </c>
      <c r="E43" s="425" t="s">
        <v>592</v>
      </c>
      <c r="F43" s="426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31" t="e">
        <f>5252.1*B50/D53</f>
        <v>#DIV/0!</v>
      </c>
      <c r="G50" s="43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32"/>
    </row>
    <row r="63" spans="6:9">
      <c r="I63" s="393" t="s">
        <v>39</v>
      </c>
    </row>
    <row r="66" spans="1:6">
      <c r="D66" s="431" t="e">
        <f>D65/D64</f>
        <v>#DIV/0!</v>
      </c>
    </row>
    <row r="67" spans="1:6">
      <c r="A67" s="433" t="s">
        <v>398</v>
      </c>
      <c r="B67" s="433" t="s">
        <v>597</v>
      </c>
      <c r="C67" s="433" t="s">
        <v>598</v>
      </c>
      <c r="E67" s="433" t="s">
        <v>599</v>
      </c>
      <c r="F67" s="433" t="s">
        <v>600</v>
      </c>
    </row>
    <row r="68" spans="1:6">
      <c r="A68" s="434">
        <v>693.13725490196077</v>
      </c>
      <c r="B68" s="435">
        <v>35</v>
      </c>
      <c r="C68" s="435">
        <v>15</v>
      </c>
      <c r="E68" s="434">
        <f>A68</f>
        <v>693.13725490196077</v>
      </c>
      <c r="F68" s="435">
        <v>1E-4</v>
      </c>
    </row>
    <row r="69" spans="1:6">
      <c r="A69" s="434">
        <f>FLOOR(A68,100)</f>
        <v>600</v>
      </c>
      <c r="B69" s="435">
        <f>((A68/A69)^2)*B68</f>
        <v>46.709371929599712</v>
      </c>
      <c r="C69" s="435">
        <f>((A68/A69)^2)*C68</f>
        <v>20.018302255542736</v>
      </c>
      <c r="E69" s="434">
        <v>690.88235294117646</v>
      </c>
      <c r="F69" s="435">
        <v>0.8619999885559082</v>
      </c>
    </row>
    <row r="70" spans="1:6">
      <c r="A70" s="434">
        <f>A69-100</f>
        <v>500</v>
      </c>
      <c r="B70" s="435">
        <f>((A68/A70)^2)*B68</f>
        <v>67.26149557862361</v>
      </c>
      <c r="C70" s="435">
        <f>((A68/A70)^2)*C68</f>
        <v>28.826355247981546</v>
      </c>
      <c r="E70" s="434">
        <v>685.93137254901956</v>
      </c>
      <c r="F70" s="435">
        <v>1.6489999294281006</v>
      </c>
    </row>
    <row r="71" spans="1:6">
      <c r="A71" s="434">
        <f>A70-100</f>
        <v>400</v>
      </c>
      <c r="B71" s="435">
        <f>((A68/A71)^2)*B68</f>
        <v>105.0960868415994</v>
      </c>
      <c r="C71" s="435">
        <f>((A68/A71)^2)*C68</f>
        <v>45.041180074971173</v>
      </c>
      <c r="E71" s="434">
        <v>680.0980392156863</v>
      </c>
      <c r="F71" s="435">
        <v>2.4099998474121094</v>
      </c>
    </row>
    <row r="72" spans="1:6">
      <c r="A72" s="434">
        <f>A71-100</f>
        <v>300</v>
      </c>
      <c r="B72" s="435">
        <f>((A68/A72)^2)*B68</f>
        <v>186.83748771839885</v>
      </c>
      <c r="C72" s="435"/>
      <c r="E72" s="434">
        <v>672.74509803921569</v>
      </c>
      <c r="F72" s="435">
        <v>3.1719999313354492</v>
      </c>
    </row>
    <row r="73" spans="1:6">
      <c r="A73" s="434">
        <f>A72-100</f>
        <v>200</v>
      </c>
      <c r="B73" s="435">
        <f>((A68/A73)^2)*B68</f>
        <v>420.38434736639761</v>
      </c>
      <c r="C73" s="435"/>
      <c r="E73" s="434">
        <v>663.08823529411768</v>
      </c>
      <c r="F73" s="435">
        <v>3.9570000171661377</v>
      </c>
    </row>
    <row r="74" spans="1:6">
      <c r="A74" s="434">
        <v>240</v>
      </c>
      <c r="B74" s="435">
        <f>((A68/A74)^2)*B68</f>
        <v>291.93357455999825</v>
      </c>
      <c r="C74" s="435">
        <f>((A68/A74)^2)*C68</f>
        <v>125.11438909714212</v>
      </c>
      <c r="E74" s="434">
        <v>650.34313725490199</v>
      </c>
      <c r="F74" s="435">
        <v>4.7849998474121094</v>
      </c>
    </row>
    <row r="75" spans="1:6">
      <c r="A75" s="436">
        <v>180</v>
      </c>
      <c r="B75" s="435">
        <f>((A68/A75)^2)*B69</f>
        <v>692.6239447802152</v>
      </c>
      <c r="C75" s="435">
        <f>((A68/A75)^2)*C68</f>
        <v>222.42558061714155</v>
      </c>
      <c r="E75" s="434">
        <v>633.08823529411768</v>
      </c>
      <c r="F75" s="435">
        <v>5.679999828338623</v>
      </c>
    </row>
    <row r="76" spans="1:6">
      <c r="A76" s="436">
        <v>145</v>
      </c>
      <c r="B76" s="435">
        <f>((A68/A76)^2)*B68</f>
        <v>799.77997120836619</v>
      </c>
      <c r="C76" s="435">
        <f>((A68/A76)^2)*C68</f>
        <v>342.76284480358555</v>
      </c>
      <c r="E76" s="434">
        <v>608.77450980392166</v>
      </c>
      <c r="F76" s="435">
        <v>6.6919999122619629</v>
      </c>
    </row>
    <row r="77" spans="1:6">
      <c r="A77" s="436">
        <v>125</v>
      </c>
      <c r="B77" s="435"/>
      <c r="C77" s="434">
        <f>CEILING(C76*2,100)</f>
        <v>700</v>
      </c>
      <c r="E77" s="434">
        <v>585.39215686274508</v>
      </c>
      <c r="F77" s="435">
        <v>7.2620000839233398</v>
      </c>
    </row>
    <row r="78" spans="1:6">
      <c r="A78" s="436">
        <v>125</v>
      </c>
      <c r="B78" s="435"/>
      <c r="C78" s="434">
        <f>2*C77</f>
        <v>1400</v>
      </c>
      <c r="E78" s="434">
        <v>563.92156862745105</v>
      </c>
      <c r="F78" s="435">
        <v>7.8510003089904785</v>
      </c>
    </row>
    <row r="79" spans="1:6">
      <c r="A79" s="436">
        <v>125</v>
      </c>
      <c r="B79" s="436"/>
      <c r="C79" s="436">
        <v>10000</v>
      </c>
      <c r="E79" s="434">
        <v>521.51960784313735</v>
      </c>
      <c r="F79" s="435">
        <v>8.2890005111694336</v>
      </c>
    </row>
    <row r="80" spans="1:6">
      <c r="E80" s="434">
        <v>344.16666666666669</v>
      </c>
      <c r="F80" s="435">
        <v>8.4350004196166992</v>
      </c>
    </row>
    <row r="81" spans="5:6">
      <c r="E81" s="434">
        <v>132.79490944689184</v>
      </c>
      <c r="F81" s="435">
        <v>8.5460004806518555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69"/>
  <sheetViews>
    <sheetView topLeftCell="A35" workbookViewId="0">
      <selection activeCell="G31" sqref="G31"/>
    </sheetView>
  </sheetViews>
  <sheetFormatPr defaultColWidth="9.109375" defaultRowHeight="13.2"/>
  <cols>
    <col min="1" max="6" width="16.6640625" style="393" customWidth="1"/>
    <col min="7" max="16384" width="9.109375" style="393"/>
  </cols>
  <sheetData>
    <row r="1" spans="1:6" ht="18.899999999999999" customHeight="1">
      <c r="A1" s="405"/>
      <c r="B1" s="406"/>
      <c r="C1" s="406"/>
      <c r="D1" s="406"/>
      <c r="E1" s="406"/>
      <c r="F1" s="407"/>
    </row>
    <row r="2" spans="1:6" ht="26.1" customHeight="1">
      <c r="A2" s="408" t="s">
        <v>268</v>
      </c>
      <c r="B2" s="409"/>
      <c r="C2" s="409"/>
      <c r="D2" s="409"/>
      <c r="E2" s="409"/>
      <c r="F2" s="410"/>
    </row>
    <row r="3" spans="1:6" ht="18.899999999999999" customHeight="1">
      <c r="A3" s="411" t="s">
        <v>601</v>
      </c>
      <c r="B3" s="409"/>
      <c r="C3" s="409"/>
      <c r="D3" s="409"/>
      <c r="E3" s="409"/>
      <c r="F3" s="410"/>
    </row>
    <row r="4" spans="1:6" ht="18.899999999999999" customHeight="1">
      <c r="A4" s="672" t="s">
        <v>596</v>
      </c>
      <c r="B4" s="673"/>
      <c r="C4" s="673"/>
      <c r="D4" s="673"/>
      <c r="E4" s="673"/>
      <c r="F4" s="674"/>
    </row>
    <row r="5" spans="1:6" ht="18.899999999999999" customHeight="1">
      <c r="A5" s="412"/>
      <c r="B5" s="413"/>
      <c r="C5" s="413"/>
      <c r="D5" s="413"/>
      <c r="E5" s="413"/>
      <c r="F5" s="414"/>
    </row>
    <row r="6" spans="1:6" ht="18.899999999999999" customHeight="1">
      <c r="A6" s="415" t="s">
        <v>573</v>
      </c>
      <c r="B6" s="666" t="str">
        <f>'Performance Data Sheet'!C17</f>
        <v>M308WTQL11E-C</v>
      </c>
      <c r="C6" s="667"/>
      <c r="D6" s="668"/>
      <c r="E6" s="415" t="s">
        <v>574</v>
      </c>
      <c r="F6" s="416" t="s">
        <v>727</v>
      </c>
    </row>
    <row r="7" spans="1:6" ht="18.899999999999999" customHeight="1">
      <c r="A7" s="415" t="s">
        <v>575</v>
      </c>
      <c r="B7" s="416" t="str">
        <f>'Performance Data Sheet'!F14</f>
        <v>WP-II</v>
      </c>
      <c r="C7" s="415" t="s">
        <v>576</v>
      </c>
      <c r="D7" s="416" t="s">
        <v>726</v>
      </c>
      <c r="E7" s="415" t="s">
        <v>577</v>
      </c>
      <c r="F7" s="416" t="str">
        <f>'Performance Data Sheet'!C14</f>
        <v>6813US</v>
      </c>
    </row>
    <row r="8" spans="1:6" ht="18.899999999999999" customHeight="1">
      <c r="A8" s="415" t="s">
        <v>578</v>
      </c>
      <c r="B8" s="416">
        <v>8</v>
      </c>
      <c r="C8" s="415" t="s">
        <v>579</v>
      </c>
      <c r="D8" s="416" t="s">
        <v>580</v>
      </c>
      <c r="E8" s="415" t="s">
        <v>581</v>
      </c>
      <c r="F8" s="416" t="str">
        <f>'Performance Data Sheet'!M15</f>
        <v>F</v>
      </c>
    </row>
    <row r="9" spans="1:6" ht="18.899999999999999" customHeight="1">
      <c r="A9" s="415" t="s">
        <v>582</v>
      </c>
      <c r="B9" s="416">
        <f>'Performance Data Sheet'!C13</f>
        <v>1500</v>
      </c>
      <c r="C9" s="415" t="s">
        <v>583</v>
      </c>
      <c r="D9" s="416" t="s">
        <v>593</v>
      </c>
      <c r="E9" s="415" t="s">
        <v>2</v>
      </c>
      <c r="F9" s="417">
        <f>'Performance Data Sheet'!K44</f>
        <v>45156</v>
      </c>
    </row>
    <row r="10" spans="1:6" ht="18.899999999999999" customHeight="1">
      <c r="A10" s="415" t="s">
        <v>584</v>
      </c>
      <c r="B10" s="416">
        <f>'Performance Data Sheet'!M14</f>
        <v>889</v>
      </c>
      <c r="C10" s="415" t="s">
        <v>403</v>
      </c>
      <c r="D10" s="416" t="s">
        <v>725</v>
      </c>
      <c r="E10" s="415" t="s">
        <v>1</v>
      </c>
      <c r="F10" s="416" t="s">
        <v>379</v>
      </c>
    </row>
    <row r="11" spans="1:6" ht="18.899999999999999" customHeight="1">
      <c r="A11" s="412"/>
      <c r="B11" s="413"/>
      <c r="C11" s="413"/>
      <c r="D11" s="413"/>
      <c r="E11" s="413"/>
      <c r="F11" s="414"/>
    </row>
    <row r="12" spans="1:6" ht="18.899999999999999" customHeight="1">
      <c r="A12" s="412"/>
      <c r="B12" s="418" t="s">
        <v>585</v>
      </c>
      <c r="C12" s="419" t="s">
        <v>728</v>
      </c>
      <c r="D12" s="418" t="s">
        <v>402</v>
      </c>
      <c r="E12" s="419" t="s">
        <v>725</v>
      </c>
      <c r="F12" s="414"/>
    </row>
    <row r="13" spans="1:6" ht="18.899999999999999" customHeight="1">
      <c r="A13" s="412"/>
      <c r="B13" s="418" t="s">
        <v>586</v>
      </c>
      <c r="C13" s="420">
        <f>'Performance Data Sheet'!H23/100</f>
        <v>1.4</v>
      </c>
      <c r="D13" s="418" t="s">
        <v>587</v>
      </c>
      <c r="E13" s="419" t="s">
        <v>725</v>
      </c>
      <c r="F13" s="414"/>
    </row>
    <row r="14" spans="1:6" ht="18.899999999999999" customHeight="1">
      <c r="A14" s="412"/>
      <c r="B14" s="418" t="s">
        <v>588</v>
      </c>
      <c r="C14" s="420">
        <v>2.4</v>
      </c>
      <c r="D14" s="418" t="s">
        <v>404</v>
      </c>
      <c r="E14" s="419" t="s">
        <v>725</v>
      </c>
      <c r="F14" s="414"/>
    </row>
    <row r="15" spans="1:6" ht="18.899999999999999" customHeight="1">
      <c r="A15" s="412"/>
      <c r="B15" s="418" t="s">
        <v>405</v>
      </c>
      <c r="C15" s="419" t="str">
        <f>'Performance Data Sheet'!H22 &amp; " lb-ft"</f>
        <v>8862 lb-ft</v>
      </c>
      <c r="D15" s="413"/>
      <c r="E15" s="413"/>
      <c r="F15" s="414"/>
    </row>
    <row r="16" spans="1:6" ht="18.899999999999999" customHeight="1">
      <c r="A16" s="412"/>
      <c r="B16" s="413"/>
      <c r="C16" s="413"/>
      <c r="D16" s="413"/>
      <c r="E16" s="413"/>
      <c r="F16" s="414"/>
    </row>
    <row r="17" spans="1:8" ht="18.899999999999999" customHeight="1">
      <c r="A17" s="412"/>
      <c r="B17" s="413"/>
      <c r="C17" s="413"/>
      <c r="D17" s="413"/>
      <c r="E17" s="413"/>
      <c r="F17" s="414"/>
    </row>
    <row r="18" spans="1:8" ht="18.899999999999999" customHeight="1">
      <c r="A18" s="412"/>
      <c r="B18" s="413"/>
      <c r="C18" s="413"/>
      <c r="D18" s="413"/>
      <c r="E18" s="413"/>
      <c r="F18" s="414"/>
    </row>
    <row r="19" spans="1:8" ht="18.899999999999999" customHeight="1">
      <c r="A19" s="412"/>
      <c r="B19" s="413"/>
      <c r="C19" s="413"/>
      <c r="D19" s="413"/>
      <c r="E19" s="413"/>
      <c r="F19" s="414"/>
    </row>
    <row r="20" spans="1:8" ht="18.899999999999999" customHeight="1">
      <c r="A20" s="412"/>
      <c r="B20" s="413"/>
      <c r="C20" s="413"/>
      <c r="D20" s="413"/>
      <c r="E20" s="413"/>
      <c r="F20" s="414"/>
    </row>
    <row r="21" spans="1:8" ht="18.899999999999999" customHeight="1">
      <c r="A21" s="412"/>
      <c r="B21" s="413"/>
      <c r="C21" s="413"/>
      <c r="D21" s="413"/>
      <c r="E21" s="413"/>
      <c r="F21" s="414"/>
    </row>
    <row r="22" spans="1:8" ht="18.899999999999999" customHeight="1">
      <c r="A22" s="412"/>
      <c r="B22" s="413"/>
      <c r="C22" s="413"/>
      <c r="D22" s="413"/>
      <c r="E22" s="413"/>
      <c r="F22" s="414"/>
    </row>
    <row r="23" spans="1:8" ht="18.899999999999999" customHeight="1">
      <c r="A23" s="412"/>
      <c r="B23" s="413"/>
      <c r="C23" s="413"/>
      <c r="D23" s="413"/>
      <c r="E23" s="413"/>
      <c r="F23" s="414"/>
    </row>
    <row r="24" spans="1:8" ht="18.899999999999999" customHeight="1">
      <c r="A24" s="412"/>
      <c r="B24" s="413"/>
      <c r="C24" s="413"/>
      <c r="D24" s="413"/>
      <c r="E24" s="413"/>
      <c r="F24" s="414"/>
      <c r="H24" s="437"/>
    </row>
    <row r="25" spans="1:8" ht="18.899999999999999" customHeight="1">
      <c r="A25" s="412"/>
      <c r="B25" s="413"/>
      <c r="C25" s="413"/>
      <c r="D25" s="413"/>
      <c r="E25" s="413"/>
      <c r="F25" s="414"/>
    </row>
    <row r="26" spans="1:8" ht="18.899999999999999" customHeight="1">
      <c r="A26" s="412"/>
      <c r="B26" s="413"/>
      <c r="C26" s="413"/>
      <c r="D26" s="413"/>
      <c r="E26" s="413"/>
      <c r="F26" s="414"/>
    </row>
    <row r="27" spans="1:8" ht="18.899999999999999" customHeight="1">
      <c r="A27" s="412"/>
      <c r="B27" s="413"/>
      <c r="C27" s="413"/>
      <c r="D27" s="413"/>
      <c r="E27" s="413"/>
      <c r="F27" s="414"/>
    </row>
    <row r="28" spans="1:8" ht="18.899999999999999" customHeight="1">
      <c r="A28" s="412"/>
      <c r="B28" s="413"/>
      <c r="C28" s="413"/>
      <c r="D28" s="413"/>
      <c r="E28" s="413"/>
      <c r="F28" s="414"/>
    </row>
    <row r="29" spans="1:8" ht="18.899999999999999" customHeight="1">
      <c r="A29" s="412"/>
      <c r="B29" s="413"/>
      <c r="C29" s="413"/>
      <c r="D29" s="413"/>
      <c r="E29" s="413"/>
      <c r="F29" s="414"/>
    </row>
    <row r="30" spans="1:8" ht="18.899999999999999" customHeight="1">
      <c r="A30" s="412"/>
      <c r="B30" s="413"/>
      <c r="C30" s="413"/>
      <c r="D30" s="413"/>
      <c r="E30" s="413"/>
      <c r="F30" s="414"/>
    </row>
    <row r="31" spans="1:8" ht="18.899999999999999" customHeight="1">
      <c r="A31" s="412"/>
      <c r="B31" s="413"/>
      <c r="C31" s="413"/>
      <c r="D31" s="413"/>
      <c r="E31" s="413"/>
      <c r="F31" s="414"/>
    </row>
    <row r="32" spans="1:8" ht="18.899999999999999" customHeight="1">
      <c r="A32" s="412"/>
      <c r="B32" s="413"/>
      <c r="C32" s="413"/>
      <c r="D32" s="413"/>
      <c r="E32" s="413"/>
      <c r="F32" s="414"/>
    </row>
    <row r="33" spans="1:15" ht="18.899999999999999" customHeight="1">
      <c r="A33" s="412"/>
      <c r="B33" s="413"/>
      <c r="C33" s="413"/>
      <c r="D33" s="413"/>
      <c r="E33" s="413"/>
      <c r="F33" s="414"/>
    </row>
    <row r="34" spans="1:15" ht="18.899999999999999" customHeight="1">
      <c r="A34" s="412"/>
      <c r="B34" s="413"/>
      <c r="C34" s="413"/>
      <c r="D34" s="413"/>
      <c r="E34" s="413"/>
      <c r="F34" s="414"/>
    </row>
    <row r="35" spans="1:15" ht="18.899999999999999" customHeight="1">
      <c r="A35" s="412"/>
      <c r="B35" s="413"/>
      <c r="C35" s="413"/>
      <c r="D35" s="413"/>
      <c r="E35" s="413"/>
      <c r="F35" s="414"/>
    </row>
    <row r="36" spans="1:15" ht="18.899999999999999" customHeight="1">
      <c r="A36" s="412"/>
      <c r="B36" s="413"/>
      <c r="C36" s="413"/>
      <c r="D36" s="413"/>
      <c r="E36" s="413"/>
      <c r="F36" s="414"/>
      <c r="N36" s="542" t="s">
        <v>715</v>
      </c>
      <c r="O36" s="542" t="s">
        <v>716</v>
      </c>
    </row>
    <row r="37" spans="1:15" ht="18.899999999999999" customHeight="1">
      <c r="A37" s="412"/>
      <c r="B37" s="413"/>
      <c r="C37" s="413"/>
      <c r="D37" s="413"/>
      <c r="E37" s="413"/>
      <c r="F37" s="414"/>
      <c r="N37" s="542">
        <f xml:space="preserve"> L43 - (L43-L44) / 10 * 0</f>
        <v>900</v>
      </c>
      <c r="O37" s="542">
        <f xml:space="preserve"> L45 / 10 * 10</f>
        <v>4000</v>
      </c>
    </row>
    <row r="38" spans="1:15" ht="18.899999999999999" customHeight="1">
      <c r="A38" s="412"/>
      <c r="B38" s="413"/>
      <c r="C38" s="413"/>
      <c r="D38" s="413"/>
      <c r="E38" s="413"/>
      <c r="F38" s="414"/>
      <c r="N38" s="542">
        <f xml:space="preserve"> L43 - (L43-L44) / 10 * 1</f>
        <v>898</v>
      </c>
      <c r="O38" s="542">
        <f xml:space="preserve"> L45 / 10 * 9</f>
        <v>3600</v>
      </c>
    </row>
    <row r="39" spans="1:15" ht="18.899999999999999" customHeight="1">
      <c r="A39" s="421" t="s">
        <v>589</v>
      </c>
      <c r="B39" s="422" t="s">
        <v>370</v>
      </c>
      <c r="C39" s="541" t="str">
        <f>'Performance Data Sheet'!C10</f>
        <v>-</v>
      </c>
      <c r="D39" s="413"/>
      <c r="E39" s="418" t="s">
        <v>590</v>
      </c>
      <c r="F39" s="423" t="str">
        <f>F10</f>
        <v>DT8M30U</v>
      </c>
      <c r="N39" s="542">
        <f xml:space="preserve"> L43 - (L43-L44) / 10 * 2</f>
        <v>896</v>
      </c>
      <c r="O39" s="542">
        <f xml:space="preserve"> L45 / 10 * 8</f>
        <v>3200</v>
      </c>
    </row>
    <row r="40" spans="1:15" ht="18.899999999999999" customHeight="1">
      <c r="A40" s="412"/>
      <c r="B40" s="422"/>
      <c r="C40" s="422"/>
      <c r="D40" s="413"/>
      <c r="E40" s="413"/>
      <c r="F40" s="414"/>
      <c r="N40" s="542">
        <f xml:space="preserve"> L43 - (L43-L44) / 10 * 3</f>
        <v>894</v>
      </c>
      <c r="O40" s="542">
        <f xml:space="preserve"> L45 / 10 * 7</f>
        <v>2800</v>
      </c>
    </row>
    <row r="41" spans="1:15" ht="18.899999999999999" customHeight="1">
      <c r="A41" s="412"/>
      <c r="B41" s="422"/>
      <c r="C41" s="422"/>
      <c r="D41" s="413"/>
      <c r="E41" s="413"/>
      <c r="F41" s="414"/>
      <c r="N41" s="542">
        <f xml:space="preserve"> L43 - (L43-L44) / 10 * 4</f>
        <v>892</v>
      </c>
      <c r="O41" s="542">
        <f xml:space="preserve"> L45 / 10 * 6</f>
        <v>2400</v>
      </c>
    </row>
    <row r="42" spans="1:15" ht="18.899999999999999" customHeight="1">
      <c r="A42" s="412"/>
      <c r="B42" s="413"/>
      <c r="C42" s="413"/>
      <c r="D42" s="413"/>
      <c r="E42" s="413"/>
      <c r="F42" s="414"/>
      <c r="N42" s="542">
        <f xml:space="preserve"> L43 - (L43-L44) / 10 * 5</f>
        <v>890</v>
      </c>
      <c r="O42" s="542">
        <f xml:space="preserve"> L45 / 10 * 5</f>
        <v>2000</v>
      </c>
    </row>
    <row r="43" spans="1:15" ht="18.899999999999999" customHeight="1">
      <c r="A43" s="424"/>
      <c r="B43" s="422"/>
      <c r="C43" s="425" t="s">
        <v>591</v>
      </c>
      <c r="D43" s="426" t="str">
        <f>'Performance Data Sheet'!K42</f>
        <v>JERRY R</v>
      </c>
      <c r="E43" s="425" t="s">
        <v>592</v>
      </c>
      <c r="F43" s="426"/>
      <c r="K43" s="545" t="s">
        <v>712</v>
      </c>
      <c r="L43" s="546">
        <v>900</v>
      </c>
      <c r="N43" s="542">
        <f xml:space="preserve"> L43 - (L43-L44) / 10 * 6</f>
        <v>888</v>
      </c>
      <c r="O43" s="542">
        <f xml:space="preserve"> L45 / 10 * 4</f>
        <v>1600</v>
      </c>
    </row>
    <row r="44" spans="1:15" ht="15" customHeight="1">
      <c r="K44" s="545" t="s">
        <v>713</v>
      </c>
      <c r="L44" s="547">
        <v>880</v>
      </c>
      <c r="N44" s="542">
        <f xml:space="preserve"> L43 - (L43-L44) / 10 * 7</f>
        <v>886</v>
      </c>
      <c r="O44" s="542">
        <f xml:space="preserve"> L45 / 10 * 3</f>
        <v>1200</v>
      </c>
    </row>
    <row r="45" spans="1:15" ht="15" customHeight="1">
      <c r="K45" s="545" t="s">
        <v>714</v>
      </c>
      <c r="L45" s="547">
        <v>4000</v>
      </c>
      <c r="N45" s="542">
        <f xml:space="preserve"> L43 - (L43-L44) / 10 * 8</f>
        <v>884</v>
      </c>
      <c r="O45" s="542">
        <f xml:space="preserve"> L45 / 10 * 2</f>
        <v>800</v>
      </c>
    </row>
    <row r="46" spans="1:15" ht="15" customHeight="1">
      <c r="N46" s="542">
        <f xml:space="preserve"> L43 - (L43-L44) / 10 * 9</f>
        <v>882</v>
      </c>
      <c r="O46" s="542">
        <f xml:space="preserve"> L45 / 10 * 1</f>
        <v>400</v>
      </c>
    </row>
    <row r="47" spans="1:15" ht="15" customHeight="1">
      <c r="N47" s="542">
        <f xml:space="preserve"> L43 - (L43-L44) / 10 * 10</f>
        <v>880</v>
      </c>
      <c r="O47" s="548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75" t="s">
        <v>710</v>
      </c>
      <c r="B52" s="676"/>
      <c r="C52" s="676"/>
      <c r="D52" s="676"/>
      <c r="E52" s="676"/>
      <c r="F52" s="677"/>
    </row>
    <row r="53" spans="1:6" ht="15" customHeight="1" thickBot="1">
      <c r="A53" s="543" t="s">
        <v>401</v>
      </c>
      <c r="B53" s="543" t="s">
        <v>142</v>
      </c>
      <c r="C53" s="543" t="s">
        <v>120</v>
      </c>
      <c r="D53" s="543" t="s">
        <v>135</v>
      </c>
      <c r="E53" s="543" t="s">
        <v>5</v>
      </c>
      <c r="F53" s="544" t="s">
        <v>602</v>
      </c>
    </row>
    <row r="54" spans="1:6" ht="15" customHeight="1">
      <c r="A54" s="438">
        <v>0</v>
      </c>
      <c r="B54" s="439"/>
      <c r="C54" s="440"/>
      <c r="D54" s="440">
        <v>73</v>
      </c>
      <c r="E54" s="440">
        <v>100</v>
      </c>
      <c r="F54" s="441">
        <f>16200/(L45*1000) * 100</f>
        <v>0.40499999999999997</v>
      </c>
    </row>
    <row r="55" spans="1:6" ht="15" customHeight="1">
      <c r="A55" s="442">
        <v>25</v>
      </c>
      <c r="B55" s="443">
        <v>90.900001525878906</v>
      </c>
      <c r="C55" s="444">
        <v>56.400001525878906</v>
      </c>
      <c r="D55" s="444">
        <v>78.75</v>
      </c>
      <c r="E55" s="444">
        <f xml:space="preserve"> (1.00852384449258*B10-L44)/(L43-L44)*100</f>
        <v>82.888488769517608</v>
      </c>
      <c r="F55" s="445">
        <f xml:space="preserve"> 307716.2/(L45*1000)*100</f>
        <v>7.6929049999999997</v>
      </c>
    </row>
    <row r="56" spans="1:6" ht="15" customHeight="1">
      <c r="A56" s="442">
        <v>50</v>
      </c>
      <c r="B56" s="443">
        <v>94.099998474121094</v>
      </c>
      <c r="C56" s="444">
        <v>71.300003051757813</v>
      </c>
      <c r="D56" s="444">
        <v>120.30000305175781</v>
      </c>
      <c r="E56" s="444">
        <f xml:space="preserve"> (1.00632417590868*B10-L44)/(L43-L44)*100</f>
        <v>73.110961914082964</v>
      </c>
      <c r="F56" s="445">
        <f xml:space="preserve"> 594259/(L45*1000)*100</f>
        <v>14.856475</v>
      </c>
    </row>
    <row r="57" spans="1:6">
      <c r="A57" s="442">
        <v>75</v>
      </c>
      <c r="B57" s="443">
        <v>95.099998474121094</v>
      </c>
      <c r="C57" s="444">
        <v>79.699996948242188</v>
      </c>
      <c r="D57" s="444">
        <v>159.97000122070313</v>
      </c>
      <c r="E57" s="444">
        <f xml:space="preserve"> (1.00329960585981*B10-L44)/(L43-L44)*100</f>
        <v>59.66674804685568</v>
      </c>
      <c r="F57" s="445">
        <f xml:space="preserve"> 883318.8/(L45*1000)*100</f>
        <v>22.082970000000003</v>
      </c>
    </row>
    <row r="58" spans="1:6">
      <c r="A58" s="442">
        <v>100</v>
      </c>
      <c r="B58" s="443">
        <v>95.400001525878906</v>
      </c>
      <c r="C58" s="444">
        <v>82.900001525878906</v>
      </c>
      <c r="D58" s="444">
        <v>204.30000305175781</v>
      </c>
      <c r="E58" s="444">
        <f xml:space="preserve"> (1*B10-L44)/(L43-L44)*100</f>
        <v>45</v>
      </c>
      <c r="F58" s="445">
        <f xml:space="preserve"> 1173393/(L45*1000)*100</f>
        <v>29.334824999999999</v>
      </c>
    </row>
    <row r="59" spans="1:6" ht="13.8" thickBot="1">
      <c r="A59" s="446">
        <v>125</v>
      </c>
      <c r="B59" s="447">
        <v>95.400001525878906</v>
      </c>
      <c r="C59" s="448">
        <v>83.900001525878906</v>
      </c>
      <c r="D59" s="448">
        <v>252.36000061035156</v>
      </c>
      <c r="E59" s="448">
        <f xml:space="preserve"> (0.996700394140186*B10-L44)/(L43-L44)*100</f>
        <v>30.333251953126705</v>
      </c>
      <c r="F59" s="449">
        <f xml:space="preserve"> 1466909/(L45*1000)*100</f>
        <v>36.672725</v>
      </c>
    </row>
    <row r="60" spans="1:6">
      <c r="A60" s="427"/>
      <c r="B60" s="428"/>
      <c r="C60" s="428"/>
    </row>
    <row r="61" spans="1:6" ht="13.8" thickBot="1">
      <c r="A61" s="427"/>
      <c r="B61" s="428"/>
      <c r="C61" s="428"/>
    </row>
    <row r="62" spans="1:6" ht="13.8" thickBot="1">
      <c r="A62" s="675" t="s">
        <v>711</v>
      </c>
      <c r="B62" s="676"/>
      <c r="C62" s="676"/>
      <c r="D62" s="676"/>
      <c r="E62" s="676"/>
      <c r="F62" s="677"/>
    </row>
    <row r="63" spans="1:6" ht="13.8" thickBot="1">
      <c r="A63" s="543" t="s">
        <v>401</v>
      </c>
      <c r="B63" s="543" t="s">
        <v>142</v>
      </c>
      <c r="C63" s="543" t="s">
        <v>120</v>
      </c>
      <c r="D63" s="543" t="s">
        <v>135</v>
      </c>
      <c r="E63" s="543" t="s">
        <v>5</v>
      </c>
      <c r="F63" s="544" t="s">
        <v>602</v>
      </c>
    </row>
    <row r="64" spans="1:6">
      <c r="A64" s="438">
        <v>0</v>
      </c>
      <c r="B64" s="439"/>
      <c r="C64" s="440"/>
      <c r="D64" s="440">
        <v>71.603287157406868</v>
      </c>
      <c r="E64" s="440">
        <v>100</v>
      </c>
      <c r="F64" s="441">
        <v>23.3372027344355</v>
      </c>
    </row>
    <row r="65" spans="1:6">
      <c r="A65" s="442">
        <v>25</v>
      </c>
      <c r="B65" s="443">
        <v>90.945472717285156</v>
      </c>
      <c r="C65" s="444">
        <v>56.361831665039063</v>
      </c>
      <c r="D65" s="444">
        <v>78.7535400390625</v>
      </c>
      <c r="E65" s="444">
        <v>60.337126031687887</v>
      </c>
      <c r="F65" s="445">
        <v>7.6878175185597311</v>
      </c>
    </row>
    <row r="66" spans="1:6">
      <c r="A66" s="442">
        <v>50</v>
      </c>
      <c r="B66" s="443">
        <v>94.14862060546875</v>
      </c>
      <c r="C66" s="444">
        <v>71.282203674316406</v>
      </c>
      <c r="D66" s="444">
        <v>120.30154418945313</v>
      </c>
      <c r="E66" s="444">
        <v>56.097384690656831</v>
      </c>
      <c r="F66" s="445">
        <v>14.852521703287781</v>
      </c>
    </row>
    <row r="67" spans="1:6">
      <c r="A67" s="442">
        <v>75</v>
      </c>
      <c r="B67" s="443">
        <v>95.090591430664063</v>
      </c>
      <c r="C67" s="444">
        <v>79.614891052246094</v>
      </c>
      <c r="D67" s="444">
        <v>159.96527099609375</v>
      </c>
      <c r="E67" s="444">
        <v>50.52602522481741</v>
      </c>
      <c r="F67" s="445">
        <v>22.058089841662575</v>
      </c>
    </row>
    <row r="68" spans="1:6">
      <c r="A68" s="442">
        <v>100</v>
      </c>
      <c r="B68" s="443">
        <v>95.391448974609375</v>
      </c>
      <c r="C68" s="444">
        <v>82.854080200195313</v>
      </c>
      <c r="D68" s="444">
        <v>204.30213928222656</v>
      </c>
      <c r="E68" s="444">
        <v>44.754427749689398</v>
      </c>
      <c r="F68" s="445">
        <v>29.318024557683358</v>
      </c>
    </row>
    <row r="69" spans="1:6" ht="13.8" thickBot="1">
      <c r="A69" s="446">
        <v>125</v>
      </c>
      <c r="B69" s="447">
        <v>95.4112548828125</v>
      </c>
      <c r="C69" s="448">
        <v>83.828071594238281</v>
      </c>
      <c r="D69" s="448">
        <v>252.35806274414063</v>
      </c>
      <c r="E69" s="448">
        <v>38.844309089473747</v>
      </c>
      <c r="F69" s="449">
        <v>36.63992465094892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AED9-1D97-4CB0-8E7C-D044C142A259}">
  <sheetPr>
    <pageSetUpPr fitToPage="1"/>
  </sheetPr>
  <dimension ref="A1:O69"/>
  <sheetViews>
    <sheetView topLeftCell="B6" workbookViewId="0">
      <selection activeCell="J25" sqref="J25"/>
    </sheetView>
  </sheetViews>
  <sheetFormatPr defaultColWidth="9.109375" defaultRowHeight="13.2"/>
  <cols>
    <col min="1" max="6" width="16.6640625" style="393" customWidth="1"/>
    <col min="7" max="16384" width="9.109375" style="393"/>
  </cols>
  <sheetData>
    <row r="1" spans="1:6" ht="18.899999999999999" customHeight="1">
      <c r="A1" s="405"/>
      <c r="B1" s="406"/>
      <c r="C1" s="406"/>
      <c r="D1" s="406"/>
      <c r="E1" s="406"/>
      <c r="F1" s="407"/>
    </row>
    <row r="2" spans="1:6" ht="26.1" customHeight="1">
      <c r="A2" s="408" t="s">
        <v>268</v>
      </c>
      <c r="B2" s="409"/>
      <c r="C2" s="409"/>
      <c r="D2" s="409"/>
      <c r="E2" s="409"/>
      <c r="F2" s="410"/>
    </row>
    <row r="3" spans="1:6" ht="18.899999999999999" customHeight="1">
      <c r="A3" s="411" t="s">
        <v>601</v>
      </c>
      <c r="B3" s="409"/>
      <c r="C3" s="409"/>
      <c r="D3" s="409"/>
      <c r="E3" s="409"/>
      <c r="F3" s="410"/>
    </row>
    <row r="4" spans="1:6" ht="18.899999999999999" customHeight="1">
      <c r="A4" s="672" t="s">
        <v>596</v>
      </c>
      <c r="B4" s="673"/>
      <c r="C4" s="673"/>
      <c r="D4" s="673"/>
      <c r="E4" s="673"/>
      <c r="F4" s="674"/>
    </row>
    <row r="5" spans="1:6" ht="18.899999999999999" customHeight="1">
      <c r="A5" s="412"/>
      <c r="B5" s="413"/>
      <c r="C5" s="413"/>
      <c r="D5" s="413"/>
      <c r="E5" s="413"/>
      <c r="F5" s="414"/>
    </row>
    <row r="6" spans="1:6" ht="18.899999999999999" customHeight="1">
      <c r="A6" s="415" t="s">
        <v>573</v>
      </c>
      <c r="B6" s="666" t="str">
        <f>'Performance Data Sheet'!C17</f>
        <v>M308WTQL11E-C</v>
      </c>
      <c r="C6" s="667"/>
      <c r="D6" s="668"/>
      <c r="E6" s="415" t="s">
        <v>574</v>
      </c>
      <c r="F6" s="416" t="s">
        <v>722</v>
      </c>
    </row>
    <row r="7" spans="1:6" ht="18.899999999999999" customHeight="1">
      <c r="A7" s="415" t="s">
        <v>575</v>
      </c>
      <c r="B7" s="416" t="str">
        <f>'Performance Data Sheet'!F14</f>
        <v>WP-II</v>
      </c>
      <c r="C7" s="415" t="s">
        <v>576</v>
      </c>
      <c r="D7" s="416" t="s">
        <v>724</v>
      </c>
      <c r="E7" s="415" t="s">
        <v>577</v>
      </c>
      <c r="F7" s="416" t="str">
        <f>'Performance Data Sheet'!C14</f>
        <v>6813US</v>
      </c>
    </row>
    <row r="8" spans="1:6" ht="18.899999999999999" customHeight="1">
      <c r="A8" s="415" t="s">
        <v>578</v>
      </c>
      <c r="B8" s="416">
        <v>8</v>
      </c>
      <c r="C8" s="415" t="s">
        <v>579</v>
      </c>
      <c r="D8" s="416" t="s">
        <v>580</v>
      </c>
      <c r="E8" s="415" t="s">
        <v>581</v>
      </c>
      <c r="F8" s="416" t="str">
        <f>'Performance Data Sheet'!M15</f>
        <v>F</v>
      </c>
    </row>
    <row r="9" spans="1:6" ht="18.899999999999999" customHeight="1">
      <c r="A9" s="415" t="s">
        <v>582</v>
      </c>
      <c r="B9" s="416">
        <f>'Performance Data Sheet'!C13</f>
        <v>1500</v>
      </c>
      <c r="C9" s="415" t="s">
        <v>583</v>
      </c>
      <c r="D9" s="416" t="s">
        <v>593</v>
      </c>
      <c r="E9" s="415" t="s">
        <v>2</v>
      </c>
      <c r="F9" s="417">
        <f>'Performance Data Sheet'!K44</f>
        <v>45156</v>
      </c>
    </row>
    <row r="10" spans="1:6" ht="18.899999999999999" customHeight="1">
      <c r="A10" s="415" t="s">
        <v>584</v>
      </c>
      <c r="B10" s="416">
        <f>'Performance Data Sheet'!M14</f>
        <v>889</v>
      </c>
      <c r="C10" s="415" t="s">
        <v>403</v>
      </c>
      <c r="D10" s="416" t="s">
        <v>725</v>
      </c>
      <c r="E10" s="415" t="s">
        <v>1</v>
      </c>
      <c r="F10" s="416" t="s">
        <v>379</v>
      </c>
    </row>
    <row r="11" spans="1:6" ht="18.899999999999999" customHeight="1">
      <c r="A11" s="412"/>
      <c r="B11" s="413"/>
      <c r="C11" s="413"/>
      <c r="D11" s="413"/>
      <c r="E11" s="413"/>
      <c r="F11" s="414"/>
    </row>
    <row r="12" spans="1:6" ht="18.899999999999999" customHeight="1">
      <c r="A12" s="412"/>
      <c r="B12" s="418" t="s">
        <v>585</v>
      </c>
      <c r="C12" s="419" t="s">
        <v>723</v>
      </c>
      <c r="D12" s="418" t="s">
        <v>402</v>
      </c>
      <c r="E12" s="419" t="s">
        <v>725</v>
      </c>
      <c r="F12" s="414"/>
    </row>
    <row r="13" spans="1:6" ht="18.899999999999999" customHeight="1">
      <c r="A13" s="412"/>
      <c r="B13" s="418" t="s">
        <v>586</v>
      </c>
      <c r="C13" s="420">
        <f>'Performance Data Sheet'!H23/100</f>
        <v>1.4</v>
      </c>
      <c r="D13" s="418" t="s">
        <v>587</v>
      </c>
      <c r="E13" s="419" t="s">
        <v>725</v>
      </c>
      <c r="F13" s="414"/>
    </row>
    <row r="14" spans="1:6" ht="18.899999999999999" customHeight="1">
      <c r="A14" s="412"/>
      <c r="B14" s="418" t="s">
        <v>588</v>
      </c>
      <c r="C14" s="420">
        <v>2.4</v>
      </c>
      <c r="D14" s="418" t="s">
        <v>404</v>
      </c>
      <c r="E14" s="419" t="s">
        <v>725</v>
      </c>
      <c r="F14" s="414"/>
    </row>
    <row r="15" spans="1:6" ht="18.899999999999999" customHeight="1">
      <c r="A15" s="412"/>
      <c r="B15" s="418" t="s">
        <v>405</v>
      </c>
      <c r="C15" s="419" t="str">
        <f>'Performance Data Sheet'!H22 &amp; " lb-ft"</f>
        <v>8862 lb-ft</v>
      </c>
      <c r="D15" s="413"/>
      <c r="E15" s="413"/>
      <c r="F15" s="414"/>
    </row>
    <row r="16" spans="1:6" ht="18.899999999999999" customHeight="1">
      <c r="A16" s="412"/>
      <c r="B16" s="413"/>
      <c r="C16" s="413"/>
      <c r="D16" s="413"/>
      <c r="E16" s="413"/>
      <c r="F16" s="414"/>
    </row>
    <row r="17" spans="1:8" ht="18.899999999999999" customHeight="1">
      <c r="A17" s="412"/>
      <c r="B17" s="413"/>
      <c r="C17" s="413"/>
      <c r="D17" s="413"/>
      <c r="E17" s="413"/>
      <c r="F17" s="414"/>
    </row>
    <row r="18" spans="1:8" ht="18.899999999999999" customHeight="1">
      <c r="A18" s="412"/>
      <c r="B18" s="413"/>
      <c r="C18" s="413"/>
      <c r="D18" s="413"/>
      <c r="E18" s="413"/>
      <c r="F18" s="414"/>
    </row>
    <row r="19" spans="1:8" ht="18.899999999999999" customHeight="1">
      <c r="A19" s="412"/>
      <c r="B19" s="413"/>
      <c r="C19" s="413"/>
      <c r="D19" s="413"/>
      <c r="E19" s="413"/>
      <c r="F19" s="414"/>
    </row>
    <row r="20" spans="1:8" ht="18.899999999999999" customHeight="1">
      <c r="A20" s="412"/>
      <c r="B20" s="413"/>
      <c r="C20" s="413"/>
      <c r="D20" s="413"/>
      <c r="E20" s="413"/>
      <c r="F20" s="414"/>
    </row>
    <row r="21" spans="1:8" ht="18.899999999999999" customHeight="1">
      <c r="A21" s="412"/>
      <c r="B21" s="413"/>
      <c r="C21" s="413"/>
      <c r="D21" s="413"/>
      <c r="E21" s="413"/>
      <c r="F21" s="414"/>
    </row>
    <row r="22" spans="1:8" ht="18.899999999999999" customHeight="1">
      <c r="A22" s="412"/>
      <c r="B22" s="413"/>
      <c r="C22" s="413"/>
      <c r="D22" s="413"/>
      <c r="E22" s="413"/>
      <c r="F22" s="414"/>
    </row>
    <row r="23" spans="1:8" ht="18.899999999999999" customHeight="1">
      <c r="A23" s="412"/>
      <c r="B23" s="413"/>
      <c r="C23" s="413"/>
      <c r="D23" s="413"/>
      <c r="E23" s="413"/>
      <c r="F23" s="414"/>
    </row>
    <row r="24" spans="1:8" ht="18.899999999999999" customHeight="1">
      <c r="A24" s="412"/>
      <c r="B24" s="413"/>
      <c r="C24" s="413"/>
      <c r="D24" s="413"/>
      <c r="E24" s="413"/>
      <c r="F24" s="414"/>
      <c r="H24" s="437"/>
    </row>
    <row r="25" spans="1:8" ht="18.899999999999999" customHeight="1">
      <c r="A25" s="412"/>
      <c r="B25" s="413"/>
      <c r="C25" s="413"/>
      <c r="D25" s="413"/>
      <c r="E25" s="413"/>
      <c r="F25" s="414"/>
    </row>
    <row r="26" spans="1:8" ht="18.899999999999999" customHeight="1">
      <c r="A26" s="412"/>
      <c r="B26" s="413"/>
      <c r="C26" s="413"/>
      <c r="D26" s="413"/>
      <c r="E26" s="413"/>
      <c r="F26" s="414"/>
    </row>
    <row r="27" spans="1:8" ht="18.899999999999999" customHeight="1">
      <c r="A27" s="412"/>
      <c r="B27" s="413"/>
      <c r="C27" s="413"/>
      <c r="D27" s="413"/>
      <c r="E27" s="413"/>
      <c r="F27" s="414"/>
    </row>
    <row r="28" spans="1:8" ht="18.899999999999999" customHeight="1">
      <c r="A28" s="412"/>
      <c r="B28" s="413"/>
      <c r="C28" s="413"/>
      <c r="D28" s="413"/>
      <c r="E28" s="413"/>
      <c r="F28" s="414"/>
    </row>
    <row r="29" spans="1:8" ht="18.899999999999999" customHeight="1">
      <c r="A29" s="412"/>
      <c r="B29" s="413"/>
      <c r="C29" s="413"/>
      <c r="D29" s="413"/>
      <c r="E29" s="413"/>
      <c r="F29" s="414"/>
    </row>
    <row r="30" spans="1:8" ht="18.899999999999999" customHeight="1">
      <c r="A30" s="412"/>
      <c r="B30" s="413"/>
      <c r="C30" s="413"/>
      <c r="D30" s="413"/>
      <c r="E30" s="413"/>
      <c r="F30" s="414"/>
    </row>
    <row r="31" spans="1:8" ht="18.899999999999999" customHeight="1">
      <c r="A31" s="412"/>
      <c r="B31" s="413"/>
      <c r="C31" s="413"/>
      <c r="D31" s="413"/>
      <c r="E31" s="413"/>
      <c r="F31" s="414"/>
    </row>
    <row r="32" spans="1:8" ht="18.899999999999999" customHeight="1">
      <c r="A32" s="412"/>
      <c r="B32" s="413"/>
      <c r="C32" s="413"/>
      <c r="D32" s="413"/>
      <c r="E32" s="413"/>
      <c r="F32" s="414"/>
    </row>
    <row r="33" spans="1:15" ht="18.899999999999999" customHeight="1">
      <c r="A33" s="412"/>
      <c r="B33" s="413"/>
      <c r="C33" s="413"/>
      <c r="D33" s="413"/>
      <c r="E33" s="413"/>
      <c r="F33" s="414"/>
    </row>
    <row r="34" spans="1:15" ht="18.899999999999999" customHeight="1">
      <c r="A34" s="412"/>
      <c r="B34" s="413"/>
      <c r="C34" s="413"/>
      <c r="D34" s="413"/>
      <c r="E34" s="413"/>
      <c r="F34" s="414"/>
    </row>
    <row r="35" spans="1:15" ht="18.899999999999999" customHeight="1">
      <c r="A35" s="412"/>
      <c r="B35" s="413"/>
      <c r="C35" s="413"/>
      <c r="D35" s="413"/>
      <c r="E35" s="413"/>
      <c r="F35" s="414"/>
    </row>
    <row r="36" spans="1:15" ht="18.899999999999999" customHeight="1">
      <c r="A36" s="412"/>
      <c r="B36" s="413"/>
      <c r="C36" s="413"/>
      <c r="D36" s="413"/>
      <c r="E36" s="413"/>
      <c r="F36" s="414"/>
      <c r="N36" s="542" t="s">
        <v>715</v>
      </c>
      <c r="O36" s="542" t="s">
        <v>716</v>
      </c>
    </row>
    <row r="37" spans="1:15" ht="18.899999999999999" customHeight="1">
      <c r="A37" s="412"/>
      <c r="B37" s="413"/>
      <c r="C37" s="413"/>
      <c r="D37" s="413"/>
      <c r="E37" s="413"/>
      <c r="F37" s="414"/>
      <c r="N37" s="542">
        <f xml:space="preserve"> L43 - (L43-L44) / 10 * 0</f>
        <v>900</v>
      </c>
      <c r="O37" s="542">
        <f xml:space="preserve"> L45 / 10 * 10</f>
        <v>4000</v>
      </c>
    </row>
    <row r="38" spans="1:15" ht="18.899999999999999" customHeight="1">
      <c r="A38" s="412"/>
      <c r="B38" s="413"/>
      <c r="C38" s="413"/>
      <c r="D38" s="413"/>
      <c r="E38" s="413"/>
      <c r="F38" s="414"/>
      <c r="N38" s="542">
        <f xml:space="preserve"> L43 - (L43-L44) / 10 * 1</f>
        <v>898</v>
      </c>
      <c r="O38" s="542">
        <f xml:space="preserve"> L45 / 10 * 9</f>
        <v>3600</v>
      </c>
    </row>
    <row r="39" spans="1:15" ht="18.899999999999999" customHeight="1">
      <c r="A39" s="421" t="s">
        <v>589</v>
      </c>
      <c r="B39" s="422" t="s">
        <v>370</v>
      </c>
      <c r="C39" s="541" t="str">
        <f>'Performance Data Sheet'!C10</f>
        <v>-</v>
      </c>
      <c r="D39" s="413"/>
      <c r="E39" s="418" t="s">
        <v>590</v>
      </c>
      <c r="F39" s="423" t="str">
        <f>F10</f>
        <v>DT8M30U</v>
      </c>
      <c r="N39" s="542">
        <f xml:space="preserve"> L43 - (L43-L44) / 10 * 2</f>
        <v>896</v>
      </c>
      <c r="O39" s="542">
        <f xml:space="preserve"> L45 / 10 * 8</f>
        <v>3200</v>
      </c>
    </row>
    <row r="40" spans="1:15" ht="18.899999999999999" customHeight="1">
      <c r="A40" s="412"/>
      <c r="B40" s="422"/>
      <c r="C40" s="422"/>
      <c r="D40" s="413"/>
      <c r="E40" s="413"/>
      <c r="F40" s="414"/>
      <c r="N40" s="542">
        <f xml:space="preserve"> L43 - (L43-L44) / 10 * 3</f>
        <v>894</v>
      </c>
      <c r="O40" s="542">
        <f xml:space="preserve"> L45 / 10 * 7</f>
        <v>2800</v>
      </c>
    </row>
    <row r="41" spans="1:15" ht="18.899999999999999" customHeight="1">
      <c r="A41" s="412"/>
      <c r="B41" s="422"/>
      <c r="C41" s="422"/>
      <c r="D41" s="413"/>
      <c r="E41" s="413"/>
      <c r="F41" s="414"/>
      <c r="N41" s="542">
        <f xml:space="preserve"> L43 - (L43-L44) / 10 * 4</f>
        <v>892</v>
      </c>
      <c r="O41" s="542">
        <f xml:space="preserve"> L45 / 10 * 6</f>
        <v>2400</v>
      </c>
    </row>
    <row r="42" spans="1:15" ht="18.899999999999999" customHeight="1">
      <c r="A42" s="412"/>
      <c r="B42" s="413"/>
      <c r="C42" s="413"/>
      <c r="D42" s="413"/>
      <c r="E42" s="413"/>
      <c r="F42" s="414"/>
      <c r="N42" s="542">
        <f xml:space="preserve"> L43 - (L43-L44) / 10 * 5</f>
        <v>890</v>
      </c>
      <c r="O42" s="542">
        <f xml:space="preserve"> L45 / 10 * 5</f>
        <v>2000</v>
      </c>
    </row>
    <row r="43" spans="1:15" ht="18.899999999999999" customHeight="1">
      <c r="A43" s="424"/>
      <c r="B43" s="422"/>
      <c r="C43" s="425" t="s">
        <v>591</v>
      </c>
      <c r="D43" s="426" t="str">
        <f>'Performance Data Sheet'!K42</f>
        <v>JERRY R</v>
      </c>
      <c r="E43" s="425" t="s">
        <v>592</v>
      </c>
      <c r="F43" s="426"/>
      <c r="K43" s="545" t="s">
        <v>712</v>
      </c>
      <c r="L43" s="546">
        <v>900</v>
      </c>
      <c r="N43" s="542">
        <f xml:space="preserve"> L43 - (L43-L44) / 10 * 6</f>
        <v>888</v>
      </c>
      <c r="O43" s="542">
        <f xml:space="preserve"> L45 / 10 * 4</f>
        <v>1600</v>
      </c>
    </row>
    <row r="44" spans="1:15" ht="15" customHeight="1">
      <c r="K44" s="545" t="s">
        <v>713</v>
      </c>
      <c r="L44" s="547">
        <v>880</v>
      </c>
      <c r="N44" s="542">
        <f xml:space="preserve"> L43 - (L43-L44) / 10 * 7</f>
        <v>886</v>
      </c>
      <c r="O44" s="542">
        <f xml:space="preserve"> L45 / 10 * 3</f>
        <v>1200</v>
      </c>
    </row>
    <row r="45" spans="1:15" ht="15" customHeight="1">
      <c r="K45" s="545" t="s">
        <v>714</v>
      </c>
      <c r="L45" s="547">
        <v>4000</v>
      </c>
      <c r="N45" s="542">
        <f xml:space="preserve"> L43 - (L43-L44) / 10 * 8</f>
        <v>884</v>
      </c>
      <c r="O45" s="542">
        <f xml:space="preserve"> L45 / 10 * 2</f>
        <v>800</v>
      </c>
    </row>
    <row r="46" spans="1:15" ht="15" customHeight="1">
      <c r="N46" s="542">
        <f xml:space="preserve"> L43 - (L43-L44) / 10 * 9</f>
        <v>882</v>
      </c>
      <c r="O46" s="542">
        <f xml:space="preserve"> L45 / 10 * 1</f>
        <v>400</v>
      </c>
    </row>
    <row r="47" spans="1:15" ht="15" customHeight="1">
      <c r="N47" s="542">
        <f xml:space="preserve"> L43 - (L43-L44) / 10 * 10</f>
        <v>880</v>
      </c>
      <c r="O47" s="548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75" t="s">
        <v>710</v>
      </c>
      <c r="B52" s="676"/>
      <c r="C52" s="676"/>
      <c r="D52" s="676"/>
      <c r="E52" s="676"/>
      <c r="F52" s="677"/>
    </row>
    <row r="53" spans="1:6" ht="15" customHeight="1" thickBot="1">
      <c r="A53" s="543" t="s">
        <v>401</v>
      </c>
      <c r="B53" s="543" t="s">
        <v>142</v>
      </c>
      <c r="C53" s="543" t="s">
        <v>120</v>
      </c>
      <c r="D53" s="543" t="s">
        <v>135</v>
      </c>
      <c r="E53" s="543" t="s">
        <v>5</v>
      </c>
      <c r="F53" s="544" t="s">
        <v>602</v>
      </c>
    </row>
    <row r="54" spans="1:6" ht="15" customHeight="1">
      <c r="A54" s="438">
        <v>0</v>
      </c>
      <c r="B54" s="439"/>
      <c r="C54" s="440"/>
      <c r="D54" s="440">
        <v>126.43970895252804</v>
      </c>
      <c r="E54" s="440">
        <v>100</v>
      </c>
      <c r="F54" s="441">
        <f>16200/(L45*1000) * 100</f>
        <v>0.40499999999999997</v>
      </c>
    </row>
    <row r="55" spans="1:6" ht="15" customHeight="1">
      <c r="A55" s="442">
        <v>25</v>
      </c>
      <c r="B55" s="443">
        <v>90.900001525878906</v>
      </c>
      <c r="C55" s="444">
        <v>56.400001525878906</v>
      </c>
      <c r="D55" s="444">
        <v>136.39900109604909</v>
      </c>
      <c r="E55" s="444">
        <f xml:space="preserve"> (1.00852384449258*B10-L44)/(L43-L44)*100</f>
        <v>82.888488769517608</v>
      </c>
      <c r="F55" s="445">
        <f xml:space="preserve"> 307716.2/(L45*1000)*100</f>
        <v>7.6929049999999997</v>
      </c>
    </row>
    <row r="56" spans="1:6" ht="15" customHeight="1">
      <c r="A56" s="442">
        <v>50</v>
      </c>
      <c r="B56" s="443">
        <v>94.099998474121094</v>
      </c>
      <c r="C56" s="444">
        <v>71.300003051757813</v>
      </c>
      <c r="D56" s="444">
        <v>208.3657174363355</v>
      </c>
      <c r="E56" s="444">
        <f xml:space="preserve"> (1.00632417590868*B10-L44)/(L43-L44)*100</f>
        <v>73.110961914082964</v>
      </c>
      <c r="F56" s="445">
        <f xml:space="preserve"> 594259/(L45*1000)*100</f>
        <v>14.856475</v>
      </c>
    </row>
    <row r="57" spans="1:6">
      <c r="A57" s="442">
        <v>75</v>
      </c>
      <c r="B57" s="443">
        <v>95.099998474121094</v>
      </c>
      <c r="C57" s="444">
        <v>79.699996948242188</v>
      </c>
      <c r="D57" s="444">
        <v>277.07616980111311</v>
      </c>
      <c r="E57" s="444">
        <f xml:space="preserve"> (1.00329960585981*B10-L44)/(L43-L44)*100</f>
        <v>59.66674804685568</v>
      </c>
      <c r="F57" s="445">
        <f xml:space="preserve"> 883318.8/(L45*1000)*100</f>
        <v>22.082970000000003</v>
      </c>
    </row>
    <row r="58" spans="1:6">
      <c r="A58" s="442">
        <v>100</v>
      </c>
      <c r="B58" s="443">
        <v>95.400001525878906</v>
      </c>
      <c r="C58" s="444">
        <v>82.900001525878906</v>
      </c>
      <c r="D58" s="444">
        <v>353</v>
      </c>
      <c r="E58" s="444">
        <f xml:space="preserve"> (1*B10-L44)/(L43-L44)*100</f>
        <v>45</v>
      </c>
      <c r="F58" s="445">
        <f xml:space="preserve"> 1173393/(L45*1000)*100</f>
        <v>29.334824999999999</v>
      </c>
    </row>
    <row r="59" spans="1:6" ht="13.8" thickBot="1">
      <c r="A59" s="446">
        <v>125</v>
      </c>
      <c r="B59" s="447">
        <v>95.400001525878906</v>
      </c>
      <c r="C59" s="448">
        <v>83.900001525878906</v>
      </c>
      <c r="D59" s="448">
        <v>437.10034285524176</v>
      </c>
      <c r="E59" s="448">
        <f xml:space="preserve"> (0.996700394140186*B10-L44)/(L43-L44)*100</f>
        <v>30.333251953126705</v>
      </c>
      <c r="F59" s="449">
        <f xml:space="preserve"> 1466909/(L45*1000)*100</f>
        <v>36.672725</v>
      </c>
    </row>
    <row r="60" spans="1:6">
      <c r="A60" s="427"/>
      <c r="B60" s="428"/>
      <c r="C60" s="428"/>
    </row>
    <row r="61" spans="1:6" ht="13.8" thickBot="1">
      <c r="A61" s="427"/>
      <c r="B61" s="428"/>
      <c r="C61" s="428"/>
    </row>
    <row r="62" spans="1:6" ht="13.8" thickBot="1">
      <c r="A62" s="675" t="s">
        <v>711</v>
      </c>
      <c r="B62" s="676"/>
      <c r="C62" s="676"/>
      <c r="D62" s="676"/>
      <c r="E62" s="676"/>
      <c r="F62" s="677"/>
    </row>
    <row r="63" spans="1:6" ht="13.8" thickBot="1">
      <c r="A63" s="543" t="s">
        <v>401</v>
      </c>
      <c r="B63" s="543" t="s">
        <v>142</v>
      </c>
      <c r="C63" s="543" t="s">
        <v>120</v>
      </c>
      <c r="D63" s="543" t="s">
        <v>135</v>
      </c>
      <c r="E63" s="543" t="s">
        <v>5</v>
      </c>
      <c r="F63" s="544" t="s">
        <v>602</v>
      </c>
    </row>
    <row r="64" spans="1:6">
      <c r="A64" s="438">
        <v>0</v>
      </c>
      <c r="B64" s="439"/>
      <c r="C64" s="440"/>
      <c r="D64" s="440">
        <v>71.603287157406868</v>
      </c>
      <c r="E64" s="440">
        <v>100</v>
      </c>
      <c r="F64" s="441">
        <v>23.3372027344355</v>
      </c>
    </row>
    <row r="65" spans="1:6">
      <c r="A65" s="442">
        <v>25</v>
      </c>
      <c r="B65" s="443">
        <v>90.945472717285156</v>
      </c>
      <c r="C65" s="444">
        <v>56.361831665039063</v>
      </c>
      <c r="D65" s="444">
        <v>78.7535400390625</v>
      </c>
      <c r="E65" s="444">
        <v>60.337126031687887</v>
      </c>
      <c r="F65" s="445">
        <v>7.6878175185597311</v>
      </c>
    </row>
    <row r="66" spans="1:6">
      <c r="A66" s="442">
        <v>50</v>
      </c>
      <c r="B66" s="443">
        <v>94.14862060546875</v>
      </c>
      <c r="C66" s="444">
        <v>71.282203674316406</v>
      </c>
      <c r="D66" s="444">
        <v>120.30154418945313</v>
      </c>
      <c r="E66" s="444">
        <v>56.097384690656831</v>
      </c>
      <c r="F66" s="445">
        <v>14.852521703287781</v>
      </c>
    </row>
    <row r="67" spans="1:6">
      <c r="A67" s="442">
        <v>75</v>
      </c>
      <c r="B67" s="443">
        <v>95.090591430664063</v>
      </c>
      <c r="C67" s="444">
        <v>79.614891052246094</v>
      </c>
      <c r="D67" s="444">
        <v>159.96527099609375</v>
      </c>
      <c r="E67" s="444">
        <v>50.52602522481741</v>
      </c>
      <c r="F67" s="445">
        <v>22.058089841662575</v>
      </c>
    </row>
    <row r="68" spans="1:6">
      <c r="A68" s="442">
        <v>100</v>
      </c>
      <c r="B68" s="443">
        <v>95.391448974609375</v>
      </c>
      <c r="C68" s="444">
        <v>82.854080200195313</v>
      </c>
      <c r="D68" s="444">
        <v>204.30213928222656</v>
      </c>
      <c r="E68" s="444">
        <v>44.754427749689398</v>
      </c>
      <c r="F68" s="445">
        <v>29.318024557683358</v>
      </c>
    </row>
    <row r="69" spans="1:6" ht="13.8" thickBot="1">
      <c r="A69" s="446">
        <v>125</v>
      </c>
      <c r="B69" s="447">
        <v>95.4112548828125</v>
      </c>
      <c r="C69" s="448">
        <v>83.828071594238281</v>
      </c>
      <c r="D69" s="448">
        <v>252.35806274414063</v>
      </c>
      <c r="E69" s="448">
        <v>38.844309089473747</v>
      </c>
      <c r="F69" s="449">
        <v>36.63992465094892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 4000V</vt:lpstr>
      <vt:lpstr>Performance 2300V</vt:lpstr>
      <vt:lpstr>'Data Sheet'!Print_Area</vt:lpstr>
      <vt:lpstr>DesignSheet!Print_Area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'Performance Data Sheet'!Print_Area_MI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</cp:lastModifiedBy>
  <cp:lastPrinted>2017-05-22T14:20:14Z</cp:lastPrinted>
  <dcterms:created xsi:type="dcterms:W3CDTF">1997-10-03T20:37:30Z</dcterms:created>
  <dcterms:modified xsi:type="dcterms:W3CDTF">2023-08-18T15:37:15Z</dcterms:modified>
</cp:coreProperties>
</file>