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TOP HAT - WPII\"/>
    </mc:Choice>
  </mc:AlternateContent>
  <xr:revisionPtr revIDLastSave="0" documentId="13_ncr:1_{FDDD4B86-4E04-4A95-B3EB-5F80B454B332}" xr6:coauthVersionLast="47" xr6:coauthVersionMax="47" xr10:uidLastSave="{00000000-0000-0000-0000-000000000000}"/>
  <bookViews>
    <workbookView xWindow="0" yWindow="0" windowWidth="14400" windowHeight="15600" tabRatio="783" activeTab="1" xr2:uid="{00000000-000D-0000-FFFF-FFFF00000000}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</sheets>
  <definedNames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2" l="1"/>
  <c r="C76" i="8"/>
  <c r="C77" i="8" s="1"/>
  <c r="C78" i="8" s="1"/>
  <c r="B76" i="8"/>
  <c r="C75" i="8"/>
  <c r="C74" i="8"/>
  <c r="B74" i="8"/>
  <c r="A69" i="8"/>
  <c r="A70" i="8" s="1"/>
  <c r="E68" i="8"/>
  <c r="D66" i="8"/>
  <c r="F50" i="8"/>
  <c r="M28" i="3"/>
  <c r="M18" i="3"/>
  <c r="C70" i="8" l="1"/>
  <c r="A71" i="8"/>
  <c r="B70" i="8"/>
  <c r="C69" i="8"/>
  <c r="B69" i="8"/>
  <c r="B75" i="8" s="1"/>
  <c r="A72" i="8" l="1"/>
  <c r="B71" i="8"/>
  <c r="C71" i="8"/>
  <c r="A73" i="8" l="1"/>
  <c r="B73" i="8" s="1"/>
  <c r="B7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<sst xmlns="http://schemas.openxmlformats.org/spreadsheetml/2006/main" count="829" uniqueCount="657">
  <si>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</si>
  <si>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</si>
  <si>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</si>
  <si>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</si>
  <si>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</si>
  <si>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</si>
  <si>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</si>
  <si>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</si>
  <si>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</si>
  <si>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</si>
  <si>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</si>
  <si>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</si>
  <si>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</si>
  <si>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</si>
  <si>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</si>
  <si>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</si>
  <si>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</si>
  <si>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</si>
  <si>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</si>
  <si>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</si>
  <si>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</si>
  <si>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</si>
  <si>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</si>
  <si>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</si>
  <si>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</si>
  <si>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</si>
  <si>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</si>
  <si>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</si>
  <si>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</si>
  <si>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</si>
  <si>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</si>
  <si>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</si>
  <si>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</si>
  <si>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</si>
  <si>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</si>
  <si>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</si>
  <si>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</si>
  <si>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</si>
  <si>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</si>
  <si>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</si>
  <si>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</si>
  <si>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</si>
  <si>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</si>
  <si>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</si>
  <si>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</si>
  <si>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</si>
  <si>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</si>
  <si>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</si>
  <si>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</si>
  <si>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</si>
  <si>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</si>
  <si>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</si>
  <si>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</si>
  <si>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</si>
  <si>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</si>
  <si>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</si>
  <si>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</si>
  <si>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</si>
  <si>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</si>
  <si>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</si>
  <si>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</si>
  <si>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</si>
  <si>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</si>
  <si>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</si>
  <si>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</si>
  <si>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</si>
  <si>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</si>
  <si>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</si>
  <si>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</si>
  <si>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</si>
  <si>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</si>
  <si>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</si>
  <si>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</si>
  <si>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</si>
  <si>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</si>
  <si>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</si>
  <si>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</si>
  <si>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</si>
  <si>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</si>
  <si>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</si>
  <si>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</si>
  <si>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</si>
  <si>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</si>
  <si>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</si>
  <si>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</si>
  <si>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</si>
  <si>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</si>
  <si>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</si>
  <si>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</si>
  <si>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</si>
  <si>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</si>
  <si>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</si>
  <si>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</si>
  <si>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</si>
  <si>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</si>
  <si>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</si>
  <si>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</si>
  <si>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</si>
  <si>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</si>
  <si>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</si>
  <si>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</si>
  <si>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</si>
  <si>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</si>
  <si>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</si>
  <si>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</si>
  <si>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</si>
  <si>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</si>
  <si>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</si>
  <si>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</si>
  <si>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</si>
  <si>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</si>
  <si>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</si>
  <si>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</si>
  <si>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</si>
  <si>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</si>
  <si>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</si>
  <si>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</si>
  <si>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</si>
  <si>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</si>
  <si>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</si>
  <si>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</si>
  <si>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</si>
  <si>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</si>
  <si>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</si>
  <si>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</si>
  <si>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</si>
  <si>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</si>
  <si>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</si>
  <si>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</si>
  <si>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</si>
  <si>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</si>
  <si>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</si>
  <si>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</si>
  <si>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</si>
  <si>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</si>
  <si>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</si>
  <si>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</si>
  <si>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</si>
  <si>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</si>
  <si>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</si>
  <si>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</si>
  <si>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</si>
  <si>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</si>
  <si>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</si>
  <si>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</si>
  <si>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</si>
  <si>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</si>
  <si>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</si>
  <si>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</si>
  <si>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</si>
  <si>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</si>
  <si>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</si>
  <si>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</si>
  <si>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</si>
  <si>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</si>
  <si>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</si>
  <si>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</si>
  <si>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</si>
  <si>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</si>
  <si>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</si>
  <si>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</si>
  <si>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</si>
  <si>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</si>
  <si>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</si>
  <si>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</si>
  <si>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</si>
  <si>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</si>
  <si>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</si>
  <si>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</si>
  <si>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</si>
  <si>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</si>
  <si>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</si>
  <si>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</si>
  <si>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</si>
  <si>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</si>
  <si>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</si>
  <si>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DCW4</t>
  </si>
  <si>
    <t>5011/12USS</t>
  </si>
  <si>
    <t>Open</t>
  </si>
  <si>
    <t>Trapeze</t>
  </si>
  <si>
    <t>14.00 - 14.00</t>
  </si>
  <si>
    <t>1.20 - 2.40</t>
  </si>
  <si>
    <t>Normal</t>
  </si>
  <si>
    <t>11 x 8</t>
  </si>
  <si>
    <t>10 x 8</t>
  </si>
  <si>
    <t>1 ~ 14</t>
  </si>
  <si>
    <t>(.102"x.182")x1</t>
  </si>
  <si>
    <t>(.102"x.204")x1</t>
  </si>
  <si>
    <t>Wye</t>
  </si>
  <si>
    <t>(105°C)</t>
  </si>
  <si>
    <t>CU</t>
  </si>
  <si>
    <t>Special</t>
  </si>
  <si>
    <t>ERD1: 246.0</t>
  </si>
  <si>
    <t>EBL: 25.0</t>
  </si>
  <si>
    <t>ERT: 44.50</t>
  </si>
  <si>
    <t>ERH: 44.00</t>
  </si>
  <si>
    <t>LB:  -</t>
  </si>
  <si>
    <t>LER:  -</t>
  </si>
  <si>
    <t>Single Cage Data</t>
  </si>
  <si>
    <t>UB: 304.0</t>
  </si>
  <si>
    <t>UER: 1958.0</t>
  </si>
  <si>
    <t>(Coeff.: 0.0652)</t>
  </si>
  <si>
    <t>Skew R.: 0.00</t>
  </si>
  <si>
    <t>2-2-2-0-1-2</t>
  </si>
  <si>
    <t>B.L.-1  P.F.-1</t>
  </si>
  <si>
    <t>10297.3 / 10595.3</t>
  </si>
  <si>
    <t>5539.6 / 7160.7</t>
  </si>
  <si>
    <t>11729.0 / 9919.6</t>
  </si>
  <si>
    <t>3000.0 / 5198.0</t>
  </si>
  <si>
    <t>8409.1 / 4065.9</t>
  </si>
  <si>
    <t>1803.0 / 871.8</t>
  </si>
  <si>
    <t>6606.2 / 3194.1</t>
  </si>
  <si>
    <t>1.50 / 0.73</t>
  </si>
  <si>
    <t>65 / 63</t>
  </si>
  <si>
    <t>Temp. Rise @ 100%:</t>
  </si>
  <si>
    <t>Stray Loss</t>
  </si>
  <si>
    <t>0.936 / 0.918</t>
  </si>
  <si>
    <t>0.960 / 0.942</t>
  </si>
  <si>
    <t>0.965 / 0.947</t>
  </si>
  <si>
    <t>0.963 / 0.945</t>
  </si>
  <si>
    <t>0.731 / 0.712</t>
  </si>
  <si>
    <t>0.881 / 0.857</t>
  </si>
  <si>
    <t>0.917 / 0.892</t>
  </si>
  <si>
    <t>0.925 / 0.901</t>
  </si>
  <si>
    <t>0.923 / 0.899</t>
  </si>
  <si>
    <t>39.34 / 41.22</t>
  </si>
  <si>
    <t>63.67 / 66.70</t>
  </si>
  <si>
    <t>91.25 / 95.59</t>
  </si>
  <si>
    <t>120.53 / 126.26</t>
  </si>
  <si>
    <t>151.34 / 158.54</t>
  </si>
  <si>
    <t>4.86 / 5.09</t>
  </si>
  <si>
    <t>UB: 5.78 / 6.05</t>
  </si>
  <si>
    <t>UER: 4.86 / 5.09</t>
  </si>
  <si>
    <t>3593.7 / 3587.9</t>
  </si>
  <si>
    <t>3587.5 / 3581.7</t>
  </si>
  <si>
    <t>3581.1 / 3575.3</t>
  </si>
  <si>
    <t>3574.4 / 3568.6</t>
  </si>
  <si>
    <t>3568.0 / 3562.2</t>
  </si>
  <si>
    <t>0.0017 / 0.0034</t>
  </si>
  <si>
    <t>0.0035 / 0.0051</t>
  </si>
  <si>
    <t>0.0052 / 0.0069</t>
  </si>
  <si>
    <t>0.0071 / 0.0087</t>
  </si>
  <si>
    <t>0.0089 / 0.0105</t>
  </si>
  <si>
    <t>24.533 / 22.689</t>
  </si>
  <si>
    <t>1.213 / 1.121</t>
  </si>
  <si>
    <t>24.56 / 22.72</t>
  </si>
  <si>
    <t>626.7 / 632.5</t>
  </si>
  <si>
    <t>520.0 / 524.8</t>
  </si>
  <si>
    <t>226.3 / 205.8</t>
  </si>
  <si>
    <t>111.3 / 101.2</t>
  </si>
  <si>
    <t>253.8 / 191.4</t>
  </si>
  <si>
    <t>Correlated to: P151579_Lab2006_TestData.dat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</si>
  <si>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</si>
  <si>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</si>
  <si>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</si>
  <si>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</si>
  <si>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</si>
  <si>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</si>
  <si>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</si>
  <si>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</si>
  <si>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</si>
  <si>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56.3 kg.m²</t>
  </si>
  <si>
    <t>Acceleration Data (FV V)</t>
  </si>
  <si>
    <t>5.1 (s)</t>
  </si>
  <si>
    <t>203.3 kg.m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</si>
  <si>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</si>
  <si>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</si>
  <si>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</si>
  <si>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</si>
  <si>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</si>
  <si>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</si>
  <si>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</si>
  <si>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</si>
  <si>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</si>
  <si>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</si>
  <si>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</si>
  <si>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</si>
  <si>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</si>
  <si>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</si>
  <si>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</si>
  <si>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</si>
  <si>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</si>
  <si>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</si>
  <si>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</si>
  <si>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</si>
  <si>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</si>
  <si>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</si>
  <si>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</si>
  <si>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</si>
  <si>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</si>
  <si>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</si>
  <si>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</si>
  <si>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</si>
  <si>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</si>
  <si>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</si>
  <si>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</si>
  <si>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</si>
  <si>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</si>
  <si>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</si>
  <si>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</si>
  <si>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</si>
  <si>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</si>
  <si>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</si>
  <si>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</si>
  <si>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</si>
  <si>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</si>
  <si>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</si>
  <si>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</si>
  <si>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</si>
  <si>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</si>
  <si>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</si>
  <si>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</si>
  <si>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</si>
  <si>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</si>
  <si>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</si>
  <si>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</si>
  <si>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</si>
  <si>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</si>
  <si>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</si>
  <si>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</si>
  <si>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</si>
  <si>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</si>
  <si>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</si>
  <si>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</si>
  <si>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</si>
  <si>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</si>
  <si>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</si>
  <si>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</si>
  <si>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</si>
  <si>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</si>
  <si>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</si>
  <si>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</si>
  <si>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</si>
  <si>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</si>
  <si>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</si>
  <si>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</si>
  <si>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</si>
  <si>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</si>
  <si>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</si>
  <si>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</si>
  <si>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</si>
  <si>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</si>
  <si>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</si>
  <si>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</si>
  <si>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</si>
  <si>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</si>
  <si>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</si>
  <si>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</si>
  <si>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</si>
  <si>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</si>
  <si>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</si>
  <si>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</si>
  <si>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</si>
  <si>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</si>
  <si>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</si>
  <si>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</si>
  <si>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</si>
  <si>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</si>
  <si>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</si>
  <si>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</si>
  <si>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</si>
  <si>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</si>
  <si>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</si>
  <si>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</si>
  <si>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</si>
  <si>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</si>
  <si>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</si>
  <si>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</si>
  <si>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</si>
  <si>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</si>
  <si>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</si>
  <si>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</si>
  <si>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</si>
  <si>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Type: TIKE - Form: DCW4 - 2 Pole - 1000 HP - 2300 / 4000 V - 60 Hz - 5011/12USS - Class F</t>
  </si>
  <si>
    <t>16 x 2</t>
  </si>
  <si>
    <t>1D / 1Y</t>
  </si>
  <si>
    <t xml:space="preserve"> - </t>
  </si>
  <si>
    <t>218 / 126</t>
  </si>
  <si>
    <t>40 / 23</t>
  </si>
  <si>
    <t>1096/ 633</t>
  </si>
  <si>
    <t>65 / 86</t>
  </si>
  <si>
    <t>509 / 2557</t>
  </si>
  <si>
    <t>605 / 509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</si>
  <si>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</si>
  <si>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</si>
  <si>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</si>
  <si>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</si>
  <si>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</si>
  <si>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</si>
  <si>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</si>
  <si>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</si>
  <si>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</si>
  <si>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</si>
  <si>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</si>
  <si>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</si>
  <si>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1125.0</t>
  </si>
  <si>
    <t xml:space="preserve">8T: </t>
  </si>
  <si>
    <t/>
  </si>
  <si>
    <t>0.0129 ~ 0.0124</t>
  </si>
  <si>
    <t>AWG. 02 x 6</t>
  </si>
  <si>
    <t>0.00129</t>
  </si>
  <si>
    <t>8T: 22.33</t>
  </si>
  <si>
    <t>8T: 10.20</t>
  </si>
  <si>
    <t>14.10 ~ 13.70</t>
  </si>
  <si>
    <t>9.52</t>
  </si>
  <si>
    <t>3.80</t>
  </si>
  <si>
    <t xml:space="preserve"> (.102"x.182")x 1: </t>
  </si>
  <si>
    <t xml:space="preserve"> (.102"x.204")x 1: </t>
  </si>
  <si>
    <t>177 lbs.</t>
  </si>
  <si>
    <t>199 lbs.</t>
  </si>
  <si>
    <t xml:space="preserve">1-4, 2-5, 3-6: </t>
  </si>
  <si>
    <t>0.184 ~ 0.173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</si>
  <si>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</si>
  <si>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</si>
  <si>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</si>
  <si>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</si>
  <si>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</si>
  <si>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</si>
  <si>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</si>
  <si>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</si>
  <si>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</si>
  <si>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</si>
  <si>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</si>
  <si>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</si>
  <si>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</si>
  <si>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N/A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</si>
  <si>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</si>
  <si>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</si>
  <si>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</si>
  <si>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</si>
  <si>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</si>
  <si>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</si>
  <si>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</si>
  <si>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</si>
  <si>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134.7 lb-ft²</t>
  </si>
  <si>
    <t>334.0 lb-ft²</t>
  </si>
  <si>
    <t>1473 lb-ft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</si>
  <si>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</si>
  <si>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</si>
  <si>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</si>
  <si>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</si>
  <si>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</si>
  <si>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</si>
  <si>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</si>
  <si>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</si>
  <si>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</si>
  <si>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</si>
  <si>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</si>
  <si>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</si>
  <si>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</si>
  <si>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</si>
  <si>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</si>
  <si>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</si>
  <si>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</si>
  <si>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</si>
  <si>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</si>
  <si>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</si>
  <si>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</si>
  <si>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</si>
  <si>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</si>
  <si>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</si>
  <si>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</si>
  <si>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</si>
  <si>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</si>
  <si>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</si>
  <si>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</si>
  <si>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</si>
  <si>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</si>
  <si>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</si>
  <si>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</si>
  <si>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</si>
  <si>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</si>
  <si>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</si>
  <si>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</si>
  <si>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</si>
  <si>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</si>
  <si>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- 1000.0 HP - 3600 RPM - 4000 V - 60 Hz</t>
  </si>
  <si>
    <t>0~375</t>
  </si>
  <si>
    <t>375~750</t>
  </si>
  <si>
    <t>750~1125</t>
  </si>
  <si>
    <t>1125~1501</t>
  </si>
  <si>
    <t>1501~1876</t>
  </si>
  <si>
    <t>1876~2251</t>
  </si>
  <si>
    <t>2251~2626</t>
  </si>
  <si>
    <t>2626~3001</t>
  </si>
  <si>
    <t>3001~3189</t>
  </si>
  <si>
    <t>3189~3376</t>
  </si>
  <si>
    <t>3376~3564</t>
  </si>
  <si>
    <t>3564~3574</t>
  </si>
  <si>
    <t>Load Type: Fan / Pump - 334.0 lb-ft²</t>
  </si>
  <si>
    <t>100.0</t>
  </si>
  <si>
    <t>100.1</t>
  </si>
  <si>
    <t>100.2</t>
  </si>
  <si>
    <t>100.5</t>
  </si>
  <si>
    <t>100.8</t>
  </si>
  <si>
    <t>101.3</t>
  </si>
  <si>
    <t>102.1</t>
  </si>
  <si>
    <t>104.2</t>
  </si>
  <si>
    <t>108.9</t>
  </si>
  <si>
    <t>120.6</t>
  </si>
  <si>
    <t>159.6</t>
  </si>
  <si>
    <t>145.0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</si>
  <si>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</si>
  <si>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</si>
  <si>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</si>
  <si>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</si>
  <si>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</si>
  <si>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</si>
  <si>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</si>
  <si>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</si>
  <si>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</si>
  <si>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</si>
  <si>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</si>
  <si>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</si>
  <si>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0.500</t>
  </si>
  <si>
    <t>0.438</t>
  </si>
  <si>
    <t>0.417</t>
  </si>
  <si>
    <t>0.419</t>
  </si>
  <si>
    <t>0.439</t>
  </si>
  <si>
    <t>0.479</t>
  </si>
  <si>
    <t>0.550</t>
  </si>
  <si>
    <t>0.688</t>
  </si>
  <si>
    <t>0.432</t>
  </si>
  <si>
    <t>0.447</t>
  </si>
  <si>
    <t>0.283</t>
  </si>
  <si>
    <t>0.023</t>
  </si>
  <si>
    <t>631.6</t>
  </si>
  <si>
    <t>628.7</t>
  </si>
  <si>
    <t>625.3</t>
  </si>
  <si>
    <t>621.5</t>
  </si>
  <si>
    <t>617.2</t>
  </si>
  <si>
    <t>612.6</t>
  </si>
  <si>
    <t>607.3</t>
  </si>
  <si>
    <t>600.3</t>
  </si>
  <si>
    <t>591.2</t>
  </si>
  <si>
    <t>574.8</t>
  </si>
  <si>
    <t>519.6</t>
  </si>
  <si>
    <t>316.3</t>
  </si>
  <si>
    <t>142.1</t>
  </si>
  <si>
    <t>123.3</t>
  </si>
  <si>
    <t>116.3</t>
  </si>
  <si>
    <t>115.5</t>
  </si>
  <si>
    <t>119.5</t>
  </si>
  <si>
    <t>128.5</t>
  </si>
  <si>
    <t>145.1</t>
  </si>
  <si>
    <t>178.3</t>
  </si>
  <si>
    <t>108.8</t>
  </si>
  <si>
    <t>109.0</t>
  </si>
  <si>
    <t>63.7</t>
  </si>
  <si>
    <t>0.3</t>
  </si>
  <si>
    <t>393.6</t>
  </si>
  <si>
    <t>308.7</t>
  </si>
  <si>
    <t>260.1</t>
  </si>
  <si>
    <t>227.3</t>
  </si>
  <si>
    <t>202.7</t>
  </si>
  <si>
    <t>182.5</t>
  </si>
  <si>
    <t>164.7</t>
  </si>
  <si>
    <t>150.3</t>
  </si>
  <si>
    <t>90.0</t>
  </si>
  <si>
    <t>35.7</t>
  </si>
  <si>
    <t>8.9</t>
  </si>
  <si>
    <t>1350 kW / s</t>
  </si>
  <si>
    <t>1975 kW / s</t>
  </si>
  <si>
    <t>169 kW / s</t>
  </si>
  <si>
    <t>21°C</t>
  </si>
  <si>
    <t>83°C</t>
  </si>
  <si>
    <t>19°C</t>
  </si>
  <si>
    <t>42°C</t>
  </si>
  <si>
    <t>166°C</t>
  </si>
  <si>
    <t>37°C</t>
  </si>
  <si>
    <t>Acceleration Time:  5.1 s</t>
  </si>
  <si>
    <t>5.1°C / s</t>
  </si>
  <si>
    <t>28.8°C / s</t>
  </si>
  <si>
    <t>6.4°C / s</t>
  </si>
  <si>
    <t>325.6 kW</t>
  </si>
  <si>
    <t>687.1 kW</t>
  </si>
  <si>
    <t>58.9 kW</t>
  </si>
  <si>
    <t>31.5 s</t>
  </si>
  <si>
    <t>9.0 s</t>
  </si>
  <si>
    <t>28.0 s</t>
  </si>
  <si>
    <t>63°C    +</t>
  </si>
  <si>
    <t>83°C    +</t>
  </si>
  <si>
    <t>97°C    +</t>
  </si>
  <si>
    <t>177°C   +</t>
  </si>
  <si>
    <t>97°C   +</t>
  </si>
  <si>
    <t>19.1 s</t>
  </si>
  <si>
    <t>6.1 s</t>
  </si>
  <si>
    <t>15.1 s</t>
  </si>
  <si>
    <t>18.2 s</t>
  </si>
  <si>
    <t>9.8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</si>
  <si>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</si>
  <si>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</si>
  <si>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</si>
  <si>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</si>
  <si>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</si>
  <si>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</si>
  <si>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</si>
  <si>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</si>
  <si>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</si>
  <si>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</si>
  <si>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</si>
  <si>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</si>
  <si>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</si>
  <si>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</si>
  <si>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</si>
  <si>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</si>
  <si>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</si>
  <si>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</si>
  <si>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</si>
  <si>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</si>
  <si>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</si>
  <si>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</si>
  <si>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</si>
  <si>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</si>
  <si>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</si>
  <si>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</si>
  <si>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</si>
  <si>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2160.0 Hz</t>
  </si>
  <si>
    <t>2145.5 Hz</t>
  </si>
  <si>
    <t>1920.0 Hz</t>
  </si>
  <si>
    <t>1905.5 Hz</t>
  </si>
  <si>
    <t>2040.0 Hz</t>
  </si>
  <si>
    <t>2025.5 Hz</t>
  </si>
  <si>
    <t>2747.0 Hz</t>
  </si>
  <si>
    <t>550.3 Hz</t>
  </si>
  <si>
    <t>1556.5 Hz</t>
  </si>
  <si>
    <t>2984.5 Hz</t>
  </si>
  <si>
    <t>4826.6 Hz</t>
  </si>
  <si>
    <t>7080.6 Hz</t>
  </si>
  <si>
    <t>9745.5 Hz</t>
  </si>
  <si>
    <t>12821.0 Hz</t>
  </si>
  <si>
    <t>16307.0 Hz</t>
  </si>
  <si>
    <t>20203.4 Hz</t>
  </si>
  <si>
    <t>No matching frequencies detected.</t>
  </si>
  <si>
    <t xml:space="preserve"> -</t>
  </si>
  <si>
    <t>F &amp; W( Sleeve)</t>
  </si>
  <si>
    <t>A. Gracia</t>
  </si>
  <si>
    <t>2300 / 4000 V</t>
  </si>
  <si>
    <t>AG</t>
  </si>
  <si>
    <t>1096 / 633 A</t>
  </si>
  <si>
    <t>S. Hernandez</t>
  </si>
  <si>
    <t>SH</t>
  </si>
  <si>
    <t>NL &amp; Impedance Test                                    Lab# 2012A</t>
  </si>
  <si>
    <t>34.9 / 20.18</t>
  </si>
  <si>
    <t>221.1 / 127.68</t>
  </si>
  <si>
    <t>1023 / 590.6</t>
  </si>
  <si>
    <t>M203WTQK11F-CF</t>
  </si>
  <si>
    <t>M:\Active Projects\5012 Development\Sleeve BRG\2P\P151579 (800 HP)\Electric\DT2M20F.rat</t>
  </si>
  <si>
    <t>DT2M20F</t>
  </si>
  <si>
    <t>QC limits: DT2M20F</t>
  </si>
  <si>
    <t xml:space="preserve">Rev. 1. Electrical ID &amp; QC Limits were changed </t>
  </si>
  <si>
    <t>A. Gracia  10/26/17</t>
  </si>
  <si>
    <t>66.8 / 94.0</t>
  </si>
  <si>
    <t>LINK:</t>
  </si>
  <si>
    <t>P151579.rat with P151579_Lab2006_TestData.dat</t>
  </si>
  <si>
    <t>Run DT2M20F.rat</t>
  </si>
  <si>
    <t xml:space="preserve">NOT SUITABLE FOR API ORDER DUE TO SHAFT VIBRATION.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</si>
</sst>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</numFmts>
  <fonts count="62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5" fillId="0" borderId="0"/>
    <xf numFmtId="0" fontId="15" fillId="0" borderId="0"/>
    <xf numFmtId="0" fontId="46" fillId="0" borderId="0"/>
    <xf numFmtId="0" fontId="46" fillId="0" borderId="0"/>
  </cellStyleXfs>
  <cellXfs count="566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53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left"/>
    </xf>
    <xf numFmtId="166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17" fillId="0" borderId="0" xfId="1" applyFont="1"/>
    <xf numFmtId="0" fontId="18" fillId="0" borderId="0" xfId="1" applyFont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4" xfId="1" applyFont="1" applyBorder="1" applyAlignment="1">
      <alignment horizontal="left" vertical="center"/>
    </xf>
    <xf numFmtId="0" fontId="23" fillId="0" borderId="55" xfId="1" applyFont="1" applyBorder="1" applyAlignment="1">
      <alignment vertical="center"/>
    </xf>
    <xf numFmtId="0" fontId="15" fillId="0" borderId="55" xfId="1" applyBorder="1"/>
    <xf numFmtId="0" fontId="23" fillId="0" borderId="56" xfId="1" applyFont="1" applyBorder="1" applyAlignment="1">
      <alignment horizontal="right" vertical="center"/>
    </xf>
    <xf numFmtId="0" fontId="24" fillId="0" borderId="0" xfId="1" applyFont="1"/>
    <xf numFmtId="0" fontId="25" fillId="0" borderId="54" xfId="1" applyFont="1" applyBorder="1"/>
    <xf numFmtId="0" fontId="24" fillId="0" borderId="56" xfId="1" applyFont="1" applyBorder="1"/>
    <xf numFmtId="0" fontId="25" fillId="0" borderId="56" xfId="1" applyFont="1" applyBorder="1"/>
    <xf numFmtId="0" fontId="26" fillId="0" borderId="0" xfId="1" applyFont="1"/>
    <xf numFmtId="0" fontId="27" fillId="2" borderId="13" xfId="1" applyFont="1" applyFill="1" applyBorder="1" applyAlignment="1">
      <alignment horizontal="center"/>
    </xf>
    <xf numFmtId="0" fontId="27" fillId="2" borderId="57" xfId="1" applyFont="1" applyFill="1" applyBorder="1" applyAlignment="1">
      <alignment horizontal="center"/>
    </xf>
    <xf numFmtId="0" fontId="27" fillId="2" borderId="0" xfId="1" quotePrefix="1" applyFont="1" applyFill="1" applyAlignment="1">
      <alignment horizontal="left"/>
    </xf>
    <xf numFmtId="0" fontId="28" fillId="2" borderId="58" xfId="1" applyFont="1" applyFill="1" applyBorder="1" applyAlignment="1">
      <alignment horizontal="right"/>
    </xf>
    <xf numFmtId="0" fontId="27" fillId="2" borderId="59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Border="1"/>
    <xf numFmtId="0" fontId="24" fillId="0" borderId="21" xfId="1" applyFont="1" applyBorder="1"/>
    <xf numFmtId="0" fontId="25" fillId="0" borderId="21" xfId="1" applyFont="1" applyBorder="1"/>
    <xf numFmtId="0" fontId="29" fillId="2" borderId="69" xfId="1" applyFont="1" applyFill="1" applyBorder="1"/>
    <xf numFmtId="0" fontId="29" fillId="2" borderId="70" xfId="1" applyFont="1" applyFill="1" applyBorder="1"/>
    <xf numFmtId="0" fontId="32" fillId="2" borderId="70" xfId="1" applyFont="1" applyFill="1" applyBorder="1"/>
    <xf numFmtId="0" fontId="32" fillId="2" borderId="71" xfId="1" applyFont="1" applyFill="1" applyBorder="1"/>
    <xf numFmtId="166" fontId="31" fillId="2" borderId="66" xfId="1" applyNumberFormat="1" applyFont="1" applyFill="1" applyBorder="1" applyAlignment="1">
      <alignment horizontal="center"/>
    </xf>
    <xf numFmtId="0" fontId="31" fillId="2" borderId="72" xfId="1" applyFont="1" applyFill="1" applyBorder="1" applyAlignment="1">
      <alignment horizontal="center"/>
    </xf>
    <xf numFmtId="0" fontId="29" fillId="2" borderId="73" xfId="1" applyFont="1" applyFill="1" applyBorder="1"/>
    <xf numFmtId="0" fontId="29" fillId="2" borderId="74" xfId="1" applyFont="1" applyFill="1" applyBorder="1"/>
    <xf numFmtId="0" fontId="32" fillId="2" borderId="74" xfId="1" applyFont="1" applyFill="1" applyBorder="1"/>
    <xf numFmtId="0" fontId="32" fillId="2" borderId="75" xfId="1" applyFont="1" applyFill="1" applyBorder="1"/>
    <xf numFmtId="1" fontId="31" fillId="2" borderId="66" xfId="1" applyNumberFormat="1" applyFont="1" applyFill="1" applyBorder="1" applyAlignment="1">
      <alignment horizontal="center"/>
    </xf>
    <xf numFmtId="0" fontId="31" fillId="2" borderId="76" xfId="1" applyFont="1" applyFill="1" applyBorder="1" applyAlignment="1">
      <alignment horizontal="center"/>
    </xf>
    <xf numFmtId="0" fontId="33" fillId="2" borderId="70" xfId="1" applyFont="1" applyFill="1" applyBorder="1"/>
    <xf numFmtId="0" fontId="34" fillId="2" borderId="71" xfId="1" applyFont="1" applyFill="1" applyBorder="1" applyAlignment="1">
      <alignment horizontal="left"/>
    </xf>
    <xf numFmtId="0" fontId="31" fillId="2" borderId="66" xfId="1" applyFont="1" applyFill="1" applyBorder="1" applyAlignment="1">
      <alignment horizontal="center"/>
    </xf>
    <xf numFmtId="0" fontId="25" fillId="0" borderId="46" xfId="1" applyFont="1" applyBorder="1"/>
    <xf numFmtId="0" fontId="25" fillId="0" borderId="24" xfId="1" applyFont="1" applyBorder="1"/>
    <xf numFmtId="0" fontId="29" fillId="2" borderId="78" xfId="1" applyFont="1" applyFill="1" applyBorder="1"/>
    <xf numFmtId="0" fontId="29" fillId="2" borderId="79" xfId="1" applyFont="1" applyFill="1" applyBorder="1"/>
    <xf numFmtId="0" fontId="33" fillId="2" borderId="79" xfId="1" applyFont="1" applyFill="1" applyBorder="1"/>
    <xf numFmtId="0" fontId="31" fillId="2" borderId="80" xfId="1" applyFont="1" applyFill="1" applyBorder="1" applyAlignment="1">
      <alignment horizontal="center"/>
    </xf>
    <xf numFmtId="0" fontId="31" fillId="2" borderId="81" xfId="1" applyFont="1" applyFill="1" applyBorder="1" applyAlignment="1">
      <alignment horizontal="center"/>
    </xf>
    <xf numFmtId="0" fontId="24" fillId="0" borderId="24" xfId="1" applyFont="1" applyBorder="1"/>
    <xf numFmtId="0" fontId="29" fillId="2" borderId="65" xfId="1" quotePrefix="1" applyFont="1" applyFill="1" applyBorder="1" applyAlignment="1">
      <alignment horizontal="left"/>
    </xf>
    <xf numFmtId="0" fontId="26" fillId="0" borderId="71" xfId="1" applyFont="1" applyBorder="1"/>
    <xf numFmtId="0" fontId="29" fillId="2" borderId="52" xfId="1" quotePrefix="1" applyFont="1" applyFill="1" applyBorder="1" applyAlignment="1">
      <alignment horizontal="left"/>
    </xf>
    <xf numFmtId="0" fontId="29" fillId="2" borderId="61" xfId="1" applyFont="1" applyFill="1" applyBorder="1"/>
    <xf numFmtId="0" fontId="32" fillId="2" borderId="61" xfId="1" applyFont="1" applyFill="1" applyBorder="1"/>
    <xf numFmtId="0" fontId="36" fillId="2" borderId="61" xfId="1" applyFont="1" applyFill="1" applyBorder="1" applyAlignment="1">
      <alignment horizontal="right"/>
    </xf>
    <xf numFmtId="49" fontId="31" fillId="2" borderId="61" xfId="1" applyNumberFormat="1" applyFont="1" applyFill="1" applyBorder="1" applyAlignment="1">
      <alignment horizontal="center"/>
    </xf>
    <xf numFmtId="0" fontId="31" fillId="2" borderId="85" xfId="1" applyFont="1" applyFill="1" applyBorder="1" applyAlignment="1">
      <alignment horizontal="center"/>
    </xf>
    <xf numFmtId="0" fontId="29" fillId="2" borderId="66" xfId="1" applyFont="1" applyFill="1" applyBorder="1"/>
    <xf numFmtId="0" fontId="32" fillId="2" borderId="66" xfId="1" applyFont="1" applyFill="1" applyBorder="1"/>
    <xf numFmtId="0" fontId="29" fillId="2" borderId="86" xfId="1" quotePrefix="1" applyFont="1" applyFill="1" applyBorder="1" applyAlignment="1">
      <alignment horizontal="left"/>
    </xf>
    <xf numFmtId="0" fontId="29" fillId="2" borderId="80" xfId="1" applyFont="1" applyFill="1" applyBorder="1"/>
    <xf numFmtId="0" fontId="32" fillId="2" borderId="80" xfId="1" applyFont="1" applyFill="1" applyBorder="1"/>
    <xf numFmtId="0" fontId="29" fillId="2" borderId="65" xfId="1" applyFont="1" applyFill="1" applyBorder="1" applyAlignment="1">
      <alignment horizontal="left"/>
    </xf>
    <xf numFmtId="0" fontId="24" fillId="2" borderId="87" xfId="1" applyFont="1" applyFill="1" applyBorder="1"/>
    <xf numFmtId="0" fontId="24" fillId="2" borderId="71" xfId="1" applyFont="1" applyFill="1" applyBorder="1"/>
    <xf numFmtId="0" fontId="29" fillId="2" borderId="65" xfId="1" applyFont="1" applyFill="1" applyBorder="1"/>
    <xf numFmtId="0" fontId="24" fillId="2" borderId="70" xfId="1" applyFont="1" applyFill="1" applyBorder="1"/>
    <xf numFmtId="0" fontId="29" fillId="2" borderId="87" xfId="1" applyFont="1" applyFill="1" applyBorder="1"/>
    <xf numFmtId="0" fontId="36" fillId="2" borderId="71" xfId="1" applyFont="1" applyFill="1" applyBorder="1" applyAlignment="1">
      <alignment horizontal="right"/>
    </xf>
    <xf numFmtId="0" fontId="29" fillId="2" borderId="60" xfId="1" quotePrefix="1" applyFont="1" applyFill="1" applyBorder="1" applyAlignment="1">
      <alignment horizontal="left"/>
    </xf>
    <xf numFmtId="0" fontId="26" fillId="0" borderId="94" xfId="1" applyFont="1" applyBorder="1"/>
    <xf numFmtId="0" fontId="29" fillId="2" borderId="87" xfId="1" quotePrefix="1" applyFont="1" applyFill="1" applyBorder="1" applyAlignment="1">
      <alignment horizontal="left"/>
    </xf>
    <xf numFmtId="0" fontId="24" fillId="2" borderId="66" xfId="1" applyFont="1" applyFill="1" applyBorder="1"/>
    <xf numFmtId="0" fontId="29" fillId="2" borderId="95" xfId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center"/>
    </xf>
    <xf numFmtId="0" fontId="24" fillId="2" borderId="71" xfId="1" quotePrefix="1" applyFont="1" applyFill="1" applyBorder="1" applyAlignment="1">
      <alignment horizontal="center"/>
    </xf>
    <xf numFmtId="0" fontId="29" fillId="2" borderId="96" xfId="1" applyFont="1" applyFill="1" applyBorder="1"/>
    <xf numFmtId="0" fontId="26" fillId="0" borderId="97" xfId="1" applyFont="1" applyBorder="1"/>
    <xf numFmtId="0" fontId="31" fillId="0" borderId="97" xfId="1" applyFont="1" applyBorder="1" applyAlignment="1">
      <alignment horizontal="center"/>
    </xf>
    <xf numFmtId="0" fontId="31" fillId="0" borderId="98" xfId="1" applyFont="1" applyBorder="1" applyAlignment="1">
      <alignment horizontal="center"/>
    </xf>
    <xf numFmtId="0" fontId="29" fillId="2" borderId="99" xfId="1" applyFont="1" applyFill="1" applyBorder="1" applyAlignment="1">
      <alignment horizontal="center"/>
    </xf>
    <xf numFmtId="0" fontId="29" fillId="2" borderId="79" xfId="1" quotePrefix="1" applyFont="1" applyFill="1" applyBorder="1" applyAlignment="1">
      <alignment horizontal="center"/>
    </xf>
    <xf numFmtId="0" fontId="24" fillId="2" borderId="100" xfId="1" quotePrefix="1" applyFont="1" applyFill="1" applyBorder="1" applyAlignment="1">
      <alignment horizontal="center"/>
    </xf>
    <xf numFmtId="0" fontId="31" fillId="0" borderId="71" xfId="1" applyFont="1" applyBorder="1" applyAlignment="1">
      <alignment horizontal="center"/>
    </xf>
    <xf numFmtId="0" fontId="31" fillId="0" borderId="76" xfId="1" applyFont="1" applyBorder="1" applyAlignment="1">
      <alignment horizontal="center"/>
    </xf>
    <xf numFmtId="0" fontId="31" fillId="0" borderId="46" xfId="1" applyFont="1" applyBorder="1"/>
    <xf numFmtId="0" fontId="37" fillId="0" borderId="24" xfId="1" applyFont="1" applyBorder="1"/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0" fontId="39" fillId="2" borderId="104" xfId="1" applyFont="1" applyFill="1" applyBorder="1" applyAlignment="1">
      <alignment horizontal="center"/>
    </xf>
    <xf numFmtId="166" fontId="31" fillId="0" borderId="71" xfId="1" applyNumberFormat="1" applyFont="1" applyBorder="1" applyAlignment="1">
      <alignment horizontal="center"/>
    </xf>
    <xf numFmtId="0" fontId="29" fillId="2" borderId="105" xfId="1" applyFont="1" applyFill="1" applyBorder="1" applyAlignment="1">
      <alignment horizontal="left"/>
    </xf>
    <xf numFmtId="0" fontId="24" fillId="2" borderId="106" xfId="1" applyFont="1" applyFill="1" applyBorder="1"/>
    <xf numFmtId="0" fontId="24" fillId="2" borderId="107" xfId="1" applyFont="1" applyFill="1" applyBorder="1"/>
    <xf numFmtId="0" fontId="31" fillId="2" borderId="108" xfId="1" applyFont="1" applyFill="1" applyBorder="1" applyAlignment="1">
      <alignment horizontal="center"/>
    </xf>
    <xf numFmtId="0" fontId="26" fillId="0" borderId="80" xfId="1" applyFont="1" applyBorder="1"/>
    <xf numFmtId="0" fontId="26" fillId="0" borderId="81" xfId="1" applyFont="1" applyBorder="1"/>
    <xf numFmtId="0" fontId="26" fillId="0" borderId="88" xfId="1" applyFont="1" applyBorder="1"/>
    <xf numFmtId="0" fontId="29" fillId="2" borderId="97" xfId="1" applyFont="1" applyFill="1" applyBorder="1"/>
    <xf numFmtId="0" fontId="36" fillId="2" borderId="66" xfId="1" applyFont="1" applyFill="1" applyBorder="1" applyAlignment="1">
      <alignment horizontal="right" shrinkToFit="1"/>
    </xf>
    <xf numFmtId="0" fontId="31" fillId="2" borderId="109" xfId="1" applyFont="1" applyFill="1" applyBorder="1" applyAlignment="1">
      <alignment horizontal="center"/>
    </xf>
    <xf numFmtId="2" fontId="26" fillId="0" borderId="0" xfId="1" applyNumberFormat="1" applyFont="1"/>
    <xf numFmtId="0" fontId="29" fillId="2" borderId="52" xfId="1" applyFont="1" applyFill="1" applyBorder="1"/>
    <xf numFmtId="0" fontId="29" fillId="2" borderId="58" xfId="1" applyFont="1" applyFill="1" applyBorder="1"/>
    <xf numFmtId="0" fontId="36" fillId="2" borderId="66" xfId="1" applyFont="1" applyFill="1" applyBorder="1" applyAlignment="1">
      <alignment horizontal="right"/>
    </xf>
    <xf numFmtId="2" fontId="31" fillId="2" borderId="66" xfId="1" applyNumberFormat="1" applyFont="1" applyFill="1" applyBorder="1" applyAlignment="1">
      <alignment horizontal="center"/>
    </xf>
    <xf numFmtId="0" fontId="36" fillId="2" borderId="58" xfId="1" applyFont="1" applyFill="1" applyBorder="1" applyAlignment="1">
      <alignment horizontal="right"/>
    </xf>
    <xf numFmtId="0" fontId="36" fillId="2" borderId="66" xfId="1" applyFont="1" applyFill="1" applyBorder="1"/>
    <xf numFmtId="0" fontId="40" fillId="0" borderId="0" xfId="1" applyFont="1"/>
    <xf numFmtId="0" fontId="29" fillId="2" borderId="111" xfId="1" applyFont="1" applyFill="1" applyBorder="1"/>
    <xf numFmtId="0" fontId="29" fillId="2" borderId="112" xfId="1" applyFont="1" applyFill="1" applyBorder="1"/>
    <xf numFmtId="0" fontId="29" fillId="2" borderId="113" xfId="1" applyFont="1" applyFill="1" applyBorder="1"/>
    <xf numFmtId="0" fontId="36" fillId="2" borderId="113" xfId="1" applyFont="1" applyFill="1" applyBorder="1"/>
    <xf numFmtId="166" fontId="31" fillId="2" borderId="113" xfId="1" applyNumberFormat="1" applyFont="1" applyFill="1" applyBorder="1" applyAlignment="1">
      <alignment horizontal="center"/>
    </xf>
    <xf numFmtId="0" fontId="29" fillId="2" borderId="75" xfId="1" applyFont="1" applyFill="1" applyBorder="1"/>
    <xf numFmtId="0" fontId="29" fillId="2" borderId="104" xfId="1" applyFont="1" applyFill="1" applyBorder="1" applyAlignment="1">
      <alignment horizontal="left"/>
    </xf>
    <xf numFmtId="0" fontId="29" fillId="2" borderId="75" xfId="1" applyFont="1" applyFill="1" applyBorder="1" applyAlignment="1">
      <alignment horizontal="left"/>
    </xf>
    <xf numFmtId="1" fontId="31" fillId="2" borderId="61" xfId="1" applyNumberFormat="1" applyFont="1" applyFill="1" applyBorder="1" applyAlignment="1">
      <alignment horizontal="center"/>
    </xf>
    <xf numFmtId="0" fontId="41" fillId="0" borderId="0" xfId="1" quotePrefix="1" applyFont="1" applyAlignment="1">
      <alignment horizontal="left"/>
    </xf>
    <xf numFmtId="0" fontId="26" fillId="0" borderId="0" xfId="2" applyFont="1"/>
    <xf numFmtId="0" fontId="29" fillId="2" borderId="0" xfId="1" applyFont="1" applyFill="1"/>
    <xf numFmtId="0" fontId="29" fillId="2" borderId="87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166" fontId="31" fillId="2" borderId="72" xfId="1" applyNumberFormat="1" applyFont="1" applyFill="1" applyBorder="1" applyAlignment="1">
      <alignment horizontal="center"/>
    </xf>
    <xf numFmtId="1" fontId="26" fillId="0" borderId="0" xfId="1" applyNumberFormat="1" applyFont="1"/>
    <xf numFmtId="0" fontId="29" fillId="2" borderId="40" xfId="1" applyFont="1" applyFill="1" applyBorder="1"/>
    <xf numFmtId="0" fontId="29" fillId="2" borderId="108" xfId="1" applyFont="1" applyFill="1" applyBorder="1" applyAlignment="1">
      <alignment horizontal="left"/>
    </xf>
    <xf numFmtId="0" fontId="29" fillId="2" borderId="100" xfId="1" applyFont="1" applyFill="1" applyBorder="1" applyAlignment="1">
      <alignment horizontal="left"/>
    </xf>
    <xf numFmtId="1" fontId="31" fillId="2" borderId="80" xfId="1" applyNumberFormat="1" applyFont="1" applyFill="1" applyBorder="1" applyAlignment="1">
      <alignment horizontal="center"/>
    </xf>
    <xf numFmtId="0" fontId="20" fillId="2" borderId="82" xfId="1" applyFont="1" applyFill="1" applyBorder="1" applyAlignment="1">
      <alignment horizontal="left"/>
    </xf>
    <xf numFmtId="0" fontId="20" fillId="2" borderId="83" xfId="1" applyFont="1" applyFill="1" applyBorder="1" applyAlignment="1">
      <alignment horizontal="left"/>
    </xf>
    <xf numFmtId="0" fontId="20" fillId="2" borderId="84" xfId="1" applyFont="1" applyFill="1" applyBorder="1" applyAlignment="1">
      <alignment horizontal="left"/>
    </xf>
    <xf numFmtId="0" fontId="22" fillId="2" borderId="52" xfId="1" applyFont="1" applyFill="1" applyBorder="1"/>
    <xf numFmtId="0" fontId="26" fillId="2" borderId="74" xfId="1" applyFont="1" applyFill="1" applyBorder="1" applyAlignment="1">
      <alignment horizontal="left"/>
    </xf>
    <xf numFmtId="0" fontId="26" fillId="2" borderId="85" xfId="1" applyFont="1" applyFill="1" applyBorder="1" applyAlignment="1">
      <alignment horizontal="left"/>
    </xf>
    <xf numFmtId="0" fontId="22" fillId="2" borderId="70" xfId="1" applyFont="1" applyFill="1" applyBorder="1" applyAlignment="1">
      <alignment horizontal="left"/>
    </xf>
    <xf numFmtId="0" fontId="22" fillId="2" borderId="76" xfId="1" applyFont="1" applyFill="1" applyBorder="1" applyAlignment="1">
      <alignment horizontal="left"/>
    </xf>
    <xf numFmtId="0" fontId="42" fillId="0" borderId="0" xfId="1" applyFont="1"/>
    <xf numFmtId="0" fontId="29" fillId="0" borderId="114" xfId="1" applyFont="1" applyBorder="1"/>
    <xf numFmtId="0" fontId="29" fillId="2" borderId="117" xfId="1" applyFont="1" applyFill="1" applyBorder="1"/>
    <xf numFmtId="0" fontId="22" fillId="2" borderId="45" xfId="1" applyFont="1" applyFill="1" applyBorder="1"/>
    <xf numFmtId="0" fontId="29" fillId="2" borderId="119" xfId="1" applyFont="1" applyFill="1" applyBorder="1"/>
    <xf numFmtId="0" fontId="29" fillId="2" borderId="23" xfId="1" applyFont="1" applyFill="1" applyBorder="1"/>
    <xf numFmtId="14" fontId="24" fillId="2" borderId="122" xfId="1" applyNumberFormat="1" applyFont="1" applyFill="1" applyBorder="1" applyAlignment="1">
      <alignment horizontal="center"/>
    </xf>
    <xf numFmtId="0" fontId="22" fillId="0" borderId="23" xfId="1" applyFont="1" applyBorder="1"/>
    <xf numFmtId="0" fontId="22" fillId="2" borderId="123" xfId="1" applyFont="1" applyFill="1" applyBorder="1" applyAlignment="1">
      <alignment horizontal="left"/>
    </xf>
    <xf numFmtId="0" fontId="22" fillId="2" borderId="124" xfId="1" applyFont="1" applyFill="1" applyBorder="1" applyAlignment="1">
      <alignment horizontal="left"/>
    </xf>
    <xf numFmtId="0" fontId="22" fillId="0" borderId="0" xfId="1" applyFont="1"/>
    <xf numFmtId="0" fontId="46" fillId="0" borderId="6" xfId="3" applyBorder="1"/>
    <xf numFmtId="0" fontId="46" fillId="0" borderId="7" xfId="3" applyBorder="1"/>
    <xf numFmtId="0" fontId="46" fillId="0" borderId="41" xfId="3" applyBorder="1"/>
    <xf numFmtId="0" fontId="46" fillId="0" borderId="41" xfId="3" applyBorder="1" applyAlignment="1">
      <alignment horizontal="center"/>
    </xf>
    <xf numFmtId="0" fontId="47" fillId="0" borderId="41" xfId="3" applyFont="1" applyBorder="1" applyAlignment="1">
      <alignment horizontal="center"/>
    </xf>
    <xf numFmtId="0" fontId="46" fillId="0" borderId="0" xfId="3"/>
    <xf numFmtId="0" fontId="48" fillId="0" borderId="125" xfId="3" applyFont="1" applyBorder="1" applyAlignment="1">
      <alignment horizontal="center"/>
    </xf>
    <xf numFmtId="0" fontId="46" fillId="0" borderId="125" xfId="3" applyBorder="1" applyAlignment="1">
      <alignment horizontal="center"/>
    </xf>
    <xf numFmtId="0" fontId="47" fillId="0" borderId="125" xfId="3" applyFon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6" fillId="0" borderId="45" xfId="3" applyBorder="1"/>
    <xf numFmtId="0" fontId="49" fillId="0" borderId="0" xfId="3" applyFont="1"/>
    <xf numFmtId="0" fontId="46" fillId="0" borderId="125" xfId="3" applyBorder="1"/>
    <xf numFmtId="0" fontId="47" fillId="0" borderId="0" xfId="3" applyFont="1"/>
    <xf numFmtId="0" fontId="47" fillId="0" borderId="125" xfId="3" applyFont="1" applyBorder="1"/>
    <xf numFmtId="169" fontId="46" fillId="0" borderId="3" xfId="3" applyNumberFormat="1" applyBorder="1"/>
    <xf numFmtId="49" fontId="46" fillId="0" borderId="1" xfId="3" applyNumberFormat="1" applyBorder="1" applyAlignment="1">
      <alignment horizontal="center"/>
    </xf>
    <xf numFmtId="49" fontId="46" fillId="0" borderId="1" xfId="3" applyNumberFormat="1" applyBorder="1"/>
    <xf numFmtId="49" fontId="47" fillId="0" borderId="1" xfId="3" applyNumberFormat="1" applyFont="1" applyBorder="1"/>
    <xf numFmtId="170" fontId="47" fillId="0" borderId="1" xfId="3" applyNumberFormat="1" applyFont="1" applyBorder="1"/>
    <xf numFmtId="0" fontId="46" fillId="0" borderId="1" xfId="3" applyBorder="1"/>
    <xf numFmtId="0" fontId="46" fillId="0" borderId="9" xfId="3" applyBorder="1"/>
    <xf numFmtId="170" fontId="46" fillId="0" borderId="1" xfId="3" applyNumberFormat="1" applyBorder="1"/>
    <xf numFmtId="0" fontId="46" fillId="0" borderId="1" xfId="3" applyBorder="1" applyAlignment="1">
      <alignment horizontal="center"/>
    </xf>
    <xf numFmtId="169" fontId="46" fillId="0" borderId="18" xfId="3" applyNumberFormat="1" applyBorder="1"/>
    <xf numFmtId="49" fontId="46" fillId="0" borderId="26" xfId="3" applyNumberFormat="1" applyBorder="1"/>
    <xf numFmtId="170" fontId="46" fillId="0" borderId="26" xfId="3" applyNumberFormat="1" applyBorder="1"/>
    <xf numFmtId="0" fontId="46" fillId="0" borderId="26" xfId="3" applyBorder="1"/>
    <xf numFmtId="0" fontId="46" fillId="0" borderId="126" xfId="3" applyBorder="1"/>
    <xf numFmtId="0" fontId="47" fillId="0" borderId="127" xfId="3" applyFont="1" applyBorder="1" applyAlignment="1">
      <alignment horizontal="center"/>
    </xf>
    <xf numFmtId="0" fontId="47" fillId="0" borderId="128" xfId="3" applyFont="1" applyBorder="1" applyAlignment="1">
      <alignment horizontal="center"/>
    </xf>
    <xf numFmtId="49" fontId="47" fillId="0" borderId="2" xfId="3" applyNumberFormat="1" applyFont="1" applyBorder="1" applyAlignment="1">
      <alignment horizontal="center"/>
    </xf>
    <xf numFmtId="0" fontId="46" fillId="0" borderId="57" xfId="3" applyBorder="1" applyAlignment="1">
      <alignment horizontal="left"/>
    </xf>
    <xf numFmtId="49" fontId="46" fillId="0" borderId="3" xfId="3" applyNumberFormat="1" applyBorder="1"/>
    <xf numFmtId="0" fontId="46" fillId="0" borderId="130" xfId="3" applyBorder="1" applyAlignment="1">
      <alignment horizontal="left"/>
    </xf>
    <xf numFmtId="49" fontId="46" fillId="0" borderId="4" xfId="3" applyNumberFormat="1" applyBorder="1"/>
    <xf numFmtId="0" fontId="46" fillId="0" borderId="132" xfId="3" applyBorder="1" applyAlignment="1">
      <alignment horizontal="left"/>
    </xf>
    <xf numFmtId="0" fontId="46" fillId="0" borderId="0" xfId="4"/>
    <xf numFmtId="0" fontId="50" fillId="0" borderId="0" xfId="4" applyFont="1"/>
    <xf numFmtId="0" fontId="52" fillId="0" borderId="20" xfId="4" applyFont="1" applyBorder="1" applyAlignment="1">
      <alignment horizontal="right"/>
    </xf>
    <xf numFmtId="0" fontId="52" fillId="0" borderId="47" xfId="4" applyFont="1" applyBorder="1" applyAlignment="1">
      <alignment horizontal="right"/>
    </xf>
    <xf numFmtId="0" fontId="52" fillId="0" borderId="103" xfId="4" applyFont="1" applyBorder="1" applyAlignment="1">
      <alignment horizontal="center"/>
    </xf>
    <xf numFmtId="0" fontId="23" fillId="0" borderId="38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23" fillId="0" borderId="38" xfId="4" applyFont="1" applyBorder="1"/>
    <xf numFmtId="0" fontId="46" fillId="0" borderId="46" xfId="4" applyBorder="1"/>
    <xf numFmtId="0" fontId="23" fillId="0" borderId="48" xfId="4" applyFont="1" applyBorder="1" applyAlignment="1">
      <alignment horizontal="center"/>
    </xf>
    <xf numFmtId="0" fontId="50" fillId="0" borderId="53" xfId="4" applyFont="1" applyBorder="1" applyAlignment="1">
      <alignment horizontal="center"/>
    </xf>
    <xf numFmtId="0" fontId="23" fillId="0" borderId="48" xfId="4" applyFont="1" applyBorder="1"/>
    <xf numFmtId="0" fontId="52" fillId="0" borderId="103" xfId="4" applyFont="1" applyBorder="1" applyAlignment="1">
      <alignment horizontal="right"/>
    </xf>
    <xf numFmtId="0" fontId="23" fillId="0" borderId="27" xfId="4" applyFont="1" applyBorder="1" applyAlignment="1">
      <alignment horizontal="center"/>
    </xf>
    <xf numFmtId="0" fontId="52" fillId="0" borderId="46" xfId="4" applyFont="1" applyBorder="1" applyAlignment="1">
      <alignment horizontal="right"/>
    </xf>
    <xf numFmtId="0" fontId="23" fillId="0" borderId="24" xfId="4" applyFont="1" applyBorder="1" applyAlignment="1">
      <alignment horizontal="center"/>
    </xf>
    <xf numFmtId="0" fontId="23" fillId="0" borderId="32" xfId="4" applyFont="1" applyBorder="1" applyAlignment="1">
      <alignment horizontal="center"/>
    </xf>
    <xf numFmtId="0" fontId="50" fillId="0" borderId="0" xfId="4" applyFont="1" applyAlignment="1">
      <alignment horizontal="center"/>
    </xf>
    <xf numFmtId="0" fontId="53" fillId="0" borderId="63" xfId="4" applyFont="1" applyBorder="1"/>
    <xf numFmtId="0" fontId="53" fillId="0" borderId="64" xfId="4" applyFont="1" applyBorder="1"/>
    <xf numFmtId="0" fontId="53" fillId="0" borderId="38" xfId="4" applyFont="1" applyBorder="1"/>
    <xf numFmtId="0" fontId="54" fillId="0" borderId="52" xfId="4" applyFont="1" applyBorder="1" applyAlignment="1">
      <alignment horizontal="centerContinuous"/>
    </xf>
    <xf numFmtId="0" fontId="53" fillId="0" borderId="0" xfId="4" applyFont="1" applyAlignment="1">
      <alignment horizontal="centerContinuous"/>
    </xf>
    <xf numFmtId="0" fontId="53" fillId="0" borderId="51" xfId="4" applyFont="1" applyBorder="1" applyAlignment="1">
      <alignment horizontal="centerContinuous"/>
    </xf>
    <xf numFmtId="0" fontId="55" fillId="0" borderId="52" xfId="4" applyFont="1" applyBorder="1" applyAlignment="1">
      <alignment horizontal="centerContinuous"/>
    </xf>
    <xf numFmtId="0" fontId="53" fillId="0" borderId="52" xfId="4" applyFont="1" applyBorder="1"/>
    <xf numFmtId="0" fontId="53" fillId="0" borderId="0" xfId="4" applyFont="1"/>
    <xf numFmtId="0" fontId="53" fillId="0" borderId="51" xfId="4" applyFont="1" applyBorder="1"/>
    <xf numFmtId="0" fontId="51" fillId="0" borderId="1" xfId="4" applyFont="1" applyBorder="1" applyAlignment="1">
      <alignment horizontal="right"/>
    </xf>
    <xf numFmtId="0" fontId="53" fillId="0" borderId="1" xfId="4" applyFont="1" applyBorder="1" applyAlignment="1">
      <alignment horizontal="center"/>
    </xf>
    <xf numFmtId="14" fontId="53" fillId="0" borderId="1" xfId="4" applyNumberFormat="1" applyFont="1" applyBorder="1" applyAlignment="1">
      <alignment horizontal="center"/>
    </xf>
    <xf numFmtId="0" fontId="51" fillId="0" borderId="0" xfId="4" applyFont="1" applyAlignment="1">
      <alignment horizontal="right"/>
    </xf>
    <xf numFmtId="0" fontId="53" fillId="0" borderId="0" xfId="4" applyFont="1" applyAlignment="1">
      <alignment horizontal="center"/>
    </xf>
    <xf numFmtId="9" fontId="53" fillId="0" borderId="0" xfId="4" applyNumberFormat="1" applyFont="1" applyAlignment="1">
      <alignment horizontal="center"/>
    </xf>
    <xf numFmtId="0" fontId="51" fillId="0" borderId="52" xfId="4" applyFont="1" applyBorder="1" applyAlignment="1">
      <alignment horizontal="right"/>
    </xf>
    <xf numFmtId="0" fontId="53" fillId="0" borderId="40" xfId="4" applyFont="1" applyBorder="1"/>
    <xf numFmtId="0" fontId="53" fillId="0" borderId="39" xfId="4" applyFont="1" applyBorder="1" applyAlignment="1">
      <alignment horizontal="center"/>
    </xf>
    <xf numFmtId="0" fontId="53" fillId="0" borderId="86" xfId="4" applyFont="1" applyBorder="1"/>
    <xf numFmtId="0" fontId="51" fillId="0" borderId="17" xfId="4" applyFont="1" applyBorder="1" applyAlignment="1">
      <alignment horizontal="right"/>
    </xf>
    <xf numFmtId="0" fontId="53" fillId="0" borderId="130" xfId="4" applyFont="1" applyBorder="1"/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4" applyFont="1" applyAlignment="1">
      <alignment horizontal="right"/>
    </xf>
    <xf numFmtId="0" fontId="16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50" fillId="0" borderId="129" xfId="4" applyFont="1" applyBorder="1" applyAlignment="1">
      <alignment horizontal="center"/>
    </xf>
    <xf numFmtId="0" fontId="50" fillId="0" borderId="130" xfId="4" quotePrefix="1" applyFont="1" applyBorder="1" applyAlignment="1">
      <alignment horizontal="center"/>
    </xf>
    <xf numFmtId="0" fontId="50" fillId="0" borderId="130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0" fillId="0" borderId="64" xfId="4" applyFont="1" applyBorder="1" applyAlignment="1">
      <alignment horizontal="center"/>
    </xf>
    <xf numFmtId="0" fontId="58" fillId="0" borderId="0" xfId="4" applyFont="1"/>
    <xf numFmtId="0" fontId="59" fillId="0" borderId="0" xfId="4" applyFont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6" fillId="0" borderId="0" xfId="4" applyFont="1"/>
    <xf numFmtId="0" fontId="51" fillId="0" borderId="0" xfId="4" applyFont="1"/>
    <xf numFmtId="0" fontId="23" fillId="0" borderId="17" xfId="4" applyFont="1" applyBorder="1" applyAlignment="1">
      <alignment horizontal="right"/>
    </xf>
    <xf numFmtId="0" fontId="23" fillId="0" borderId="130" xfId="4" applyFont="1" applyBorder="1" applyAlignment="1">
      <alignment horizontal="left"/>
    </xf>
    <xf numFmtId="0" fontId="23" fillId="0" borderId="130" xfId="4" quotePrefix="1" applyFont="1" applyBorder="1" applyAlignment="1">
      <alignment horizontal="left"/>
    </xf>
    <xf numFmtId="0" fontId="20" fillId="2" borderId="118" xfId="1" applyFont="1" applyFill="1" applyBorder="1" applyAlignment="1">
      <alignment horizontal="center" shrinkToFit="1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60" xfId="1" applyFont="1" applyBorder="1" applyAlignment="1">
      <alignment horizontal="left"/>
    </xf>
    <xf numFmtId="0" fontId="29" fillId="0" borderId="61" xfId="1" applyFont="1" applyBorder="1" applyAlignment="1">
      <alignment horizontal="left"/>
    </xf>
    <xf numFmtId="0" fontId="30" fillId="2" borderId="62" xfId="1" applyFont="1" applyFill="1" applyBorder="1" applyAlignment="1">
      <alignment horizontal="center"/>
    </xf>
    <xf numFmtId="0" fontId="30" fillId="2" borderId="58" xfId="1" applyFont="1" applyFill="1" applyBorder="1" applyAlignment="1">
      <alignment horizontal="center"/>
    </xf>
    <xf numFmtId="0" fontId="20" fillId="2" borderId="63" xfId="1" applyFont="1" applyFill="1" applyBorder="1" applyAlignment="1">
      <alignment horizontal="left"/>
    </xf>
    <xf numFmtId="0" fontId="20" fillId="2" borderId="64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0" fontId="20" fillId="0" borderId="82" xfId="1" applyFont="1" applyBorder="1" applyAlignment="1">
      <alignment horizontal="left"/>
    </xf>
    <xf numFmtId="0" fontId="20" fillId="0" borderId="83" xfId="1" applyFont="1" applyBorder="1" applyAlignment="1">
      <alignment horizontal="left"/>
    </xf>
    <xf numFmtId="0" fontId="20" fillId="0" borderId="84" xfId="1" applyFont="1" applyBorder="1" applyAlignment="1">
      <alignment horizontal="left"/>
    </xf>
    <xf numFmtId="0" fontId="29" fillId="0" borderId="65" xfId="1" applyFont="1" applyBorder="1" applyAlignment="1">
      <alignment horizontal="left"/>
    </xf>
    <xf numFmtId="0" fontId="29" fillId="0" borderId="66" xfId="1" applyFont="1" applyBorder="1" applyAlignment="1">
      <alignment horizontal="left"/>
    </xf>
    <xf numFmtId="2" fontId="31" fillId="0" borderId="67" xfId="1" applyNumberFormat="1" applyFont="1" applyBorder="1" applyAlignment="1">
      <alignment horizontal="center"/>
    </xf>
    <xf numFmtId="2" fontId="31" fillId="0" borderId="68" xfId="1" applyNumberFormat="1" applyFont="1" applyBorder="1" applyAlignment="1">
      <alignment horizontal="center"/>
    </xf>
    <xf numFmtId="0" fontId="31" fillId="0" borderId="67" xfId="1" applyFont="1" applyBorder="1" applyAlignment="1">
      <alignment horizontal="center"/>
    </xf>
    <xf numFmtId="0" fontId="31" fillId="0" borderId="68" xfId="1" applyFont="1" applyBorder="1" applyAlignment="1">
      <alignment horizontal="center"/>
    </xf>
    <xf numFmtId="0" fontId="29" fillId="0" borderId="77" xfId="1" applyFont="1" applyBorder="1" applyAlignment="1">
      <alignment horizontal="left"/>
    </xf>
    <xf numFmtId="0" fontId="29" fillId="0" borderId="70" xfId="1" applyFont="1" applyBorder="1" applyAlignment="1">
      <alignment horizontal="left"/>
    </xf>
    <xf numFmtId="0" fontId="29" fillId="0" borderId="71" xfId="1" applyFont="1" applyBorder="1" applyAlignment="1">
      <alignment horizontal="left"/>
    </xf>
    <xf numFmtId="166" fontId="31" fillId="2" borderId="67" xfId="1" applyNumberFormat="1" applyFont="1" applyFill="1" applyBorder="1" applyAlignment="1">
      <alignment horizontal="center"/>
    </xf>
    <xf numFmtId="166" fontId="31" fillId="2" borderId="68" xfId="1" applyNumberFormat="1" applyFont="1" applyFill="1" applyBorder="1" applyAlignment="1">
      <alignment horizontal="center"/>
    </xf>
    <xf numFmtId="0" fontId="31" fillId="2" borderId="67" xfId="1" applyFont="1" applyFill="1" applyBorder="1" applyAlignment="1">
      <alignment horizontal="center"/>
    </xf>
    <xf numFmtId="0" fontId="31" fillId="2" borderId="68" xfId="1" applyFont="1" applyFill="1" applyBorder="1" applyAlignment="1">
      <alignment horizontal="center"/>
    </xf>
    <xf numFmtId="166" fontId="31" fillId="0" borderId="67" xfId="1" applyNumberFormat="1" applyFont="1" applyBorder="1" applyAlignment="1">
      <alignment horizontal="center"/>
    </xf>
    <xf numFmtId="166" fontId="31" fillId="0" borderId="68" xfId="1" applyNumberFormat="1" applyFont="1" applyBorder="1" applyAlignment="1">
      <alignment horizontal="center"/>
    </xf>
    <xf numFmtId="1" fontId="31" fillId="2" borderId="67" xfId="1" applyNumberFormat="1" applyFont="1" applyFill="1" applyBorder="1" applyAlignment="1">
      <alignment horizontal="center"/>
    </xf>
    <xf numFmtId="1" fontId="31" fillId="2" borderId="68" xfId="1" applyNumberFormat="1" applyFont="1" applyFill="1" applyBorder="1" applyAlignment="1">
      <alignment horizontal="center"/>
    </xf>
    <xf numFmtId="0" fontId="29" fillId="2" borderId="77" xfId="1" applyFont="1" applyFill="1" applyBorder="1" applyAlignment="1">
      <alignment horizontal="left"/>
    </xf>
    <xf numFmtId="0" fontId="29" fillId="2" borderId="70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2" fontId="31" fillId="2" borderId="67" xfId="1" applyNumberFormat="1" applyFont="1" applyFill="1" applyBorder="1" applyAlignment="1">
      <alignment horizontal="center"/>
    </xf>
    <xf numFmtId="2" fontId="31" fillId="2" borderId="68" xfId="1" applyNumberFormat="1" applyFont="1" applyFill="1" applyBorder="1" applyAlignment="1">
      <alignment horizontal="center"/>
    </xf>
    <xf numFmtId="0" fontId="29" fillId="2" borderId="77" xfId="1" quotePrefix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left"/>
    </xf>
    <xf numFmtId="0" fontId="29" fillId="2" borderId="71" xfId="1" quotePrefix="1" applyFont="1" applyFill="1" applyBorder="1" applyAlignment="1">
      <alignment horizontal="left"/>
    </xf>
    <xf numFmtId="0" fontId="29" fillId="2" borderId="88" xfId="1" applyFont="1" applyFill="1" applyBorder="1" applyAlignment="1">
      <alignment horizontal="center"/>
    </xf>
    <xf numFmtId="0" fontId="29" fillId="2" borderId="89" xfId="1" applyFont="1" applyFill="1" applyBorder="1" applyAlignment="1">
      <alignment horizontal="center"/>
    </xf>
    <xf numFmtId="0" fontId="29" fillId="2" borderId="52" xfId="1" applyFont="1" applyFill="1" applyBorder="1" applyAlignment="1">
      <alignment horizontal="center"/>
    </xf>
    <xf numFmtId="0" fontId="29" fillId="2" borderId="0" xfId="1" applyFont="1" applyFill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90" xfId="1" applyFont="1" applyFill="1" applyBorder="1" applyAlignment="1">
      <alignment horizontal="left"/>
    </xf>
    <xf numFmtId="0" fontId="29" fillId="2" borderId="91" xfId="1" applyFont="1" applyFill="1" applyBorder="1" applyAlignment="1">
      <alignment horizontal="left"/>
    </xf>
    <xf numFmtId="0" fontId="29" fillId="2" borderId="92" xfId="1" applyFont="1" applyFill="1" applyBorder="1" applyAlignment="1">
      <alignment horizontal="left"/>
    </xf>
    <xf numFmtId="0" fontId="31" fillId="2" borderId="93" xfId="1" applyFont="1" applyFill="1" applyBorder="1" applyAlignment="1">
      <alignment horizontal="center"/>
    </xf>
    <xf numFmtId="0" fontId="31" fillId="0" borderId="93" xfId="1" applyFont="1" applyBorder="1" applyAlignment="1">
      <alignment horizontal="center"/>
    </xf>
    <xf numFmtId="168" fontId="31" fillId="2" borderId="67" xfId="1" applyNumberFormat="1" applyFont="1" applyFill="1" applyBorder="1" applyAlignment="1">
      <alignment horizontal="center"/>
    </xf>
    <xf numFmtId="168" fontId="31" fillId="2" borderId="68" xfId="1" applyNumberFormat="1" applyFont="1" applyFill="1" applyBorder="1" applyAlignment="1">
      <alignment horizontal="center"/>
    </xf>
    <xf numFmtId="1" fontId="31" fillId="2" borderId="101" xfId="1" applyNumberFormat="1" applyFont="1" applyFill="1" applyBorder="1" applyAlignment="1">
      <alignment horizontal="center"/>
    </xf>
    <xf numFmtId="1" fontId="31" fillId="2" borderId="102" xfId="1" applyNumberFormat="1" applyFont="1" applyFill="1" applyBorder="1" applyAlignment="1">
      <alignment horizontal="center"/>
    </xf>
    <xf numFmtId="0" fontId="26" fillId="0" borderId="108" xfId="1" applyFont="1" applyBorder="1" applyAlignment="1">
      <alignment horizontal="left"/>
    </xf>
    <xf numFmtId="0" fontId="26" fillId="0" borderId="79" xfId="1" applyFont="1" applyBorder="1" applyAlignment="1">
      <alignment horizontal="left"/>
    </xf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14" fontId="24" fillId="2" borderId="120" xfId="1" applyNumberFormat="1" applyFont="1" applyFill="1" applyBorder="1" applyAlignment="1">
      <alignment horizontal="center"/>
    </xf>
    <xf numFmtId="14" fontId="24" fillId="2" borderId="121" xfId="1" applyNumberFormat="1" applyFont="1" applyFill="1" applyBorder="1" applyAlignment="1">
      <alignment horizontal="center"/>
    </xf>
    <xf numFmtId="0" fontId="26" fillId="0" borderId="45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26" fillId="0" borderId="51" xfId="1" applyFont="1" applyBorder="1" applyAlignment="1">
      <alignment horizontal="center"/>
    </xf>
    <xf numFmtId="0" fontId="26" fillId="0" borderId="110" xfId="1" applyFont="1" applyBorder="1" applyAlignment="1">
      <alignment horizontal="center"/>
    </xf>
    <xf numFmtId="0" fontId="26" fillId="0" borderId="40" xfId="1" applyFont="1" applyBorder="1" applyAlignment="1">
      <alignment horizontal="center"/>
    </xf>
    <xf numFmtId="0" fontId="26" fillId="0" borderId="39" xfId="1" applyFont="1" applyBorder="1" applyAlignment="1">
      <alignment horizontal="center"/>
    </xf>
    <xf numFmtId="0" fontId="20" fillId="0" borderId="38" xfId="1" applyFont="1" applyBorder="1" applyAlignment="1">
      <alignment horizontal="left"/>
    </xf>
    <xf numFmtId="0" fontId="26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6" fillId="0" borderId="51" xfId="2" applyFont="1" applyBorder="1" applyAlignment="1">
      <alignment horizontal="center"/>
    </xf>
    <xf numFmtId="0" fontId="26" fillId="0" borderId="46" xfId="2" applyFont="1" applyBorder="1" applyAlignment="1">
      <alignment horizontal="center"/>
    </xf>
    <xf numFmtId="0" fontId="26" fillId="0" borderId="23" xfId="2" applyFont="1" applyBorder="1" applyAlignment="1">
      <alignment horizontal="center"/>
    </xf>
    <xf numFmtId="0" fontId="26" fillId="0" borderId="48" xfId="2" applyFont="1" applyBorder="1" applyAlignment="1">
      <alignment horizontal="center"/>
    </xf>
    <xf numFmtId="0" fontId="43" fillId="2" borderId="115" xfId="1" applyFont="1" applyFill="1" applyBorder="1" applyAlignment="1">
      <alignment horizontal="center"/>
    </xf>
    <xf numFmtId="0" fontId="43" fillId="2" borderId="116" xfId="1" applyFont="1" applyFill="1" applyBorder="1" applyAlignment="1">
      <alignment horizontal="center"/>
    </xf>
    <xf numFmtId="0" fontId="46" fillId="0" borderId="50" xfId="3" applyBorder="1" applyAlignment="1">
      <alignment horizontal="left"/>
    </xf>
    <xf numFmtId="0" fontId="46" fillId="0" borderId="13" xfId="3" applyBorder="1" applyAlignment="1">
      <alignment horizontal="left"/>
    </xf>
    <xf numFmtId="169" fontId="46" fillId="0" borderId="50" xfId="3" applyNumberFormat="1" applyBorder="1" applyAlignment="1">
      <alignment horizontal="center"/>
    </xf>
    <xf numFmtId="169" fontId="46" fillId="0" borderId="13" xfId="3" applyNumberFormat="1" applyBorder="1" applyAlignment="1">
      <alignment horizontal="center"/>
    </xf>
    <xf numFmtId="169" fontId="46" fillId="0" borderId="57" xfId="3" applyNumberFormat="1" applyBorder="1" applyAlignment="1">
      <alignment horizontal="center"/>
    </xf>
    <xf numFmtId="49" fontId="46" fillId="0" borderId="50" xfId="3" applyNumberFormat="1" applyBorder="1" applyAlignment="1">
      <alignment horizontal="center"/>
    </xf>
    <xf numFmtId="49" fontId="46" fillId="0" borderId="13" xfId="3" applyNumberFormat="1" applyBorder="1" applyAlignment="1">
      <alignment horizontal="center"/>
    </xf>
    <xf numFmtId="49" fontId="46" fillId="0" borderId="14" xfId="3" applyNumberForma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8" fillId="0" borderId="55" xfId="3" applyFont="1" applyBorder="1" applyAlignment="1">
      <alignment horizontal="center"/>
    </xf>
    <xf numFmtId="0" fontId="47" fillId="0" borderId="15" xfId="3" applyFont="1" applyBorder="1" applyAlignment="1">
      <alignment horizontal="center"/>
    </xf>
    <xf numFmtId="0" fontId="47" fillId="0" borderId="7" xfId="3" applyFont="1" applyBorder="1" applyAlignment="1">
      <alignment horizontal="center"/>
    </xf>
    <xf numFmtId="0" fontId="47" fillId="0" borderId="128" xfId="3" applyFont="1" applyBorder="1" applyAlignment="1">
      <alignment horizontal="center"/>
    </xf>
    <xf numFmtId="0" fontId="47" fillId="0" borderId="8" xfId="3" applyFont="1" applyBorder="1" applyAlignment="1">
      <alignment horizontal="center"/>
    </xf>
    <xf numFmtId="0" fontId="46" fillId="0" borderId="17" xfId="3" applyBorder="1" applyAlignment="1">
      <alignment horizontal="left"/>
    </xf>
    <xf numFmtId="0" fontId="46" fillId="0" borderId="129" xfId="3" applyBorder="1" applyAlignment="1">
      <alignment horizontal="left"/>
    </xf>
    <xf numFmtId="169" fontId="46" fillId="0" borderId="17" xfId="3" applyNumberFormat="1" applyBorder="1" applyAlignment="1">
      <alignment horizontal="center"/>
    </xf>
    <xf numFmtId="169" fontId="46" fillId="0" borderId="129" xfId="3" applyNumberFormat="1" applyBorder="1" applyAlignment="1">
      <alignment horizontal="center"/>
    </xf>
    <xf numFmtId="169" fontId="46" fillId="0" borderId="130" xfId="3" applyNumberFormat="1" applyBorder="1" applyAlignment="1">
      <alignment horizontal="center"/>
    </xf>
    <xf numFmtId="49" fontId="46" fillId="0" borderId="17" xfId="3" applyNumberFormat="1" applyBorder="1" applyAlignment="1">
      <alignment horizontal="center"/>
    </xf>
    <xf numFmtId="49" fontId="46" fillId="0" borderId="129" xfId="3" applyNumberFormat="1" applyBorder="1" applyAlignment="1">
      <alignment horizontal="center"/>
    </xf>
    <xf numFmtId="49" fontId="46" fillId="0" borderId="16" xfId="3" applyNumberFormat="1" applyBorder="1" applyAlignment="1">
      <alignment horizontal="center"/>
    </xf>
    <xf numFmtId="0" fontId="46" fillId="0" borderId="31" xfId="3" applyBorder="1" applyAlignment="1">
      <alignment horizontal="left"/>
    </xf>
    <xf numFmtId="0" fontId="46" fillId="0" borderId="131" xfId="3" applyBorder="1" applyAlignment="1">
      <alignment horizontal="left"/>
    </xf>
    <xf numFmtId="169" fontId="46" fillId="0" borderId="31" xfId="3" applyNumberFormat="1" applyBorder="1" applyAlignment="1">
      <alignment horizontal="center"/>
    </xf>
    <xf numFmtId="169" fontId="46" fillId="0" borderId="131" xfId="3" applyNumberFormat="1" applyBorder="1" applyAlignment="1">
      <alignment horizontal="center"/>
    </xf>
    <xf numFmtId="169" fontId="46" fillId="0" borderId="132" xfId="3" applyNumberFormat="1" applyBorder="1" applyAlignment="1">
      <alignment horizontal="center"/>
    </xf>
    <xf numFmtId="49" fontId="46" fillId="0" borderId="31" xfId="3" applyNumberFormat="1" applyBorder="1" applyAlignment="1">
      <alignment horizontal="center"/>
    </xf>
    <xf numFmtId="49" fontId="46" fillId="0" borderId="131" xfId="3" applyNumberFormat="1" applyBorder="1" applyAlignment="1">
      <alignment horizontal="center"/>
    </xf>
    <xf numFmtId="49" fontId="46" fillId="0" borderId="32" xfId="3" applyNumberFormat="1" applyBorder="1" applyAlignment="1">
      <alignment horizontal="center"/>
    </xf>
    <xf numFmtId="0" fontId="16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51" fillId="0" borderId="12" xfId="4" applyFont="1" applyBorder="1" applyAlignment="1">
      <alignment horizontal="left"/>
    </xf>
    <xf numFmtId="0" fontId="51" fillId="0" borderId="13" xfId="4" applyFont="1" applyBorder="1" applyAlignment="1">
      <alignment horizontal="left"/>
    </xf>
    <xf numFmtId="0" fontId="51" fillId="0" borderId="14" xfId="4" applyFont="1" applyBorder="1" applyAlignment="1">
      <alignment horizontal="left"/>
    </xf>
    <xf numFmtId="0" fontId="23" fillId="0" borderId="63" xfId="4" applyFont="1" applyBorder="1" applyAlignment="1">
      <alignment horizontal="center"/>
    </xf>
    <xf numFmtId="0" fontId="23" fillId="0" borderId="27" xfId="4" applyFont="1" applyBorder="1" applyAlignment="1">
      <alignment horizontal="center"/>
    </xf>
    <xf numFmtId="0" fontId="52" fillId="0" borderId="103" xfId="4" applyFont="1" applyBorder="1" applyAlignment="1">
      <alignment horizontal="center"/>
    </xf>
    <xf numFmtId="0" fontId="52" fillId="0" borderId="64" xfId="4" applyFont="1" applyBorder="1" applyAlignment="1">
      <alignment horizontal="center"/>
    </xf>
    <xf numFmtId="0" fontId="52" fillId="0" borderId="27" xfId="4" applyFont="1" applyBorder="1" applyAlignment="1">
      <alignment horizontal="center"/>
    </xf>
    <xf numFmtId="0" fontId="8" fillId="0" borderId="133" xfId="4" applyFont="1" applyBorder="1" applyAlignment="1">
      <alignment horizontal="right"/>
    </xf>
    <xf numFmtId="0" fontId="8" fillId="0" borderId="131" xfId="4" applyFont="1" applyBorder="1" applyAlignment="1">
      <alignment horizontal="right"/>
    </xf>
    <xf numFmtId="0" fontId="23" fillId="0" borderId="131" xfId="4" applyFont="1" applyBorder="1" applyAlignment="1">
      <alignment horizontal="center"/>
    </xf>
    <xf numFmtId="0" fontId="23" fillId="0" borderId="36" xfId="4" applyFont="1" applyBorder="1" applyAlignment="1">
      <alignment horizontal="center"/>
    </xf>
    <xf numFmtId="0" fontId="23" fillId="0" borderId="37" xfId="4" applyFont="1" applyBorder="1" applyAlignment="1">
      <alignment horizontal="center"/>
    </xf>
    <xf numFmtId="0" fontId="23" fillId="0" borderId="46" xfId="4" applyFont="1" applyBorder="1" applyAlignment="1">
      <alignment horizontal="center"/>
    </xf>
    <xf numFmtId="0" fontId="23" fillId="0" borderId="23" xfId="4" applyFont="1" applyBorder="1" applyAlignment="1">
      <alignment horizontal="center"/>
    </xf>
    <xf numFmtId="0" fontId="23" fillId="0" borderId="24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46" fillId="0" borderId="27" xfId="4" applyBorder="1" applyAlignment="1">
      <alignment horizontal="center"/>
    </xf>
    <xf numFmtId="0" fontId="23" fillId="0" borderId="53" xfId="4" applyFont="1" applyBorder="1" applyAlignment="1">
      <alignment horizontal="center"/>
    </xf>
    <xf numFmtId="0" fontId="23" fillId="0" borderId="64" xfId="4" applyFont="1" applyBorder="1" applyAlignment="1">
      <alignment horizontal="center"/>
    </xf>
    <xf numFmtId="0" fontId="52" fillId="0" borderId="103" xfId="4" applyFont="1" applyBorder="1" applyAlignment="1">
      <alignment horizontal="right"/>
    </xf>
    <xf numFmtId="0" fontId="52" fillId="0" borderId="64" xfId="4" applyFont="1" applyBorder="1" applyAlignment="1">
      <alignment horizontal="right"/>
    </xf>
    <xf numFmtId="0" fontId="52" fillId="0" borderId="46" xfId="4" applyFont="1" applyBorder="1" applyAlignment="1">
      <alignment horizontal="right"/>
    </xf>
    <xf numFmtId="0" fontId="52" fillId="0" borderId="23" xfId="4" applyFont="1" applyBorder="1" applyAlignment="1">
      <alignment horizontal="right"/>
    </xf>
    <xf numFmtId="0" fontId="53" fillId="0" borderId="17" xfId="4" applyFont="1" applyBorder="1" applyAlignment="1">
      <alignment horizontal="center"/>
    </xf>
    <xf numFmtId="0" fontId="53" fillId="0" borderId="129" xfId="4" applyFont="1" applyBorder="1" applyAlignment="1">
      <alignment horizontal="center"/>
    </xf>
    <xf numFmtId="0" fontId="53" fillId="0" borderId="130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2" fillId="0" borderId="17" xfId="4" applyFont="1" applyBorder="1" applyAlignment="1">
      <alignment horizontal="center"/>
    </xf>
    <xf numFmtId="0" fontId="23" fillId="0" borderId="129" xfId="4" applyFont="1" applyBorder="1" applyAlignment="1">
      <alignment horizontal="center"/>
    </xf>
    <xf numFmtId="0" fontId="23" fillId="0" borderId="130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50" fillId="0" borderId="17" xfId="4" applyFont="1" applyBorder="1" applyAlignment="1">
      <alignment horizontal="right"/>
    </xf>
    <xf numFmtId="0" fontId="50" fillId="0" borderId="129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55" fillId="0" borderId="52" xfId="4" applyFont="1" applyBorder="1" applyAlignment="1">
      <alignment horizontal="center"/>
    </xf>
    <xf numFmtId="0" fontId="55" fillId="0" borderId="0" xfId="4" applyFont="1" applyAlignment="1">
      <alignment horizontal="center"/>
    </xf>
    <xf numFmtId="0" fontId="55" fillId="0" borderId="51" xfId="4" applyFont="1" applyBorder="1" applyAlignment="1">
      <alignment horizontal="center"/>
    </xf>
    <xf numFmtId="0" fontId="57" fillId="0" borderId="52" xfId="4" applyFont="1" applyBorder="1" applyAlignment="1">
      <alignment horizontal="center"/>
    </xf>
    <xf numFmtId="0" fontId="57" fillId="0" borderId="0" xfId="4" applyFont="1" applyAlignment="1">
      <alignment horizontal="center"/>
    </xf>
    <xf numFmtId="0" fontId="57" fillId="0" borderId="51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50" fillId="0" borderId="1" xfId="4" applyFont="1" applyBorder="1" applyAlignment="1">
      <alignment horizontal="right"/>
    </xf>
    <xf numFmtId="0" fontId="50" fillId="0" borderId="130" xfId="4" applyFont="1" applyBorder="1" applyAlignment="1">
      <alignment horizontal="center"/>
    </xf>
    <xf numFmtId="0" fontId="61" fillId="2" borderId="70" xfId="1" applyFont="1" applyFill="1" applyBorder="1" applyAlignment="1">
      <alignment horizontal="left"/>
    </xf>
  </cellXfs>
  <cellStyles count="5">
    <cellStyle name="Normal" xfId="0" builtinId="0"/>
    <cellStyle name="Normal 2" xfId="1" xr:uid="{00000000-0005-0000-0000-000001000000}"/>
    <cellStyle name="Normal 3" xfId="4" xr:uid="{00000000-0005-0000-0000-000002000000}"/>
    <cellStyle name="Normal_OPTEST" xfId="2" xr:uid="{00000000-0005-0000-0000-000003000000}"/>
    <cellStyle name="Normal_PROJ_REV_HIST" xfId="3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95.743461876431766</c:v>
                </c:pt>
                <c:pt idx="2">
                  <c:v>190</c:v>
                </c:pt>
                <c:pt idx="3">
                  <c:v>129.12574765291262</c:v>
                </c:pt>
                <c:pt idx="4">
                  <c:v>112.04659535299174</c:v>
                </c:pt>
                <c:pt idx="5">
                  <c:v>105.71681877481645</c:v>
                </c:pt>
                <c:pt idx="6">
                  <c:v>102.64304985247361</c:v>
                </c:pt>
                <c:pt idx="7">
                  <c:v>101.6292356439786</c:v>
                </c:pt>
                <c:pt idx="8">
                  <c:v>101.02502746115454</c:v>
                </c:pt>
                <c:pt idx="9">
                  <c:v>100.60573152795817</c:v>
                </c:pt>
                <c:pt idx="10">
                  <c:v>100.32664603688666</c:v>
                </c:pt>
                <c:pt idx="11">
                  <c:v>100.15344162564404</c:v>
                </c:pt>
                <c:pt idx="12">
                  <c:v>100.05334090443056</c:v>
                </c:pt>
                <c:pt idx="13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BB-4237-864A-E0D4BB3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021056"/>
        <c:axId val="337593856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0.19494627416133881</c:v>
                </c:pt>
                <c:pt idx="1">
                  <c:v>124.20486450195313</c:v>
                </c:pt>
                <c:pt idx="2">
                  <c:v>377.79962158203125</c:v>
                </c:pt>
                <c:pt idx="3">
                  <c:v>446.89630126953125</c:v>
                </c:pt>
                <c:pt idx="4">
                  <c:v>465.477294921875</c:v>
                </c:pt>
                <c:pt idx="5">
                  <c:v>472.99130249023438</c:v>
                </c:pt>
                <c:pt idx="6">
                  <c:v>479.83160400390625</c:v>
                </c:pt>
                <c:pt idx="7">
                  <c:v>484.20867919921875</c:v>
                </c:pt>
                <c:pt idx="8">
                  <c:v>488.09515380859375</c:v>
                </c:pt>
                <c:pt idx="9">
                  <c:v>491.66384887695313</c:v>
                </c:pt>
                <c:pt idx="10">
                  <c:v>494.87112426757813</c:v>
                </c:pt>
                <c:pt idx="11">
                  <c:v>497.70504760742188</c:v>
                </c:pt>
                <c:pt idx="12">
                  <c:v>500.1932373046875</c:v>
                </c:pt>
                <c:pt idx="13">
                  <c:v>502.38095092773438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BB-4237-864A-E0D4BB3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378176"/>
        <c:axId val="112559232"/>
      </c:scatterChart>
      <c:valAx>
        <c:axId val="30102105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37593856"/>
        <c:crossesAt val="0"/>
        <c:crossBetween val="midCat"/>
        <c:majorUnit val="0.2"/>
        <c:minorUnit val="0.2"/>
      </c:valAx>
      <c:valAx>
        <c:axId val="337593856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01021056"/>
        <c:crosses val="max"/>
        <c:crossBetween val="midCat"/>
        <c:majorUnit val="50"/>
        <c:minorUnit val="50"/>
      </c:valAx>
      <c:valAx>
        <c:axId val="345378176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12559232"/>
        <c:crosses val="autoZero"/>
        <c:crossBetween val="midCat"/>
      </c:valAx>
      <c:valAx>
        <c:axId val="11255923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45378176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95.743461876431766</c:v>
                </c:pt>
                <c:pt idx="2">
                  <c:v>190</c:v>
                </c:pt>
                <c:pt idx="3">
                  <c:v>129.12574765291262</c:v>
                </c:pt>
                <c:pt idx="4">
                  <c:v>112.04659535299174</c:v>
                </c:pt>
                <c:pt idx="5">
                  <c:v>105.71681877481645</c:v>
                </c:pt>
                <c:pt idx="6">
                  <c:v>102.64304985247361</c:v>
                </c:pt>
                <c:pt idx="7">
                  <c:v>101.6292356439786</c:v>
                </c:pt>
                <c:pt idx="8">
                  <c:v>101.02502746115454</c:v>
                </c:pt>
                <c:pt idx="9">
                  <c:v>100.60573152795817</c:v>
                </c:pt>
                <c:pt idx="10">
                  <c:v>100.32664603688666</c:v>
                </c:pt>
                <c:pt idx="11">
                  <c:v>100.15344162564404</c:v>
                </c:pt>
                <c:pt idx="12">
                  <c:v>100.05334090443056</c:v>
                </c:pt>
                <c:pt idx="13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D1-48FE-A553-3B6273AAC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667136"/>
        <c:axId val="328669056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0.19494627416133881</c:v>
                </c:pt>
                <c:pt idx="1">
                  <c:v>124.20486450195313</c:v>
                </c:pt>
                <c:pt idx="2">
                  <c:v>377.79962158203125</c:v>
                </c:pt>
                <c:pt idx="3">
                  <c:v>446.89630126953125</c:v>
                </c:pt>
                <c:pt idx="4">
                  <c:v>465.477294921875</c:v>
                </c:pt>
                <c:pt idx="5">
                  <c:v>472.99130249023438</c:v>
                </c:pt>
                <c:pt idx="6">
                  <c:v>479.83160400390625</c:v>
                </c:pt>
                <c:pt idx="7">
                  <c:v>484.20867919921875</c:v>
                </c:pt>
                <c:pt idx="8">
                  <c:v>488.09515380859375</c:v>
                </c:pt>
                <c:pt idx="9">
                  <c:v>491.66384887695313</c:v>
                </c:pt>
                <c:pt idx="10">
                  <c:v>494.87112426757813</c:v>
                </c:pt>
                <c:pt idx="11">
                  <c:v>497.70504760742188</c:v>
                </c:pt>
                <c:pt idx="12">
                  <c:v>500.1932373046875</c:v>
                </c:pt>
                <c:pt idx="13">
                  <c:v>502.38095092773438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D1-48FE-A553-3B6273AAC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704000"/>
        <c:axId val="328705536"/>
      </c:scatterChart>
      <c:valAx>
        <c:axId val="328667136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28669056"/>
        <c:crosses val="autoZero"/>
        <c:crossBetween val="midCat"/>
        <c:majorUnit val="20"/>
        <c:minorUnit val="20"/>
      </c:valAx>
      <c:valAx>
        <c:axId val="3286690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28667136"/>
        <c:crosses val="autoZero"/>
        <c:crossBetween val="midCat"/>
      </c:valAx>
      <c:valAx>
        <c:axId val="32870400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328705536"/>
        <c:crosses val="autoZero"/>
        <c:crossBetween val="midCat"/>
      </c:valAx>
      <c:valAx>
        <c:axId val="328705536"/>
        <c:scaling>
          <c:orientation val="minMax"/>
          <c:max val="15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28704000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197099967767187"/>
          <c:h val="5.893456283743999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502.38095238095241</c:v>
                </c:pt>
                <c:pt idx="1">
                  <c:v>500</c:v>
                </c:pt>
                <c:pt idx="2">
                  <c:v>400</c:v>
                </c:pt>
                <c:pt idx="3">
                  <c:v>300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25.975687844412668</c:v>
                </c:pt>
                <c:pt idx="1">
                  <c:v>26.223664365557742</c:v>
                </c:pt>
                <c:pt idx="2">
                  <c:v>40.974475571183973</c:v>
                </c:pt>
                <c:pt idx="3">
                  <c:v>72.843512126549285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CD-467F-9863-87E2460D5D03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502.38095238095241</c:v>
                </c:pt>
                <c:pt idx="1">
                  <c:v>500</c:v>
                </c:pt>
                <c:pt idx="2">
                  <c:v>400</c:v>
                </c:pt>
                <c:pt idx="3">
                  <c:v>300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13.993498938424247</c:v>
                </c:pt>
                <c:pt idx="1">
                  <c:v>14.127087669786528</c:v>
                </c:pt>
                <c:pt idx="2">
                  <c:v>22.073574484041451</c:v>
                </c:pt>
                <c:pt idx="3">
                  <c:v>39.241910193851474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CD-467F-9863-87E2460D5D03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200</c:v>
                </c:pt>
                <c:pt idx="1">
                  <c:v>100</c:v>
                </c:pt>
                <c:pt idx="2">
                  <c:v>190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97.833017103784854</c:v>
                </c:pt>
                <c:pt idx="3">
                  <c:v>109.00530609403188</c:v>
                </c:pt>
                <c:pt idx="4">
                  <c:v>245.2619387115717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CD-467F-9863-87E2460D5D03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502.38095238095241</c:v>
                </c:pt>
                <c:pt idx="1">
                  <c:v>501.26984126984127</c:v>
                </c:pt>
                <c:pt idx="2">
                  <c:v>498.96825396825403</c:v>
                </c:pt>
                <c:pt idx="3">
                  <c:v>496.26984126984121</c:v>
                </c:pt>
                <c:pt idx="4">
                  <c:v>493.25396825396825</c:v>
                </c:pt>
                <c:pt idx="5">
                  <c:v>489.84126984126988</c:v>
                </c:pt>
                <c:pt idx="6">
                  <c:v>486.1904761904762</c:v>
                </c:pt>
                <c:pt idx="7">
                  <c:v>481.98412698412693</c:v>
                </c:pt>
                <c:pt idx="8">
                  <c:v>476.42857142857139</c:v>
                </c:pt>
                <c:pt idx="9">
                  <c:v>469.20634920634927</c:v>
                </c:pt>
                <c:pt idx="10">
                  <c:v>456.19047619047615</c:v>
                </c:pt>
                <c:pt idx="11">
                  <c:v>412.38095238095241</c:v>
                </c:pt>
                <c:pt idx="12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0.5</c:v>
                </c:pt>
                <c:pt idx="2">
                  <c:v>0.93800002336502075</c:v>
                </c:pt>
                <c:pt idx="3">
                  <c:v>1.3550000190734863</c:v>
                </c:pt>
                <c:pt idx="4">
                  <c:v>1.7740000486373901</c:v>
                </c:pt>
                <c:pt idx="5">
                  <c:v>2.2130000591278076</c:v>
                </c:pt>
                <c:pt idx="6">
                  <c:v>2.692000150680542</c:v>
                </c:pt>
                <c:pt idx="7">
                  <c:v>3.2420001029968262</c:v>
                </c:pt>
                <c:pt idx="8">
                  <c:v>3.9300000667572021</c:v>
                </c:pt>
                <c:pt idx="9">
                  <c:v>4.3619999885559082</c:v>
                </c:pt>
                <c:pt idx="10">
                  <c:v>4.8090000152587891</c:v>
                </c:pt>
                <c:pt idx="11">
                  <c:v>5.0920000076293945</c:v>
                </c:pt>
                <c:pt idx="12">
                  <c:v>5.1149997711181641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4CD-467F-9863-87E2460D5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147136"/>
        <c:axId val="329149056"/>
      </c:scatterChart>
      <c:valAx>
        <c:axId val="329147136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9149056"/>
        <c:crossesAt val="0.1"/>
        <c:crossBetween val="midCat"/>
        <c:majorUnit val="100"/>
      </c:valAx>
      <c:valAx>
        <c:axId val="329149056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29147136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7" name="Radiu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8" name="Heigh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0" name="Thickness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>
          <a:grpSpLocks/>
        </xdr:cNvGrpSpPr>
      </xdr:nvGrpSpPr>
      <xdr:grpSpPr bwMode="auto">
        <a:xfrm>
          <a:off x="1211580" y="7759065"/>
          <a:ext cx="895350" cy="952500"/>
          <a:chOff x="120" y="793"/>
          <a:chExt cx="91" cy="100"/>
        </a:xfrm>
      </xdr:grpSpPr>
      <xdr:sp macro="" textlink="">
        <xdr:nvSpPr>
          <xdr:cNvPr id="35" name="Line 10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57.0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14.0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GrpSpPr>
          <a:grpSpLocks/>
        </xdr:cNvGrpSpPr>
      </xdr:nvGrpSpPr>
      <xdr:grpSpPr bwMode="auto">
        <a:xfrm>
          <a:off x="1150620" y="6273165"/>
          <a:ext cx="971550" cy="1078230"/>
          <a:chOff x="118" y="637"/>
          <a:chExt cx="99" cy="113"/>
        </a:xfrm>
      </xdr:grpSpPr>
      <xdr:sp macro="" textlink="">
        <xdr:nvSpPr>
          <xdr:cNvPr id="73" name="Line 229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>
            <a:extLst>
              <a:ext uri="{FF2B5EF4-FFF2-40B4-BE49-F238E27FC236}">
                <a16:creationId xmlns:a16="http://schemas.microsoft.com/office/drawing/2014/main" id="{00000000-0008-0000-0100-00005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03" name="Radius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04" name="Height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05" name="Clear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06" name="Thickness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07" name="Radius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08" name="Height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09" name="Clear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10" name="Radius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11" name="Height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12" name="Clear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13" name="Thickness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4" name="Radius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5" name="Clear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16" name="Thickness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7" name="Radius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18" name="Thickness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9" name="Radius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0" name="Height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1" name="Clear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22" name="Thickness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752475</xdr:colOff>
      <xdr:row>40</xdr:row>
      <xdr:rowOff>95250</xdr:rowOff>
    </xdr:from>
    <xdr:to>
      <xdr:col>4</xdr:col>
      <xdr:colOff>733425</xdr:colOff>
      <xdr:row>41</xdr:row>
      <xdr:rowOff>38100</xdr:rowOff>
    </xdr:to>
    <xdr:sp macro="" textlink="">
      <xdr:nvSpPr>
        <xdr:cNvPr id="123" name="Text 219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2447925" y="9305925"/>
          <a:ext cx="819150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051-U120-01</a:t>
          </a:r>
        </a:p>
      </xdr:txBody>
    </xdr:sp>
    <xdr:clientData/>
  </xdr:twoCellAnchor>
  <xdr:twoCellAnchor>
    <xdr:from>
      <xdr:col>3</xdr:col>
      <xdr:colOff>552450</xdr:colOff>
      <xdr:row>42</xdr:row>
      <xdr:rowOff>95250</xdr:rowOff>
    </xdr:from>
    <xdr:to>
      <xdr:col>4</xdr:col>
      <xdr:colOff>133350</xdr:colOff>
      <xdr:row>43</xdr:row>
      <xdr:rowOff>9525</xdr:rowOff>
    </xdr:to>
    <xdr:sp macro="" textlink="">
      <xdr:nvSpPr>
        <xdr:cNvPr id="124" name="Radius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2247900" y="9763125"/>
          <a:ext cx="419100" cy="1428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246.0</a:t>
          </a: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5" name="Height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35.0</a:t>
          </a: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6" name="Clear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25.0</a:t>
          </a: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7" name="Thickness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44.5</a:t>
          </a:r>
        </a:p>
        <a:p>
          <a:pPr algn="ctr" rtl="0">
            <a:defRPr sz="1000"/>
          </a:pPr>
          <a:endParaRPr lang="en-US" sz="600" b="1" i="0" strike="noStrike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457200</xdr:colOff>
      <xdr:row>41</xdr:row>
      <xdr:rowOff>161925</xdr:rowOff>
    </xdr:from>
    <xdr:to>
      <xdr:col>2</xdr:col>
      <xdr:colOff>457200</xdr:colOff>
      <xdr:row>42</xdr:row>
      <xdr:rowOff>66675</xdr:rowOff>
    </xdr:to>
    <xdr:sp macro="" textlink="">
      <xdr:nvSpPr>
        <xdr:cNvPr id="128" name="Line 123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ShapeType="1"/>
        </xdr:cNvSpPr>
      </xdr:nvSpPr>
      <xdr:spPr bwMode="auto">
        <a:xfrm flipV="1">
          <a:off x="1657350" y="9601200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247650</xdr:colOff>
      <xdr:row>41</xdr:row>
      <xdr:rowOff>171450</xdr:rowOff>
    </xdr:from>
    <xdr:to>
      <xdr:col>3</xdr:col>
      <xdr:colOff>247650</xdr:colOff>
      <xdr:row>42</xdr:row>
      <xdr:rowOff>76200</xdr:rowOff>
    </xdr:to>
    <xdr:sp macro="" textlink="">
      <xdr:nvSpPr>
        <xdr:cNvPr id="129" name="Line 124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ShapeType="1"/>
        </xdr:cNvSpPr>
      </xdr:nvSpPr>
      <xdr:spPr bwMode="auto">
        <a:xfrm flipV="1">
          <a:off x="1943100" y="9610725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466725</xdr:colOff>
      <xdr:row>41</xdr:row>
      <xdr:rowOff>209550</xdr:rowOff>
    </xdr:from>
    <xdr:to>
      <xdr:col>3</xdr:col>
      <xdr:colOff>238125</xdr:colOff>
      <xdr:row>41</xdr:row>
      <xdr:rowOff>209550</xdr:rowOff>
    </xdr:to>
    <xdr:sp macro="" textlink="">
      <xdr:nvSpPr>
        <xdr:cNvPr id="130" name="Line 125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ShapeType="1"/>
        </xdr:cNvSpPr>
      </xdr:nvSpPr>
      <xdr:spPr bwMode="auto">
        <a:xfrm flipV="1">
          <a:off x="1666875" y="964882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40</xdr:row>
      <xdr:rowOff>180975</xdr:rowOff>
    </xdr:from>
    <xdr:to>
      <xdr:col>3</xdr:col>
      <xdr:colOff>19050</xdr:colOff>
      <xdr:row>41</xdr:row>
      <xdr:rowOff>142875</xdr:rowOff>
    </xdr:to>
    <xdr:sp macro="" textlink="">
      <xdr:nvSpPr>
        <xdr:cNvPr id="131" name="Line 126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ShapeType="1"/>
        </xdr:cNvSpPr>
      </xdr:nvSpPr>
      <xdr:spPr bwMode="auto">
        <a:xfrm flipV="1">
          <a:off x="1714500" y="939165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32" name="Text 583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285750</xdr:colOff>
      <xdr:row>39</xdr:row>
      <xdr:rowOff>161925</xdr:rowOff>
    </xdr:from>
    <xdr:to>
      <xdr:col>2</xdr:col>
      <xdr:colOff>161925</xdr:colOff>
      <xdr:row>39</xdr:row>
      <xdr:rowOff>161925</xdr:rowOff>
    </xdr:to>
    <xdr:sp macro="" textlink="">
      <xdr:nvSpPr>
        <xdr:cNvPr id="133" name="Line 128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ShapeType="1"/>
        </xdr:cNvSpPr>
      </xdr:nvSpPr>
      <xdr:spPr bwMode="auto">
        <a:xfrm flipV="1">
          <a:off x="1076325" y="91440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161925</xdr:rowOff>
    </xdr:from>
    <xdr:to>
      <xdr:col>2</xdr:col>
      <xdr:colOff>161925</xdr:colOff>
      <xdr:row>42</xdr:row>
      <xdr:rowOff>209550</xdr:rowOff>
    </xdr:to>
    <xdr:sp macro="" textlink="">
      <xdr:nvSpPr>
        <xdr:cNvPr id="134" name="Line 129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ChangeShapeType="1"/>
        </xdr:cNvSpPr>
      </xdr:nvSpPr>
      <xdr:spPr bwMode="auto">
        <a:xfrm>
          <a:off x="1362075" y="914400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41</xdr:row>
      <xdr:rowOff>57150</xdr:rowOff>
    </xdr:from>
    <xdr:to>
      <xdr:col>2</xdr:col>
      <xdr:colOff>447675</xdr:colOff>
      <xdr:row>41</xdr:row>
      <xdr:rowOff>57150</xdr:rowOff>
    </xdr:to>
    <xdr:sp macro="" textlink="">
      <xdr:nvSpPr>
        <xdr:cNvPr id="135" name="Line 130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>
          <a:spLocks noChangeShapeType="1"/>
        </xdr:cNvSpPr>
      </xdr:nvSpPr>
      <xdr:spPr bwMode="auto">
        <a:xfrm flipV="1">
          <a:off x="1371600" y="94964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457200</xdr:colOff>
      <xdr:row>39</xdr:row>
      <xdr:rowOff>171450</xdr:rowOff>
    </xdr:from>
    <xdr:to>
      <xdr:col>3</xdr:col>
      <xdr:colOff>247650</xdr:colOff>
      <xdr:row>41</xdr:row>
      <xdr:rowOff>142875</xdr:rowOff>
    </xdr:to>
    <xdr:sp macro="" textlink="">
      <xdr:nvSpPr>
        <xdr:cNvPr id="136" name="Rectangle 131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ChangeArrowheads="1"/>
        </xdr:cNvSpPr>
      </xdr:nvSpPr>
      <xdr:spPr bwMode="auto">
        <a:xfrm>
          <a:off x="1657350" y="9153525"/>
          <a:ext cx="285750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40</xdr:row>
      <xdr:rowOff>219075</xdr:rowOff>
    </xdr:from>
    <xdr:to>
      <xdr:col>2</xdr:col>
      <xdr:colOff>457200</xdr:colOff>
      <xdr:row>40</xdr:row>
      <xdr:rowOff>219075</xdr:rowOff>
    </xdr:to>
    <xdr:sp macro="" textlink="">
      <xdr:nvSpPr>
        <xdr:cNvPr id="137" name="Line 132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ShapeType="1"/>
        </xdr:cNvSpPr>
      </xdr:nvSpPr>
      <xdr:spPr bwMode="auto">
        <a:xfrm>
          <a:off x="1362075" y="94297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190500</xdr:rowOff>
    </xdr:from>
    <xdr:to>
      <xdr:col>2</xdr:col>
      <xdr:colOff>457200</xdr:colOff>
      <xdr:row>39</xdr:row>
      <xdr:rowOff>190500</xdr:rowOff>
    </xdr:to>
    <xdr:sp macro="" textlink="">
      <xdr:nvSpPr>
        <xdr:cNvPr id="138" name="Line 133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ShapeType="1"/>
        </xdr:cNvSpPr>
      </xdr:nvSpPr>
      <xdr:spPr bwMode="auto">
        <a:xfrm>
          <a:off x="1362075" y="917257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295275</xdr:colOff>
      <xdr:row>41</xdr:row>
      <xdr:rowOff>142875</xdr:rowOff>
    </xdr:from>
    <xdr:to>
      <xdr:col>3</xdr:col>
      <xdr:colOff>666750</xdr:colOff>
      <xdr:row>41</xdr:row>
      <xdr:rowOff>142875</xdr:rowOff>
    </xdr:to>
    <xdr:sp macro="" textlink="">
      <xdr:nvSpPr>
        <xdr:cNvPr id="139" name="Line 134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ShapeType="1"/>
        </xdr:cNvSpPr>
      </xdr:nvSpPr>
      <xdr:spPr bwMode="auto">
        <a:xfrm>
          <a:off x="1990725" y="958215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628650</xdr:colOff>
      <xdr:row>41</xdr:row>
      <xdr:rowOff>142875</xdr:rowOff>
    </xdr:from>
    <xdr:to>
      <xdr:col>3</xdr:col>
      <xdr:colOff>628650</xdr:colOff>
      <xdr:row>42</xdr:row>
      <xdr:rowOff>95250</xdr:rowOff>
    </xdr:to>
    <xdr:sp macro="" textlink="">
      <xdr:nvSpPr>
        <xdr:cNvPr id="140" name="Line 135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ShapeType="1"/>
        </xdr:cNvSpPr>
      </xdr:nvSpPr>
      <xdr:spPr bwMode="auto">
        <a:xfrm flipV="1">
          <a:off x="2324100" y="95821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285750</xdr:colOff>
      <xdr:row>39</xdr:row>
      <xdr:rowOff>171450</xdr:rowOff>
    </xdr:from>
    <xdr:to>
      <xdr:col>3</xdr:col>
      <xdr:colOff>504825</xdr:colOff>
      <xdr:row>39</xdr:row>
      <xdr:rowOff>171450</xdr:rowOff>
    </xdr:to>
    <xdr:sp macro="" textlink="">
      <xdr:nvSpPr>
        <xdr:cNvPr id="141" name="Line 136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ShapeType="1"/>
        </xdr:cNvSpPr>
      </xdr:nvSpPr>
      <xdr:spPr bwMode="auto">
        <a:xfrm>
          <a:off x="1981200" y="91535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295275</xdr:colOff>
      <xdr:row>40</xdr:row>
      <xdr:rowOff>133350</xdr:rowOff>
    </xdr:from>
    <xdr:to>
      <xdr:col>3</xdr:col>
      <xdr:colOff>581025</xdr:colOff>
      <xdr:row>41</xdr:row>
      <xdr:rowOff>9525</xdr:rowOff>
    </xdr:to>
    <xdr:sp macro="" textlink="">
      <xdr:nvSpPr>
        <xdr:cNvPr id="142" name="Thickness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1990725" y="934402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strike="noStrike">
              <a:solidFill>
                <a:srgbClr val="000000"/>
              </a:solidFill>
              <a:latin typeface="Univers (W1)"/>
            </a:rPr>
            <a:t>44.0</a:t>
          </a:r>
        </a:p>
      </xdr:txBody>
    </xdr:sp>
    <xdr:clientData/>
  </xdr:twoCellAnchor>
  <xdr:twoCellAnchor>
    <xdr:from>
      <xdr:col>3</xdr:col>
      <xdr:colOff>428625</xdr:colOff>
      <xdr:row>39</xdr:row>
      <xdr:rowOff>171450</xdr:rowOff>
    </xdr:from>
    <xdr:to>
      <xdr:col>3</xdr:col>
      <xdr:colOff>428625</xdr:colOff>
      <xdr:row>40</xdr:row>
      <xdr:rowOff>85725</xdr:rowOff>
    </xdr:to>
    <xdr:sp macro="" textlink="">
      <xdr:nvSpPr>
        <xdr:cNvPr id="143" name="Line 138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ShapeType="1"/>
        </xdr:cNvSpPr>
      </xdr:nvSpPr>
      <xdr:spPr bwMode="auto">
        <a:xfrm flipV="1">
          <a:off x="2124075" y="9153525"/>
          <a:ext cx="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41</xdr:row>
      <xdr:rowOff>19050</xdr:rowOff>
    </xdr:from>
    <xdr:to>
      <xdr:col>3</xdr:col>
      <xdr:colOff>438150</xdr:colOff>
      <xdr:row>41</xdr:row>
      <xdr:rowOff>142875</xdr:rowOff>
    </xdr:to>
    <xdr:sp macro="" textlink="">
      <xdr:nvSpPr>
        <xdr:cNvPr id="144" name="Line 139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ShapeType="1"/>
        </xdr:cNvSpPr>
      </xdr:nvSpPr>
      <xdr:spPr bwMode="auto">
        <a:xfrm>
          <a:off x="2133600" y="9458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752475</xdr:colOff>
      <xdr:row>34</xdr:row>
      <xdr:rowOff>9525</xdr:rowOff>
    </xdr:from>
    <xdr:to>
      <xdr:col>4</xdr:col>
      <xdr:colOff>733425</xdr:colOff>
      <xdr:row>34</xdr:row>
      <xdr:rowOff>180975</xdr:rowOff>
    </xdr:to>
    <xdr:sp macro="" textlink="">
      <xdr:nvSpPr>
        <xdr:cNvPr id="146" name="Text 219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2447925" y="7848600"/>
          <a:ext cx="819150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411-R141</a:t>
          </a:r>
        </a:p>
      </xdr:txBody>
    </xdr:sp>
    <xdr:clientData/>
  </xdr:twoCellAnchor>
  <xdr:twoCellAnchor>
    <xdr:from>
      <xdr:col>3</xdr:col>
      <xdr:colOff>628650</xdr:colOff>
      <xdr:row>27</xdr:row>
      <xdr:rowOff>161925</xdr:rowOff>
    </xdr:from>
    <xdr:to>
      <xdr:col>4</xdr:col>
      <xdr:colOff>609600</xdr:colOff>
      <xdr:row>28</xdr:row>
      <xdr:rowOff>104775</xdr:rowOff>
    </xdr:to>
    <xdr:sp macro="" textlink="">
      <xdr:nvSpPr>
        <xdr:cNvPr id="147" name="Text 219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2324100" y="6400800"/>
          <a:ext cx="819150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311-R111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0.56063</cdr:x>
      <cdr:y>0.61844</cdr:y>
    </cdr:from>
    <cdr:to>
      <cdr:x>0.79648</cdr:x>
      <cdr:y>0.63913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78734" y="398210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0.54597</cdr:x>
      <cdr:y>0.5394</cdr:y>
    </cdr:from>
    <cdr:to>
      <cdr:x>0.82879</cdr:x>
      <cdr:y>0.56453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93009" y="347315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0.5819</cdr:x>
      <cdr:y>0.76207</cdr:y>
    </cdr:from>
    <cdr:to>
      <cdr:x>0.82734</cdr:x>
      <cdr:y>0.7872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03159" y="4906888"/>
          <a:ext cx="1435419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O113"/>
  <sheetViews>
    <sheetView zoomScale="95" zoomScaleNormal="95" workbookViewId="0">
      <selection activeCell="O17" sqref="O17"/>
    </sheetView>
  </sheetViews>
  <sheetFormatPr defaultRowHeight="13.2"/>
  <cols>
    <col min="1" max="6" width="12.33203125" customWidth="1"/>
    <col min="7" max="7" width="12.44140625" customWidth="1"/>
    <col min="8" max="8" width="12.6640625" customWidth="1"/>
    <col min="9" max="10" width="12.33203125" customWidth="1"/>
  </cols>
  <sheetData>
    <row r="1" spans="1:10" ht="17.399999999999999">
      <c r="A1" s="34" t="s">
        <v>167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203</v>
      </c>
    </row>
    <row r="2" spans="1:10" ht="17.399999999999999">
      <c r="A2" s="34" t="s">
        <v>173</v>
      </c>
      <c r="B2" s="2"/>
      <c r="C2" s="2"/>
      <c r="D2" s="2"/>
      <c r="E2" s="2"/>
      <c r="F2" s="2"/>
      <c r="G2" s="2"/>
      <c r="H2" s="2"/>
      <c r="I2" s="2"/>
      <c r="J2" s="131" t="s">
        <v>204</v>
      </c>
    </row>
    <row r="3" spans="1:10" ht="15" customHeight="1" thickBot="1">
      <c r="A3" s="49" t="s">
        <v>1</v>
      </c>
      <c r="B3" s="96" t="s">
        <v>647</v>
      </c>
      <c r="C3" s="1"/>
      <c r="D3" s="49"/>
      <c r="E3" s="1"/>
      <c r="F3" s="1"/>
      <c r="G3" s="49" t="s">
        <v>2</v>
      </c>
      <c r="H3" s="149">
        <v>42321</v>
      </c>
      <c r="I3" s="49" t="s">
        <v>3</v>
      </c>
      <c r="J3" s="150">
        <v>0.28087962962962965</v>
      </c>
    </row>
    <row r="4" spans="1:10" ht="15" customHeight="1">
      <c r="A4" s="12" t="s">
        <v>4</v>
      </c>
      <c r="B4" s="12" t="s">
        <v>171</v>
      </c>
      <c r="C4" s="12" t="s">
        <v>5</v>
      </c>
      <c r="D4" s="12" t="s">
        <v>172</v>
      </c>
      <c r="E4" s="12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2</v>
      </c>
      <c r="B5" s="113">
        <v>1000</v>
      </c>
      <c r="C5" s="143">
        <v>3600</v>
      </c>
      <c r="D5" s="50" t="s">
        <v>176</v>
      </c>
      <c r="E5" s="143">
        <v>4000</v>
      </c>
      <c r="F5" s="143">
        <v>60</v>
      </c>
      <c r="G5" s="50">
        <v>105</v>
      </c>
      <c r="H5" s="78" t="s">
        <v>236</v>
      </c>
      <c r="I5" s="77" t="s">
        <v>241</v>
      </c>
      <c r="J5" s="50" t="s">
        <v>177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25.431919047619047</v>
      </c>
      <c r="J7" s="106" t="s">
        <v>19</v>
      </c>
    </row>
    <row r="8" spans="1:10" ht="15" customHeight="1">
      <c r="A8" s="6" t="s">
        <v>20</v>
      </c>
      <c r="B8" s="69">
        <v>2.9000000953674316</v>
      </c>
      <c r="C8" s="52"/>
      <c r="D8" s="6"/>
      <c r="E8" s="51"/>
      <c r="F8" s="3"/>
      <c r="G8" s="16"/>
      <c r="H8" s="10" t="s">
        <v>21</v>
      </c>
      <c r="I8" s="68">
        <v>30.879981688258507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185</v>
      </c>
      <c r="F9" s="107" t="s">
        <v>25</v>
      </c>
      <c r="G9" s="30"/>
      <c r="H9" s="10" t="s">
        <v>26</v>
      </c>
      <c r="I9" s="69">
        <v>28.155950367938779</v>
      </c>
      <c r="J9" s="104">
        <v>769.22884849838124</v>
      </c>
    </row>
    <row r="10" spans="1:10" ht="15" customHeight="1">
      <c r="A10" s="6" t="s">
        <v>27</v>
      </c>
      <c r="B10" s="69">
        <v>535</v>
      </c>
      <c r="C10" s="73">
        <v>535</v>
      </c>
      <c r="D10" s="6"/>
      <c r="E10" s="51"/>
      <c r="F10" s="117" t="s">
        <v>199</v>
      </c>
      <c r="G10" s="115" t="s">
        <v>200</v>
      </c>
      <c r="H10" s="10" t="s">
        <v>28</v>
      </c>
      <c r="I10" s="68">
        <v>18.247458461573483</v>
      </c>
      <c r="J10" s="103" t="s">
        <v>29</v>
      </c>
    </row>
    <row r="11" spans="1:10" ht="15" customHeight="1" thickBot="1">
      <c r="A11" s="6" t="s">
        <v>30</v>
      </c>
      <c r="B11" s="69">
        <v>590</v>
      </c>
      <c r="C11" s="73">
        <v>334.19999980926514</v>
      </c>
      <c r="D11" s="6" t="s">
        <v>31</v>
      </c>
      <c r="E11" s="68">
        <v>0.61898571428571425</v>
      </c>
      <c r="F11" s="118"/>
      <c r="G11" s="114"/>
      <c r="H11" s="10" t="s">
        <v>32</v>
      </c>
      <c r="I11" s="68">
        <v>30.408333216002376</v>
      </c>
      <c r="J11" s="104">
        <v>41164.065346647636</v>
      </c>
    </row>
    <row r="12" spans="1:10" ht="15" customHeight="1">
      <c r="A12" s="6" t="s">
        <v>33</v>
      </c>
      <c r="B12" s="69">
        <v>340</v>
      </c>
      <c r="C12" s="73">
        <v>155</v>
      </c>
      <c r="D12" s="6" t="s">
        <v>34</v>
      </c>
      <c r="E12" s="138" t="s">
        <v>174</v>
      </c>
      <c r="F12" s="124" t="s">
        <v>193</v>
      </c>
      <c r="G12" s="116" t="s">
        <v>192</v>
      </c>
      <c r="H12" s="10" t="s">
        <v>35</v>
      </c>
      <c r="I12" s="68">
        <v>1.3937239041357459</v>
      </c>
      <c r="J12" s="103" t="s">
        <v>36</v>
      </c>
    </row>
    <row r="13" spans="1:10" ht="15" customHeight="1" thickBot="1">
      <c r="A13" s="6" t="s">
        <v>37</v>
      </c>
      <c r="B13" s="69">
        <v>68</v>
      </c>
      <c r="C13" s="73">
        <v>53.190000057220459</v>
      </c>
      <c r="D13" s="6" t="s">
        <v>38</v>
      </c>
      <c r="E13" s="70">
        <v>16</v>
      </c>
      <c r="F13" s="124"/>
      <c r="G13" s="116" t="s">
        <v>194</v>
      </c>
      <c r="H13" s="10" t="s">
        <v>40</v>
      </c>
      <c r="I13" s="68">
        <v>1.0155105006547325</v>
      </c>
      <c r="J13" s="104">
        <v>120.52554321289063</v>
      </c>
    </row>
    <row r="14" spans="1:10" ht="15" customHeight="1" thickBot="1">
      <c r="A14" s="134" t="s">
        <v>41</v>
      </c>
      <c r="B14" s="135">
        <v>415.70999145507813</v>
      </c>
      <c r="C14" s="136">
        <v>423.14999389648438</v>
      </c>
      <c r="D14" s="6" t="s">
        <v>42</v>
      </c>
      <c r="E14" s="51" t="s">
        <v>186</v>
      </c>
      <c r="F14" s="51"/>
      <c r="G14" s="116" t="s">
        <v>195</v>
      </c>
      <c r="H14" s="49" t="s">
        <v>43</v>
      </c>
      <c r="I14" s="68">
        <v>1.4153412596633597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187</v>
      </c>
      <c r="F15" s="51"/>
      <c r="G15" s="116"/>
      <c r="H15" s="10" t="s">
        <v>47</v>
      </c>
      <c r="I15" s="68">
        <v>0.82618353059296434</v>
      </c>
      <c r="J15" s="104">
        <v>20.620256696428573</v>
      </c>
    </row>
    <row r="16" spans="1:10" ht="15" customHeight="1">
      <c r="A16" s="6" t="s">
        <v>48</v>
      </c>
      <c r="B16" s="51">
        <v>42</v>
      </c>
      <c r="C16" s="52">
        <v>34</v>
      </c>
      <c r="D16" s="6" t="s">
        <v>49</v>
      </c>
      <c r="E16" s="51">
        <v>1</v>
      </c>
      <c r="F16" s="51"/>
      <c r="G16" s="116"/>
      <c r="H16" s="10" t="s">
        <v>50</v>
      </c>
      <c r="I16" s="68">
        <v>0.9556462151235352</v>
      </c>
      <c r="J16" s="105" t="s">
        <v>51</v>
      </c>
    </row>
    <row r="17" spans="1:15" ht="15" customHeight="1" thickBot="1">
      <c r="A17" s="6" t="s">
        <v>52</v>
      </c>
      <c r="B17" s="51" t="s">
        <v>178</v>
      </c>
      <c r="C17" s="52" t="s">
        <v>179</v>
      </c>
      <c r="D17" s="96" t="s">
        <v>53</v>
      </c>
      <c r="E17" s="51" t="s">
        <v>188</v>
      </c>
      <c r="F17" s="51"/>
      <c r="G17" s="116"/>
      <c r="H17" s="10" t="s">
        <v>54</v>
      </c>
      <c r="I17" s="68">
        <v>0.78953916400856583</v>
      </c>
      <c r="J17" s="104">
        <v>758.26314474950675</v>
      </c>
    </row>
    <row r="18" spans="1:15" ht="15" customHeight="1">
      <c r="A18" s="6" t="s">
        <v>55</v>
      </c>
      <c r="B18" s="51" t="s">
        <v>174</v>
      </c>
      <c r="C18" s="73">
        <v>0</v>
      </c>
      <c r="D18" s="6" t="s">
        <v>56</v>
      </c>
      <c r="E18" s="140">
        <v>1125</v>
      </c>
      <c r="F18" s="70">
        <v>629.5</v>
      </c>
      <c r="G18" s="74"/>
      <c r="H18" s="13" t="s">
        <v>57</v>
      </c>
      <c r="I18" s="132" t="s">
        <v>201</v>
      </c>
      <c r="J18" s="133"/>
    </row>
    <row r="19" spans="1:15" ht="15" customHeight="1">
      <c r="A19" s="6" t="s">
        <v>58</v>
      </c>
      <c r="B19" s="69">
        <v>57</v>
      </c>
      <c r="C19" s="73">
        <v>36.409999847412109</v>
      </c>
      <c r="D19" s="6" t="s">
        <v>59</v>
      </c>
      <c r="E19" s="70">
        <v>224</v>
      </c>
      <c r="F19" s="51"/>
      <c r="G19" s="52"/>
      <c r="H19" s="146"/>
      <c r="I19" s="3" t="s">
        <v>60</v>
      </c>
      <c r="J19" s="31" t="s">
        <v>61</v>
      </c>
    </row>
    <row r="20" spans="1:15" ht="15" customHeight="1">
      <c r="A20" s="6" t="s">
        <v>62</v>
      </c>
      <c r="B20" s="69" t="s">
        <v>180</v>
      </c>
      <c r="C20" s="73"/>
      <c r="D20" s="6" t="s">
        <v>166</v>
      </c>
      <c r="E20" s="67">
        <v>0.17712977657485512</v>
      </c>
      <c r="F20" s="51"/>
      <c r="G20" s="52"/>
      <c r="H20" s="10" t="s">
        <v>63</v>
      </c>
      <c r="I20" s="68">
        <v>11.78604793548584</v>
      </c>
      <c r="J20" s="72">
        <v>11.78604793548584</v>
      </c>
    </row>
    <row r="21" spans="1:15" ht="15" customHeight="1">
      <c r="A21" s="6" t="s">
        <v>64</v>
      </c>
      <c r="B21" s="69">
        <v>14</v>
      </c>
      <c r="C21" s="73">
        <v>3</v>
      </c>
      <c r="D21" s="10" t="s">
        <v>189</v>
      </c>
      <c r="E21" s="67">
        <v>0.23628903397706605</v>
      </c>
      <c r="F21" s="67">
        <v>0.1342378705739975</v>
      </c>
      <c r="G21" s="71">
        <v>1.151260253528247E-2</v>
      </c>
      <c r="H21" s="10" t="s">
        <v>65</v>
      </c>
      <c r="I21" s="68">
        <v>16.43341064453125</v>
      </c>
      <c r="J21" s="72">
        <v>14.468874931335449</v>
      </c>
    </row>
    <row r="22" spans="1:15" ht="15" customHeight="1">
      <c r="A22" s="6" t="s">
        <v>66</v>
      </c>
      <c r="B22" s="69">
        <v>2.8299999237060547</v>
      </c>
      <c r="C22" s="73">
        <v>3</v>
      </c>
      <c r="D22" s="6" t="s">
        <v>67</v>
      </c>
      <c r="E22" s="51" t="s">
        <v>190</v>
      </c>
      <c r="F22" s="51" t="s">
        <v>191</v>
      </c>
      <c r="G22" s="52" t="s">
        <v>191</v>
      </c>
      <c r="H22" s="10" t="s">
        <v>68</v>
      </c>
      <c r="I22" s="68">
        <v>6.7679719924926758</v>
      </c>
      <c r="J22" s="72">
        <v>5.9808793067932129</v>
      </c>
    </row>
    <row r="23" spans="1:15" ht="15" customHeight="1">
      <c r="A23" s="6" t="s">
        <v>69</v>
      </c>
      <c r="B23" s="69">
        <v>11.431919097900391</v>
      </c>
      <c r="C23" s="73">
        <v>10.031435012817383</v>
      </c>
      <c r="D23" s="6" t="s">
        <v>70</v>
      </c>
      <c r="E23" s="68">
        <v>1.7419999837875366</v>
      </c>
      <c r="F23" s="68">
        <v>1.7239999771118164</v>
      </c>
      <c r="G23" s="72">
        <v>1.7239999771118164</v>
      </c>
      <c r="H23" s="10" t="s">
        <v>71</v>
      </c>
      <c r="I23" s="68">
        <v>17.27858785030104</v>
      </c>
      <c r="J23" s="16" t="s">
        <v>202</v>
      </c>
    </row>
    <row r="24" spans="1:15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5.7711436150482589</v>
      </c>
      <c r="J24" s="72">
        <v>5.0999787318443817</v>
      </c>
    </row>
    <row r="25" spans="1:15" ht="15" customHeight="1">
      <c r="A25" s="6" t="s">
        <v>75</v>
      </c>
      <c r="B25" s="51" t="s">
        <v>174</v>
      </c>
      <c r="C25" s="73">
        <v>4.7199997901916504</v>
      </c>
      <c r="D25" s="109" t="s">
        <v>76</v>
      </c>
      <c r="E25" s="53"/>
      <c r="F25" s="53"/>
      <c r="G25" s="60"/>
      <c r="H25" s="10" t="s">
        <v>77</v>
      </c>
      <c r="I25" s="68">
        <v>0.38203951716423035</v>
      </c>
      <c r="J25" s="72">
        <v>0.94458013772964478</v>
      </c>
    </row>
    <row r="26" spans="1:15" ht="15" customHeight="1">
      <c r="A26" s="6" t="s">
        <v>78</v>
      </c>
      <c r="B26" s="53" t="s">
        <v>181</v>
      </c>
      <c r="C26" s="60" t="s">
        <v>182</v>
      </c>
      <c r="D26" s="10" t="s">
        <v>79</v>
      </c>
      <c r="E26" s="69">
        <v>78.416899143686663</v>
      </c>
      <c r="F26" s="69">
        <v>61.931867351745602</v>
      </c>
      <c r="G26" s="73">
        <v>23.774618206192613</v>
      </c>
      <c r="H26" s="10" t="s">
        <v>80</v>
      </c>
      <c r="I26" s="68">
        <v>3.7850277423858643</v>
      </c>
      <c r="J26" s="72">
        <v>3.5618023872375488</v>
      </c>
    </row>
    <row r="27" spans="1:15" ht="15" customHeight="1" thickBot="1">
      <c r="A27" s="6" t="s">
        <v>81</v>
      </c>
      <c r="B27" s="51" t="s">
        <v>183</v>
      </c>
      <c r="C27" s="52" t="s">
        <v>184</v>
      </c>
      <c r="D27" s="11" t="s">
        <v>82</v>
      </c>
      <c r="E27" s="80">
        <v>88.146925984500854</v>
      </c>
      <c r="F27" s="80" t="s">
        <v>174</v>
      </c>
      <c r="G27" s="82" t="s">
        <v>174</v>
      </c>
      <c r="H27" s="11" t="s">
        <v>83</v>
      </c>
      <c r="I27" s="79">
        <v>3.8042595386505127</v>
      </c>
      <c r="J27" s="81">
        <v>3.6849243640899658</v>
      </c>
    </row>
    <row r="28" spans="1:15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5" ht="15" customHeight="1">
      <c r="A29" s="7"/>
      <c r="B29" s="35" t="s">
        <v>87</v>
      </c>
      <c r="C29" s="75">
        <v>33.371401521852249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  <c r="O29">
        <f>54.9/1000*800</f>
        <v>43.919999999999995</v>
      </c>
    </row>
    <row r="30" spans="1:15" ht="15" customHeight="1" thickBot="1">
      <c r="A30" s="8"/>
      <c r="B30" s="63" t="s">
        <v>94</v>
      </c>
      <c r="C30" s="76">
        <v>33.398959330820517</v>
      </c>
      <c r="D30" s="10" t="s">
        <v>95</v>
      </c>
      <c r="E30" s="69">
        <v>46.338452500000002</v>
      </c>
      <c r="F30" s="69">
        <v>565.3655883789063</v>
      </c>
      <c r="G30" s="69">
        <v>17.340307645935322</v>
      </c>
      <c r="H30" s="74">
        <v>774.76793213859128</v>
      </c>
      <c r="I30" s="70">
        <v>46357.433536557022</v>
      </c>
      <c r="J30" s="74">
        <v>4011.9483702589728</v>
      </c>
    </row>
    <row r="31" spans="1:15" ht="15" customHeight="1">
      <c r="A31" s="23" t="s">
        <v>96</v>
      </c>
      <c r="B31" s="147"/>
      <c r="C31" s="27"/>
      <c r="D31" s="10" t="s">
        <v>97</v>
      </c>
      <c r="E31" s="69">
        <v>5.7</v>
      </c>
      <c r="F31" s="69">
        <v>997.99622800569637</v>
      </c>
      <c r="G31" s="69">
        <v>9.8232968820995517</v>
      </c>
      <c r="H31" s="74">
        <v>12.960897912382125</v>
      </c>
      <c r="I31" s="70">
        <v>11377.156999264938</v>
      </c>
      <c r="J31" s="74">
        <v>392.15202844625009</v>
      </c>
    </row>
    <row r="32" spans="1:15" ht="15" customHeight="1">
      <c r="A32" s="6" t="s">
        <v>98</v>
      </c>
      <c r="B32" s="68" t="s">
        <v>243</v>
      </c>
      <c r="C32" s="110"/>
      <c r="D32" s="10" t="s">
        <v>99</v>
      </c>
      <c r="E32" s="69">
        <v>20.528719863988162</v>
      </c>
      <c r="F32" s="69">
        <v>668.77446083785378</v>
      </c>
      <c r="G32" s="69">
        <v>14.659072391360926</v>
      </c>
      <c r="H32" s="74">
        <v>168.7725061248731</v>
      </c>
      <c r="I32" s="9" t="s">
        <v>100</v>
      </c>
      <c r="J32" s="74">
        <v>4404.1003987052227</v>
      </c>
    </row>
    <row r="33" spans="1:10" ht="15" customHeight="1">
      <c r="A33" s="6" t="s">
        <v>101</v>
      </c>
      <c r="B33" s="68" t="s">
        <v>244</v>
      </c>
      <c r="C33" s="111" t="s">
        <v>102</v>
      </c>
      <c r="D33" s="10" t="s">
        <v>97</v>
      </c>
      <c r="E33" s="69">
        <v>3.6409999847412111</v>
      </c>
      <c r="F33" s="69">
        <v>721.61628295593141</v>
      </c>
      <c r="G33" s="69">
        <v>13.585631957689861</v>
      </c>
      <c r="H33" s="74">
        <v>21.996461915859715</v>
      </c>
      <c r="I33" s="9" t="s">
        <v>103</v>
      </c>
      <c r="J33" s="73" t="s">
        <v>212</v>
      </c>
    </row>
    <row r="34" spans="1:10" ht="15" customHeight="1" thickBot="1">
      <c r="A34" s="17" t="s">
        <v>104</v>
      </c>
      <c r="B34" s="79" t="s">
        <v>245</v>
      </c>
      <c r="C34" s="112">
        <v>9.8036132349154705</v>
      </c>
      <c r="D34" s="11" t="s">
        <v>20</v>
      </c>
      <c r="E34" s="79">
        <v>0.29000000953674315</v>
      </c>
      <c r="F34" s="80">
        <v>1701.8206998168778</v>
      </c>
      <c r="G34" s="80">
        <v>5.7606616466531255</v>
      </c>
      <c r="H34" s="83">
        <v>1329.4159426177168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214</v>
      </c>
      <c r="E35" s="148" t="s">
        <v>213</v>
      </c>
      <c r="F35" s="15"/>
      <c r="G35" s="26" t="s">
        <v>107</v>
      </c>
      <c r="H35" s="85" t="s">
        <v>207</v>
      </c>
      <c r="I35" s="10" t="s">
        <v>108</v>
      </c>
      <c r="J35" s="74" t="s">
        <v>211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205</v>
      </c>
      <c r="I36" s="10" t="s">
        <v>111</v>
      </c>
      <c r="J36" s="74" t="s">
        <v>210</v>
      </c>
    </row>
    <row r="37" spans="1:10" ht="15" customHeight="1" thickBot="1">
      <c r="A37" s="6" t="s">
        <v>112</v>
      </c>
      <c r="B37" s="69" t="s">
        <v>225</v>
      </c>
      <c r="C37" s="69" t="s">
        <v>226</v>
      </c>
      <c r="D37" s="69" t="s">
        <v>227</v>
      </c>
      <c r="E37" s="69" t="s">
        <v>228</v>
      </c>
      <c r="F37" s="73" t="s">
        <v>229</v>
      </c>
      <c r="G37" s="10" t="s">
        <v>113</v>
      </c>
      <c r="H37" s="74" t="s">
        <v>206</v>
      </c>
      <c r="I37" s="11" t="s">
        <v>114</v>
      </c>
      <c r="J37" s="83" t="s">
        <v>209</v>
      </c>
    </row>
    <row r="38" spans="1:10" ht="15" customHeight="1" thickBot="1">
      <c r="A38" s="6" t="s">
        <v>115</v>
      </c>
      <c r="B38" s="68" t="s">
        <v>216</v>
      </c>
      <c r="C38" s="68" t="s">
        <v>217</v>
      </c>
      <c r="D38" s="68" t="s">
        <v>218</v>
      </c>
      <c r="E38" s="68" t="s">
        <v>218</v>
      </c>
      <c r="F38" s="72" t="s">
        <v>219</v>
      </c>
      <c r="G38" s="17" t="s">
        <v>116</v>
      </c>
      <c r="H38" s="83" t="s">
        <v>208</v>
      </c>
      <c r="I38" s="139" t="s">
        <v>215</v>
      </c>
      <c r="J38" s="84">
        <v>15021.2587890625</v>
      </c>
    </row>
    <row r="39" spans="1:10" ht="15" customHeight="1">
      <c r="A39" s="6" t="s">
        <v>117</v>
      </c>
      <c r="B39" s="68" t="s">
        <v>220</v>
      </c>
      <c r="C39" s="68" t="s">
        <v>221</v>
      </c>
      <c r="D39" s="68" t="s">
        <v>222</v>
      </c>
      <c r="E39" s="68" t="s">
        <v>223</v>
      </c>
      <c r="F39" s="72" t="s">
        <v>224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238</v>
      </c>
      <c r="C40" s="67" t="s">
        <v>239</v>
      </c>
      <c r="D40" s="67" t="s">
        <v>240</v>
      </c>
      <c r="E40" s="67" t="s">
        <v>241</v>
      </c>
      <c r="F40" s="71" t="s">
        <v>242</v>
      </c>
      <c r="G40" s="36" t="s">
        <v>121</v>
      </c>
      <c r="H40" s="91" t="s">
        <v>246</v>
      </c>
      <c r="I40" s="55"/>
      <c r="J40" s="56"/>
    </row>
    <row r="41" spans="1:10" ht="15" customHeight="1">
      <c r="A41" s="6" t="s">
        <v>5</v>
      </c>
      <c r="B41" s="70" t="s">
        <v>233</v>
      </c>
      <c r="C41" s="70" t="s">
        <v>234</v>
      </c>
      <c r="D41" s="70" t="s">
        <v>235</v>
      </c>
      <c r="E41" s="70" t="s">
        <v>236</v>
      </c>
      <c r="F41" s="74" t="s">
        <v>237</v>
      </c>
      <c r="G41" s="37" t="s">
        <v>122</v>
      </c>
      <c r="H41" s="92" t="s">
        <v>247</v>
      </c>
      <c r="I41" s="57"/>
      <c r="J41" s="58"/>
    </row>
    <row r="42" spans="1:10" ht="15" customHeight="1">
      <c r="A42" s="6" t="s">
        <v>123</v>
      </c>
      <c r="B42" s="68">
        <v>8.6526195979549136</v>
      </c>
      <c r="C42" s="68">
        <v>8.6526195979549136</v>
      </c>
      <c r="D42" s="68">
        <v>8.6526195979549136</v>
      </c>
      <c r="E42" s="68">
        <v>8.6526195979549136</v>
      </c>
      <c r="F42" s="72">
        <v>8.6526195979549136</v>
      </c>
      <c r="G42" s="36" t="s">
        <v>124</v>
      </c>
      <c r="H42" s="91" t="s">
        <v>248</v>
      </c>
      <c r="I42" s="55"/>
      <c r="J42" s="97">
        <v>0.25634400973380111</v>
      </c>
    </row>
    <row r="43" spans="1:10" ht="15" customHeight="1" thickBot="1">
      <c r="A43" s="17" t="s">
        <v>125</v>
      </c>
      <c r="B43" s="79">
        <v>8.6526195979549136</v>
      </c>
      <c r="C43" s="79"/>
      <c r="D43" s="79" t="s">
        <v>251</v>
      </c>
      <c r="E43" s="79"/>
      <c r="F43" s="81"/>
      <c r="G43" s="37" t="s">
        <v>122</v>
      </c>
      <c r="H43" s="92" t="s">
        <v>249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1906.8304114633029</v>
      </c>
      <c r="I44" s="90">
        <v>3.8432291002541516E-2</v>
      </c>
      <c r="J44" s="97">
        <v>0.63343203886197941</v>
      </c>
    </row>
    <row r="45" spans="1:10" ht="15" customHeight="1">
      <c r="A45" s="6" t="s">
        <v>129</v>
      </c>
      <c r="B45" s="68">
        <v>0.2179618626832962</v>
      </c>
      <c r="C45" s="4" t="s">
        <v>130</v>
      </c>
      <c r="D45" s="72">
        <v>1.2374858371913433E-2</v>
      </c>
      <c r="E45" s="6" t="s">
        <v>131</v>
      </c>
      <c r="F45" s="74">
        <v>352.10284374658613</v>
      </c>
      <c r="G45" s="38" t="s">
        <v>122</v>
      </c>
      <c r="H45" s="86" t="s">
        <v>250</v>
      </c>
      <c r="I45" s="59"/>
      <c r="J45" s="60"/>
    </row>
    <row r="46" spans="1:10" ht="15" customHeight="1">
      <c r="A46" s="6" t="s">
        <v>132</v>
      </c>
      <c r="B46" s="68">
        <v>0.18447273969650269</v>
      </c>
      <c r="C46" s="4" t="s">
        <v>133</v>
      </c>
      <c r="D46" s="72">
        <v>7.1035115979611874E-3</v>
      </c>
      <c r="E46" s="6" t="s">
        <v>134</v>
      </c>
      <c r="F46" s="74">
        <v>551.87066114688844</v>
      </c>
      <c r="G46" s="37" t="s">
        <v>135</v>
      </c>
      <c r="H46" s="94">
        <v>417.79050860348843</v>
      </c>
      <c r="I46" s="57"/>
      <c r="J46" s="58"/>
    </row>
    <row r="47" spans="1:10" ht="15" customHeight="1">
      <c r="A47" s="6" t="s">
        <v>136</v>
      </c>
      <c r="B47" s="68">
        <v>0.4024345874786377</v>
      </c>
      <c r="C47" s="4" t="s">
        <v>137</v>
      </c>
      <c r="D47" s="72">
        <v>4.0214476175606251E-3</v>
      </c>
      <c r="E47" s="6" t="s">
        <v>138</v>
      </c>
      <c r="F47" s="74">
        <v>199.5112428730836</v>
      </c>
      <c r="G47" s="64" t="s">
        <v>139</v>
      </c>
      <c r="H47" s="93">
        <v>1835.038405351961</v>
      </c>
      <c r="I47" s="90">
        <v>3.6898760755649226E-2</v>
      </c>
      <c r="J47" s="95">
        <v>0.64723935758686124</v>
      </c>
    </row>
    <row r="48" spans="1:10" ht="15" customHeight="1">
      <c r="A48" s="6" t="s">
        <v>140</v>
      </c>
      <c r="B48" s="68">
        <v>1.0024787858128548E-2</v>
      </c>
      <c r="C48" s="4" t="s">
        <v>100</v>
      </c>
      <c r="D48" s="72">
        <v>3.3524606376886368E-2</v>
      </c>
      <c r="E48" s="6" t="s">
        <v>141</v>
      </c>
      <c r="F48" s="74">
        <v>90.845373269734012</v>
      </c>
      <c r="G48" s="65" t="s">
        <v>122</v>
      </c>
      <c r="H48" s="86">
        <v>245.98370044932454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0.96647536754608154</v>
      </c>
      <c r="E49" s="17" t="s">
        <v>143</v>
      </c>
      <c r="F49" s="83">
        <v>220.24866663344875</v>
      </c>
      <c r="G49" s="66" t="s">
        <v>135</v>
      </c>
      <c r="H49" s="94">
        <v>409.21061893300663</v>
      </c>
      <c r="I49" s="57"/>
      <c r="J49" s="61"/>
    </row>
    <row r="50" spans="1:10" ht="15" customHeight="1">
      <c r="A50" s="13" t="s">
        <v>198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34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0.14991965632205106</v>
      </c>
      <c r="I51" s="45" t="s">
        <v>149</v>
      </c>
      <c r="J51" s="39"/>
    </row>
    <row r="52" spans="1:10" ht="15" customHeight="1">
      <c r="A52" s="10" t="s">
        <v>58</v>
      </c>
      <c r="B52" s="69">
        <v>36.409999847412109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50818.786141993332</v>
      </c>
      <c r="I52" s="98" t="s">
        <v>230</v>
      </c>
      <c r="J52" s="62"/>
    </row>
    <row r="53" spans="1:10" ht="15" customHeight="1">
      <c r="A53" s="10" t="s">
        <v>64</v>
      </c>
      <c r="B53" s="69">
        <v>3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22.703727691829918</v>
      </c>
      <c r="I53" s="44" t="s">
        <v>154</v>
      </c>
      <c r="J53" s="39"/>
    </row>
    <row r="54" spans="1:10" ht="15" customHeight="1">
      <c r="A54" s="10" t="s">
        <v>66</v>
      </c>
      <c r="B54" s="69">
        <v>3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155600.70000000001</v>
      </c>
      <c r="I54" s="99" t="s">
        <v>231</v>
      </c>
      <c r="J54" s="100" t="s">
        <v>196</v>
      </c>
    </row>
    <row r="55" spans="1:10" ht="15" customHeight="1">
      <c r="A55" s="10" t="s">
        <v>156</v>
      </c>
      <c r="B55" s="69">
        <v>14.119999885559082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0.67847857142857138</v>
      </c>
      <c r="I56" s="101" t="s">
        <v>232</v>
      </c>
      <c r="J56" s="61" t="s">
        <v>197</v>
      </c>
    </row>
    <row r="57" spans="1:10" ht="15" customHeight="1">
      <c r="A57" s="23" t="s">
        <v>252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253</v>
      </c>
      <c r="D58" s="3" t="s">
        <v>119</v>
      </c>
      <c r="E58" s="3" t="s">
        <v>165</v>
      </c>
      <c r="F58" s="16" t="s">
        <v>254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0.19494627416133881</v>
      </c>
      <c r="D59" s="128">
        <v>0.68736839294433594</v>
      </c>
      <c r="E59" s="86">
        <v>100.32664603688666</v>
      </c>
      <c r="F59" s="87">
        <v>494.87112426757813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95.743461876431766</v>
      </c>
      <c r="C60" s="87">
        <v>124.20486450195313</v>
      </c>
      <c r="D60" s="128">
        <v>0.79157894849777222</v>
      </c>
      <c r="E60" s="86">
        <v>100.15344162564404</v>
      </c>
      <c r="F60" s="87">
        <v>497.70504760742188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190</v>
      </c>
      <c r="C61" s="87">
        <v>377.79962158203125</v>
      </c>
      <c r="D61" s="128">
        <v>0.89578944444656372</v>
      </c>
      <c r="E61" s="86">
        <v>100.05334090443056</v>
      </c>
      <c r="F61" s="87">
        <v>500.1932373046875</v>
      </c>
      <c r="G61" s="122"/>
      <c r="H61" s="32"/>
      <c r="I61" s="32"/>
      <c r="J61" s="46"/>
    </row>
    <row r="62" spans="1:10" ht="15" customHeight="1">
      <c r="A62" s="126">
        <v>6.2105264514684677E-2</v>
      </c>
      <c r="B62" s="86">
        <v>129.12574765291262</v>
      </c>
      <c r="C62" s="87">
        <v>446.89630126953125</v>
      </c>
      <c r="D62" s="129">
        <v>1</v>
      </c>
      <c r="E62" s="86">
        <v>100</v>
      </c>
      <c r="F62" s="87">
        <v>502.38095092773438</v>
      </c>
      <c r="G62" s="122"/>
      <c r="H62" s="32"/>
      <c r="I62" s="32"/>
      <c r="J62" s="46"/>
    </row>
    <row r="63" spans="1:10" ht="15" customHeight="1" thickBot="1">
      <c r="A63" s="126">
        <v>0.11421053111553192</v>
      </c>
      <c r="B63" s="86">
        <v>112.04659535299174</v>
      </c>
      <c r="C63" s="87">
        <v>465.477294921875</v>
      </c>
      <c r="D63" s="152"/>
      <c r="E63" s="88"/>
      <c r="F63" s="153"/>
      <c r="G63" s="122"/>
      <c r="H63" s="32"/>
      <c r="I63" s="32"/>
      <c r="J63" s="46"/>
    </row>
    <row r="64" spans="1:10" ht="15" customHeight="1">
      <c r="A64" s="126">
        <v>0.16631579399108887</v>
      </c>
      <c r="B64" s="86">
        <v>105.71681877481645</v>
      </c>
      <c r="C64" s="87">
        <v>472.99130249023438</v>
      </c>
      <c r="D64" s="154" t="s">
        <v>262</v>
      </c>
      <c r="E64" s="155"/>
      <c r="F64" s="155"/>
      <c r="G64" s="122"/>
      <c r="H64" s="32"/>
      <c r="I64" s="32"/>
      <c r="J64" s="46"/>
    </row>
    <row r="65" spans="1:10" ht="15" customHeight="1">
      <c r="A65" s="126">
        <v>0.27052631974220276</v>
      </c>
      <c r="B65" s="86">
        <v>102.64304985247361</v>
      </c>
      <c r="C65" s="87">
        <v>479.83160400390625</v>
      </c>
      <c r="D65" s="156" t="s">
        <v>256</v>
      </c>
      <c r="E65" s="158" t="s">
        <v>260</v>
      </c>
      <c r="F65" s="158"/>
      <c r="G65" s="122"/>
      <c r="H65" s="32"/>
      <c r="I65" s="32"/>
      <c r="J65" s="46"/>
    </row>
    <row r="66" spans="1:10" ht="15" customHeight="1">
      <c r="A66" s="126">
        <v>0.37473684549331665</v>
      </c>
      <c r="B66" s="86">
        <v>101.6292356439786</v>
      </c>
      <c r="C66" s="87">
        <v>484.20867919921875</v>
      </c>
      <c r="D66" s="156" t="s">
        <v>257</v>
      </c>
      <c r="E66" s="158" t="s">
        <v>261</v>
      </c>
      <c r="F66" s="158"/>
      <c r="G66" s="122"/>
      <c r="H66" s="32"/>
      <c r="I66" s="32"/>
      <c r="J66" s="46"/>
    </row>
    <row r="67" spans="1:10" ht="15" customHeight="1">
      <c r="A67" s="126">
        <v>0.47894737124443054</v>
      </c>
      <c r="B67" s="86">
        <v>101.02502746115454</v>
      </c>
      <c r="C67" s="87">
        <v>488.09515380859375</v>
      </c>
      <c r="D67" s="156" t="s">
        <v>258</v>
      </c>
      <c r="E67" s="158" t="s">
        <v>263</v>
      </c>
      <c r="F67" s="158"/>
      <c r="G67" s="122"/>
      <c r="H67" s="32"/>
      <c r="I67" s="32"/>
      <c r="J67" s="46"/>
    </row>
    <row r="68" spans="1:10" ht="15" customHeight="1" thickBot="1">
      <c r="A68" s="127">
        <v>0.58315789699554443</v>
      </c>
      <c r="B68" s="88">
        <v>100.60573152795817</v>
      </c>
      <c r="C68" s="89">
        <v>491.66384887695313</v>
      </c>
      <c r="D68" s="157" t="s">
        <v>259</v>
      </c>
      <c r="E68" s="159" t="s">
        <v>264</v>
      </c>
      <c r="F68" s="159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151" t="s">
        <v>255</v>
      </c>
      <c r="B99" s="151"/>
      <c r="C99" s="151"/>
      <c r="D99" s="151"/>
      <c r="E99" s="151"/>
      <c r="F99" s="151"/>
      <c r="G99" s="151"/>
      <c r="H99" s="151"/>
      <c r="I99" s="151"/>
    </row>
    <row r="100" spans="1:9">
      <c r="A100" s="151">
        <v>100</v>
      </c>
      <c r="B100" s="151"/>
      <c r="C100" s="151"/>
      <c r="D100" s="151"/>
      <c r="E100" s="151"/>
      <c r="F100" s="151"/>
      <c r="G100" s="151"/>
      <c r="H100" s="151"/>
      <c r="I100" s="151"/>
    </row>
    <row r="101" spans="1:9">
      <c r="A101" s="151">
        <v>99.599998474121094</v>
      </c>
      <c r="B101" s="151"/>
      <c r="C101" s="151"/>
      <c r="D101" s="151"/>
      <c r="E101" s="151"/>
      <c r="F101" s="151"/>
      <c r="G101" s="151"/>
      <c r="H101" s="151"/>
      <c r="I101" s="151"/>
    </row>
    <row r="102" spans="1:9">
      <c r="A102" s="151">
        <v>98</v>
      </c>
      <c r="B102" s="151"/>
      <c r="C102" s="151"/>
      <c r="D102" s="151"/>
      <c r="E102" s="151"/>
      <c r="F102" s="151"/>
      <c r="G102" s="151"/>
      <c r="H102" s="151"/>
      <c r="I102" s="151"/>
    </row>
    <row r="103" spans="1:9">
      <c r="A103" s="151">
        <v>83.852630615234375</v>
      </c>
      <c r="B103" s="151"/>
      <c r="C103" s="151"/>
      <c r="D103" s="151"/>
      <c r="E103" s="151"/>
      <c r="F103" s="151"/>
      <c r="G103" s="151"/>
      <c r="H103" s="151"/>
      <c r="I103" s="151"/>
    </row>
    <row r="104" spans="1:9">
      <c r="A104" s="151">
        <v>70.305259704589844</v>
      </c>
      <c r="B104" s="151"/>
      <c r="C104" s="151"/>
      <c r="D104" s="151"/>
      <c r="E104" s="151"/>
      <c r="F104" s="151"/>
      <c r="G104" s="151"/>
      <c r="H104" s="151"/>
      <c r="I104" s="151"/>
    </row>
    <row r="105" spans="1:9">
      <c r="A105" s="151">
        <v>57.410526275634766</v>
      </c>
      <c r="B105" s="151"/>
      <c r="C105" s="151"/>
      <c r="D105" s="151"/>
      <c r="E105" s="151"/>
      <c r="F105" s="151"/>
      <c r="G105" s="151"/>
      <c r="H105" s="151"/>
      <c r="I105" s="151"/>
    </row>
    <row r="106" spans="1:9">
      <c r="A106" s="151">
        <v>38.010524749755859</v>
      </c>
      <c r="B106" s="151"/>
      <c r="C106" s="151"/>
      <c r="D106" s="151"/>
      <c r="E106" s="151"/>
      <c r="F106" s="151"/>
      <c r="G106" s="151"/>
      <c r="H106" s="151"/>
      <c r="I106" s="151"/>
    </row>
    <row r="107" spans="1:9">
      <c r="A107" s="151">
        <v>24.778947830200195</v>
      </c>
      <c r="B107" s="151"/>
      <c r="C107" s="151"/>
      <c r="D107" s="151"/>
      <c r="E107" s="151"/>
      <c r="F107" s="151"/>
      <c r="G107" s="151"/>
      <c r="H107" s="151"/>
      <c r="I107" s="151"/>
    </row>
    <row r="108" spans="1:9">
      <c r="A108" s="151">
        <v>15.684209823608398</v>
      </c>
      <c r="B108" s="151"/>
      <c r="C108" s="151"/>
      <c r="D108" s="151"/>
      <c r="E108" s="151"/>
      <c r="F108" s="151"/>
      <c r="G108" s="151"/>
      <c r="H108" s="151"/>
      <c r="I108" s="151"/>
    </row>
    <row r="109" spans="1:9">
      <c r="A109" s="151">
        <v>9.0105257034301758</v>
      </c>
      <c r="B109" s="151"/>
      <c r="C109" s="151"/>
      <c r="D109" s="151"/>
      <c r="E109" s="151"/>
      <c r="F109" s="151"/>
      <c r="G109" s="151"/>
      <c r="H109" s="151"/>
      <c r="I109" s="151"/>
    </row>
    <row r="110" spans="1:9">
      <c r="A110" s="151">
        <v>6.2526321411132813</v>
      </c>
      <c r="B110" s="151"/>
      <c r="C110" s="151"/>
      <c r="D110" s="151"/>
      <c r="E110" s="151"/>
      <c r="F110" s="151"/>
      <c r="G110" s="151"/>
      <c r="H110" s="151"/>
      <c r="I110" s="151"/>
    </row>
    <row r="111" spans="1:9">
      <c r="A111" s="151">
        <v>7.8315787315368652</v>
      </c>
      <c r="B111" s="151"/>
      <c r="C111" s="151"/>
      <c r="D111" s="151"/>
      <c r="E111" s="151"/>
      <c r="F111" s="151"/>
      <c r="G111" s="151"/>
      <c r="H111" s="151"/>
      <c r="I111" s="151"/>
    </row>
    <row r="112" spans="1:9">
      <c r="A112" s="151">
        <v>14.70526123046875</v>
      </c>
      <c r="B112" s="151"/>
      <c r="C112" s="151"/>
      <c r="D112" s="151"/>
      <c r="E112" s="151"/>
      <c r="F112" s="151"/>
      <c r="G112" s="151"/>
      <c r="H112" s="151"/>
      <c r="I112" s="151"/>
    </row>
    <row r="113" spans="1:9">
      <c r="A113" s="151">
        <v>30</v>
      </c>
      <c r="B113" s="151"/>
      <c r="C113" s="151"/>
      <c r="D113" s="151"/>
      <c r="E113" s="151"/>
      <c r="F113" s="151"/>
      <c r="G113" s="151"/>
      <c r="H113" s="151"/>
      <c r="I113" s="151"/>
    </row>
  </sheetData>
  <printOptions horizontalCentered="1"/>
  <pageMargins left="0.86614173228346503" right="0" top="0.23622047244094499" bottom="0.23622047244094499" header="0" footer="0"/>
  <pageSetup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topLeftCell="A18" workbookViewId="0">
      <selection activeCell="F32" sqref="F32"/>
    </sheetView>
  </sheetViews>
  <sheetFormatPr defaultColWidth="9.109375" defaultRowHeight="15"/>
  <cols>
    <col min="1" max="1" width="11.88671875" style="305" customWidth="1"/>
    <col min="2" max="2" width="6.109375" style="305" customWidth="1"/>
    <col min="3" max="3" width="7.44140625" style="305" customWidth="1"/>
    <col min="4" max="5" width="12.5546875" style="305" customWidth="1"/>
    <col min="6" max="6" width="9.44140625" style="305" customWidth="1"/>
    <col min="7" max="7" width="5.6640625" style="305" customWidth="1"/>
    <col min="8" max="8" width="7.88671875" style="305" customWidth="1"/>
    <col min="9" max="9" width="6.5546875" style="305" customWidth="1"/>
    <col min="10" max="10" width="12" style="305" customWidth="1"/>
    <col min="11" max="11" width="16.33203125" style="305" customWidth="1"/>
    <col min="12" max="26" width="9.109375" style="160"/>
    <col min="27" max="16384" width="9.109375" style="161"/>
  </cols>
  <sheetData>
    <row r="1" spans="1:26" ht="20.25" customHeight="1">
      <c r="A1" s="410" t="s">
        <v>265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</row>
    <row r="2" spans="1:26" ht="20.25" customHeight="1">
      <c r="A2" s="411" t="s">
        <v>266</v>
      </c>
      <c r="B2" s="411"/>
      <c r="C2" s="411"/>
      <c r="D2" s="411"/>
      <c r="E2" s="411"/>
      <c r="F2" s="411"/>
      <c r="G2" s="411"/>
      <c r="H2" s="411"/>
      <c r="I2" s="411"/>
      <c r="J2" s="411"/>
      <c r="K2" s="411"/>
    </row>
    <row r="3" spans="1:26" ht="18.75" customHeight="1" thickBot="1">
      <c r="A3" s="162" t="s">
        <v>1</v>
      </c>
      <c r="B3" s="163" t="s">
        <v>648</v>
      </c>
      <c r="C3" s="164"/>
      <c r="D3" s="164"/>
      <c r="E3" s="164"/>
      <c r="F3" s="165"/>
      <c r="G3" s="164"/>
      <c r="H3" s="164"/>
      <c r="I3" s="162" t="s">
        <v>267</v>
      </c>
      <c r="J3" s="412" t="s">
        <v>646</v>
      </c>
      <c r="K3" s="412"/>
    </row>
    <row r="4" spans="1:26" s="174" customFormat="1" ht="18.45" customHeight="1" thickBot="1">
      <c r="A4" s="166" t="s">
        <v>373</v>
      </c>
      <c r="B4" s="167"/>
      <c r="C4" s="168"/>
      <c r="D4" s="168"/>
      <c r="E4" s="168"/>
      <c r="F4" s="168"/>
      <c r="G4" s="168"/>
      <c r="H4" s="168"/>
      <c r="I4" s="168"/>
      <c r="J4" s="168"/>
      <c r="K4" s="169"/>
      <c r="L4" s="170"/>
      <c r="M4" s="170"/>
      <c r="N4" s="170"/>
      <c r="O4" s="170"/>
      <c r="P4" s="170"/>
      <c r="Q4" s="171" t="s">
        <v>268</v>
      </c>
      <c r="R4" s="172"/>
      <c r="S4" s="170"/>
      <c r="T4" s="171" t="s">
        <v>269</v>
      </c>
      <c r="U4" s="173"/>
      <c r="V4" s="170"/>
      <c r="W4" s="170"/>
      <c r="X4" s="170"/>
      <c r="Y4" s="170"/>
      <c r="Z4" s="170"/>
    </row>
    <row r="5" spans="1:26" s="174" customFormat="1" ht="18.45" customHeight="1">
      <c r="A5" s="413" t="s">
        <v>270</v>
      </c>
      <c r="B5" s="414"/>
      <c r="C5" s="414"/>
      <c r="D5" s="175"/>
      <c r="E5" s="176"/>
      <c r="F5" s="177" t="s">
        <v>271</v>
      </c>
      <c r="G5" s="164"/>
      <c r="H5" s="164"/>
      <c r="I5" s="178"/>
      <c r="J5" s="179" t="s">
        <v>272</v>
      </c>
      <c r="K5" s="180" t="s">
        <v>273</v>
      </c>
      <c r="L5" s="170"/>
      <c r="M5" s="170"/>
      <c r="N5" s="170"/>
      <c r="O5" s="170"/>
      <c r="P5" s="170"/>
      <c r="Q5" s="181" t="s">
        <v>274</v>
      </c>
      <c r="R5" s="182"/>
      <c r="S5" s="170"/>
      <c r="T5" s="181" t="s">
        <v>275</v>
      </c>
      <c r="U5" s="183"/>
      <c r="V5" s="170"/>
      <c r="W5" s="170"/>
      <c r="X5" s="170"/>
      <c r="Y5" s="170"/>
      <c r="Z5" s="170"/>
    </row>
    <row r="6" spans="1:26" s="174" customFormat="1" ht="18.45" customHeight="1">
      <c r="A6" s="415" t="s">
        <v>67</v>
      </c>
      <c r="B6" s="416"/>
      <c r="C6" s="416"/>
      <c r="D6" s="417" t="s">
        <v>275</v>
      </c>
      <c r="E6" s="418"/>
      <c r="F6" s="419" t="s">
        <v>642</v>
      </c>
      <c r="G6" s="420"/>
      <c r="H6" s="420"/>
      <c r="I6" s="420"/>
      <c r="J6" s="420"/>
      <c r="K6" s="421"/>
      <c r="L6" s="170"/>
      <c r="M6" s="170"/>
      <c r="N6" s="170"/>
      <c r="O6" s="170"/>
      <c r="P6" s="170"/>
      <c r="Q6" s="181" t="s">
        <v>277</v>
      </c>
      <c r="R6" s="182"/>
      <c r="S6" s="170"/>
      <c r="T6" s="181" t="s">
        <v>278</v>
      </c>
      <c r="U6" s="183"/>
      <c r="V6" s="170"/>
      <c r="W6" s="170"/>
      <c r="X6" s="170"/>
      <c r="Y6" s="170"/>
      <c r="Z6" s="170"/>
    </row>
    <row r="7" spans="1:26" s="174" customFormat="1" ht="18.45" customHeight="1">
      <c r="A7" s="425" t="s">
        <v>20</v>
      </c>
      <c r="B7" s="426"/>
      <c r="C7" s="426"/>
      <c r="D7" s="427">
        <v>2.9000000953674299</v>
      </c>
      <c r="E7" s="428"/>
      <c r="F7" s="184" t="s">
        <v>279</v>
      </c>
      <c r="G7" s="185"/>
      <c r="H7" s="186"/>
      <c r="I7" s="187"/>
      <c r="J7" s="188" t="s">
        <v>378</v>
      </c>
      <c r="K7" s="189" t="s">
        <v>643</v>
      </c>
      <c r="L7" s="170"/>
      <c r="M7" s="170"/>
      <c r="N7" s="170"/>
      <c r="O7" s="170"/>
      <c r="P7" s="170"/>
      <c r="Q7" s="181" t="s">
        <v>280</v>
      </c>
      <c r="R7" s="182"/>
      <c r="S7" s="170"/>
      <c r="T7" s="181" t="s">
        <v>276</v>
      </c>
      <c r="U7" s="183"/>
      <c r="V7" s="170"/>
      <c r="W7" s="170"/>
      <c r="X7" s="170"/>
      <c r="Y7" s="170"/>
      <c r="Z7" s="170"/>
    </row>
    <row r="8" spans="1:26" s="174" customFormat="1" ht="18.45" customHeight="1">
      <c r="A8" s="425" t="s">
        <v>281</v>
      </c>
      <c r="B8" s="426"/>
      <c r="C8" s="426"/>
      <c r="D8" s="429">
        <v>535</v>
      </c>
      <c r="E8" s="430"/>
      <c r="F8" s="190" t="s">
        <v>282</v>
      </c>
      <c r="G8" s="191"/>
      <c r="H8" s="192"/>
      <c r="I8" s="193"/>
      <c r="J8" s="194">
        <v>9547</v>
      </c>
      <c r="K8" s="195">
        <v>8880</v>
      </c>
      <c r="L8" s="170"/>
      <c r="M8" s="170"/>
      <c r="N8" s="170"/>
      <c r="O8" s="170"/>
      <c r="P8" s="170"/>
      <c r="Q8" s="181" t="s">
        <v>283</v>
      </c>
      <c r="R8" s="182"/>
      <c r="S8" s="170"/>
      <c r="T8" s="181" t="s">
        <v>284</v>
      </c>
      <c r="U8" s="183"/>
      <c r="V8" s="170"/>
      <c r="W8" s="170"/>
      <c r="X8" s="170"/>
      <c r="Y8" s="170"/>
      <c r="Z8" s="170"/>
    </row>
    <row r="9" spans="1:26" s="174" customFormat="1" ht="18.45" customHeight="1">
      <c r="A9" s="431" t="s">
        <v>285</v>
      </c>
      <c r="B9" s="432"/>
      <c r="C9" s="433"/>
      <c r="D9" s="429">
        <v>8</v>
      </c>
      <c r="E9" s="430"/>
      <c r="F9" s="184" t="s">
        <v>286</v>
      </c>
      <c r="G9" s="185"/>
      <c r="H9" s="196">
        <v>3</v>
      </c>
      <c r="I9" s="197" t="s">
        <v>287</v>
      </c>
      <c r="J9" s="198">
        <v>180</v>
      </c>
      <c r="K9" s="195" t="s">
        <v>174</v>
      </c>
      <c r="L9" s="170"/>
      <c r="M9" s="170"/>
      <c r="N9" s="170"/>
      <c r="O9" s="170"/>
      <c r="P9" s="170"/>
      <c r="Q9" s="181" t="s">
        <v>288</v>
      </c>
      <c r="R9" s="182"/>
      <c r="S9" s="170"/>
      <c r="T9" s="181" t="s">
        <v>289</v>
      </c>
      <c r="U9" s="183"/>
      <c r="V9" s="170"/>
      <c r="W9" s="170"/>
      <c r="X9" s="170"/>
      <c r="Y9" s="170"/>
      <c r="Z9" s="170"/>
    </row>
    <row r="10" spans="1:26" s="174" customFormat="1" ht="18.45" customHeight="1" thickBot="1">
      <c r="A10" s="431" t="s">
        <v>290</v>
      </c>
      <c r="B10" s="432"/>
      <c r="C10" s="433"/>
      <c r="D10" s="434" t="s">
        <v>186</v>
      </c>
      <c r="E10" s="435"/>
      <c r="F10" s="184" t="s">
        <v>291</v>
      </c>
      <c r="G10" s="185"/>
      <c r="H10" s="196">
        <v>3</v>
      </c>
      <c r="I10" s="197" t="s">
        <v>287</v>
      </c>
      <c r="J10" s="198">
        <v>1150</v>
      </c>
      <c r="K10" s="195" t="s">
        <v>174</v>
      </c>
      <c r="L10" s="170"/>
      <c r="M10" s="170"/>
      <c r="N10" s="170"/>
      <c r="O10" s="170"/>
      <c r="P10" s="170"/>
      <c r="Q10" s="181" t="s">
        <v>292</v>
      </c>
      <c r="R10" s="182"/>
      <c r="S10" s="170"/>
      <c r="T10" s="199" t="s">
        <v>293</v>
      </c>
      <c r="U10" s="200"/>
      <c r="V10" s="170"/>
      <c r="W10" s="170"/>
      <c r="X10" s="170"/>
      <c r="Y10" s="170"/>
      <c r="Z10" s="170"/>
    </row>
    <row r="11" spans="1:26" s="174" customFormat="1" ht="18.45" customHeight="1" thickBot="1">
      <c r="A11" s="431" t="s">
        <v>294</v>
      </c>
      <c r="B11" s="432"/>
      <c r="C11" s="433"/>
      <c r="D11" s="436" t="s">
        <v>187</v>
      </c>
      <c r="E11" s="437"/>
      <c r="F11" s="201" t="s">
        <v>295</v>
      </c>
      <c r="G11" s="202"/>
      <c r="H11" s="203">
        <v>3</v>
      </c>
      <c r="I11" s="197" t="s">
        <v>287</v>
      </c>
      <c r="J11" s="204">
        <v>41164</v>
      </c>
      <c r="K11" s="205" t="s">
        <v>174</v>
      </c>
      <c r="L11" s="170"/>
      <c r="M11" s="170"/>
      <c r="N11" s="170"/>
      <c r="O11" s="170"/>
      <c r="P11" s="170"/>
      <c r="Q11" s="199" t="s">
        <v>296</v>
      </c>
      <c r="R11" s="206"/>
      <c r="S11" s="170"/>
      <c r="T11" s="170"/>
      <c r="U11" s="170"/>
      <c r="V11" s="170"/>
      <c r="W11" s="170"/>
      <c r="X11" s="170"/>
      <c r="Y11" s="170"/>
      <c r="Z11" s="170"/>
    </row>
    <row r="12" spans="1:26" s="174" customFormat="1" ht="18.45" customHeight="1">
      <c r="A12" s="207" t="s">
        <v>297</v>
      </c>
      <c r="C12" s="208"/>
      <c r="D12" s="438" t="s">
        <v>174</v>
      </c>
      <c r="E12" s="439"/>
      <c r="F12" s="422" t="s">
        <v>298</v>
      </c>
      <c r="G12" s="423"/>
      <c r="H12" s="423"/>
      <c r="I12" s="423"/>
      <c r="J12" s="423"/>
      <c r="K12" s="424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spans="1:26" s="174" customFormat="1" ht="18.45" customHeight="1">
      <c r="A13" s="431" t="s">
        <v>53</v>
      </c>
      <c r="B13" s="432"/>
      <c r="C13" s="433"/>
      <c r="D13" s="440" t="s">
        <v>375</v>
      </c>
      <c r="E13" s="441"/>
      <c r="F13" s="209"/>
      <c r="G13" s="210" t="s">
        <v>299</v>
      </c>
      <c r="H13" s="211"/>
      <c r="I13" s="212" t="s">
        <v>300</v>
      </c>
      <c r="J13" s="213" t="s">
        <v>380</v>
      </c>
      <c r="K13" s="214" t="s">
        <v>652</v>
      </c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</row>
    <row r="14" spans="1:26" s="174" customFormat="1" ht="18.45" customHeight="1">
      <c r="A14" s="431" t="s">
        <v>56</v>
      </c>
      <c r="B14" s="432"/>
      <c r="C14" s="433"/>
      <c r="D14" s="438">
        <v>1125</v>
      </c>
      <c r="E14" s="439"/>
      <c r="F14" s="209"/>
      <c r="G14" s="215" t="s">
        <v>10</v>
      </c>
      <c r="H14" s="216"/>
      <c r="I14" s="216"/>
      <c r="J14" s="198" t="s">
        <v>174</v>
      </c>
      <c r="K14" s="195" t="s">
        <v>174</v>
      </c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 spans="1:26" s="174" customFormat="1" ht="18.45" customHeight="1">
      <c r="A15" s="442" t="s">
        <v>301</v>
      </c>
      <c r="B15" s="443"/>
      <c r="C15" s="444"/>
      <c r="D15" s="445">
        <v>9.5172004699707031</v>
      </c>
      <c r="E15" s="446"/>
      <c r="F15" s="209"/>
      <c r="G15" s="215" t="s">
        <v>302</v>
      </c>
      <c r="H15" s="216"/>
      <c r="I15" s="216"/>
      <c r="J15" s="198" t="s">
        <v>174</v>
      </c>
      <c r="K15" s="195" t="s">
        <v>174</v>
      </c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</row>
    <row r="16" spans="1:26" s="174" customFormat="1" ht="18.45" customHeight="1">
      <c r="A16" s="447" t="s">
        <v>303</v>
      </c>
      <c r="B16" s="448"/>
      <c r="C16" s="449"/>
      <c r="D16" s="445">
        <v>3.7956001758575439</v>
      </c>
      <c r="E16" s="446"/>
      <c r="F16" s="217"/>
      <c r="G16" s="218" t="s">
        <v>17</v>
      </c>
      <c r="H16" s="219"/>
      <c r="I16" s="219"/>
      <c r="J16" s="204" t="s">
        <v>174</v>
      </c>
      <c r="K16" s="205" t="s">
        <v>174</v>
      </c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</row>
    <row r="17" spans="1:26" s="174" customFormat="1" ht="18.45" customHeight="1">
      <c r="A17" s="220" t="s">
        <v>304</v>
      </c>
      <c r="B17" s="221"/>
      <c r="C17" s="222"/>
      <c r="D17" s="436" t="s">
        <v>374</v>
      </c>
      <c r="E17" s="437"/>
      <c r="F17" s="422" t="s">
        <v>305</v>
      </c>
      <c r="G17" s="423"/>
      <c r="H17" s="423"/>
      <c r="I17" s="423"/>
      <c r="J17" s="423"/>
      <c r="K17" s="424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</row>
    <row r="18" spans="1:26" s="174" customFormat="1" ht="18.45" customHeight="1">
      <c r="A18" s="223" t="s">
        <v>306</v>
      </c>
      <c r="B18" s="224"/>
      <c r="C18" s="222"/>
      <c r="D18" s="434" t="s">
        <v>174</v>
      </c>
      <c r="E18" s="435"/>
      <c r="F18" s="450"/>
      <c r="G18" s="451"/>
      <c r="H18" s="225" t="s">
        <v>307</v>
      </c>
      <c r="I18" s="226"/>
      <c r="J18" s="194" t="s">
        <v>377</v>
      </c>
      <c r="K18" s="195" t="s">
        <v>644</v>
      </c>
      <c r="L18" s="170"/>
      <c r="M18" s="170" t="e">
        <f>J18*6.5</f>
        <v>#VALUE!</v>
      </c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</row>
    <row r="19" spans="1:26" s="174" customFormat="1" ht="18.45" customHeight="1">
      <c r="A19" s="456" t="s">
        <v>308</v>
      </c>
      <c r="B19" s="457"/>
      <c r="C19" s="458"/>
      <c r="D19" s="459" t="s">
        <v>174</v>
      </c>
      <c r="E19" s="437"/>
      <c r="F19" s="452"/>
      <c r="G19" s="453"/>
      <c r="H19" s="225" t="s">
        <v>5</v>
      </c>
      <c r="I19" s="187"/>
      <c r="J19" s="194">
        <v>3568</v>
      </c>
      <c r="K19" s="195">
        <v>3559</v>
      </c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spans="1:26" s="174" customFormat="1" ht="18.45" customHeight="1" thickBot="1">
      <c r="A20" s="227" t="s">
        <v>309</v>
      </c>
      <c r="C20" s="228"/>
      <c r="D20" s="460" t="s">
        <v>185</v>
      </c>
      <c r="E20" s="430"/>
      <c r="F20" s="452"/>
      <c r="G20" s="453"/>
      <c r="H20" s="225" t="s">
        <v>310</v>
      </c>
      <c r="I20" s="187"/>
      <c r="J20" s="198" t="s">
        <v>350</v>
      </c>
      <c r="K20" s="195" t="s">
        <v>350</v>
      </c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spans="1:26" s="174" customFormat="1" ht="18.45" customHeight="1" thickBot="1">
      <c r="A21" s="442" t="s">
        <v>311</v>
      </c>
      <c r="B21" s="443"/>
      <c r="C21" s="444"/>
      <c r="D21" s="429" t="s">
        <v>174</v>
      </c>
      <c r="E21" s="430"/>
      <c r="F21" s="452"/>
      <c r="G21" s="453"/>
      <c r="H21" s="229" t="s">
        <v>312</v>
      </c>
      <c r="I21" s="187"/>
      <c r="J21" s="198">
        <v>1.1499999999999999</v>
      </c>
      <c r="K21" s="195">
        <v>1.1499999999999999</v>
      </c>
      <c r="L21" s="170"/>
      <c r="M21" s="170"/>
      <c r="N21" s="170"/>
      <c r="O21" s="170"/>
      <c r="P21" s="170"/>
      <c r="Q21" s="171" t="s">
        <v>313</v>
      </c>
      <c r="R21" s="173"/>
      <c r="S21" s="170"/>
      <c r="T21" s="170"/>
      <c r="U21" s="170"/>
      <c r="V21" s="170"/>
      <c r="W21" s="170"/>
      <c r="X21" s="170"/>
      <c r="Y21" s="170"/>
      <c r="Z21" s="170"/>
    </row>
    <row r="22" spans="1:26" s="174" customFormat="1" ht="18.45" customHeight="1">
      <c r="A22" s="223" t="s">
        <v>314</v>
      </c>
      <c r="B22" s="230"/>
      <c r="C22" s="230"/>
      <c r="D22" s="461">
        <v>0.17849999999999999</v>
      </c>
      <c r="E22" s="462"/>
      <c r="F22" s="452"/>
      <c r="G22" s="453"/>
      <c r="H22" s="225" t="s">
        <v>272</v>
      </c>
      <c r="I22" s="187"/>
      <c r="J22" s="198" t="s">
        <v>634</v>
      </c>
      <c r="K22" s="195"/>
      <c r="L22" s="170"/>
      <c r="M22" s="170"/>
      <c r="N22" s="170"/>
      <c r="O22" s="170"/>
      <c r="P22" s="170"/>
      <c r="Q22" s="181" t="s">
        <v>315</v>
      </c>
      <c r="R22" s="183"/>
      <c r="S22" s="170"/>
      <c r="T22" s="170"/>
      <c r="U22" s="170"/>
      <c r="V22" s="170"/>
      <c r="W22" s="170"/>
      <c r="X22" s="170"/>
      <c r="Y22" s="170"/>
      <c r="Z22" s="170"/>
    </row>
    <row r="23" spans="1:26" s="174" customFormat="1" ht="18.45" customHeight="1">
      <c r="A23" s="231" t="s">
        <v>316</v>
      </c>
      <c r="B23" s="232" t="s">
        <v>317</v>
      </c>
      <c r="C23" s="233"/>
      <c r="D23" s="440">
        <v>177</v>
      </c>
      <c r="E23" s="441"/>
      <c r="F23" s="452"/>
      <c r="G23" s="453"/>
      <c r="H23" s="234" t="s">
        <v>318</v>
      </c>
      <c r="I23" s="235"/>
      <c r="J23" s="236"/>
      <c r="K23" s="237"/>
      <c r="L23" s="170"/>
      <c r="Q23" s="181" t="s">
        <v>319</v>
      </c>
      <c r="R23" s="183"/>
      <c r="S23" s="170"/>
      <c r="T23" s="170"/>
      <c r="U23" s="170"/>
      <c r="V23" s="170"/>
      <c r="W23" s="170"/>
      <c r="X23" s="170"/>
      <c r="Y23" s="170"/>
      <c r="Z23" s="170"/>
    </row>
    <row r="24" spans="1:26" s="174" customFormat="1" ht="18.45" customHeight="1" thickBot="1">
      <c r="A24" s="238" t="s">
        <v>320</v>
      </c>
      <c r="B24" s="239" t="s">
        <v>321</v>
      </c>
      <c r="C24" s="240"/>
      <c r="D24" s="463">
        <v>199</v>
      </c>
      <c r="E24" s="464"/>
      <c r="F24" s="452"/>
      <c r="G24" s="453"/>
      <c r="H24" s="225" t="s">
        <v>322</v>
      </c>
      <c r="I24" s="208"/>
      <c r="J24" s="241"/>
      <c r="K24" s="242"/>
      <c r="Q24" s="243" t="s">
        <v>174</v>
      </c>
      <c r="R24" s="244"/>
      <c r="S24" s="170"/>
      <c r="T24" s="170"/>
      <c r="U24" s="170"/>
      <c r="V24" s="170"/>
      <c r="W24" s="170"/>
      <c r="X24" s="170"/>
      <c r="Y24" s="170"/>
      <c r="Z24" s="170"/>
    </row>
    <row r="25" spans="1:26" s="174" customFormat="1" ht="18.45" customHeight="1">
      <c r="A25" s="245" t="s">
        <v>323</v>
      </c>
      <c r="B25" s="246"/>
      <c r="C25" s="246"/>
      <c r="D25" s="247"/>
      <c r="E25" s="247" t="s">
        <v>324</v>
      </c>
      <c r="F25" s="452"/>
      <c r="G25" s="453"/>
      <c r="H25" s="225" t="s">
        <v>325</v>
      </c>
      <c r="I25" s="208"/>
      <c r="J25" s="248"/>
      <c r="K25" s="242"/>
      <c r="R25" s="170"/>
      <c r="S25" s="170"/>
      <c r="T25" s="170"/>
      <c r="U25" s="170"/>
      <c r="V25" s="170"/>
      <c r="W25" s="170"/>
      <c r="X25" s="170"/>
      <c r="Y25" s="170"/>
      <c r="Z25" s="170"/>
    </row>
    <row r="26" spans="1:26" s="174" customFormat="1" ht="18.45" customHeight="1">
      <c r="A26" s="249" t="s">
        <v>326</v>
      </c>
      <c r="B26" s="250"/>
      <c r="C26" s="251"/>
      <c r="D26" s="252" t="s">
        <v>381</v>
      </c>
      <c r="E26" s="252" t="s">
        <v>382</v>
      </c>
      <c r="F26" s="454"/>
      <c r="G26" s="455"/>
      <c r="H26" s="465"/>
      <c r="I26" s="466"/>
      <c r="J26" s="253"/>
      <c r="K26" s="254"/>
      <c r="R26" s="170"/>
      <c r="S26" s="170"/>
      <c r="T26" s="170"/>
      <c r="U26" s="170"/>
      <c r="V26" s="170"/>
      <c r="W26" s="170"/>
      <c r="X26" s="170"/>
      <c r="Y26" s="170"/>
      <c r="Z26" s="170"/>
    </row>
    <row r="27" spans="1:26" s="174" customFormat="1" ht="18.45" customHeight="1">
      <c r="A27" s="467" t="s">
        <v>327</v>
      </c>
      <c r="B27" s="468"/>
      <c r="C27" s="468"/>
      <c r="D27" s="468"/>
      <c r="E27" s="468"/>
      <c r="F27" s="419" t="s">
        <v>328</v>
      </c>
      <c r="G27" s="420"/>
      <c r="H27" s="420"/>
      <c r="I27" s="420"/>
      <c r="J27" s="420"/>
      <c r="K27" s="421"/>
      <c r="R27" s="170"/>
      <c r="S27" s="170"/>
      <c r="T27" s="170"/>
      <c r="U27" s="170"/>
      <c r="V27" s="170"/>
      <c r="W27" s="170"/>
      <c r="X27" s="170"/>
      <c r="Y27" s="170"/>
      <c r="Z27" s="170"/>
    </row>
    <row r="28" spans="1:26" s="174" customFormat="1" ht="18.45" customHeight="1">
      <c r="A28" s="471"/>
      <c r="B28" s="472"/>
      <c r="C28" s="472"/>
      <c r="D28" s="472"/>
      <c r="E28" s="473"/>
      <c r="F28" s="255"/>
      <c r="G28" s="256"/>
      <c r="H28" s="215" t="s">
        <v>329</v>
      </c>
      <c r="I28" s="257" t="s">
        <v>376</v>
      </c>
      <c r="J28" s="194" t="s">
        <v>379</v>
      </c>
      <c r="K28" s="258" t="s">
        <v>645</v>
      </c>
      <c r="M28" s="174" t="e">
        <f>(J28/J18)*100</f>
        <v>#VALUE!</v>
      </c>
      <c r="N28" s="259"/>
      <c r="R28" s="170"/>
      <c r="S28" s="170"/>
      <c r="T28" s="170"/>
      <c r="U28" s="170"/>
      <c r="V28" s="170"/>
      <c r="W28" s="170"/>
      <c r="X28" s="170"/>
      <c r="Y28" s="170"/>
      <c r="Z28" s="170"/>
    </row>
    <row r="29" spans="1:26" s="174" customFormat="1" ht="18.45" customHeight="1">
      <c r="A29" s="471"/>
      <c r="B29" s="472"/>
      <c r="C29" s="472"/>
      <c r="D29" s="472"/>
      <c r="E29" s="473"/>
      <c r="F29" s="260"/>
      <c r="G29" s="261"/>
      <c r="H29" s="215" t="s">
        <v>330</v>
      </c>
      <c r="I29" s="262">
        <v>60</v>
      </c>
      <c r="J29" s="194">
        <v>100</v>
      </c>
      <c r="K29" s="189">
        <v>88.9</v>
      </c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spans="1:26" s="174" customFormat="1" ht="18.45" customHeight="1">
      <c r="A30" s="471"/>
      <c r="B30" s="472"/>
      <c r="C30" s="472"/>
      <c r="D30" s="472"/>
      <c r="E30" s="473"/>
      <c r="F30" s="260"/>
      <c r="G30" s="261"/>
      <c r="H30" s="215" t="s">
        <v>331</v>
      </c>
      <c r="I30" s="262">
        <v>175</v>
      </c>
      <c r="J30" s="194">
        <v>190</v>
      </c>
      <c r="K30" s="189">
        <v>176.5</v>
      </c>
      <c r="L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spans="1:26" s="174" customFormat="1" ht="18.45" customHeight="1">
      <c r="A31" s="471"/>
      <c r="B31" s="472"/>
      <c r="C31" s="472"/>
      <c r="D31" s="472"/>
      <c r="E31" s="473"/>
      <c r="F31" s="260"/>
      <c r="G31" s="261"/>
      <c r="H31" s="215" t="s">
        <v>332</v>
      </c>
      <c r="I31" s="216"/>
      <c r="J31" s="263">
        <v>0.87</v>
      </c>
      <c r="K31" s="189">
        <v>1.1399999999999999</v>
      </c>
      <c r="L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spans="1:26" s="174" customFormat="1" ht="18.45" customHeight="1">
      <c r="A32" s="474"/>
      <c r="B32" s="475"/>
      <c r="C32" s="475"/>
      <c r="D32" s="475"/>
      <c r="E32" s="476"/>
      <c r="F32" s="260"/>
      <c r="G32" s="264" t="s">
        <v>333</v>
      </c>
      <c r="H32" s="215" t="s">
        <v>334</v>
      </c>
      <c r="I32" s="265"/>
      <c r="J32" s="188">
        <v>94.7</v>
      </c>
      <c r="K32" s="189">
        <v>94.5</v>
      </c>
      <c r="L32" s="170"/>
      <c r="N32" s="266"/>
      <c r="R32" s="170"/>
      <c r="S32" s="170"/>
      <c r="T32" s="170"/>
      <c r="U32" s="170"/>
      <c r="V32" s="170"/>
      <c r="W32" s="170"/>
      <c r="X32" s="170"/>
      <c r="Y32" s="170"/>
      <c r="Z32" s="170"/>
    </row>
    <row r="33" spans="1:26" s="174" customFormat="1" ht="18.45" customHeight="1">
      <c r="A33" s="467" t="s">
        <v>335</v>
      </c>
      <c r="B33" s="468"/>
      <c r="C33" s="468"/>
      <c r="D33" s="468"/>
      <c r="E33" s="477"/>
      <c r="F33" s="267"/>
      <c r="G33" s="268"/>
      <c r="H33" s="269" t="s">
        <v>336</v>
      </c>
      <c r="I33" s="270"/>
      <c r="J33" s="271">
        <v>90.1</v>
      </c>
      <c r="K33" s="258">
        <v>89.5</v>
      </c>
      <c r="L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spans="1:26" s="174" customFormat="1" ht="18.45" customHeight="1">
      <c r="A34" s="471"/>
      <c r="B34" s="472"/>
      <c r="C34" s="472"/>
      <c r="D34" s="472"/>
      <c r="E34" s="473"/>
      <c r="F34" s="190" t="s">
        <v>337</v>
      </c>
      <c r="G34" s="272"/>
      <c r="H34" s="273" t="s">
        <v>14</v>
      </c>
      <c r="I34" s="274"/>
      <c r="J34" s="275">
        <v>10595</v>
      </c>
      <c r="K34" s="258">
        <v>11297.4</v>
      </c>
      <c r="L34" s="276"/>
      <c r="M34" s="277"/>
      <c r="R34" s="170"/>
      <c r="S34" s="170"/>
      <c r="T34" s="170"/>
      <c r="U34" s="170"/>
      <c r="V34" s="170"/>
      <c r="W34" s="170"/>
      <c r="X34" s="170"/>
      <c r="Y34" s="170"/>
      <c r="Z34" s="170"/>
    </row>
    <row r="35" spans="1:26" s="174" customFormat="1" ht="18.45" customHeight="1">
      <c r="A35" s="471"/>
      <c r="B35" s="472"/>
      <c r="C35" s="472"/>
      <c r="D35" s="472"/>
      <c r="E35" s="473"/>
      <c r="F35" s="209"/>
      <c r="G35" s="278"/>
      <c r="H35" s="279" t="s">
        <v>15</v>
      </c>
      <c r="I35" s="280"/>
      <c r="J35" s="194">
        <v>7161</v>
      </c>
      <c r="K35" s="258">
        <v>8872.7000000000007</v>
      </c>
      <c r="M35" s="277"/>
      <c r="R35" s="170"/>
      <c r="S35" s="170"/>
      <c r="T35" s="170"/>
      <c r="U35" s="170"/>
      <c r="V35" s="170"/>
      <c r="W35" s="170"/>
      <c r="X35" s="170"/>
      <c r="Y35" s="170"/>
      <c r="Z35" s="170"/>
    </row>
    <row r="36" spans="1:26" s="174" customFormat="1" ht="18.45" customHeight="1">
      <c r="A36" s="471"/>
      <c r="B36" s="472"/>
      <c r="C36" s="472"/>
      <c r="D36" s="472"/>
      <c r="E36" s="473"/>
      <c r="F36" s="209"/>
      <c r="G36" s="278"/>
      <c r="H36" s="279" t="s">
        <v>338</v>
      </c>
      <c r="I36" s="280"/>
      <c r="J36" s="194">
        <v>4066</v>
      </c>
      <c r="K36" s="258">
        <v>3437.3</v>
      </c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spans="1:26" s="174" customFormat="1" ht="18.45" customHeight="1">
      <c r="A37" s="471"/>
      <c r="B37" s="472"/>
      <c r="C37" s="472"/>
      <c r="D37" s="472"/>
      <c r="E37" s="473"/>
      <c r="F37" s="260"/>
      <c r="G37" s="278"/>
      <c r="H37" s="279" t="s">
        <v>635</v>
      </c>
      <c r="I37" s="280"/>
      <c r="J37" s="194">
        <v>5198</v>
      </c>
      <c r="K37" s="281">
        <v>5209.2</v>
      </c>
      <c r="M37" s="282"/>
      <c r="R37" s="170"/>
      <c r="S37" s="170"/>
      <c r="T37" s="170"/>
      <c r="U37" s="170"/>
      <c r="V37" s="170"/>
      <c r="W37" s="170"/>
      <c r="X37" s="170"/>
      <c r="Y37" s="170"/>
      <c r="Z37" s="170"/>
    </row>
    <row r="38" spans="1:26" s="174" customFormat="1" ht="18.45" customHeight="1">
      <c r="A38" s="474"/>
      <c r="B38" s="475"/>
      <c r="C38" s="475"/>
      <c r="D38" s="475"/>
      <c r="E38" s="476"/>
      <c r="F38" s="217"/>
      <c r="G38" s="283"/>
      <c r="H38" s="284" t="s">
        <v>339</v>
      </c>
      <c r="I38" s="285"/>
      <c r="J38" s="286">
        <v>15021</v>
      </c>
      <c r="K38" s="258">
        <v>14849.6</v>
      </c>
      <c r="R38" s="170"/>
      <c r="S38" s="170"/>
      <c r="T38" s="170"/>
      <c r="U38" s="170"/>
      <c r="V38" s="170"/>
      <c r="W38" s="170"/>
      <c r="X38" s="170"/>
      <c r="Y38" s="170"/>
      <c r="Z38" s="170"/>
    </row>
    <row r="39" spans="1:26" s="174" customFormat="1" ht="18.45" customHeight="1">
      <c r="A39" s="467" t="s">
        <v>340</v>
      </c>
      <c r="B39" s="468"/>
      <c r="C39" s="468"/>
      <c r="D39" s="468"/>
      <c r="E39" s="468"/>
      <c r="F39" s="287" t="s">
        <v>341</v>
      </c>
      <c r="G39" s="288"/>
      <c r="H39" s="288"/>
      <c r="I39" s="288"/>
      <c r="J39" s="288"/>
      <c r="K39" s="289"/>
      <c r="R39" s="170"/>
      <c r="S39" s="170"/>
      <c r="T39" s="170"/>
      <c r="U39" s="170"/>
      <c r="V39" s="170"/>
      <c r="W39" s="170"/>
      <c r="X39" s="170"/>
      <c r="Y39" s="170"/>
      <c r="Z39" s="170"/>
    </row>
    <row r="40" spans="1:26" s="174" customFormat="1" ht="18.45" customHeight="1">
      <c r="A40" s="478"/>
      <c r="B40" s="479"/>
      <c r="C40" s="479"/>
      <c r="D40" s="479"/>
      <c r="E40" s="480"/>
      <c r="F40" s="290" t="s">
        <v>653</v>
      </c>
      <c r="G40" s="174" t="s">
        <v>654</v>
      </c>
      <c r="H40" s="291"/>
      <c r="I40" s="291"/>
      <c r="J40" s="291"/>
      <c r="K40" s="292"/>
      <c r="R40" s="170"/>
      <c r="S40" s="170"/>
      <c r="T40" s="170"/>
      <c r="U40" s="170"/>
      <c r="V40" s="170"/>
      <c r="W40" s="170"/>
      <c r="X40" s="170"/>
      <c r="Y40" s="170"/>
      <c r="Z40" s="170"/>
    </row>
    <row r="41" spans="1:26" s="174" customFormat="1" ht="18.45" customHeight="1">
      <c r="A41" s="478"/>
      <c r="B41" s="479"/>
      <c r="C41" s="479"/>
      <c r="D41" s="479"/>
      <c r="E41" s="480"/>
      <c r="F41" s="290"/>
      <c r="G41" s="293" t="s">
        <v>655</v>
      </c>
      <c r="H41" s="293"/>
      <c r="I41" s="293"/>
      <c r="J41" s="293"/>
      <c r="K41" s="294"/>
      <c r="L41" s="295"/>
      <c r="R41" s="170"/>
      <c r="S41" s="170"/>
      <c r="T41" s="170"/>
      <c r="U41" s="170"/>
      <c r="V41" s="170"/>
      <c r="W41" s="170"/>
      <c r="X41" s="170"/>
      <c r="Y41" s="170"/>
      <c r="Z41" s="170"/>
    </row>
    <row r="42" spans="1:26" s="174" customFormat="1" ht="18.45" customHeight="1">
      <c r="A42" s="478"/>
      <c r="B42" s="479"/>
      <c r="C42" s="479"/>
      <c r="D42" s="479"/>
      <c r="E42" s="480"/>
      <c r="F42" s="290"/>
      <c r="G42" s="565" t="s">
        <v>656</v>
      </c>
      <c r="H42" s="293"/>
      <c r="I42" s="293"/>
      <c r="J42" s="293"/>
      <c r="K42" s="294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spans="1:26" s="174" customFormat="1" ht="18.45" customHeight="1">
      <c r="A43" s="478"/>
      <c r="B43" s="479"/>
      <c r="C43" s="479"/>
      <c r="D43" s="479"/>
      <c r="E43" s="480"/>
      <c r="F43" s="290"/>
      <c r="G43" s="291" t="s">
        <v>649</v>
      </c>
      <c r="H43" s="293"/>
      <c r="I43" s="293"/>
      <c r="J43" s="293"/>
      <c r="K43" s="294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spans="1:26" s="174" customFormat="1" ht="17.100000000000001" customHeight="1" thickBot="1">
      <c r="A44" s="481"/>
      <c r="B44" s="482"/>
      <c r="C44" s="482"/>
      <c r="D44" s="482"/>
      <c r="E44" s="483"/>
      <c r="F44" s="290"/>
      <c r="G44" s="293" t="s">
        <v>650</v>
      </c>
      <c r="H44" s="293"/>
      <c r="I44" s="293"/>
      <c r="J44" s="293"/>
      <c r="K44" s="294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spans="1:26" s="174" customFormat="1" ht="17.100000000000001" customHeight="1">
      <c r="A45" s="296" t="s">
        <v>342</v>
      </c>
      <c r="B45" s="484" t="s">
        <v>640</v>
      </c>
      <c r="C45" s="485"/>
      <c r="D45" s="297" t="s">
        <v>343</v>
      </c>
      <c r="E45" s="409" t="s">
        <v>636</v>
      </c>
      <c r="F45" s="298"/>
      <c r="G45" s="293" t="s">
        <v>651</v>
      </c>
      <c r="H45" s="293"/>
      <c r="I45" s="293"/>
      <c r="J45" s="293"/>
      <c r="K45" s="294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spans="1:26" s="174" customFormat="1" ht="17.100000000000001" customHeight="1" thickBot="1">
      <c r="A46" s="299" t="s">
        <v>344</v>
      </c>
      <c r="B46" s="469">
        <v>42324</v>
      </c>
      <c r="C46" s="470"/>
      <c r="D46" s="300" t="s">
        <v>344</v>
      </c>
      <c r="E46" s="301">
        <v>42321</v>
      </c>
      <c r="F46" s="302"/>
      <c r="G46" s="303"/>
      <c r="H46" s="303"/>
      <c r="I46" s="303"/>
      <c r="J46" s="303"/>
      <c r="K46" s="304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spans="1:26" s="174" customFormat="1" ht="17.100000000000001" customHeight="1">
      <c r="F47" s="305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</row>
    <row r="48" spans="1:26" s="174" customFormat="1" ht="17.100000000000001" customHeight="1">
      <c r="F48" s="170"/>
      <c r="G48" s="170"/>
      <c r="H48" s="170"/>
      <c r="I48" s="170"/>
      <c r="J48" s="170"/>
      <c r="K48" s="170"/>
    </row>
    <row r="49" spans="2:26" ht="17.100000000000001" customHeight="1">
      <c r="F49" s="160"/>
      <c r="G49" s="160"/>
      <c r="H49" s="160"/>
      <c r="I49" s="160"/>
      <c r="J49" s="160"/>
      <c r="K49" s="160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2:26">
      <c r="F50" s="160"/>
      <c r="G50" s="160"/>
      <c r="H50" s="160"/>
      <c r="I50" s="160"/>
      <c r="J50" s="160"/>
      <c r="K50" s="160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2:26">
      <c r="F51" s="160"/>
      <c r="G51" s="160"/>
      <c r="H51" s="160"/>
      <c r="I51" s="160"/>
      <c r="J51" s="160"/>
      <c r="K51" s="160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2:26"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2:26">
      <c r="F53" s="160"/>
      <c r="G53" s="160"/>
      <c r="H53" s="160"/>
      <c r="I53" s="160"/>
      <c r="J53" s="160"/>
      <c r="K53" s="160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disablePrompts="1"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zoomScale="75" zoomScaleNormal="75" workbookViewId="0"/>
  </sheetViews>
  <sheetFormatPr defaultColWidth="9.109375" defaultRowHeight="13.2"/>
  <cols>
    <col min="1" max="1" width="9.109375" style="311" customWidth="1"/>
    <col min="2" max="2" width="18.109375" style="311" customWidth="1"/>
    <col min="3" max="3" width="21.5546875" style="311" customWidth="1"/>
    <col min="4" max="4" width="21.33203125" style="311" bestFit="1" customWidth="1"/>
    <col min="5" max="5" width="6.88671875" style="311" bestFit="1" customWidth="1"/>
    <col min="6" max="6" width="29.88671875" style="311" customWidth="1"/>
    <col min="7" max="7" width="43.6640625" style="311" customWidth="1"/>
    <col min="8" max="8" width="17.109375" style="311" customWidth="1"/>
    <col min="9" max="9" width="7.88671875" style="311" customWidth="1"/>
    <col min="10" max="10" width="2.33203125" style="311" bestFit="1" customWidth="1"/>
    <col min="11" max="12" width="2.33203125" style="311" customWidth="1"/>
    <col min="13" max="13" width="2.5546875" style="311" bestFit="1" customWidth="1"/>
    <col min="14" max="14" width="2.33203125" style="311" bestFit="1" customWidth="1"/>
    <col min="15" max="16384" width="9.10937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345</v>
      </c>
      <c r="K1" s="310" t="s">
        <v>346</v>
      </c>
      <c r="L1" s="310" t="s">
        <v>347</v>
      </c>
      <c r="M1" s="310" t="s">
        <v>346</v>
      </c>
      <c r="N1" s="310"/>
    </row>
    <row r="2" spans="2:14" ht="12.75" customHeight="1">
      <c r="B2" s="494" t="s">
        <v>348</v>
      </c>
      <c r="C2" s="495"/>
      <c r="D2" s="495"/>
      <c r="E2" s="495"/>
      <c r="F2" s="495"/>
      <c r="G2" s="495"/>
      <c r="H2" s="312"/>
      <c r="I2" s="313"/>
      <c r="J2" s="314" t="s">
        <v>349</v>
      </c>
      <c r="K2" s="314" t="s">
        <v>350</v>
      </c>
      <c r="L2" s="314" t="s">
        <v>351</v>
      </c>
      <c r="M2" s="314" t="s">
        <v>352</v>
      </c>
      <c r="N2" s="314" t="s">
        <v>353</v>
      </c>
    </row>
    <row r="3" spans="2:14" ht="12.75" customHeight="1">
      <c r="B3" s="494"/>
      <c r="C3" s="495"/>
      <c r="D3" s="495"/>
      <c r="E3" s="495"/>
      <c r="F3" s="495"/>
      <c r="G3" s="495"/>
      <c r="H3" s="312"/>
      <c r="I3" s="313"/>
      <c r="J3" s="314" t="s">
        <v>354</v>
      </c>
      <c r="K3" s="314"/>
      <c r="L3" s="314" t="s">
        <v>355</v>
      </c>
      <c r="M3" s="314" t="s">
        <v>345</v>
      </c>
      <c r="N3" s="314"/>
    </row>
    <row r="4" spans="2:14" ht="12.75" customHeight="1">
      <c r="B4" s="494"/>
      <c r="C4" s="495"/>
      <c r="D4" s="495"/>
      <c r="E4" s="495"/>
      <c r="F4" s="495"/>
      <c r="G4" s="495"/>
      <c r="H4" s="312"/>
      <c r="I4" s="313"/>
      <c r="J4" s="314" t="s">
        <v>356</v>
      </c>
      <c r="K4" s="314"/>
      <c r="L4" s="314" t="s">
        <v>351</v>
      </c>
      <c r="M4" s="314" t="s">
        <v>349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357</v>
      </c>
      <c r="L5" s="314" t="s">
        <v>346</v>
      </c>
      <c r="M5" s="314"/>
      <c r="N5" s="314" t="s">
        <v>351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350</v>
      </c>
      <c r="K6" s="314" t="s">
        <v>358</v>
      </c>
      <c r="L6" s="314"/>
      <c r="M6" s="314" t="s">
        <v>346</v>
      </c>
      <c r="N6" s="314" t="s">
        <v>359</v>
      </c>
    </row>
    <row r="7" spans="2:14" ht="12.75" customHeight="1">
      <c r="B7" s="317"/>
      <c r="D7" s="320"/>
      <c r="H7" s="319"/>
      <c r="I7" s="313"/>
      <c r="J7" s="314" t="s">
        <v>360</v>
      </c>
      <c r="K7" s="314" t="s">
        <v>354</v>
      </c>
      <c r="L7" s="314" t="s">
        <v>354</v>
      </c>
      <c r="M7" s="314" t="s">
        <v>349</v>
      </c>
      <c r="N7" s="314" t="s">
        <v>361</v>
      </c>
    </row>
    <row r="8" spans="2:14" ht="12.75" customHeight="1">
      <c r="B8" s="317"/>
      <c r="G8" s="320"/>
      <c r="H8" s="321"/>
      <c r="I8" s="314" t="s">
        <v>361</v>
      </c>
      <c r="J8" s="314" t="s">
        <v>346</v>
      </c>
      <c r="K8" s="314" t="s">
        <v>362</v>
      </c>
      <c r="L8" s="314" t="s">
        <v>349</v>
      </c>
      <c r="M8" s="314" t="s">
        <v>361</v>
      </c>
      <c r="N8" s="314" t="s">
        <v>358</v>
      </c>
    </row>
    <row r="9" spans="2:14">
      <c r="B9" s="314" t="s">
        <v>363</v>
      </c>
      <c r="C9" s="321" t="s">
        <v>364</v>
      </c>
      <c r="D9" s="321" t="s">
        <v>365</v>
      </c>
      <c r="E9" s="321" t="s">
        <v>366</v>
      </c>
      <c r="F9" s="314" t="s">
        <v>367</v>
      </c>
      <c r="G9" s="314" t="s">
        <v>368</v>
      </c>
      <c r="H9" s="314" t="s">
        <v>369</v>
      </c>
      <c r="I9" s="314" t="s">
        <v>356</v>
      </c>
      <c r="J9" s="314" t="s">
        <v>360</v>
      </c>
      <c r="K9" s="314" t="s">
        <v>349</v>
      </c>
      <c r="L9" s="314" t="s">
        <v>362</v>
      </c>
      <c r="M9" s="314" t="s">
        <v>346</v>
      </c>
      <c r="N9" s="314" t="s">
        <v>347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496" t="s">
        <v>370</v>
      </c>
      <c r="C53" s="496"/>
      <c r="D53" s="496"/>
      <c r="E53" s="496"/>
      <c r="F53" s="496"/>
      <c r="G53" s="496"/>
      <c r="H53" s="496"/>
      <c r="I53" s="496"/>
      <c r="J53" s="496"/>
      <c r="K53" s="496"/>
      <c r="L53" s="496"/>
      <c r="M53" s="496"/>
      <c r="N53" s="496"/>
    </row>
    <row r="54" spans="2:14" ht="15" customHeight="1" thickBot="1">
      <c r="B54" s="336" t="s">
        <v>371</v>
      </c>
      <c r="C54" s="497" t="s">
        <v>368</v>
      </c>
      <c r="D54" s="498"/>
      <c r="E54" s="498"/>
      <c r="F54" s="498"/>
      <c r="G54" s="498"/>
      <c r="H54" s="337"/>
      <c r="I54" s="497" t="s">
        <v>363</v>
      </c>
      <c r="J54" s="498"/>
      <c r="K54" s="499"/>
      <c r="L54" s="497" t="s">
        <v>372</v>
      </c>
      <c r="M54" s="498"/>
      <c r="N54" s="500"/>
    </row>
    <row r="55" spans="2:14" ht="15" customHeight="1">
      <c r="B55" s="338"/>
      <c r="C55" s="486"/>
      <c r="D55" s="487"/>
      <c r="E55" s="487"/>
      <c r="F55" s="487"/>
      <c r="G55" s="487"/>
      <c r="H55" s="339"/>
      <c r="I55" s="488"/>
      <c r="J55" s="489"/>
      <c r="K55" s="490"/>
      <c r="L55" s="491"/>
      <c r="M55" s="492"/>
      <c r="N55" s="493"/>
    </row>
    <row r="56" spans="2:14" ht="15" customHeight="1">
      <c r="B56" s="340"/>
      <c r="C56" s="501"/>
      <c r="D56" s="502"/>
      <c r="E56" s="502"/>
      <c r="F56" s="502"/>
      <c r="G56" s="502"/>
      <c r="H56" s="341"/>
      <c r="I56" s="503"/>
      <c r="J56" s="504"/>
      <c r="K56" s="505"/>
      <c r="L56" s="506"/>
      <c r="M56" s="507"/>
      <c r="N56" s="508"/>
    </row>
    <row r="57" spans="2:14" ht="15" customHeight="1">
      <c r="B57" s="340"/>
      <c r="C57" s="501"/>
      <c r="D57" s="502"/>
      <c r="E57" s="502"/>
      <c r="F57" s="502"/>
      <c r="G57" s="502"/>
      <c r="H57" s="341"/>
      <c r="I57" s="503"/>
      <c r="J57" s="504"/>
      <c r="K57" s="505"/>
      <c r="L57" s="506"/>
      <c r="M57" s="507"/>
      <c r="N57" s="508"/>
    </row>
    <row r="58" spans="2:14" ht="15" customHeight="1">
      <c r="B58" s="340"/>
      <c r="C58" s="501"/>
      <c r="D58" s="502"/>
      <c r="E58" s="502"/>
      <c r="F58" s="502"/>
      <c r="G58" s="502"/>
      <c r="H58" s="341"/>
      <c r="I58" s="503"/>
      <c r="J58" s="504"/>
      <c r="K58" s="505"/>
      <c r="L58" s="506"/>
      <c r="M58" s="507"/>
      <c r="N58" s="508"/>
    </row>
    <row r="59" spans="2:14" ht="15" customHeight="1">
      <c r="B59" s="340"/>
      <c r="C59" s="501"/>
      <c r="D59" s="502"/>
      <c r="E59" s="502"/>
      <c r="F59" s="502"/>
      <c r="G59" s="502"/>
      <c r="H59" s="341"/>
      <c r="I59" s="503"/>
      <c r="J59" s="504"/>
      <c r="K59" s="505"/>
      <c r="L59" s="506"/>
      <c r="M59" s="507"/>
      <c r="N59" s="508"/>
    </row>
    <row r="60" spans="2:14" ht="15" customHeight="1">
      <c r="B60" s="340"/>
      <c r="C60" s="501"/>
      <c r="D60" s="502"/>
      <c r="E60" s="502"/>
      <c r="F60" s="502"/>
      <c r="G60" s="502"/>
      <c r="H60" s="341"/>
      <c r="I60" s="503"/>
      <c r="J60" s="504"/>
      <c r="K60" s="505"/>
      <c r="L60" s="506"/>
      <c r="M60" s="507"/>
      <c r="N60" s="508"/>
    </row>
    <row r="61" spans="2:14" ht="15" customHeight="1">
      <c r="B61" s="340"/>
      <c r="C61" s="501"/>
      <c r="D61" s="502"/>
      <c r="E61" s="502"/>
      <c r="F61" s="502"/>
      <c r="G61" s="502"/>
      <c r="H61" s="341"/>
      <c r="I61" s="503"/>
      <c r="J61" s="504"/>
      <c r="K61" s="505"/>
      <c r="L61" s="506"/>
      <c r="M61" s="507"/>
      <c r="N61" s="508"/>
    </row>
    <row r="62" spans="2:14" ht="15" customHeight="1">
      <c r="B62" s="340"/>
      <c r="C62" s="501"/>
      <c r="D62" s="502"/>
      <c r="E62" s="502"/>
      <c r="F62" s="502"/>
      <c r="G62" s="502"/>
      <c r="H62" s="341"/>
      <c r="I62" s="503"/>
      <c r="J62" s="504"/>
      <c r="K62" s="505"/>
      <c r="L62" s="506"/>
      <c r="M62" s="507"/>
      <c r="N62" s="508"/>
    </row>
    <row r="63" spans="2:14" ht="15" customHeight="1">
      <c r="B63" s="340"/>
      <c r="C63" s="501"/>
      <c r="D63" s="502"/>
      <c r="E63" s="502"/>
      <c r="F63" s="502"/>
      <c r="G63" s="502"/>
      <c r="H63" s="341"/>
      <c r="I63" s="503"/>
      <c r="J63" s="504"/>
      <c r="K63" s="505"/>
      <c r="L63" s="506"/>
      <c r="M63" s="507"/>
      <c r="N63" s="508"/>
    </row>
    <row r="64" spans="2:14" ht="15" customHeight="1">
      <c r="B64" s="340"/>
      <c r="C64" s="501"/>
      <c r="D64" s="502"/>
      <c r="E64" s="502"/>
      <c r="F64" s="502"/>
      <c r="G64" s="502"/>
      <c r="H64" s="341"/>
      <c r="I64" s="503"/>
      <c r="J64" s="504"/>
      <c r="K64" s="505"/>
      <c r="L64" s="506"/>
      <c r="M64" s="507"/>
      <c r="N64" s="508"/>
    </row>
    <row r="65" spans="2:14" ht="15" customHeight="1">
      <c r="B65" s="340"/>
      <c r="C65" s="501"/>
      <c r="D65" s="502"/>
      <c r="E65" s="502"/>
      <c r="F65" s="502"/>
      <c r="G65" s="502"/>
      <c r="H65" s="341"/>
      <c r="I65" s="503"/>
      <c r="J65" s="504"/>
      <c r="K65" s="505"/>
      <c r="L65" s="506"/>
      <c r="M65" s="507"/>
      <c r="N65" s="508"/>
    </row>
    <row r="66" spans="2:14" ht="15" customHeight="1">
      <c r="B66" s="340"/>
      <c r="C66" s="501"/>
      <c r="D66" s="502"/>
      <c r="E66" s="502"/>
      <c r="F66" s="502"/>
      <c r="G66" s="502"/>
      <c r="H66" s="341"/>
      <c r="I66" s="503"/>
      <c r="J66" s="504"/>
      <c r="K66" s="505"/>
      <c r="L66" s="506"/>
      <c r="M66" s="507"/>
      <c r="N66" s="508"/>
    </row>
    <row r="67" spans="2:14" ht="15" customHeight="1">
      <c r="B67" s="340"/>
      <c r="C67" s="501"/>
      <c r="D67" s="502"/>
      <c r="E67" s="502"/>
      <c r="F67" s="502"/>
      <c r="G67" s="502"/>
      <c r="H67" s="341"/>
      <c r="I67" s="503"/>
      <c r="J67" s="504"/>
      <c r="K67" s="505"/>
      <c r="L67" s="506"/>
      <c r="M67" s="507"/>
      <c r="N67" s="508"/>
    </row>
    <row r="68" spans="2:14" ht="15" customHeight="1">
      <c r="B68" s="340"/>
      <c r="C68" s="501"/>
      <c r="D68" s="502"/>
      <c r="E68" s="502"/>
      <c r="F68" s="502"/>
      <c r="G68" s="502"/>
      <c r="H68" s="341"/>
      <c r="I68" s="503"/>
      <c r="J68" s="504"/>
      <c r="K68" s="505"/>
      <c r="L68" s="506"/>
      <c r="M68" s="507"/>
      <c r="N68" s="508"/>
    </row>
    <row r="69" spans="2:14" ht="15" customHeight="1">
      <c r="B69" s="340"/>
      <c r="C69" s="501"/>
      <c r="D69" s="502"/>
      <c r="E69" s="502"/>
      <c r="F69" s="502"/>
      <c r="G69" s="502"/>
      <c r="H69" s="341"/>
      <c r="I69" s="503"/>
      <c r="J69" s="504"/>
      <c r="K69" s="505"/>
      <c r="L69" s="506"/>
      <c r="M69" s="507"/>
      <c r="N69" s="508"/>
    </row>
    <row r="70" spans="2:14" ht="15" customHeight="1">
      <c r="B70" s="340"/>
      <c r="C70" s="501"/>
      <c r="D70" s="502"/>
      <c r="E70" s="502"/>
      <c r="F70" s="502"/>
      <c r="G70" s="502"/>
      <c r="H70" s="341"/>
      <c r="I70" s="503"/>
      <c r="J70" s="504"/>
      <c r="K70" s="505"/>
      <c r="L70" s="506"/>
      <c r="M70" s="507"/>
      <c r="N70" s="508"/>
    </row>
    <row r="71" spans="2:14" ht="15" customHeight="1">
      <c r="B71" s="340"/>
      <c r="C71" s="501"/>
      <c r="D71" s="502"/>
      <c r="E71" s="502"/>
      <c r="F71" s="502"/>
      <c r="G71" s="502"/>
      <c r="H71" s="341"/>
      <c r="I71" s="503"/>
      <c r="J71" s="504"/>
      <c r="K71" s="505"/>
      <c r="L71" s="506"/>
      <c r="M71" s="507"/>
      <c r="N71" s="508"/>
    </row>
    <row r="72" spans="2:14">
      <c r="B72" s="340"/>
      <c r="C72" s="501"/>
      <c r="D72" s="502"/>
      <c r="E72" s="502"/>
      <c r="F72" s="502"/>
      <c r="G72" s="502"/>
      <c r="H72" s="341"/>
      <c r="I72" s="503"/>
      <c r="J72" s="504"/>
      <c r="K72" s="505"/>
      <c r="L72" s="506"/>
      <c r="M72" s="507"/>
      <c r="N72" s="508"/>
    </row>
    <row r="73" spans="2:14">
      <c r="B73" s="340"/>
      <c r="C73" s="501"/>
      <c r="D73" s="502"/>
      <c r="E73" s="502"/>
      <c r="F73" s="502"/>
      <c r="G73" s="502"/>
      <c r="H73" s="341"/>
      <c r="I73" s="503"/>
      <c r="J73" s="504"/>
      <c r="K73" s="505"/>
      <c r="L73" s="506"/>
      <c r="M73" s="507"/>
      <c r="N73" s="508"/>
    </row>
    <row r="74" spans="2:14">
      <c r="B74" s="340"/>
      <c r="C74" s="501"/>
      <c r="D74" s="502"/>
      <c r="E74" s="502"/>
      <c r="F74" s="502"/>
      <c r="G74" s="502"/>
      <c r="H74" s="341"/>
      <c r="I74" s="503"/>
      <c r="J74" s="504"/>
      <c r="K74" s="505"/>
      <c r="L74" s="506"/>
      <c r="M74" s="507"/>
      <c r="N74" s="508"/>
    </row>
    <row r="75" spans="2:14">
      <c r="B75" s="340"/>
      <c r="C75" s="501"/>
      <c r="D75" s="502"/>
      <c r="E75" s="502"/>
      <c r="F75" s="502"/>
      <c r="G75" s="502"/>
      <c r="H75" s="341"/>
      <c r="I75" s="503"/>
      <c r="J75" s="504"/>
      <c r="K75" s="505"/>
      <c r="L75" s="506"/>
      <c r="M75" s="507"/>
      <c r="N75" s="508"/>
    </row>
    <row r="76" spans="2:14">
      <c r="B76" s="340"/>
      <c r="C76" s="501"/>
      <c r="D76" s="502"/>
      <c r="E76" s="502"/>
      <c r="F76" s="502"/>
      <c r="G76" s="502"/>
      <c r="H76" s="341"/>
      <c r="I76" s="503"/>
      <c r="J76" s="504"/>
      <c r="K76" s="505"/>
      <c r="L76" s="506"/>
      <c r="M76" s="507"/>
      <c r="N76" s="508"/>
    </row>
    <row r="77" spans="2:14">
      <c r="B77" s="340"/>
      <c r="C77" s="501"/>
      <c r="D77" s="502"/>
      <c r="E77" s="502"/>
      <c r="F77" s="502"/>
      <c r="G77" s="502"/>
      <c r="H77" s="341"/>
      <c r="I77" s="503"/>
      <c r="J77" s="504"/>
      <c r="K77" s="505"/>
      <c r="L77" s="506"/>
      <c r="M77" s="507"/>
      <c r="N77" s="508"/>
    </row>
    <row r="78" spans="2:14">
      <c r="B78" s="340"/>
      <c r="C78" s="501"/>
      <c r="D78" s="502"/>
      <c r="E78" s="502"/>
      <c r="F78" s="502"/>
      <c r="G78" s="502"/>
      <c r="H78" s="341"/>
      <c r="I78" s="503"/>
      <c r="J78" s="504"/>
      <c r="K78" s="505"/>
      <c r="L78" s="506"/>
      <c r="M78" s="507"/>
      <c r="N78" s="508"/>
    </row>
    <row r="79" spans="2:14" ht="13.8" thickBot="1">
      <c r="B79" s="342"/>
      <c r="C79" s="509"/>
      <c r="D79" s="510"/>
      <c r="E79" s="510"/>
      <c r="F79" s="510"/>
      <c r="G79" s="510"/>
      <c r="H79" s="343"/>
      <c r="I79" s="511"/>
      <c r="J79" s="512"/>
      <c r="K79" s="513"/>
      <c r="L79" s="514"/>
      <c r="M79" s="515"/>
      <c r="N79" s="516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workbookViewId="0">
      <selection activeCell="L11" sqref="L11"/>
    </sheetView>
  </sheetViews>
  <sheetFormatPr defaultColWidth="9.109375" defaultRowHeight="13.2"/>
  <cols>
    <col min="1" max="6" width="14.6640625" style="344" customWidth="1"/>
    <col min="7" max="16384" width="9.109375" style="344"/>
  </cols>
  <sheetData>
    <row r="1" spans="1:7" ht="20.399999999999999">
      <c r="A1" s="517" t="s">
        <v>383</v>
      </c>
      <c r="B1" s="517"/>
      <c r="C1" s="517"/>
      <c r="D1" s="517"/>
      <c r="E1" s="517"/>
      <c r="F1" s="517"/>
    </row>
    <row r="2" spans="1:7" ht="18" thickBot="1">
      <c r="A2" s="345"/>
      <c r="B2" s="345"/>
      <c r="C2" s="518" t="s">
        <v>395</v>
      </c>
      <c r="D2" s="518"/>
      <c r="E2" s="345"/>
      <c r="F2" s="345"/>
      <c r="G2" s="345"/>
    </row>
    <row r="3" spans="1:7" ht="18">
      <c r="A3" s="519" t="s">
        <v>384</v>
      </c>
      <c r="B3" s="520"/>
      <c r="C3" s="521"/>
      <c r="D3" s="519" t="s">
        <v>385</v>
      </c>
      <c r="E3" s="520"/>
      <c r="F3" s="521"/>
      <c r="G3" s="345"/>
    </row>
    <row r="4" spans="1:7" ht="16.2">
      <c r="A4" s="346" t="s">
        <v>396</v>
      </c>
      <c r="B4" s="522" t="s">
        <v>398</v>
      </c>
      <c r="C4" s="523"/>
      <c r="D4" s="524" t="s">
        <v>399</v>
      </c>
      <c r="E4" s="525"/>
      <c r="F4" s="526"/>
      <c r="G4" s="345"/>
    </row>
    <row r="5" spans="1:7" ht="16.8" thickBot="1">
      <c r="A5" s="347" t="s">
        <v>397</v>
      </c>
      <c r="B5" s="530" t="s">
        <v>397</v>
      </c>
      <c r="C5" s="531"/>
      <c r="D5" s="532" t="s">
        <v>400</v>
      </c>
      <c r="E5" s="533"/>
      <c r="F5" s="534"/>
      <c r="G5" s="345"/>
    </row>
    <row r="6" spans="1:7" ht="18">
      <c r="A6" s="519" t="s">
        <v>386</v>
      </c>
      <c r="B6" s="520"/>
      <c r="C6" s="520"/>
      <c r="D6" s="520"/>
      <c r="E6" s="520"/>
      <c r="F6" s="521"/>
      <c r="G6" s="345"/>
    </row>
    <row r="7" spans="1:7" ht="16.2">
      <c r="A7" s="348" t="s">
        <v>387</v>
      </c>
      <c r="B7" s="349" t="s">
        <v>401</v>
      </c>
      <c r="C7" s="350" t="s">
        <v>388</v>
      </c>
      <c r="D7" s="351" t="s">
        <v>402</v>
      </c>
      <c r="E7" s="535" t="s">
        <v>389</v>
      </c>
      <c r="F7" s="536"/>
      <c r="G7" s="345"/>
    </row>
    <row r="8" spans="1:7" ht="16.2" thickBot="1">
      <c r="A8" s="352"/>
      <c r="B8" s="353" t="s">
        <v>397</v>
      </c>
      <c r="C8" s="354"/>
      <c r="D8" s="355" t="s">
        <v>397</v>
      </c>
      <c r="E8" s="537" t="s">
        <v>403</v>
      </c>
      <c r="F8" s="534"/>
      <c r="G8" s="345"/>
    </row>
    <row r="9" spans="1:7" ht="18">
      <c r="A9" s="519" t="s">
        <v>390</v>
      </c>
      <c r="B9" s="520"/>
      <c r="C9" s="521"/>
      <c r="D9" s="519" t="s">
        <v>391</v>
      </c>
      <c r="E9" s="520"/>
      <c r="F9" s="521"/>
      <c r="G9" s="345"/>
    </row>
    <row r="10" spans="1:7" ht="16.2">
      <c r="A10" s="356" t="s">
        <v>392</v>
      </c>
      <c r="B10" s="538" t="s">
        <v>404</v>
      </c>
      <c r="C10" s="523"/>
      <c r="D10" s="539" t="s">
        <v>406</v>
      </c>
      <c r="E10" s="540"/>
      <c r="F10" s="357" t="s">
        <v>408</v>
      </c>
      <c r="G10" s="345"/>
    </row>
    <row r="11" spans="1:7" ht="16.8" thickBot="1">
      <c r="A11" s="358" t="s">
        <v>393</v>
      </c>
      <c r="B11" s="533" t="s">
        <v>405</v>
      </c>
      <c r="C11" s="534"/>
      <c r="D11" s="541" t="s">
        <v>407</v>
      </c>
      <c r="E11" s="542"/>
      <c r="F11" s="359" t="s">
        <v>409</v>
      </c>
      <c r="G11" s="345"/>
    </row>
    <row r="12" spans="1:7" ht="18">
      <c r="A12" s="519" t="s">
        <v>394</v>
      </c>
      <c r="B12" s="520"/>
      <c r="C12" s="520"/>
      <c r="D12" s="520"/>
      <c r="E12" s="520"/>
      <c r="F12" s="521"/>
      <c r="G12" s="345"/>
    </row>
    <row r="13" spans="1:7" ht="16.2" thickBot="1">
      <c r="A13" s="527" t="s">
        <v>410</v>
      </c>
      <c r="B13" s="528"/>
      <c r="C13" s="529" t="s">
        <v>411</v>
      </c>
      <c r="D13" s="529"/>
      <c r="E13" s="529"/>
      <c r="F13" s="360"/>
      <c r="G13" s="345"/>
    </row>
    <row r="14" spans="1:7" ht="18.899999999999999" customHeight="1">
      <c r="A14" s="361"/>
      <c r="B14" s="361"/>
      <c r="C14" s="361"/>
      <c r="D14" s="361"/>
      <c r="E14" s="361"/>
      <c r="F14" s="361"/>
      <c r="G14" s="345"/>
    </row>
    <row r="15" spans="1:7" ht="15.6">
      <c r="G15" s="345"/>
    </row>
    <row r="16" spans="1:7" ht="15.6">
      <c r="G16" s="345"/>
    </row>
    <row r="17" spans="7:7" ht="15.6">
      <c r="G17" s="345"/>
    </row>
    <row r="18" spans="7:7" ht="15.6">
      <c r="G18" s="345"/>
    </row>
    <row r="19" spans="7:7" ht="15.6">
      <c r="G19" s="345"/>
    </row>
    <row r="20" spans="7:7" ht="15.6">
      <c r="G20" s="345"/>
    </row>
    <row r="21" spans="7:7" ht="15.6">
      <c r="G21" s="345"/>
    </row>
    <row r="22" spans="7:7" ht="15.6">
      <c r="G22" s="345"/>
    </row>
    <row r="23" spans="7:7" ht="15.6">
      <c r="G23" s="345"/>
    </row>
    <row r="24" spans="7:7" ht="15.6">
      <c r="G24" s="345"/>
    </row>
    <row r="25" spans="7:7" ht="15.6">
      <c r="G25" s="345"/>
    </row>
    <row r="26" spans="7:7" ht="15.6">
      <c r="G26" s="345"/>
    </row>
    <row r="27" spans="7:7" ht="18.899999999999999" customHeight="1">
      <c r="G27" s="345"/>
    </row>
    <row r="28" spans="7:7" ht="15.6">
      <c r="G28" s="345"/>
    </row>
    <row r="29" spans="7:7" ht="15.6">
      <c r="G29" s="345"/>
    </row>
    <row r="30" spans="7:7" ht="15.6">
      <c r="G30" s="345"/>
    </row>
    <row r="31" spans="7:7" ht="15.6">
      <c r="G31" s="345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67"/>
  <sheetViews>
    <sheetView workbookViewId="0">
      <selection activeCell="F10" sqref="F10"/>
    </sheetView>
  </sheetViews>
  <sheetFormatPr defaultColWidth="9.109375" defaultRowHeight="13.2"/>
  <cols>
    <col min="1" max="6" width="16.6640625" style="344" customWidth="1"/>
    <col min="7" max="16384" width="9.109375" style="344"/>
  </cols>
  <sheetData>
    <row r="1" spans="1:6" ht="18.899999999999999" customHeight="1">
      <c r="A1" s="362"/>
      <c r="B1" s="363"/>
      <c r="C1" s="363"/>
      <c r="D1" s="363"/>
      <c r="E1" s="363"/>
      <c r="F1" s="364"/>
    </row>
    <row r="2" spans="1:6" ht="26.1" customHeight="1">
      <c r="A2" s="365" t="s">
        <v>265</v>
      </c>
      <c r="B2" s="366"/>
      <c r="C2" s="366"/>
      <c r="D2" s="366"/>
      <c r="E2" s="366"/>
      <c r="F2" s="367"/>
    </row>
    <row r="3" spans="1:6" ht="18.899999999999999" customHeight="1">
      <c r="A3" s="368" t="s">
        <v>412</v>
      </c>
      <c r="B3" s="366"/>
      <c r="C3" s="366"/>
      <c r="D3" s="366"/>
      <c r="E3" s="366"/>
      <c r="F3" s="367"/>
    </row>
    <row r="4" spans="1:6" ht="18.899999999999999" customHeight="1">
      <c r="A4" s="369"/>
      <c r="B4" s="370"/>
      <c r="C4" s="370"/>
      <c r="D4" s="370"/>
      <c r="E4" s="370"/>
      <c r="F4" s="371"/>
    </row>
    <row r="5" spans="1:6" ht="18.899999999999999" customHeight="1">
      <c r="A5" s="369"/>
      <c r="B5" s="370"/>
      <c r="C5" s="370"/>
      <c r="D5" s="370"/>
      <c r="E5" s="370"/>
      <c r="F5" s="371"/>
    </row>
    <row r="6" spans="1:6" ht="18.899999999999999" customHeight="1">
      <c r="A6" s="372" t="s">
        <v>413</v>
      </c>
      <c r="B6" s="543" t="s">
        <v>646</v>
      </c>
      <c r="C6" s="544"/>
      <c r="D6" s="545"/>
      <c r="E6" s="372" t="s">
        <v>414</v>
      </c>
      <c r="F6" s="373" t="s">
        <v>377</v>
      </c>
    </row>
    <row r="7" spans="1:6" ht="18.899999999999999" customHeight="1">
      <c r="A7" s="372" t="s">
        <v>415</v>
      </c>
      <c r="B7" s="373" t="s">
        <v>176</v>
      </c>
      <c r="C7" s="372" t="s">
        <v>416</v>
      </c>
      <c r="D7" s="373" t="s">
        <v>637</v>
      </c>
      <c r="E7" s="372" t="s">
        <v>417</v>
      </c>
      <c r="F7" s="373" t="s">
        <v>177</v>
      </c>
    </row>
    <row r="8" spans="1:6" ht="18.899999999999999" customHeight="1">
      <c r="A8" s="372" t="s">
        <v>418</v>
      </c>
      <c r="B8" s="373">
        <v>2</v>
      </c>
      <c r="C8" s="372" t="s">
        <v>419</v>
      </c>
      <c r="D8" s="373" t="s">
        <v>420</v>
      </c>
      <c r="E8" s="372" t="s">
        <v>421</v>
      </c>
      <c r="F8" s="373" t="s">
        <v>356</v>
      </c>
    </row>
    <row r="9" spans="1:6" ht="18.899999999999999" customHeight="1">
      <c r="A9" s="372" t="s">
        <v>422</v>
      </c>
      <c r="B9" s="373">
        <v>1000</v>
      </c>
      <c r="C9" s="372" t="s">
        <v>423</v>
      </c>
      <c r="D9" s="373" t="s">
        <v>434</v>
      </c>
      <c r="E9" s="372" t="s">
        <v>2</v>
      </c>
      <c r="F9" s="374">
        <v>42321</v>
      </c>
    </row>
    <row r="10" spans="1:6" ht="18.899999999999999" customHeight="1">
      <c r="A10" s="372" t="s">
        <v>424</v>
      </c>
      <c r="B10" s="373">
        <v>3568</v>
      </c>
      <c r="C10" s="372" t="s">
        <v>257</v>
      </c>
      <c r="D10" s="373" t="s">
        <v>425</v>
      </c>
      <c r="E10" s="372" t="s">
        <v>1</v>
      </c>
      <c r="F10" s="373" t="s">
        <v>648</v>
      </c>
    </row>
    <row r="11" spans="1:6" ht="18.899999999999999" customHeight="1">
      <c r="A11" s="369"/>
      <c r="B11" s="370"/>
      <c r="C11" s="370"/>
      <c r="D11" s="370"/>
      <c r="E11" s="370"/>
      <c r="F11" s="371"/>
    </row>
    <row r="12" spans="1:6" ht="18.899999999999999" customHeight="1">
      <c r="A12" s="369"/>
      <c r="B12" s="375" t="s">
        <v>426</v>
      </c>
      <c r="C12" s="376" t="s">
        <v>639</v>
      </c>
      <c r="D12" s="375" t="s">
        <v>256</v>
      </c>
      <c r="E12" s="376" t="s">
        <v>425</v>
      </c>
      <c r="F12" s="371"/>
    </row>
    <row r="13" spans="1:6" ht="18.899999999999999" customHeight="1">
      <c r="A13" s="369"/>
      <c r="B13" s="375" t="s">
        <v>427</v>
      </c>
      <c r="C13" s="377">
        <v>1</v>
      </c>
      <c r="D13" s="375" t="s">
        <v>428</v>
      </c>
      <c r="E13" s="361" t="s">
        <v>425</v>
      </c>
      <c r="F13" s="371"/>
    </row>
    <row r="14" spans="1:6" ht="18.899999999999999" customHeight="1">
      <c r="A14" s="369"/>
      <c r="B14" s="375" t="s">
        <v>429</v>
      </c>
      <c r="C14" s="377">
        <v>1.9</v>
      </c>
      <c r="D14" s="375" t="s">
        <v>258</v>
      </c>
      <c r="E14" s="361" t="s">
        <v>425</v>
      </c>
      <c r="F14" s="371"/>
    </row>
    <row r="15" spans="1:6" ht="18.899999999999999" customHeight="1">
      <c r="A15" s="369"/>
      <c r="B15" s="375" t="s">
        <v>259</v>
      </c>
      <c r="C15" s="376" t="s">
        <v>436</v>
      </c>
      <c r="D15" s="370"/>
      <c r="E15" s="370"/>
      <c r="F15" s="371"/>
    </row>
    <row r="16" spans="1:6" ht="18.899999999999999" customHeight="1">
      <c r="A16" s="369"/>
      <c r="B16" s="370"/>
      <c r="C16" s="370"/>
      <c r="D16" s="370"/>
      <c r="E16" s="370"/>
      <c r="F16" s="371"/>
    </row>
    <row r="17" spans="1:6" ht="18.899999999999999" customHeight="1">
      <c r="A17" s="369"/>
      <c r="B17" s="370"/>
      <c r="C17" s="370"/>
      <c r="D17" s="370"/>
      <c r="E17" s="370"/>
      <c r="F17" s="371"/>
    </row>
    <row r="18" spans="1:6" ht="18.899999999999999" customHeight="1">
      <c r="A18" s="369"/>
      <c r="B18" s="370"/>
      <c r="C18" s="370"/>
      <c r="D18" s="370"/>
      <c r="E18" s="370"/>
      <c r="F18" s="371"/>
    </row>
    <row r="19" spans="1:6" ht="18.899999999999999" customHeight="1">
      <c r="A19" s="369"/>
      <c r="B19" s="370"/>
      <c r="C19" s="370"/>
      <c r="D19" s="370"/>
      <c r="E19" s="370"/>
      <c r="F19" s="371"/>
    </row>
    <row r="20" spans="1:6" ht="18.899999999999999" customHeight="1">
      <c r="A20" s="369"/>
      <c r="B20" s="370"/>
      <c r="C20" s="370"/>
      <c r="D20" s="370"/>
      <c r="E20" s="370"/>
      <c r="F20" s="371"/>
    </row>
    <row r="21" spans="1:6" ht="18.899999999999999" customHeight="1">
      <c r="A21" s="369"/>
      <c r="B21" s="370"/>
      <c r="C21" s="370"/>
      <c r="D21" s="370"/>
      <c r="E21" s="370"/>
      <c r="F21" s="371"/>
    </row>
    <row r="22" spans="1:6" ht="18.899999999999999" customHeight="1">
      <c r="A22" s="369"/>
      <c r="B22" s="370"/>
      <c r="C22" s="370"/>
      <c r="D22" s="370"/>
      <c r="E22" s="370"/>
      <c r="F22" s="371"/>
    </row>
    <row r="23" spans="1:6" ht="18.899999999999999" customHeight="1">
      <c r="A23" s="369"/>
      <c r="B23" s="370"/>
      <c r="C23" s="370"/>
      <c r="D23" s="370"/>
      <c r="E23" s="370"/>
      <c r="F23" s="371"/>
    </row>
    <row r="24" spans="1:6" ht="18.899999999999999" customHeight="1">
      <c r="A24" s="369"/>
      <c r="B24" s="370"/>
      <c r="C24" s="370"/>
      <c r="D24" s="370"/>
      <c r="E24" s="370"/>
      <c r="F24" s="371"/>
    </row>
    <row r="25" spans="1:6" ht="18.899999999999999" customHeight="1">
      <c r="A25" s="369"/>
      <c r="B25" s="370"/>
      <c r="C25" s="370"/>
      <c r="D25" s="370"/>
      <c r="E25" s="370"/>
      <c r="F25" s="371"/>
    </row>
    <row r="26" spans="1:6" ht="18.899999999999999" customHeight="1">
      <c r="A26" s="369"/>
      <c r="B26" s="370"/>
      <c r="C26" s="370"/>
      <c r="D26" s="370"/>
      <c r="E26" s="370"/>
      <c r="F26" s="371"/>
    </row>
    <row r="27" spans="1:6" ht="18.899999999999999" customHeight="1">
      <c r="A27" s="369"/>
      <c r="B27" s="370"/>
      <c r="C27" s="370"/>
      <c r="D27" s="370"/>
      <c r="E27" s="370"/>
      <c r="F27" s="371"/>
    </row>
    <row r="28" spans="1:6" ht="18.899999999999999" customHeight="1">
      <c r="A28" s="369"/>
      <c r="B28" s="370"/>
      <c r="C28" s="370"/>
      <c r="D28" s="370"/>
      <c r="E28" s="370"/>
      <c r="F28" s="371"/>
    </row>
    <row r="29" spans="1:6" ht="18.899999999999999" customHeight="1">
      <c r="A29" s="369"/>
      <c r="B29" s="370"/>
      <c r="C29" s="370"/>
      <c r="D29" s="370"/>
      <c r="E29" s="370"/>
      <c r="F29" s="371"/>
    </row>
    <row r="30" spans="1:6" ht="18.899999999999999" customHeight="1">
      <c r="A30" s="369"/>
      <c r="B30" s="370"/>
      <c r="C30" s="370"/>
      <c r="D30" s="370"/>
      <c r="E30" s="370"/>
      <c r="F30" s="371"/>
    </row>
    <row r="31" spans="1:6" ht="18.899999999999999" customHeight="1">
      <c r="A31" s="369"/>
      <c r="B31" s="370"/>
      <c r="C31" s="370"/>
      <c r="D31" s="370"/>
      <c r="E31" s="370"/>
      <c r="F31" s="371"/>
    </row>
    <row r="32" spans="1:6" ht="18.899999999999999" customHeight="1">
      <c r="A32" s="369"/>
      <c r="B32" s="370"/>
      <c r="C32" s="370"/>
      <c r="D32" s="370"/>
      <c r="E32" s="370"/>
      <c r="F32" s="371"/>
    </row>
    <row r="33" spans="1:6" ht="18.899999999999999" customHeight="1">
      <c r="A33" s="369"/>
      <c r="B33" s="370"/>
      <c r="C33" s="370"/>
      <c r="D33" s="370"/>
      <c r="E33" s="370"/>
      <c r="F33" s="371"/>
    </row>
    <row r="34" spans="1:6" ht="18.899999999999999" customHeight="1">
      <c r="A34" s="369"/>
      <c r="B34" s="370"/>
      <c r="C34" s="370"/>
      <c r="D34" s="370"/>
      <c r="E34" s="370"/>
      <c r="F34" s="371"/>
    </row>
    <row r="35" spans="1:6" ht="18.899999999999999" customHeight="1">
      <c r="A35" s="369"/>
      <c r="B35" s="370"/>
      <c r="C35" s="370"/>
      <c r="D35" s="370"/>
      <c r="E35" s="370"/>
      <c r="F35" s="371"/>
    </row>
    <row r="36" spans="1:6" ht="18.899999999999999" customHeight="1">
      <c r="A36" s="369"/>
      <c r="B36" s="370"/>
      <c r="C36" s="370"/>
      <c r="D36" s="370"/>
      <c r="E36" s="370"/>
      <c r="F36" s="371"/>
    </row>
    <row r="37" spans="1:6" ht="18.899999999999999" customHeight="1">
      <c r="A37" s="369"/>
      <c r="B37" s="370"/>
      <c r="C37" s="370"/>
      <c r="D37" s="370"/>
      <c r="E37" s="370"/>
      <c r="F37" s="371"/>
    </row>
    <row r="38" spans="1:6" ht="18.899999999999999" customHeight="1">
      <c r="A38" s="369"/>
      <c r="B38" s="370"/>
      <c r="C38" s="370"/>
      <c r="D38" s="370"/>
      <c r="E38" s="370"/>
      <c r="F38" s="371"/>
    </row>
    <row r="39" spans="1:6" ht="18.899999999999999" customHeight="1">
      <c r="A39" s="378" t="s">
        <v>430</v>
      </c>
      <c r="B39" s="379"/>
      <c r="C39" s="379"/>
      <c r="D39" s="370"/>
      <c r="E39" s="375" t="s">
        <v>431</v>
      </c>
      <c r="F39" s="380"/>
    </row>
    <row r="40" spans="1:6" ht="18.899999999999999" customHeight="1">
      <c r="A40" s="369"/>
      <c r="B40" s="379"/>
      <c r="C40" s="379"/>
      <c r="D40" s="370"/>
      <c r="E40" s="370"/>
      <c r="F40" s="371"/>
    </row>
    <row r="41" spans="1:6" ht="18.899999999999999" customHeight="1">
      <c r="A41" s="369"/>
      <c r="B41" s="379"/>
      <c r="C41" s="379"/>
      <c r="D41" s="370"/>
      <c r="E41" s="370"/>
      <c r="F41" s="371"/>
    </row>
    <row r="42" spans="1:6" ht="18.899999999999999" customHeight="1">
      <c r="A42" s="369"/>
      <c r="B42" s="370"/>
      <c r="C42" s="370"/>
      <c r="D42" s="370"/>
      <c r="E42" s="370"/>
      <c r="F42" s="371"/>
    </row>
    <row r="43" spans="1:6" ht="18.899999999999999" customHeight="1">
      <c r="A43" s="381"/>
      <c r="B43" s="379"/>
      <c r="C43" s="382" t="s">
        <v>432</v>
      </c>
      <c r="D43" s="383" t="s">
        <v>638</v>
      </c>
      <c r="E43" s="382" t="s">
        <v>433</v>
      </c>
      <c r="F43" s="383" t="s">
        <v>641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151" t="s">
        <v>255</v>
      </c>
      <c r="E53" s="151"/>
      <c r="F53" s="151"/>
      <c r="G53" s="151"/>
      <c r="H53" s="151"/>
      <c r="I53" s="151"/>
      <c r="J53" s="151"/>
      <c r="K53" s="151"/>
      <c r="L53" s="151"/>
    </row>
    <row r="54" spans="1:12" ht="15" customHeight="1">
      <c r="A54" s="384">
        <v>100</v>
      </c>
      <c r="B54" s="151">
        <v>0</v>
      </c>
      <c r="C54" s="151">
        <v>0.19494627416133881</v>
      </c>
      <c r="D54" s="151">
        <v>100</v>
      </c>
      <c r="E54" s="151"/>
      <c r="F54" s="151"/>
      <c r="G54" s="151"/>
      <c r="H54" s="151"/>
      <c r="I54" s="151"/>
      <c r="J54" s="151"/>
      <c r="K54" s="151"/>
      <c r="L54" s="151"/>
    </row>
    <row r="55" spans="1:12" ht="15" customHeight="1">
      <c r="A55" s="384">
        <v>99.799999967217445</v>
      </c>
      <c r="B55" s="151">
        <v>95.743461876431766</v>
      </c>
      <c r="C55" s="151">
        <v>124.20486450195313</v>
      </c>
      <c r="D55" s="151">
        <v>99.599998474121094</v>
      </c>
      <c r="E55" s="151"/>
      <c r="F55" s="151"/>
      <c r="G55" s="151"/>
      <c r="H55" s="151"/>
      <c r="I55" s="151"/>
      <c r="J55" s="151"/>
      <c r="K55" s="151"/>
      <c r="L55" s="151"/>
    </row>
    <row r="56" spans="1:12" ht="15" customHeight="1">
      <c r="A56" s="384">
        <v>98.999999836087227</v>
      </c>
      <c r="B56" s="151">
        <v>190</v>
      </c>
      <c r="C56" s="151">
        <v>377.79962158203125</v>
      </c>
      <c r="D56" s="151">
        <v>98</v>
      </c>
      <c r="E56" s="151"/>
      <c r="F56" s="151"/>
      <c r="G56" s="151"/>
      <c r="H56" s="151"/>
      <c r="I56" s="151"/>
      <c r="J56" s="151"/>
      <c r="K56" s="151"/>
      <c r="L56" s="151"/>
    </row>
    <row r="57" spans="1:12">
      <c r="A57" s="384">
        <v>93.789473548531532</v>
      </c>
      <c r="B57" s="151">
        <v>129.12574765291262</v>
      </c>
      <c r="C57" s="151">
        <v>446.89630126953125</v>
      </c>
      <c r="D57" s="151">
        <v>83.852630615234375</v>
      </c>
      <c r="E57" s="151"/>
      <c r="F57" s="151"/>
      <c r="G57" s="151"/>
      <c r="H57" s="151"/>
      <c r="I57" s="151"/>
      <c r="J57" s="151"/>
      <c r="K57" s="151"/>
      <c r="L57" s="151"/>
    </row>
    <row r="58" spans="1:12">
      <c r="A58" s="384">
        <v>88.578946888446808</v>
      </c>
      <c r="B58" s="151">
        <v>112.04659535299174</v>
      </c>
      <c r="C58" s="151">
        <v>465.477294921875</v>
      </c>
      <c r="D58" s="151">
        <v>70.305259704589844</v>
      </c>
      <c r="E58" s="151"/>
      <c r="F58" s="151"/>
      <c r="G58" s="151"/>
      <c r="H58" s="151"/>
      <c r="I58" s="151"/>
      <c r="J58" s="151"/>
      <c r="K58" s="151"/>
      <c r="L58" s="151"/>
    </row>
    <row r="59" spans="1:12">
      <c r="A59" s="384">
        <v>83.368420600891113</v>
      </c>
      <c r="B59" s="151">
        <v>105.71681877481645</v>
      </c>
      <c r="C59" s="151">
        <v>472.99130249023438</v>
      </c>
      <c r="D59" s="151">
        <v>57.410526275634766</v>
      </c>
      <c r="E59" s="151"/>
      <c r="F59" s="151"/>
      <c r="G59" s="151"/>
      <c r="H59" s="151"/>
      <c r="I59" s="151"/>
      <c r="J59" s="151"/>
      <c r="K59" s="151"/>
      <c r="L59" s="151"/>
    </row>
    <row r="60" spans="1:12">
      <c r="A60" s="384">
        <v>72.947368025779724</v>
      </c>
      <c r="B60" s="151">
        <v>102.64304985247361</v>
      </c>
      <c r="C60" s="151">
        <v>479.83160400390625</v>
      </c>
      <c r="D60" s="151">
        <v>38.010524749755859</v>
      </c>
      <c r="E60" s="151"/>
      <c r="F60" s="151"/>
      <c r="G60" s="151"/>
      <c r="H60" s="151"/>
      <c r="I60" s="151"/>
      <c r="J60" s="151"/>
      <c r="K60" s="151"/>
      <c r="L60" s="151"/>
    </row>
    <row r="61" spans="1:12">
      <c r="A61" s="384">
        <v>62.526315450668335</v>
      </c>
      <c r="B61" s="151">
        <v>101.6292356439786</v>
      </c>
      <c r="C61" s="151">
        <v>484.20867919921875</v>
      </c>
      <c r="D61" s="151">
        <v>24.778947830200195</v>
      </c>
      <c r="E61" s="151"/>
      <c r="F61" s="151"/>
      <c r="G61" s="151"/>
      <c r="H61" s="151"/>
      <c r="I61" s="151"/>
      <c r="J61" s="151"/>
      <c r="K61" s="151"/>
      <c r="L61" s="151"/>
    </row>
    <row r="62" spans="1:12">
      <c r="A62" s="384">
        <v>52.105262875556946</v>
      </c>
      <c r="B62" s="151">
        <v>101.02502746115454</v>
      </c>
      <c r="C62" s="151">
        <v>488.09515380859375</v>
      </c>
      <c r="D62" s="151">
        <v>15.684209823608398</v>
      </c>
      <c r="E62" s="151"/>
      <c r="F62" s="151"/>
      <c r="G62" s="151"/>
      <c r="H62" s="151"/>
      <c r="I62" s="151"/>
      <c r="J62" s="151"/>
      <c r="K62" s="151"/>
      <c r="L62" s="151"/>
    </row>
    <row r="63" spans="1:12">
      <c r="A63" s="384">
        <v>41.684210300445557</v>
      </c>
      <c r="B63" s="151">
        <v>100.60573152795817</v>
      </c>
      <c r="C63" s="151">
        <v>491.66384887695313</v>
      </c>
      <c r="D63" s="151">
        <v>9.0105257034301758</v>
      </c>
      <c r="E63" s="151"/>
      <c r="F63" s="151"/>
      <c r="G63" s="151"/>
      <c r="H63" s="151"/>
      <c r="I63" s="151"/>
      <c r="J63" s="151"/>
      <c r="K63" s="151"/>
      <c r="L63" s="151"/>
    </row>
    <row r="64" spans="1:12">
      <c r="A64" s="384">
        <v>31.263160705566406</v>
      </c>
      <c r="B64" s="151">
        <v>100.32664603688666</v>
      </c>
      <c r="C64" s="151">
        <v>494.87112426757813</v>
      </c>
      <c r="D64" s="151">
        <v>6.2526321411132813</v>
      </c>
      <c r="E64" s="151"/>
      <c r="F64" s="151"/>
      <c r="G64" s="151"/>
      <c r="H64" s="151"/>
      <c r="I64" s="151"/>
      <c r="J64" s="151"/>
      <c r="K64" s="151"/>
      <c r="L64" s="151"/>
    </row>
    <row r="65" spans="1:12">
      <c r="A65" s="384">
        <v>20.842105150222778</v>
      </c>
      <c r="B65" s="151">
        <v>100.15344162564404</v>
      </c>
      <c r="C65" s="151">
        <v>497.70504760742188</v>
      </c>
      <c r="D65" s="151">
        <v>7.8315787315368652</v>
      </c>
      <c r="E65" s="151"/>
      <c r="F65" s="151"/>
      <c r="G65" s="151"/>
      <c r="H65" s="151"/>
      <c r="I65" s="151"/>
      <c r="J65" s="151"/>
      <c r="K65" s="151"/>
      <c r="L65" s="151"/>
    </row>
    <row r="66" spans="1:12">
      <c r="A66" s="384">
        <v>10.421055555343628</v>
      </c>
      <c r="B66" s="151">
        <v>100.05334090443056</v>
      </c>
      <c r="C66" s="151">
        <v>500.1932373046875</v>
      </c>
      <c r="D66" s="151">
        <v>14.70526123046875</v>
      </c>
      <c r="E66" s="151"/>
      <c r="F66" s="151"/>
      <c r="G66" s="151"/>
      <c r="H66" s="151"/>
      <c r="I66" s="151"/>
      <c r="J66" s="151"/>
      <c r="K66" s="151"/>
      <c r="L66" s="151"/>
    </row>
    <row r="67" spans="1:12">
      <c r="A67" s="385">
        <v>0</v>
      </c>
      <c r="B67" s="151">
        <v>100</v>
      </c>
      <c r="C67" s="151">
        <v>502.38095092773438</v>
      </c>
      <c r="D67" s="151">
        <v>30</v>
      </c>
      <c r="E67" s="151"/>
      <c r="F67" s="151"/>
      <c r="G67" s="151"/>
      <c r="H67" s="151"/>
      <c r="I67" s="151"/>
      <c r="J67" s="151"/>
      <c r="K67" s="151"/>
      <c r="L67" s="151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1"/>
  <sheetViews>
    <sheetView workbookViewId="0"/>
  </sheetViews>
  <sheetFormatPr defaultColWidth="9.109375" defaultRowHeight="13.2"/>
  <cols>
    <col min="1" max="1" width="19.6640625" style="344" customWidth="1"/>
    <col min="2" max="7" width="10.6640625" style="344" customWidth="1"/>
    <col min="8" max="16384" width="9.109375" style="344"/>
  </cols>
  <sheetData>
    <row r="1" spans="1:12" ht="21" customHeight="1">
      <c r="A1" s="386" t="s">
        <v>437</v>
      </c>
      <c r="B1" s="518" t="s">
        <v>476</v>
      </c>
      <c r="C1" s="518"/>
      <c r="D1" s="518"/>
      <c r="E1" s="518"/>
      <c r="F1" s="518"/>
      <c r="G1" s="518"/>
    </row>
    <row r="2" spans="1:12" ht="15" customHeight="1"/>
    <row r="3" spans="1:12" ht="20.399999999999999">
      <c r="A3" s="387" t="s">
        <v>438</v>
      </c>
    </row>
    <row r="4" spans="1:12" ht="12" customHeight="1">
      <c r="A4" s="345"/>
      <c r="B4" s="345"/>
      <c r="C4" s="345"/>
      <c r="D4" s="345" t="s">
        <v>489</v>
      </c>
      <c r="E4" s="345"/>
      <c r="F4" s="345"/>
      <c r="G4" s="345"/>
      <c r="H4" s="345"/>
      <c r="I4" s="345"/>
      <c r="J4" s="345"/>
      <c r="K4" s="345"/>
      <c r="L4" s="345"/>
    </row>
    <row r="5" spans="1:12" ht="15.6" customHeight="1">
      <c r="A5" s="388" t="s">
        <v>5</v>
      </c>
      <c r="B5" s="388" t="s">
        <v>439</v>
      </c>
      <c r="C5" s="388" t="s">
        <v>440</v>
      </c>
      <c r="D5" s="388" t="s">
        <v>441</v>
      </c>
      <c r="E5" s="388" t="s">
        <v>442</v>
      </c>
      <c r="F5" s="388" t="s">
        <v>443</v>
      </c>
      <c r="G5" s="388" t="s">
        <v>444</v>
      </c>
      <c r="H5" s="345"/>
      <c r="I5" s="345"/>
      <c r="J5" s="345"/>
      <c r="K5" s="345"/>
      <c r="L5" s="345"/>
    </row>
    <row r="6" spans="1:12" ht="15.6" customHeight="1">
      <c r="A6" s="389" t="s">
        <v>445</v>
      </c>
      <c r="B6" s="389" t="s">
        <v>165</v>
      </c>
      <c r="C6" s="389" t="s">
        <v>165</v>
      </c>
      <c r="D6" s="389" t="s">
        <v>446</v>
      </c>
      <c r="E6" s="389" t="s">
        <v>135</v>
      </c>
      <c r="F6" s="389" t="s">
        <v>447</v>
      </c>
      <c r="G6" s="389" t="s">
        <v>447</v>
      </c>
      <c r="H6" s="345"/>
      <c r="I6" s="345"/>
      <c r="J6" s="345"/>
      <c r="K6" s="345"/>
      <c r="L6" s="345"/>
    </row>
    <row r="7" spans="1:12" ht="15.9" customHeight="1">
      <c r="A7" s="390" t="s">
        <v>477</v>
      </c>
      <c r="B7" s="390" t="s">
        <v>490</v>
      </c>
      <c r="C7" s="390" t="s">
        <v>502</v>
      </c>
      <c r="D7" s="390" t="s">
        <v>514</v>
      </c>
      <c r="E7" s="390" t="s">
        <v>526</v>
      </c>
      <c r="F7" s="390" t="s">
        <v>538</v>
      </c>
      <c r="G7" s="390" t="s">
        <v>550</v>
      </c>
      <c r="H7" s="345"/>
      <c r="I7" s="345"/>
      <c r="J7" s="345"/>
      <c r="K7" s="345"/>
      <c r="L7" s="345"/>
    </row>
    <row r="8" spans="1:12" ht="15.9" customHeight="1">
      <c r="A8" s="390" t="s">
        <v>478</v>
      </c>
      <c r="B8" s="390" t="s">
        <v>491</v>
      </c>
      <c r="C8" s="390" t="s">
        <v>503</v>
      </c>
      <c r="D8" s="390" t="s">
        <v>515</v>
      </c>
      <c r="E8" s="390" t="s">
        <v>527</v>
      </c>
      <c r="F8" s="390" t="s">
        <v>539</v>
      </c>
      <c r="G8" s="390" t="s">
        <v>551</v>
      </c>
      <c r="H8" s="345"/>
      <c r="I8" s="345"/>
      <c r="J8" s="345"/>
      <c r="K8" s="345"/>
      <c r="L8" s="345"/>
    </row>
    <row r="9" spans="1:12" ht="15.9" customHeight="1">
      <c r="A9" s="390" t="s">
        <v>479</v>
      </c>
      <c r="B9" s="390" t="s">
        <v>492</v>
      </c>
      <c r="C9" s="390" t="s">
        <v>504</v>
      </c>
      <c r="D9" s="390" t="s">
        <v>516</v>
      </c>
      <c r="E9" s="390" t="s">
        <v>528</v>
      </c>
      <c r="F9" s="390" t="s">
        <v>540</v>
      </c>
      <c r="G9" s="390" t="s">
        <v>552</v>
      </c>
      <c r="H9" s="345"/>
      <c r="I9" s="345"/>
      <c r="J9" s="345"/>
      <c r="K9" s="345"/>
      <c r="L9" s="345"/>
    </row>
    <row r="10" spans="1:12" ht="15.9" customHeight="1">
      <c r="A10" s="390" t="s">
        <v>480</v>
      </c>
      <c r="B10" s="390" t="s">
        <v>493</v>
      </c>
      <c r="C10" s="390" t="s">
        <v>505</v>
      </c>
      <c r="D10" s="390" t="s">
        <v>517</v>
      </c>
      <c r="E10" s="390" t="s">
        <v>529</v>
      </c>
      <c r="F10" s="390" t="s">
        <v>541</v>
      </c>
      <c r="G10" s="390" t="s">
        <v>553</v>
      </c>
      <c r="H10" s="345"/>
      <c r="I10" s="345"/>
      <c r="J10" s="345"/>
      <c r="K10" s="345"/>
      <c r="L10" s="345"/>
    </row>
    <row r="11" spans="1:12" ht="15.9" customHeight="1">
      <c r="A11" s="390" t="s">
        <v>481</v>
      </c>
      <c r="B11" s="390" t="s">
        <v>494</v>
      </c>
      <c r="C11" s="390" t="s">
        <v>506</v>
      </c>
      <c r="D11" s="390" t="s">
        <v>518</v>
      </c>
      <c r="E11" s="390" t="s">
        <v>530</v>
      </c>
      <c r="F11" s="390" t="s">
        <v>542</v>
      </c>
      <c r="G11" s="390" t="s">
        <v>554</v>
      </c>
      <c r="H11" s="345"/>
      <c r="I11" s="345"/>
      <c r="J11" s="345"/>
      <c r="K11" s="345"/>
      <c r="L11" s="345"/>
    </row>
    <row r="12" spans="1:12" ht="15.9" customHeight="1">
      <c r="A12" s="390" t="s">
        <v>482</v>
      </c>
      <c r="B12" s="390" t="s">
        <v>495</v>
      </c>
      <c r="C12" s="390" t="s">
        <v>507</v>
      </c>
      <c r="D12" s="390" t="s">
        <v>519</v>
      </c>
      <c r="E12" s="390" t="s">
        <v>531</v>
      </c>
      <c r="F12" s="390" t="s">
        <v>543</v>
      </c>
      <c r="G12" s="390" t="s">
        <v>555</v>
      </c>
      <c r="H12" s="345"/>
      <c r="I12" s="345"/>
      <c r="J12" s="345"/>
      <c r="K12" s="345"/>
      <c r="L12" s="345"/>
    </row>
    <row r="13" spans="1:12" ht="15.9" customHeight="1">
      <c r="A13" s="390" t="s">
        <v>483</v>
      </c>
      <c r="B13" s="390" t="s">
        <v>496</v>
      </c>
      <c r="C13" s="390" t="s">
        <v>508</v>
      </c>
      <c r="D13" s="390" t="s">
        <v>520</v>
      </c>
      <c r="E13" s="390" t="s">
        <v>532</v>
      </c>
      <c r="F13" s="390" t="s">
        <v>544</v>
      </c>
      <c r="G13" s="390" t="s">
        <v>556</v>
      </c>
      <c r="H13" s="345"/>
      <c r="I13" s="345"/>
      <c r="J13" s="345"/>
      <c r="K13" s="345"/>
      <c r="L13" s="345"/>
    </row>
    <row r="14" spans="1:12" ht="15.9" customHeight="1">
      <c r="A14" s="390" t="s">
        <v>484</v>
      </c>
      <c r="B14" s="390" t="s">
        <v>497</v>
      </c>
      <c r="C14" s="390" t="s">
        <v>509</v>
      </c>
      <c r="D14" s="390" t="s">
        <v>521</v>
      </c>
      <c r="E14" s="390" t="s">
        <v>533</v>
      </c>
      <c r="F14" s="390" t="s">
        <v>545</v>
      </c>
      <c r="G14" s="390" t="s">
        <v>557</v>
      </c>
      <c r="H14" s="345"/>
      <c r="I14" s="345"/>
      <c r="J14" s="345"/>
      <c r="K14" s="345"/>
      <c r="L14" s="345"/>
    </row>
    <row r="15" spans="1:12" ht="15.9" customHeight="1">
      <c r="A15" s="390" t="s">
        <v>485</v>
      </c>
      <c r="B15" s="390" t="s">
        <v>498</v>
      </c>
      <c r="C15" s="390" t="s">
        <v>510</v>
      </c>
      <c r="D15" s="390" t="s">
        <v>522</v>
      </c>
      <c r="E15" s="390" t="s">
        <v>534</v>
      </c>
      <c r="F15" s="390" t="s">
        <v>546</v>
      </c>
      <c r="G15" s="390" t="s">
        <v>542</v>
      </c>
      <c r="H15" s="345"/>
      <c r="I15" s="345"/>
      <c r="J15" s="345"/>
      <c r="K15" s="345"/>
      <c r="L15" s="345"/>
    </row>
    <row r="16" spans="1:12" ht="15.9" customHeight="1">
      <c r="A16" s="390" t="s">
        <v>486</v>
      </c>
      <c r="B16" s="390" t="s">
        <v>499</v>
      </c>
      <c r="C16" s="390" t="s">
        <v>511</v>
      </c>
      <c r="D16" s="390" t="s">
        <v>523</v>
      </c>
      <c r="E16" s="390" t="s">
        <v>535</v>
      </c>
      <c r="F16" s="390" t="s">
        <v>547</v>
      </c>
      <c r="G16" s="390" t="s">
        <v>558</v>
      </c>
      <c r="H16" s="345"/>
      <c r="I16" s="345"/>
      <c r="J16" s="345"/>
      <c r="K16" s="345"/>
      <c r="L16" s="345"/>
    </row>
    <row r="17" spans="1:12" ht="15.9" customHeight="1">
      <c r="A17" s="390" t="s">
        <v>487</v>
      </c>
      <c r="B17" s="390" t="s">
        <v>500</v>
      </c>
      <c r="C17" s="390" t="s">
        <v>512</v>
      </c>
      <c r="D17" s="390" t="s">
        <v>524</v>
      </c>
      <c r="E17" s="390" t="s">
        <v>536</v>
      </c>
      <c r="F17" s="390" t="s">
        <v>548</v>
      </c>
      <c r="G17" s="390" t="s">
        <v>559</v>
      </c>
      <c r="H17" s="345"/>
      <c r="I17" s="345"/>
      <c r="J17" s="345"/>
      <c r="K17" s="345"/>
      <c r="L17" s="345"/>
    </row>
    <row r="18" spans="1:12" ht="15.9" customHeight="1">
      <c r="A18" s="390" t="s">
        <v>488</v>
      </c>
      <c r="B18" s="390" t="s">
        <v>501</v>
      </c>
      <c r="C18" s="390" t="s">
        <v>513</v>
      </c>
      <c r="D18" s="390" t="s">
        <v>525</v>
      </c>
      <c r="E18" s="390" t="s">
        <v>537</v>
      </c>
      <c r="F18" s="390" t="s">
        <v>549</v>
      </c>
      <c r="G18" s="390" t="s">
        <v>560</v>
      </c>
      <c r="H18" s="345"/>
      <c r="I18" s="345"/>
      <c r="J18" s="345"/>
      <c r="K18" s="345"/>
      <c r="L18" s="345"/>
    </row>
    <row r="19" spans="1:12" ht="15.9" customHeight="1">
      <c r="A19" s="397" t="s">
        <v>397</v>
      </c>
      <c r="B19" s="397" t="s">
        <v>397</v>
      </c>
      <c r="C19" s="397" t="s">
        <v>397</v>
      </c>
      <c r="D19" s="397" t="s">
        <v>397</v>
      </c>
      <c r="E19" s="397" t="s">
        <v>397</v>
      </c>
      <c r="F19" s="397" t="s">
        <v>397</v>
      </c>
      <c r="G19" s="397" t="s">
        <v>397</v>
      </c>
      <c r="H19" s="345"/>
      <c r="I19" s="345"/>
      <c r="J19" s="345"/>
      <c r="K19" s="345"/>
      <c r="L19" s="345"/>
    </row>
    <row r="20" spans="1:12" ht="15.6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6.2">
      <c r="A21" s="345"/>
      <c r="B21" s="345"/>
      <c r="C21" s="345"/>
      <c r="D21" s="547" t="s">
        <v>570</v>
      </c>
      <c r="E21" s="548"/>
      <c r="F21" s="548"/>
      <c r="G21" s="549"/>
      <c r="H21" s="345"/>
      <c r="I21" s="345"/>
      <c r="J21" s="345"/>
      <c r="K21" s="345"/>
      <c r="L21" s="345"/>
    </row>
    <row r="22" spans="1:12" ht="17.25" customHeight="1">
      <c r="A22" s="345"/>
      <c r="B22" s="550" t="s">
        <v>448</v>
      </c>
      <c r="C22" s="550"/>
      <c r="D22" s="550" t="s">
        <v>449</v>
      </c>
      <c r="E22" s="550"/>
      <c r="F22" s="550" t="s">
        <v>450</v>
      </c>
      <c r="G22" s="550"/>
      <c r="H22" s="345"/>
      <c r="I22" s="345"/>
      <c r="J22" s="345"/>
      <c r="K22" s="345"/>
      <c r="L22" s="345"/>
    </row>
    <row r="23" spans="1:12" ht="15.6">
      <c r="A23" s="391" t="s">
        <v>451</v>
      </c>
      <c r="B23" s="546" t="s">
        <v>561</v>
      </c>
      <c r="C23" s="546"/>
      <c r="D23" s="546" t="s">
        <v>564</v>
      </c>
      <c r="E23" s="546"/>
      <c r="F23" s="546" t="s">
        <v>567</v>
      </c>
      <c r="G23" s="546"/>
      <c r="H23" s="345"/>
      <c r="I23" s="345"/>
      <c r="J23" s="345"/>
      <c r="K23" s="345"/>
      <c r="L23" s="345"/>
    </row>
    <row r="24" spans="1:12" ht="18" customHeight="1">
      <c r="A24" s="391" t="s">
        <v>452</v>
      </c>
      <c r="B24" s="546" t="s">
        <v>562</v>
      </c>
      <c r="C24" s="546"/>
      <c r="D24" s="546" t="s">
        <v>565</v>
      </c>
      <c r="E24" s="546"/>
      <c r="F24" s="546" t="s">
        <v>568</v>
      </c>
      <c r="G24" s="546"/>
      <c r="H24" s="345"/>
      <c r="I24" s="345"/>
      <c r="J24" s="345"/>
      <c r="K24" s="345"/>
      <c r="L24" s="345"/>
    </row>
    <row r="25" spans="1:12" ht="15.6">
      <c r="A25" s="391" t="s">
        <v>453</v>
      </c>
      <c r="B25" s="546" t="s">
        <v>563</v>
      </c>
      <c r="C25" s="546"/>
      <c r="D25" s="546" t="s">
        <v>566</v>
      </c>
      <c r="E25" s="546"/>
      <c r="F25" s="546" t="s">
        <v>569</v>
      </c>
      <c r="G25" s="546"/>
      <c r="H25" s="345"/>
      <c r="I25" s="345"/>
      <c r="J25" s="345"/>
      <c r="K25" s="345"/>
      <c r="L25" s="345"/>
    </row>
    <row r="26" spans="1:12" ht="15.6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20.399999999999999">
      <c r="A27" s="387" t="s">
        <v>454</v>
      </c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6">
      <c r="A28" s="345"/>
      <c r="B28" s="345"/>
      <c r="C28" s="345"/>
      <c r="D28" s="345"/>
      <c r="E28" s="551" t="s">
        <v>455</v>
      </c>
      <c r="F28" s="548"/>
      <c r="G28" s="549"/>
      <c r="H28" s="345"/>
      <c r="I28" s="345"/>
      <c r="J28" s="345"/>
      <c r="K28" s="345"/>
      <c r="L28" s="345"/>
    </row>
    <row r="29" spans="1:12" ht="15.6">
      <c r="A29" s="345"/>
      <c r="B29" s="550" t="s">
        <v>456</v>
      </c>
      <c r="C29" s="550"/>
      <c r="D29" s="392" t="s">
        <v>457</v>
      </c>
      <c r="E29" s="392" t="s">
        <v>458</v>
      </c>
      <c r="F29" s="550" t="s">
        <v>459</v>
      </c>
      <c r="G29" s="550"/>
      <c r="H29" s="345"/>
      <c r="I29" s="345"/>
      <c r="J29" s="345"/>
      <c r="K29" s="345"/>
      <c r="L29" s="345"/>
    </row>
    <row r="30" spans="1:12" ht="15.6">
      <c r="A30" s="391" t="s">
        <v>460</v>
      </c>
      <c r="B30" s="546" t="s">
        <v>571</v>
      </c>
      <c r="C30" s="546"/>
      <c r="D30" s="390" t="s">
        <v>574</v>
      </c>
      <c r="E30" s="390" t="s">
        <v>461</v>
      </c>
      <c r="F30" s="546" t="s">
        <v>577</v>
      </c>
      <c r="G30" s="546"/>
      <c r="H30" s="345"/>
      <c r="I30" s="345"/>
      <c r="J30" s="345"/>
      <c r="K30" s="345"/>
      <c r="L30" s="345"/>
    </row>
    <row r="31" spans="1:12" ht="15.6">
      <c r="A31" s="391" t="s">
        <v>462</v>
      </c>
      <c r="B31" s="546" t="s">
        <v>572</v>
      </c>
      <c r="C31" s="546"/>
      <c r="D31" s="390" t="s">
        <v>575</v>
      </c>
      <c r="E31" s="390" t="s">
        <v>463</v>
      </c>
      <c r="F31" s="546" t="s">
        <v>578</v>
      </c>
      <c r="G31" s="546"/>
      <c r="H31" s="345"/>
      <c r="I31" s="345"/>
      <c r="J31" s="345"/>
      <c r="K31" s="345"/>
      <c r="L31" s="345"/>
    </row>
    <row r="32" spans="1:12" ht="15.6">
      <c r="A32" s="391" t="s">
        <v>464</v>
      </c>
      <c r="B32" s="546" t="s">
        <v>573</v>
      </c>
      <c r="C32" s="546"/>
      <c r="D32" s="390" t="s">
        <v>576</v>
      </c>
      <c r="E32" s="390" t="s">
        <v>465</v>
      </c>
      <c r="F32" s="546" t="s">
        <v>579</v>
      </c>
      <c r="G32" s="546"/>
      <c r="H32" s="345"/>
      <c r="I32" s="345"/>
      <c r="J32" s="345"/>
      <c r="K32" s="345"/>
      <c r="L32" s="345"/>
    </row>
    <row r="33" spans="1:12" ht="15.6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  <row r="34" spans="1:12" ht="15.6">
      <c r="A34" s="345"/>
      <c r="B34" s="345"/>
      <c r="C34" s="345"/>
      <c r="D34" s="345"/>
      <c r="E34" s="551" t="s">
        <v>466</v>
      </c>
      <c r="F34" s="548"/>
      <c r="G34" s="549"/>
      <c r="H34" s="345"/>
      <c r="I34" s="345"/>
      <c r="J34" s="345"/>
      <c r="K34" s="345"/>
      <c r="L34" s="345"/>
    </row>
    <row r="35" spans="1:12" ht="15.6">
      <c r="A35" s="345"/>
      <c r="B35" s="550" t="s">
        <v>467</v>
      </c>
      <c r="C35" s="550"/>
      <c r="D35" s="392" t="s">
        <v>458</v>
      </c>
      <c r="E35" s="392" t="s">
        <v>468</v>
      </c>
      <c r="F35" s="392" t="s">
        <v>100</v>
      </c>
      <c r="G35" s="392" t="s">
        <v>469</v>
      </c>
      <c r="H35" s="345"/>
      <c r="I35" s="345"/>
      <c r="J35" s="345"/>
      <c r="K35" s="345"/>
      <c r="L35" s="345"/>
    </row>
    <row r="36" spans="1:12" ht="15.6">
      <c r="A36" s="391" t="s">
        <v>460</v>
      </c>
      <c r="B36" s="552" t="s">
        <v>580</v>
      </c>
      <c r="C36" s="553"/>
      <c r="D36" s="393" t="s">
        <v>582</v>
      </c>
      <c r="E36" s="393" t="s">
        <v>470</v>
      </c>
      <c r="F36" s="394" t="s">
        <v>471</v>
      </c>
      <c r="G36" s="390" t="s">
        <v>585</v>
      </c>
      <c r="H36" s="345"/>
      <c r="I36" s="345"/>
      <c r="J36" s="345"/>
      <c r="K36" s="345"/>
      <c r="L36" s="345"/>
    </row>
    <row r="37" spans="1:12" ht="15.6">
      <c r="A37" s="391" t="s">
        <v>462</v>
      </c>
      <c r="B37" s="552" t="s">
        <v>581</v>
      </c>
      <c r="C37" s="553"/>
      <c r="D37" s="393" t="s">
        <v>583</v>
      </c>
      <c r="E37" s="393" t="s">
        <v>470</v>
      </c>
      <c r="F37" s="394" t="s">
        <v>472</v>
      </c>
      <c r="G37" s="395" t="s">
        <v>586</v>
      </c>
      <c r="H37" s="345"/>
      <c r="I37" s="345"/>
      <c r="J37" s="345"/>
      <c r="K37" s="345"/>
      <c r="L37" s="345"/>
    </row>
    <row r="38" spans="1:12" ht="15.6">
      <c r="A38" s="391" t="s">
        <v>464</v>
      </c>
      <c r="B38" s="552" t="s">
        <v>581</v>
      </c>
      <c r="C38" s="553"/>
      <c r="D38" s="393" t="s">
        <v>584</v>
      </c>
      <c r="E38" s="393" t="s">
        <v>470</v>
      </c>
      <c r="F38" s="394" t="s">
        <v>473</v>
      </c>
      <c r="G38" s="390" t="s">
        <v>587</v>
      </c>
      <c r="H38" s="345"/>
      <c r="I38" s="345"/>
      <c r="J38" s="345"/>
      <c r="K38" s="345"/>
      <c r="L38" s="345"/>
    </row>
    <row r="39" spans="1:12" ht="15.6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ht="15.6">
      <c r="A40" s="396" t="s">
        <v>474</v>
      </c>
      <c r="B40" s="554" t="s">
        <v>588</v>
      </c>
      <c r="C40" s="554"/>
      <c r="D40" s="555" t="s">
        <v>475</v>
      </c>
      <c r="E40" s="555"/>
      <c r="F40" s="554" t="s">
        <v>589</v>
      </c>
      <c r="G40" s="554"/>
      <c r="H40" s="345"/>
      <c r="I40" s="345"/>
      <c r="J40" s="345"/>
      <c r="K40" s="345"/>
      <c r="L40" s="345"/>
    </row>
    <row r="41" spans="1:12" ht="15.6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</row>
    <row r="42" spans="1:12" ht="15.6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</row>
    <row r="43" spans="1:12" ht="15.6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</row>
    <row r="44" spans="1:12" ht="15.6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</row>
    <row r="45" spans="1:12" ht="15.6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</row>
    <row r="46" spans="1:12" ht="15.6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</row>
    <row r="47" spans="1:12" ht="15.6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</row>
    <row r="48" spans="1:12" ht="15.6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</row>
    <row r="49" spans="1:12" ht="15.6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</row>
    <row r="50" spans="1:12" ht="15.6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</row>
    <row r="51" spans="1:12" ht="15.6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</row>
    <row r="52" spans="1:12" ht="15.6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</row>
    <row r="53" spans="1:12" ht="15.6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</row>
    <row r="54" spans="1:12" ht="15.6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</row>
    <row r="55" spans="1:12" ht="15.6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</row>
    <row r="56" spans="1:12" ht="15.6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</row>
    <row r="57" spans="1:12" ht="15.6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</row>
    <row r="58" spans="1:12" ht="15.6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</row>
    <row r="59" spans="1:12" ht="15.6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</row>
    <row r="60" spans="1:12" ht="15.6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</row>
    <row r="61" spans="1:12" ht="15.6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workbookViewId="0">
      <selection activeCell="I15" sqref="I15"/>
    </sheetView>
  </sheetViews>
  <sheetFormatPr defaultColWidth="9.109375" defaultRowHeight="13.2"/>
  <cols>
    <col min="1" max="6" width="16.6640625" style="344" customWidth="1"/>
    <col min="7" max="16384" width="9.109375" style="344"/>
  </cols>
  <sheetData>
    <row r="1" spans="1:6" ht="18.899999999999999" customHeight="1">
      <c r="A1" s="362"/>
      <c r="B1" s="363"/>
      <c r="C1" s="363"/>
      <c r="D1" s="363"/>
      <c r="E1" s="363"/>
      <c r="F1" s="364"/>
    </row>
    <row r="2" spans="1:6" ht="26.1" customHeight="1">
      <c r="A2" s="365" t="s">
        <v>265</v>
      </c>
      <c r="B2" s="366"/>
      <c r="C2" s="366"/>
      <c r="D2" s="366"/>
      <c r="E2" s="366"/>
      <c r="F2" s="367"/>
    </row>
    <row r="3" spans="1:6" ht="18.899999999999999" customHeight="1">
      <c r="A3" s="556" t="s">
        <v>590</v>
      </c>
      <c r="B3" s="557"/>
      <c r="C3" s="557"/>
      <c r="D3" s="557"/>
      <c r="E3" s="557"/>
      <c r="F3" s="558"/>
    </row>
    <row r="4" spans="1:6" ht="18.899999999999999" customHeight="1">
      <c r="A4" s="559" t="s">
        <v>591</v>
      </c>
      <c r="B4" s="560"/>
      <c r="C4" s="560"/>
      <c r="D4" s="560"/>
      <c r="E4" s="560"/>
      <c r="F4" s="561"/>
    </row>
    <row r="5" spans="1:6" ht="18.899999999999999" customHeight="1">
      <c r="A5" s="369"/>
      <c r="B5" s="370"/>
      <c r="C5" s="370"/>
      <c r="D5" s="370"/>
      <c r="E5" s="370"/>
      <c r="F5" s="371"/>
    </row>
    <row r="6" spans="1:6" ht="18.899999999999999" customHeight="1">
      <c r="A6" s="372" t="s">
        <v>413</v>
      </c>
      <c r="B6" s="543" t="s">
        <v>646</v>
      </c>
      <c r="C6" s="544"/>
      <c r="D6" s="545"/>
      <c r="E6" s="372" t="s">
        <v>414</v>
      </c>
      <c r="F6" s="373" t="s">
        <v>377</v>
      </c>
    </row>
    <row r="7" spans="1:6" ht="18.899999999999999" customHeight="1">
      <c r="A7" s="372" t="s">
        <v>415</v>
      </c>
      <c r="B7" s="373" t="s">
        <v>176</v>
      </c>
      <c r="C7" s="372" t="s">
        <v>416</v>
      </c>
      <c r="D7" s="373" t="s">
        <v>637</v>
      </c>
      <c r="E7" s="372" t="s">
        <v>417</v>
      </c>
      <c r="F7" s="373" t="s">
        <v>177</v>
      </c>
    </row>
    <row r="8" spans="1:6" ht="18.899999999999999" customHeight="1">
      <c r="A8" s="372" t="s">
        <v>418</v>
      </c>
      <c r="B8" s="373">
        <v>2</v>
      </c>
      <c r="C8" s="372" t="s">
        <v>419</v>
      </c>
      <c r="D8" s="373" t="s">
        <v>420</v>
      </c>
      <c r="E8" s="372" t="s">
        <v>421</v>
      </c>
      <c r="F8" s="373" t="s">
        <v>356</v>
      </c>
    </row>
    <row r="9" spans="1:6" ht="18.899999999999999" customHeight="1">
      <c r="A9" s="372" t="s">
        <v>422</v>
      </c>
      <c r="B9" s="373">
        <v>1000</v>
      </c>
      <c r="C9" s="372" t="s">
        <v>423</v>
      </c>
      <c r="D9" s="373" t="s">
        <v>434</v>
      </c>
      <c r="E9" s="372" t="s">
        <v>2</v>
      </c>
      <c r="F9" s="374">
        <v>42321</v>
      </c>
    </row>
    <row r="10" spans="1:6" ht="18.899999999999999" customHeight="1">
      <c r="A10" s="372" t="s">
        <v>424</v>
      </c>
      <c r="B10" s="373">
        <v>3568</v>
      </c>
      <c r="C10" s="372" t="s">
        <v>257</v>
      </c>
      <c r="D10" s="373" t="s">
        <v>435</v>
      </c>
      <c r="E10" s="372" t="s">
        <v>1</v>
      </c>
      <c r="F10" s="373" t="s">
        <v>648</v>
      </c>
    </row>
    <row r="11" spans="1:6" ht="18.899999999999999" customHeight="1">
      <c r="A11" s="369"/>
      <c r="B11" s="370"/>
      <c r="C11" s="370"/>
      <c r="D11" s="370"/>
      <c r="E11" s="370"/>
      <c r="F11" s="371"/>
    </row>
    <row r="12" spans="1:6" ht="18.899999999999999" customHeight="1">
      <c r="A12" s="369"/>
      <c r="B12" s="375"/>
      <c r="C12" s="376"/>
      <c r="D12" s="375"/>
      <c r="E12" s="376"/>
      <c r="F12" s="371"/>
    </row>
    <row r="13" spans="1:6" ht="18.899999999999999" customHeight="1">
      <c r="A13" s="369"/>
      <c r="B13" s="375"/>
      <c r="C13" s="377"/>
      <c r="D13" s="375"/>
      <c r="E13" s="376"/>
      <c r="F13" s="371"/>
    </row>
    <row r="14" spans="1:6" ht="18.899999999999999" customHeight="1">
      <c r="A14" s="369"/>
      <c r="B14" s="375"/>
      <c r="C14" s="377"/>
      <c r="D14" s="375"/>
      <c r="E14" s="376"/>
      <c r="F14" s="371"/>
    </row>
    <row r="15" spans="1:6" ht="18.899999999999999" customHeight="1">
      <c r="A15" s="369"/>
      <c r="B15" s="375"/>
      <c r="C15" s="376"/>
      <c r="D15" s="370"/>
      <c r="E15" s="370"/>
      <c r="F15" s="371"/>
    </row>
    <row r="16" spans="1:6" ht="18.899999999999999" customHeight="1">
      <c r="A16" s="369"/>
      <c r="B16" s="370"/>
      <c r="C16" s="370"/>
      <c r="D16" s="370"/>
      <c r="E16" s="370"/>
      <c r="F16" s="371"/>
    </row>
    <row r="17" spans="1:6" ht="18.899999999999999" customHeight="1">
      <c r="A17" s="369"/>
      <c r="B17" s="370"/>
      <c r="C17" s="370"/>
      <c r="D17" s="370"/>
      <c r="E17" s="370"/>
      <c r="F17" s="371"/>
    </row>
    <row r="18" spans="1:6" ht="18.899999999999999" customHeight="1">
      <c r="A18" s="369"/>
      <c r="B18" s="370"/>
      <c r="C18" s="370"/>
      <c r="D18" s="370"/>
      <c r="E18" s="370"/>
      <c r="F18" s="371"/>
    </row>
    <row r="19" spans="1:6" ht="18.899999999999999" customHeight="1">
      <c r="A19" s="369"/>
      <c r="B19" s="370"/>
      <c r="C19" s="370"/>
      <c r="D19" s="370"/>
      <c r="E19" s="370"/>
      <c r="F19" s="371"/>
    </row>
    <row r="20" spans="1:6" ht="18.899999999999999" customHeight="1">
      <c r="A20" s="369"/>
      <c r="B20" s="370"/>
      <c r="C20" s="370"/>
      <c r="D20" s="370"/>
      <c r="E20" s="370"/>
      <c r="F20" s="371"/>
    </row>
    <row r="21" spans="1:6" ht="18.899999999999999" customHeight="1">
      <c r="A21" s="369"/>
      <c r="B21" s="370"/>
      <c r="C21" s="370"/>
      <c r="D21" s="370"/>
      <c r="E21" s="370"/>
      <c r="F21" s="371"/>
    </row>
    <row r="22" spans="1:6" ht="18.899999999999999" customHeight="1">
      <c r="A22" s="369"/>
      <c r="B22" s="370"/>
      <c r="C22" s="370"/>
      <c r="D22" s="370"/>
      <c r="E22" s="370"/>
      <c r="F22" s="371"/>
    </row>
    <row r="23" spans="1:6" ht="18.899999999999999" customHeight="1">
      <c r="A23" s="369"/>
      <c r="B23" s="370"/>
      <c r="C23" s="370"/>
      <c r="D23" s="370"/>
      <c r="E23" s="370"/>
      <c r="F23" s="371"/>
    </row>
    <row r="24" spans="1:6" ht="18.899999999999999" customHeight="1">
      <c r="A24" s="369"/>
      <c r="B24" s="370"/>
      <c r="C24" s="370"/>
      <c r="D24" s="370"/>
      <c r="E24" s="370"/>
      <c r="F24" s="371"/>
    </row>
    <row r="25" spans="1:6" ht="18.899999999999999" customHeight="1">
      <c r="A25" s="369"/>
      <c r="B25" s="370"/>
      <c r="C25" s="370"/>
      <c r="D25" s="370"/>
      <c r="E25" s="370"/>
      <c r="F25" s="371"/>
    </row>
    <row r="26" spans="1:6" ht="18.899999999999999" customHeight="1">
      <c r="A26" s="369"/>
      <c r="B26" s="370"/>
      <c r="C26" s="370"/>
      <c r="D26" s="370"/>
      <c r="E26" s="370"/>
      <c r="F26" s="371"/>
    </row>
    <row r="27" spans="1:6" ht="18.899999999999999" customHeight="1">
      <c r="A27" s="369"/>
      <c r="B27" s="370"/>
      <c r="C27" s="370"/>
      <c r="D27" s="370"/>
      <c r="E27" s="370"/>
      <c r="F27" s="371"/>
    </row>
    <row r="28" spans="1:6" ht="18.899999999999999" customHeight="1">
      <c r="A28" s="369"/>
      <c r="B28" s="370"/>
      <c r="C28" s="370"/>
      <c r="D28" s="370"/>
      <c r="E28" s="370"/>
      <c r="F28" s="371"/>
    </row>
    <row r="29" spans="1:6" ht="18.899999999999999" customHeight="1">
      <c r="A29" s="369"/>
      <c r="B29" s="370"/>
      <c r="C29" s="370"/>
      <c r="D29" s="370"/>
      <c r="E29" s="370"/>
      <c r="F29" s="371"/>
    </row>
    <row r="30" spans="1:6" ht="18.899999999999999" customHeight="1">
      <c r="A30" s="369"/>
      <c r="B30" s="370"/>
      <c r="C30" s="370"/>
      <c r="D30" s="370"/>
      <c r="E30" s="370"/>
      <c r="F30" s="371"/>
    </row>
    <row r="31" spans="1:6" ht="18.899999999999999" customHeight="1">
      <c r="A31" s="369"/>
      <c r="B31" s="370"/>
      <c r="C31" s="370"/>
      <c r="D31" s="370"/>
      <c r="E31" s="370"/>
      <c r="F31" s="371"/>
    </row>
    <row r="32" spans="1:6" ht="18.899999999999999" customHeight="1">
      <c r="A32" s="369"/>
      <c r="B32" s="370"/>
      <c r="C32" s="370"/>
      <c r="D32" s="370"/>
      <c r="E32" s="370"/>
      <c r="F32" s="371"/>
    </row>
    <row r="33" spans="1:6" ht="18.899999999999999" customHeight="1">
      <c r="A33" s="369"/>
      <c r="B33" s="370"/>
      <c r="C33" s="370"/>
      <c r="D33" s="370"/>
      <c r="E33" s="370"/>
      <c r="F33" s="371"/>
    </row>
    <row r="34" spans="1:6" ht="18.899999999999999" customHeight="1">
      <c r="A34" s="369"/>
      <c r="B34" s="370"/>
      <c r="C34" s="370"/>
      <c r="D34" s="370"/>
      <c r="E34" s="370"/>
      <c r="F34" s="371"/>
    </row>
    <row r="35" spans="1:6" ht="18.899999999999999" customHeight="1">
      <c r="A35" s="369"/>
      <c r="B35" s="370"/>
      <c r="C35" s="370"/>
      <c r="D35" s="370"/>
      <c r="E35" s="370"/>
      <c r="F35" s="371"/>
    </row>
    <row r="36" spans="1:6" ht="18.899999999999999" customHeight="1">
      <c r="A36" s="369"/>
      <c r="B36" s="370"/>
      <c r="C36" s="370"/>
      <c r="D36" s="370"/>
      <c r="E36" s="370"/>
      <c r="F36" s="371"/>
    </row>
    <row r="37" spans="1:6" ht="18.899999999999999" customHeight="1">
      <c r="A37" s="369"/>
      <c r="B37" s="370"/>
      <c r="C37" s="370"/>
      <c r="D37" s="370"/>
      <c r="E37" s="370"/>
      <c r="F37" s="371"/>
    </row>
    <row r="38" spans="1:6" ht="18.899999999999999" customHeight="1">
      <c r="A38" s="369"/>
      <c r="B38" s="370"/>
      <c r="C38" s="370"/>
      <c r="D38" s="370"/>
      <c r="E38" s="370"/>
      <c r="F38" s="371"/>
    </row>
    <row r="39" spans="1:6" ht="18.899999999999999" customHeight="1">
      <c r="A39" s="378" t="s">
        <v>430</v>
      </c>
      <c r="B39" s="379"/>
      <c r="C39" s="379"/>
      <c r="D39" s="370"/>
      <c r="E39" s="375" t="s">
        <v>431</v>
      </c>
      <c r="F39" s="380"/>
    </row>
    <row r="40" spans="1:6" ht="18.899999999999999" customHeight="1">
      <c r="A40" s="369"/>
      <c r="B40" s="379"/>
      <c r="C40" s="379"/>
      <c r="D40" s="370"/>
      <c r="E40" s="370"/>
      <c r="F40" s="371"/>
    </row>
    <row r="41" spans="1:6" ht="18.899999999999999" customHeight="1">
      <c r="A41" s="369"/>
      <c r="B41" s="379"/>
      <c r="C41" s="379"/>
      <c r="D41" s="370"/>
      <c r="E41" s="370"/>
      <c r="F41" s="371"/>
    </row>
    <row r="42" spans="1:6" ht="18.899999999999999" customHeight="1">
      <c r="A42" s="369"/>
      <c r="B42" s="370"/>
      <c r="C42" s="370"/>
      <c r="D42" s="370"/>
      <c r="E42" s="370"/>
      <c r="F42" s="371"/>
    </row>
    <row r="43" spans="1:6" ht="18.899999999999999" customHeight="1">
      <c r="A43" s="381"/>
      <c r="B43" s="379"/>
      <c r="C43" s="382" t="s">
        <v>432</v>
      </c>
      <c r="D43" s="383" t="s">
        <v>638</v>
      </c>
      <c r="E43" s="382" t="s">
        <v>433</v>
      </c>
      <c r="F43" s="383" t="s">
        <v>641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398" t="e">
        <f>5252.1*B50/D53</f>
        <v>#DIV/0!</v>
      </c>
      <c r="G50" s="398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399"/>
    </row>
    <row r="63" spans="6:9">
      <c r="I63" s="344" t="s">
        <v>39</v>
      </c>
    </row>
    <row r="66" spans="1:6">
      <c r="D66" s="398" t="e">
        <f>D65/D64</f>
        <v>#DIV/0!</v>
      </c>
    </row>
    <row r="67" spans="1:6">
      <c r="A67" s="400" t="s">
        <v>253</v>
      </c>
      <c r="B67" s="400" t="s">
        <v>592</v>
      </c>
      <c r="C67" s="400" t="s">
        <v>593</v>
      </c>
      <c r="E67" s="400" t="s">
        <v>594</v>
      </c>
      <c r="F67" s="400" t="s">
        <v>595</v>
      </c>
    </row>
    <row r="68" spans="1:6">
      <c r="A68" s="401">
        <v>502.38095238095241</v>
      </c>
      <c r="B68" s="402">
        <v>25.975687844412668</v>
      </c>
      <c r="C68" s="402">
        <v>13.993498938424247</v>
      </c>
      <c r="E68" s="401">
        <f>A68</f>
        <v>502.38095238095241</v>
      </c>
      <c r="F68" s="402">
        <v>1E-4</v>
      </c>
    </row>
    <row r="69" spans="1:6">
      <c r="A69" s="401">
        <f>FLOOR(A68,100)</f>
        <v>500</v>
      </c>
      <c r="B69" s="402">
        <f>((A68/A69)^2)*B68</f>
        <v>26.223664365557742</v>
      </c>
      <c r="C69" s="402">
        <f>((A68/A69)^2)*C68</f>
        <v>14.127087669786528</v>
      </c>
      <c r="E69" s="401">
        <v>501.26984126984127</v>
      </c>
      <c r="F69" s="402">
        <v>0.5</v>
      </c>
    </row>
    <row r="70" spans="1:6">
      <c r="A70" s="401">
        <f>A69-100</f>
        <v>400</v>
      </c>
      <c r="B70" s="402">
        <f>((A68/A70)^2)*B68</f>
        <v>40.974475571183973</v>
      </c>
      <c r="C70" s="402">
        <f>((A68/A70)^2)*C68</f>
        <v>22.073574484041451</v>
      </c>
      <c r="E70" s="401">
        <v>498.96825396825403</v>
      </c>
      <c r="F70" s="402">
        <v>0.93800002336502075</v>
      </c>
    </row>
    <row r="71" spans="1:6">
      <c r="A71" s="401">
        <f>A70-100</f>
        <v>300</v>
      </c>
      <c r="B71" s="402">
        <f>((A68/A71)^2)*B68</f>
        <v>72.843512126549285</v>
      </c>
      <c r="C71" s="402">
        <f>((A68/A71)^2)*C68</f>
        <v>39.241910193851474</v>
      </c>
      <c r="E71" s="401">
        <v>496.26984126984121</v>
      </c>
      <c r="F71" s="402">
        <v>1.3550000190734863</v>
      </c>
    </row>
    <row r="72" spans="1:6">
      <c r="A72" s="401">
        <f>A71-100</f>
        <v>200</v>
      </c>
      <c r="B72" s="402">
        <f>((A68/A72)^2)*B68</f>
        <v>163.89790228473589</v>
      </c>
      <c r="C72" s="402"/>
      <c r="E72" s="401">
        <v>493.25396825396825</v>
      </c>
      <c r="F72" s="402">
        <v>1.7740000486373901</v>
      </c>
    </row>
    <row r="73" spans="1:6">
      <c r="A73" s="401">
        <f>A72-100</f>
        <v>100</v>
      </c>
      <c r="B73" s="402">
        <f>((A68/A73)^2)*B68</f>
        <v>655.59160913894357</v>
      </c>
      <c r="C73" s="402"/>
      <c r="E73" s="401">
        <v>489.84126984126988</v>
      </c>
      <c r="F73" s="402">
        <v>2.2130000591278076</v>
      </c>
    </row>
    <row r="74" spans="1:6">
      <c r="A74" s="401">
        <v>190</v>
      </c>
      <c r="B74" s="402">
        <f>((A68/A74)^2)*B68</f>
        <v>181.60432386120326</v>
      </c>
      <c r="C74" s="402">
        <f>((A68/A74)^2)*C68</f>
        <v>97.833017103784854</v>
      </c>
      <c r="E74" s="401">
        <v>486.1904761904762</v>
      </c>
      <c r="F74" s="402">
        <v>2.692000150680542</v>
      </c>
    </row>
    <row r="75" spans="1:6">
      <c r="A75" s="403">
        <v>180</v>
      </c>
      <c r="B75" s="402">
        <f>((A68/A75)^2)*B69</f>
        <v>204.2747545594672</v>
      </c>
      <c r="C75" s="402">
        <f>((A68/A75)^2)*C68</f>
        <v>109.00530609403188</v>
      </c>
      <c r="E75" s="401">
        <v>481.98412698412693</v>
      </c>
      <c r="F75" s="402">
        <v>3.2420001029968262</v>
      </c>
    </row>
    <row r="76" spans="1:6">
      <c r="A76" s="403">
        <v>120</v>
      </c>
      <c r="B76" s="402">
        <f>((A68/A76)^2)*B68</f>
        <v>455.27195079093309</v>
      </c>
      <c r="C76" s="402">
        <f>((A68/A76)^2)*C68</f>
        <v>245.2619387115717</v>
      </c>
      <c r="E76" s="401">
        <v>476.42857142857139</v>
      </c>
      <c r="F76" s="402">
        <v>3.9300000667572021</v>
      </c>
    </row>
    <row r="77" spans="1:6">
      <c r="A77" s="403">
        <v>110</v>
      </c>
      <c r="B77" s="402"/>
      <c r="C77" s="401">
        <f>CEILING(C76*2,100)</f>
        <v>500</v>
      </c>
      <c r="E77" s="401">
        <v>469.20634920634927</v>
      </c>
      <c r="F77" s="402">
        <v>4.3619999885559082</v>
      </c>
    </row>
    <row r="78" spans="1:6">
      <c r="A78" s="403">
        <v>110</v>
      </c>
      <c r="B78" s="402"/>
      <c r="C78" s="401">
        <f>2*C77</f>
        <v>1000</v>
      </c>
      <c r="E78" s="401">
        <v>456.19047619047615</v>
      </c>
      <c r="F78" s="402">
        <v>4.8090000152587891</v>
      </c>
    </row>
    <row r="79" spans="1:6">
      <c r="A79" s="403">
        <v>110</v>
      </c>
      <c r="B79" s="403"/>
      <c r="C79" s="403">
        <v>10000</v>
      </c>
      <c r="E79" s="401">
        <v>412.38095238095241</v>
      </c>
      <c r="F79" s="402">
        <v>5.0920000076293945</v>
      </c>
    </row>
    <row r="80" spans="1:6">
      <c r="E80" s="401">
        <v>0</v>
      </c>
      <c r="F80" s="402">
        <v>5.1149997711181641</v>
      </c>
    </row>
    <row r="81" spans="5:6">
      <c r="E81" s="401"/>
      <c r="F81" s="402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workbookViewId="0">
      <selection activeCell="L11" sqref="L11"/>
    </sheetView>
  </sheetViews>
  <sheetFormatPr defaultColWidth="9.109375" defaultRowHeight="13.2"/>
  <cols>
    <col min="1" max="1" width="9.5546875" style="344" customWidth="1"/>
    <col min="2" max="11" width="7.6640625" style="344" customWidth="1"/>
    <col min="12" max="16384" width="9.109375" style="344"/>
  </cols>
  <sheetData>
    <row r="1" spans="1:12" ht="20.399999999999999">
      <c r="A1" s="562" t="s">
        <v>596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345"/>
    </row>
    <row r="2" spans="1:12" ht="30" customHeight="1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spans="1:12" ht="18">
      <c r="A3" s="375" t="s">
        <v>437</v>
      </c>
      <c r="B3" s="404" t="s">
        <v>476</v>
      </c>
      <c r="C3" s="345"/>
      <c r="D3" s="345"/>
      <c r="E3" s="345"/>
      <c r="F3" s="345"/>
      <c r="G3" s="345"/>
      <c r="H3" s="345"/>
      <c r="I3" s="345"/>
      <c r="J3" s="345"/>
      <c r="K3" s="345"/>
      <c r="L3" s="345"/>
    </row>
    <row r="4" spans="1:12" ht="12" customHeight="1">
      <c r="A4" s="345"/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</row>
    <row r="5" spans="1:12" ht="18">
      <c r="A5" s="405" t="s">
        <v>597</v>
      </c>
      <c r="B5" s="370"/>
      <c r="C5" s="370"/>
      <c r="D5" s="370"/>
      <c r="E5" s="370"/>
      <c r="F5" s="345"/>
      <c r="G5" s="345"/>
      <c r="H5" s="345"/>
      <c r="I5" s="345"/>
      <c r="J5" s="345"/>
      <c r="K5" s="345"/>
      <c r="L5" s="345"/>
    </row>
    <row r="6" spans="1:12" ht="17.25" customHeight="1">
      <c r="A6" s="345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</row>
    <row r="7" spans="1:12" ht="15.6">
      <c r="A7" s="345"/>
      <c r="B7" s="406" t="s">
        <v>598</v>
      </c>
      <c r="C7" s="407">
        <v>0</v>
      </c>
      <c r="D7" s="406" t="s">
        <v>598</v>
      </c>
      <c r="E7" s="408" t="s">
        <v>599</v>
      </c>
      <c r="F7" s="406" t="s">
        <v>598</v>
      </c>
      <c r="G7" s="408" t="s">
        <v>600</v>
      </c>
      <c r="H7" s="406" t="s">
        <v>601</v>
      </c>
      <c r="I7" s="408">
        <v>0</v>
      </c>
      <c r="J7" s="406" t="s">
        <v>601</v>
      </c>
      <c r="K7" s="408">
        <v>7.0000000000000001E-3</v>
      </c>
      <c r="L7" s="345"/>
    </row>
    <row r="8" spans="1:12" ht="15.6">
      <c r="A8" s="390" t="s">
        <v>602</v>
      </c>
      <c r="B8" s="546">
        <v>6</v>
      </c>
      <c r="C8" s="546"/>
      <c r="D8" s="546">
        <v>12</v>
      </c>
      <c r="E8" s="546"/>
      <c r="F8" s="546">
        <v>0</v>
      </c>
      <c r="G8" s="546"/>
      <c r="H8" s="546" t="s">
        <v>617</v>
      </c>
      <c r="I8" s="546"/>
      <c r="J8" s="546" t="s">
        <v>618</v>
      </c>
      <c r="K8" s="546"/>
      <c r="L8" s="345"/>
    </row>
    <row r="9" spans="1:12" ht="15.6">
      <c r="A9" s="390" t="s">
        <v>603</v>
      </c>
      <c r="B9" s="546">
        <v>10</v>
      </c>
      <c r="C9" s="546"/>
      <c r="D9" s="546">
        <v>16</v>
      </c>
      <c r="E9" s="546"/>
      <c r="F9" s="546">
        <v>4</v>
      </c>
      <c r="G9" s="546"/>
      <c r="H9" s="546" t="s">
        <v>619</v>
      </c>
      <c r="I9" s="546"/>
      <c r="J9" s="546" t="s">
        <v>620</v>
      </c>
      <c r="K9" s="546"/>
      <c r="L9" s="345"/>
    </row>
    <row r="10" spans="1:12" ht="15.6">
      <c r="A10" s="390" t="s">
        <v>604</v>
      </c>
      <c r="B10" s="546">
        <v>8</v>
      </c>
      <c r="C10" s="546"/>
      <c r="D10" s="546">
        <v>14</v>
      </c>
      <c r="E10" s="546"/>
      <c r="F10" s="546">
        <v>2</v>
      </c>
      <c r="G10" s="546"/>
      <c r="H10" s="546" t="s">
        <v>621</v>
      </c>
      <c r="I10" s="546"/>
      <c r="J10" s="546" t="s">
        <v>622</v>
      </c>
      <c r="K10" s="546"/>
      <c r="L10" s="345"/>
    </row>
    <row r="11" spans="1:12" ht="26.25" customHeight="1">
      <c r="A11" s="345"/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</row>
    <row r="12" spans="1:12" ht="18">
      <c r="A12" s="405" t="s">
        <v>605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</row>
    <row r="13" spans="1:12" ht="15.6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</row>
    <row r="14" spans="1:12" ht="15.6">
      <c r="A14" s="345"/>
      <c r="B14" s="563" t="s">
        <v>606</v>
      </c>
      <c r="C14" s="552"/>
      <c r="D14" s="564" t="s">
        <v>623</v>
      </c>
      <c r="E14" s="546"/>
      <c r="F14" s="563" t="s">
        <v>607</v>
      </c>
      <c r="G14" s="552"/>
      <c r="H14" s="564" t="s">
        <v>628</v>
      </c>
      <c r="I14" s="546"/>
      <c r="J14" s="345"/>
      <c r="K14" s="345"/>
      <c r="L14" s="345"/>
    </row>
    <row r="15" spans="1:12" ht="15.6">
      <c r="A15" s="345"/>
      <c r="B15" s="563" t="s">
        <v>608</v>
      </c>
      <c r="C15" s="552"/>
      <c r="D15" s="564" t="s">
        <v>624</v>
      </c>
      <c r="E15" s="546"/>
      <c r="F15" s="563" t="s">
        <v>609</v>
      </c>
      <c r="G15" s="552"/>
      <c r="H15" s="564" t="s">
        <v>629</v>
      </c>
      <c r="I15" s="546"/>
      <c r="J15" s="345"/>
      <c r="K15" s="345"/>
      <c r="L15" s="345"/>
    </row>
    <row r="16" spans="1:12" ht="15.6">
      <c r="A16" s="345"/>
      <c r="B16" s="563" t="s">
        <v>610</v>
      </c>
      <c r="C16" s="552"/>
      <c r="D16" s="564" t="s">
        <v>625</v>
      </c>
      <c r="E16" s="546"/>
      <c r="F16" s="563" t="s">
        <v>611</v>
      </c>
      <c r="G16" s="552"/>
      <c r="H16" s="564" t="s">
        <v>630</v>
      </c>
      <c r="I16" s="546"/>
      <c r="J16" s="345"/>
      <c r="K16" s="345"/>
      <c r="L16" s="345"/>
    </row>
    <row r="17" spans="1:12" ht="15.6">
      <c r="A17" s="345"/>
      <c r="B17" s="563" t="s">
        <v>612</v>
      </c>
      <c r="C17" s="552"/>
      <c r="D17" s="564" t="s">
        <v>626</v>
      </c>
      <c r="E17" s="546"/>
      <c r="F17" s="563" t="s">
        <v>613</v>
      </c>
      <c r="G17" s="552"/>
      <c r="H17" s="564" t="s">
        <v>631</v>
      </c>
      <c r="I17" s="546"/>
      <c r="J17" s="345"/>
      <c r="K17" s="345"/>
      <c r="L17" s="345"/>
    </row>
    <row r="18" spans="1:12" ht="15.6">
      <c r="A18" s="345"/>
      <c r="B18" s="563" t="s">
        <v>614</v>
      </c>
      <c r="C18" s="552"/>
      <c r="D18" s="564" t="s">
        <v>627</v>
      </c>
      <c r="E18" s="546"/>
      <c r="F18" s="563" t="s">
        <v>615</v>
      </c>
      <c r="G18" s="552"/>
      <c r="H18" s="564" t="s">
        <v>632</v>
      </c>
      <c r="I18" s="546"/>
      <c r="J18" s="345"/>
      <c r="K18" s="345"/>
      <c r="L18" s="345"/>
    </row>
    <row r="19" spans="1:12" ht="27" customHeight="1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</row>
    <row r="20" spans="1:12" ht="18">
      <c r="A20" s="405" t="s">
        <v>616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6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</row>
    <row r="22" spans="1:12" ht="18">
      <c r="A22" s="345"/>
      <c r="B22" s="405" t="s">
        <v>633</v>
      </c>
      <c r="C22" s="345"/>
      <c r="D22" s="345"/>
      <c r="E22" s="345"/>
      <c r="F22" s="345"/>
      <c r="G22" s="345"/>
      <c r="H22" s="345"/>
      <c r="I22" s="345"/>
      <c r="J22" s="345"/>
      <c r="K22" s="345"/>
      <c r="L22" s="345"/>
    </row>
    <row r="23" spans="1:12" ht="15.6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345"/>
      <c r="L23" s="345"/>
    </row>
    <row r="24" spans="1:12" ht="15.6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</row>
    <row r="25" spans="1:12" ht="15.6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</row>
    <row r="26" spans="1:12" ht="15.6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15.6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6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</row>
    <row r="29" spans="1:12" ht="15.6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</row>
    <row r="30" spans="1:12" ht="15.6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</row>
    <row r="31" spans="1:12" ht="15.6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</row>
    <row r="32" spans="1:12" ht="15.6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</row>
    <row r="33" spans="1:12" ht="15.6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'Data Sheet'!Print_Area</vt:lpstr>
      <vt:lpstr>DesignSheet!Print_Area</vt:lpstr>
      <vt:lpstr>Form!Print_Area</vt:lpstr>
      <vt:lpstr>LoginSheet!Print_Area</vt:lpstr>
      <vt:lpstr>StallTime!Print_Area</vt:lpstr>
      <vt:lpstr>STCurve!Print_Area</vt:lpstr>
      <vt:lpstr>Thermdam!Print_Area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Xie, Zichao (TIC)</cp:lastModifiedBy>
  <cp:lastPrinted>2017-10-26T18:47:11Z</cp:lastPrinted>
  <dcterms:created xsi:type="dcterms:W3CDTF">1997-10-03T20:37:30Z</dcterms:created>
  <dcterms:modified xsi:type="dcterms:W3CDTF">2024-08-23T12:49:43Z</dcterms:modified>
</cp:coreProperties>
</file>