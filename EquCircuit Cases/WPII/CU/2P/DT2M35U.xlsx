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TOP HAT - WPII\"/>
    </mc:Choice>
  </mc:AlternateContent>
  <xr:revisionPtr revIDLastSave="0" documentId="13_ncr:1_{0782F73A-4833-44CE-B723-55FFACCDC8D6}" xr6:coauthVersionLast="47" xr6:coauthVersionMax="47" xr10:uidLastSave="{00000000-0000-0000-0000-000000000000}"/>
  <bookViews>
    <workbookView xWindow="-120" yWindow="-120" windowWidth="29040" windowHeight="17520" tabRatio="760" activeTab="1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6" r:id="rId4"/>
    <sheet name="Performance Data Sheet" sheetId="10" r:id="rId5"/>
    <sheet name="STCurve" sheetId="7" r:id="rId6"/>
    <sheet name="Thermdam" sheetId="8" r:id="rId7"/>
    <sheet name="Performance" sheetId="9" r:id="rId8"/>
    <sheet name="Circuit Param." sheetId="11" r:id="rId9"/>
    <sheet name="PERFORMANCE data" sheetId="12" r:id="rId10"/>
  </sheets>
  <definedNames>
    <definedName name="_Regression_Int" localSheetId="8" hidden="1">1</definedName>
    <definedName name="_Regression_Int" localSheetId="9" hidden="1">1</definedName>
    <definedName name="_Regression_Int" localSheetId="4" hidden="1">1</definedName>
    <definedName name="_xlnm.Print_Area" localSheetId="8">'Circuit Param.'!$A$1:$M$42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9">'PERFORMANCE data'!$A$1:$M$54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 localSheetId="8">'Circuit Param.'!$A$8:$N$43</definedName>
    <definedName name="Print_Area_MI" localSheetId="9">'PERFORMANCE data'!$A$10:$N$18</definedName>
    <definedName name="Print_Area_MI">'Performance Data Sheet'!$A$10:$N$42</definedName>
    <definedName name="thermal">#REF!</definedName>
    <definedName name="transfer">#REF!</definedName>
    <definedName name="unit_sht">"unit_sht"</definedName>
    <definedName name="vassvelo">#REF!</definedName>
    <definedName name="velcoity">#REF!</definedName>
    <definedName name="viscosity">#REF!</definedName>
    <definedName name="vollheatre">#REF!</definedName>
    <definedName name="volumetri">#REF!</definedName>
    <definedName name="weight">#REF!</definedName>
    <definedName name="weights">#REF!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" i="3" l="1"/>
  <c r="W14" i="3"/>
  <c r="V14" i="3"/>
  <c r="U14" i="3"/>
  <c r="T14" i="3"/>
  <c r="R14" i="3"/>
  <c r="A69" i="8"/>
  <c r="A70" i="8" s="1"/>
  <c r="A71" i="8" s="1"/>
  <c r="A72" i="8" s="1"/>
  <c r="F59" i="9" l="1"/>
  <c r="F58" i="9"/>
  <c r="F57" i="9"/>
  <c r="F56" i="9"/>
  <c r="F55" i="9"/>
  <c r="F54" i="9"/>
  <c r="O47" i="9"/>
  <c r="N47" i="9"/>
  <c r="O46" i="9"/>
  <c r="N46" i="9"/>
  <c r="O45" i="9"/>
  <c r="N45" i="9"/>
  <c r="O44" i="9"/>
  <c r="N44" i="9"/>
  <c r="O43" i="9"/>
  <c r="N43" i="9"/>
  <c r="O42" i="9"/>
  <c r="N42" i="9"/>
  <c r="O41" i="9"/>
  <c r="N41" i="9"/>
  <c r="O40" i="9"/>
  <c r="N40" i="9"/>
  <c r="O39" i="9"/>
  <c r="N39" i="9"/>
  <c r="O38" i="9"/>
  <c r="N38" i="9"/>
  <c r="O37" i="9"/>
  <c r="N37" i="9"/>
  <c r="E81" i="8" l="1"/>
  <c r="E80" i="8"/>
  <c r="D43" i="9"/>
  <c r="D43" i="8"/>
  <c r="D43" i="7"/>
  <c r="C39" i="9"/>
  <c r="C39" i="8"/>
  <c r="C39" i="7"/>
  <c r="C15" i="9"/>
  <c r="C15" i="8"/>
  <c r="C15" i="7"/>
  <c r="C13" i="9"/>
  <c r="C13" i="8"/>
  <c r="C13" i="7"/>
  <c r="C12" i="9"/>
  <c r="C12" i="8"/>
  <c r="C12" i="7"/>
  <c r="F39" i="9"/>
  <c r="F39" i="8"/>
  <c r="F39" i="7"/>
  <c r="F9" i="9"/>
  <c r="F9" i="8"/>
  <c r="F9" i="7"/>
  <c r="F8" i="9"/>
  <c r="F8" i="8"/>
  <c r="F8" i="7"/>
  <c r="F7" i="9"/>
  <c r="F7" i="8"/>
  <c r="F7" i="7"/>
  <c r="F6" i="9"/>
  <c r="F6" i="8"/>
  <c r="F6" i="7"/>
  <c r="D7" i="9"/>
  <c r="D7" i="8"/>
  <c r="D7" i="7"/>
  <c r="B10" i="9"/>
  <c r="B10" i="8"/>
  <c r="B10" i="7"/>
  <c r="B9" i="9"/>
  <c r="B9" i="8"/>
  <c r="B9" i="7"/>
  <c r="B7" i="9"/>
  <c r="B7" i="8"/>
  <c r="B7" i="7"/>
  <c r="B6" i="9"/>
  <c r="B6" i="8"/>
  <c r="B6" i="7"/>
  <c r="C76" i="8"/>
  <c r="C77" i="8" s="1"/>
  <c r="C78" i="8" s="1"/>
  <c r="B76" i="8"/>
  <c r="C75" i="8"/>
  <c r="C74" i="8"/>
  <c r="B74" i="8"/>
  <c r="C69" i="8"/>
  <c r="E68" i="8"/>
  <c r="D66" i="8"/>
  <c r="F50" i="8"/>
  <c r="M28" i="3"/>
  <c r="N28" i="3"/>
  <c r="E59" i="9" l="1"/>
  <c r="E58" i="9"/>
  <c r="E57" i="9"/>
  <c r="E56" i="9"/>
  <c r="E55" i="9"/>
  <c r="C71" i="8"/>
  <c r="B71" i="8"/>
  <c r="B70" i="8"/>
  <c r="B69" i="8"/>
  <c r="B75" i="8" s="1"/>
  <c r="C70" i="8"/>
  <c r="M18" i="3"/>
  <c r="M52" i="2"/>
  <c r="M41" i="2"/>
  <c r="L41" i="2"/>
  <c r="N41" i="2" s="1"/>
  <c r="M40" i="2"/>
  <c r="N40" i="2" s="1"/>
  <c r="L40" i="2"/>
  <c r="M39" i="2"/>
  <c r="L39" i="2"/>
  <c r="M38" i="2"/>
  <c r="L38" i="2"/>
  <c r="M33" i="2"/>
  <c r="M32" i="2"/>
  <c r="M31" i="2"/>
  <c r="M30" i="2"/>
  <c r="M29" i="2"/>
  <c r="M50" i="2"/>
  <c r="M49" i="2"/>
  <c r="M48" i="2"/>
  <c r="M46" i="2"/>
  <c r="M47" i="2"/>
  <c r="N38" i="2" l="1"/>
  <c r="M53" i="2"/>
  <c r="B72" i="8"/>
  <c r="A73" i="8"/>
  <c r="B73" i="8" s="1"/>
  <c r="N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  <author>Xie, Zichao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J20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Xie, Zichao:</t>
        </r>
        <r>
          <rPr>
            <sz val="9"/>
            <color indexed="81"/>
            <rFont val="Tahoma"/>
            <family val="2"/>
          </rPr>
          <t xml:space="preserve">
code letter might be more close to F</t>
        </r>
      </text>
    </comment>
    <comment ref="D21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8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Xie, Zichao:</t>
        </r>
        <r>
          <rPr>
            <sz val="9"/>
            <color indexed="81"/>
            <rFont val="Tahoma"/>
            <family val="2"/>
          </rPr>
          <t xml:space="preserve">
LRA might be more close to 1365A according to H010288 LAB 2911</t>
        </r>
      </text>
    </comment>
  </commentList>
</comments>
</file>

<file path=xl/sharedStrings.xml><?xml version="1.0" encoding="utf-8"?>
<sst xmlns="http://schemas.openxmlformats.org/spreadsheetml/2006/main" count="1166" uniqueCount="807">
  <si>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</si>
  <si>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</si>
  <si>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</si>
  <si>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</si>
  <si>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</si>
  <si>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</si>
  <si>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</si>
  <si>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</si>
  <si>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</si>
  <si>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</si>
  <si>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</si>
  <si>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</si>
  <si>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</si>
  <si>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</si>
  <si>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</si>
  <si>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</si>
  <si>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</si>
  <si>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</si>
  <si>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</si>
  <si>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</si>
  <si>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</si>
  <si>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</si>
  <si>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</si>
  <si>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</si>
  <si>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</si>
  <si>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</si>
  <si>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</si>
  <si>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</si>
  <si>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</si>
  <si>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</si>
  <si>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</si>
  <si>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</si>
  <si>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</si>
  <si>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</si>
  <si>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</si>
  <si>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</si>
  <si>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</si>
  <si>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</si>
  <si>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</si>
  <si>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</si>
  <si>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</si>
  <si>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</si>
  <si>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</si>
  <si>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</si>
  <si>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</si>
  <si>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</si>
  <si>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</si>
  <si>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</si>
  <si>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</si>
  <si>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</si>
  <si>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</si>
  <si>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</si>
  <si>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</si>
  <si>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</si>
  <si>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</si>
  <si>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</si>
  <si>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</si>
  <si>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</si>
  <si>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</si>
  <si>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</si>
  <si>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</si>
  <si>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</si>
  <si>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</si>
  <si>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</si>
  <si>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</si>
  <si>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</si>
  <si>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</si>
  <si>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</si>
  <si>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</si>
  <si>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</si>
  <si>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</si>
  <si>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</si>
  <si>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</si>
  <si>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</si>
  <si>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</si>
  <si>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</si>
  <si>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</si>
  <si>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</si>
  <si>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</si>
  <si>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</si>
  <si>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</si>
  <si>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</si>
  <si>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</si>
  <si>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</si>
  <si>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</si>
  <si>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</si>
  <si>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</si>
  <si>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</si>
  <si>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</si>
  <si>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</si>
  <si>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</si>
  <si>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</si>
  <si>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</si>
  <si>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</si>
  <si>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</si>
  <si>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</si>
  <si>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</si>
  <si>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</si>
  <si>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</si>
  <si>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</si>
  <si>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</si>
  <si>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</si>
  <si>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</si>
  <si>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</si>
  <si>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</si>
  <si>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</si>
  <si>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</si>
  <si>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</si>
  <si>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</si>
  <si>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</si>
  <si>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</si>
  <si>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</si>
  <si>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</si>
  <si>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</si>
  <si>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</si>
  <si>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</si>
  <si>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</si>
  <si>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</si>
  <si>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</si>
  <si>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</si>
  <si>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</si>
  <si>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</si>
  <si>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</si>
  <si>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</si>
  <si>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</si>
  <si>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</si>
  <si>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</si>
  <si>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</si>
  <si>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</si>
  <si>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</si>
  <si>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</si>
  <si>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</si>
  <si>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</si>
  <si>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</si>
  <si>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</si>
  <si>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</si>
  <si>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</si>
  <si>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</si>
  <si>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</si>
  <si>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</si>
  <si>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</si>
  <si>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</si>
  <si>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</si>
  <si>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</si>
  <si>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</si>
  <si>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</si>
  <si>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</si>
  <si>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</si>
  <si>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</si>
  <si>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</si>
  <si>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</si>
  <si>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</si>
  <si>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</si>
  <si>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</si>
  <si>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</si>
  <si>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</si>
  <si>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</si>
  <si>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</si>
  <si>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</si>
  <si>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</si>
  <si>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</si>
  <si>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</si>
  <si>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</si>
  <si>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</si>
  <si>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</si>
  <si>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</si>
  <si>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</si>
  <si>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</si>
  <si>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</si>
  <si>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</si>
  <si>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</si>
  <si>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</si>
  <si>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</si>
  <si>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</si>
  <si>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</si>
  <si>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</si>
  <si>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</si>
  <si>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</si>
  <si>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</si>
  <si>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</si>
  <si>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</si>
  <si>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</si>
  <si>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</si>
  <si>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</si>
  <si>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</si>
  <si>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</si>
  <si>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</si>
  <si>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</si>
  <si>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</si>
  <si>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</si>
  <si>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</si>
  <si>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</si>
  <si>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DCNW</t>
  </si>
  <si>
    <t>5811/12UDZ</t>
  </si>
  <si>
    <t>Open</t>
  </si>
  <si>
    <t>Trapeze</t>
  </si>
  <si>
    <t>10.20 - 10.20</t>
  </si>
  <si>
    <t>2.83 - 2.00</t>
  </si>
  <si>
    <t>Magnetic</t>
  </si>
  <si>
    <t>10 x 10</t>
  </si>
  <si>
    <t>9 x 10</t>
  </si>
  <si>
    <t>1 ~ 16</t>
  </si>
  <si>
    <t>(.102"x.204")x2</t>
  </si>
  <si>
    <t>Wye</t>
  </si>
  <si>
    <t>(105°C)</t>
  </si>
  <si>
    <t>CU</t>
  </si>
  <si>
    <t>ERD1: 281.0</t>
  </si>
  <si>
    <t>EBL: 50.0</t>
  </si>
  <si>
    <t>ERT: 70.00</t>
  </si>
  <si>
    <t>ERH: 25.00</t>
  </si>
  <si>
    <t>LB:  -</t>
  </si>
  <si>
    <t>LER:  -</t>
  </si>
  <si>
    <t>Single Cage Data</t>
  </si>
  <si>
    <t>UB: 304.0</t>
  </si>
  <si>
    <t>UER: 1750.0</t>
  </si>
  <si>
    <t>(Coeff.: 0.0267)</t>
  </si>
  <si>
    <t>Skew R.: 0.00</t>
  </si>
  <si>
    <t>G:\DESPRO\RATFILE\DT2M35U_Rev1.rat</t>
  </si>
  <si>
    <t>2-2-2-0-1-2</t>
  </si>
  <si>
    <t>B.L.-1  P.F.-1</t>
  </si>
  <si>
    <t>11307.2 / 21402.1</t>
  </si>
  <si>
    <t>7729.0 / 8502.1</t>
  </si>
  <si>
    <t>24005.0 / 20181.1</t>
  </si>
  <si>
    <t>7280.0 / 10170.0</t>
  </si>
  <si>
    <t>16106.1 / 8868.1</t>
  </si>
  <si>
    <t>1740.0 / 958.0</t>
  </si>
  <si>
    <t>14366.1 / 7910.1</t>
  </si>
  <si>
    <t>1.75 / 0.96</t>
  </si>
  <si>
    <t>74 / 74</t>
  </si>
  <si>
    <t>Temp. Rise @ 100%:</t>
  </si>
  <si>
    <t>Stray Loss</t>
  </si>
  <si>
    <t>0.928 / 0.913</t>
  </si>
  <si>
    <t>0.958 / 0.942</t>
  </si>
  <si>
    <t>0.966 / 0.951</t>
  </si>
  <si>
    <t>0.969 / 0.953</t>
  </si>
  <si>
    <t>0.633 / 0.634</t>
  </si>
  <si>
    <t>0.828 / 0.830</t>
  </si>
  <si>
    <t>0.889 / 0.891</t>
  </si>
  <si>
    <t>0.9103 / 0.9128</t>
  </si>
  <si>
    <t>0.917 / 0.919</t>
  </si>
  <si>
    <t>80.26 / 81.37</t>
  </si>
  <si>
    <t>118.73 / 120.38</t>
  </si>
  <si>
    <t>164.50 / 166.77</t>
  </si>
  <si>
    <t>213.61 / 216.57</t>
  </si>
  <si>
    <t>265.05 / 268.72</t>
  </si>
  <si>
    <t>4.07 / 4.13</t>
  </si>
  <si>
    <t>UB: 5.75 / 5.83</t>
  </si>
  <si>
    <t>UER: 6.05 / 6.13</t>
  </si>
  <si>
    <t>3594.8 / 3599.2</t>
  </si>
  <si>
    <t>3589.7 / 3594.1</t>
  </si>
  <si>
    <t>3584.5 / 3588.9</t>
  </si>
  <si>
    <t>3579.3 / 3583.7</t>
  </si>
  <si>
    <t>3573.9 / 3578.3</t>
  </si>
  <si>
    <t>0.0014 / 0.0002</t>
  </si>
  <si>
    <t>0.0029 / 0.0016</t>
  </si>
  <si>
    <t>0.0043 / 0.0031</t>
  </si>
  <si>
    <t>0.0058 / 0.0045</t>
  </si>
  <si>
    <t>0.0072 / 0.0060</t>
  </si>
  <si>
    <t>57.724 / 49.318</t>
  </si>
  <si>
    <t>2.322 / 1.984</t>
  </si>
  <si>
    <t>57.77 / 49.36</t>
  </si>
  <si>
    <t>1310.3 / 1247.8</t>
  </si>
  <si>
    <t>613.4 / 584.2</t>
  </si>
  <si>
    <t>456.4 / 262.6</t>
  </si>
  <si>
    <t>128.5 / 73.9</t>
  </si>
  <si>
    <t>308.2 / 243.6</t>
  </si>
  <si>
    <t>Correlated to: H010286.dat</t>
  </si>
  <si>
    <t>USA Wire Std</t>
  </si>
  <si>
    <t>DesPro8AX Draft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</si>
  <si>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</si>
  <si>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</si>
  <si>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</si>
  <si>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</si>
  <si>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</si>
  <si>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</si>
  <si>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</si>
  <si>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</si>
  <si>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</si>
  <si>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</si>
  <si>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</si>
  <si>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</si>
  <si>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</si>
  <si>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</si>
  <si>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</si>
  <si>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</si>
  <si>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</si>
  <si>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</si>
  <si>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</si>
  <si>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</si>
  <si>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</si>
  <si>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</si>
  <si>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</si>
  <si>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</si>
  <si>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</si>
  <si>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</si>
  <si>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</si>
  <si>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</si>
  <si>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</si>
  <si>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</si>
  <si>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</si>
  <si>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</si>
  <si>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</si>
  <si>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</si>
  <si>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</si>
  <si>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</si>
  <si>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</si>
  <si>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</si>
  <si>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</si>
  <si>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</si>
  <si>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</si>
  <si>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</si>
  <si>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</si>
  <si>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</si>
  <si>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</si>
  <si>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</si>
  <si>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</si>
  <si>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</si>
  <si>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</si>
  <si>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</si>
  <si>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</si>
  <si>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</si>
  <si>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</si>
  <si>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</si>
  <si>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</si>
  <si>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</si>
  <si>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</si>
  <si>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</si>
  <si>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</si>
  <si>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</si>
  <si>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</si>
  <si>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</si>
  <si>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</si>
  <si>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</si>
  <si>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</si>
  <si>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</si>
  <si>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</si>
  <si>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</si>
  <si>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</si>
  <si>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</si>
  <si>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</si>
  <si>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</si>
  <si>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</si>
  <si>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</si>
  <si>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</si>
  <si>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</si>
  <si>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</si>
  <si>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</si>
  <si>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</si>
  <si>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</si>
  <si>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</si>
  <si>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</si>
  <si>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</si>
  <si>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</si>
  <si>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</si>
  <si>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</si>
  <si>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</si>
  <si>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</si>
  <si>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</si>
  <si>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</si>
  <si>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</si>
  <si>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</si>
  <si>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</si>
  <si>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</si>
  <si>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</si>
  <si>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</si>
  <si>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</si>
  <si>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</si>
  <si>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</si>
  <si>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</si>
  <si>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</si>
  <si>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</si>
  <si>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</si>
  <si>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</si>
  <si>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</si>
  <si>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</si>
  <si>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</si>
  <si>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</si>
  <si>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</si>
  <si>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</si>
  <si>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DT2M35U_Rev1</t>
  </si>
  <si>
    <t>Type: TIKE - Form: DCNW - 2 Pole - 1750 HP - 4000 V - 60 Hz - 5811/12UDZ - Class F</t>
  </si>
  <si>
    <t>18 x 2</t>
  </si>
  <si>
    <t>2 x Wye</t>
  </si>
  <si>
    <t xml:space="preserve"> - </t>
  </si>
  <si>
    <t>74 / 98</t>
  </si>
  <si>
    <t>413 / 2375</t>
  </si>
  <si>
    <t>583 / 613</t>
  </si>
  <si>
    <t>LINK:</t>
  </si>
  <si>
    <t>H010286.rat with H010286.dat</t>
  </si>
  <si>
    <t>Run DT2M35U_Rev1.rat</t>
  </si>
  <si>
    <t>DT2M35U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</si>
  <si>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</si>
  <si>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</si>
  <si>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</si>
  <si>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</si>
  <si>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</si>
  <si>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</si>
  <si>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</si>
  <si>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</si>
  <si>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</si>
  <si>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Acceleration Data (FV V)</t>
  </si>
  <si>
    <t>355.3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</si>
  <si>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</si>
  <si>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</si>
  <si>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</si>
  <si>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</si>
  <si>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</si>
  <si>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</si>
  <si>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</si>
  <si>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</si>
  <si>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</si>
  <si>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</si>
  <si>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</si>
  <si>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</si>
  <si>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</si>
  <si>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</si>
  <si>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</si>
  <si>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</si>
  <si>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</si>
  <si>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</si>
  <si>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</si>
  <si>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</si>
  <si>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</si>
  <si>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</si>
  <si>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</si>
  <si>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</si>
  <si>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</si>
  <si>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</si>
  <si>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</si>
  <si>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</si>
  <si>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</si>
  <si>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</si>
  <si>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</si>
  <si>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</si>
  <si>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</si>
  <si>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</si>
  <si>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</si>
  <si>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</si>
  <si>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</si>
  <si>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</si>
  <si>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</si>
  <si>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- 1750.0 HP - 3600 RPM - 4000 V - 60 Hz</t>
  </si>
  <si>
    <t>0~365</t>
  </si>
  <si>
    <t>365~729</t>
  </si>
  <si>
    <t>729~1094</t>
  </si>
  <si>
    <t>1094~1458</t>
  </si>
  <si>
    <t>1458~1823</t>
  </si>
  <si>
    <t>1823~2187</t>
  </si>
  <si>
    <t>2187~2552</t>
  </si>
  <si>
    <t>2552~2916</t>
  </si>
  <si>
    <t>2916~3099</t>
  </si>
  <si>
    <t>3099~3281</t>
  </si>
  <si>
    <t>3281~3463</t>
  </si>
  <si>
    <t>3463~3573</t>
  </si>
  <si>
    <t>3573~3579</t>
  </si>
  <si>
    <t>70.1</t>
  </si>
  <si>
    <t>70.5</t>
  </si>
  <si>
    <t>71.2</t>
  </si>
  <si>
    <t>72.4</t>
  </si>
  <si>
    <t>74.3</t>
  </si>
  <si>
    <t>77.1</t>
  </si>
  <si>
    <t>81.7</t>
  </si>
  <si>
    <t>90.1</t>
  </si>
  <si>
    <t>104.5</t>
  </si>
  <si>
    <t>132.7</t>
  </si>
  <si>
    <t>196.1</t>
  </si>
  <si>
    <t>180.9</t>
  </si>
  <si>
    <t>110.9</t>
  </si>
  <si>
    <t>22.5</t>
  </si>
  <si>
    <t>11.4</t>
  </si>
  <si>
    <t>7.0</t>
  </si>
  <si>
    <t>7.2</t>
  </si>
  <si>
    <t>18.7</t>
  </si>
  <si>
    <t>28.7</t>
  </si>
  <si>
    <t>43.4</t>
  </si>
  <si>
    <t>58.0</t>
  </si>
  <si>
    <t>70.4</t>
  </si>
  <si>
    <t>83.6</t>
  </si>
  <si>
    <t>94.4</t>
  </si>
  <si>
    <t>99.2</t>
  </si>
  <si>
    <t>1245.7</t>
  </si>
  <si>
    <t>1240.8</t>
  </si>
  <si>
    <t>1234.9</t>
  </si>
  <si>
    <t>1228.3</t>
  </si>
  <si>
    <t>1220.8</t>
  </si>
  <si>
    <t>1212.5</t>
  </si>
  <si>
    <t>1203.2</t>
  </si>
  <si>
    <t>1190.3</t>
  </si>
  <si>
    <t>1173.5</t>
  </si>
  <si>
    <t>1142.4</t>
  </si>
  <si>
    <t>1035.8</t>
  </si>
  <si>
    <t>632.8</t>
  </si>
  <si>
    <t>219.8</t>
  </si>
  <si>
    <t>1.0</t>
  </si>
  <si>
    <t>35°C</t>
  </si>
  <si>
    <t>4.9°C / s</t>
  </si>
  <si>
    <t>24.8°C / s</t>
  </si>
  <si>
    <t>8.9°C / s</t>
  </si>
  <si>
    <t>494.5 kW</t>
  </si>
  <si>
    <t>823.0 kW</t>
  </si>
  <si>
    <t>90.9 kW</t>
  </si>
  <si>
    <t>32.5 s</t>
  </si>
  <si>
    <t>10.5 s</t>
  </si>
  <si>
    <t>20.2 s</t>
  </si>
  <si>
    <t>98°C    +</t>
  </si>
  <si>
    <t>138°C    +</t>
  </si>
  <si>
    <t>62°C    +</t>
  </si>
  <si>
    <t>122°C   +</t>
  </si>
  <si>
    <t>42°C   +</t>
  </si>
  <si>
    <t>12.6 s</t>
  </si>
  <si>
    <t>4.9 s</t>
  </si>
  <si>
    <t>4.7 s</t>
  </si>
  <si>
    <t>13.3 s</t>
  </si>
  <si>
    <t>3.1 s</t>
  </si>
  <si>
    <t>84.6 kg.m²</t>
  </si>
  <si>
    <t>5.7 (s)</t>
  </si>
  <si>
    <t>Load Type: Fan / Pump - 501.8 lb-ft²</t>
  </si>
  <si>
    <t>0.701</t>
  </si>
  <si>
    <t>0.566</t>
  </si>
  <si>
    <t>0.521</t>
  </si>
  <si>
    <t>0.513</t>
  </si>
  <si>
    <t>0.532</t>
  </si>
  <si>
    <t>0.571</t>
  </si>
  <si>
    <t>0.631</t>
  </si>
  <si>
    <t>0.716</t>
  </si>
  <si>
    <t>0.359</t>
  </si>
  <si>
    <t>0.268</t>
  </si>
  <si>
    <t>0.149</t>
  </si>
  <si>
    <t>0.116</t>
  </si>
  <si>
    <t>0.052</t>
  </si>
  <si>
    <t>270.5</t>
  </si>
  <si>
    <t>216.7</t>
  </si>
  <si>
    <t>197.8</t>
  </si>
  <si>
    <t>192.8</t>
  </si>
  <si>
    <t>197.9</t>
  </si>
  <si>
    <t>209.7</t>
  </si>
  <si>
    <t>228.1</t>
  </si>
  <si>
    <t>254.7</t>
  </si>
  <si>
    <t>124.5</t>
  </si>
  <si>
    <t>90.0</t>
  </si>
  <si>
    <t>46.2</t>
  </si>
  <si>
    <t>26.0</t>
  </si>
  <si>
    <t>0.6</t>
  </si>
  <si>
    <t>704.8</t>
  </si>
  <si>
    <t>513.4</t>
  </si>
  <si>
    <t>422.4</t>
  </si>
  <si>
    <t>367.6</t>
  </si>
  <si>
    <t>332.7</t>
  </si>
  <si>
    <t>305.5</t>
  </si>
  <si>
    <t>280.6</t>
  </si>
  <si>
    <t>253.1</t>
  </si>
  <si>
    <t>187.6</t>
  </si>
  <si>
    <t>121.4</t>
  </si>
  <si>
    <t>57.6</t>
  </si>
  <si>
    <t>50.6</t>
  </si>
  <si>
    <t>28.8</t>
  </si>
  <si>
    <t>2056 kW / s</t>
  </si>
  <si>
    <t>3266 kW / s</t>
  </si>
  <si>
    <t>360 kW / s</t>
  </si>
  <si>
    <t>20°C</t>
  </si>
  <si>
    <t>98°C</t>
  </si>
  <si>
    <t>41°C</t>
  </si>
  <si>
    <t>197°C</t>
  </si>
  <si>
    <t>71°C</t>
  </si>
  <si>
    <t>Acceleration Time:  5.7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</si>
  <si>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</si>
  <si>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</si>
  <si>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</si>
  <si>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</si>
  <si>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</si>
  <si>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</si>
  <si>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</si>
  <si>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</si>
  <si>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</si>
  <si>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</si>
  <si>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</si>
  <si>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</si>
  <si>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</si>
  <si>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</si>
  <si>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</si>
  <si>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</si>
  <si>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</si>
  <si>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</si>
  <si>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</si>
  <si>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</si>
  <si>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</si>
  <si>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222.9 lb-ft²</t>
  </si>
  <si>
    <t>501.8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</si>
  <si>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</si>
  <si>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</si>
  <si>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</si>
  <si>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</si>
  <si>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</si>
  <si>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</si>
  <si>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</si>
  <si>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</si>
  <si>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</si>
  <si>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</si>
  <si>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</si>
  <si>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</si>
  <si>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</si>
  <si>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</si>
  <si>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</si>
  <si>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</si>
  <si>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</si>
  <si>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</si>
  <si>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</si>
  <si>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</si>
  <si>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</si>
  <si>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</si>
  <si>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</si>
  <si>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</si>
  <si>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</si>
  <si>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</si>
  <si>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</si>
  <si>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</si>
  <si>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</si>
  <si>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</si>
  <si>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</si>
  <si>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</si>
  <si>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</si>
  <si>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</si>
  <si>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</si>
  <si>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</si>
  <si>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</si>
  <si>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</si>
  <si>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</si>
  <si>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</si>
  <si>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</si>
  <si>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</si>
  <si>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</si>
  <si>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</si>
  <si>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</si>
  <si>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</si>
  <si>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</si>
  <si>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</si>
  <si>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</si>
  <si>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</si>
  <si>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</si>
  <si>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</si>
  <si>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</si>
  <si>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</si>
  <si>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</si>
  <si>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</si>
  <si>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</si>
  <si>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</si>
  <si>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</si>
  <si>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</si>
  <si>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</si>
  <si>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</si>
  <si>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</si>
  <si>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</si>
  <si>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</si>
  <si>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</si>
  <si>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</si>
  <si>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</si>
  <si>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</si>
  <si>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</si>
  <si>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</si>
  <si>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</si>
  <si>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</si>
  <si>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</si>
  <si>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</si>
  <si>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</si>
  <si>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</si>
  <si>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</si>
  <si>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</si>
  <si>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</si>
  <si>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</si>
  <si>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</si>
  <si>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</si>
  <si>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</si>
  <si>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</si>
  <si>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</si>
  <si>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</si>
  <si>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</si>
  <si>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</si>
  <si>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</si>
  <si>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</si>
  <si>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</si>
  <si>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</si>
  <si>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</si>
  <si>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</si>
  <si>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</si>
  <si>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</si>
  <si>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</si>
  <si>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</si>
  <si>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</si>
  <si>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</si>
  <si>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</si>
  <si>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</si>
  <si>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</si>
  <si>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</si>
  <si>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</si>
  <si>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</si>
  <si>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</si>
  <si>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</si>
  <si>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</si>
  <si>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</si>
  <si>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</si>
  <si>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</si>
  <si>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</si>
  <si>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</si>
  <si>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</si>
  <si>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FLOWSERVE FSG CORPORATION</t>
  </si>
  <si>
    <t>2135527.1</t>
  </si>
  <si>
    <t>5812USS</t>
  </si>
  <si>
    <t>WP-II</t>
  </si>
  <si>
    <t>WT-10019401</t>
  </si>
  <si>
    <t>ADJUSTED</t>
  </si>
  <si>
    <t>ORIGINAL</t>
  </si>
  <si>
    <t>SYNC SPEED</t>
  </si>
  <si>
    <t>NEW SPEED LOWER RANGE</t>
  </si>
  <si>
    <t>NEW kW UPPER RANGE</t>
  </si>
  <si>
    <t>SPEED</t>
  </si>
  <si>
    <t>KW</t>
  </si>
  <si>
    <t>A. GRACIA</t>
  </si>
  <si>
    <t>TOP HAT, WPII, Cu Bar, Sleeve Brg.</t>
  </si>
  <si>
    <t>F&amp;W Losses for A/F.:   5000 W</t>
  </si>
  <si>
    <t>REV.1 FIRST ISSUE</t>
  </si>
  <si>
    <t>Z.X 06/20/19</t>
  </si>
  <si>
    <t>MPCF-1109</t>
  </si>
  <si>
    <t>EQUIVALENT CIRCUIT DATA</t>
  </si>
  <si>
    <t>NEW</t>
  </si>
  <si>
    <t>REV. 0</t>
  </si>
  <si>
    <t xml:space="preserve">All Values are Presented in Ohms/Phase, Equivalent Wye Connection. </t>
  </si>
  <si>
    <t>Paul Anderson</t>
  </si>
  <si>
    <t>Primary Resistance (R1) :</t>
  </si>
  <si>
    <t>0.342743</t>
  </si>
  <si>
    <t>Secondary Resistance (R2) :</t>
  </si>
  <si>
    <t>0.229565</t>
  </si>
  <si>
    <t>Starting Resistance (R3) :</t>
  </si>
  <si>
    <t>0.776549</t>
  </si>
  <si>
    <t>Primary Reactance (X1) :</t>
  </si>
  <si>
    <t>2.871958</t>
  </si>
  <si>
    <t>Secondary Reactance (X2) :</t>
  </si>
  <si>
    <t>2.451798</t>
  </si>
  <si>
    <t>Starting Reactance (X3) :</t>
  </si>
  <si>
    <t>1.8443691</t>
  </si>
  <si>
    <t>Magnetizing Reactance (Xm) :</t>
  </si>
  <si>
    <t>127.169663</t>
  </si>
  <si>
    <t>Transient Reactance :</t>
  </si>
  <si>
    <t>5.27738</t>
  </si>
  <si>
    <t>Sub Transient Reactance :</t>
  </si>
  <si>
    <t>3.91567</t>
  </si>
  <si>
    <t>Short Circuit Time Constant :</t>
  </si>
  <si>
    <t>Sub Transient Time Constant :</t>
  </si>
  <si>
    <t>Open Circuit Time Constant :</t>
  </si>
  <si>
    <t>JERRY R</t>
  </si>
  <si>
    <t>MPCF-1082</t>
  </si>
  <si>
    <t>2/14/02</t>
  </si>
  <si>
    <t>M. CAMPBELL</t>
  </si>
  <si>
    <t>API 541 PERFORMANCE SPECIFICATIONS</t>
  </si>
  <si>
    <t>P.A.A</t>
  </si>
  <si>
    <t>LOCKED ROTOR DATA</t>
  </si>
  <si>
    <t>AMPS AT RATED VOLTAGE:</t>
  </si>
  <si>
    <t>POWER FACTOR:</t>
  </si>
  <si>
    <t>AMPS AT 80% VOLTAGE:</t>
  </si>
  <si>
    <t>TORQUE VALUES</t>
  </si>
  <si>
    <t>CURVE NUMBERS</t>
  </si>
  <si>
    <t>FULL LOAD (LB.FT):</t>
  </si>
  <si>
    <t>SPEED-TORQUE CURVE:</t>
  </si>
  <si>
    <t>LOCKED ROTOR TORQUE (% OF FLT):</t>
  </si>
  <si>
    <t>SPEED-CURRENT CURVE:</t>
  </si>
  <si>
    <t>PULL UP TORQUE (% OF FLT):</t>
  </si>
  <si>
    <t>ACCELERATION CURVE:</t>
  </si>
  <si>
    <t>BREAKDOWN TORQUE (% OF FLT):</t>
  </si>
  <si>
    <t>LOCKED ROTOR WITHSTAND TIMES</t>
  </si>
  <si>
    <t>COLD CONDITION</t>
  </si>
  <si>
    <t>HOT CONDITION</t>
  </si>
  <si>
    <t>100% VOLTAGE:</t>
  </si>
  <si>
    <t>15</t>
  </si>
  <si>
    <t>90% VOLTAGE:</t>
  </si>
  <si>
    <t>29</t>
  </si>
  <si>
    <t>80% VOLTAGE:</t>
  </si>
  <si>
    <t>24</t>
  </si>
  <si>
    <t>70% VOLTAGE:</t>
  </si>
  <si>
    <t>DESIGN DATA</t>
  </si>
  <si>
    <r>
      <t>MOTOR ROTOR wk</t>
    </r>
    <r>
      <rPr>
        <vertAlign val="superscript"/>
        <sz val="8"/>
        <rFont val="Univers"/>
        <family val="2"/>
      </rPr>
      <t xml:space="preserve">2 </t>
    </r>
    <r>
      <rPr>
        <sz val="8"/>
        <rFont val="Univers"/>
        <family val="2"/>
      </rPr>
      <t>(LB.FT</t>
    </r>
    <r>
      <rPr>
        <vertAlign val="superscript"/>
        <sz val="8"/>
        <rFont val="Univers"/>
        <family val="2"/>
      </rPr>
      <t>2</t>
    </r>
    <r>
      <rPr>
        <sz val="8"/>
        <rFont val="Univers"/>
        <family val="2"/>
      </rPr>
      <t>):</t>
    </r>
  </si>
  <si>
    <t>NO LOAD CURRENT:</t>
  </si>
  <si>
    <t>AIR GAP:</t>
  </si>
  <si>
    <t>ACCELERATION TIME:</t>
  </si>
  <si>
    <t>LOAD CHARACTERISTICS</t>
  </si>
  <si>
    <t>LOAD</t>
  </si>
  <si>
    <t>1/2</t>
  </si>
  <si>
    <t>3/4</t>
  </si>
  <si>
    <t>FULL</t>
  </si>
  <si>
    <t>SF</t>
  </si>
  <si>
    <t>AMPS (A)</t>
  </si>
  <si>
    <t>EFFICIENCY (%)</t>
  </si>
  <si>
    <t>POWER FACTOR (%)</t>
  </si>
  <si>
    <t>GUARENTEED EFFICIENCY (%)</t>
  </si>
  <si>
    <t>EFFICIENCY TO BE DETERMINED BY IEEE 112, METHOD B</t>
  </si>
  <si>
    <t>ALL CHARACTERISTICS ARE AVERAGE EXPECTED VALUES BASED UPON RATED VOLTAGE, FREQUENCY AND SINEWAVE POWER INPUT.</t>
  </si>
  <si>
    <t>1248</t>
  </si>
  <si>
    <t>998</t>
  </si>
  <si>
    <t>12</t>
  </si>
  <si>
    <t>19</t>
  </si>
  <si>
    <t>38</t>
  </si>
  <si>
    <t>49</t>
  </si>
  <si>
    <t>3.3</t>
  </si>
  <si>
    <t>222.9</t>
  </si>
  <si>
    <t>RSO2: 400-N156-01</t>
  </si>
  <si>
    <t>361-N126-6L2Y ; 362-N126-06</t>
  </si>
  <si>
    <t>TOP HAT ASSY: 135-N127-100NSS</t>
  </si>
  <si>
    <t>DCW4</t>
  </si>
  <si>
    <t>M353WTQL11F-C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</si>
</sst>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  <numFmt numFmtId="173" formatCode="m/d/yy"/>
    <numFmt numFmtId="174" formatCode="@\ &quot;Ohms/Phase&quot;"/>
    <numFmt numFmtId="175" formatCode=".0"/>
    <numFmt numFmtId="176" formatCode="@\ &quot; A&quot;"/>
    <numFmt numFmtId="177" formatCode="@\ &quot;(s)&quot;"/>
    <numFmt numFmtId="178" formatCode="@\ &quot;mm&quot;"/>
    <numFmt numFmtId="179" formatCode="0.00_)"/>
    <numFmt numFmtId="180" formatCode="&quot;\&quot;#,##0;&quot;\&quot;\-#,##0"/>
  </numFmts>
  <fonts count="107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b/>
      <i/>
      <sz val="10"/>
      <color indexed="8"/>
      <name val="Arial"/>
      <family val="2"/>
    </font>
    <font>
      <sz val="10"/>
      <name val="Helv"/>
    </font>
    <font>
      <b/>
      <sz val="12"/>
      <name val="Univers (w1)"/>
    </font>
    <font>
      <sz val="10"/>
      <name val="Univers (W1)"/>
    </font>
    <font>
      <i/>
      <sz val="10"/>
      <name val="Script"/>
      <family val="4"/>
      <charset val="255"/>
    </font>
    <font>
      <sz val="12"/>
      <name val="Univers"/>
      <family val="2"/>
    </font>
    <font>
      <sz val="9"/>
      <name val="Univers"/>
      <family val="2"/>
    </font>
    <font>
      <sz val="9"/>
      <name val="Helv"/>
    </font>
    <font>
      <sz val="11"/>
      <name val="Univers (W1)"/>
      <family val="2"/>
    </font>
    <font>
      <sz val="11"/>
      <name val="Univers (w1)"/>
    </font>
    <font>
      <sz val="10"/>
      <name val="Univers"/>
      <family val="2"/>
    </font>
    <font>
      <sz val="8"/>
      <name val="Univers"/>
      <family val="2"/>
    </font>
    <font>
      <sz val="11"/>
      <name val="Univers"/>
      <family val="2"/>
    </font>
    <font>
      <vertAlign val="superscript"/>
      <sz val="8"/>
      <name val="Univers"/>
      <family val="2"/>
    </font>
    <font>
      <sz val="8"/>
      <name val="Helv"/>
    </font>
    <font>
      <b/>
      <sz val="12"/>
      <name val="Helv"/>
    </font>
    <font>
      <sz val="7"/>
      <name val="Univers (W1)"/>
    </font>
    <font>
      <b/>
      <sz val="8"/>
      <color indexed="24"/>
      <name val="Arial"/>
      <family val="2"/>
    </font>
    <font>
      <sz val="10"/>
      <color indexed="24"/>
      <name val="Arial"/>
      <family val="2"/>
    </font>
    <font>
      <i/>
      <sz val="6"/>
      <color indexed="24"/>
      <name val="Arial"/>
      <family val="2"/>
    </font>
    <font>
      <sz val="12"/>
      <color indexed="24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b/>
      <i/>
      <sz val="16"/>
      <name val="Helv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21">
    <xf numFmtId="0" fontId="0" fillId="0" borderId="0"/>
    <xf numFmtId="0" fontId="23" fillId="0" borderId="0"/>
    <xf numFmtId="0" fontId="23" fillId="0" borderId="0"/>
    <xf numFmtId="0" fontId="53" fillId="0" borderId="0"/>
    <xf numFmtId="0" fontId="1" fillId="0" borderId="0"/>
    <xf numFmtId="172" fontId="69" fillId="0" borderId="0"/>
    <xf numFmtId="0" fontId="83" fillId="0" borderId="0"/>
    <xf numFmtId="0" fontId="69" fillId="0" borderId="0"/>
    <xf numFmtId="0" fontId="69" fillId="0" borderId="0"/>
    <xf numFmtId="0" fontId="1" fillId="0" borderId="0"/>
    <xf numFmtId="0" fontId="1" fillId="0" borderId="0"/>
    <xf numFmtId="0" fontId="99" fillId="0" borderId="0" applyProtection="0"/>
    <xf numFmtId="0" fontId="100" fillId="0" borderId="0" applyProtection="0"/>
    <xf numFmtId="0" fontId="101" fillId="0" borderId="0" applyProtection="0"/>
    <xf numFmtId="0" fontId="102" fillId="0" borderId="0" applyProtection="0"/>
    <xf numFmtId="0" fontId="103" fillId="0" borderId="0" applyProtection="0"/>
    <xf numFmtId="0" fontId="104" fillId="0" borderId="0" applyProtection="0"/>
    <xf numFmtId="0" fontId="105" fillId="0" borderId="0" applyProtection="0"/>
    <xf numFmtId="179" fontId="106" fillId="0" borderId="0"/>
    <xf numFmtId="180" fontId="69" fillId="0" borderId="0"/>
    <xf numFmtId="172" fontId="83" fillId="0" borderId="0"/>
  </cellStyleXfs>
  <cellXfs count="892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165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2" fontId="20" fillId="0" borderId="1" xfId="0" applyNumberFormat="1" applyFont="1" applyBorder="1" applyAlignment="1">
      <alignment horizontal="center"/>
    </xf>
    <xf numFmtId="167" fontId="20" fillId="0" borderId="9" xfId="0" applyNumberFormat="1" applyFont="1" applyBorder="1" applyAlignment="1">
      <alignment horizontal="center"/>
    </xf>
    <xf numFmtId="166" fontId="20" fillId="0" borderId="11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167" fontId="20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1" fillId="0" borderId="1" xfId="0" applyNumberFormat="1" applyFont="1" applyBorder="1" applyAlignment="1">
      <alignment horizontal="center"/>
    </xf>
    <xf numFmtId="2" fontId="21" fillId="0" borderId="9" xfId="0" applyNumberFormat="1" applyFont="1" applyBorder="1" applyAlignment="1">
      <alignment horizontal="center"/>
    </xf>
    <xf numFmtId="166" fontId="21" fillId="0" borderId="1" xfId="0" applyNumberFormat="1" applyFont="1" applyBorder="1" applyAlignment="1">
      <alignment horizontal="center"/>
    </xf>
    <xf numFmtId="166" fontId="21" fillId="0" borderId="9" xfId="0" applyNumberFormat="1" applyFont="1" applyBorder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165" fontId="21" fillId="0" borderId="9" xfId="0" applyNumberFormat="1" applyFont="1" applyBorder="1" applyAlignment="1">
      <alignment horizontal="center"/>
    </xf>
    <xf numFmtId="167" fontId="21" fillId="0" borderId="1" xfId="0" applyNumberFormat="1" applyFont="1" applyBorder="1" applyAlignment="1">
      <alignment horizontal="center"/>
    </xf>
    <xf numFmtId="167" fontId="21" fillId="0" borderId="9" xfId="0" applyNumberFormat="1" applyFont="1" applyBorder="1" applyAlignment="1">
      <alignment horizontal="center"/>
    </xf>
    <xf numFmtId="166" fontId="21" fillId="0" borderId="11" xfId="0" applyNumberFormat="1" applyFont="1" applyBorder="1" applyAlignment="1">
      <alignment horizontal="center"/>
    </xf>
    <xf numFmtId="166" fontId="22" fillId="0" borderId="31" xfId="0" applyNumberFormat="1" applyFont="1" applyBorder="1" applyAlignment="1">
      <alignment horizontal="center"/>
    </xf>
    <xf numFmtId="166" fontId="22" fillId="0" borderId="51" xfId="0" applyNumberFormat="1" applyFont="1" applyBorder="1" applyAlignment="1">
      <alignment horizontal="center"/>
    </xf>
    <xf numFmtId="166" fontId="22" fillId="0" borderId="32" xfId="0" applyNumberFormat="1" applyFont="1" applyBorder="1" applyAlignment="1">
      <alignment horizontal="center"/>
    </xf>
    <xf numFmtId="0" fontId="25" fillId="0" borderId="0" xfId="1" applyFont="1"/>
    <xf numFmtId="0" fontId="26" fillId="0" borderId="0" xfId="1" applyFont="1"/>
    <xf numFmtId="0" fontId="28" fillId="5" borderId="0" xfId="1" applyFont="1" applyFill="1" applyAlignment="1">
      <alignment horizontal="right"/>
    </xf>
    <xf numFmtId="0" fontId="29" fillId="5" borderId="0" xfId="1" applyFont="1" applyFill="1"/>
    <xf numFmtId="0" fontId="30" fillId="5" borderId="0" xfId="1" applyFont="1" applyFill="1"/>
    <xf numFmtId="0" fontId="27" fillId="5" borderId="0" xfId="1" applyFont="1" applyFill="1" applyAlignment="1">
      <alignment horizontal="center"/>
    </xf>
    <xf numFmtId="0" fontId="31" fillId="0" borderId="52" xfId="1" applyFont="1" applyBorder="1" applyAlignment="1">
      <alignment horizontal="left" vertical="center"/>
    </xf>
    <xf numFmtId="0" fontId="31" fillId="0" borderId="53" xfId="1" applyFont="1" applyBorder="1" applyAlignment="1">
      <alignment vertical="center"/>
    </xf>
    <xf numFmtId="0" fontId="23" fillId="0" borderId="53" xfId="1" applyBorder="1"/>
    <xf numFmtId="0" fontId="31" fillId="0" borderId="54" xfId="1" applyFont="1" applyBorder="1" applyAlignment="1">
      <alignment horizontal="right" vertical="center"/>
    </xf>
    <xf numFmtId="0" fontId="19" fillId="0" borderId="0" xfId="1" applyFont="1"/>
    <xf numFmtId="0" fontId="32" fillId="0" borderId="52" xfId="1" applyFont="1" applyBorder="1"/>
    <xf numFmtId="0" fontId="19" fillId="0" borderId="54" xfId="1" applyFont="1" applyBorder="1"/>
    <xf numFmtId="0" fontId="32" fillId="0" borderId="54" xfId="1" applyFont="1" applyBorder="1"/>
    <xf numFmtId="0" fontId="33" fillId="0" borderId="0" xfId="1" applyFont="1"/>
    <xf numFmtId="0" fontId="34" fillId="5" borderId="13" xfId="1" applyFont="1" applyFill="1" applyBorder="1" applyAlignment="1">
      <alignment horizontal="center"/>
    </xf>
    <xf numFmtId="0" fontId="34" fillId="5" borderId="55" xfId="1" applyFont="1" applyFill="1" applyBorder="1" applyAlignment="1">
      <alignment horizontal="center"/>
    </xf>
    <xf numFmtId="0" fontId="34" fillId="5" borderId="0" xfId="1" quotePrefix="1" applyFont="1" applyFill="1" applyAlignment="1">
      <alignment horizontal="left"/>
    </xf>
    <xf numFmtId="0" fontId="35" fillId="5" borderId="56" xfId="1" applyFont="1" applyFill="1" applyBorder="1" applyAlignment="1">
      <alignment horizontal="right"/>
    </xf>
    <xf numFmtId="0" fontId="34" fillId="5" borderId="57" xfId="1" applyFont="1" applyFill="1" applyBorder="1" applyAlignment="1">
      <alignment horizontal="center"/>
    </xf>
    <xf numFmtId="0" fontId="34" fillId="5" borderId="21" xfId="1" applyFont="1" applyFill="1" applyBorder="1" applyAlignment="1">
      <alignment horizontal="center"/>
    </xf>
    <xf numFmtId="0" fontId="32" fillId="0" borderId="45" xfId="1" applyFont="1" applyBorder="1"/>
    <xf numFmtId="0" fontId="19" fillId="0" borderId="21" xfId="1" applyFont="1" applyBorder="1"/>
    <xf numFmtId="0" fontId="32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2" fillId="0" borderId="46" xfId="1" applyFont="1" applyBorder="1"/>
    <xf numFmtId="0" fontId="32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19" fillId="0" borderId="24" xfId="1" applyFont="1" applyBorder="1"/>
    <xf numFmtId="0" fontId="36" fillId="5" borderId="63" xfId="1" quotePrefix="1" applyFont="1" applyFill="1" applyBorder="1" applyAlignment="1">
      <alignment horizontal="left"/>
    </xf>
    <xf numFmtId="0" fontId="33" fillId="0" borderId="69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43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43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3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3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4" fillId="0" borderId="24" xfId="1" applyFont="1" applyBorder="1"/>
    <xf numFmtId="0" fontId="28" fillId="0" borderId="102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46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3" fillId="0" borderId="78" xfId="1" applyFont="1" applyBorder="1"/>
    <xf numFmtId="0" fontId="33" fillId="0" borderId="79" xfId="1" applyFont="1" applyBorder="1"/>
    <xf numFmtId="0" fontId="33" fillId="0" borderId="87" xfId="1" applyFont="1" applyBorder="1"/>
    <xf numFmtId="0" fontId="36" fillId="5" borderId="96" xfId="1" applyFont="1" applyFill="1" applyBorder="1"/>
    <xf numFmtId="0" fontId="43" fillId="5" borderId="64" xfId="1" applyFont="1" applyFill="1" applyBorder="1" applyAlignment="1">
      <alignment horizontal="right" shrinkToFit="1"/>
    </xf>
    <xf numFmtId="0" fontId="38" fillId="5" borderId="109" xfId="1" applyFont="1" applyFill="1" applyBorder="1" applyAlignment="1">
      <alignment horizontal="center"/>
    </xf>
    <xf numFmtId="0" fontId="36" fillId="5" borderId="83" xfId="1" applyFont="1" applyFill="1" applyBorder="1"/>
    <xf numFmtId="0" fontId="36" fillId="5" borderId="56" xfId="1" applyFont="1" applyFill="1" applyBorder="1"/>
    <xf numFmtId="0" fontId="43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43" fillId="5" borderId="56" xfId="1" applyFont="1" applyFill="1" applyBorder="1" applyAlignment="1">
      <alignment horizontal="right"/>
    </xf>
    <xf numFmtId="0" fontId="43" fillId="5" borderId="64" xfId="1" applyFont="1" applyFill="1" applyBorder="1"/>
    <xf numFmtId="0" fontId="47" fillId="0" borderId="0" xfId="1" applyFont="1"/>
    <xf numFmtId="0" fontId="36" fillId="5" borderId="111" xfId="1" applyFont="1" applyFill="1" applyBorder="1"/>
    <xf numFmtId="0" fontId="36" fillId="5" borderId="112" xfId="1" applyFont="1" applyFill="1" applyBorder="1"/>
    <xf numFmtId="0" fontId="36" fillId="5" borderId="113" xfId="1" applyFont="1" applyFill="1" applyBorder="1"/>
    <xf numFmtId="0" fontId="43" fillId="5" borderId="113" xfId="1" applyFont="1" applyFill="1" applyBorder="1"/>
    <xf numFmtId="167" fontId="38" fillId="5" borderId="113" xfId="1" applyNumberFormat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48" fillId="0" borderId="0" xfId="1" quotePrefix="1" applyFont="1" applyAlignment="1">
      <alignment horizontal="left"/>
    </xf>
    <xf numFmtId="0" fontId="33" fillId="0" borderId="0" xfId="2" applyFont="1"/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167" fontId="38" fillId="5" borderId="70" xfId="1" applyNumberFormat="1" applyFont="1" applyFill="1" applyBorder="1" applyAlignment="1">
      <alignment horizontal="center"/>
    </xf>
    <xf numFmtId="1" fontId="33" fillId="0" borderId="0" xfId="1" applyNumberFormat="1" applyFont="1"/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28" fillId="5" borderId="80" xfId="1" applyFont="1" applyFill="1" applyBorder="1" applyAlignment="1">
      <alignment horizontal="left"/>
    </xf>
    <xf numFmtId="0" fontId="28" fillId="5" borderId="81" xfId="1" applyFont="1" applyFill="1" applyBorder="1" applyAlignment="1">
      <alignment horizontal="left"/>
    </xf>
    <xf numFmtId="0" fontId="28" fillId="5" borderId="82" xfId="1" applyFont="1" applyFill="1" applyBorder="1" applyAlignment="1">
      <alignment horizontal="left"/>
    </xf>
    <xf numFmtId="0" fontId="30" fillId="5" borderId="83" xfId="1" applyFont="1" applyFill="1" applyBorder="1"/>
    <xf numFmtId="0" fontId="30" fillId="5" borderId="68" xfId="1" applyFont="1" applyFill="1" applyBorder="1" applyAlignment="1">
      <alignment horizontal="left"/>
    </xf>
    <xf numFmtId="0" fontId="30" fillId="5" borderId="74" xfId="1" applyFont="1" applyFill="1" applyBorder="1" applyAlignment="1">
      <alignment horizontal="left"/>
    </xf>
    <xf numFmtId="0" fontId="49" fillId="0" borderId="0" xfId="1" applyFont="1"/>
    <xf numFmtId="0" fontId="36" fillId="0" borderId="114" xfId="1" applyFont="1" applyBorder="1"/>
    <xf numFmtId="0" fontId="36" fillId="5" borderId="117" xfId="1" applyFont="1" applyFill="1" applyBorder="1"/>
    <xf numFmtId="0" fontId="30" fillId="5" borderId="45" xfId="1" applyFont="1" applyFill="1" applyBorder="1"/>
    <xf numFmtId="0" fontId="36" fillId="5" borderId="119" xfId="1" applyFont="1" applyFill="1" applyBorder="1"/>
    <xf numFmtId="0" fontId="36" fillId="5" borderId="23" xfId="1" applyFont="1" applyFill="1" applyBorder="1"/>
    <xf numFmtId="0" fontId="30" fillId="0" borderId="23" xfId="1" applyFont="1" applyBorder="1"/>
    <xf numFmtId="0" fontId="30" fillId="5" borderId="123" xfId="1" applyFont="1" applyFill="1" applyBorder="1" applyAlignment="1">
      <alignment horizontal="left"/>
    </xf>
    <xf numFmtId="0" fontId="30" fillId="5" borderId="124" xfId="1" applyFont="1" applyFill="1" applyBorder="1" applyAlignment="1">
      <alignment horizontal="left"/>
    </xf>
    <xf numFmtId="0" fontId="30" fillId="0" borderId="0" xfId="1" applyFont="1"/>
    <xf numFmtId="0" fontId="53" fillId="0" borderId="6" xfId="3" applyBorder="1"/>
    <xf numFmtId="0" fontId="53" fillId="0" borderId="7" xfId="3" applyBorder="1"/>
    <xf numFmtId="0" fontId="53" fillId="0" borderId="41" xfId="3" applyBorder="1"/>
    <xf numFmtId="0" fontId="53" fillId="0" borderId="41" xfId="3" applyBorder="1" applyAlignment="1">
      <alignment horizontal="center"/>
    </xf>
    <xf numFmtId="0" fontId="54" fillId="0" borderId="41" xfId="3" applyFont="1" applyBorder="1" applyAlignment="1">
      <alignment horizontal="center"/>
    </xf>
    <xf numFmtId="0" fontId="53" fillId="0" borderId="0" xfId="3"/>
    <xf numFmtId="0" fontId="55" fillId="0" borderId="125" xfId="3" applyFont="1" applyBorder="1" applyAlignment="1">
      <alignment horizontal="center"/>
    </xf>
    <xf numFmtId="0" fontId="53" fillId="0" borderId="125" xfId="3" applyBorder="1" applyAlignment="1">
      <alignment horizontal="center"/>
    </xf>
    <xf numFmtId="0" fontId="54" fillId="0" borderId="125" xfId="3" applyFont="1" applyBorder="1" applyAlignment="1">
      <alignment horizontal="center"/>
    </xf>
    <xf numFmtId="0" fontId="55" fillId="0" borderId="45" xfId="3" applyFont="1" applyBorder="1" applyAlignment="1">
      <alignment horizontal="center"/>
    </xf>
    <xf numFmtId="0" fontId="55" fillId="0" borderId="0" xfId="3" applyFont="1" applyAlignment="1">
      <alignment horizontal="center"/>
    </xf>
    <xf numFmtId="0" fontId="53" fillId="0" borderId="45" xfId="3" applyBorder="1"/>
    <xf numFmtId="0" fontId="56" fillId="0" borderId="0" xfId="3" applyFont="1"/>
    <xf numFmtId="0" fontId="53" fillId="0" borderId="125" xfId="3" applyBorder="1"/>
    <xf numFmtId="0" fontId="54" fillId="0" borderId="0" xfId="3" applyFont="1"/>
    <xf numFmtId="0" fontId="54" fillId="0" borderId="125" xfId="3" applyFont="1" applyBorder="1"/>
    <xf numFmtId="170" fontId="53" fillId="0" borderId="3" xfId="3" applyNumberFormat="1" applyBorder="1"/>
    <xf numFmtId="49" fontId="53" fillId="0" borderId="1" xfId="3" applyNumberFormat="1" applyBorder="1" applyAlignment="1">
      <alignment horizontal="center"/>
    </xf>
    <xf numFmtId="49" fontId="53" fillId="0" borderId="1" xfId="3" applyNumberFormat="1" applyBorder="1"/>
    <xf numFmtId="49" fontId="54" fillId="0" borderId="1" xfId="3" applyNumberFormat="1" applyFont="1" applyBorder="1"/>
    <xf numFmtId="171" fontId="54" fillId="0" borderId="1" xfId="3" applyNumberFormat="1" applyFont="1" applyBorder="1"/>
    <xf numFmtId="0" fontId="53" fillId="0" borderId="1" xfId="3" applyBorder="1"/>
    <xf numFmtId="0" fontId="53" fillId="0" borderId="9" xfId="3" applyBorder="1"/>
    <xf numFmtId="171" fontId="53" fillId="0" borderId="1" xfId="3" applyNumberFormat="1" applyBorder="1"/>
    <xf numFmtId="0" fontId="53" fillId="0" borderId="1" xfId="3" applyBorder="1" applyAlignment="1">
      <alignment horizontal="center"/>
    </xf>
    <xf numFmtId="170" fontId="53" fillId="0" borderId="18" xfId="3" applyNumberFormat="1" applyBorder="1"/>
    <xf numFmtId="49" fontId="53" fillId="0" borderId="26" xfId="3" applyNumberFormat="1" applyBorder="1"/>
    <xf numFmtId="171" fontId="53" fillId="0" borderId="26" xfId="3" applyNumberFormat="1" applyBorder="1"/>
    <xf numFmtId="0" fontId="53" fillId="0" borderId="26" xfId="3" applyBorder="1"/>
    <xf numFmtId="0" fontId="53" fillId="0" borderId="126" xfId="3" applyBorder="1"/>
    <xf numFmtId="0" fontId="54" fillId="0" borderId="127" xfId="3" applyFont="1" applyBorder="1" applyAlignment="1">
      <alignment horizontal="center"/>
    </xf>
    <xf numFmtId="0" fontId="54" fillId="0" borderId="128" xfId="3" applyFont="1" applyBorder="1" applyAlignment="1">
      <alignment horizontal="center"/>
    </xf>
    <xf numFmtId="49" fontId="54" fillId="0" borderId="2" xfId="3" applyNumberFormat="1" applyFont="1" applyBorder="1" applyAlignment="1">
      <alignment horizontal="center"/>
    </xf>
    <xf numFmtId="0" fontId="53" fillId="0" borderId="55" xfId="3" applyBorder="1" applyAlignment="1">
      <alignment horizontal="left"/>
    </xf>
    <xf numFmtId="49" fontId="53" fillId="0" borderId="3" xfId="3" applyNumberFormat="1" applyBorder="1"/>
    <xf numFmtId="0" fontId="53" fillId="0" borderId="130" xfId="3" applyBorder="1" applyAlignment="1">
      <alignment horizontal="left"/>
    </xf>
    <xf numFmtId="49" fontId="53" fillId="0" borderId="4" xfId="3" applyNumberFormat="1" applyBorder="1"/>
    <xf numFmtId="0" fontId="53" fillId="0" borderId="131" xfId="3" applyBorder="1" applyAlignment="1">
      <alignment horizontal="left"/>
    </xf>
    <xf numFmtId="0" fontId="30" fillId="5" borderId="72" xfId="1" applyFont="1" applyFill="1" applyBorder="1" applyAlignment="1">
      <alignment horizontal="left"/>
    </xf>
    <xf numFmtId="0" fontId="30" fillId="5" borderId="84" xfId="1" applyFont="1" applyFill="1" applyBorder="1" applyAlignment="1">
      <alignment horizontal="left"/>
    </xf>
    <xf numFmtId="168" fontId="33" fillId="0" borderId="0" xfId="1" applyNumberFormat="1" applyFont="1"/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7" fontId="2" fillId="0" borderId="132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4" fillId="0" borderId="0" xfId="4" applyFont="1"/>
    <xf numFmtId="0" fontId="59" fillId="0" borderId="0" xfId="4" applyFont="1"/>
    <xf numFmtId="0" fontId="60" fillId="0" borderId="26" xfId="4" applyFont="1" applyBorder="1" applyAlignment="1">
      <alignment horizontal="center"/>
    </xf>
    <xf numFmtId="0" fontId="60" fillId="0" borderId="28" xfId="4" applyFont="1" applyBorder="1" applyAlignment="1">
      <alignment horizontal="center"/>
    </xf>
    <xf numFmtId="0" fontId="59" fillId="0" borderId="1" xfId="4" applyFont="1" applyBorder="1" applyAlignment="1">
      <alignment horizontal="center"/>
    </xf>
    <xf numFmtId="0" fontId="60" fillId="0" borderId="1" xfId="4" applyFont="1" applyBorder="1" applyAlignment="1">
      <alignment horizontal="right"/>
    </xf>
    <xf numFmtId="0" fontId="60" fillId="0" borderId="1" xfId="4" applyFont="1" applyBorder="1" applyAlignment="1">
      <alignment horizontal="center"/>
    </xf>
    <xf numFmtId="0" fontId="59" fillId="0" borderId="129" xfId="4" applyFont="1" applyBorder="1" applyAlignment="1">
      <alignment horizontal="center"/>
    </xf>
    <xf numFmtId="0" fontId="59" fillId="0" borderId="130" xfId="4" quotePrefix="1" applyFont="1" applyBorder="1" applyAlignment="1">
      <alignment horizontal="center"/>
    </xf>
    <xf numFmtId="0" fontId="59" fillId="0" borderId="130" xfId="4" applyFont="1" applyBorder="1" applyAlignment="1">
      <alignment horizontal="center"/>
    </xf>
    <xf numFmtId="0" fontId="60" fillId="0" borderId="0" xfId="4" applyFont="1" applyAlignment="1">
      <alignment horizontal="right"/>
    </xf>
    <xf numFmtId="0" fontId="62" fillId="0" borderId="61" xfId="4" applyFont="1" applyBorder="1"/>
    <xf numFmtId="0" fontId="62" fillId="0" borderId="62" xfId="4" applyFont="1" applyBorder="1"/>
    <xf numFmtId="0" fontId="62" fillId="0" borderId="38" xfId="4" applyFont="1" applyBorder="1"/>
    <xf numFmtId="0" fontId="63" fillId="0" borderId="83" xfId="4" applyFont="1" applyBorder="1" applyAlignment="1">
      <alignment horizontal="centerContinuous"/>
    </xf>
    <xf numFmtId="0" fontId="62" fillId="0" borderId="0" xfId="4" applyFont="1" applyAlignment="1">
      <alignment horizontal="centerContinuous"/>
    </xf>
    <xf numFmtId="0" fontId="62" fillId="0" borderId="108" xfId="4" applyFont="1" applyBorder="1" applyAlignment="1">
      <alignment horizontal="centerContinuous"/>
    </xf>
    <xf numFmtId="0" fontId="64" fillId="0" borderId="83" xfId="4" applyFont="1" applyBorder="1" applyAlignment="1">
      <alignment horizontal="centerContinuous"/>
    </xf>
    <xf numFmtId="0" fontId="62" fillId="0" borderId="83" xfId="4" applyFont="1" applyBorder="1"/>
    <xf numFmtId="0" fontId="62" fillId="0" borderId="0" xfId="4" applyFont="1"/>
    <xf numFmtId="0" fontId="62" fillId="0" borderId="108" xfId="4" applyFont="1" applyBorder="1"/>
    <xf numFmtId="0" fontId="65" fillId="0" borderId="1" xfId="4" applyFont="1" applyBorder="1" applyAlignment="1">
      <alignment horizontal="right"/>
    </xf>
    <xf numFmtId="0" fontId="62" fillId="0" borderId="1" xfId="4" applyFont="1" applyBorder="1" applyAlignment="1">
      <alignment horizontal="center"/>
    </xf>
    <xf numFmtId="14" fontId="62" fillId="0" borderId="1" xfId="4" applyNumberFormat="1" applyFont="1" applyBorder="1" applyAlignment="1">
      <alignment horizontal="center"/>
    </xf>
    <xf numFmtId="0" fontId="65" fillId="0" borderId="0" xfId="4" applyFont="1" applyAlignment="1">
      <alignment horizontal="right"/>
    </xf>
    <xf numFmtId="0" fontId="62" fillId="0" borderId="0" xfId="4" applyFont="1" applyAlignment="1">
      <alignment horizontal="center"/>
    </xf>
    <xf numFmtId="9" fontId="62" fillId="0" borderId="0" xfId="4" applyNumberFormat="1" applyFont="1" applyAlignment="1">
      <alignment horizontal="center"/>
    </xf>
    <xf numFmtId="0" fontId="65" fillId="0" borderId="83" xfId="4" applyFont="1" applyBorder="1" applyAlignment="1">
      <alignment horizontal="right"/>
    </xf>
    <xf numFmtId="0" fontId="62" fillId="0" borderId="40" xfId="4" applyFont="1" applyBorder="1"/>
    <xf numFmtId="0" fontId="62" fillId="0" borderId="39" xfId="4" applyFont="1" applyBorder="1" applyAlignment="1">
      <alignment horizontal="center"/>
    </xf>
    <xf numFmtId="0" fontId="62" fillId="0" borderId="85" xfId="4" applyFont="1" applyBorder="1"/>
    <xf numFmtId="0" fontId="65" fillId="0" borderId="17" xfId="4" applyFont="1" applyBorder="1" applyAlignment="1">
      <alignment horizontal="right"/>
    </xf>
    <xf numFmtId="0" fontId="62" fillId="0" borderId="130" xfId="4" applyFont="1" applyBorder="1"/>
    <xf numFmtId="167" fontId="3" fillId="0" borderId="0" xfId="4" quotePrefix="1" applyNumberFormat="1" applyFont="1" applyAlignment="1">
      <alignment horizontal="center"/>
    </xf>
    <xf numFmtId="167" fontId="2" fillId="0" borderId="0" xfId="4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67" fillId="0" borderId="0" xfId="4" applyFont="1"/>
    <xf numFmtId="0" fontId="68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18" fillId="0" borderId="0" xfId="4" applyFont="1"/>
    <xf numFmtId="167" fontId="3" fillId="0" borderId="133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4" xfId="4" applyNumberFormat="1" applyFont="1" applyBorder="1" applyAlignment="1">
      <alignment horizontal="center"/>
    </xf>
    <xf numFmtId="167" fontId="3" fillId="0" borderId="135" xfId="4" quotePrefix="1" applyNumberFormat="1" applyFont="1" applyBorder="1" applyAlignment="1">
      <alignment horizontal="center"/>
    </xf>
    <xf numFmtId="167" fontId="2" fillId="0" borderId="130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1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72" fontId="70" fillId="0" borderId="6" xfId="5" applyFont="1" applyBorder="1" applyAlignment="1">
      <alignment horizontal="centerContinuous"/>
    </xf>
    <xf numFmtId="172" fontId="70" fillId="0" borderId="7" xfId="5" applyFont="1" applyBorder="1" applyAlignment="1">
      <alignment horizontal="centerContinuous"/>
    </xf>
    <xf numFmtId="172" fontId="71" fillId="0" borderId="12" xfId="5" applyFont="1" applyBorder="1" applyAlignment="1">
      <alignment horizontal="left"/>
    </xf>
    <xf numFmtId="172" fontId="72" fillId="0" borderId="55" xfId="5" applyFont="1" applyBorder="1"/>
    <xf numFmtId="172" fontId="71" fillId="0" borderId="13" xfId="5" applyFont="1" applyBorder="1" applyAlignment="1">
      <alignment horizontal="centerContinuous"/>
    </xf>
    <xf numFmtId="172" fontId="72" fillId="0" borderId="14" xfId="5" applyFont="1" applyBorder="1" applyAlignment="1">
      <alignment horizontal="centerContinuous"/>
    </xf>
    <xf numFmtId="172" fontId="73" fillId="0" borderId="0" xfId="5" applyFont="1"/>
    <xf numFmtId="172" fontId="69" fillId="0" borderId="0" xfId="5"/>
    <xf numFmtId="172" fontId="70" fillId="0" borderId="45" xfId="5" applyFont="1" applyBorder="1" applyAlignment="1">
      <alignment horizontal="centerContinuous"/>
    </xf>
    <xf numFmtId="172" fontId="70" fillId="0" borderId="0" xfId="5" applyFont="1" applyAlignment="1">
      <alignment horizontal="centerContinuous"/>
    </xf>
    <xf numFmtId="172" fontId="71" fillId="0" borderId="110" xfId="5" applyFont="1" applyBorder="1" applyAlignment="1">
      <alignment horizontal="left"/>
    </xf>
    <xf numFmtId="172" fontId="72" fillId="0" borderId="39" xfId="5" applyFont="1" applyBorder="1"/>
    <xf numFmtId="172" fontId="71" fillId="0" borderId="40" xfId="5" applyFont="1" applyBorder="1" applyAlignment="1">
      <alignment horizontal="centerContinuous"/>
    </xf>
    <xf numFmtId="172" fontId="72" fillId="0" borderId="29" xfId="5" applyFont="1" applyBorder="1" applyAlignment="1">
      <alignment horizontal="centerContinuous"/>
    </xf>
    <xf numFmtId="172" fontId="72" fillId="0" borderId="45" xfId="5" applyFont="1" applyBorder="1" applyAlignment="1">
      <alignment horizontal="centerContinuous"/>
    </xf>
    <xf numFmtId="172" fontId="72" fillId="0" borderId="0" xfId="5" applyFont="1" applyAlignment="1">
      <alignment horizontal="centerContinuous"/>
    </xf>
    <xf numFmtId="172" fontId="71" fillId="0" borderId="40" xfId="5" quotePrefix="1" applyFont="1" applyBorder="1" applyAlignment="1">
      <alignment horizontal="centerContinuous"/>
    </xf>
    <xf numFmtId="172" fontId="74" fillId="0" borderId="45" xfId="5" applyFont="1" applyBorder="1" applyAlignment="1">
      <alignment horizontal="centerContinuous"/>
    </xf>
    <xf numFmtId="172" fontId="73" fillId="0" borderId="45" xfId="5" applyFont="1" applyBorder="1" applyAlignment="1">
      <alignment horizontal="centerContinuous"/>
    </xf>
    <xf numFmtId="172" fontId="73" fillId="0" borderId="46" xfId="5" applyFont="1" applyBorder="1" applyAlignment="1">
      <alignment horizontal="centerContinuous"/>
    </xf>
    <xf numFmtId="172" fontId="72" fillId="0" borderId="23" xfId="5" applyFont="1" applyBorder="1" applyAlignment="1">
      <alignment horizontal="centerContinuous"/>
    </xf>
    <xf numFmtId="172" fontId="71" fillId="0" borderId="46" xfId="5" applyFont="1" applyBorder="1" applyAlignment="1">
      <alignment horizontal="left"/>
    </xf>
    <xf numFmtId="172" fontId="72" fillId="0" borderId="48" xfId="5" applyFont="1" applyBorder="1"/>
    <xf numFmtId="172" fontId="75" fillId="0" borderId="23" xfId="5" applyFont="1" applyBorder="1" applyAlignment="1">
      <alignment horizontal="centerContinuous"/>
    </xf>
    <xf numFmtId="172" fontId="72" fillId="0" borderId="24" xfId="5" applyFont="1" applyBorder="1" applyAlignment="1">
      <alignment horizontal="centerContinuous"/>
    </xf>
    <xf numFmtId="172" fontId="73" fillId="0" borderId="0" xfId="5" applyFont="1" applyAlignment="1">
      <alignment horizontal="centerContinuous"/>
    </xf>
    <xf numFmtId="172" fontId="71" fillId="0" borderId="0" xfId="5" applyFont="1" applyAlignment="1">
      <alignment horizontal="left"/>
    </xf>
    <xf numFmtId="172" fontId="72" fillId="0" borderId="0" xfId="5" applyFont="1"/>
    <xf numFmtId="172" fontId="71" fillId="0" borderId="0" xfId="5" applyFont="1" applyAlignment="1">
      <alignment horizontal="centerContinuous"/>
    </xf>
    <xf numFmtId="172" fontId="76" fillId="0" borderId="0" xfId="5" applyFont="1"/>
    <xf numFmtId="172" fontId="76" fillId="0" borderId="0" xfId="5" applyFont="1" applyAlignment="1">
      <alignment horizontal="right"/>
    </xf>
    <xf numFmtId="172" fontId="76" fillId="0" borderId="0" xfId="5" applyFont="1" applyAlignment="1" applyProtection="1">
      <alignment horizontal="left"/>
      <protection locked="0"/>
    </xf>
    <xf numFmtId="172" fontId="76" fillId="0" borderId="0" xfId="5" applyFont="1" applyAlignment="1">
      <alignment horizontal="centerContinuous"/>
    </xf>
    <xf numFmtId="172" fontId="76" fillId="0" borderId="0" xfId="5" applyFont="1" applyAlignment="1">
      <alignment horizontal="left"/>
    </xf>
    <xf numFmtId="49" fontId="76" fillId="0" borderId="0" xfId="5" quotePrefix="1" applyNumberFormat="1" applyFont="1" applyAlignment="1" applyProtection="1">
      <alignment horizontal="left"/>
      <protection locked="0"/>
    </xf>
    <xf numFmtId="172" fontId="77" fillId="0" borderId="136" xfId="5" applyFont="1" applyBorder="1" applyAlignment="1">
      <alignment horizontal="centerContinuous"/>
    </xf>
    <xf numFmtId="172" fontId="73" fillId="0" borderId="137" xfId="5" applyFont="1" applyBorder="1" applyAlignment="1">
      <alignment horizontal="centerContinuous"/>
    </xf>
    <xf numFmtId="172" fontId="73" fillId="0" borderId="138" xfId="5" applyFont="1" applyBorder="1" applyAlignment="1">
      <alignment horizontal="centerContinuous"/>
    </xf>
    <xf numFmtId="172" fontId="76" fillId="0" borderId="45" xfId="5" applyFont="1" applyBorder="1"/>
    <xf numFmtId="172" fontId="76" fillId="0" borderId="0" xfId="5" applyFont="1" applyAlignment="1" applyProtection="1">
      <alignment horizontal="center"/>
      <protection locked="0"/>
    </xf>
    <xf numFmtId="172" fontId="76" fillId="0" borderId="21" xfId="5" applyFont="1" applyBorder="1" applyAlignment="1" applyProtection="1">
      <alignment horizontal="center"/>
      <protection locked="0"/>
    </xf>
    <xf numFmtId="172" fontId="76" fillId="0" borderId="0" xfId="5" applyFont="1" applyAlignment="1">
      <alignment horizontal="center"/>
    </xf>
    <xf numFmtId="49" fontId="76" fillId="0" borderId="0" xfId="5" applyNumberFormat="1" applyFont="1" applyAlignment="1">
      <alignment horizontal="center"/>
    </xf>
    <xf numFmtId="172" fontId="76" fillId="0" borderId="0" xfId="5" quotePrefix="1" applyFont="1" applyAlignment="1">
      <alignment horizontal="right"/>
    </xf>
    <xf numFmtId="172" fontId="76" fillId="0" borderId="0" xfId="5" quotePrefix="1" applyFont="1" applyAlignment="1" applyProtection="1">
      <alignment horizontal="center"/>
      <protection locked="0"/>
    </xf>
    <xf numFmtId="172" fontId="76" fillId="0" borderId="21" xfId="5" applyFont="1" applyBorder="1"/>
    <xf numFmtId="172" fontId="76" fillId="0" borderId="46" xfId="5" applyFont="1" applyBorder="1"/>
    <xf numFmtId="172" fontId="76" fillId="0" borderId="23" xfId="5" applyFont="1" applyBorder="1" applyAlignment="1">
      <alignment horizontal="right"/>
    </xf>
    <xf numFmtId="167" fontId="76" fillId="0" borderId="23" xfId="5" quotePrefix="1" applyNumberFormat="1" applyFont="1" applyBorder="1" applyAlignment="1" applyProtection="1">
      <alignment horizontal="center"/>
      <protection locked="0"/>
    </xf>
    <xf numFmtId="172" fontId="76" fillId="0" borderId="23" xfId="5" applyFont="1" applyBorder="1"/>
    <xf numFmtId="167" fontId="76" fillId="0" borderId="23" xfId="5" applyNumberFormat="1" applyFont="1" applyBorder="1"/>
    <xf numFmtId="172" fontId="76" fillId="0" borderId="24" xfId="5" applyFont="1" applyBorder="1"/>
    <xf numFmtId="172" fontId="78" fillId="0" borderId="45" xfId="5" quotePrefix="1" applyFont="1" applyBorder="1" applyAlignment="1">
      <alignment horizontal="left"/>
    </xf>
    <xf numFmtId="172" fontId="72" fillId="0" borderId="0" xfId="5" quotePrefix="1" applyFont="1" applyAlignment="1">
      <alignment horizontal="right"/>
    </xf>
    <xf numFmtId="172" fontId="72" fillId="0" borderId="108" xfId="5" applyFont="1" applyBorder="1"/>
    <xf numFmtId="172" fontId="78" fillId="0" borderId="0" xfId="5" applyFont="1" applyAlignment="1">
      <alignment horizontal="left"/>
    </xf>
    <xf numFmtId="172" fontId="72" fillId="0" borderId="0" xfId="5" applyFont="1" applyAlignment="1">
      <alignment horizontal="right"/>
    </xf>
    <xf numFmtId="172" fontId="72" fillId="0" borderId="108" xfId="5" applyFont="1" applyBorder="1" applyAlignment="1">
      <alignment horizontal="right"/>
    </xf>
    <xf numFmtId="172" fontId="78" fillId="0" borderId="0" xfId="5" quotePrefix="1" applyFont="1" applyAlignment="1">
      <alignment horizontal="left"/>
    </xf>
    <xf numFmtId="172" fontId="72" fillId="0" borderId="21" xfId="5" applyFont="1" applyBorder="1"/>
    <xf numFmtId="172" fontId="69" fillId="0" borderId="45" xfId="5" applyBorder="1"/>
    <xf numFmtId="172" fontId="76" fillId="0" borderId="108" xfId="5" applyFont="1" applyBorder="1" applyAlignment="1" applyProtection="1">
      <alignment horizontal="center"/>
      <protection locked="0"/>
    </xf>
    <xf numFmtId="1" fontId="76" fillId="0" borderId="108" xfId="5" applyNumberFormat="1" applyFont="1" applyBorder="1" applyAlignment="1">
      <alignment horizontal="center"/>
    </xf>
    <xf numFmtId="172" fontId="76" fillId="0" borderId="108" xfId="5" applyFont="1" applyBorder="1"/>
    <xf numFmtId="172" fontId="76" fillId="0" borderId="48" xfId="5" applyFont="1" applyBorder="1"/>
    <xf numFmtId="172" fontId="76" fillId="0" borderId="48" xfId="5" applyFont="1" applyBorder="1" applyAlignment="1">
      <alignment horizontal="left"/>
    </xf>
    <xf numFmtId="172" fontId="77" fillId="0" borderId="139" xfId="5" applyFont="1" applyBorder="1" applyAlignment="1">
      <alignment horizontal="centerContinuous"/>
    </xf>
    <xf numFmtId="172" fontId="73" fillId="0" borderId="140" xfId="5" applyFont="1" applyBorder="1" applyAlignment="1">
      <alignment horizontal="centerContinuous"/>
    </xf>
    <xf numFmtId="172" fontId="69" fillId="0" borderId="141" xfId="5" applyBorder="1"/>
    <xf numFmtId="172" fontId="73" fillId="0" borderId="142" xfId="5" applyFont="1" applyBorder="1" applyAlignment="1">
      <alignment horizontal="centerContinuous"/>
    </xf>
    <xf numFmtId="172" fontId="78" fillId="0" borderId="45" xfId="5" applyFont="1" applyBorder="1" applyAlignment="1">
      <alignment horizontal="left"/>
    </xf>
    <xf numFmtId="172" fontId="69" fillId="0" borderId="108" xfId="5" applyBorder="1"/>
    <xf numFmtId="167" fontId="76" fillId="0" borderId="0" xfId="5" applyNumberFormat="1" applyFont="1" applyAlignment="1" applyProtection="1">
      <alignment horizontal="center"/>
      <protection locked="0"/>
    </xf>
    <xf numFmtId="172" fontId="76" fillId="0" borderId="45" xfId="5" applyFont="1" applyBorder="1" applyAlignment="1">
      <alignment horizontal="left"/>
    </xf>
    <xf numFmtId="172" fontId="69" fillId="0" borderId="48" xfId="5" applyBorder="1"/>
    <xf numFmtId="172" fontId="73" fillId="0" borderId="0" xfId="5" applyFont="1" applyAlignment="1">
      <alignment horizontal="left"/>
    </xf>
    <xf numFmtId="172" fontId="73" fillId="0" borderId="139" xfId="5" applyFont="1" applyBorder="1"/>
    <xf numFmtId="172" fontId="72" fillId="0" borderId="140" xfId="5" applyFont="1" applyBorder="1" applyAlignment="1">
      <alignment horizontal="left"/>
    </xf>
    <xf numFmtId="172" fontId="72" fillId="0" borderId="142" xfId="5" applyFont="1" applyBorder="1" applyAlignment="1">
      <alignment horizontal="left"/>
    </xf>
    <xf numFmtId="172" fontId="76" fillId="0" borderId="45" xfId="5" quotePrefix="1" applyFont="1" applyBorder="1" applyAlignment="1">
      <alignment horizontal="left"/>
    </xf>
    <xf numFmtId="172" fontId="76" fillId="0" borderId="21" xfId="5" applyFont="1" applyBorder="1" applyAlignment="1">
      <alignment horizontal="left"/>
    </xf>
    <xf numFmtId="172" fontId="79" fillId="0" borderId="143" xfId="5" applyFont="1" applyBorder="1"/>
    <xf numFmtId="172" fontId="76" fillId="0" borderId="0" xfId="5" quotePrefix="1" applyFont="1" applyAlignment="1">
      <alignment horizontal="left"/>
    </xf>
    <xf numFmtId="172" fontId="76" fillId="0" borderId="144" xfId="5" quotePrefix="1" applyFont="1" applyBorder="1" applyAlignment="1">
      <alignment horizontal="left"/>
    </xf>
    <xf numFmtId="172" fontId="76" fillId="0" borderId="145" xfId="5" quotePrefix="1" applyFont="1" applyBorder="1" applyAlignment="1">
      <alignment horizontal="left"/>
    </xf>
    <xf numFmtId="172" fontId="76" fillId="0" borderId="46" xfId="5" applyFont="1" applyBorder="1" applyAlignment="1">
      <alignment horizontal="left"/>
    </xf>
    <xf numFmtId="172" fontId="76" fillId="0" borderId="23" xfId="5" applyFont="1" applyBorder="1" applyAlignment="1">
      <alignment horizontal="left"/>
    </xf>
    <xf numFmtId="172" fontId="76" fillId="0" borderId="24" xfId="5" applyFont="1" applyBorder="1" applyAlignment="1">
      <alignment horizontal="left"/>
    </xf>
    <xf numFmtId="172" fontId="72" fillId="0" borderId="0" xfId="5" applyFont="1" applyAlignment="1">
      <alignment horizontal="left"/>
    </xf>
    <xf numFmtId="172" fontId="80" fillId="0" borderId="0" xfId="5" applyFont="1" applyAlignment="1">
      <alignment horizontal="right"/>
    </xf>
    <xf numFmtId="172" fontId="69" fillId="0" borderId="0" xfId="5" applyAlignment="1">
      <alignment horizontal="right"/>
    </xf>
    <xf numFmtId="49" fontId="62" fillId="0" borderId="40" xfId="4" applyNumberFormat="1" applyFont="1" applyBorder="1"/>
    <xf numFmtId="0" fontId="1" fillId="0" borderId="0" xfId="4" applyAlignment="1">
      <alignment horizontal="center"/>
    </xf>
    <xf numFmtId="0" fontId="2" fillId="0" borderId="42" xfId="4" applyFont="1" applyBorder="1" applyAlignment="1">
      <alignment horizontal="center"/>
    </xf>
    <xf numFmtId="0" fontId="2" fillId="0" borderId="24" xfId="4" applyFont="1" applyBorder="1" applyAlignment="1">
      <alignment horizontal="center"/>
    </xf>
    <xf numFmtId="0" fontId="1" fillId="0" borderId="0" xfId="4" applyAlignment="1">
      <alignment horizontal="right"/>
    </xf>
    <xf numFmtId="0" fontId="1" fillId="6" borderId="0" xfId="4" applyFill="1"/>
    <xf numFmtId="0" fontId="1" fillId="7" borderId="0" xfId="4" applyFill="1"/>
    <xf numFmtId="0" fontId="82" fillId="5" borderId="118" xfId="2" applyFont="1" applyFill="1" applyBorder="1" applyAlignment="1">
      <alignment horizontal="center"/>
    </xf>
    <xf numFmtId="14" fontId="19" fillId="5" borderId="122" xfId="2" applyNumberFormat="1" applyFont="1" applyFill="1" applyBorder="1" applyAlignment="1">
      <alignment horizontal="center"/>
    </xf>
    <xf numFmtId="0" fontId="34" fillId="5" borderId="81" xfId="2" applyFont="1" applyFill="1" applyBorder="1" applyAlignment="1">
      <alignment horizontal="left"/>
    </xf>
    <xf numFmtId="0" fontId="34" fillId="5" borderId="72" xfId="2" applyFont="1" applyFill="1" applyBorder="1" applyAlignment="1">
      <alignment horizontal="left"/>
    </xf>
    <xf numFmtId="172" fontId="70" fillId="0" borderId="6" xfId="6" applyNumberFormat="1" applyFont="1" applyBorder="1" applyAlignment="1">
      <alignment horizontal="centerContinuous"/>
    </xf>
    <xf numFmtId="172" fontId="70" fillId="0" borderId="7" xfId="6" applyNumberFormat="1" applyFont="1" applyBorder="1" applyAlignment="1">
      <alignment horizontal="centerContinuous"/>
    </xf>
    <xf numFmtId="172" fontId="71" fillId="0" borderId="12" xfId="6" applyNumberFormat="1" applyFont="1" applyBorder="1" applyAlignment="1">
      <alignment horizontal="left"/>
    </xf>
    <xf numFmtId="172" fontId="72" fillId="0" borderId="55" xfId="6" applyNumberFormat="1" applyFont="1" applyBorder="1"/>
    <xf numFmtId="172" fontId="71" fillId="0" borderId="13" xfId="6" applyNumberFormat="1" applyFont="1" applyBorder="1" applyAlignment="1">
      <alignment horizontal="centerContinuous"/>
    </xf>
    <xf numFmtId="172" fontId="72" fillId="0" borderId="14" xfId="6" applyNumberFormat="1" applyFont="1" applyBorder="1" applyAlignment="1">
      <alignment horizontal="centerContinuous"/>
    </xf>
    <xf numFmtId="172" fontId="83" fillId="0" borderId="0" xfId="6" applyNumberFormat="1"/>
    <xf numFmtId="172" fontId="70" fillId="0" borderId="45" xfId="6" applyNumberFormat="1" applyFont="1" applyBorder="1" applyAlignment="1">
      <alignment horizontal="centerContinuous"/>
    </xf>
    <xf numFmtId="172" fontId="70" fillId="0" borderId="0" xfId="6" applyNumberFormat="1" applyFont="1" applyAlignment="1">
      <alignment horizontal="centerContinuous"/>
    </xf>
    <xf numFmtId="172" fontId="71" fillId="0" borderId="110" xfId="6" applyNumberFormat="1" applyFont="1" applyBorder="1" applyAlignment="1">
      <alignment horizontal="left"/>
    </xf>
    <xf numFmtId="172" fontId="72" fillId="0" borderId="39" xfId="6" applyNumberFormat="1" applyFont="1" applyBorder="1"/>
    <xf numFmtId="172" fontId="71" fillId="0" borderId="40" xfId="6" applyNumberFormat="1" applyFont="1" applyBorder="1" applyAlignment="1">
      <alignment horizontal="centerContinuous"/>
    </xf>
    <xf numFmtId="172" fontId="72" fillId="0" borderId="29" xfId="6" applyNumberFormat="1" applyFont="1" applyBorder="1" applyAlignment="1">
      <alignment horizontal="centerContinuous"/>
    </xf>
    <xf numFmtId="172" fontId="72" fillId="0" borderId="45" xfId="6" applyNumberFormat="1" applyFont="1" applyBorder="1" applyAlignment="1">
      <alignment horizontal="centerContinuous"/>
    </xf>
    <xf numFmtId="172" fontId="72" fillId="0" borderId="0" xfId="6" applyNumberFormat="1" applyFont="1" applyAlignment="1">
      <alignment horizontal="centerContinuous"/>
    </xf>
    <xf numFmtId="172" fontId="73" fillId="0" borderId="45" xfId="6" applyNumberFormat="1" applyFont="1" applyBorder="1" applyAlignment="1">
      <alignment horizontal="centerContinuous"/>
    </xf>
    <xf numFmtId="172" fontId="85" fillId="0" borderId="46" xfId="6" applyNumberFormat="1" applyFont="1" applyBorder="1" applyAlignment="1">
      <alignment horizontal="centerContinuous"/>
    </xf>
    <xf numFmtId="172" fontId="72" fillId="0" borderId="23" xfId="6" applyNumberFormat="1" applyFont="1" applyBorder="1" applyAlignment="1">
      <alignment horizontal="centerContinuous"/>
    </xf>
    <xf numFmtId="172" fontId="71" fillId="0" borderId="46" xfId="6" applyNumberFormat="1" applyFont="1" applyBorder="1" applyAlignment="1">
      <alignment horizontal="left"/>
    </xf>
    <xf numFmtId="172" fontId="72" fillId="0" borderId="48" xfId="6" applyNumberFormat="1" applyFont="1" applyBorder="1"/>
    <xf numFmtId="172" fontId="86" fillId="0" borderId="23" xfId="6" applyNumberFormat="1" applyFont="1" applyBorder="1" applyAlignment="1">
      <alignment horizontal="centerContinuous"/>
    </xf>
    <xf numFmtId="172" fontId="72" fillId="0" borderId="24" xfId="6" applyNumberFormat="1" applyFont="1" applyBorder="1" applyAlignment="1">
      <alignment horizontal="centerContinuous"/>
    </xf>
    <xf numFmtId="172" fontId="73" fillId="0" borderId="0" xfId="7" applyNumberFormat="1" applyFont="1" applyAlignment="1">
      <alignment horizontal="centerContinuous"/>
    </xf>
    <xf numFmtId="172" fontId="72" fillId="0" borderId="0" xfId="7" applyNumberFormat="1" applyFont="1" applyAlignment="1">
      <alignment horizontal="centerContinuous"/>
    </xf>
    <xf numFmtId="172" fontId="71" fillId="0" borderId="0" xfId="7" applyNumberFormat="1" applyFont="1" applyAlignment="1">
      <alignment horizontal="left"/>
    </xf>
    <xf numFmtId="172" fontId="72" fillId="0" borderId="0" xfId="7" applyNumberFormat="1" applyFont="1"/>
    <xf numFmtId="172" fontId="71" fillId="0" borderId="0" xfId="7" applyNumberFormat="1" applyFont="1" applyAlignment="1">
      <alignment horizontal="centerContinuous"/>
    </xf>
    <xf numFmtId="172" fontId="72" fillId="0" borderId="0" xfId="6" applyNumberFormat="1" applyFont="1"/>
    <xf numFmtId="172" fontId="77" fillId="0" borderId="0" xfId="6" applyNumberFormat="1" applyFont="1" applyAlignment="1">
      <alignment horizontal="center"/>
    </xf>
    <xf numFmtId="172" fontId="76" fillId="0" borderId="0" xfId="6" applyNumberFormat="1" applyFont="1" applyAlignment="1">
      <alignment horizontal="center"/>
    </xf>
    <xf numFmtId="167" fontId="76" fillId="0" borderId="0" xfId="6" applyNumberFormat="1" applyFont="1" applyAlignment="1">
      <alignment horizontal="center"/>
    </xf>
    <xf numFmtId="167" fontId="76" fillId="0" borderId="0" xfId="6" quotePrefix="1" applyNumberFormat="1" applyFont="1" applyAlignment="1">
      <alignment horizontal="center"/>
    </xf>
    <xf numFmtId="1" fontId="76" fillId="0" borderId="0" xfId="6" applyNumberFormat="1" applyFont="1" applyAlignment="1">
      <alignment horizontal="center"/>
    </xf>
    <xf numFmtId="1" fontId="76" fillId="0" borderId="0" xfId="6" quotePrefix="1" applyNumberFormat="1" applyFont="1" applyAlignment="1">
      <alignment horizontal="center"/>
    </xf>
    <xf numFmtId="172" fontId="88" fillId="0" borderId="147" xfId="6" applyNumberFormat="1" applyFont="1" applyBorder="1" applyAlignment="1">
      <alignment horizontal="right"/>
    </xf>
    <xf numFmtId="172" fontId="87" fillId="0" borderId="129" xfId="6" applyNumberFormat="1" applyFont="1" applyBorder="1" applyAlignment="1">
      <alignment horizontal="right"/>
    </xf>
    <xf numFmtId="167" fontId="87" fillId="0" borderId="129" xfId="6" applyNumberFormat="1" applyFont="1" applyBorder="1" applyAlignment="1">
      <alignment horizontal="right"/>
    </xf>
    <xf numFmtId="167" fontId="23" fillId="0" borderId="129" xfId="6" applyNumberFormat="1" applyFont="1" applyBorder="1" applyAlignment="1">
      <alignment horizontal="left"/>
    </xf>
    <xf numFmtId="167" fontId="23" fillId="0" borderId="129" xfId="6" applyNumberFormat="1" applyFont="1" applyBorder="1" applyAlignment="1">
      <alignment horizontal="center"/>
    </xf>
    <xf numFmtId="172" fontId="76" fillId="0" borderId="16" xfId="6" applyNumberFormat="1" applyFont="1" applyBorder="1"/>
    <xf numFmtId="172" fontId="76" fillId="0" borderId="0" xfId="6" applyNumberFormat="1" applyFont="1"/>
    <xf numFmtId="172" fontId="76" fillId="0" borderId="0" xfId="6" applyNumberFormat="1" applyFont="1" applyAlignment="1">
      <alignment horizontal="centerContinuous"/>
    </xf>
    <xf numFmtId="172" fontId="89" fillId="0" borderId="0" xfId="6" applyNumberFormat="1" applyFont="1" applyAlignment="1">
      <alignment horizontal="center"/>
    </xf>
    <xf numFmtId="39" fontId="76" fillId="0" borderId="0" xfId="6" applyNumberFormat="1" applyFont="1" applyAlignment="1">
      <alignment horizontal="center"/>
    </xf>
    <xf numFmtId="172" fontId="73" fillId="0" borderId="0" xfId="8" applyNumberFormat="1" applyFont="1" applyAlignment="1">
      <alignment horizontal="centerContinuous"/>
    </xf>
    <xf numFmtId="172" fontId="76" fillId="0" borderId="0" xfId="8" applyNumberFormat="1" applyFont="1" applyAlignment="1">
      <alignment horizontal="centerContinuous"/>
    </xf>
    <xf numFmtId="172" fontId="79" fillId="0" borderId="0" xfId="6" applyNumberFormat="1" applyFont="1" applyAlignment="1">
      <alignment horizontal="center"/>
    </xf>
    <xf numFmtId="1" fontId="87" fillId="0" borderId="129" xfId="6" applyNumberFormat="1" applyFont="1" applyBorder="1" applyAlignment="1">
      <alignment horizontal="right"/>
    </xf>
    <xf numFmtId="1" fontId="23" fillId="0" borderId="129" xfId="6" applyNumberFormat="1" applyFont="1" applyBorder="1" applyAlignment="1">
      <alignment horizontal="left"/>
    </xf>
    <xf numFmtId="1" fontId="23" fillId="0" borderId="129" xfId="6" applyNumberFormat="1" applyFont="1" applyBorder="1" applyAlignment="1">
      <alignment horizontal="center"/>
    </xf>
    <xf numFmtId="172" fontId="90" fillId="0" borderId="0" xfId="8" applyNumberFormat="1" applyFont="1" applyAlignment="1">
      <alignment horizontal="center"/>
    </xf>
    <xf numFmtId="166" fontId="76" fillId="0" borderId="0" xfId="8" quotePrefix="1" applyNumberFormat="1" applyFont="1" applyAlignment="1">
      <alignment horizontal="center"/>
    </xf>
    <xf numFmtId="166" fontId="76" fillId="0" borderId="0" xfId="8" applyNumberFormat="1" applyFont="1" applyAlignment="1">
      <alignment horizontal="center"/>
    </xf>
    <xf numFmtId="172" fontId="23" fillId="0" borderId="129" xfId="6" applyNumberFormat="1" applyFont="1" applyBorder="1" applyAlignment="1">
      <alignment horizontal="left"/>
    </xf>
    <xf numFmtId="39" fontId="23" fillId="0" borderId="129" xfId="6" applyNumberFormat="1" applyFont="1" applyBorder="1" applyAlignment="1">
      <alignment horizontal="center"/>
    </xf>
    <xf numFmtId="172" fontId="89" fillId="0" borderId="16" xfId="6" applyNumberFormat="1" applyFont="1" applyBorder="1" applyAlignment="1">
      <alignment horizontal="center"/>
    </xf>
    <xf numFmtId="172" fontId="77" fillId="0" borderId="0" xfId="8" applyNumberFormat="1" applyFont="1" applyAlignment="1">
      <alignment horizontal="centerContinuous"/>
    </xf>
    <xf numFmtId="172" fontId="76" fillId="0" borderId="0" xfId="8" quotePrefix="1" applyNumberFormat="1" applyFont="1" applyAlignment="1">
      <alignment horizontal="center"/>
    </xf>
    <xf numFmtId="175" fontId="76" fillId="0" borderId="0" xfId="8" quotePrefix="1" applyNumberFormat="1" applyFont="1" applyAlignment="1">
      <alignment horizontal="centerContinuous"/>
    </xf>
    <xf numFmtId="172" fontId="76" fillId="0" borderId="0" xfId="6" applyNumberFormat="1" applyFont="1" applyAlignment="1">
      <alignment horizontal="left"/>
    </xf>
    <xf numFmtId="1" fontId="79" fillId="0" borderId="0" xfId="6" applyNumberFormat="1" applyFont="1" applyAlignment="1">
      <alignment horizontal="center"/>
    </xf>
    <xf numFmtId="172" fontId="79" fillId="0" borderId="0" xfId="6" applyNumberFormat="1" applyFont="1"/>
    <xf numFmtId="172" fontId="73" fillId="0" borderId="0" xfId="8" applyNumberFormat="1" applyFont="1" applyAlignment="1">
      <alignment horizontal="center"/>
    </xf>
    <xf numFmtId="172" fontId="80" fillId="0" borderId="0" xfId="6" applyNumberFormat="1" applyFont="1" applyAlignment="1">
      <alignment horizontal="left"/>
    </xf>
    <xf numFmtId="1" fontId="83" fillId="0" borderId="0" xfId="6" applyNumberFormat="1" applyAlignment="1">
      <alignment horizontal="center"/>
    </xf>
    <xf numFmtId="1" fontId="73" fillId="0" borderId="0" xfId="6" applyNumberFormat="1" applyFont="1" applyAlignment="1">
      <alignment horizontal="center"/>
    </xf>
    <xf numFmtId="172" fontId="80" fillId="0" borderId="0" xfId="6" applyNumberFormat="1" applyFont="1" applyAlignment="1">
      <alignment horizontal="right"/>
    </xf>
    <xf numFmtId="172" fontId="73" fillId="0" borderId="146" xfId="6" applyNumberFormat="1" applyFont="1" applyBorder="1" applyAlignment="1">
      <alignment horizontal="centerContinuous"/>
    </xf>
    <xf numFmtId="14" fontId="73" fillId="0" borderId="146" xfId="6" quotePrefix="1" applyNumberFormat="1" applyFont="1" applyBorder="1" applyAlignment="1">
      <alignment horizontal="centerContinuous"/>
    </xf>
    <xf numFmtId="172" fontId="70" fillId="0" borderId="6" xfId="7" applyNumberFormat="1" applyFont="1" applyBorder="1" applyAlignment="1">
      <alignment horizontal="centerContinuous"/>
    </xf>
    <xf numFmtId="172" fontId="70" fillId="0" borderId="7" xfId="7" applyNumberFormat="1" applyFont="1" applyBorder="1" applyAlignment="1">
      <alignment horizontal="centerContinuous"/>
    </xf>
    <xf numFmtId="172" fontId="71" fillId="0" borderId="12" xfId="7" applyNumberFormat="1" applyFont="1" applyBorder="1" applyAlignment="1">
      <alignment horizontal="left"/>
    </xf>
    <xf numFmtId="172" fontId="72" fillId="0" borderId="55" xfId="7" applyNumberFormat="1" applyFont="1" applyBorder="1"/>
    <xf numFmtId="172" fontId="73" fillId="0" borderId="0" xfId="7" applyNumberFormat="1" applyFont="1"/>
    <xf numFmtId="172" fontId="69" fillId="0" borderId="0" xfId="7" applyNumberFormat="1"/>
    <xf numFmtId="172" fontId="70" fillId="0" borderId="45" xfId="7" applyNumberFormat="1" applyFont="1" applyBorder="1" applyAlignment="1">
      <alignment horizontal="centerContinuous"/>
    </xf>
    <xf numFmtId="172" fontId="70" fillId="0" borderId="0" xfId="7" applyNumberFormat="1" applyFont="1" applyAlignment="1">
      <alignment horizontal="centerContinuous"/>
    </xf>
    <xf numFmtId="172" fontId="71" fillId="0" borderId="110" xfId="7" applyNumberFormat="1" applyFont="1" applyBorder="1" applyAlignment="1">
      <alignment horizontal="left"/>
    </xf>
    <xf numFmtId="172" fontId="72" fillId="0" borderId="39" xfId="7" applyNumberFormat="1" applyFont="1" applyBorder="1"/>
    <xf numFmtId="172" fontId="71" fillId="0" borderId="40" xfId="7" applyNumberFormat="1" applyFont="1" applyBorder="1" applyAlignment="1">
      <alignment horizontal="centerContinuous"/>
    </xf>
    <xf numFmtId="172" fontId="72" fillId="0" borderId="29" xfId="7" applyNumberFormat="1" applyFont="1" applyBorder="1" applyAlignment="1">
      <alignment horizontal="centerContinuous"/>
    </xf>
    <xf numFmtId="172" fontId="72" fillId="0" borderId="45" xfId="7" applyNumberFormat="1" applyFont="1" applyBorder="1" applyAlignment="1">
      <alignment horizontal="centerContinuous"/>
    </xf>
    <xf numFmtId="172" fontId="74" fillId="0" borderId="45" xfId="7" applyNumberFormat="1" applyFont="1" applyBorder="1" applyAlignment="1">
      <alignment horizontal="centerContinuous"/>
    </xf>
    <xf numFmtId="172" fontId="73" fillId="0" borderId="45" xfId="7" applyNumberFormat="1" applyFont="1" applyBorder="1" applyAlignment="1">
      <alignment horizontal="centerContinuous"/>
    </xf>
    <xf numFmtId="172" fontId="73" fillId="0" borderId="46" xfId="7" applyNumberFormat="1" applyFont="1" applyBorder="1" applyAlignment="1">
      <alignment horizontal="centerContinuous"/>
    </xf>
    <xf numFmtId="172" fontId="72" fillId="0" borderId="23" xfId="7" applyNumberFormat="1" applyFont="1" applyBorder="1" applyAlignment="1">
      <alignment horizontal="centerContinuous"/>
    </xf>
    <xf numFmtId="172" fontId="71" fillId="0" borderId="46" xfId="7" applyNumberFormat="1" applyFont="1" applyBorder="1" applyAlignment="1">
      <alignment horizontal="left"/>
    </xf>
    <xf numFmtId="172" fontId="72" fillId="0" borderId="48" xfId="7" applyNumberFormat="1" applyFont="1" applyBorder="1"/>
    <xf numFmtId="172" fontId="89" fillId="0" borderId="149" xfId="7" applyNumberFormat="1" applyFont="1" applyBorder="1"/>
    <xf numFmtId="172" fontId="89" fillId="0" borderId="150" xfId="7" applyNumberFormat="1" applyFont="1" applyBorder="1"/>
    <xf numFmtId="172" fontId="69" fillId="0" borderId="150" xfId="7" applyNumberFormat="1" applyBorder="1"/>
    <xf numFmtId="172" fontId="89" fillId="0" borderId="150" xfId="7" applyNumberFormat="1" applyFont="1" applyBorder="1" applyAlignment="1">
      <alignment horizontal="right"/>
    </xf>
    <xf numFmtId="176" fontId="88" fillId="0" borderId="150" xfId="7" applyNumberFormat="1" applyFont="1" applyBorder="1"/>
    <xf numFmtId="172" fontId="88" fillId="0" borderId="150" xfId="7" applyNumberFormat="1" applyFont="1" applyBorder="1"/>
    <xf numFmtId="172" fontId="88" fillId="0" borderId="150" xfId="7" applyNumberFormat="1" applyFont="1" applyBorder="1" applyAlignment="1">
      <alignment horizontal="right"/>
    </xf>
    <xf numFmtId="172" fontId="88" fillId="0" borderId="150" xfId="7" quotePrefix="1" applyNumberFormat="1" applyFont="1" applyBorder="1"/>
    <xf numFmtId="172" fontId="69" fillId="0" borderId="151" xfId="7" applyNumberFormat="1" applyBorder="1"/>
    <xf numFmtId="0" fontId="76" fillId="0" borderId="0" xfId="5" quotePrefix="1" applyNumberFormat="1" applyFont="1" applyAlignment="1">
      <alignment horizontal="center"/>
    </xf>
    <xf numFmtId="172" fontId="69" fillId="0" borderId="46" xfId="7" applyNumberFormat="1" applyBorder="1"/>
    <xf numFmtId="172" fontId="69" fillId="0" borderId="23" xfId="7" applyNumberFormat="1" applyBorder="1"/>
    <xf numFmtId="172" fontId="88" fillId="0" borderId="23" xfId="7" applyNumberFormat="1" applyFont="1" applyBorder="1" applyAlignment="1">
      <alignment horizontal="right"/>
    </xf>
    <xf numFmtId="176" fontId="88" fillId="0" borderId="23" xfId="7" applyNumberFormat="1" applyFont="1" applyBorder="1"/>
    <xf numFmtId="172" fontId="88" fillId="0" borderId="23" xfId="7" applyNumberFormat="1" applyFont="1" applyBorder="1"/>
    <xf numFmtId="172" fontId="69" fillId="0" borderId="24" xfId="7" applyNumberFormat="1" applyBorder="1"/>
    <xf numFmtId="172" fontId="87" fillId="0" borderId="125" xfId="7" applyNumberFormat="1" applyFont="1" applyBorder="1" applyAlignment="1">
      <alignment horizontal="center"/>
    </xf>
    <xf numFmtId="172" fontId="69" fillId="0" borderId="149" xfId="7" applyNumberFormat="1" applyBorder="1"/>
    <xf numFmtId="172" fontId="92" fillId="0" borderId="150" xfId="7" applyNumberFormat="1" applyFont="1" applyBorder="1" applyAlignment="1">
      <alignment horizontal="right"/>
    </xf>
    <xf numFmtId="172" fontId="88" fillId="0" borderId="125" xfId="7" applyNumberFormat="1" applyFont="1" applyBorder="1" applyAlignment="1">
      <alignment horizontal="right"/>
    </xf>
    <xf numFmtId="172" fontId="93" fillId="0" borderId="150" xfId="7" applyNumberFormat="1" applyFont="1" applyBorder="1" applyAlignment="1">
      <alignment horizontal="right"/>
    </xf>
    <xf numFmtId="172" fontId="69" fillId="0" borderId="45" xfId="7" applyNumberFormat="1" applyBorder="1"/>
    <xf numFmtId="172" fontId="88" fillId="0" borderId="0" xfId="7" applyNumberFormat="1" applyFont="1" applyAlignment="1">
      <alignment horizontal="right"/>
    </xf>
    <xf numFmtId="172" fontId="92" fillId="0" borderId="0" xfId="7" applyNumberFormat="1" applyFont="1" applyAlignment="1">
      <alignment horizontal="right"/>
    </xf>
    <xf numFmtId="172" fontId="69" fillId="0" borderId="125" xfId="7" applyNumberFormat="1" applyBorder="1"/>
    <xf numFmtId="172" fontId="93" fillId="0" borderId="0" xfId="7" applyNumberFormat="1" applyFont="1" applyAlignment="1">
      <alignment horizontal="right"/>
    </xf>
    <xf numFmtId="172" fontId="92" fillId="0" borderId="23" xfId="7" applyNumberFormat="1" applyFont="1" applyBorder="1" applyAlignment="1">
      <alignment horizontal="right"/>
    </xf>
    <xf numFmtId="172" fontId="93" fillId="0" borderId="23" xfId="7" applyNumberFormat="1" applyFont="1" applyBorder="1" applyAlignment="1">
      <alignment horizontal="right"/>
    </xf>
    <xf numFmtId="0" fontId="3" fillId="0" borderId="0" xfId="4" applyFont="1"/>
    <xf numFmtId="0" fontId="3" fillId="0" borderId="0" xfId="4" applyFont="1" applyAlignment="1">
      <alignment horizontal="center"/>
    </xf>
    <xf numFmtId="0" fontId="3" fillId="0" borderId="0" xfId="4" applyFont="1" applyAlignment="1">
      <alignment horizontal="right"/>
    </xf>
    <xf numFmtId="2" fontId="21" fillId="0" borderId="0" xfId="4" applyNumberFormat="1" applyFont="1" applyAlignment="1">
      <alignment horizontal="center"/>
    </xf>
    <xf numFmtId="166" fontId="21" fillId="0" borderId="0" xfId="4" applyNumberFormat="1" applyFont="1" applyAlignment="1">
      <alignment horizontal="center"/>
    </xf>
    <xf numFmtId="172" fontId="69" fillId="0" borderId="157" xfId="7" applyNumberFormat="1" applyBorder="1"/>
    <xf numFmtId="172" fontId="69" fillId="0" borderId="0" xfId="7" applyNumberFormat="1" applyAlignment="1">
      <alignment horizontal="right"/>
    </xf>
    <xf numFmtId="172" fontId="69" fillId="0" borderId="30" xfId="7" applyNumberFormat="1" applyBorder="1"/>
    <xf numFmtId="165" fontId="21" fillId="0" borderId="0" xfId="4" applyNumberFormat="1" applyFont="1" applyAlignment="1">
      <alignment horizontal="center"/>
    </xf>
    <xf numFmtId="172" fontId="69" fillId="0" borderId="23" xfId="7" applyNumberFormat="1" applyBorder="1" applyAlignment="1">
      <alignment horizontal="right"/>
    </xf>
    <xf numFmtId="0" fontId="1" fillId="0" borderId="0" xfId="9"/>
    <xf numFmtId="172" fontId="69" fillId="0" borderId="0" xfId="7" applyNumberFormat="1" applyAlignment="1">
      <alignment horizontal="center"/>
    </xf>
    <xf numFmtId="172" fontId="69" fillId="0" borderId="2" xfId="7" quotePrefix="1" applyNumberFormat="1" applyBorder="1" applyAlignment="1">
      <alignment horizontal="center"/>
    </xf>
    <xf numFmtId="172" fontId="69" fillId="0" borderId="22" xfId="7" quotePrefix="1" applyNumberFormat="1" applyBorder="1" applyAlignment="1">
      <alignment horizontal="center"/>
    </xf>
    <xf numFmtId="172" fontId="69" fillId="0" borderId="22" xfId="7" applyNumberFormat="1" applyBorder="1" applyAlignment="1">
      <alignment horizontal="center"/>
    </xf>
    <xf numFmtId="172" fontId="69" fillId="0" borderId="10" xfId="7" applyNumberFormat="1" applyBorder="1" applyAlignment="1">
      <alignment horizontal="center"/>
    </xf>
    <xf numFmtId="167" fontId="88" fillId="0" borderId="3" xfId="7" applyNumberFormat="1" applyFont="1" applyBorder="1" applyAlignment="1">
      <alignment horizontal="center"/>
    </xf>
    <xf numFmtId="167" fontId="88" fillId="0" borderId="1" xfId="7" applyNumberFormat="1" applyFont="1" applyBorder="1" applyAlignment="1">
      <alignment horizontal="center"/>
    </xf>
    <xf numFmtId="167" fontId="88" fillId="0" borderId="9" xfId="7" applyNumberFormat="1" applyFont="1" applyBorder="1" applyAlignment="1">
      <alignment horizontal="center"/>
    </xf>
    <xf numFmtId="167" fontId="88" fillId="0" borderId="4" xfId="7" quotePrefix="1" applyNumberFormat="1" applyFont="1" applyBorder="1" applyAlignment="1">
      <alignment horizontal="center"/>
    </xf>
    <xf numFmtId="167" fontId="88" fillId="0" borderId="11" xfId="7" quotePrefix="1" applyNumberFormat="1" applyFont="1" applyBorder="1" applyAlignment="1">
      <alignment horizontal="center"/>
    </xf>
    <xf numFmtId="167" fontId="88" fillId="0" borderId="33" xfId="7" quotePrefix="1" applyNumberFormat="1" applyFont="1" applyBorder="1" applyAlignment="1">
      <alignment horizontal="center"/>
    </xf>
    <xf numFmtId="172" fontId="97" fillId="0" borderId="0" xfId="7" applyNumberFormat="1" applyFont="1" applyAlignment="1">
      <alignment horizontal="right"/>
    </xf>
    <xf numFmtId="172" fontId="88" fillId="0" borderId="0" xfId="7" applyNumberFormat="1" applyFont="1"/>
    <xf numFmtId="0" fontId="5" fillId="0" borderId="0" xfId="10" applyFont="1"/>
    <xf numFmtId="172" fontId="98" fillId="0" borderId="0" xfId="7" applyNumberFormat="1" applyFont="1" applyAlignment="1">
      <alignment horizontal="left"/>
    </xf>
    <xf numFmtId="172" fontId="76" fillId="0" borderId="0" xfId="7" applyNumberFormat="1" applyFont="1" applyAlignment="1">
      <alignment horizontal="left"/>
    </xf>
    <xf numFmtId="167" fontId="1" fillId="0" borderId="0" xfId="4" applyNumberFormat="1" applyAlignment="1">
      <alignment horizontal="center"/>
    </xf>
    <xf numFmtId="0" fontId="24" fillId="0" borderId="0" xfId="1" applyFont="1" applyAlignment="1">
      <alignment horizontal="center"/>
    </xf>
    <xf numFmtId="0" fontId="27" fillId="5" borderId="0" xfId="1" applyFont="1" applyFill="1" applyAlignment="1">
      <alignment horizontal="center"/>
    </xf>
    <xf numFmtId="0" fontId="29" fillId="5" borderId="23" xfId="1" applyFont="1" applyFill="1" applyBorder="1" applyAlignment="1">
      <alignment horizontal="center"/>
    </xf>
    <xf numFmtId="0" fontId="34" fillId="5" borderId="12" xfId="1" applyFont="1" applyFill="1" applyBorder="1" applyAlignment="1">
      <alignment horizontal="left"/>
    </xf>
    <xf numFmtId="0" fontId="34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28" fillId="5" borderId="61" xfId="1" applyFont="1" applyFill="1" applyBorder="1" applyAlignment="1">
      <alignment horizontal="left"/>
    </xf>
    <xf numFmtId="0" fontId="28" fillId="5" borderId="62" xfId="1" applyFont="1" applyFill="1" applyBorder="1" applyAlignment="1">
      <alignment horizontal="left"/>
    </xf>
    <xf numFmtId="0" fontId="28" fillId="5" borderId="27" xfId="1" applyFont="1" applyFill="1" applyBorder="1" applyAlignment="1">
      <alignment horizontal="left"/>
    </xf>
    <xf numFmtId="0" fontId="28" fillId="0" borderId="80" xfId="1" applyFont="1" applyBorder="1" applyAlignment="1">
      <alignment horizontal="left"/>
    </xf>
    <xf numFmtId="0" fontId="28" fillId="0" borderId="81" xfId="1" applyFont="1" applyBorder="1" applyAlignment="1">
      <alignment horizontal="left"/>
    </xf>
    <xf numFmtId="0" fontId="28" fillId="0" borderId="82" xfId="1" applyFont="1" applyBorder="1" applyAlignment="1">
      <alignment horizontal="left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38" fillId="0" borderId="65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3" fillId="0" borderId="107" xfId="1" applyFont="1" applyBorder="1" applyAlignment="1">
      <alignment horizontal="left"/>
    </xf>
    <xf numFmtId="0" fontId="33" fillId="0" borderId="77" xfId="1" applyFont="1" applyBorder="1" applyAlignment="1">
      <alignment horizontal="left"/>
    </xf>
    <xf numFmtId="0" fontId="28" fillId="0" borderId="102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14" fontId="19" fillId="5" borderId="120" xfId="1" applyNumberFormat="1" applyFont="1" applyFill="1" applyBorder="1" applyAlignment="1">
      <alignment horizontal="center"/>
    </xf>
    <xf numFmtId="14" fontId="19" fillId="5" borderId="121" xfId="1" applyNumberFormat="1" applyFont="1" applyFill="1" applyBorder="1" applyAlignment="1">
      <alignment horizontal="center"/>
    </xf>
    <xf numFmtId="0" fontId="33" fillId="0" borderId="45" xfId="1" applyFont="1" applyBorder="1" applyAlignment="1">
      <alignment horizontal="center"/>
    </xf>
    <xf numFmtId="0" fontId="33" fillId="0" borderId="0" xfId="1" applyFont="1" applyAlignment="1">
      <alignment horizontal="center"/>
    </xf>
    <xf numFmtId="0" fontId="33" fillId="0" borderId="108" xfId="1" applyFont="1" applyBorder="1" applyAlignment="1">
      <alignment horizontal="center"/>
    </xf>
    <xf numFmtId="0" fontId="33" fillId="0" borderId="110" xfId="1" applyFont="1" applyBorder="1" applyAlignment="1">
      <alignment horizontal="center"/>
    </xf>
    <xf numFmtId="0" fontId="33" fillId="0" borderId="40" xfId="1" applyFont="1" applyBorder="1" applyAlignment="1">
      <alignment horizontal="center"/>
    </xf>
    <xf numFmtId="0" fontId="33" fillId="0" borderId="39" xfId="1" applyFont="1" applyBorder="1" applyAlignment="1">
      <alignment horizontal="center"/>
    </xf>
    <xf numFmtId="0" fontId="28" fillId="0" borderId="38" xfId="1" applyFont="1" applyBorder="1" applyAlignment="1">
      <alignment horizontal="left"/>
    </xf>
    <xf numFmtId="0" fontId="33" fillId="0" borderId="46" xfId="1" applyFont="1" applyBorder="1" applyAlignment="1">
      <alignment horizontal="center"/>
    </xf>
    <xf numFmtId="0" fontId="33" fillId="0" borderId="23" xfId="1" applyFont="1" applyBorder="1" applyAlignment="1">
      <alignment horizontal="center"/>
    </xf>
    <xf numFmtId="0" fontId="33" fillId="0" borderId="48" xfId="1" applyFont="1" applyBorder="1" applyAlignment="1">
      <alignment horizontal="center"/>
    </xf>
    <xf numFmtId="0" fontId="50" fillId="5" borderId="115" xfId="1" applyFont="1" applyFill="1" applyBorder="1" applyAlignment="1">
      <alignment horizontal="center"/>
    </xf>
    <xf numFmtId="0" fontId="50" fillId="5" borderId="116" xfId="1" applyFont="1" applyFill="1" applyBorder="1" applyAlignment="1">
      <alignment horizontal="center"/>
    </xf>
    <xf numFmtId="0" fontId="53" fillId="0" borderId="50" xfId="3" applyBorder="1" applyAlignment="1">
      <alignment horizontal="left"/>
    </xf>
    <xf numFmtId="0" fontId="53" fillId="0" borderId="13" xfId="3" applyBorder="1" applyAlignment="1">
      <alignment horizontal="left"/>
    </xf>
    <xf numFmtId="170" fontId="53" fillId="0" borderId="50" xfId="3" applyNumberFormat="1" applyBorder="1" applyAlignment="1">
      <alignment horizontal="center"/>
    </xf>
    <xf numFmtId="170" fontId="53" fillId="0" borderId="13" xfId="3" applyNumberFormat="1" applyBorder="1" applyAlignment="1">
      <alignment horizontal="center"/>
    </xf>
    <xf numFmtId="170" fontId="53" fillId="0" borderId="55" xfId="3" applyNumberFormat="1" applyBorder="1" applyAlignment="1">
      <alignment horizontal="center"/>
    </xf>
    <xf numFmtId="49" fontId="53" fillId="0" borderId="50" xfId="3" applyNumberFormat="1" applyBorder="1" applyAlignment="1">
      <alignment horizontal="center"/>
    </xf>
    <xf numFmtId="49" fontId="53" fillId="0" borderId="13" xfId="3" applyNumberFormat="1" applyBorder="1" applyAlignment="1">
      <alignment horizontal="center"/>
    </xf>
    <xf numFmtId="49" fontId="53" fillId="0" borderId="14" xfId="3" applyNumberFormat="1" applyBorder="1" applyAlignment="1">
      <alignment horizontal="center"/>
    </xf>
    <xf numFmtId="0" fontId="55" fillId="0" borderId="45" xfId="3" applyFont="1" applyBorder="1" applyAlignment="1">
      <alignment horizontal="center"/>
    </xf>
    <xf numFmtId="0" fontId="55" fillId="0" borderId="0" xfId="3" applyFont="1" applyAlignment="1">
      <alignment horizontal="center"/>
    </xf>
    <xf numFmtId="0" fontId="55" fillId="0" borderId="53" xfId="3" applyFont="1" applyBorder="1" applyAlignment="1">
      <alignment horizontal="center"/>
    </xf>
    <xf numFmtId="0" fontId="54" fillId="0" borderId="15" xfId="3" applyFont="1" applyBorder="1" applyAlignment="1">
      <alignment horizontal="center"/>
    </xf>
    <xf numFmtId="0" fontId="54" fillId="0" borderId="7" xfId="3" applyFont="1" applyBorder="1" applyAlignment="1">
      <alignment horizontal="center"/>
    </xf>
    <xf numFmtId="0" fontId="54" fillId="0" borderId="128" xfId="3" applyFont="1" applyBorder="1" applyAlignment="1">
      <alignment horizontal="center"/>
    </xf>
    <xf numFmtId="0" fontId="54" fillId="0" borderId="8" xfId="3" applyFont="1" applyBorder="1" applyAlignment="1">
      <alignment horizontal="center"/>
    </xf>
    <xf numFmtId="0" fontId="53" fillId="0" borderId="17" xfId="3" applyBorder="1" applyAlignment="1">
      <alignment horizontal="left"/>
    </xf>
    <xf numFmtId="0" fontId="53" fillId="0" borderId="129" xfId="3" applyBorder="1" applyAlignment="1">
      <alignment horizontal="left"/>
    </xf>
    <xf numFmtId="170" fontId="53" fillId="0" borderId="17" xfId="3" applyNumberFormat="1" applyBorder="1" applyAlignment="1">
      <alignment horizontal="center"/>
    </xf>
    <xf numFmtId="170" fontId="53" fillId="0" borderId="129" xfId="3" applyNumberFormat="1" applyBorder="1" applyAlignment="1">
      <alignment horizontal="center"/>
    </xf>
    <xf numFmtId="170" fontId="53" fillId="0" borderId="130" xfId="3" applyNumberFormat="1" applyBorder="1" applyAlignment="1">
      <alignment horizontal="center"/>
    </xf>
    <xf numFmtId="49" fontId="53" fillId="0" borderId="17" xfId="3" applyNumberFormat="1" applyBorder="1" applyAlignment="1">
      <alignment horizontal="center"/>
    </xf>
    <xf numFmtId="49" fontId="53" fillId="0" borderId="129" xfId="3" applyNumberFormat="1" applyBorder="1" applyAlignment="1">
      <alignment horizontal="center"/>
    </xf>
    <xf numFmtId="49" fontId="53" fillId="0" borderId="16" xfId="3" applyNumberFormat="1" applyBorder="1" applyAlignment="1">
      <alignment horizontal="center"/>
    </xf>
    <xf numFmtId="0" fontId="53" fillId="0" borderId="31" xfId="3" applyBorder="1" applyAlignment="1">
      <alignment horizontal="left"/>
    </xf>
    <xf numFmtId="0" fontId="53" fillId="0" borderId="51" xfId="3" applyBorder="1" applyAlignment="1">
      <alignment horizontal="left"/>
    </xf>
    <xf numFmtId="170" fontId="53" fillId="0" borderId="31" xfId="3" applyNumberFormat="1" applyBorder="1" applyAlignment="1">
      <alignment horizontal="center"/>
    </xf>
    <xf numFmtId="170" fontId="53" fillId="0" borderId="51" xfId="3" applyNumberFormat="1" applyBorder="1" applyAlignment="1">
      <alignment horizontal="center"/>
    </xf>
    <xf numFmtId="170" fontId="53" fillId="0" borderId="131" xfId="3" applyNumberFormat="1" applyBorder="1" applyAlignment="1">
      <alignment horizontal="center"/>
    </xf>
    <xf numFmtId="49" fontId="53" fillId="0" borderId="31" xfId="3" applyNumberFormat="1" applyBorder="1" applyAlignment="1">
      <alignment horizontal="center"/>
    </xf>
    <xf numFmtId="49" fontId="53" fillId="0" borderId="51" xfId="3" applyNumberFormat="1" applyBorder="1" applyAlignment="1">
      <alignment horizontal="center"/>
    </xf>
    <xf numFmtId="49" fontId="53" fillId="0" borderId="32" xfId="3" applyNumberFormat="1" applyBorder="1" applyAlignment="1">
      <alignment horizontal="center"/>
    </xf>
    <xf numFmtId="0" fontId="59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61" fillId="0" borderId="17" xfId="4" applyFont="1" applyBorder="1" applyAlignment="1">
      <alignment horizontal="center"/>
    </xf>
    <xf numFmtId="0" fontId="31" fillId="0" borderId="129" xfId="4" applyFont="1" applyBorder="1" applyAlignment="1">
      <alignment horizontal="center"/>
    </xf>
    <xf numFmtId="0" fontId="31" fillId="0" borderId="130" xfId="4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0" fontId="31" fillId="0" borderId="17" xfId="4" applyFont="1" applyBorder="1" applyAlignment="1">
      <alignment horizontal="center"/>
    </xf>
    <xf numFmtId="0" fontId="59" fillId="0" borderId="17" xfId="4" applyFont="1" applyBorder="1" applyAlignment="1">
      <alignment horizontal="right"/>
    </xf>
    <xf numFmtId="0" fontId="59" fillId="0" borderId="129" xfId="4" applyFont="1" applyBorder="1" applyAlignment="1">
      <alignment horizontal="right"/>
    </xf>
    <xf numFmtId="0" fontId="31" fillId="0" borderId="0" xfId="4" applyFont="1" applyAlignment="1">
      <alignment horizontal="center"/>
    </xf>
    <xf numFmtId="0" fontId="60" fillId="0" borderId="0" xfId="4" applyFont="1" applyAlignment="1">
      <alignment horizontal="right"/>
    </xf>
    <xf numFmtId="172" fontId="81" fillId="0" borderId="146" xfId="5" applyFont="1" applyBorder="1" applyAlignment="1" applyProtection="1">
      <alignment horizontal="center"/>
      <protection locked="0"/>
    </xf>
    <xf numFmtId="14" fontId="23" fillId="0" borderId="146" xfId="5" quotePrefix="1" applyNumberFormat="1" applyFont="1" applyBorder="1" applyAlignment="1" applyProtection="1">
      <alignment horizontal="center"/>
      <protection locked="0"/>
    </xf>
    <xf numFmtId="0" fontId="62" fillId="0" borderId="17" xfId="4" applyFont="1" applyBorder="1" applyAlignment="1">
      <alignment horizontal="center"/>
    </xf>
    <xf numFmtId="0" fontId="62" fillId="0" borderId="129" xfId="4" applyFont="1" applyBorder="1" applyAlignment="1">
      <alignment horizontal="center"/>
    </xf>
    <xf numFmtId="0" fontId="62" fillId="0" borderId="130" xfId="4" applyFont="1" applyBorder="1" applyAlignment="1">
      <alignment horizontal="center"/>
    </xf>
    <xf numFmtId="0" fontId="64" fillId="0" borderId="83" xfId="4" applyFont="1" applyBorder="1" applyAlignment="1">
      <alignment horizontal="center"/>
    </xf>
    <xf numFmtId="0" fontId="64" fillId="0" borderId="0" xfId="4" applyFont="1" applyAlignment="1">
      <alignment horizontal="center"/>
    </xf>
    <xf numFmtId="0" fontId="64" fillId="0" borderId="108" xfId="4" applyFont="1" applyBorder="1" applyAlignment="1">
      <alignment horizontal="center"/>
    </xf>
    <xf numFmtId="0" fontId="66" fillId="0" borderId="83" xfId="4" applyFont="1" applyBorder="1" applyAlignment="1">
      <alignment horizontal="center"/>
    </xf>
    <xf numFmtId="0" fontId="66" fillId="0" borderId="0" xfId="4" applyFont="1" applyAlignment="1">
      <alignment horizontal="center"/>
    </xf>
    <xf numFmtId="0" fontId="66" fillId="0" borderId="108" xfId="4" applyFont="1" applyBorder="1" applyAlignment="1">
      <alignment horizontal="center"/>
    </xf>
    <xf numFmtId="0" fontId="1" fillId="0" borderId="52" xfId="4" applyBorder="1" applyAlignment="1">
      <alignment horizontal="center"/>
    </xf>
    <xf numFmtId="0" fontId="1" fillId="0" borderId="53" xfId="4" applyBorder="1" applyAlignment="1">
      <alignment horizontal="center"/>
    </xf>
    <xf numFmtId="0" fontId="1" fillId="0" borderId="54" xfId="4" applyBorder="1" applyAlignment="1">
      <alignment horizontal="center"/>
    </xf>
    <xf numFmtId="172" fontId="87" fillId="0" borderId="147" xfId="6" applyNumberFormat="1" applyFont="1" applyBorder="1" applyAlignment="1">
      <alignment horizontal="right"/>
    </xf>
    <xf numFmtId="172" fontId="87" fillId="0" borderId="129" xfId="6" applyNumberFormat="1" applyFont="1" applyBorder="1" applyAlignment="1">
      <alignment horizontal="right"/>
    </xf>
    <xf numFmtId="174" fontId="23" fillId="0" borderId="129" xfId="6" applyNumberFormat="1" applyFont="1" applyBorder="1" applyAlignment="1">
      <alignment horizontal="center"/>
    </xf>
    <xf numFmtId="174" fontId="23" fillId="0" borderId="16" xfId="6" applyNumberFormat="1" applyFont="1" applyBorder="1" applyAlignment="1">
      <alignment horizontal="center"/>
    </xf>
    <xf numFmtId="167" fontId="87" fillId="0" borderId="147" xfId="6" applyNumberFormat="1" applyFont="1" applyBorder="1" applyAlignment="1">
      <alignment horizontal="right" vertical="center"/>
    </xf>
    <xf numFmtId="167" fontId="87" fillId="0" borderId="129" xfId="6" applyNumberFormat="1" applyFont="1" applyBorder="1" applyAlignment="1">
      <alignment horizontal="right" vertical="center"/>
    </xf>
    <xf numFmtId="173" fontId="71" fillId="0" borderId="17" xfId="6" quotePrefix="1" applyNumberFormat="1" applyFont="1" applyBorder="1" applyAlignment="1">
      <alignment horizontal="center"/>
    </xf>
    <xf numFmtId="173" fontId="71" fillId="0" borderId="16" xfId="6" quotePrefix="1" applyNumberFormat="1" applyFont="1" applyBorder="1" applyAlignment="1">
      <alignment horizontal="center"/>
    </xf>
    <xf numFmtId="172" fontId="23" fillId="0" borderId="45" xfId="6" applyNumberFormat="1" applyFont="1" applyBorder="1" applyAlignment="1">
      <alignment horizontal="center"/>
    </xf>
    <xf numFmtId="172" fontId="84" fillId="0" borderId="0" xfId="6" applyNumberFormat="1" applyFont="1" applyAlignment="1">
      <alignment horizontal="center"/>
    </xf>
    <xf numFmtId="172" fontId="84" fillId="0" borderId="21" xfId="6" applyNumberFormat="1" applyFont="1" applyBorder="1" applyAlignment="1">
      <alignment horizontal="center"/>
    </xf>
    <xf numFmtId="172" fontId="23" fillId="0" borderId="0" xfId="6" applyNumberFormat="1" applyFont="1" applyAlignment="1">
      <alignment horizontal="center"/>
    </xf>
    <xf numFmtId="172" fontId="23" fillId="0" borderId="21" xfId="6" applyNumberFormat="1" applyFont="1" applyBorder="1" applyAlignment="1">
      <alignment horizontal="center"/>
    </xf>
    <xf numFmtId="172" fontId="87" fillId="0" borderId="12" xfId="6" applyNumberFormat="1" applyFont="1" applyBorder="1" applyAlignment="1">
      <alignment horizontal="right"/>
    </xf>
    <xf numFmtId="172" fontId="87" fillId="0" borderId="13" xfId="6" applyNumberFormat="1" applyFont="1" applyBorder="1" applyAlignment="1">
      <alignment horizontal="right"/>
    </xf>
    <xf numFmtId="174" fontId="23" fillId="0" borderId="13" xfId="6" applyNumberFormat="1" applyFont="1" applyBorder="1" applyAlignment="1">
      <alignment horizontal="center"/>
    </xf>
    <xf numFmtId="174" fontId="23" fillId="0" borderId="14" xfId="6" applyNumberFormat="1" applyFont="1" applyBorder="1" applyAlignment="1">
      <alignment horizontal="center"/>
    </xf>
    <xf numFmtId="172" fontId="77" fillId="0" borderId="0" xfId="8" applyNumberFormat="1" applyFont="1" applyAlignment="1">
      <alignment horizontal="center"/>
    </xf>
    <xf numFmtId="39" fontId="87" fillId="0" borderId="147" xfId="6" applyNumberFormat="1" applyFont="1" applyBorder="1" applyAlignment="1">
      <alignment horizontal="right"/>
    </xf>
    <xf numFmtId="39" fontId="87" fillId="0" borderId="129" xfId="6" applyNumberFormat="1" applyFont="1" applyBorder="1" applyAlignment="1">
      <alignment horizontal="right"/>
    </xf>
    <xf numFmtId="172" fontId="23" fillId="0" borderId="0" xfId="8" applyNumberFormat="1" applyFont="1" applyAlignment="1">
      <alignment horizontal="center" wrapText="1"/>
    </xf>
    <xf numFmtId="172" fontId="23" fillId="0" borderId="0" xfId="8" applyNumberFormat="1" applyFont="1" applyAlignment="1">
      <alignment horizontal="center"/>
    </xf>
    <xf numFmtId="172" fontId="91" fillId="0" borderId="0" xfId="8" applyNumberFormat="1" applyFont="1" applyAlignment="1">
      <alignment horizontal="center"/>
    </xf>
    <xf numFmtId="172" fontId="23" fillId="0" borderId="129" xfId="6" applyNumberFormat="1" applyFont="1" applyBorder="1" applyAlignment="1">
      <alignment horizontal="center"/>
    </xf>
    <xf numFmtId="172" fontId="23" fillId="0" borderId="16" xfId="6" applyNumberFormat="1" applyFont="1" applyBorder="1" applyAlignment="1">
      <alignment horizontal="center"/>
    </xf>
    <xf numFmtId="172" fontId="87" fillId="0" borderId="148" xfId="6" applyNumberFormat="1" applyFont="1" applyBorder="1" applyAlignment="1">
      <alignment horizontal="right"/>
    </xf>
    <xf numFmtId="172" fontId="87" fillId="0" borderId="51" xfId="6" applyNumberFormat="1" applyFont="1" applyBorder="1" applyAlignment="1">
      <alignment horizontal="right"/>
    </xf>
    <xf numFmtId="172" fontId="23" fillId="0" borderId="51" xfId="6" applyNumberFormat="1" applyFont="1" applyBorder="1" applyAlignment="1">
      <alignment horizontal="center"/>
    </xf>
    <xf numFmtId="172" fontId="23" fillId="0" borderId="32" xfId="6" applyNumberFormat="1" applyFont="1" applyBorder="1" applyAlignment="1">
      <alignment horizontal="center"/>
    </xf>
    <xf numFmtId="172" fontId="88" fillId="0" borderId="152" xfId="7" applyNumberFormat="1" applyFont="1" applyBorder="1" applyAlignment="1">
      <alignment horizontal="center"/>
    </xf>
    <xf numFmtId="172" fontId="88" fillId="0" borderId="153" xfId="7" applyNumberFormat="1" applyFont="1" applyBorder="1" applyAlignment="1">
      <alignment horizontal="center"/>
    </xf>
    <xf numFmtId="172" fontId="88" fillId="0" borderId="154" xfId="7" applyNumberFormat="1" applyFont="1" applyBorder="1" applyAlignment="1">
      <alignment horizontal="center"/>
    </xf>
    <xf numFmtId="172" fontId="71" fillId="0" borderId="50" xfId="7" applyNumberFormat="1" applyFont="1" applyBorder="1" applyAlignment="1">
      <alignment horizontal="center"/>
    </xf>
    <xf numFmtId="172" fontId="71" fillId="0" borderId="14" xfId="7" applyNumberFormat="1" applyFont="1" applyBorder="1" applyAlignment="1">
      <alignment horizontal="center"/>
    </xf>
    <xf numFmtId="172" fontId="71" fillId="0" borderId="17" xfId="7" quotePrefix="1" applyNumberFormat="1" applyFont="1" applyBorder="1" applyAlignment="1">
      <alignment horizontal="center"/>
    </xf>
    <xf numFmtId="172" fontId="69" fillId="0" borderId="16" xfId="7" applyNumberFormat="1" applyBorder="1" applyAlignment="1">
      <alignment horizontal="center"/>
    </xf>
    <xf numFmtId="172" fontId="71" fillId="0" borderId="17" xfId="7" applyNumberFormat="1" applyFont="1" applyBorder="1" applyAlignment="1">
      <alignment horizontal="center"/>
    </xf>
    <xf numFmtId="172" fontId="71" fillId="0" borderId="16" xfId="7" quotePrefix="1" applyNumberFormat="1" applyFont="1" applyBorder="1" applyAlignment="1">
      <alignment horizontal="center"/>
    </xf>
    <xf numFmtId="172" fontId="71" fillId="0" borderId="16" xfId="7" applyNumberFormat="1" applyFont="1" applyBorder="1" applyAlignment="1">
      <alignment horizontal="center"/>
    </xf>
    <xf numFmtId="172" fontId="92" fillId="0" borderId="31" xfId="7" applyNumberFormat="1" applyFont="1" applyBorder="1" applyAlignment="1">
      <alignment horizontal="center"/>
    </xf>
    <xf numFmtId="172" fontId="92" fillId="0" borderId="32" xfId="7" applyNumberFormat="1" applyFont="1" applyBorder="1" applyAlignment="1">
      <alignment horizontal="center"/>
    </xf>
    <xf numFmtId="172" fontId="87" fillId="0" borderId="139" xfId="7" applyNumberFormat="1" applyFont="1" applyBorder="1" applyAlignment="1">
      <alignment horizontal="center"/>
    </xf>
    <xf numFmtId="172" fontId="87" fillId="0" borderId="140" xfId="7" applyNumberFormat="1" applyFont="1" applyBorder="1" applyAlignment="1">
      <alignment horizontal="center"/>
    </xf>
    <xf numFmtId="172" fontId="87" fillId="0" borderId="142" xfId="7" applyNumberFormat="1" applyFont="1" applyBorder="1" applyAlignment="1">
      <alignment horizontal="center"/>
    </xf>
    <xf numFmtId="172" fontId="88" fillId="0" borderId="23" xfId="7" applyNumberFormat="1" applyFont="1" applyBorder="1" applyAlignment="1">
      <alignment horizontal="center"/>
    </xf>
    <xf numFmtId="172" fontId="88" fillId="0" borderId="24" xfId="7" applyNumberFormat="1" applyFont="1" applyBorder="1" applyAlignment="1">
      <alignment horizontal="center"/>
    </xf>
    <xf numFmtId="172" fontId="69" fillId="0" borderId="139" xfId="7" applyNumberFormat="1" applyBorder="1" applyAlignment="1">
      <alignment horizontal="center"/>
    </xf>
    <xf numFmtId="172" fontId="69" fillId="0" borderId="140" xfId="7" applyNumberFormat="1" applyBorder="1" applyAlignment="1">
      <alignment horizontal="center"/>
    </xf>
    <xf numFmtId="172" fontId="69" fillId="0" borderId="142" xfId="7" applyNumberFormat="1" applyBorder="1" applyAlignment="1">
      <alignment horizontal="center"/>
    </xf>
    <xf numFmtId="172" fontId="92" fillId="0" borderId="155" xfId="7" applyNumberFormat="1" applyFont="1" applyBorder="1" applyAlignment="1">
      <alignment horizontal="center"/>
    </xf>
    <xf numFmtId="172" fontId="92" fillId="0" borderId="153" xfId="7" applyNumberFormat="1" applyFont="1" applyBorder="1" applyAlignment="1">
      <alignment horizontal="center"/>
    </xf>
    <xf numFmtId="172" fontId="92" fillId="0" borderId="156" xfId="7" applyNumberFormat="1" applyFont="1" applyBorder="1" applyAlignment="1">
      <alignment horizontal="center"/>
    </xf>
    <xf numFmtId="172" fontId="92" fillId="0" borderId="152" xfId="7" applyNumberFormat="1" applyFont="1" applyBorder="1" applyAlignment="1">
      <alignment horizontal="center"/>
    </xf>
    <xf numFmtId="172" fontId="92" fillId="0" borderId="154" xfId="7" applyNumberFormat="1" applyFont="1" applyBorder="1" applyAlignment="1">
      <alignment horizontal="center"/>
    </xf>
    <xf numFmtId="177" fontId="94" fillId="0" borderId="62" xfId="7" applyNumberFormat="1" applyFont="1" applyBorder="1" applyAlignment="1">
      <alignment horizontal="left"/>
    </xf>
    <xf numFmtId="177" fontId="94" fillId="0" borderId="38" xfId="7" applyNumberFormat="1" applyFont="1" applyBorder="1" applyAlignment="1">
      <alignment horizontal="left"/>
    </xf>
    <xf numFmtId="177" fontId="94" fillId="0" borderId="27" xfId="7" applyNumberFormat="1" applyFont="1" applyBorder="1" applyAlignment="1">
      <alignment horizontal="left"/>
    </xf>
    <xf numFmtId="172" fontId="69" fillId="0" borderId="46" xfId="7" applyNumberFormat="1" applyBorder="1" applyAlignment="1">
      <alignment horizontal="center"/>
    </xf>
    <xf numFmtId="172" fontId="69" fillId="0" borderId="23" xfId="7" applyNumberFormat="1" applyBorder="1" applyAlignment="1">
      <alignment horizontal="center"/>
    </xf>
    <xf numFmtId="172" fontId="69" fillId="0" borderId="24" xfId="7" applyNumberFormat="1" applyBorder="1" applyAlignment="1">
      <alignment horizontal="center"/>
    </xf>
    <xf numFmtId="177" fontId="94" fillId="0" borderId="0" xfId="7" applyNumberFormat="1" applyFont="1" applyAlignment="1">
      <alignment horizontal="left"/>
    </xf>
    <xf numFmtId="177" fontId="94" fillId="0" borderId="108" xfId="7" applyNumberFormat="1" applyFont="1" applyBorder="1" applyAlignment="1">
      <alignment horizontal="left"/>
    </xf>
    <xf numFmtId="177" fontId="94" fillId="0" borderId="21" xfId="7" applyNumberFormat="1" applyFont="1" applyBorder="1" applyAlignment="1">
      <alignment horizontal="left"/>
    </xf>
    <xf numFmtId="177" fontId="94" fillId="0" borderId="23" xfId="7" applyNumberFormat="1" applyFont="1" applyBorder="1" applyAlignment="1">
      <alignment horizontal="left"/>
    </xf>
    <xf numFmtId="177" fontId="94" fillId="0" borderId="48" xfId="7" applyNumberFormat="1" applyFont="1" applyBorder="1" applyAlignment="1">
      <alignment horizontal="left"/>
    </xf>
    <xf numFmtId="177" fontId="94" fillId="0" borderId="24" xfId="7" applyNumberFormat="1" applyFont="1" applyBorder="1" applyAlignment="1">
      <alignment horizontal="left"/>
    </xf>
    <xf numFmtId="49" fontId="88" fillId="0" borderId="150" xfId="7" applyNumberFormat="1" applyFont="1" applyBorder="1" applyAlignment="1">
      <alignment horizontal="left"/>
    </xf>
    <xf numFmtId="176" fontId="88" fillId="0" borderId="150" xfId="7" applyNumberFormat="1" applyFont="1" applyBorder="1" applyAlignment="1">
      <alignment horizontal="left"/>
    </xf>
    <xf numFmtId="176" fontId="88" fillId="0" borderId="151" xfId="7" applyNumberFormat="1" applyFont="1" applyBorder="1" applyAlignment="1">
      <alignment horizontal="left"/>
    </xf>
    <xf numFmtId="178" fontId="88" fillId="0" borderId="23" xfId="7" applyNumberFormat="1" applyFont="1" applyBorder="1" applyAlignment="1">
      <alignment horizontal="left"/>
    </xf>
    <xf numFmtId="177" fontId="88" fillId="0" borderId="23" xfId="7" applyNumberFormat="1" applyFont="1" applyBorder="1" applyAlignment="1">
      <alignment horizontal="left"/>
    </xf>
    <xf numFmtId="177" fontId="88" fillId="0" borderId="24" xfId="7" applyNumberFormat="1" applyFont="1" applyBorder="1" applyAlignment="1">
      <alignment horizontal="left"/>
    </xf>
    <xf numFmtId="172" fontId="87" fillId="0" borderId="40" xfId="7" applyNumberFormat="1" applyFont="1" applyBorder="1" applyAlignment="1">
      <alignment horizontal="center"/>
    </xf>
    <xf numFmtId="173" fontId="87" fillId="0" borderId="40" xfId="7" applyNumberFormat="1" applyFont="1" applyBorder="1" applyAlignment="1">
      <alignment horizontal="center"/>
    </xf>
    <xf numFmtId="172" fontId="88" fillId="0" borderId="12" xfId="7" applyNumberFormat="1" applyFont="1" applyBorder="1" applyAlignment="1">
      <alignment horizontal="right"/>
    </xf>
    <xf numFmtId="172" fontId="88" fillId="0" borderId="13" xfId="7" applyNumberFormat="1" applyFont="1" applyBorder="1" applyAlignment="1">
      <alignment horizontal="right"/>
    </xf>
    <xf numFmtId="172" fontId="88" fillId="0" borderId="14" xfId="7" applyNumberFormat="1" applyFont="1" applyBorder="1" applyAlignment="1">
      <alignment horizontal="right"/>
    </xf>
    <xf numFmtId="172" fontId="88" fillId="0" borderId="147" xfId="7" applyNumberFormat="1" applyFont="1" applyBorder="1" applyAlignment="1">
      <alignment horizontal="right"/>
    </xf>
    <xf numFmtId="172" fontId="88" fillId="0" borderId="129" xfId="7" applyNumberFormat="1" applyFont="1" applyBorder="1" applyAlignment="1">
      <alignment horizontal="right"/>
    </xf>
    <xf numFmtId="172" fontId="88" fillId="0" borderId="16" xfId="7" applyNumberFormat="1" applyFont="1" applyBorder="1" applyAlignment="1">
      <alignment horizontal="right"/>
    </xf>
    <xf numFmtId="172" fontId="93" fillId="0" borderId="148" xfId="7" applyNumberFormat="1" applyFont="1" applyBorder="1" applyAlignment="1">
      <alignment horizontal="right"/>
    </xf>
    <xf numFmtId="172" fontId="93" fillId="0" borderId="51" xfId="7" applyNumberFormat="1" applyFont="1" applyBorder="1" applyAlignment="1">
      <alignment horizontal="right"/>
    </xf>
    <xf numFmtId="172" fontId="93" fillId="0" borderId="32" xfId="7" applyNumberFormat="1" applyFont="1" applyBorder="1" applyAlignment="1">
      <alignment horizontal="right"/>
    </xf>
    <xf numFmtId="172" fontId="96" fillId="0" borderId="0" xfId="7" applyNumberFormat="1" applyFont="1" applyAlignment="1">
      <alignment horizontal="center"/>
    </xf>
  </cellXfs>
  <cellStyles count="21">
    <cellStyle name="F2" xfId="11" xr:uid="{00000000-0005-0000-0000-000000000000}"/>
    <cellStyle name="F3" xfId="12" xr:uid="{00000000-0005-0000-0000-000001000000}"/>
    <cellStyle name="F4" xfId="13" xr:uid="{00000000-0005-0000-0000-000002000000}"/>
    <cellStyle name="F5" xfId="14" xr:uid="{00000000-0005-0000-0000-000003000000}"/>
    <cellStyle name="F6" xfId="15" xr:uid="{00000000-0005-0000-0000-000004000000}"/>
    <cellStyle name="F7" xfId="16" xr:uid="{00000000-0005-0000-0000-000005000000}"/>
    <cellStyle name="F8" xfId="17" xr:uid="{00000000-0005-0000-0000-000006000000}"/>
    <cellStyle name="Normal" xfId="0" builtinId="0"/>
    <cellStyle name="Normal - Style1" xfId="18" xr:uid="{00000000-0005-0000-0000-000008000000}"/>
    <cellStyle name="Normal 2" xfId="1" xr:uid="{00000000-0005-0000-0000-000009000000}"/>
    <cellStyle name="Normal 2 2" xfId="19" xr:uid="{00000000-0005-0000-0000-00000A000000}"/>
    <cellStyle name="Normal 2 2 2" xfId="9" xr:uid="{00000000-0005-0000-0000-00000B000000}"/>
    <cellStyle name="Normal 3" xfId="4" xr:uid="{00000000-0005-0000-0000-00000C000000}"/>
    <cellStyle name="Normal 3 2" xfId="20" xr:uid="{00000000-0005-0000-0000-00000D000000}"/>
    <cellStyle name="Normal 4" xfId="5" xr:uid="{00000000-0005-0000-0000-00000E000000}"/>
    <cellStyle name="Normal 5" xfId="10" xr:uid="{00000000-0005-0000-0000-00000F000000}"/>
    <cellStyle name="Normal_MPCF1082 2" xfId="7" xr:uid="{00000000-0005-0000-0000-000010000000}"/>
    <cellStyle name="Normal_MPCF1109" xfId="6" xr:uid="{00000000-0005-0000-0000-000011000000}"/>
    <cellStyle name="Normal_OPTEST" xfId="2" xr:uid="{00000000-0005-0000-0000-000012000000}"/>
    <cellStyle name="Normal_PROJ_REV_HIST" xfId="3" xr:uid="{00000000-0005-0000-0000-000013000000}"/>
    <cellStyle name="Normal_Rev. 1 2" xfId="8" xr:uid="{00000000-0005-0000-0000-00001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7.599999662488699E-3</c:v>
                </c:pt>
                <c:pt idx="2">
                  <c:v>3.7999998778104782E-2</c:v>
                </c:pt>
                <c:pt idx="3" formatCode="0.00">
                  <c:v>8.8631577789783478E-2</c:v>
                </c:pt>
                <c:pt idx="4" formatCode="0.00">
                  <c:v>0.13926316797733307</c:v>
                </c:pt>
                <c:pt idx="5" formatCode="0.00">
                  <c:v>0.18989473581314087</c:v>
                </c:pt>
                <c:pt idx="6" formatCode="0.00">
                  <c:v>0.29115790128707886</c:v>
                </c:pt>
                <c:pt idx="7" formatCode="0.00">
                  <c:v>0.39242106676101685</c:v>
                </c:pt>
                <c:pt idx="8" formatCode="0.00">
                  <c:v>0.49368420243263245</c:v>
                </c:pt>
                <c:pt idx="9" formatCode="0.00">
                  <c:v>0.59494739770889282</c:v>
                </c:pt>
                <c:pt idx="10" formatCode="0.00">
                  <c:v>0.69621050357818604</c:v>
                </c:pt>
                <c:pt idx="11" formatCode="0.00">
                  <c:v>0.79747366905212402</c:v>
                </c:pt>
                <c:pt idx="12" formatCode="0.00">
                  <c:v>0.89873683452606201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121.79018420879014</c:v>
                </c:pt>
                <c:pt idx="2">
                  <c:v>240</c:v>
                </c:pt>
                <c:pt idx="3">
                  <c:v>152.18032399871473</c:v>
                </c:pt>
                <c:pt idx="4">
                  <c:v>113.29605561002269</c:v>
                </c:pt>
                <c:pt idx="5">
                  <c:v>95.62466836441061</c:v>
                </c:pt>
                <c:pt idx="6">
                  <c:v>84.528216659665418</c:v>
                </c:pt>
                <c:pt idx="7">
                  <c:v>78.903267093432959</c:v>
                </c:pt>
                <c:pt idx="8">
                  <c:v>75.385045243972769</c:v>
                </c:pt>
                <c:pt idx="9">
                  <c:v>73.116037182347725</c:v>
                </c:pt>
                <c:pt idx="10">
                  <c:v>71.682820561717733</c:v>
                </c:pt>
                <c:pt idx="11">
                  <c:v>70.806191521123736</c:v>
                </c:pt>
                <c:pt idx="12">
                  <c:v>70.290134860795632</c:v>
                </c:pt>
                <c:pt idx="13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98-4A7C-B0C6-F506D9FB73D3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7.599999662488699E-3</c:v>
                </c:pt>
                <c:pt idx="2">
                  <c:v>3.7999998778104782E-2</c:v>
                </c:pt>
                <c:pt idx="3" formatCode="0.00">
                  <c:v>8.8631577789783478E-2</c:v>
                </c:pt>
                <c:pt idx="4" formatCode="0.00">
                  <c:v>0.13926316797733307</c:v>
                </c:pt>
                <c:pt idx="5" formatCode="0.00">
                  <c:v>0.18989473581314087</c:v>
                </c:pt>
                <c:pt idx="6" formatCode="0.00">
                  <c:v>0.29115790128707886</c:v>
                </c:pt>
                <c:pt idx="7" formatCode="0.00">
                  <c:v>0.39242106676101685</c:v>
                </c:pt>
                <c:pt idx="8" formatCode="0.00">
                  <c:v>0.49368420243263245</c:v>
                </c:pt>
                <c:pt idx="9" formatCode="0.00">
                  <c:v>0.59494739770889282</c:v>
                </c:pt>
                <c:pt idx="10" formatCode="0.00">
                  <c:v>0.69621050357818604</c:v>
                </c:pt>
                <c:pt idx="11" formatCode="0.00">
                  <c:v>0.79747366905212402</c:v>
                </c:pt>
                <c:pt idx="12" formatCode="0.00">
                  <c:v>0.89873683452606201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98.480003356933594</c:v>
                </c:pt>
                <c:pt idx="2">
                  <c:v>90.300003051757813</c:v>
                </c:pt>
                <c:pt idx="3">
                  <c:v>76.955787658691406</c:v>
                </c:pt>
                <c:pt idx="4">
                  <c:v>63.791576385498047</c:v>
                </c:pt>
                <c:pt idx="5">
                  <c:v>52.223159790039063</c:v>
                </c:pt>
                <c:pt idx="6">
                  <c:v>34.503158569335938</c:v>
                </c:pt>
                <c:pt idx="7">
                  <c:v>22.833683013916016</c:v>
                </c:pt>
                <c:pt idx="8">
                  <c:v>14.505264282226563</c:v>
                </c:pt>
                <c:pt idx="9">
                  <c:v>8.3031558990478516</c:v>
                </c:pt>
                <c:pt idx="10">
                  <c:v>6.0757899284362793</c:v>
                </c:pt>
                <c:pt idx="11">
                  <c:v>7.9494733810424805</c:v>
                </c:pt>
                <c:pt idx="12">
                  <c:v>14.911578178405762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98-4A7C-B0C6-F506D9FB7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438208"/>
        <c:axId val="390070656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7.599999662488699E-3</c:v>
                </c:pt>
                <c:pt idx="2">
                  <c:v>3.7999998778104782E-2</c:v>
                </c:pt>
                <c:pt idx="3" formatCode="0.00">
                  <c:v>8.8631577789783478E-2</c:v>
                </c:pt>
                <c:pt idx="4" formatCode="0.00">
                  <c:v>0.13926316797733307</c:v>
                </c:pt>
                <c:pt idx="5" formatCode="0.00">
                  <c:v>0.18989473581314087</c:v>
                </c:pt>
                <c:pt idx="6" formatCode="0.00">
                  <c:v>0.29115790128707886</c:v>
                </c:pt>
                <c:pt idx="7" formatCode="0.00">
                  <c:v>0.39242106676101685</c:v>
                </c:pt>
                <c:pt idx="8" formatCode="0.00">
                  <c:v>0.49368420243263245</c:v>
                </c:pt>
                <c:pt idx="9" formatCode="0.00">
                  <c:v>0.59494739770889282</c:v>
                </c:pt>
                <c:pt idx="10" formatCode="0.00">
                  <c:v>0.69621050357818604</c:v>
                </c:pt>
                <c:pt idx="11" formatCode="0.00">
                  <c:v>0.79747366905212402</c:v>
                </c:pt>
                <c:pt idx="12" formatCode="0.00">
                  <c:v>0.89873683452606201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0.26622247695922852</c:v>
                </c:pt>
                <c:pt idx="1">
                  <c:v>144.80722045898438</c:v>
                </c:pt>
                <c:pt idx="2">
                  <c:v>438.42398071289063</c:v>
                </c:pt>
                <c:pt idx="3">
                  <c:v>516.21026611328125</c:v>
                </c:pt>
                <c:pt idx="4">
                  <c:v>536.67681884765625</c:v>
                </c:pt>
                <c:pt idx="5">
                  <c:v>544.85546875</c:v>
                </c:pt>
                <c:pt idx="6">
                  <c:v>552.18231201171875</c:v>
                </c:pt>
                <c:pt idx="7">
                  <c:v>556.7513427734375</c:v>
                </c:pt>
                <c:pt idx="8">
                  <c:v>560.74725341796875</c:v>
                </c:pt>
                <c:pt idx="9">
                  <c:v>564.3900146484375</c:v>
                </c:pt>
                <c:pt idx="10">
                  <c:v>567.64990234375</c:v>
                </c:pt>
                <c:pt idx="11">
                  <c:v>570.52105712890625</c:v>
                </c:pt>
                <c:pt idx="12">
                  <c:v>573.03485107421875</c:v>
                </c:pt>
                <c:pt idx="13">
                  <c:v>575.11517333984375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98-4A7C-B0C6-F506D9FB7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072960"/>
        <c:axId val="402547456"/>
      </c:scatterChart>
      <c:valAx>
        <c:axId val="38143820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0070656"/>
        <c:crossesAt val="0"/>
        <c:crossBetween val="midCat"/>
        <c:majorUnit val="0.2"/>
        <c:minorUnit val="0.2"/>
      </c:valAx>
      <c:valAx>
        <c:axId val="390070656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1438208"/>
        <c:crosses val="max"/>
        <c:crossBetween val="midCat"/>
        <c:majorUnit val="50"/>
        <c:minorUnit val="50"/>
      </c:valAx>
      <c:valAx>
        <c:axId val="390072960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02547456"/>
        <c:crosses val="autoZero"/>
        <c:crossBetween val="midCat"/>
      </c:valAx>
      <c:valAx>
        <c:axId val="40254745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0072960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99.24000003375113</c:v>
                </c:pt>
                <c:pt idx="2">
                  <c:v>96.200000122189522</c:v>
                </c:pt>
                <c:pt idx="3">
                  <c:v>91.136842221021652</c:v>
                </c:pt>
                <c:pt idx="4">
                  <c:v>86.073683202266693</c:v>
                </c:pt>
                <c:pt idx="5">
                  <c:v>81.010526418685913</c:v>
                </c:pt>
                <c:pt idx="6">
                  <c:v>70.884209871292114</c:v>
                </c:pt>
                <c:pt idx="7">
                  <c:v>60.757893323898315</c:v>
                </c:pt>
                <c:pt idx="8">
                  <c:v>50.631579756736755</c:v>
                </c:pt>
                <c:pt idx="9">
                  <c:v>40.505260229110718</c:v>
                </c:pt>
                <c:pt idx="10">
                  <c:v>30.378949642181396</c:v>
                </c:pt>
                <c:pt idx="11">
                  <c:v>20.252633094787598</c:v>
                </c:pt>
                <c:pt idx="12">
                  <c:v>10.126316547393799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121.79018420879014</c:v>
                </c:pt>
                <c:pt idx="2">
                  <c:v>240</c:v>
                </c:pt>
                <c:pt idx="3">
                  <c:v>152.18032399871473</c:v>
                </c:pt>
                <c:pt idx="4">
                  <c:v>113.29605561002269</c:v>
                </c:pt>
                <c:pt idx="5">
                  <c:v>95.62466836441061</c:v>
                </c:pt>
                <c:pt idx="6">
                  <c:v>84.528216659665418</c:v>
                </c:pt>
                <c:pt idx="7">
                  <c:v>78.903267093432959</c:v>
                </c:pt>
                <c:pt idx="8">
                  <c:v>75.385045243972769</c:v>
                </c:pt>
                <c:pt idx="9">
                  <c:v>73.116037182347725</c:v>
                </c:pt>
                <c:pt idx="10">
                  <c:v>71.682820561717733</c:v>
                </c:pt>
                <c:pt idx="11">
                  <c:v>70.806191521123736</c:v>
                </c:pt>
                <c:pt idx="12">
                  <c:v>70.290134860795632</c:v>
                </c:pt>
                <c:pt idx="13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BA-4A14-A942-CEF0895F8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37920"/>
        <c:axId val="144340096"/>
      </c:scatterChar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99.24000003375113</c:v>
                </c:pt>
                <c:pt idx="2">
                  <c:v>96.200000122189522</c:v>
                </c:pt>
                <c:pt idx="3">
                  <c:v>91.136842221021652</c:v>
                </c:pt>
                <c:pt idx="4">
                  <c:v>86.073683202266693</c:v>
                </c:pt>
                <c:pt idx="5">
                  <c:v>81.010526418685913</c:v>
                </c:pt>
                <c:pt idx="6">
                  <c:v>70.884209871292114</c:v>
                </c:pt>
                <c:pt idx="7">
                  <c:v>60.757893323898315</c:v>
                </c:pt>
                <c:pt idx="8">
                  <c:v>50.631579756736755</c:v>
                </c:pt>
                <c:pt idx="9">
                  <c:v>40.505260229110718</c:v>
                </c:pt>
                <c:pt idx="10">
                  <c:v>30.378949642181396</c:v>
                </c:pt>
                <c:pt idx="11">
                  <c:v>20.252633094787598</c:v>
                </c:pt>
                <c:pt idx="12">
                  <c:v>10.126316547393799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98.480003356933594</c:v>
                </c:pt>
                <c:pt idx="2">
                  <c:v>90.300003051757813</c:v>
                </c:pt>
                <c:pt idx="3">
                  <c:v>76.955787658691406</c:v>
                </c:pt>
                <c:pt idx="4">
                  <c:v>63.791576385498047</c:v>
                </c:pt>
                <c:pt idx="5">
                  <c:v>52.223159790039063</c:v>
                </c:pt>
                <c:pt idx="6">
                  <c:v>34.503158569335938</c:v>
                </c:pt>
                <c:pt idx="7">
                  <c:v>22.833683013916016</c:v>
                </c:pt>
                <c:pt idx="8">
                  <c:v>14.505264282226563</c:v>
                </c:pt>
                <c:pt idx="9">
                  <c:v>8.3031558990478516</c:v>
                </c:pt>
                <c:pt idx="10">
                  <c:v>6.0757899284362793</c:v>
                </c:pt>
                <c:pt idx="11">
                  <c:v>7.9494733810424805</c:v>
                </c:pt>
                <c:pt idx="12">
                  <c:v>14.911578178405762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BA-4A14-A942-CEF0895F8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37920"/>
        <c:axId val="144340096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99.24000003375113</c:v>
                </c:pt>
                <c:pt idx="2">
                  <c:v>96.200000122189522</c:v>
                </c:pt>
                <c:pt idx="3">
                  <c:v>91.136842221021652</c:v>
                </c:pt>
                <c:pt idx="4">
                  <c:v>86.073683202266693</c:v>
                </c:pt>
                <c:pt idx="5">
                  <c:v>81.010526418685913</c:v>
                </c:pt>
                <c:pt idx="6">
                  <c:v>70.884209871292114</c:v>
                </c:pt>
                <c:pt idx="7">
                  <c:v>60.757893323898315</c:v>
                </c:pt>
                <c:pt idx="8">
                  <c:v>50.631579756736755</c:v>
                </c:pt>
                <c:pt idx="9">
                  <c:v>40.505260229110718</c:v>
                </c:pt>
                <c:pt idx="10">
                  <c:v>30.378949642181396</c:v>
                </c:pt>
                <c:pt idx="11">
                  <c:v>20.252633094787598</c:v>
                </c:pt>
                <c:pt idx="12">
                  <c:v>10.126316547393799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0.26622247695922852</c:v>
                </c:pt>
                <c:pt idx="1">
                  <c:v>144.80722045898438</c:v>
                </c:pt>
                <c:pt idx="2">
                  <c:v>438.42398071289063</c:v>
                </c:pt>
                <c:pt idx="3">
                  <c:v>516.21026611328125</c:v>
                </c:pt>
                <c:pt idx="4">
                  <c:v>536.67681884765625</c:v>
                </c:pt>
                <c:pt idx="5">
                  <c:v>544.85546875</c:v>
                </c:pt>
                <c:pt idx="6">
                  <c:v>552.18231201171875</c:v>
                </c:pt>
                <c:pt idx="7">
                  <c:v>556.7513427734375</c:v>
                </c:pt>
                <c:pt idx="8">
                  <c:v>560.74725341796875</c:v>
                </c:pt>
                <c:pt idx="9">
                  <c:v>564.3900146484375</c:v>
                </c:pt>
                <c:pt idx="10">
                  <c:v>567.64990234375</c:v>
                </c:pt>
                <c:pt idx="11">
                  <c:v>570.52105712890625</c:v>
                </c:pt>
                <c:pt idx="12">
                  <c:v>573.03485107421875</c:v>
                </c:pt>
                <c:pt idx="13">
                  <c:v>575.11517333984375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BA-4A14-A942-CEF0895F8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42016"/>
        <c:axId val="144343808"/>
      </c:scatterChart>
      <c:valAx>
        <c:axId val="144337920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4340096"/>
        <c:crosses val="autoZero"/>
        <c:crossBetween val="midCat"/>
        <c:majorUnit val="20"/>
        <c:minorUnit val="20"/>
      </c:valAx>
      <c:valAx>
        <c:axId val="144340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4337920"/>
        <c:crosses val="autoZero"/>
        <c:crossBetween val="midCat"/>
      </c:valAx>
      <c:valAx>
        <c:axId val="14434201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44343808"/>
        <c:crosses val="autoZero"/>
        <c:crossBetween val="midCat"/>
      </c:valAx>
      <c:valAx>
        <c:axId val="144343808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4342016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89036835224494282"/>
          <c:w val="0.25090132154533312"/>
          <c:h val="0.1096316477550572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575.11520737327191</c:v>
                </c:pt>
                <c:pt idx="1">
                  <c:v>525.11520737327191</c:v>
                </c:pt>
                <c:pt idx="2">
                  <c:v>475.11520737327191</c:v>
                </c:pt>
                <c:pt idx="3">
                  <c:v>425.11520737327191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24</c:v>
                </c:pt>
                <c:pt idx="1">
                  <c:v>28.788017191900948</c:v>
                </c:pt>
                <c:pt idx="2">
                  <c:v>35.166008912838763</c:v>
                </c:pt>
                <c:pt idx="3">
                  <c:v>43.924584572674995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0-4808-A6F7-45ABD3C75A17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575.11520737327191</c:v>
                </c:pt>
                <c:pt idx="1">
                  <c:v>525.11520737327191</c:v>
                </c:pt>
                <c:pt idx="2">
                  <c:v>475.11520737327191</c:v>
                </c:pt>
                <c:pt idx="3">
                  <c:v>425.11520737327191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12</c:v>
                </c:pt>
                <c:pt idx="1">
                  <c:v>14.394008595950474</c:v>
                </c:pt>
                <c:pt idx="2">
                  <c:v>17.583004456419381</c:v>
                </c:pt>
                <c:pt idx="3">
                  <c:v>21.962292286337497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0-4808-A6F7-45ABD3C75A17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375.11520737327191</c:v>
                </c:pt>
                <c:pt idx="1">
                  <c:v>275.11520737327191</c:v>
                </c:pt>
                <c:pt idx="2">
                  <c:v>240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68.907812865000338</c:v>
                </c:pt>
                <c:pt idx="3">
                  <c:v>122.50277842666725</c:v>
                </c:pt>
                <c:pt idx="4">
                  <c:v>188.77954915690935</c:v>
                </c:pt>
                <c:pt idx="5" formatCode="0">
                  <c:v>400</c:v>
                </c:pt>
                <c:pt idx="6" formatCode="0">
                  <c:v>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10-4808-A6F7-45ABD3C75A17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575.11520737327191</c:v>
                </c:pt>
                <c:pt idx="1">
                  <c:v>574.05529953917051</c:v>
                </c:pt>
                <c:pt idx="2">
                  <c:v>571.79723502304148</c:v>
                </c:pt>
                <c:pt idx="3">
                  <c:v>569.07834101382491</c:v>
                </c:pt>
                <c:pt idx="4">
                  <c:v>566.036866359447</c:v>
                </c:pt>
                <c:pt idx="5">
                  <c:v>562.58064516129036</c:v>
                </c:pt>
                <c:pt idx="6">
                  <c:v>558.75576036866357</c:v>
                </c:pt>
                <c:pt idx="7">
                  <c:v>554.47004608294935</c:v>
                </c:pt>
                <c:pt idx="8">
                  <c:v>548.52534562211986</c:v>
                </c:pt>
                <c:pt idx="9">
                  <c:v>540.78341013824888</c:v>
                </c:pt>
                <c:pt idx="10">
                  <c:v>526.45161290322585</c:v>
                </c:pt>
                <c:pt idx="11">
                  <c:v>477.32718894009219</c:v>
                </c:pt>
                <c:pt idx="12">
                  <c:v>240</c:v>
                </c:pt>
                <c:pt idx="13">
                  <c:v>125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0.70099997520446777</c:v>
                </c:pt>
                <c:pt idx="2">
                  <c:v>1.2669999599456787</c:v>
                </c:pt>
                <c:pt idx="3">
                  <c:v>1.7879999876022339</c:v>
                </c:pt>
                <c:pt idx="4">
                  <c:v>2.3009998798370361</c:v>
                </c:pt>
                <c:pt idx="5">
                  <c:v>2.8329999446868896</c:v>
                </c:pt>
                <c:pt idx="6">
                  <c:v>3.4040000438690186</c:v>
                </c:pt>
                <c:pt idx="7">
                  <c:v>4.0349998474121094</c:v>
                </c:pt>
                <c:pt idx="8">
                  <c:v>4.750999927520752</c:v>
                </c:pt>
                <c:pt idx="9">
                  <c:v>5.1100001335144043</c:v>
                </c:pt>
                <c:pt idx="10">
                  <c:v>5.3780002593994141</c:v>
                </c:pt>
                <c:pt idx="11">
                  <c:v>5.5270004272460938</c:v>
                </c:pt>
                <c:pt idx="12">
                  <c:v>5.643000602722168</c:v>
                </c:pt>
                <c:pt idx="13">
                  <c:v>5.6950006484985352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0-4808-A6F7-45ABD3C75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62208"/>
        <c:axId val="144464128"/>
      </c:scatterChart>
      <c:valAx>
        <c:axId val="14446220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464128"/>
        <c:crossesAt val="0.1"/>
        <c:crossBetween val="midCat"/>
        <c:majorUnit val="100"/>
      </c:valAx>
      <c:valAx>
        <c:axId val="144464128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46220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91.299995422363281</c:v>
                </c:pt>
                <c:pt idx="2">
                  <c:v>94.199996948242188</c:v>
                </c:pt>
                <c:pt idx="3">
                  <c:v>95.099998474121094</c:v>
                </c:pt>
                <c:pt idx="4">
                  <c:v>95.300003051757813</c:v>
                </c:pt>
                <c:pt idx="5">
                  <c:v>95.300003051757813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25-4C55-BE2D-E4FA0522D38F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63.400001525878906</c:v>
                </c:pt>
                <c:pt idx="1">
                  <c:v>83</c:v>
                </c:pt>
                <c:pt idx="2">
                  <c:v>89.099998474121094</c:v>
                </c:pt>
                <c:pt idx="3">
                  <c:v>91.279998779296875</c:v>
                </c:pt>
                <c:pt idx="4">
                  <c:v>91.900001525878906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25-4C55-BE2D-E4FA0522D38F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87.4397786457818</c:v>
                </c:pt>
                <c:pt idx="2">
                  <c:v>75.120442708315139</c:v>
                </c:pt>
                <c:pt idx="3">
                  <c:v>62.560221354216694</c:v>
                </c:pt>
                <c:pt idx="4">
                  <c:v>50</c:v>
                </c:pt>
                <c:pt idx="5">
                  <c:v>36.956380208331815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25-4C55-BE2D-E4FA0522D38F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0.504525</c:v>
                </c:pt>
                <c:pt idx="1">
                  <c:v>8.9354050000000012</c:v>
                </c:pt>
                <c:pt idx="2">
                  <c:v>17.305854999999998</c:v>
                </c:pt>
                <c:pt idx="3">
                  <c:v>25.736900000000002</c:v>
                </c:pt>
                <c:pt idx="4">
                  <c:v>34.240074999999997</c:v>
                </c:pt>
                <c:pt idx="5">
                  <c:v>42.773624999999996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25-4C55-BE2D-E4FA0522D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91648"/>
        <c:axId val="144493568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49</c:v>
                </c:pt>
                <c:pt idx="1">
                  <c:v>81.370002746582031</c:v>
                </c:pt>
                <c:pt idx="2">
                  <c:v>120.37999725341797</c:v>
                </c:pt>
                <c:pt idx="3">
                  <c:v>166.77000427246094</c:v>
                </c:pt>
                <c:pt idx="4">
                  <c:v>216.57000732421875</c:v>
                </c:pt>
                <c:pt idx="5">
                  <c:v>268.72000122070313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825-4C55-BE2D-E4FA0522D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95744"/>
        <c:axId val="144497280"/>
      </c:scatterChart>
      <c:valAx>
        <c:axId val="14449164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493568"/>
        <c:crossesAt val="0"/>
        <c:crossBetween val="midCat"/>
        <c:majorUnit val="25"/>
        <c:minorUnit val="12.5"/>
      </c:valAx>
      <c:valAx>
        <c:axId val="14449356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491648"/>
        <c:crosses val="autoZero"/>
        <c:crossBetween val="midCat"/>
        <c:majorUnit val="10"/>
        <c:minorUnit val="5"/>
      </c:valAx>
      <c:valAx>
        <c:axId val="14449574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44497280"/>
        <c:crosses val="autoZero"/>
        <c:crossBetween val="midCat"/>
      </c:valAx>
      <c:valAx>
        <c:axId val="144497280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495744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7" name="Radiu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331.0</a:t>
          </a:r>
        </a:p>
      </xdr:txBody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8" name="Heigh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25.0</a:t>
          </a: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9" name="Clea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0" name="Thickness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70.0</a:t>
          </a:r>
        </a:p>
      </xdr:txBody>
    </xdr:sp>
    <xdr:clientData/>
  </xdr:twoCellAnchor>
  <xdr:twoCellAnchor>
    <xdr:from>
      <xdr:col>1</xdr:col>
      <xdr:colOff>133350</xdr:colOff>
      <xdr:row>39</xdr:row>
      <xdr:rowOff>180975</xdr:rowOff>
    </xdr:from>
    <xdr:to>
      <xdr:col>3</xdr:col>
      <xdr:colOff>371475</xdr:colOff>
      <xdr:row>43</xdr:row>
      <xdr:rowOff>19050</xdr:rowOff>
    </xdr:to>
    <xdr:grpSp>
      <xdr:nvGrpSpPr>
        <xdr:cNvPr id="11" name="Group 19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923925" y="9163050"/>
          <a:ext cx="1143000" cy="752475"/>
          <a:chOff x="93" y="938"/>
          <a:chExt cx="120" cy="79"/>
        </a:xfrm>
      </xdr:grpSpPr>
      <xdr:sp macro="" textlink="">
        <xdr:nvSpPr>
          <xdr:cNvPr id="12" name="Line 10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" y="96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0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986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0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" y="98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0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5" y="991"/>
            <a:ext cx="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06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965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07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2" y="96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Text 583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0" y="1007"/>
            <a:ext cx="13" cy="1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grpSp>
        <xdr:nvGrpSpPr>
          <xdr:cNvPr id="19" name="Group 11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pSpPr>
            <a:grpSpLocks/>
          </xdr:cNvGrpSpPr>
        </xdr:nvGrpSpPr>
        <xdr:grpSpPr bwMode="auto">
          <a:xfrm>
            <a:off x="93" y="938"/>
            <a:ext cx="93" cy="77"/>
            <a:chOff x="13440000" y="15720000"/>
            <a:chExt cx="1900000" cy="1540000"/>
          </a:xfrm>
        </xdr:grpSpPr>
        <xdr:grpSp>
          <xdr:nvGrpSpPr>
            <xdr:cNvPr id="21" name="Group 113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40000" y="15720000"/>
              <a:ext cx="1900000" cy="1540000"/>
              <a:chOff x="13440000" y="15720000"/>
              <a:chExt cx="1900000" cy="1540000"/>
            </a:xfrm>
          </xdr:grpSpPr>
          <xdr:sp macro="" textlink="">
            <xdr:nvSpPr>
              <xdr:cNvPr id="23" name="Line 114">
                <a:extLst>
                  <a:ext uri="{FF2B5EF4-FFF2-40B4-BE49-F238E27FC236}">
                    <a16:creationId xmlns:a16="http://schemas.microsoft.com/office/drawing/2014/main" id="{00000000-0008-0000-0100-00001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4" name="Line 115">
                <a:extLst>
                  <a:ext uri="{FF2B5EF4-FFF2-40B4-BE49-F238E27FC236}">
                    <a16:creationId xmlns:a16="http://schemas.microsoft.com/office/drawing/2014/main" id="{00000000-0008-0000-0100-00001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5" name="Line 116">
                <a:extLst>
                  <a:ext uri="{FF2B5EF4-FFF2-40B4-BE49-F238E27FC236}">
                    <a16:creationId xmlns:a16="http://schemas.microsoft.com/office/drawing/2014/main" id="{00000000-0008-0000-0100-00001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4060000" y="1582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6" name="Line 117">
                <a:extLst>
                  <a:ext uri="{FF2B5EF4-FFF2-40B4-BE49-F238E27FC236}">
                    <a16:creationId xmlns:a16="http://schemas.microsoft.com/office/drawing/2014/main" id="{00000000-0008-0000-0100-00001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7" name="Line 118">
                <a:extLst>
                  <a:ext uri="{FF2B5EF4-FFF2-40B4-BE49-F238E27FC236}">
                    <a16:creationId xmlns:a16="http://schemas.microsoft.com/office/drawing/2014/main" id="{00000000-0008-0000-0100-00001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4060000" y="1626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8" name="Line 119">
                <a:extLst>
                  <a:ext uri="{FF2B5EF4-FFF2-40B4-BE49-F238E27FC236}">
                    <a16:creationId xmlns:a16="http://schemas.microsoft.com/office/drawing/2014/main" id="{00000000-0008-0000-0100-00001C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4700000" y="16280000"/>
                <a:ext cx="0" cy="36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2" name="Line 120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0" name="Line 121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" y="975"/>
            <a:ext cx="2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>
          <a:grpSpLocks/>
        </xdr:cNvGrpSpPr>
      </xdr:nvGrpSpPr>
      <xdr:grpSpPr bwMode="auto">
        <a:xfrm>
          <a:off x="1181100" y="7781925"/>
          <a:ext cx="866775" cy="952500"/>
          <a:chOff x="120" y="793"/>
          <a:chExt cx="91" cy="100"/>
        </a:xfrm>
      </xdr:grpSpPr>
      <xdr:sp macro="" textlink="">
        <xdr:nvSpPr>
          <xdr:cNvPr id="35" name="Line 10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14.5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pSpPr>
          <a:grpSpLocks/>
        </xdr:cNvGrpSpPr>
      </xdr:nvGrpSpPr>
      <xdr:grpSpPr bwMode="auto">
        <a:xfrm>
          <a:off x="1123950" y="6296025"/>
          <a:ext cx="942975" cy="1076325"/>
          <a:chOff x="118" y="637"/>
          <a:chExt cx="99" cy="113"/>
        </a:xfrm>
      </xdr:grpSpPr>
      <xdr:sp macro="" textlink="">
        <xdr:nvSpPr>
          <xdr:cNvPr id="73" name="Line 229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45451" y="4182147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0.63717</cdr:x>
      <cdr:y>0.57935</cdr:y>
    </cdr:from>
    <cdr:to>
      <cdr:x>0.91999</cdr:x>
      <cdr:y>0.60448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26420" y="3730349"/>
          <a:ext cx="1654031" cy="1618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0.64868</cdr:x>
      <cdr:y>0.79609</cdr:y>
    </cdr:from>
    <cdr:to>
      <cdr:x>0.89412</cdr:x>
      <cdr:y>0.82122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93684" y="5125963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628650" y="39624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4A804A5-67A8-466E-9FB4-57E2A1AC522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3600</a:t>
          </a:fld>
          <a:endParaRPr lang="en-US"/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619125" y="43815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F3BB8A2-122D-46A9-B51B-B7149990D16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3597</a:t>
          </a:fld>
          <a:endParaRPr lang="en-US"/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609600" y="47910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F40A96B-A0AA-4DCA-BED7-DEDB898758C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3594</a:t>
          </a:fld>
          <a:endParaRPr lang="en-US"/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609600" y="52006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099AFCF-7A6E-492B-9D3A-219A169360E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3591</a:t>
          </a:fld>
          <a:endParaRPr lang="en-US"/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619125" y="56102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FCF39F7-E0D6-4F88-AC92-2A4E125D995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3588</a:t>
          </a:fld>
          <a:endParaRPr lang="en-US"/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619125" y="60198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AC310B6-D361-42F0-B7FD-71601D5751E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3585</a:t>
          </a:fld>
          <a:endParaRPr lang="en-US"/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609600" y="64293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C9CB4DF-DF6D-4633-A6C7-709FA972EEF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3582</a:t>
          </a:fld>
          <a:endParaRPr lang="en-US"/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600075" y="68389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E6054D0-3BBB-420B-9522-BD71BDC4236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3579</a:t>
          </a:fld>
          <a:endParaRPr lang="en-US"/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600075" y="72580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1047A22-110B-4BDA-A789-2058897A76B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3576</a:t>
          </a:fld>
          <a:endParaRPr lang="en-US"/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600075" y="76676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40540ECE-FDE0-4668-960E-B1006A5A197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3573</a:t>
          </a:fld>
          <a:endParaRPr lang="en-US"/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609600" y="80772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3775018-EC35-4127-86E6-0D573C5B4F2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352423</xdr:colOff>
      <xdr:row>16</xdr:row>
      <xdr:rowOff>76200</xdr:rowOff>
    </xdr:from>
    <xdr:to>
      <xdr:col>5</xdr:col>
      <xdr:colOff>819150</xdr:colOff>
      <xdr:row>17</xdr:row>
      <xdr:rowOff>38100</xdr:rowOff>
    </xdr:to>
    <xdr:sp macro="" textlink="$O$37">
      <xdr:nvSpPr>
        <xdr:cNvPr id="15" name="Watts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5924548" y="3971925"/>
          <a:ext cx="46672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FB18EBF-D5F1-425A-808B-ED394F94915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$O$42">
      <xdr:nvSpPr>
        <xdr:cNvPr id="16" name="Watts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FA347C2-CAF4-44B9-B561-7D92E4A6EDE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2000</a:t>
          </a:fld>
          <a:endParaRPr lang="en-US"/>
        </a:p>
      </xdr:txBody>
    </xdr:sp>
    <xdr:clientData/>
  </xdr:twoCellAnchor>
  <xdr:twoCellAnchor>
    <xdr:from>
      <xdr:col>5</xdr:col>
      <xdr:colOff>371473</xdr:colOff>
      <xdr:row>26</xdr:row>
      <xdr:rowOff>171450</xdr:rowOff>
    </xdr:from>
    <xdr:to>
      <xdr:col>5</xdr:col>
      <xdr:colOff>838200</xdr:colOff>
      <xdr:row>27</xdr:row>
      <xdr:rowOff>133350</xdr:rowOff>
    </xdr:to>
    <xdr:sp macro="" textlink="$O$43">
      <xdr:nvSpPr>
        <xdr:cNvPr id="17" name="Watts5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5943598" y="6448425"/>
          <a:ext cx="46672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A72648B-AC33-4BD3-B0C1-AD056B1095B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1600</a:t>
          </a:fld>
          <a:endParaRPr lang="en-US"/>
        </a:p>
      </xdr:txBody>
    </xdr:sp>
    <xdr:clientData/>
  </xdr:twoCellAnchor>
  <xdr:twoCellAnchor>
    <xdr:from>
      <xdr:col>5</xdr:col>
      <xdr:colOff>380998</xdr:colOff>
      <xdr:row>28</xdr:row>
      <xdr:rowOff>104775</xdr:rowOff>
    </xdr:from>
    <xdr:to>
      <xdr:col>5</xdr:col>
      <xdr:colOff>847725</xdr:colOff>
      <xdr:row>29</xdr:row>
      <xdr:rowOff>66675</xdr:rowOff>
    </xdr:to>
    <xdr:sp macro="" textlink="$O$44">
      <xdr:nvSpPr>
        <xdr:cNvPr id="18" name="Watts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5953123" y="6858000"/>
          <a:ext cx="46672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679DFAE-7B72-4835-A033-E045215268E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1200</a:t>
          </a:fld>
          <a:endParaRPr lang="en-US"/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$O$45">
      <xdr:nvSpPr>
        <xdr:cNvPr id="19" name="Watts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5943599" y="72675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D1DE69E-E573-4E9C-82BA-2ADB46DBC6A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800</a:t>
          </a:fld>
          <a:endParaRPr lang="en-US"/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$O$46">
      <xdr:nvSpPr>
        <xdr:cNvPr id="20" name="Watts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5943599" y="76866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E06FB96-94A1-45CA-9F58-4F9442B4541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371473</xdr:colOff>
      <xdr:row>23</xdr:row>
      <xdr:rowOff>57150</xdr:rowOff>
    </xdr:from>
    <xdr:to>
      <xdr:col>5</xdr:col>
      <xdr:colOff>838200</xdr:colOff>
      <xdr:row>24</xdr:row>
      <xdr:rowOff>19050</xdr:rowOff>
    </xdr:to>
    <xdr:sp macro="" textlink="$O$41">
      <xdr:nvSpPr>
        <xdr:cNvPr id="22" name="Watts7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5943598" y="5619750"/>
          <a:ext cx="46672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150BF4B-E7AD-41D9-8CEF-C74982AD2AE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2400</a:t>
          </a:fld>
          <a:endParaRPr lang="en-US"/>
        </a:p>
      </xdr:txBody>
    </xdr:sp>
    <xdr:clientData/>
  </xdr:twoCellAnchor>
  <xdr:twoCellAnchor>
    <xdr:from>
      <xdr:col>5</xdr:col>
      <xdr:colOff>371473</xdr:colOff>
      <xdr:row>21</xdr:row>
      <xdr:rowOff>123825</xdr:rowOff>
    </xdr:from>
    <xdr:to>
      <xdr:col>5</xdr:col>
      <xdr:colOff>838200</xdr:colOff>
      <xdr:row>22</xdr:row>
      <xdr:rowOff>85725</xdr:rowOff>
    </xdr:to>
    <xdr:sp macro="" textlink="$O$40">
      <xdr:nvSpPr>
        <xdr:cNvPr id="23" name="Watts8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5943598" y="5210175"/>
          <a:ext cx="46672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CE0481F-FE48-41A9-A396-AC526D221C3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2800</a:t>
          </a:fld>
          <a:endParaRPr lang="en-US"/>
        </a:p>
      </xdr:txBody>
    </xdr:sp>
    <xdr:clientData/>
  </xdr:twoCellAnchor>
  <xdr:twoCellAnchor>
    <xdr:from>
      <xdr:col>5</xdr:col>
      <xdr:colOff>361948</xdr:colOff>
      <xdr:row>19</xdr:row>
      <xdr:rowOff>190500</xdr:rowOff>
    </xdr:from>
    <xdr:to>
      <xdr:col>5</xdr:col>
      <xdr:colOff>828675</xdr:colOff>
      <xdr:row>20</xdr:row>
      <xdr:rowOff>152400</xdr:rowOff>
    </xdr:to>
    <xdr:sp macro="" textlink="$O$39">
      <xdr:nvSpPr>
        <xdr:cNvPr id="24" name="Watts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5934073" y="4800600"/>
          <a:ext cx="46672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8F7CBEC-6B3B-4B36-B05B-97ED69BC603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3200</a:t>
          </a:fld>
          <a:endParaRPr lang="en-US"/>
        </a:p>
      </xdr:txBody>
    </xdr:sp>
    <xdr:clientData/>
  </xdr:twoCellAnchor>
  <xdr:twoCellAnchor>
    <xdr:from>
      <xdr:col>5</xdr:col>
      <xdr:colOff>361948</xdr:colOff>
      <xdr:row>18</xdr:row>
      <xdr:rowOff>19050</xdr:rowOff>
    </xdr:from>
    <xdr:to>
      <xdr:col>5</xdr:col>
      <xdr:colOff>828675</xdr:colOff>
      <xdr:row>18</xdr:row>
      <xdr:rowOff>219075</xdr:rowOff>
    </xdr:to>
    <xdr:sp macro="" textlink="$O$38">
      <xdr:nvSpPr>
        <xdr:cNvPr id="25" name="Watts10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5934073" y="4391025"/>
          <a:ext cx="46672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BDB13A3-35A9-4836-BA6F-C9BE9B37188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3600</a:t>
          </a:fld>
          <a:endParaRPr lang="en-US"/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18</xdr:row>
      <xdr:rowOff>142875</xdr:rowOff>
    </xdr:from>
    <xdr:to>
      <xdr:col>4</xdr:col>
      <xdr:colOff>123825</xdr:colOff>
      <xdr:row>19</xdr:row>
      <xdr:rowOff>76200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45148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171450</xdr:colOff>
      <xdr:row>21</xdr:row>
      <xdr:rowOff>76200</xdr:rowOff>
    </xdr:from>
    <xdr:to>
      <xdr:col>3</xdr:col>
      <xdr:colOff>514350</xdr:colOff>
      <xdr:row>21</xdr:row>
      <xdr:rowOff>219075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3514725" y="516255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971550</xdr:colOff>
      <xdr:row>28</xdr:row>
      <xdr:rowOff>47625</xdr:rowOff>
    </xdr:from>
    <xdr:to>
      <xdr:col>2</xdr:col>
      <xdr:colOff>295275</xdr:colOff>
      <xdr:row>28</xdr:row>
      <xdr:rowOff>200025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2085975" y="680085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647700</xdr:colOff>
      <xdr:row>31</xdr:row>
      <xdr:rowOff>180975</xdr:rowOff>
    </xdr:from>
    <xdr:to>
      <xdr:col>3</xdr:col>
      <xdr:colOff>38100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287655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$O$47">
      <xdr:nvSpPr>
        <xdr:cNvPr id="31" name="Watts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5934074" y="8086725"/>
          <a:ext cx="43814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3F1C77A-24B2-4EE1-9633-49560A9907F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0.0</a:t>
          </a:fld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O113"/>
  <sheetViews>
    <sheetView zoomScale="95" zoomScaleNormal="95" workbookViewId="0">
      <selection activeCell="P24" sqref="P24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167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218</v>
      </c>
    </row>
    <row r="2" spans="1:10" ht="18.75">
      <c r="A2" s="32" t="s">
        <v>173</v>
      </c>
      <c r="B2" s="2"/>
      <c r="C2" s="2"/>
      <c r="D2" s="2"/>
      <c r="E2" s="2"/>
      <c r="F2" s="2"/>
      <c r="G2" s="2"/>
      <c r="H2" s="2"/>
      <c r="I2" s="2"/>
      <c r="J2" s="128" t="s">
        <v>219</v>
      </c>
    </row>
    <row r="3" spans="1:10" ht="15" customHeight="1" thickBot="1">
      <c r="A3" s="47" t="s">
        <v>1</v>
      </c>
      <c r="B3" s="94" t="s">
        <v>217</v>
      </c>
      <c r="C3" s="1"/>
      <c r="D3" s="47"/>
      <c r="E3" s="1"/>
      <c r="F3" s="1"/>
      <c r="G3" s="47" t="s">
        <v>2</v>
      </c>
      <c r="H3" s="169">
        <v>43636</v>
      </c>
      <c r="I3" s="47" t="s">
        <v>3</v>
      </c>
      <c r="J3" s="170">
        <v>0.32313657407407409</v>
      </c>
    </row>
    <row r="4" spans="1:10" ht="15" customHeight="1" thickBot="1">
      <c r="A4" s="11" t="s">
        <v>4</v>
      </c>
      <c r="B4" s="11" t="s">
        <v>171</v>
      </c>
      <c r="C4" s="11" t="s">
        <v>5</v>
      </c>
      <c r="D4" s="11" t="s">
        <v>172</v>
      </c>
      <c r="E4" s="155" t="s">
        <v>6</v>
      </c>
      <c r="F4" s="11" t="s">
        <v>7</v>
      </c>
      <c r="G4" s="11" t="s">
        <v>175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2</v>
      </c>
      <c r="B5" s="110">
        <v>1750</v>
      </c>
      <c r="C5" s="138">
        <v>3600</v>
      </c>
      <c r="D5" s="48" t="s">
        <v>192</v>
      </c>
      <c r="E5" s="156">
        <v>4000</v>
      </c>
      <c r="F5" s="138">
        <v>60</v>
      </c>
      <c r="G5" s="48">
        <v>105</v>
      </c>
      <c r="H5" s="76" t="s">
        <v>251</v>
      </c>
      <c r="I5" s="75" t="s">
        <v>256</v>
      </c>
      <c r="J5" s="48" t="s">
        <v>193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 t="s">
        <v>267</v>
      </c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24.543671874999998</v>
      </c>
      <c r="J7" s="104" t="s">
        <v>19</v>
      </c>
    </row>
    <row r="8" spans="1:10" ht="15" customHeight="1">
      <c r="A8" s="9" t="s">
        <v>20</v>
      </c>
      <c r="B8" s="67">
        <v>3.2999999523162842</v>
      </c>
      <c r="C8" s="50"/>
      <c r="D8" s="5"/>
      <c r="E8" s="49"/>
      <c r="F8" s="3"/>
      <c r="G8" s="15"/>
      <c r="H8" s="9" t="s">
        <v>21</v>
      </c>
      <c r="I8" s="66">
        <v>30.456888323673823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201</v>
      </c>
      <c r="F9" s="105" t="s">
        <v>25</v>
      </c>
      <c r="G9" s="29"/>
      <c r="H9" s="9" t="s">
        <v>26</v>
      </c>
      <c r="I9" s="67">
        <v>27.500280099336912</v>
      </c>
      <c r="J9" s="102">
        <v>652.10031501303024</v>
      </c>
    </row>
    <row r="10" spans="1:10" ht="15" customHeight="1">
      <c r="A10" s="9" t="s">
        <v>27</v>
      </c>
      <c r="B10" s="67">
        <v>600</v>
      </c>
      <c r="C10" s="71">
        <v>600</v>
      </c>
      <c r="D10" s="5"/>
      <c r="E10" s="49"/>
      <c r="F10" s="114" t="s">
        <v>213</v>
      </c>
      <c r="G10" s="112" t="s">
        <v>214</v>
      </c>
      <c r="H10" s="9" t="s">
        <v>28</v>
      </c>
      <c r="I10" s="66">
        <v>14.338922976528664</v>
      </c>
      <c r="J10" s="101" t="s">
        <v>29</v>
      </c>
    </row>
    <row r="11" spans="1:10" ht="15" customHeight="1" thickBot="1">
      <c r="A11" s="9" t="s">
        <v>30</v>
      </c>
      <c r="B11" s="67">
        <v>670</v>
      </c>
      <c r="C11" s="71">
        <v>368.40000009536743</v>
      </c>
      <c r="D11" s="9" t="s">
        <v>31</v>
      </c>
      <c r="E11" s="66">
        <v>0.62493749999999992</v>
      </c>
      <c r="F11" s="115"/>
      <c r="G11" s="111"/>
      <c r="H11" s="9" t="s">
        <v>32</v>
      </c>
      <c r="I11" s="66">
        <v>30.038756689833033</v>
      </c>
      <c r="J11" s="102">
        <v>56045.593510457657</v>
      </c>
    </row>
    <row r="12" spans="1:10" ht="15" customHeight="1">
      <c r="A12" s="9" t="s">
        <v>33</v>
      </c>
      <c r="B12" s="67">
        <v>375</v>
      </c>
      <c r="C12" s="71">
        <v>185</v>
      </c>
      <c r="D12" s="9" t="s">
        <v>34</v>
      </c>
      <c r="E12" s="151" t="s">
        <v>174</v>
      </c>
      <c r="F12" s="121" t="s">
        <v>207</v>
      </c>
      <c r="G12" s="113" t="s">
        <v>206</v>
      </c>
      <c r="H12" s="9" t="s">
        <v>35</v>
      </c>
      <c r="I12" s="66">
        <v>1.1789163438632333</v>
      </c>
      <c r="J12" s="101" t="s">
        <v>36</v>
      </c>
    </row>
    <row r="13" spans="1:10" ht="15" customHeight="1" thickBot="1">
      <c r="A13" s="9" t="s">
        <v>37</v>
      </c>
      <c r="B13" s="67">
        <v>85</v>
      </c>
      <c r="C13" s="71">
        <v>55.290000200271606</v>
      </c>
      <c r="D13" s="9" t="s">
        <v>38</v>
      </c>
      <c r="E13" s="68">
        <v>18</v>
      </c>
      <c r="F13" s="121"/>
      <c r="G13" s="113" t="s">
        <v>208</v>
      </c>
      <c r="H13" s="9" t="s">
        <v>40</v>
      </c>
      <c r="I13" s="66">
        <v>1.0139197383619514</v>
      </c>
      <c r="J13" s="102">
        <v>213.61054992675781</v>
      </c>
    </row>
    <row r="14" spans="1:10" ht="15" customHeight="1" thickBot="1">
      <c r="A14" s="160" t="s">
        <v>41</v>
      </c>
      <c r="B14" s="131">
        <v>465</v>
      </c>
      <c r="C14" s="132">
        <v>474.30001831054688</v>
      </c>
      <c r="D14" s="9" t="s">
        <v>42</v>
      </c>
      <c r="E14" s="49" t="s">
        <v>202</v>
      </c>
      <c r="F14" s="49"/>
      <c r="G14" s="113" t="s">
        <v>209</v>
      </c>
      <c r="H14" s="47" t="s">
        <v>43</v>
      </c>
      <c r="I14" s="66">
        <v>1.1953265509204378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174</v>
      </c>
      <c r="F15" s="49"/>
      <c r="G15" s="113"/>
      <c r="H15" s="9" t="s">
        <v>47</v>
      </c>
      <c r="I15" s="66">
        <v>0.83141460458883965</v>
      </c>
      <c r="J15" s="102">
        <v>32.075954861111114</v>
      </c>
    </row>
    <row r="16" spans="1:10" ht="15" customHeight="1">
      <c r="A16" s="9" t="s">
        <v>48</v>
      </c>
      <c r="B16" s="49">
        <v>48</v>
      </c>
      <c r="C16" s="50">
        <v>38</v>
      </c>
      <c r="D16" s="9" t="s">
        <v>49</v>
      </c>
      <c r="E16" s="49">
        <v>2</v>
      </c>
      <c r="F16" s="49"/>
      <c r="G16" s="113"/>
      <c r="H16" s="9" t="s">
        <v>50</v>
      </c>
      <c r="I16" s="66">
        <v>0.9554364713800827</v>
      </c>
      <c r="J16" s="103" t="s">
        <v>51</v>
      </c>
    </row>
    <row r="17" spans="1:14" ht="15" customHeight="1" thickBot="1">
      <c r="A17" s="9" t="s">
        <v>52</v>
      </c>
      <c r="B17" s="49" t="s">
        <v>194</v>
      </c>
      <c r="C17" s="50" t="s">
        <v>195</v>
      </c>
      <c r="D17" s="47" t="s">
        <v>53</v>
      </c>
      <c r="E17" s="49" t="s">
        <v>203</v>
      </c>
      <c r="F17" s="49"/>
      <c r="G17" s="113"/>
      <c r="H17" s="9" t="s">
        <v>54</v>
      </c>
      <c r="I17" s="66">
        <v>0.79436383606222771</v>
      </c>
      <c r="J17" s="102">
        <v>783.29557171885892</v>
      </c>
    </row>
    <row r="18" spans="1:14" ht="15" customHeight="1">
      <c r="A18" s="9" t="s">
        <v>55</v>
      </c>
      <c r="B18" s="49" t="s">
        <v>174</v>
      </c>
      <c r="C18" s="71">
        <v>0</v>
      </c>
      <c r="D18" s="9" t="s">
        <v>56</v>
      </c>
      <c r="E18" s="135">
        <v>1295</v>
      </c>
      <c r="F18" s="68">
        <v>770</v>
      </c>
      <c r="G18" s="72"/>
      <c r="H18" s="12" t="s">
        <v>57</v>
      </c>
      <c r="I18" s="129" t="s">
        <v>215</v>
      </c>
      <c r="J18" s="130"/>
    </row>
    <row r="19" spans="1:14" ht="15" customHeight="1">
      <c r="A19" s="9" t="s">
        <v>58</v>
      </c>
      <c r="B19" s="67">
        <v>62.5</v>
      </c>
      <c r="C19" s="71">
        <v>36.409999847412109</v>
      </c>
      <c r="D19" s="9" t="s">
        <v>59</v>
      </c>
      <c r="E19" s="68">
        <v>144</v>
      </c>
      <c r="F19" s="49"/>
      <c r="G19" s="50"/>
      <c r="H19" s="141"/>
      <c r="I19" s="3" t="s">
        <v>60</v>
      </c>
      <c r="J19" s="30" t="s">
        <v>61</v>
      </c>
    </row>
    <row r="20" spans="1:14" ht="15" customHeight="1">
      <c r="A20" s="9" t="s">
        <v>62</v>
      </c>
      <c r="B20" s="67" t="s">
        <v>196</v>
      </c>
      <c r="C20" s="71"/>
      <c r="D20" s="9" t="s">
        <v>166</v>
      </c>
      <c r="E20" s="159">
        <v>6.19208369227238E-2</v>
      </c>
      <c r="F20" s="49"/>
      <c r="G20" s="50"/>
      <c r="H20" s="9" t="s">
        <v>63</v>
      </c>
      <c r="I20" s="66">
        <v>18.533136367797852</v>
      </c>
      <c r="J20" s="70">
        <v>18.533136367797852</v>
      </c>
    </row>
    <row r="21" spans="1:14" ht="15" customHeight="1">
      <c r="A21" s="9" t="s">
        <v>64</v>
      </c>
      <c r="B21" s="67">
        <v>14.5</v>
      </c>
      <c r="C21" s="71">
        <v>3</v>
      </c>
      <c r="D21" s="9" t="s">
        <v>204</v>
      </c>
      <c r="E21" s="65">
        <v>8.2601666543279884E-2</v>
      </c>
      <c r="F21" s="65">
        <v>6.1929911375045776E-2</v>
      </c>
      <c r="G21" s="69">
        <v>6.8364600397058644E-3</v>
      </c>
      <c r="H21" s="9" t="s">
        <v>65</v>
      </c>
      <c r="I21" s="66">
        <v>16.804136276245117</v>
      </c>
      <c r="J21" s="70">
        <v>14.80540657043457</v>
      </c>
    </row>
    <row r="22" spans="1:14" ht="15" customHeight="1">
      <c r="A22" s="9" t="s">
        <v>66</v>
      </c>
      <c r="B22" s="67">
        <v>2.8299999237060547</v>
      </c>
      <c r="C22" s="71">
        <v>3</v>
      </c>
      <c r="D22" s="9" t="s">
        <v>67</v>
      </c>
      <c r="E22" s="49" t="s">
        <v>205</v>
      </c>
      <c r="F22" s="49" t="s">
        <v>205</v>
      </c>
      <c r="G22" s="50" t="s">
        <v>205</v>
      </c>
      <c r="H22" s="9" t="s">
        <v>68</v>
      </c>
      <c r="I22" s="66">
        <v>4.1274876594543457</v>
      </c>
      <c r="J22" s="70">
        <v>3.6328270435333252</v>
      </c>
    </row>
    <row r="23" spans="1:14" ht="15" customHeight="1">
      <c r="A23" s="9" t="s">
        <v>69</v>
      </c>
      <c r="B23" s="67">
        <v>10.043671607971191</v>
      </c>
      <c r="C23" s="71">
        <v>10.316610336303711</v>
      </c>
      <c r="D23" s="9" t="s">
        <v>70</v>
      </c>
      <c r="E23" s="66">
        <v>1.7419999837875366</v>
      </c>
      <c r="F23" s="66">
        <v>1.7419999837875366</v>
      </c>
      <c r="G23" s="70">
        <v>1.7419999837875366</v>
      </c>
      <c r="H23" s="9" t="s">
        <v>71</v>
      </c>
      <c r="I23" s="66">
        <v>20.842817891464964</v>
      </c>
      <c r="J23" s="15" t="s">
        <v>216</v>
      </c>
    </row>
    <row r="24" spans="1:14" ht="15" customHeight="1">
      <c r="A24" s="9" t="s">
        <v>72</v>
      </c>
      <c r="B24" s="67">
        <v>0</v>
      </c>
      <c r="C24" s="71">
        <v>0.80000001192092896</v>
      </c>
      <c r="D24" s="9" t="s">
        <v>73</v>
      </c>
      <c r="E24" s="66">
        <v>8.8900003433227539</v>
      </c>
      <c r="F24" s="66">
        <v>8.8900003433227539</v>
      </c>
      <c r="G24" s="70">
        <v>8.8900003433227539</v>
      </c>
      <c r="H24" s="9" t="s">
        <v>74</v>
      </c>
      <c r="I24" s="66">
        <v>7.1922226603197199</v>
      </c>
      <c r="J24" s="70">
        <v>6.3205372109121987</v>
      </c>
    </row>
    <row r="25" spans="1:14" ht="15" customHeight="1">
      <c r="A25" s="9" t="s">
        <v>75</v>
      </c>
      <c r="B25" s="49" t="s">
        <v>174</v>
      </c>
      <c r="C25" s="71">
        <v>4.7199997901916504</v>
      </c>
      <c r="D25" s="107" t="s">
        <v>76</v>
      </c>
      <c r="E25" s="51"/>
      <c r="F25" s="51"/>
      <c r="G25" s="58"/>
      <c r="H25" s="9" t="s">
        <v>77</v>
      </c>
      <c r="I25" s="66">
        <v>0.15136803686618805</v>
      </c>
      <c r="J25" s="70">
        <v>0.40942543745040894</v>
      </c>
    </row>
    <row r="26" spans="1:14" ht="15" customHeight="1">
      <c r="A26" s="9" t="s">
        <v>78</v>
      </c>
      <c r="B26" s="51" t="s">
        <v>197</v>
      </c>
      <c r="C26" s="58" t="s">
        <v>198</v>
      </c>
      <c r="D26" s="9" t="s">
        <v>79</v>
      </c>
      <c r="E26" s="67">
        <v>260.91490091412254</v>
      </c>
      <c r="F26" s="67">
        <v>86.26571853149413</v>
      </c>
      <c r="G26" s="71">
        <v>26.449351062353312</v>
      </c>
      <c r="H26" s="9" t="s">
        <v>80</v>
      </c>
      <c r="I26" s="66">
        <v>1.8040236234664917</v>
      </c>
      <c r="J26" s="70">
        <v>1.7143474817276001</v>
      </c>
    </row>
    <row r="27" spans="1:14" ht="15" customHeight="1" thickBot="1">
      <c r="A27" s="9" t="s">
        <v>81</v>
      </c>
      <c r="B27" s="49" t="s">
        <v>199</v>
      </c>
      <c r="C27" s="50" t="s">
        <v>200</v>
      </c>
      <c r="D27" s="10" t="s">
        <v>82</v>
      </c>
      <c r="E27" s="78" t="s">
        <v>174</v>
      </c>
      <c r="F27" s="78" t="s">
        <v>174</v>
      </c>
      <c r="G27" s="80" t="s">
        <v>174</v>
      </c>
      <c r="H27" s="10" t="s">
        <v>83</v>
      </c>
      <c r="I27" s="77">
        <v>1.8103628158569336</v>
      </c>
      <c r="J27" s="79">
        <v>1.7625596523284912</v>
      </c>
    </row>
    <row r="28" spans="1:14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</row>
    <row r="29" spans="1:14" ht="15" customHeight="1">
      <c r="A29" s="6"/>
      <c r="B29" s="33" t="s">
        <v>87</v>
      </c>
      <c r="C29" s="73">
        <v>33.371993281235319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50" t="str">
        <f>RIGHT(F$41,SEARCH("/",F$41,1)-1)</f>
        <v xml:space="preserve"> 3578.3</v>
      </c>
      <c r="N29" t="s">
        <v>186</v>
      </c>
    </row>
    <row r="30" spans="1:14" ht="15" customHeight="1" thickBot="1">
      <c r="A30" s="7"/>
      <c r="B30" s="61" t="s">
        <v>94</v>
      </c>
      <c r="C30" s="74">
        <v>33.399128783152655</v>
      </c>
      <c r="D30" s="9" t="s">
        <v>95</v>
      </c>
      <c r="E30" s="163">
        <v>52.621632500000004</v>
      </c>
      <c r="F30" s="163">
        <v>790.5</v>
      </c>
      <c r="G30" s="163">
        <v>19.174499404265124</v>
      </c>
      <c r="H30" s="164">
        <v>1317.9307673490293</v>
      </c>
      <c r="I30" s="68">
        <v>72640.236678750007</v>
      </c>
      <c r="J30" s="72">
        <v>7398.6779588184982</v>
      </c>
      <c r="M30" s="150" t="str">
        <f>RIGHT(E$41,SEARCH("/",E$41,1)-1)</f>
        <v xml:space="preserve"> 3583.7</v>
      </c>
      <c r="N30" t="s">
        <v>187</v>
      </c>
    </row>
    <row r="31" spans="1:14" ht="15" customHeight="1">
      <c r="A31" s="22" t="s">
        <v>96</v>
      </c>
      <c r="B31" s="142"/>
      <c r="C31" s="26"/>
      <c r="D31" s="9" t="s">
        <v>97</v>
      </c>
      <c r="E31" s="163">
        <v>6.25</v>
      </c>
      <c r="F31" s="163">
        <v>1120.8737514495849</v>
      </c>
      <c r="G31" s="163">
        <v>13.522880484505073</v>
      </c>
      <c r="H31" s="164">
        <v>37.096950547551735</v>
      </c>
      <c r="I31" s="68">
        <v>14010.921893119812</v>
      </c>
      <c r="J31" s="72">
        <v>810.5181969700069</v>
      </c>
      <c r="M31" s="150" t="str">
        <f>RIGHT(D$41,SEARCH("/",D$41,1)-1)</f>
        <v xml:space="preserve"> 3588.9</v>
      </c>
      <c r="N31" t="s">
        <v>188</v>
      </c>
    </row>
    <row r="32" spans="1:14" ht="15" customHeight="1">
      <c r="A32" s="5" t="s">
        <v>98</v>
      </c>
      <c r="B32" s="66" t="s">
        <v>258</v>
      </c>
      <c r="C32" s="108"/>
      <c r="D32" s="9" t="s">
        <v>99</v>
      </c>
      <c r="E32" s="163">
        <v>23.214779336458562</v>
      </c>
      <c r="F32" s="163">
        <v>816.9659734390832</v>
      </c>
      <c r="G32" s="163">
        <v>18.553333029606023</v>
      </c>
      <c r="H32" s="164">
        <v>510.66298288140837</v>
      </c>
      <c r="I32" s="8" t="s">
        <v>100</v>
      </c>
      <c r="J32" s="72">
        <v>8209.1961557885043</v>
      </c>
      <c r="M32" s="150" t="str">
        <f>RIGHT(C$41,SEARCH("/",C$41,1)-1)</f>
        <v xml:space="preserve"> 3594.1</v>
      </c>
      <c r="N32" t="s">
        <v>189</v>
      </c>
    </row>
    <row r="33" spans="1:15" ht="15" customHeight="1">
      <c r="A33" s="5" t="s">
        <v>101</v>
      </c>
      <c r="B33" s="66" t="s">
        <v>259</v>
      </c>
      <c r="C33" s="109" t="s">
        <v>102</v>
      </c>
      <c r="D33" s="9" t="s">
        <v>97</v>
      </c>
      <c r="E33" s="163">
        <v>3.6409999847412111</v>
      </c>
      <c r="F33" s="163">
        <v>929.70200956820918</v>
      </c>
      <c r="G33" s="163">
        <v>16.303548473678468</v>
      </c>
      <c r="H33" s="164">
        <v>47.02910199808715</v>
      </c>
      <c r="I33" s="8" t="s">
        <v>103</v>
      </c>
      <c r="J33" s="71" t="s">
        <v>227</v>
      </c>
      <c r="M33" s="150" t="str">
        <f>RIGHT(B$41,SEARCH("/",B$41,1)-1)</f>
        <v xml:space="preserve"> 3599.2</v>
      </c>
      <c r="N33" t="s">
        <v>190</v>
      </c>
    </row>
    <row r="34" spans="1:15" ht="15" customHeight="1" thickBot="1">
      <c r="A34" s="16" t="s">
        <v>104</v>
      </c>
      <c r="B34" s="77" t="s">
        <v>260</v>
      </c>
      <c r="C34" s="158">
        <v>15.157441779071579</v>
      </c>
      <c r="D34" s="10" t="s">
        <v>20</v>
      </c>
      <c r="E34" s="165">
        <v>0.32999999523162843</v>
      </c>
      <c r="F34" s="166">
        <v>2488.6028248593625</v>
      </c>
      <c r="G34" s="166">
        <v>6.0907436203397252</v>
      </c>
      <c r="H34" s="167">
        <v>1599.4650524648193</v>
      </c>
      <c r="I34" s="8" t="s">
        <v>105</v>
      </c>
      <c r="J34" s="71">
        <v>6.0500001907348633</v>
      </c>
    </row>
    <row r="35" spans="1:15" ht="15" customHeight="1">
      <c r="A35" s="12" t="s">
        <v>106</v>
      </c>
      <c r="B35" s="13"/>
      <c r="C35" s="13"/>
      <c r="D35" s="133" t="s">
        <v>229</v>
      </c>
      <c r="E35" s="143" t="s">
        <v>228</v>
      </c>
      <c r="F35" s="14"/>
      <c r="G35" s="25" t="s">
        <v>107</v>
      </c>
      <c r="H35" s="83" t="s">
        <v>222</v>
      </c>
      <c r="I35" s="9" t="s">
        <v>108</v>
      </c>
      <c r="J35" s="72" t="s">
        <v>226</v>
      </c>
    </row>
    <row r="36" spans="1:15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220</v>
      </c>
      <c r="I36" s="9" t="s">
        <v>111</v>
      </c>
      <c r="J36" s="72" t="s">
        <v>225</v>
      </c>
    </row>
    <row r="37" spans="1:15" ht="15" customHeight="1" thickBot="1">
      <c r="A37" s="9" t="s">
        <v>112</v>
      </c>
      <c r="B37" s="171" t="s">
        <v>240</v>
      </c>
      <c r="C37" s="171" t="s">
        <v>241</v>
      </c>
      <c r="D37" s="171" t="s">
        <v>242</v>
      </c>
      <c r="E37" s="171" t="s">
        <v>243</v>
      </c>
      <c r="F37" s="172" t="s">
        <v>244</v>
      </c>
      <c r="G37" s="9" t="s">
        <v>113</v>
      </c>
      <c r="H37" s="72" t="s">
        <v>221</v>
      </c>
      <c r="I37" s="10" t="s">
        <v>114</v>
      </c>
      <c r="J37" s="81" t="s">
        <v>224</v>
      </c>
      <c r="O37" s="148"/>
    </row>
    <row r="38" spans="1:15" ht="15" customHeight="1" thickBot="1">
      <c r="A38" s="9" t="s">
        <v>115</v>
      </c>
      <c r="B38" s="173" t="s">
        <v>231</v>
      </c>
      <c r="C38" s="173" t="s">
        <v>232</v>
      </c>
      <c r="D38" s="173" t="s">
        <v>233</v>
      </c>
      <c r="E38" s="173" t="s">
        <v>234</v>
      </c>
      <c r="F38" s="174" t="s">
        <v>234</v>
      </c>
      <c r="G38" s="16" t="s">
        <v>116</v>
      </c>
      <c r="H38" s="81" t="s">
        <v>223</v>
      </c>
      <c r="I38" s="134" t="s">
        <v>230</v>
      </c>
      <c r="J38" s="82">
        <v>15155.333984375</v>
      </c>
      <c r="L38" t="str">
        <f>LEFT(E38,SEARCH("/",E38,1)-1)</f>
        <v xml:space="preserve">0.969 </v>
      </c>
      <c r="M38" t="str">
        <f>RIGHT(E38,SEARCH("/",E38,1)-1)</f>
        <v xml:space="preserve"> 0.953</v>
      </c>
      <c r="N38" s="149">
        <f>M38/L38</f>
        <v>0.98348813209494323</v>
      </c>
      <c r="O38" s="148" t="s">
        <v>177</v>
      </c>
    </row>
    <row r="39" spans="1:15" ht="15" customHeight="1">
      <c r="A39" s="9" t="s">
        <v>117</v>
      </c>
      <c r="B39" s="173" t="s">
        <v>235</v>
      </c>
      <c r="C39" s="173" t="s">
        <v>236</v>
      </c>
      <c r="D39" s="173" t="s">
        <v>237</v>
      </c>
      <c r="E39" s="173" t="s">
        <v>238</v>
      </c>
      <c r="F39" s="174" t="s">
        <v>239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0.9103 </v>
      </c>
      <c r="M39" t="str">
        <f>RIGHT(E39,SEARCH("/",E39,1)-1)</f>
        <v xml:space="preserve"> 0.9128</v>
      </c>
      <c r="N39" s="149">
        <f>M39/L39</f>
        <v>1.0027463473580138</v>
      </c>
      <c r="O39" s="148" t="s">
        <v>178</v>
      </c>
    </row>
    <row r="40" spans="1:15" ht="15" customHeight="1">
      <c r="A40" s="9" t="s">
        <v>119</v>
      </c>
      <c r="B40" s="175" t="s">
        <v>253</v>
      </c>
      <c r="C40" s="175" t="s">
        <v>254</v>
      </c>
      <c r="D40" s="175" t="s">
        <v>255</v>
      </c>
      <c r="E40" s="175" t="s">
        <v>256</v>
      </c>
      <c r="F40" s="176" t="s">
        <v>257</v>
      </c>
      <c r="G40" s="34" t="s">
        <v>121</v>
      </c>
      <c r="H40" s="89" t="s">
        <v>261</v>
      </c>
      <c r="I40" s="53"/>
      <c r="J40" s="54"/>
      <c r="L40" t="str">
        <f>LEFT(E37,SEARCH("/",E37,1)-1)</f>
        <v xml:space="preserve">213.61 </v>
      </c>
      <c r="M40" t="str">
        <f>RIGHT(E37,SEARCH("/",E37,1)-1)</f>
        <v xml:space="preserve"> 216.57</v>
      </c>
      <c r="N40" s="149">
        <f>M40/L40</f>
        <v>1.0138570291653011</v>
      </c>
      <c r="O40" s="148" t="s">
        <v>176</v>
      </c>
    </row>
    <row r="41" spans="1:15" ht="15" customHeight="1">
      <c r="A41" s="9" t="s">
        <v>5</v>
      </c>
      <c r="B41" s="177" t="s">
        <v>248</v>
      </c>
      <c r="C41" s="177" t="s">
        <v>249</v>
      </c>
      <c r="D41" s="177" t="s">
        <v>250</v>
      </c>
      <c r="E41" s="177" t="s">
        <v>251</v>
      </c>
      <c r="F41" s="178" t="s">
        <v>252</v>
      </c>
      <c r="G41" s="35" t="s">
        <v>122</v>
      </c>
      <c r="H41" s="90" t="s">
        <v>262</v>
      </c>
      <c r="I41" s="55"/>
      <c r="J41" s="56"/>
      <c r="L41" t="str">
        <f>LEFT(E41,SEARCH("/",E41,1)-1)</f>
        <v xml:space="preserve">3579.3 </v>
      </c>
      <c r="M41" t="str">
        <f>RIGHT(E41,SEARCH("/",E41,1)-1)</f>
        <v xml:space="preserve"> 3583.7</v>
      </c>
      <c r="N41" s="149">
        <f>M41/L41</f>
        <v>1.0012292906434217</v>
      </c>
      <c r="O41" s="148" t="s">
        <v>5</v>
      </c>
    </row>
    <row r="42" spans="1:15" ht="15" customHeight="1">
      <c r="A42" s="9" t="s">
        <v>123</v>
      </c>
      <c r="B42" s="173">
        <v>4.1897496280868918</v>
      </c>
      <c r="C42" s="173">
        <v>4.1897496280868918</v>
      </c>
      <c r="D42" s="173">
        <v>4.1897496280868918</v>
      </c>
      <c r="E42" s="173">
        <v>4.1897496280868918</v>
      </c>
      <c r="F42" s="174">
        <v>4.1897496280868918</v>
      </c>
      <c r="G42" s="34" t="s">
        <v>124</v>
      </c>
      <c r="H42" s="89" t="s">
        <v>263</v>
      </c>
      <c r="I42" s="53"/>
      <c r="J42" s="95">
        <v>0.2322971810634267</v>
      </c>
    </row>
    <row r="43" spans="1:15" ht="15" customHeight="1" thickBot="1">
      <c r="A43" s="10" t="s">
        <v>125</v>
      </c>
      <c r="B43" s="179">
        <v>4.1897496280868918</v>
      </c>
      <c r="C43" s="180"/>
      <c r="D43" s="181" t="s">
        <v>266</v>
      </c>
      <c r="E43" s="181"/>
      <c r="F43" s="182"/>
      <c r="G43" s="35" t="s">
        <v>122</v>
      </c>
      <c r="H43" s="90" t="s">
        <v>264</v>
      </c>
      <c r="I43" s="55"/>
      <c r="J43" s="56"/>
    </row>
    <row r="44" spans="1:15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4047.5136339405644</v>
      </c>
      <c r="I44" s="88">
        <v>3.8078437380034282E-2</v>
      </c>
      <c r="J44" s="95">
        <v>0.63548645166196271</v>
      </c>
    </row>
    <row r="45" spans="1:15" ht="15" customHeight="1">
      <c r="A45" s="9" t="s">
        <v>129</v>
      </c>
      <c r="B45" s="66">
        <v>0.29822266101837158</v>
      </c>
      <c r="C45" s="161" t="s">
        <v>130</v>
      </c>
      <c r="D45" s="70">
        <v>7.5764842331409454E-3</v>
      </c>
      <c r="E45" s="9" t="s">
        <v>131</v>
      </c>
      <c r="F45" s="72">
        <v>485.60177694352069</v>
      </c>
      <c r="G45" s="36" t="s">
        <v>122</v>
      </c>
      <c r="H45" s="84" t="s">
        <v>265</v>
      </c>
      <c r="I45" s="57"/>
      <c r="J45" s="58"/>
    </row>
    <row r="46" spans="1:15" ht="15" customHeight="1">
      <c r="A46" s="9" t="s">
        <v>132</v>
      </c>
      <c r="B46" s="66">
        <v>0.15119685232639313</v>
      </c>
      <c r="C46" s="161" t="s">
        <v>133</v>
      </c>
      <c r="D46" s="70">
        <v>5.7633719407021999E-3</v>
      </c>
      <c r="E46" s="9" t="s">
        <v>134</v>
      </c>
      <c r="F46" s="72">
        <v>901.20302767979479</v>
      </c>
      <c r="G46" s="35" t="s">
        <v>135</v>
      </c>
      <c r="H46" s="92">
        <v>884.27702125977964</v>
      </c>
      <c r="I46" s="55"/>
      <c r="J46" s="56"/>
      <c r="L46" s="144" t="s">
        <v>179</v>
      </c>
      <c r="M46" s="146">
        <f>B5^0.95</f>
        <v>1204.7200720339658</v>
      </c>
    </row>
    <row r="47" spans="1:15" ht="15" customHeight="1">
      <c r="A47" s="9" t="s">
        <v>136</v>
      </c>
      <c r="B47" s="66">
        <v>0.44941949844360352</v>
      </c>
      <c r="C47" s="161" t="s">
        <v>137</v>
      </c>
      <c r="D47" s="70">
        <v>5.5764075368642807E-3</v>
      </c>
      <c r="E47" s="9" t="s">
        <v>138</v>
      </c>
      <c r="F47" s="72">
        <v>386.17100802061896</v>
      </c>
      <c r="G47" s="62" t="s">
        <v>139</v>
      </c>
      <c r="H47" s="91">
        <v>3896.4527994505593</v>
      </c>
      <c r="I47" s="88">
        <v>3.6594807874447299E-2</v>
      </c>
      <c r="J47" s="93">
        <v>0.64899522280260891</v>
      </c>
      <c r="L47" s="144" t="s">
        <v>180</v>
      </c>
      <c r="M47" s="146">
        <f>B5^1.5</f>
        <v>73207.752321731648</v>
      </c>
    </row>
    <row r="48" spans="1:15" ht="15" customHeight="1">
      <c r="A48" s="9" t="s">
        <v>140</v>
      </c>
      <c r="B48" s="66">
        <v>1.096302829682827E-2</v>
      </c>
      <c r="C48" s="161" t="s">
        <v>100</v>
      </c>
      <c r="D48" s="70">
        <v>2.9879292473196983E-2</v>
      </c>
      <c r="E48" s="9" t="s">
        <v>141</v>
      </c>
      <c r="F48" s="72">
        <v>122.57071054647652</v>
      </c>
      <c r="G48" s="63" t="s">
        <v>122</v>
      </c>
      <c r="H48" s="84">
        <v>298.46440440065561</v>
      </c>
      <c r="I48" s="57"/>
      <c r="J48" s="58"/>
      <c r="L48" s="144" t="s">
        <v>181</v>
      </c>
      <c r="M48" s="145">
        <f>IF(A5="",0,(7200/(1000*A5))^2.4)</f>
        <v>21.633460842025631</v>
      </c>
    </row>
    <row r="49" spans="1:13" ht="15" customHeight="1" thickBot="1">
      <c r="A49" s="7"/>
      <c r="B49" s="52"/>
      <c r="C49" s="162" t="s">
        <v>142</v>
      </c>
      <c r="D49" s="79">
        <v>0.97012072801589966</v>
      </c>
      <c r="E49" s="10" t="s">
        <v>143</v>
      </c>
      <c r="F49" s="81">
        <v>308.19470865126056</v>
      </c>
      <c r="G49" s="64" t="s">
        <v>135</v>
      </c>
      <c r="H49" s="92">
        <v>866.55189211827712</v>
      </c>
      <c r="I49" s="55"/>
      <c r="J49" s="59"/>
      <c r="L49" s="144" t="s">
        <v>182</v>
      </c>
      <c r="M49" s="145">
        <f>IF(A5="",0,(7200/(1000*A5))^1.8)</f>
        <v>10.031006258647469</v>
      </c>
    </row>
    <row r="50" spans="1:13" ht="15" customHeight="1">
      <c r="A50" s="12" t="s">
        <v>212</v>
      </c>
      <c r="B50" s="13"/>
      <c r="C50" s="13"/>
      <c r="D50" s="13"/>
      <c r="E50" s="13"/>
      <c r="F50" s="14"/>
      <c r="G50" s="12" t="s">
        <v>144</v>
      </c>
      <c r="H50" s="13"/>
      <c r="I50" s="40"/>
      <c r="J50" s="26"/>
      <c r="L50" s="144" t="s">
        <v>183</v>
      </c>
      <c r="M50" s="147">
        <f>IF(A5=2,27,24)</f>
        <v>27</v>
      </c>
    </row>
    <row r="51" spans="1:13" ht="15" customHeight="1">
      <c r="A51" s="9" t="s">
        <v>145</v>
      </c>
      <c r="B51" s="49">
        <v>38</v>
      </c>
      <c r="C51" s="8" t="s">
        <v>146</v>
      </c>
      <c r="D51" s="67" t="s">
        <v>174</v>
      </c>
      <c r="E51" s="8" t="s">
        <v>147</v>
      </c>
      <c r="F51" s="71" t="s">
        <v>174</v>
      </c>
      <c r="G51" s="8" t="s">
        <v>148</v>
      </c>
      <c r="H51" s="65">
        <v>0.11538502605586651</v>
      </c>
      <c r="I51" s="43" t="s">
        <v>149</v>
      </c>
      <c r="J51" s="37"/>
      <c r="L51" s="144" t="s">
        <v>184</v>
      </c>
      <c r="M51" s="147">
        <v>6.8500000000000005E-2</v>
      </c>
    </row>
    <row r="52" spans="1:13" ht="15" customHeight="1">
      <c r="A52" s="9" t="s">
        <v>58</v>
      </c>
      <c r="B52" s="67">
        <v>36.409999847412109</v>
      </c>
      <c r="C52" s="8" t="s">
        <v>150</v>
      </c>
      <c r="D52" s="67" t="s">
        <v>174</v>
      </c>
      <c r="E52" s="8" t="s">
        <v>151</v>
      </c>
      <c r="F52" s="71" t="s">
        <v>174</v>
      </c>
      <c r="G52" s="8" t="s">
        <v>168</v>
      </c>
      <c r="H52" s="67">
        <v>69216.465635836023</v>
      </c>
      <c r="I52" s="96" t="s">
        <v>245</v>
      </c>
      <c r="J52" s="60"/>
      <c r="L52" s="144" t="s">
        <v>191</v>
      </c>
      <c r="M52" s="168">
        <f>F5</f>
        <v>60</v>
      </c>
    </row>
    <row r="53" spans="1:13" ht="15" customHeight="1">
      <c r="A53" s="9" t="s">
        <v>64</v>
      </c>
      <c r="B53" s="67">
        <v>3</v>
      </c>
      <c r="C53" s="8" t="s">
        <v>152</v>
      </c>
      <c r="D53" s="67" t="s">
        <v>174</v>
      </c>
      <c r="E53" s="8" t="s">
        <v>153</v>
      </c>
      <c r="F53" s="71" t="s">
        <v>174</v>
      </c>
      <c r="G53" s="8" t="s">
        <v>169</v>
      </c>
      <c r="H53" s="66">
        <v>37.575836196995056</v>
      </c>
      <c r="I53" s="42" t="s">
        <v>154</v>
      </c>
      <c r="J53" s="37"/>
      <c r="L53" s="144" t="s">
        <v>185</v>
      </c>
      <c r="M53" s="150">
        <f>IF(F5=60,M50*M46/M48-M51*M47/M49,IF(F5&lt;&gt;60,(60/M52)^2*(M50*M46/M48-M51*M47/M49),0))</f>
        <v>1003.6478596176014</v>
      </c>
    </row>
    <row r="54" spans="1:13" ht="15" customHeight="1">
      <c r="A54" s="9" t="s">
        <v>66</v>
      </c>
      <c r="B54" s="67">
        <v>3</v>
      </c>
      <c r="C54" s="8" t="s">
        <v>155</v>
      </c>
      <c r="D54" s="67" t="s">
        <v>174</v>
      </c>
      <c r="E54" s="8" t="s">
        <v>153</v>
      </c>
      <c r="F54" s="71" t="s">
        <v>174</v>
      </c>
      <c r="G54" s="8" t="s">
        <v>170</v>
      </c>
      <c r="H54" s="68">
        <v>224450</v>
      </c>
      <c r="I54" s="97" t="s">
        <v>246</v>
      </c>
      <c r="J54" s="98" t="s">
        <v>210</v>
      </c>
    </row>
    <row r="55" spans="1:13" ht="15" customHeight="1">
      <c r="A55" s="9" t="s">
        <v>156</v>
      </c>
      <c r="B55" s="67">
        <v>14.119999885559082</v>
      </c>
      <c r="C55" s="8" t="s">
        <v>157</v>
      </c>
      <c r="D55" s="67" t="s">
        <v>174</v>
      </c>
      <c r="E55" s="8" t="s">
        <v>158</v>
      </c>
      <c r="F55" s="71" t="s">
        <v>174</v>
      </c>
      <c r="G55" s="8" t="s">
        <v>159</v>
      </c>
      <c r="H55" s="67">
        <v>1</v>
      </c>
      <c r="I55" s="42" t="s">
        <v>160</v>
      </c>
      <c r="J55" s="37"/>
    </row>
    <row r="56" spans="1:13" ht="15" customHeight="1" thickBot="1">
      <c r="A56" s="10" t="s">
        <v>161</v>
      </c>
      <c r="B56" s="78" t="s">
        <v>174</v>
      </c>
      <c r="C56" s="20" t="s">
        <v>162</v>
      </c>
      <c r="D56" s="78" t="s">
        <v>174</v>
      </c>
      <c r="E56" s="20" t="s">
        <v>163</v>
      </c>
      <c r="F56" s="80" t="s">
        <v>174</v>
      </c>
      <c r="G56" s="20" t="s">
        <v>164</v>
      </c>
      <c r="H56" s="77">
        <v>0.68740624999999989</v>
      </c>
      <c r="I56" s="99" t="s">
        <v>247</v>
      </c>
      <c r="J56" s="59" t="s">
        <v>211</v>
      </c>
    </row>
    <row r="57" spans="1:13" ht="15" customHeight="1">
      <c r="A57" s="22" t="s">
        <v>393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165</v>
      </c>
      <c r="C58" s="15" t="s">
        <v>391</v>
      </c>
      <c r="D58" s="3" t="s">
        <v>119</v>
      </c>
      <c r="E58" s="3" t="s">
        <v>165</v>
      </c>
      <c r="F58" s="15" t="s">
        <v>392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0.26622247695922852</v>
      </c>
      <c r="D59" s="125">
        <v>0.69621050357818604</v>
      </c>
      <c r="E59" s="84">
        <v>71.682820561717733</v>
      </c>
      <c r="F59" s="85">
        <v>567.64990234375</v>
      </c>
      <c r="G59" s="119"/>
      <c r="H59" s="31"/>
      <c r="I59" s="31"/>
      <c r="J59" s="44"/>
    </row>
    <row r="60" spans="1:13" ht="15" customHeight="1">
      <c r="A60" s="127">
        <v>7.599999662488699E-3</v>
      </c>
      <c r="B60" s="84">
        <v>121.79018420879014</v>
      </c>
      <c r="C60" s="85">
        <v>144.80722045898438</v>
      </c>
      <c r="D60" s="125">
        <v>0.79747366905212402</v>
      </c>
      <c r="E60" s="84">
        <v>70.806191521123736</v>
      </c>
      <c r="F60" s="85">
        <v>570.52105712890625</v>
      </c>
      <c r="G60" s="119"/>
      <c r="H60" s="31"/>
      <c r="I60" s="31"/>
      <c r="J60" s="44"/>
    </row>
    <row r="61" spans="1:13" ht="15" customHeight="1">
      <c r="A61" s="127">
        <v>3.7999998778104782E-2</v>
      </c>
      <c r="B61" s="84">
        <v>240</v>
      </c>
      <c r="C61" s="85">
        <v>438.42398071289063</v>
      </c>
      <c r="D61" s="125">
        <v>0.89873683452606201</v>
      </c>
      <c r="E61" s="84">
        <v>70.290134860795632</v>
      </c>
      <c r="F61" s="85">
        <v>573.03485107421875</v>
      </c>
      <c r="G61" s="119"/>
      <c r="H61" s="31"/>
      <c r="I61" s="31"/>
      <c r="J61" s="44"/>
    </row>
    <row r="62" spans="1:13" ht="15" customHeight="1">
      <c r="A62" s="123">
        <v>8.8631577789783478E-2</v>
      </c>
      <c r="B62" s="84">
        <v>152.18032399871473</v>
      </c>
      <c r="C62" s="85">
        <v>516.21026611328125</v>
      </c>
      <c r="D62" s="126">
        <v>1</v>
      </c>
      <c r="E62" s="84">
        <v>70</v>
      </c>
      <c r="F62" s="85">
        <v>575.11517333984375</v>
      </c>
      <c r="G62" s="119"/>
      <c r="H62" s="31"/>
      <c r="I62" s="31"/>
      <c r="J62" s="44"/>
    </row>
    <row r="63" spans="1:13" ht="15" customHeight="1" thickBot="1">
      <c r="A63" s="123">
        <v>0.13926316797733307</v>
      </c>
      <c r="B63" s="84">
        <v>113.29605561002269</v>
      </c>
      <c r="C63" s="85">
        <v>536.67681884765625</v>
      </c>
      <c r="D63" s="367"/>
      <c r="E63" s="86"/>
      <c r="F63" s="368"/>
      <c r="G63" s="119"/>
      <c r="H63" s="31"/>
      <c r="I63" s="31"/>
      <c r="J63" s="44"/>
    </row>
    <row r="64" spans="1:13" ht="15" customHeight="1">
      <c r="A64" s="123">
        <v>0.18989473581314087</v>
      </c>
      <c r="B64" s="84">
        <v>95.62466836441061</v>
      </c>
      <c r="C64" s="85">
        <v>544.85546875</v>
      </c>
      <c r="D64" s="369" t="s">
        <v>400</v>
      </c>
      <c r="E64" s="370"/>
      <c r="F64" s="370"/>
      <c r="G64" s="119"/>
      <c r="H64" s="31"/>
      <c r="I64" s="31"/>
      <c r="J64" s="44"/>
    </row>
    <row r="65" spans="1:10" ht="15" customHeight="1">
      <c r="A65" s="123">
        <v>0.29115790128707886</v>
      </c>
      <c r="B65" s="84">
        <v>84.528216659665418</v>
      </c>
      <c r="C65" s="85">
        <v>552.18231201171875</v>
      </c>
      <c r="D65" s="371" t="s">
        <v>395</v>
      </c>
      <c r="E65" s="373" t="s">
        <v>399</v>
      </c>
      <c r="F65" s="373"/>
      <c r="G65" s="119"/>
      <c r="H65" s="31"/>
      <c r="I65" s="31"/>
      <c r="J65" s="44"/>
    </row>
    <row r="66" spans="1:10" ht="15" customHeight="1">
      <c r="A66" s="123">
        <v>0.39242106676101685</v>
      </c>
      <c r="B66" s="84">
        <v>78.903267093432959</v>
      </c>
      <c r="C66" s="85">
        <v>556.7513427734375</v>
      </c>
      <c r="D66" s="371" t="s">
        <v>396</v>
      </c>
      <c r="E66" s="373" t="s">
        <v>514</v>
      </c>
      <c r="F66" s="373"/>
      <c r="G66" s="119"/>
      <c r="H66" s="31"/>
      <c r="I66" s="31"/>
      <c r="J66" s="44"/>
    </row>
    <row r="67" spans="1:10" ht="15" customHeight="1">
      <c r="A67" s="123">
        <v>0.49368420243263245</v>
      </c>
      <c r="B67" s="84">
        <v>75.385045243972769</v>
      </c>
      <c r="C67" s="85">
        <v>560.74725341796875</v>
      </c>
      <c r="D67" s="371" t="s">
        <v>397</v>
      </c>
      <c r="E67" s="373" t="s">
        <v>515</v>
      </c>
      <c r="F67" s="373"/>
      <c r="G67" s="119"/>
      <c r="H67" s="31"/>
      <c r="I67" s="31"/>
      <c r="J67" s="44"/>
    </row>
    <row r="68" spans="1:10" ht="15" customHeight="1" thickBot="1">
      <c r="A68" s="124">
        <v>0.59494739770889282</v>
      </c>
      <c r="B68" s="86">
        <v>73.116037182347725</v>
      </c>
      <c r="C68" s="87">
        <v>564.3900146484375</v>
      </c>
      <c r="D68" s="372" t="s">
        <v>398</v>
      </c>
      <c r="E68" s="374" t="s">
        <v>401</v>
      </c>
      <c r="F68" s="374"/>
      <c r="G68" s="120"/>
      <c r="H68" s="45"/>
      <c r="I68" s="45"/>
      <c r="J68" s="46"/>
    </row>
    <row r="69" spans="1:10" ht="15" customHeight="1">
      <c r="A69" s="153" t="s">
        <v>268</v>
      </c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66" t="s">
        <v>394</v>
      </c>
      <c r="B99" s="366"/>
      <c r="C99" s="366"/>
      <c r="D99" s="366"/>
      <c r="E99" s="366"/>
      <c r="F99" s="366"/>
      <c r="G99" s="366"/>
      <c r="H99" s="366"/>
      <c r="I99" s="366"/>
    </row>
    <row r="100" spans="1:9">
      <c r="A100" s="366">
        <v>100</v>
      </c>
      <c r="B100" s="366"/>
      <c r="C100" s="366"/>
      <c r="D100" s="366"/>
      <c r="E100" s="366"/>
      <c r="F100" s="366"/>
      <c r="G100" s="366"/>
      <c r="H100" s="366"/>
      <c r="I100" s="366"/>
    </row>
    <row r="101" spans="1:9">
      <c r="A101" s="366">
        <v>98.480003356933594</v>
      </c>
      <c r="B101" s="366"/>
      <c r="C101" s="366"/>
      <c r="D101" s="366"/>
      <c r="E101" s="366"/>
      <c r="F101" s="366"/>
      <c r="G101" s="366"/>
      <c r="H101" s="366"/>
      <c r="I101" s="366"/>
    </row>
    <row r="102" spans="1:9">
      <c r="A102" s="366">
        <v>90.300003051757813</v>
      </c>
      <c r="B102" s="366"/>
      <c r="C102" s="366"/>
      <c r="D102" s="366"/>
      <c r="E102" s="366"/>
      <c r="F102" s="366"/>
      <c r="G102" s="366"/>
      <c r="H102" s="366"/>
      <c r="I102" s="366"/>
    </row>
    <row r="103" spans="1:9">
      <c r="A103" s="366">
        <v>76.955787658691406</v>
      </c>
      <c r="B103" s="366"/>
      <c r="C103" s="366"/>
      <c r="D103" s="366"/>
      <c r="E103" s="366"/>
      <c r="F103" s="366"/>
      <c r="G103" s="366"/>
      <c r="H103" s="366"/>
      <c r="I103" s="366"/>
    </row>
    <row r="104" spans="1:9">
      <c r="A104" s="366">
        <v>63.791576385498047</v>
      </c>
      <c r="B104" s="366"/>
      <c r="C104" s="366"/>
      <c r="D104" s="366"/>
      <c r="E104" s="366"/>
      <c r="F104" s="366"/>
      <c r="G104" s="366"/>
      <c r="H104" s="366"/>
      <c r="I104" s="366"/>
    </row>
    <row r="105" spans="1:9">
      <c r="A105" s="366">
        <v>52.223159790039063</v>
      </c>
      <c r="B105" s="366"/>
      <c r="C105" s="366"/>
      <c r="D105" s="366"/>
      <c r="E105" s="366"/>
      <c r="F105" s="366"/>
      <c r="G105" s="366"/>
      <c r="H105" s="366"/>
      <c r="I105" s="366"/>
    </row>
    <row r="106" spans="1:9">
      <c r="A106" s="366">
        <v>34.503158569335938</v>
      </c>
      <c r="B106" s="366"/>
      <c r="C106" s="366"/>
      <c r="D106" s="366"/>
      <c r="E106" s="366"/>
      <c r="F106" s="366"/>
      <c r="G106" s="366"/>
      <c r="H106" s="366"/>
      <c r="I106" s="366"/>
    </row>
    <row r="107" spans="1:9">
      <c r="A107" s="366">
        <v>22.833683013916016</v>
      </c>
      <c r="B107" s="366"/>
      <c r="C107" s="366"/>
      <c r="D107" s="366"/>
      <c r="E107" s="366"/>
      <c r="F107" s="366"/>
      <c r="G107" s="366"/>
      <c r="H107" s="366"/>
      <c r="I107" s="366"/>
    </row>
    <row r="108" spans="1:9">
      <c r="A108" s="366">
        <v>14.505264282226563</v>
      </c>
      <c r="B108" s="366"/>
      <c r="C108" s="366"/>
      <c r="D108" s="366"/>
      <c r="E108" s="366"/>
      <c r="F108" s="366"/>
      <c r="G108" s="366"/>
      <c r="H108" s="366"/>
      <c r="I108" s="366"/>
    </row>
    <row r="109" spans="1:9">
      <c r="A109" s="366">
        <v>8.3031558990478516</v>
      </c>
      <c r="B109" s="366"/>
      <c r="C109" s="366"/>
      <c r="D109" s="366"/>
      <c r="E109" s="366"/>
      <c r="F109" s="366"/>
      <c r="G109" s="366"/>
      <c r="H109" s="366"/>
      <c r="I109" s="366"/>
    </row>
    <row r="110" spans="1:9">
      <c r="A110" s="366">
        <v>6.0757899284362793</v>
      </c>
      <c r="B110" s="366"/>
      <c r="C110" s="366"/>
      <c r="D110" s="366"/>
      <c r="E110" s="366"/>
      <c r="F110" s="366"/>
      <c r="G110" s="366"/>
      <c r="H110" s="366"/>
      <c r="I110" s="366"/>
    </row>
    <row r="111" spans="1:9">
      <c r="A111" s="366">
        <v>7.9494733810424805</v>
      </c>
      <c r="B111" s="366"/>
      <c r="C111" s="366"/>
      <c r="D111" s="366"/>
      <c r="E111" s="366"/>
      <c r="F111" s="366"/>
      <c r="G111" s="366"/>
      <c r="H111" s="366"/>
      <c r="I111" s="366"/>
    </row>
    <row r="112" spans="1:9">
      <c r="A112" s="366">
        <v>14.911578178405762</v>
      </c>
      <c r="B112" s="366"/>
      <c r="C112" s="366"/>
      <c r="D112" s="366"/>
      <c r="E112" s="366"/>
      <c r="F112" s="366"/>
      <c r="G112" s="366"/>
      <c r="H112" s="366"/>
      <c r="I112" s="366"/>
    </row>
    <row r="113" spans="1:9">
      <c r="A113" s="366">
        <v>30</v>
      </c>
      <c r="B113" s="366"/>
      <c r="C113" s="366"/>
      <c r="D113" s="366"/>
      <c r="E113" s="366"/>
      <c r="F113" s="366"/>
      <c r="G113" s="366"/>
      <c r="H113" s="366"/>
      <c r="I113" s="366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zoomScaleNormal="100" workbookViewId="0">
      <selection activeCell="I8" sqref="I8"/>
    </sheetView>
  </sheetViews>
  <sheetFormatPr defaultColWidth="9.140625" defaultRowHeight="15.75"/>
  <cols>
    <col min="1" max="1" width="11.85546875" style="324" customWidth="1"/>
    <col min="2" max="2" width="6.140625" style="324" customWidth="1"/>
    <col min="3" max="3" width="7.42578125" style="324" customWidth="1"/>
    <col min="4" max="5" width="12.5703125" style="324" customWidth="1"/>
    <col min="6" max="6" width="9.42578125" style="324" customWidth="1"/>
    <col min="7" max="7" width="5.7109375" style="324" customWidth="1"/>
    <col min="8" max="8" width="7.85546875" style="324" customWidth="1"/>
    <col min="9" max="9" width="6.5703125" style="324" customWidth="1"/>
    <col min="10" max="11" width="12" style="324" customWidth="1"/>
    <col min="12" max="26" width="9.140625" style="183"/>
    <col min="27" max="16384" width="9.140625" style="184"/>
  </cols>
  <sheetData>
    <row r="1" spans="1:26" ht="20.25" customHeight="1">
      <c r="A1" s="679" t="s">
        <v>269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</row>
    <row r="2" spans="1:26" ht="20.25" customHeight="1">
      <c r="A2" s="680" t="s">
        <v>270</v>
      </c>
      <c r="B2" s="680"/>
      <c r="C2" s="680"/>
      <c r="D2" s="680"/>
      <c r="E2" s="680"/>
      <c r="F2" s="680"/>
      <c r="G2" s="680"/>
      <c r="H2" s="680"/>
      <c r="I2" s="680"/>
      <c r="J2" s="680"/>
      <c r="K2" s="680"/>
    </row>
    <row r="3" spans="1:26" ht="18.75" customHeight="1" thickBot="1">
      <c r="A3" s="185" t="s">
        <v>1</v>
      </c>
      <c r="B3" s="186" t="s">
        <v>379</v>
      </c>
      <c r="C3" s="187"/>
      <c r="D3" s="187"/>
      <c r="E3" s="187"/>
      <c r="F3" s="188"/>
      <c r="G3" s="187"/>
      <c r="H3" s="187"/>
      <c r="I3" s="185" t="s">
        <v>271</v>
      </c>
      <c r="J3" s="681" t="s">
        <v>806</v>
      </c>
      <c r="K3" s="681"/>
    </row>
    <row r="4" spans="1:26" s="197" customFormat="1" ht="18.399999999999999" customHeight="1" thickBot="1">
      <c r="A4" s="189" t="s">
        <v>380</v>
      </c>
      <c r="B4" s="190"/>
      <c r="C4" s="191"/>
      <c r="D4" s="191"/>
      <c r="E4" s="191"/>
      <c r="F4" s="191"/>
      <c r="G4" s="191"/>
      <c r="H4" s="191"/>
      <c r="I4" s="191"/>
      <c r="J4" s="191"/>
      <c r="K4" s="192"/>
      <c r="L4" s="193"/>
      <c r="M4" s="193"/>
      <c r="N4" s="193"/>
      <c r="O4" s="193"/>
      <c r="P4" s="193"/>
      <c r="Q4" s="194" t="s">
        <v>272</v>
      </c>
      <c r="R4" s="195"/>
      <c r="S4" s="193"/>
      <c r="T4" s="194" t="s">
        <v>273</v>
      </c>
      <c r="U4" s="196"/>
      <c r="V4" s="193"/>
      <c r="W4" s="193"/>
      <c r="X4" s="193"/>
      <c r="Y4" s="193"/>
      <c r="Z4" s="193"/>
    </row>
    <row r="5" spans="1:26" s="197" customFormat="1" ht="18.399999999999999" customHeight="1">
      <c r="A5" s="682" t="s">
        <v>274</v>
      </c>
      <c r="B5" s="683"/>
      <c r="C5" s="683"/>
      <c r="D5" s="198"/>
      <c r="E5" s="199"/>
      <c r="F5" s="200" t="s">
        <v>275</v>
      </c>
      <c r="G5" s="187"/>
      <c r="H5" s="187"/>
      <c r="I5" s="201"/>
      <c r="J5" s="202" t="s">
        <v>276</v>
      </c>
      <c r="K5" s="203" t="s">
        <v>277</v>
      </c>
      <c r="L5" s="193"/>
      <c r="M5" s="193"/>
      <c r="N5" s="193"/>
      <c r="O5" s="193"/>
      <c r="P5" s="193"/>
      <c r="Q5" s="204" t="s">
        <v>278</v>
      </c>
      <c r="R5" s="205"/>
      <c r="S5" s="193"/>
      <c r="T5" s="204" t="s">
        <v>279</v>
      </c>
      <c r="U5" s="206"/>
      <c r="V5" s="193"/>
      <c r="W5" s="193"/>
      <c r="X5" s="193"/>
      <c r="Y5" s="193"/>
      <c r="Z5" s="193"/>
    </row>
    <row r="6" spans="1:26" s="197" customFormat="1" ht="18.399999999999999" customHeight="1">
      <c r="A6" s="684" t="s">
        <v>67</v>
      </c>
      <c r="B6" s="685"/>
      <c r="C6" s="685"/>
      <c r="D6" s="686" t="s">
        <v>279</v>
      </c>
      <c r="E6" s="687"/>
      <c r="F6" s="688" t="s">
        <v>281</v>
      </c>
      <c r="G6" s="689"/>
      <c r="H6" s="689"/>
      <c r="I6" s="689"/>
      <c r="J6" s="689"/>
      <c r="K6" s="690"/>
      <c r="L6" s="193"/>
      <c r="M6" s="193"/>
      <c r="N6" s="193"/>
      <c r="O6" s="193"/>
      <c r="P6" s="193"/>
      <c r="Q6" s="204" t="s">
        <v>282</v>
      </c>
      <c r="R6" s="205"/>
      <c r="S6" s="193"/>
      <c r="T6" s="204" t="s">
        <v>283</v>
      </c>
      <c r="U6" s="206"/>
      <c r="V6" s="193"/>
      <c r="W6" s="193"/>
      <c r="X6" s="193"/>
      <c r="Y6" s="193"/>
      <c r="Z6" s="193"/>
    </row>
    <row r="7" spans="1:26" s="197" customFormat="1" ht="18.399999999999999" customHeight="1">
      <c r="A7" s="694" t="s">
        <v>20</v>
      </c>
      <c r="B7" s="695"/>
      <c r="C7" s="695"/>
      <c r="D7" s="696">
        <v>3.2999999523162802</v>
      </c>
      <c r="E7" s="697"/>
      <c r="F7" s="207" t="s">
        <v>284</v>
      </c>
      <c r="G7" s="208"/>
      <c r="H7" s="209"/>
      <c r="I7" s="210"/>
      <c r="J7" s="211">
        <v>49</v>
      </c>
      <c r="K7" s="212" t="s">
        <v>174</v>
      </c>
      <c r="L7" s="193"/>
      <c r="M7" s="193"/>
      <c r="N7" s="193"/>
      <c r="O7" s="193"/>
      <c r="P7" s="193"/>
      <c r="Q7" s="204" t="s">
        <v>285</v>
      </c>
      <c r="R7" s="205"/>
      <c r="S7" s="193"/>
      <c r="T7" s="204" t="s">
        <v>280</v>
      </c>
      <c r="U7" s="206"/>
      <c r="V7" s="193"/>
      <c r="W7" s="193"/>
      <c r="X7" s="193"/>
      <c r="Y7" s="193"/>
      <c r="Z7" s="193"/>
    </row>
    <row r="8" spans="1:26" s="197" customFormat="1" ht="18.399999999999999" customHeight="1">
      <c r="A8" s="694" t="s">
        <v>286</v>
      </c>
      <c r="B8" s="695"/>
      <c r="C8" s="695"/>
      <c r="D8" s="698">
        <v>600</v>
      </c>
      <c r="E8" s="699"/>
      <c r="F8" s="213" t="s">
        <v>287</v>
      </c>
      <c r="G8" s="214"/>
      <c r="H8" s="215"/>
      <c r="I8" s="216"/>
      <c r="J8" s="217">
        <v>20181</v>
      </c>
      <c r="K8" s="218" t="s">
        <v>174</v>
      </c>
      <c r="L8" s="193"/>
      <c r="M8" s="193"/>
      <c r="N8" s="193"/>
      <c r="O8" s="193"/>
      <c r="P8" s="193"/>
      <c r="Q8" s="204" t="s">
        <v>288</v>
      </c>
      <c r="R8" s="205"/>
      <c r="S8" s="193"/>
      <c r="T8" s="204" t="s">
        <v>289</v>
      </c>
      <c r="U8" s="206"/>
      <c r="V8" s="193"/>
      <c r="W8" s="193"/>
      <c r="X8" s="193"/>
      <c r="Y8" s="193"/>
      <c r="Z8" s="193"/>
    </row>
    <row r="9" spans="1:26" s="197" customFormat="1" ht="18.399999999999999" customHeight="1">
      <c r="A9" s="700" t="s">
        <v>290</v>
      </c>
      <c r="B9" s="701"/>
      <c r="C9" s="702"/>
      <c r="D9" s="698">
        <v>9</v>
      </c>
      <c r="E9" s="699"/>
      <c r="F9" s="207" t="s">
        <v>291</v>
      </c>
      <c r="G9" s="208"/>
      <c r="H9" s="219">
        <v>3</v>
      </c>
      <c r="I9" s="220" t="s">
        <v>292</v>
      </c>
      <c r="J9" s="221">
        <v>377</v>
      </c>
      <c r="K9" s="218" t="s">
        <v>174</v>
      </c>
      <c r="L9" s="193"/>
      <c r="M9" s="193"/>
      <c r="N9" s="193"/>
      <c r="O9" s="193"/>
      <c r="P9" s="193"/>
      <c r="Q9" s="204" t="s">
        <v>293</v>
      </c>
      <c r="R9" s="205"/>
      <c r="S9" s="193"/>
      <c r="T9" s="204" t="s">
        <v>294</v>
      </c>
      <c r="U9" s="206"/>
      <c r="V9" s="193"/>
      <c r="W9" s="193"/>
      <c r="X9" s="193"/>
      <c r="Y9" s="193"/>
      <c r="Z9" s="193"/>
    </row>
    <row r="10" spans="1:26" s="197" customFormat="1" ht="18.399999999999999" customHeight="1" thickBot="1">
      <c r="A10" s="700" t="s">
        <v>295</v>
      </c>
      <c r="B10" s="701"/>
      <c r="C10" s="702"/>
      <c r="D10" s="703" t="s">
        <v>202</v>
      </c>
      <c r="E10" s="704"/>
      <c r="F10" s="207" t="s">
        <v>296</v>
      </c>
      <c r="G10" s="208"/>
      <c r="H10" s="219">
        <v>3</v>
      </c>
      <c r="I10" s="220" t="s">
        <v>292</v>
      </c>
      <c r="J10" s="221">
        <v>1150</v>
      </c>
      <c r="K10" s="218" t="s">
        <v>174</v>
      </c>
      <c r="L10" s="193"/>
      <c r="M10" s="193"/>
      <c r="N10" s="193"/>
      <c r="O10" s="193"/>
      <c r="P10" s="193"/>
      <c r="Q10" s="204" t="s">
        <v>297</v>
      </c>
      <c r="R10" s="205"/>
      <c r="S10" s="193"/>
      <c r="T10" s="222" t="s">
        <v>298</v>
      </c>
      <c r="U10" s="223"/>
      <c r="V10" s="193"/>
      <c r="W10" s="193"/>
      <c r="X10" s="193"/>
      <c r="Y10" s="193"/>
      <c r="Z10" s="193"/>
    </row>
    <row r="11" spans="1:26" s="197" customFormat="1" ht="18.399999999999999" customHeight="1" thickBot="1">
      <c r="A11" s="700" t="s">
        <v>299</v>
      </c>
      <c r="B11" s="701"/>
      <c r="C11" s="702"/>
      <c r="D11" s="705" t="s">
        <v>174</v>
      </c>
      <c r="E11" s="706"/>
      <c r="F11" s="224" t="s">
        <v>300</v>
      </c>
      <c r="G11" s="225"/>
      <c r="H11" s="226">
        <v>3</v>
      </c>
      <c r="I11" s="220" t="s">
        <v>292</v>
      </c>
      <c r="J11" s="227">
        <v>56046</v>
      </c>
      <c r="K11" s="228" t="s">
        <v>174</v>
      </c>
      <c r="L11" s="193"/>
      <c r="M11" s="193"/>
      <c r="N11" s="193"/>
      <c r="O11" s="193"/>
      <c r="P11" s="193"/>
      <c r="Q11" s="222" t="s">
        <v>301</v>
      </c>
      <c r="R11" s="229"/>
      <c r="S11" s="193"/>
      <c r="T11" s="193"/>
      <c r="U11" s="193"/>
      <c r="V11" s="193"/>
      <c r="W11" s="193"/>
      <c r="X11" s="193"/>
      <c r="Y11" s="193"/>
      <c r="Z11" s="193"/>
    </row>
    <row r="12" spans="1:26" s="197" customFormat="1" ht="18.399999999999999" customHeight="1">
      <c r="A12" s="230" t="s">
        <v>302</v>
      </c>
      <c r="C12" s="231"/>
      <c r="D12" s="707" t="s">
        <v>174</v>
      </c>
      <c r="E12" s="708"/>
      <c r="F12" s="691" t="s">
        <v>303</v>
      </c>
      <c r="G12" s="692"/>
      <c r="H12" s="692"/>
      <c r="I12" s="692"/>
      <c r="J12" s="692"/>
      <c r="K12" s="6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</row>
    <row r="13" spans="1:26" s="197" customFormat="1" ht="18.399999999999999" customHeight="1">
      <c r="A13" s="700" t="s">
        <v>53</v>
      </c>
      <c r="B13" s="701"/>
      <c r="C13" s="702"/>
      <c r="D13" s="709" t="s">
        <v>382</v>
      </c>
      <c r="E13" s="710"/>
      <c r="F13" s="232"/>
      <c r="G13" s="233" t="s">
        <v>304</v>
      </c>
      <c r="H13" s="234"/>
      <c r="I13" s="235" t="s">
        <v>305</v>
      </c>
      <c r="J13" s="236" t="s">
        <v>384</v>
      </c>
      <c r="K13" s="237" t="s">
        <v>174</v>
      </c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</row>
    <row r="14" spans="1:26" s="197" customFormat="1" ht="18.399999999999999" customHeight="1">
      <c r="A14" s="700" t="s">
        <v>56</v>
      </c>
      <c r="B14" s="701"/>
      <c r="C14" s="702"/>
      <c r="D14" s="707">
        <v>1295</v>
      </c>
      <c r="E14" s="708"/>
      <c r="F14" s="232"/>
      <c r="G14" s="238" t="s">
        <v>10</v>
      </c>
      <c r="H14" s="239"/>
      <c r="I14" s="239"/>
      <c r="J14" s="221" t="s">
        <v>174</v>
      </c>
      <c r="K14" s="218" t="s">
        <v>174</v>
      </c>
      <c r="L14" s="193"/>
      <c r="M14" s="193"/>
      <c r="N14" s="193"/>
      <c r="O14" s="193"/>
      <c r="P14" s="193"/>
      <c r="Q14" s="193"/>
      <c r="R14" s="193">
        <f>SQRT(1750/1400)*(6600/4000)*9</f>
        <v>16.602804732935937</v>
      </c>
      <c r="S14" s="193"/>
      <c r="T14" s="193">
        <f>SQRT(1750/1400)</f>
        <v>1.1180339887498949</v>
      </c>
      <c r="U14" s="193">
        <f>6600/4000</f>
        <v>1.65</v>
      </c>
      <c r="V14" s="193">
        <f>T14*U14</f>
        <v>1.8447560814373265</v>
      </c>
      <c r="W14" s="193">
        <f>9*V14</f>
        <v>16.602804732935937</v>
      </c>
      <c r="X14" s="193"/>
      <c r="Y14" s="193"/>
      <c r="Z14" s="193"/>
    </row>
    <row r="15" spans="1:26" s="197" customFormat="1" ht="18.399999999999999" customHeight="1">
      <c r="A15" s="711" t="s">
        <v>306</v>
      </c>
      <c r="B15" s="712"/>
      <c r="C15" s="713"/>
      <c r="D15" s="714">
        <v>9.4356002807617188</v>
      </c>
      <c r="E15" s="715"/>
      <c r="F15" s="232"/>
      <c r="G15" s="238" t="s">
        <v>307</v>
      </c>
      <c r="H15" s="239"/>
      <c r="I15" s="239"/>
      <c r="J15" s="221" t="s">
        <v>174</v>
      </c>
      <c r="K15" s="218" t="s">
        <v>174</v>
      </c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>
        <f>0.5*W14</f>
        <v>8.3014023664679684</v>
      </c>
      <c r="X15" s="193"/>
      <c r="Y15" s="193"/>
      <c r="Z15" s="193"/>
    </row>
    <row r="16" spans="1:26" s="197" customFormat="1" ht="18.399999999999999" customHeight="1">
      <c r="A16" s="716" t="s">
        <v>308</v>
      </c>
      <c r="B16" s="717"/>
      <c r="C16" s="718"/>
      <c r="D16" s="714">
        <v>3.736799955368042</v>
      </c>
      <c r="E16" s="715"/>
      <c r="F16" s="240"/>
      <c r="G16" s="241" t="s">
        <v>17</v>
      </c>
      <c r="H16" s="242"/>
      <c r="I16" s="242"/>
      <c r="J16" s="227" t="s">
        <v>174</v>
      </c>
      <c r="K16" s="228" t="s">
        <v>174</v>
      </c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</row>
    <row r="17" spans="1:26" s="197" customFormat="1" ht="18.399999999999999" customHeight="1">
      <c r="A17" s="243" t="s">
        <v>309</v>
      </c>
      <c r="B17" s="244"/>
      <c r="C17" s="245"/>
      <c r="D17" s="705" t="s">
        <v>381</v>
      </c>
      <c r="E17" s="706"/>
      <c r="F17" s="691" t="s">
        <v>310</v>
      </c>
      <c r="G17" s="692"/>
      <c r="H17" s="692"/>
      <c r="I17" s="692"/>
      <c r="J17" s="692"/>
      <c r="K17" s="6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</row>
    <row r="18" spans="1:26" s="197" customFormat="1" ht="18.399999999999999" customHeight="1">
      <c r="A18" s="246" t="s">
        <v>311</v>
      </c>
      <c r="B18" s="247"/>
      <c r="C18" s="245"/>
      <c r="D18" s="703" t="s">
        <v>174</v>
      </c>
      <c r="E18" s="704"/>
      <c r="F18" s="719"/>
      <c r="G18" s="720"/>
      <c r="H18" s="248" t="s">
        <v>312</v>
      </c>
      <c r="I18" s="249"/>
      <c r="J18" s="217">
        <v>217</v>
      </c>
      <c r="K18" s="218"/>
      <c r="L18" s="193"/>
      <c r="M18" s="193">
        <f>J18*6.5</f>
        <v>1410.5</v>
      </c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</row>
    <row r="19" spans="1:26" s="197" customFormat="1" ht="18.399999999999999" customHeight="1">
      <c r="A19" s="725" t="s">
        <v>313</v>
      </c>
      <c r="B19" s="726"/>
      <c r="C19" s="727"/>
      <c r="D19" s="728" t="s">
        <v>174</v>
      </c>
      <c r="E19" s="706"/>
      <c r="F19" s="721"/>
      <c r="G19" s="722"/>
      <c r="H19" s="248" t="s">
        <v>5</v>
      </c>
      <c r="I19" s="210"/>
      <c r="J19" s="217">
        <v>3585</v>
      </c>
      <c r="K19" s="218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 spans="1:26" s="197" customFormat="1" ht="18.399999999999999" customHeight="1" thickBot="1">
      <c r="A20" s="250" t="s">
        <v>314</v>
      </c>
      <c r="C20" s="251"/>
      <c r="D20" s="729" t="s">
        <v>201</v>
      </c>
      <c r="E20" s="699"/>
      <c r="F20" s="721"/>
      <c r="G20" s="722"/>
      <c r="H20" s="248" t="s">
        <v>315</v>
      </c>
      <c r="I20" s="210"/>
      <c r="J20" s="221" t="s">
        <v>356</v>
      </c>
      <c r="K20" s="218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</row>
    <row r="21" spans="1:26" s="197" customFormat="1" ht="18.399999999999999" customHeight="1" thickBot="1">
      <c r="A21" s="711" t="s">
        <v>316</v>
      </c>
      <c r="B21" s="712"/>
      <c r="C21" s="713"/>
      <c r="D21" s="698" t="s">
        <v>174</v>
      </c>
      <c r="E21" s="699"/>
      <c r="F21" s="721"/>
      <c r="G21" s="722"/>
      <c r="H21" s="252" t="s">
        <v>317</v>
      </c>
      <c r="I21" s="210"/>
      <c r="J21" s="221">
        <v>1.1499999999999999</v>
      </c>
      <c r="K21" s="218"/>
      <c r="L21" s="193"/>
      <c r="M21" s="193"/>
      <c r="N21" s="193"/>
      <c r="O21" s="193"/>
      <c r="P21" s="193"/>
      <c r="Q21" s="194" t="s">
        <v>318</v>
      </c>
      <c r="R21" s="196"/>
      <c r="S21" s="193"/>
      <c r="T21" s="193"/>
      <c r="U21" s="193"/>
      <c r="V21" s="193"/>
      <c r="W21" s="193"/>
      <c r="X21" s="193"/>
      <c r="Y21" s="193"/>
      <c r="Z21" s="193"/>
    </row>
    <row r="22" spans="1:26" s="197" customFormat="1" ht="18.399999999999999" customHeight="1">
      <c r="A22" s="246" t="s">
        <v>319</v>
      </c>
      <c r="B22" s="253"/>
      <c r="C22" s="253"/>
      <c r="D22" s="730">
        <v>6.1900001019239426E-2</v>
      </c>
      <c r="E22" s="731"/>
      <c r="F22" s="721"/>
      <c r="G22" s="722"/>
      <c r="H22" s="248" t="s">
        <v>276</v>
      </c>
      <c r="I22" s="210"/>
      <c r="J22" s="221" t="s">
        <v>174</v>
      </c>
      <c r="K22" s="218"/>
      <c r="L22" s="193"/>
      <c r="M22" s="193"/>
      <c r="N22" s="193"/>
      <c r="O22" s="193"/>
      <c r="P22" s="193"/>
      <c r="Q22" s="204" t="s">
        <v>321</v>
      </c>
      <c r="R22" s="206"/>
      <c r="S22" s="193"/>
      <c r="T22" s="193"/>
      <c r="U22" s="193"/>
      <c r="V22" s="193"/>
      <c r="W22" s="193"/>
      <c r="X22" s="193"/>
      <c r="Y22" s="193"/>
      <c r="Z22" s="193"/>
    </row>
    <row r="23" spans="1:26" s="197" customFormat="1" ht="18.399999999999999" customHeight="1">
      <c r="A23" s="254" t="s">
        <v>322</v>
      </c>
      <c r="B23" s="255" t="s">
        <v>323</v>
      </c>
      <c r="C23" s="256"/>
      <c r="D23" s="709">
        <v>574</v>
      </c>
      <c r="E23" s="710"/>
      <c r="F23" s="721"/>
      <c r="G23" s="722"/>
      <c r="H23" s="257" t="s">
        <v>324</v>
      </c>
      <c r="I23" s="258"/>
      <c r="J23" s="259" t="s">
        <v>174</v>
      </c>
      <c r="K23" s="260"/>
      <c r="L23" s="193"/>
      <c r="Q23" s="204" t="s">
        <v>325</v>
      </c>
      <c r="R23" s="206"/>
      <c r="S23" s="193"/>
      <c r="T23" s="193"/>
      <c r="U23" s="193"/>
      <c r="V23" s="193"/>
      <c r="W23" s="193"/>
      <c r="X23" s="193"/>
      <c r="Y23" s="193"/>
      <c r="Z23" s="193"/>
    </row>
    <row r="24" spans="1:26" s="197" customFormat="1" ht="18.399999999999999" customHeight="1" thickBot="1">
      <c r="A24" s="261" t="s">
        <v>326</v>
      </c>
      <c r="B24" s="262" t="s">
        <v>327</v>
      </c>
      <c r="C24" s="263"/>
      <c r="D24" s="732" t="s">
        <v>174</v>
      </c>
      <c r="E24" s="733"/>
      <c r="F24" s="721"/>
      <c r="G24" s="722"/>
      <c r="H24" s="248" t="s">
        <v>328</v>
      </c>
      <c r="I24" s="231"/>
      <c r="J24" s="264" t="s">
        <v>174</v>
      </c>
      <c r="K24" s="265"/>
      <c r="Q24" s="266" t="s">
        <v>174</v>
      </c>
      <c r="R24" s="267"/>
      <c r="S24" s="193"/>
      <c r="T24" s="193"/>
      <c r="U24" s="193"/>
      <c r="V24" s="193"/>
      <c r="W24" s="193"/>
      <c r="X24" s="193"/>
      <c r="Y24" s="193"/>
      <c r="Z24" s="193"/>
    </row>
    <row r="25" spans="1:26" s="197" customFormat="1" ht="18.399999999999999" customHeight="1">
      <c r="A25" s="268" t="s">
        <v>329</v>
      </c>
      <c r="B25" s="269"/>
      <c r="C25" s="269"/>
      <c r="D25" s="270"/>
      <c r="E25" s="270" t="s">
        <v>330</v>
      </c>
      <c r="F25" s="721"/>
      <c r="G25" s="722"/>
      <c r="H25" s="248" t="s">
        <v>331</v>
      </c>
      <c r="I25" s="231"/>
      <c r="J25" s="271" t="s">
        <v>174</v>
      </c>
      <c r="K25" s="265"/>
      <c r="R25" s="193"/>
      <c r="S25" s="193"/>
      <c r="T25" s="193"/>
      <c r="U25" s="193"/>
      <c r="V25" s="193"/>
      <c r="W25" s="193"/>
      <c r="X25" s="193"/>
      <c r="Y25" s="193"/>
      <c r="Z25" s="193"/>
    </row>
    <row r="26" spans="1:26" s="197" customFormat="1" ht="18.399999999999999" customHeight="1">
      <c r="A26" s="272" t="s">
        <v>332</v>
      </c>
      <c r="B26" s="273"/>
      <c r="C26" s="274"/>
      <c r="D26" s="275" t="s">
        <v>385</v>
      </c>
      <c r="E26" s="275" t="s">
        <v>386</v>
      </c>
      <c r="F26" s="723"/>
      <c r="G26" s="724"/>
      <c r="H26" s="734"/>
      <c r="I26" s="735"/>
      <c r="J26" s="276"/>
      <c r="K26" s="277"/>
      <c r="R26" s="193"/>
      <c r="S26" s="193"/>
      <c r="T26" s="193"/>
      <c r="U26" s="193"/>
      <c r="V26" s="193"/>
      <c r="W26" s="193"/>
      <c r="X26" s="193"/>
      <c r="Y26" s="193"/>
      <c r="Z26" s="193"/>
    </row>
    <row r="27" spans="1:26" s="197" customFormat="1" ht="18.399999999999999" customHeight="1">
      <c r="A27" s="736" t="s">
        <v>333</v>
      </c>
      <c r="B27" s="737"/>
      <c r="C27" s="737"/>
      <c r="D27" s="737"/>
      <c r="E27" s="737"/>
      <c r="F27" s="688" t="s">
        <v>334</v>
      </c>
      <c r="G27" s="689"/>
      <c r="H27" s="689"/>
      <c r="I27" s="689"/>
      <c r="J27" s="689"/>
      <c r="K27" s="690"/>
      <c r="R27" s="193"/>
      <c r="S27" s="193"/>
      <c r="T27" s="193"/>
      <c r="U27" s="193"/>
      <c r="V27" s="193"/>
      <c r="W27" s="193"/>
      <c r="X27" s="193"/>
      <c r="Y27" s="193"/>
      <c r="Z27" s="193"/>
    </row>
    <row r="28" spans="1:26" s="197" customFormat="1" ht="18.399999999999999" customHeight="1">
      <c r="A28" s="740"/>
      <c r="B28" s="741"/>
      <c r="C28" s="741"/>
      <c r="D28" s="741"/>
      <c r="E28" s="742"/>
      <c r="F28" s="278"/>
      <c r="G28" s="279"/>
      <c r="H28" s="238" t="s">
        <v>335</v>
      </c>
      <c r="I28" s="280" t="s">
        <v>383</v>
      </c>
      <c r="J28" s="217">
        <v>1248</v>
      </c>
      <c r="K28" s="281" t="s">
        <v>174</v>
      </c>
      <c r="M28" s="365">
        <f>(J28/J18)</f>
        <v>5.7511520737327189</v>
      </c>
      <c r="N28" s="365">
        <f>1365/217</f>
        <v>6.290322580645161</v>
      </c>
      <c r="R28" s="193"/>
      <c r="S28" s="193"/>
      <c r="T28" s="193"/>
      <c r="U28" s="193"/>
      <c r="V28" s="193"/>
      <c r="W28" s="193"/>
      <c r="X28" s="193"/>
      <c r="Y28" s="193"/>
      <c r="Z28" s="193"/>
    </row>
    <row r="29" spans="1:26" s="197" customFormat="1" ht="18.399999999999999" customHeight="1">
      <c r="A29" s="740"/>
      <c r="B29" s="741"/>
      <c r="C29" s="741"/>
      <c r="D29" s="741"/>
      <c r="E29" s="742"/>
      <c r="F29" s="282"/>
      <c r="G29" s="283"/>
      <c r="H29" s="238" t="s">
        <v>336</v>
      </c>
      <c r="I29" s="284">
        <v>60</v>
      </c>
      <c r="J29" s="217">
        <v>73</v>
      </c>
      <c r="K29" s="212" t="s">
        <v>174</v>
      </c>
      <c r="Q29" s="193"/>
      <c r="R29" s="193"/>
      <c r="S29" s="193"/>
      <c r="T29" s="193"/>
      <c r="U29" s="193"/>
      <c r="V29" s="193"/>
      <c r="W29" s="193"/>
      <c r="X29" s="193"/>
      <c r="Y29" s="193"/>
      <c r="Z29" s="193"/>
    </row>
    <row r="30" spans="1:26" s="197" customFormat="1" ht="18.399999999999999" customHeight="1">
      <c r="A30" s="740"/>
      <c r="B30" s="741"/>
      <c r="C30" s="741"/>
      <c r="D30" s="741"/>
      <c r="E30" s="742"/>
      <c r="F30" s="282"/>
      <c r="G30" s="283"/>
      <c r="H30" s="238" t="s">
        <v>337</v>
      </c>
      <c r="I30" s="284">
        <v>175</v>
      </c>
      <c r="J30" s="217">
        <v>243</v>
      </c>
      <c r="K30" s="212" t="s">
        <v>174</v>
      </c>
      <c r="L30" s="193"/>
      <c r="R30" s="193"/>
      <c r="S30" s="193"/>
      <c r="T30" s="193"/>
      <c r="U30" s="193"/>
      <c r="V30" s="193"/>
      <c r="W30" s="193"/>
      <c r="X30" s="193"/>
      <c r="Y30" s="193"/>
      <c r="Z30" s="193"/>
    </row>
    <row r="31" spans="1:26" s="197" customFormat="1" ht="18.399999999999999" customHeight="1">
      <c r="A31" s="740"/>
      <c r="B31" s="741"/>
      <c r="C31" s="741"/>
      <c r="D31" s="741"/>
      <c r="E31" s="742"/>
      <c r="F31" s="282"/>
      <c r="G31" s="283"/>
      <c r="H31" s="238" t="s">
        <v>338</v>
      </c>
      <c r="I31" s="239"/>
      <c r="J31" s="285">
        <v>0.45</v>
      </c>
      <c r="K31" s="212" t="s">
        <v>174</v>
      </c>
      <c r="L31" s="193"/>
      <c r="R31" s="193"/>
      <c r="S31" s="193"/>
      <c r="T31" s="193"/>
      <c r="U31" s="193"/>
      <c r="V31" s="193"/>
      <c r="W31" s="193"/>
      <c r="X31" s="193"/>
      <c r="Y31" s="193"/>
      <c r="Z31" s="193"/>
    </row>
    <row r="32" spans="1:26" s="197" customFormat="1" ht="18.399999999999999" customHeight="1">
      <c r="A32" s="743"/>
      <c r="B32" s="744"/>
      <c r="C32" s="744"/>
      <c r="D32" s="744"/>
      <c r="E32" s="745"/>
      <c r="F32" s="282"/>
      <c r="G32" s="286" t="s">
        <v>339</v>
      </c>
      <c r="H32" s="238" t="s">
        <v>340</v>
      </c>
      <c r="I32" s="287"/>
      <c r="J32" s="211">
        <v>95.3</v>
      </c>
      <c r="K32" s="212" t="s">
        <v>174</v>
      </c>
      <c r="L32" s="193"/>
      <c r="N32" s="288"/>
      <c r="R32" s="193"/>
      <c r="S32" s="193"/>
      <c r="T32" s="193"/>
      <c r="U32" s="193"/>
      <c r="V32" s="193"/>
      <c r="W32" s="193"/>
      <c r="X32" s="193"/>
      <c r="Y32" s="193"/>
      <c r="Z32" s="193"/>
    </row>
    <row r="33" spans="1:26" s="197" customFormat="1" ht="18.399999999999999" customHeight="1">
      <c r="A33" s="736" t="s">
        <v>341</v>
      </c>
      <c r="B33" s="737"/>
      <c r="C33" s="737"/>
      <c r="D33" s="737"/>
      <c r="E33" s="746"/>
      <c r="F33" s="289"/>
      <c r="G33" s="290"/>
      <c r="H33" s="291" t="s">
        <v>342</v>
      </c>
      <c r="I33" s="292"/>
      <c r="J33" s="293">
        <v>91.3</v>
      </c>
      <c r="K33" s="281" t="s">
        <v>174</v>
      </c>
      <c r="L33" s="193"/>
      <c r="R33" s="193"/>
      <c r="S33" s="193"/>
      <c r="T33" s="193"/>
      <c r="U33" s="193"/>
      <c r="V33" s="193"/>
      <c r="W33" s="193"/>
      <c r="X33" s="193"/>
      <c r="Y33" s="193"/>
      <c r="Z33" s="193"/>
    </row>
    <row r="34" spans="1:26" s="197" customFormat="1" ht="18.399999999999999" customHeight="1">
      <c r="A34" s="740"/>
      <c r="B34" s="741"/>
      <c r="C34" s="741"/>
      <c r="D34" s="741"/>
      <c r="E34" s="742"/>
      <c r="F34" s="213" t="s">
        <v>343</v>
      </c>
      <c r="G34" s="294"/>
      <c r="H34" s="295" t="s">
        <v>14</v>
      </c>
      <c r="I34" s="296"/>
      <c r="J34" s="297">
        <v>21402</v>
      </c>
      <c r="K34" s="281" t="s">
        <v>174</v>
      </c>
      <c r="L34" s="298"/>
      <c r="M34" s="299"/>
      <c r="R34" s="193"/>
      <c r="S34" s="193"/>
      <c r="T34" s="193"/>
      <c r="U34" s="193"/>
      <c r="V34" s="193"/>
      <c r="W34" s="193"/>
      <c r="X34" s="193"/>
      <c r="Y34" s="193"/>
      <c r="Z34" s="193"/>
    </row>
    <row r="35" spans="1:26" s="197" customFormat="1" ht="18.399999999999999" customHeight="1">
      <c r="A35" s="740"/>
      <c r="B35" s="741"/>
      <c r="C35" s="741"/>
      <c r="D35" s="741"/>
      <c r="E35" s="742"/>
      <c r="F35" s="232"/>
      <c r="G35" s="300"/>
      <c r="H35" s="301" t="s">
        <v>15</v>
      </c>
      <c r="I35" s="302"/>
      <c r="J35" s="217">
        <v>8502</v>
      </c>
      <c r="K35" s="281" t="s">
        <v>174</v>
      </c>
      <c r="M35" s="299"/>
      <c r="R35" s="193"/>
      <c r="S35" s="193"/>
      <c r="T35" s="193"/>
      <c r="U35" s="193"/>
      <c r="V35" s="193"/>
      <c r="W35" s="193"/>
      <c r="X35" s="193"/>
      <c r="Y35" s="193"/>
      <c r="Z35" s="193"/>
    </row>
    <row r="36" spans="1:26" s="197" customFormat="1" ht="18.399999999999999" customHeight="1">
      <c r="A36" s="740"/>
      <c r="B36" s="741"/>
      <c r="C36" s="741"/>
      <c r="D36" s="741"/>
      <c r="E36" s="742"/>
      <c r="F36" s="232"/>
      <c r="G36" s="300"/>
      <c r="H36" s="301" t="s">
        <v>344</v>
      </c>
      <c r="I36" s="302"/>
      <c r="J36" s="217">
        <v>8868</v>
      </c>
      <c r="K36" s="281" t="s">
        <v>174</v>
      </c>
      <c r="Q36" s="193"/>
      <c r="R36" s="193"/>
      <c r="S36" s="193"/>
      <c r="T36" s="193"/>
      <c r="U36" s="193"/>
      <c r="V36" s="193"/>
      <c r="W36" s="193"/>
      <c r="X36" s="193"/>
      <c r="Y36" s="193"/>
      <c r="Z36" s="193"/>
    </row>
    <row r="37" spans="1:26" s="197" customFormat="1" ht="18.399999999999999" customHeight="1">
      <c r="A37" s="740"/>
      <c r="B37" s="741"/>
      <c r="C37" s="741"/>
      <c r="D37" s="741"/>
      <c r="E37" s="742"/>
      <c r="F37" s="282"/>
      <c r="G37" s="300"/>
      <c r="H37" s="301" t="s">
        <v>345</v>
      </c>
      <c r="I37" s="302"/>
      <c r="J37" s="217">
        <v>10170</v>
      </c>
      <c r="K37" s="303" t="s">
        <v>174</v>
      </c>
      <c r="M37" s="304"/>
      <c r="R37" s="193"/>
      <c r="S37" s="193"/>
      <c r="T37" s="193"/>
      <c r="U37" s="193"/>
      <c r="V37" s="193"/>
      <c r="W37" s="193"/>
      <c r="X37" s="193"/>
      <c r="Y37" s="193"/>
      <c r="Z37" s="193"/>
    </row>
    <row r="38" spans="1:26" s="197" customFormat="1" ht="18.399999999999999" customHeight="1">
      <c r="A38" s="743"/>
      <c r="B38" s="744"/>
      <c r="C38" s="744"/>
      <c r="D38" s="744"/>
      <c r="E38" s="745"/>
      <c r="F38" s="240"/>
      <c r="G38" s="305"/>
      <c r="H38" s="306" t="s">
        <v>346</v>
      </c>
      <c r="I38" s="307"/>
      <c r="J38" s="308">
        <v>15155</v>
      </c>
      <c r="K38" s="281" t="s">
        <v>174</v>
      </c>
      <c r="R38" s="193"/>
      <c r="S38" s="193"/>
      <c r="T38" s="193"/>
      <c r="U38" s="193"/>
      <c r="V38" s="193"/>
      <c r="W38" s="193"/>
      <c r="X38" s="193"/>
      <c r="Y38" s="193"/>
      <c r="Z38" s="193"/>
    </row>
    <row r="39" spans="1:26" s="197" customFormat="1" ht="18.399999999999999" customHeight="1">
      <c r="A39" s="736" t="s">
        <v>347</v>
      </c>
      <c r="B39" s="737"/>
      <c r="C39" s="737"/>
      <c r="D39" s="737"/>
      <c r="E39" s="737"/>
      <c r="F39" s="309" t="s">
        <v>348</v>
      </c>
      <c r="G39" s="533" t="s">
        <v>717</v>
      </c>
      <c r="H39" s="310"/>
      <c r="I39" s="310"/>
      <c r="J39" s="310"/>
      <c r="K39" s="311"/>
      <c r="R39" s="193"/>
      <c r="S39" s="193"/>
      <c r="T39" s="193"/>
      <c r="U39" s="193"/>
      <c r="V39" s="193"/>
      <c r="W39" s="193"/>
      <c r="X39" s="193"/>
      <c r="Y39" s="193"/>
      <c r="Z39" s="193"/>
    </row>
    <row r="40" spans="1:26" s="197" customFormat="1" ht="18.399999999999999" customHeight="1">
      <c r="A40" s="740"/>
      <c r="B40" s="741"/>
      <c r="C40" s="741"/>
      <c r="D40" s="741"/>
      <c r="E40" s="742"/>
      <c r="G40" s="534" t="s">
        <v>718</v>
      </c>
      <c r="H40" s="363"/>
      <c r="I40" s="363"/>
      <c r="J40" s="363"/>
      <c r="K40" s="364"/>
      <c r="R40" s="193"/>
      <c r="S40" s="193"/>
      <c r="T40" s="193"/>
      <c r="U40" s="193"/>
      <c r="V40" s="193"/>
      <c r="W40" s="193"/>
      <c r="X40" s="193"/>
      <c r="Y40" s="193"/>
      <c r="Z40" s="193"/>
    </row>
    <row r="41" spans="1:26" s="197" customFormat="1" ht="18.399999999999999" customHeight="1">
      <c r="A41" s="740"/>
      <c r="B41" s="741"/>
      <c r="C41" s="741"/>
      <c r="D41" s="741"/>
      <c r="E41" s="742"/>
      <c r="F41" s="312" t="s">
        <v>387</v>
      </c>
      <c r="G41" s="363" t="s">
        <v>388</v>
      </c>
      <c r="H41" s="313"/>
      <c r="I41" s="313"/>
      <c r="J41" s="313"/>
      <c r="K41" s="314"/>
      <c r="L41" s="315"/>
      <c r="R41" s="193"/>
      <c r="S41" s="193"/>
      <c r="T41" s="193"/>
      <c r="U41" s="193"/>
      <c r="V41" s="193"/>
      <c r="W41" s="193"/>
      <c r="X41" s="193"/>
      <c r="Y41" s="193"/>
      <c r="Z41" s="193"/>
    </row>
    <row r="42" spans="1:26" s="197" customFormat="1" ht="18.399999999999999" customHeight="1">
      <c r="A42" s="740"/>
      <c r="B42" s="741"/>
      <c r="C42" s="741"/>
      <c r="D42" s="741"/>
      <c r="E42" s="742"/>
      <c r="F42" s="312"/>
      <c r="G42" s="313" t="s">
        <v>389</v>
      </c>
      <c r="H42" s="313"/>
      <c r="I42" s="313"/>
      <c r="J42" s="313"/>
      <c r="K42" s="314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</row>
    <row r="43" spans="1:26" s="197" customFormat="1" ht="18.399999999999999" customHeight="1">
      <c r="A43" s="740"/>
      <c r="B43" s="741"/>
      <c r="C43" s="741"/>
      <c r="D43" s="741"/>
      <c r="E43" s="742"/>
      <c r="F43" s="312"/>
      <c r="G43" s="313" t="s">
        <v>803</v>
      </c>
      <c r="H43" s="313"/>
      <c r="I43" s="313"/>
      <c r="J43" s="313"/>
      <c r="K43" s="314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</row>
    <row r="44" spans="1:26" s="197" customFormat="1" ht="17.100000000000001" customHeight="1" thickBot="1">
      <c r="A44" s="747"/>
      <c r="B44" s="748"/>
      <c r="C44" s="748"/>
      <c r="D44" s="748"/>
      <c r="E44" s="749"/>
      <c r="F44" s="312"/>
      <c r="G44" s="313" t="s">
        <v>804</v>
      </c>
      <c r="H44" s="313"/>
      <c r="I44" s="313"/>
      <c r="J44" s="313"/>
      <c r="K44" s="314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</row>
    <row r="45" spans="1:26" s="197" customFormat="1" ht="17.100000000000001" customHeight="1">
      <c r="A45" s="316" t="s">
        <v>349</v>
      </c>
      <c r="B45" s="750"/>
      <c r="C45" s="751"/>
      <c r="D45" s="317" t="s">
        <v>350</v>
      </c>
      <c r="E45" s="531" t="s">
        <v>716</v>
      </c>
      <c r="F45" s="318"/>
      <c r="G45" s="313" t="s">
        <v>802</v>
      </c>
      <c r="H45" s="313"/>
      <c r="I45" s="313"/>
      <c r="J45" s="313"/>
      <c r="K45" s="314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</row>
    <row r="46" spans="1:26" s="197" customFormat="1" ht="17.100000000000001" customHeight="1" thickBot="1">
      <c r="A46" s="319" t="s">
        <v>351</v>
      </c>
      <c r="B46" s="738"/>
      <c r="C46" s="739"/>
      <c r="D46" s="320" t="s">
        <v>351</v>
      </c>
      <c r="E46" s="532">
        <v>37704</v>
      </c>
      <c r="F46" s="321"/>
      <c r="G46" s="322" t="s">
        <v>719</v>
      </c>
      <c r="H46" s="322"/>
      <c r="I46" s="322"/>
      <c r="J46" s="322"/>
      <c r="K46" s="323" t="s">
        <v>720</v>
      </c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</row>
    <row r="47" spans="1:26" s="197" customFormat="1" ht="17.100000000000001" customHeight="1">
      <c r="F47" s="324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</row>
    <row r="48" spans="1:26" s="197" customFormat="1" ht="17.100000000000001" customHeight="1">
      <c r="F48" s="193"/>
      <c r="G48" s="193"/>
      <c r="H48" s="193"/>
      <c r="I48" s="193"/>
      <c r="J48" s="193"/>
      <c r="K48" s="193"/>
    </row>
    <row r="49" spans="2:26" ht="17.100000000000001" customHeight="1">
      <c r="F49" s="183"/>
      <c r="G49" s="183"/>
      <c r="H49" s="183"/>
      <c r="I49" s="183"/>
      <c r="J49" s="183"/>
      <c r="K49" s="183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spans="2:26">
      <c r="F50" s="183"/>
      <c r="G50" s="183"/>
      <c r="H50" s="183"/>
      <c r="I50" s="183"/>
      <c r="J50" s="183"/>
      <c r="K50" s="183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spans="2:26">
      <c r="F51" s="183"/>
      <c r="G51" s="183"/>
      <c r="H51" s="183"/>
      <c r="I51" s="183"/>
      <c r="J51" s="183"/>
      <c r="K51" s="183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spans="2:26"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2:26">
      <c r="F53" s="183"/>
      <c r="G53" s="183"/>
      <c r="H53" s="183"/>
      <c r="I53" s="183"/>
      <c r="J53" s="183"/>
      <c r="K53" s="183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zoomScale="75" zoomScaleNormal="75" workbookViewId="0"/>
  </sheetViews>
  <sheetFormatPr defaultColWidth="9.140625" defaultRowHeight="12.75"/>
  <cols>
    <col min="1" max="1" width="9.140625" style="330" customWidth="1"/>
    <col min="2" max="2" width="18.140625" style="330" customWidth="1"/>
    <col min="3" max="3" width="21.5703125" style="330" customWidth="1"/>
    <col min="4" max="4" width="21.28515625" style="330" bestFit="1" customWidth="1"/>
    <col min="5" max="5" width="6.85546875" style="330" bestFit="1" customWidth="1"/>
    <col min="6" max="6" width="29.85546875" style="330" customWidth="1"/>
    <col min="7" max="7" width="43.7109375" style="330" customWidth="1"/>
    <col min="8" max="8" width="17.140625" style="330" customWidth="1"/>
    <col min="9" max="9" width="7.85546875" style="330" customWidth="1"/>
    <col min="10" max="10" width="2.28515625" style="330" bestFit="1" customWidth="1"/>
    <col min="11" max="12" width="2.28515625" style="330" customWidth="1"/>
    <col min="13" max="13" width="2.5703125" style="330" bestFit="1" customWidth="1"/>
    <col min="14" max="14" width="2.28515625" style="330" bestFit="1" customWidth="1"/>
    <col min="15" max="16384" width="9.140625" style="330"/>
  </cols>
  <sheetData>
    <row r="1" spans="2:14" ht="12.75" customHeight="1">
      <c r="B1" s="325"/>
      <c r="C1" s="326"/>
      <c r="D1" s="326"/>
      <c r="E1" s="326"/>
      <c r="F1" s="326"/>
      <c r="G1" s="326"/>
      <c r="H1" s="327"/>
      <c r="I1" s="328"/>
      <c r="J1" s="329" t="s">
        <v>352</v>
      </c>
      <c r="K1" s="329" t="s">
        <v>353</v>
      </c>
      <c r="L1" s="329" t="s">
        <v>354</v>
      </c>
      <c r="M1" s="329" t="s">
        <v>353</v>
      </c>
      <c r="N1" s="329"/>
    </row>
    <row r="2" spans="2:14" ht="12.75" customHeight="1">
      <c r="B2" s="760" t="s">
        <v>355</v>
      </c>
      <c r="C2" s="761"/>
      <c r="D2" s="761"/>
      <c r="E2" s="761"/>
      <c r="F2" s="761"/>
      <c r="G2" s="761"/>
      <c r="H2" s="331"/>
      <c r="I2" s="332"/>
      <c r="J2" s="333" t="s">
        <v>356</v>
      </c>
      <c r="K2" s="333" t="s">
        <v>357</v>
      </c>
      <c r="L2" s="333" t="s">
        <v>358</v>
      </c>
      <c r="M2" s="333" t="s">
        <v>359</v>
      </c>
      <c r="N2" s="333" t="s">
        <v>360</v>
      </c>
    </row>
    <row r="3" spans="2:14" ht="12.75" customHeight="1">
      <c r="B3" s="760"/>
      <c r="C3" s="761"/>
      <c r="D3" s="761"/>
      <c r="E3" s="761"/>
      <c r="F3" s="761"/>
      <c r="G3" s="761"/>
      <c r="H3" s="331"/>
      <c r="I3" s="332"/>
      <c r="J3" s="333" t="s">
        <v>361</v>
      </c>
      <c r="K3" s="333"/>
      <c r="L3" s="333" t="s">
        <v>362</v>
      </c>
      <c r="M3" s="333" t="s">
        <v>352</v>
      </c>
      <c r="N3" s="333"/>
    </row>
    <row r="4" spans="2:14" ht="12.75" customHeight="1">
      <c r="B4" s="760"/>
      <c r="C4" s="761"/>
      <c r="D4" s="761"/>
      <c r="E4" s="761"/>
      <c r="F4" s="761"/>
      <c r="G4" s="761"/>
      <c r="H4" s="331"/>
      <c r="I4" s="332"/>
      <c r="J4" s="333" t="s">
        <v>363</v>
      </c>
      <c r="K4" s="333"/>
      <c r="L4" s="333" t="s">
        <v>358</v>
      </c>
      <c r="M4" s="333" t="s">
        <v>356</v>
      </c>
      <c r="N4" s="333"/>
    </row>
    <row r="5" spans="2:14" ht="12.75" customHeight="1">
      <c r="B5" s="334"/>
      <c r="C5" s="335"/>
      <c r="D5" s="335"/>
      <c r="E5" s="335"/>
      <c r="F5" s="335"/>
      <c r="G5" s="335"/>
      <c r="H5" s="331"/>
      <c r="I5" s="332"/>
      <c r="J5" s="333"/>
      <c r="K5" s="333" t="s">
        <v>364</v>
      </c>
      <c r="L5" s="333" t="s">
        <v>353</v>
      </c>
      <c r="M5" s="333"/>
      <c r="N5" s="333" t="s">
        <v>358</v>
      </c>
    </row>
    <row r="6" spans="2:14" ht="12" customHeight="1">
      <c r="B6" s="336"/>
      <c r="C6" s="337"/>
      <c r="D6" s="337"/>
      <c r="F6" s="337"/>
      <c r="H6" s="338"/>
      <c r="I6" s="332"/>
      <c r="J6" s="333" t="s">
        <v>357</v>
      </c>
      <c r="K6" s="333" t="s">
        <v>365</v>
      </c>
      <c r="L6" s="333"/>
      <c r="M6" s="333" t="s">
        <v>353</v>
      </c>
      <c r="N6" s="333" t="s">
        <v>366</v>
      </c>
    </row>
    <row r="7" spans="2:14" ht="12.75" customHeight="1">
      <c r="B7" s="336"/>
      <c r="D7" s="339"/>
      <c r="H7" s="338"/>
      <c r="I7" s="332"/>
      <c r="J7" s="333" t="s">
        <v>183</v>
      </c>
      <c r="K7" s="333" t="s">
        <v>361</v>
      </c>
      <c r="L7" s="333" t="s">
        <v>361</v>
      </c>
      <c r="M7" s="333" t="s">
        <v>356</v>
      </c>
      <c r="N7" s="333" t="s">
        <v>367</v>
      </c>
    </row>
    <row r="8" spans="2:14" ht="12.75" customHeight="1">
      <c r="B8" s="336"/>
      <c r="G8" s="339"/>
      <c r="H8" s="340"/>
      <c r="I8" s="333" t="s">
        <v>367</v>
      </c>
      <c r="J8" s="333" t="s">
        <v>353</v>
      </c>
      <c r="K8" s="333" t="s">
        <v>368</v>
      </c>
      <c r="L8" s="333" t="s">
        <v>356</v>
      </c>
      <c r="M8" s="333" t="s">
        <v>367</v>
      </c>
      <c r="N8" s="333" t="s">
        <v>365</v>
      </c>
    </row>
    <row r="9" spans="2:14">
      <c r="B9" s="333" t="s">
        <v>369</v>
      </c>
      <c r="C9" s="340" t="s">
        <v>370</v>
      </c>
      <c r="D9" s="340" t="s">
        <v>371</v>
      </c>
      <c r="E9" s="340" t="s">
        <v>372</v>
      </c>
      <c r="F9" s="333" t="s">
        <v>373</v>
      </c>
      <c r="G9" s="333" t="s">
        <v>374</v>
      </c>
      <c r="H9" s="333" t="s">
        <v>375</v>
      </c>
      <c r="I9" s="333" t="s">
        <v>363</v>
      </c>
      <c r="J9" s="333" t="s">
        <v>183</v>
      </c>
      <c r="K9" s="333" t="s">
        <v>356</v>
      </c>
      <c r="L9" s="333" t="s">
        <v>368</v>
      </c>
      <c r="M9" s="333" t="s">
        <v>353</v>
      </c>
      <c r="N9" s="333" t="s">
        <v>354</v>
      </c>
    </row>
    <row r="10" spans="2:14" ht="15" customHeight="1">
      <c r="B10" s="341"/>
      <c r="C10" s="342"/>
      <c r="D10" s="342"/>
      <c r="E10" s="342"/>
      <c r="F10" s="343"/>
      <c r="G10" s="344"/>
      <c r="H10" s="344"/>
      <c r="I10" s="345"/>
      <c r="J10" s="346"/>
      <c r="K10" s="346"/>
      <c r="L10" s="346"/>
      <c r="M10" s="346"/>
      <c r="N10" s="347"/>
    </row>
    <row r="11" spans="2:14" ht="15" customHeight="1">
      <c r="B11" s="341"/>
      <c r="C11" s="343"/>
      <c r="D11" s="343"/>
      <c r="E11" s="343"/>
      <c r="F11" s="343"/>
      <c r="G11" s="343"/>
      <c r="H11" s="343"/>
      <c r="I11" s="348"/>
      <c r="J11" s="346"/>
      <c r="K11" s="346"/>
      <c r="L11" s="346"/>
      <c r="M11" s="346"/>
      <c r="N11" s="347"/>
    </row>
    <row r="12" spans="2:14" ht="15" customHeight="1">
      <c r="B12" s="341"/>
      <c r="C12" s="343"/>
      <c r="D12" s="343"/>
      <c r="E12" s="343"/>
      <c r="F12" s="343"/>
      <c r="G12" s="343"/>
      <c r="H12" s="343"/>
      <c r="I12" s="348"/>
      <c r="J12" s="349"/>
      <c r="K12" s="346"/>
      <c r="L12" s="346"/>
      <c r="M12" s="346"/>
      <c r="N12" s="347"/>
    </row>
    <row r="13" spans="2:14" ht="15" customHeight="1">
      <c r="B13" s="341"/>
      <c r="C13" s="343"/>
      <c r="D13" s="343"/>
      <c r="E13" s="343"/>
      <c r="F13" s="343"/>
      <c r="G13" s="343"/>
      <c r="H13" s="343"/>
      <c r="I13" s="348"/>
      <c r="J13" s="346"/>
      <c r="K13" s="346"/>
      <c r="L13" s="346"/>
      <c r="M13" s="346"/>
      <c r="N13" s="347"/>
    </row>
    <row r="14" spans="2:14" ht="15" customHeight="1">
      <c r="B14" s="341"/>
      <c r="C14" s="343"/>
      <c r="D14" s="343"/>
      <c r="E14" s="343"/>
      <c r="F14" s="343"/>
      <c r="G14" s="343"/>
      <c r="H14" s="343"/>
      <c r="I14" s="348"/>
      <c r="J14" s="346"/>
      <c r="K14" s="346"/>
      <c r="L14" s="346"/>
      <c r="M14" s="346"/>
      <c r="N14" s="347"/>
    </row>
    <row r="15" spans="2:14" ht="15" customHeight="1">
      <c r="B15" s="341"/>
      <c r="C15" s="343"/>
      <c r="D15" s="343"/>
      <c r="E15" s="343"/>
      <c r="F15" s="343"/>
      <c r="G15" s="343"/>
      <c r="H15" s="343"/>
      <c r="I15" s="348"/>
      <c r="J15" s="346"/>
      <c r="K15" s="346"/>
      <c r="L15" s="346"/>
      <c r="M15" s="346"/>
      <c r="N15" s="347"/>
    </row>
    <row r="16" spans="2:14" ht="15" customHeight="1">
      <c r="B16" s="341"/>
      <c r="C16" s="343"/>
      <c r="D16" s="343"/>
      <c r="E16" s="343"/>
      <c r="F16" s="343"/>
      <c r="G16" s="343"/>
      <c r="H16" s="343"/>
      <c r="I16" s="348"/>
      <c r="J16" s="346"/>
      <c r="K16" s="346"/>
      <c r="L16" s="346"/>
      <c r="M16" s="346"/>
      <c r="N16" s="347"/>
    </row>
    <row r="17" spans="2:14" ht="15" customHeight="1">
      <c r="B17" s="341"/>
      <c r="C17" s="343"/>
      <c r="D17" s="343"/>
      <c r="E17" s="343"/>
      <c r="F17" s="343"/>
      <c r="G17" s="343"/>
      <c r="H17" s="343"/>
      <c r="I17" s="348"/>
      <c r="J17" s="346"/>
      <c r="K17" s="346"/>
      <c r="L17" s="346"/>
      <c r="M17" s="346"/>
      <c r="N17" s="347"/>
    </row>
    <row r="18" spans="2:14" ht="15" customHeight="1">
      <c r="B18" s="341"/>
      <c r="C18" s="343"/>
      <c r="D18" s="343"/>
      <c r="E18" s="343"/>
      <c r="F18" s="343"/>
      <c r="G18" s="343"/>
      <c r="H18" s="343"/>
      <c r="I18" s="348"/>
      <c r="J18" s="346"/>
      <c r="K18" s="346"/>
      <c r="L18" s="346"/>
      <c r="M18" s="346"/>
      <c r="N18" s="347"/>
    </row>
    <row r="19" spans="2:14" ht="15" customHeight="1">
      <c r="B19" s="341"/>
      <c r="C19" s="343"/>
      <c r="D19" s="343"/>
      <c r="E19" s="343"/>
      <c r="F19" s="343"/>
      <c r="G19" s="343"/>
      <c r="H19" s="343"/>
      <c r="I19" s="348"/>
      <c r="J19" s="346"/>
      <c r="K19" s="346"/>
      <c r="L19" s="346"/>
      <c r="M19" s="346"/>
      <c r="N19" s="347"/>
    </row>
    <row r="20" spans="2:14" ht="15" customHeight="1">
      <c r="B20" s="341"/>
      <c r="C20" s="343"/>
      <c r="D20" s="343"/>
      <c r="E20" s="343"/>
      <c r="F20" s="343"/>
      <c r="G20" s="343"/>
      <c r="H20" s="343"/>
      <c r="I20" s="348"/>
      <c r="J20" s="346"/>
      <c r="K20" s="346"/>
      <c r="L20" s="346"/>
      <c r="M20" s="346"/>
      <c r="N20" s="347"/>
    </row>
    <row r="21" spans="2:14" ht="15" customHeight="1">
      <c r="B21" s="341"/>
      <c r="C21" s="343"/>
      <c r="D21" s="343"/>
      <c r="E21" s="343"/>
      <c r="F21" s="343"/>
      <c r="G21" s="343"/>
      <c r="H21" s="343"/>
      <c r="I21" s="348"/>
      <c r="J21" s="346"/>
      <c r="K21" s="346"/>
      <c r="L21" s="346"/>
      <c r="M21" s="346"/>
      <c r="N21" s="347"/>
    </row>
    <row r="22" spans="2:14" ht="15" customHeight="1">
      <c r="B22" s="341"/>
      <c r="C22" s="343"/>
      <c r="D22" s="343"/>
      <c r="E22" s="343"/>
      <c r="F22" s="343"/>
      <c r="G22" s="343"/>
      <c r="H22" s="343"/>
      <c r="I22" s="348"/>
      <c r="J22" s="346"/>
      <c r="K22" s="346"/>
      <c r="L22" s="346"/>
      <c r="M22" s="346"/>
      <c r="N22" s="347"/>
    </row>
    <row r="23" spans="2:14" ht="15" customHeight="1">
      <c r="B23" s="341"/>
      <c r="C23" s="343"/>
      <c r="D23" s="343"/>
      <c r="E23" s="343"/>
      <c r="F23" s="343"/>
      <c r="G23" s="343"/>
      <c r="H23" s="343"/>
      <c r="I23" s="348"/>
      <c r="J23" s="346"/>
      <c r="K23" s="346"/>
      <c r="L23" s="346"/>
      <c r="M23" s="346"/>
      <c r="N23" s="347"/>
    </row>
    <row r="24" spans="2:14" ht="15" customHeight="1">
      <c r="B24" s="341"/>
      <c r="C24" s="343"/>
      <c r="D24" s="343"/>
      <c r="E24" s="343"/>
      <c r="F24" s="343"/>
      <c r="G24" s="343"/>
      <c r="H24" s="343"/>
      <c r="I24" s="348"/>
      <c r="J24" s="346"/>
      <c r="K24" s="346"/>
      <c r="L24" s="346"/>
      <c r="M24" s="346"/>
      <c r="N24" s="347"/>
    </row>
    <row r="25" spans="2:14" ht="15" customHeight="1">
      <c r="B25" s="341"/>
      <c r="C25" s="343"/>
      <c r="D25" s="343"/>
      <c r="E25" s="343"/>
      <c r="F25" s="343"/>
      <c r="G25" s="343"/>
      <c r="H25" s="343"/>
      <c r="I25" s="348"/>
      <c r="J25" s="346"/>
      <c r="K25" s="346"/>
      <c r="L25" s="346"/>
      <c r="M25" s="346"/>
      <c r="N25" s="347"/>
    </row>
    <row r="26" spans="2:14" ht="15" customHeight="1">
      <c r="B26" s="341"/>
      <c r="C26" s="343"/>
      <c r="D26" s="343"/>
      <c r="E26" s="343"/>
      <c r="F26" s="343"/>
      <c r="G26" s="343"/>
      <c r="H26" s="343"/>
      <c r="I26" s="348"/>
      <c r="J26" s="346"/>
      <c r="K26" s="346"/>
      <c r="L26" s="346"/>
      <c r="M26" s="346"/>
      <c r="N26" s="347"/>
    </row>
    <row r="27" spans="2:14" ht="15" customHeight="1">
      <c r="B27" s="341"/>
      <c r="C27" s="343"/>
      <c r="D27" s="343"/>
      <c r="E27" s="343"/>
      <c r="F27" s="343"/>
      <c r="G27" s="343"/>
      <c r="H27" s="343"/>
      <c r="I27" s="348"/>
      <c r="J27" s="346"/>
      <c r="K27" s="346"/>
      <c r="L27" s="346"/>
      <c r="M27" s="346"/>
      <c r="N27" s="347"/>
    </row>
    <row r="28" spans="2:14" ht="15" customHeight="1">
      <c r="B28" s="341"/>
      <c r="C28" s="343"/>
      <c r="D28" s="343"/>
      <c r="E28" s="343"/>
      <c r="F28" s="343"/>
      <c r="G28" s="343"/>
      <c r="H28" s="343"/>
      <c r="I28" s="348"/>
      <c r="J28" s="346"/>
      <c r="K28" s="346"/>
      <c r="L28" s="346"/>
      <c r="M28" s="346"/>
      <c r="N28" s="347"/>
    </row>
    <row r="29" spans="2:14" ht="15" customHeight="1">
      <c r="B29" s="341"/>
      <c r="C29" s="343"/>
      <c r="D29" s="343"/>
      <c r="E29" s="343"/>
      <c r="F29" s="343"/>
      <c r="G29" s="343"/>
      <c r="H29" s="343"/>
      <c r="I29" s="348"/>
      <c r="J29" s="346"/>
      <c r="K29" s="346"/>
      <c r="L29" s="346"/>
      <c r="M29" s="346"/>
      <c r="N29" s="347"/>
    </row>
    <row r="30" spans="2:14" ht="15" customHeight="1">
      <c r="B30" s="341"/>
      <c r="C30" s="343"/>
      <c r="D30" s="343"/>
      <c r="E30" s="343"/>
      <c r="F30" s="343"/>
      <c r="G30" s="343"/>
      <c r="H30" s="343"/>
      <c r="I30" s="348"/>
      <c r="J30" s="346"/>
      <c r="K30" s="346"/>
      <c r="L30" s="346"/>
      <c r="M30" s="346"/>
      <c r="N30" s="347"/>
    </row>
    <row r="31" spans="2:14" ht="15" customHeight="1">
      <c r="B31" s="341"/>
      <c r="C31" s="343"/>
      <c r="D31" s="343"/>
      <c r="E31" s="343"/>
      <c r="F31" s="343"/>
      <c r="G31" s="343"/>
      <c r="H31" s="343"/>
      <c r="I31" s="348"/>
      <c r="J31" s="346"/>
      <c r="K31" s="346"/>
      <c r="L31" s="346"/>
      <c r="M31" s="346"/>
      <c r="N31" s="347"/>
    </row>
    <row r="32" spans="2:14" ht="15" customHeight="1">
      <c r="B32" s="341"/>
      <c r="C32" s="343"/>
      <c r="D32" s="343"/>
      <c r="E32" s="343"/>
      <c r="F32" s="343"/>
      <c r="G32" s="343"/>
      <c r="H32" s="343"/>
      <c r="I32" s="348"/>
      <c r="J32" s="346"/>
      <c r="K32" s="346"/>
      <c r="L32" s="346"/>
      <c r="M32" s="346"/>
      <c r="N32" s="347"/>
    </row>
    <row r="33" spans="2:14" ht="15" customHeight="1">
      <c r="B33" s="341"/>
      <c r="C33" s="343"/>
      <c r="D33" s="343"/>
      <c r="E33" s="343"/>
      <c r="F33" s="343"/>
      <c r="G33" s="343"/>
      <c r="H33" s="343"/>
      <c r="I33" s="348"/>
      <c r="J33" s="346"/>
      <c r="K33" s="346"/>
      <c r="L33" s="346"/>
      <c r="M33" s="346"/>
      <c r="N33" s="347"/>
    </row>
    <row r="34" spans="2:14" ht="15" customHeight="1">
      <c r="B34" s="341"/>
      <c r="C34" s="343"/>
      <c r="D34" s="343"/>
      <c r="E34" s="343"/>
      <c r="F34" s="343"/>
      <c r="G34" s="343"/>
      <c r="H34" s="343"/>
      <c r="I34" s="348"/>
      <c r="J34" s="346"/>
      <c r="K34" s="346"/>
      <c r="L34" s="346"/>
      <c r="M34" s="346"/>
      <c r="N34" s="347"/>
    </row>
    <row r="35" spans="2:14" ht="15" customHeight="1">
      <c r="B35" s="341"/>
      <c r="C35" s="343"/>
      <c r="D35" s="343"/>
      <c r="E35" s="343"/>
      <c r="F35" s="343"/>
      <c r="G35" s="343"/>
      <c r="H35" s="343"/>
      <c r="I35" s="348"/>
      <c r="J35" s="346"/>
      <c r="K35" s="346"/>
      <c r="L35" s="346"/>
      <c r="M35" s="346"/>
      <c r="N35" s="347"/>
    </row>
    <row r="36" spans="2:14" ht="15" customHeight="1">
      <c r="B36" s="341"/>
      <c r="C36" s="343"/>
      <c r="D36" s="343"/>
      <c r="E36" s="343"/>
      <c r="F36" s="343"/>
      <c r="G36" s="343"/>
      <c r="H36" s="343"/>
      <c r="I36" s="348"/>
      <c r="J36" s="346"/>
      <c r="K36" s="346"/>
      <c r="L36" s="346"/>
      <c r="M36" s="346"/>
      <c r="N36" s="347"/>
    </row>
    <row r="37" spans="2:14" ht="15" customHeight="1">
      <c r="B37" s="341"/>
      <c r="C37" s="343"/>
      <c r="D37" s="343"/>
      <c r="E37" s="343"/>
      <c r="F37" s="343"/>
      <c r="G37" s="343"/>
      <c r="H37" s="343"/>
      <c r="I37" s="348"/>
      <c r="J37" s="346"/>
      <c r="K37" s="346"/>
      <c r="L37" s="346"/>
      <c r="M37" s="346"/>
      <c r="N37" s="347"/>
    </row>
    <row r="38" spans="2:14" ht="15" customHeight="1">
      <c r="B38" s="341"/>
      <c r="C38" s="343"/>
      <c r="D38" s="343"/>
      <c r="E38" s="343"/>
      <c r="F38" s="343"/>
      <c r="G38" s="343"/>
      <c r="H38" s="343"/>
      <c r="I38" s="348"/>
      <c r="J38" s="346"/>
      <c r="K38" s="346"/>
      <c r="L38" s="346"/>
      <c r="M38" s="346"/>
      <c r="N38" s="347"/>
    </row>
    <row r="39" spans="2:14" ht="15" customHeight="1">
      <c r="B39" s="341"/>
      <c r="C39" s="343"/>
      <c r="D39" s="343"/>
      <c r="E39" s="343"/>
      <c r="F39" s="343"/>
      <c r="G39" s="343"/>
      <c r="H39" s="343"/>
      <c r="I39" s="348"/>
      <c r="J39" s="346"/>
      <c r="K39" s="346"/>
      <c r="L39" s="346"/>
      <c r="M39" s="346"/>
      <c r="N39" s="347"/>
    </row>
    <row r="40" spans="2:14" ht="15" customHeight="1">
      <c r="B40" s="341"/>
      <c r="C40" s="343"/>
      <c r="D40" s="343"/>
      <c r="E40" s="343"/>
      <c r="F40" s="343"/>
      <c r="G40" s="343"/>
      <c r="H40" s="343"/>
      <c r="I40" s="348"/>
      <c r="J40" s="346"/>
      <c r="K40" s="346"/>
      <c r="L40" s="346"/>
      <c r="M40" s="346"/>
      <c r="N40" s="347"/>
    </row>
    <row r="41" spans="2:14" ht="15" customHeight="1">
      <c r="B41" s="341"/>
      <c r="C41" s="343"/>
      <c r="D41" s="343"/>
      <c r="E41" s="343"/>
      <c r="F41" s="343"/>
      <c r="G41" s="343"/>
      <c r="H41" s="343"/>
      <c r="I41" s="348"/>
      <c r="J41" s="346"/>
      <c r="K41" s="346"/>
      <c r="L41" s="346"/>
      <c r="M41" s="346"/>
      <c r="N41" s="347"/>
    </row>
    <row r="42" spans="2:14" ht="15" customHeight="1">
      <c r="B42" s="341"/>
      <c r="C42" s="343"/>
      <c r="D42" s="343"/>
      <c r="E42" s="343"/>
      <c r="F42" s="343"/>
      <c r="G42" s="343"/>
      <c r="H42" s="343"/>
      <c r="I42" s="348"/>
      <c r="J42" s="346"/>
      <c r="K42" s="346"/>
      <c r="L42" s="346"/>
      <c r="M42" s="346"/>
      <c r="N42" s="347"/>
    </row>
    <row r="43" spans="2:14" ht="15" customHeight="1">
      <c r="B43" s="341"/>
      <c r="C43" s="343"/>
      <c r="D43" s="343"/>
      <c r="E43" s="343"/>
      <c r="F43" s="343"/>
      <c r="G43" s="343"/>
      <c r="H43" s="343"/>
      <c r="I43" s="348"/>
      <c r="J43" s="346"/>
      <c r="K43" s="346"/>
      <c r="L43" s="346"/>
      <c r="M43" s="346"/>
      <c r="N43" s="347"/>
    </row>
    <row r="44" spans="2:14" ht="15" customHeight="1">
      <c r="B44" s="341"/>
      <c r="C44" s="343"/>
      <c r="D44" s="343"/>
      <c r="E44" s="343"/>
      <c r="F44" s="343"/>
      <c r="G44" s="343"/>
      <c r="H44" s="343"/>
      <c r="I44" s="348"/>
      <c r="J44" s="346"/>
      <c r="K44" s="346"/>
      <c r="L44" s="346"/>
      <c r="M44" s="346"/>
      <c r="N44" s="347"/>
    </row>
    <row r="45" spans="2:14" ht="15" customHeight="1">
      <c r="B45" s="341"/>
      <c r="C45" s="343"/>
      <c r="D45" s="343"/>
      <c r="E45" s="343"/>
      <c r="F45" s="343"/>
      <c r="G45" s="343"/>
      <c r="H45" s="343"/>
      <c r="I45" s="348"/>
      <c r="J45" s="346"/>
      <c r="K45" s="346"/>
      <c r="L45" s="346"/>
      <c r="M45" s="346"/>
      <c r="N45" s="347"/>
    </row>
    <row r="46" spans="2:14" ht="15" customHeight="1">
      <c r="B46" s="341"/>
      <c r="C46" s="343"/>
      <c r="D46" s="343"/>
      <c r="E46" s="343"/>
      <c r="F46" s="343"/>
      <c r="G46" s="343"/>
      <c r="H46" s="343"/>
      <c r="I46" s="348"/>
      <c r="J46" s="346"/>
      <c r="K46" s="346"/>
      <c r="L46" s="346"/>
      <c r="M46" s="346"/>
      <c r="N46" s="347"/>
    </row>
    <row r="47" spans="2:14" ht="15" customHeight="1">
      <c r="B47" s="341"/>
      <c r="C47" s="343"/>
      <c r="D47" s="343"/>
      <c r="E47" s="343"/>
      <c r="F47" s="343"/>
      <c r="G47" s="343"/>
      <c r="H47" s="343"/>
      <c r="I47" s="348"/>
      <c r="J47" s="346"/>
      <c r="K47" s="346"/>
      <c r="L47" s="346"/>
      <c r="M47" s="346"/>
      <c r="N47" s="347"/>
    </row>
    <row r="48" spans="2:14" ht="15" customHeight="1">
      <c r="B48" s="341"/>
      <c r="C48" s="343"/>
      <c r="D48" s="343"/>
      <c r="E48" s="343"/>
      <c r="F48" s="343"/>
      <c r="G48" s="343"/>
      <c r="H48" s="343"/>
      <c r="I48" s="348"/>
      <c r="J48" s="346"/>
      <c r="K48" s="346"/>
      <c r="L48" s="346"/>
      <c r="M48" s="346"/>
      <c r="N48" s="347"/>
    </row>
    <row r="49" spans="2:14" ht="15" customHeight="1">
      <c r="B49" s="341"/>
      <c r="C49" s="343"/>
      <c r="D49" s="343"/>
      <c r="E49" s="343"/>
      <c r="F49" s="343"/>
      <c r="G49" s="343"/>
      <c r="H49" s="343"/>
      <c r="I49" s="348"/>
      <c r="J49" s="346"/>
      <c r="K49" s="346"/>
      <c r="L49" s="346"/>
      <c r="M49" s="346"/>
      <c r="N49" s="347"/>
    </row>
    <row r="50" spans="2:14" ht="15" customHeight="1">
      <c r="B50" s="341"/>
      <c r="C50" s="343"/>
      <c r="D50" s="343"/>
      <c r="E50" s="343"/>
      <c r="F50" s="343"/>
      <c r="G50" s="343"/>
      <c r="H50" s="343"/>
      <c r="I50" s="348"/>
      <c r="J50" s="346"/>
      <c r="K50" s="346"/>
      <c r="L50" s="346"/>
      <c r="M50" s="346"/>
      <c r="N50" s="347"/>
    </row>
    <row r="51" spans="2:14" ht="15" customHeight="1">
      <c r="B51" s="341"/>
      <c r="C51" s="343"/>
      <c r="D51" s="343"/>
      <c r="E51" s="343"/>
      <c r="F51" s="343"/>
      <c r="G51" s="343"/>
      <c r="H51" s="343"/>
      <c r="I51" s="348"/>
      <c r="J51" s="346"/>
      <c r="K51" s="346"/>
      <c r="L51" s="346"/>
      <c r="M51" s="346"/>
      <c r="N51" s="347"/>
    </row>
    <row r="52" spans="2:14" ht="15" customHeight="1" thickBot="1">
      <c r="B52" s="350"/>
      <c r="C52" s="351"/>
      <c r="D52" s="351"/>
      <c r="E52" s="351"/>
      <c r="F52" s="351"/>
      <c r="G52" s="351"/>
      <c r="H52" s="351"/>
      <c r="I52" s="352"/>
      <c r="J52" s="353"/>
      <c r="K52" s="353"/>
      <c r="L52" s="353"/>
      <c r="M52" s="353"/>
      <c r="N52" s="354"/>
    </row>
    <row r="53" spans="2:14" ht="20.25" customHeight="1" thickBot="1">
      <c r="B53" s="762" t="s">
        <v>376</v>
      </c>
      <c r="C53" s="762"/>
      <c r="D53" s="762"/>
      <c r="E53" s="762"/>
      <c r="F53" s="762"/>
      <c r="G53" s="762"/>
      <c r="H53" s="762"/>
      <c r="I53" s="762"/>
      <c r="J53" s="762"/>
      <c r="K53" s="762"/>
      <c r="L53" s="762"/>
      <c r="M53" s="762"/>
      <c r="N53" s="762"/>
    </row>
    <row r="54" spans="2:14" ht="15" customHeight="1" thickBot="1">
      <c r="B54" s="355" t="s">
        <v>377</v>
      </c>
      <c r="C54" s="763" t="s">
        <v>374</v>
      </c>
      <c r="D54" s="764"/>
      <c r="E54" s="764"/>
      <c r="F54" s="764"/>
      <c r="G54" s="764"/>
      <c r="H54" s="356"/>
      <c r="I54" s="763" t="s">
        <v>369</v>
      </c>
      <c r="J54" s="764"/>
      <c r="K54" s="765"/>
      <c r="L54" s="763" t="s">
        <v>378</v>
      </c>
      <c r="M54" s="764"/>
      <c r="N54" s="766"/>
    </row>
    <row r="55" spans="2:14" ht="15" customHeight="1">
      <c r="B55" s="357"/>
      <c r="C55" s="752"/>
      <c r="D55" s="753"/>
      <c r="E55" s="753"/>
      <c r="F55" s="753"/>
      <c r="G55" s="753"/>
      <c r="H55" s="358"/>
      <c r="I55" s="754"/>
      <c r="J55" s="755"/>
      <c r="K55" s="756"/>
      <c r="L55" s="757"/>
      <c r="M55" s="758"/>
      <c r="N55" s="759"/>
    </row>
    <row r="56" spans="2:14" ht="15" customHeight="1">
      <c r="B56" s="359"/>
      <c r="C56" s="767"/>
      <c r="D56" s="768"/>
      <c r="E56" s="768"/>
      <c r="F56" s="768"/>
      <c r="G56" s="768"/>
      <c r="H56" s="360"/>
      <c r="I56" s="769"/>
      <c r="J56" s="770"/>
      <c r="K56" s="771"/>
      <c r="L56" s="772"/>
      <c r="M56" s="773"/>
      <c r="N56" s="774"/>
    </row>
    <row r="57" spans="2:14" ht="15" customHeight="1">
      <c r="B57" s="359"/>
      <c r="C57" s="767"/>
      <c r="D57" s="768"/>
      <c r="E57" s="768"/>
      <c r="F57" s="768"/>
      <c r="G57" s="768"/>
      <c r="H57" s="360"/>
      <c r="I57" s="769"/>
      <c r="J57" s="770"/>
      <c r="K57" s="771"/>
      <c r="L57" s="772"/>
      <c r="M57" s="773"/>
      <c r="N57" s="774"/>
    </row>
    <row r="58" spans="2:14" ht="15" customHeight="1">
      <c r="B58" s="359"/>
      <c r="C58" s="767"/>
      <c r="D58" s="768"/>
      <c r="E58" s="768"/>
      <c r="F58" s="768"/>
      <c r="G58" s="768"/>
      <c r="H58" s="360"/>
      <c r="I58" s="769"/>
      <c r="J58" s="770"/>
      <c r="K58" s="771"/>
      <c r="L58" s="772"/>
      <c r="M58" s="773"/>
      <c r="N58" s="774"/>
    </row>
    <row r="59" spans="2:14" ht="15" customHeight="1">
      <c r="B59" s="359"/>
      <c r="C59" s="767"/>
      <c r="D59" s="768"/>
      <c r="E59" s="768"/>
      <c r="F59" s="768"/>
      <c r="G59" s="768"/>
      <c r="H59" s="360"/>
      <c r="I59" s="769"/>
      <c r="J59" s="770"/>
      <c r="K59" s="771"/>
      <c r="L59" s="772"/>
      <c r="M59" s="773"/>
      <c r="N59" s="774"/>
    </row>
    <row r="60" spans="2:14" ht="15" customHeight="1">
      <c r="B60" s="359"/>
      <c r="C60" s="767"/>
      <c r="D60" s="768"/>
      <c r="E60" s="768"/>
      <c r="F60" s="768"/>
      <c r="G60" s="768"/>
      <c r="H60" s="360"/>
      <c r="I60" s="769"/>
      <c r="J60" s="770"/>
      <c r="K60" s="771"/>
      <c r="L60" s="772"/>
      <c r="M60" s="773"/>
      <c r="N60" s="774"/>
    </row>
    <row r="61" spans="2:14" ht="15" customHeight="1">
      <c r="B61" s="359"/>
      <c r="C61" s="767"/>
      <c r="D61" s="768"/>
      <c r="E61" s="768"/>
      <c r="F61" s="768"/>
      <c r="G61" s="768"/>
      <c r="H61" s="360"/>
      <c r="I61" s="769"/>
      <c r="J61" s="770"/>
      <c r="K61" s="771"/>
      <c r="L61" s="772"/>
      <c r="M61" s="773"/>
      <c r="N61" s="774"/>
    </row>
    <row r="62" spans="2:14" ht="15" customHeight="1">
      <c r="B62" s="359"/>
      <c r="C62" s="767"/>
      <c r="D62" s="768"/>
      <c r="E62" s="768"/>
      <c r="F62" s="768"/>
      <c r="G62" s="768"/>
      <c r="H62" s="360"/>
      <c r="I62" s="769"/>
      <c r="J62" s="770"/>
      <c r="K62" s="771"/>
      <c r="L62" s="772"/>
      <c r="M62" s="773"/>
      <c r="N62" s="774"/>
    </row>
    <row r="63" spans="2:14" ht="15" customHeight="1">
      <c r="B63" s="359"/>
      <c r="C63" s="767"/>
      <c r="D63" s="768"/>
      <c r="E63" s="768"/>
      <c r="F63" s="768"/>
      <c r="G63" s="768"/>
      <c r="H63" s="360"/>
      <c r="I63" s="769"/>
      <c r="J63" s="770"/>
      <c r="K63" s="771"/>
      <c r="L63" s="772"/>
      <c r="M63" s="773"/>
      <c r="N63" s="774"/>
    </row>
    <row r="64" spans="2:14" ht="15" customHeight="1">
      <c r="B64" s="359"/>
      <c r="C64" s="767"/>
      <c r="D64" s="768"/>
      <c r="E64" s="768"/>
      <c r="F64" s="768"/>
      <c r="G64" s="768"/>
      <c r="H64" s="360"/>
      <c r="I64" s="769"/>
      <c r="J64" s="770"/>
      <c r="K64" s="771"/>
      <c r="L64" s="772"/>
      <c r="M64" s="773"/>
      <c r="N64" s="774"/>
    </row>
    <row r="65" spans="2:14" ht="15" customHeight="1">
      <c r="B65" s="359"/>
      <c r="C65" s="767"/>
      <c r="D65" s="768"/>
      <c r="E65" s="768"/>
      <c r="F65" s="768"/>
      <c r="G65" s="768"/>
      <c r="H65" s="360"/>
      <c r="I65" s="769"/>
      <c r="J65" s="770"/>
      <c r="K65" s="771"/>
      <c r="L65" s="772"/>
      <c r="M65" s="773"/>
      <c r="N65" s="774"/>
    </row>
    <row r="66" spans="2:14" ht="15" customHeight="1">
      <c r="B66" s="359"/>
      <c r="C66" s="767"/>
      <c r="D66" s="768"/>
      <c r="E66" s="768"/>
      <c r="F66" s="768"/>
      <c r="G66" s="768"/>
      <c r="H66" s="360"/>
      <c r="I66" s="769"/>
      <c r="J66" s="770"/>
      <c r="K66" s="771"/>
      <c r="L66" s="772"/>
      <c r="M66" s="773"/>
      <c r="N66" s="774"/>
    </row>
    <row r="67" spans="2:14" ht="15" customHeight="1">
      <c r="B67" s="359"/>
      <c r="C67" s="767"/>
      <c r="D67" s="768"/>
      <c r="E67" s="768"/>
      <c r="F67" s="768"/>
      <c r="G67" s="768"/>
      <c r="H67" s="360"/>
      <c r="I67" s="769"/>
      <c r="J67" s="770"/>
      <c r="K67" s="771"/>
      <c r="L67" s="772"/>
      <c r="M67" s="773"/>
      <c r="N67" s="774"/>
    </row>
    <row r="68" spans="2:14" ht="15" customHeight="1">
      <c r="B68" s="359"/>
      <c r="C68" s="767"/>
      <c r="D68" s="768"/>
      <c r="E68" s="768"/>
      <c r="F68" s="768"/>
      <c r="G68" s="768"/>
      <c r="H68" s="360"/>
      <c r="I68" s="769"/>
      <c r="J68" s="770"/>
      <c r="K68" s="771"/>
      <c r="L68" s="772"/>
      <c r="M68" s="773"/>
      <c r="N68" s="774"/>
    </row>
    <row r="69" spans="2:14" ht="15" customHeight="1">
      <c r="B69" s="359"/>
      <c r="C69" s="767"/>
      <c r="D69" s="768"/>
      <c r="E69" s="768"/>
      <c r="F69" s="768"/>
      <c r="G69" s="768"/>
      <c r="H69" s="360"/>
      <c r="I69" s="769"/>
      <c r="J69" s="770"/>
      <c r="K69" s="771"/>
      <c r="L69" s="772"/>
      <c r="M69" s="773"/>
      <c r="N69" s="774"/>
    </row>
    <row r="70" spans="2:14" ht="15" customHeight="1">
      <c r="B70" s="359"/>
      <c r="C70" s="767"/>
      <c r="D70" s="768"/>
      <c r="E70" s="768"/>
      <c r="F70" s="768"/>
      <c r="G70" s="768"/>
      <c r="H70" s="360"/>
      <c r="I70" s="769"/>
      <c r="J70" s="770"/>
      <c r="K70" s="771"/>
      <c r="L70" s="772"/>
      <c r="M70" s="773"/>
      <c r="N70" s="774"/>
    </row>
    <row r="71" spans="2:14" ht="15" customHeight="1">
      <c r="B71" s="359"/>
      <c r="C71" s="767"/>
      <c r="D71" s="768"/>
      <c r="E71" s="768"/>
      <c r="F71" s="768"/>
      <c r="G71" s="768"/>
      <c r="H71" s="360"/>
      <c r="I71" s="769"/>
      <c r="J71" s="770"/>
      <c r="K71" s="771"/>
      <c r="L71" s="772"/>
      <c r="M71" s="773"/>
      <c r="N71" s="774"/>
    </row>
    <row r="72" spans="2:14">
      <c r="B72" s="359"/>
      <c r="C72" s="767"/>
      <c r="D72" s="768"/>
      <c r="E72" s="768"/>
      <c r="F72" s="768"/>
      <c r="G72" s="768"/>
      <c r="H72" s="360"/>
      <c r="I72" s="769"/>
      <c r="J72" s="770"/>
      <c r="K72" s="771"/>
      <c r="L72" s="772"/>
      <c r="M72" s="773"/>
      <c r="N72" s="774"/>
    </row>
    <row r="73" spans="2:14">
      <c r="B73" s="359"/>
      <c r="C73" s="767"/>
      <c r="D73" s="768"/>
      <c r="E73" s="768"/>
      <c r="F73" s="768"/>
      <c r="G73" s="768"/>
      <c r="H73" s="360"/>
      <c r="I73" s="769"/>
      <c r="J73" s="770"/>
      <c r="K73" s="771"/>
      <c r="L73" s="772"/>
      <c r="M73" s="773"/>
      <c r="N73" s="774"/>
    </row>
    <row r="74" spans="2:14">
      <c r="B74" s="359"/>
      <c r="C74" s="767"/>
      <c r="D74" s="768"/>
      <c r="E74" s="768"/>
      <c r="F74" s="768"/>
      <c r="G74" s="768"/>
      <c r="H74" s="360"/>
      <c r="I74" s="769"/>
      <c r="J74" s="770"/>
      <c r="K74" s="771"/>
      <c r="L74" s="772"/>
      <c r="M74" s="773"/>
      <c r="N74" s="774"/>
    </row>
    <row r="75" spans="2:14">
      <c r="B75" s="359"/>
      <c r="C75" s="767"/>
      <c r="D75" s="768"/>
      <c r="E75" s="768"/>
      <c r="F75" s="768"/>
      <c r="G75" s="768"/>
      <c r="H75" s="360"/>
      <c r="I75" s="769"/>
      <c r="J75" s="770"/>
      <c r="K75" s="771"/>
      <c r="L75" s="772"/>
      <c r="M75" s="773"/>
      <c r="N75" s="774"/>
    </row>
    <row r="76" spans="2:14">
      <c r="B76" s="359"/>
      <c r="C76" s="767"/>
      <c r="D76" s="768"/>
      <c r="E76" s="768"/>
      <c r="F76" s="768"/>
      <c r="G76" s="768"/>
      <c r="H76" s="360"/>
      <c r="I76" s="769"/>
      <c r="J76" s="770"/>
      <c r="K76" s="771"/>
      <c r="L76" s="772"/>
      <c r="M76" s="773"/>
      <c r="N76" s="774"/>
    </row>
    <row r="77" spans="2:14">
      <c r="B77" s="359"/>
      <c r="C77" s="767"/>
      <c r="D77" s="768"/>
      <c r="E77" s="768"/>
      <c r="F77" s="768"/>
      <c r="G77" s="768"/>
      <c r="H77" s="360"/>
      <c r="I77" s="769"/>
      <c r="J77" s="770"/>
      <c r="K77" s="771"/>
      <c r="L77" s="772"/>
      <c r="M77" s="773"/>
      <c r="N77" s="774"/>
    </row>
    <row r="78" spans="2:14">
      <c r="B78" s="359"/>
      <c r="C78" s="767"/>
      <c r="D78" s="768"/>
      <c r="E78" s="768"/>
      <c r="F78" s="768"/>
      <c r="G78" s="768"/>
      <c r="H78" s="360"/>
      <c r="I78" s="769"/>
      <c r="J78" s="770"/>
      <c r="K78" s="771"/>
      <c r="L78" s="772"/>
      <c r="M78" s="773"/>
      <c r="N78" s="774"/>
    </row>
    <row r="79" spans="2:14" ht="13.5" thickBot="1">
      <c r="B79" s="361"/>
      <c r="C79" s="775"/>
      <c r="D79" s="776"/>
      <c r="E79" s="776"/>
      <c r="F79" s="776"/>
      <c r="G79" s="776"/>
      <c r="H79" s="362"/>
      <c r="I79" s="777"/>
      <c r="J79" s="778"/>
      <c r="K79" s="779"/>
      <c r="L79" s="780"/>
      <c r="M79" s="781"/>
      <c r="N79" s="782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topLeftCell="A15" workbookViewId="0">
      <selection activeCell="I24" sqref="I24"/>
    </sheetView>
  </sheetViews>
  <sheetFormatPr defaultColWidth="9.140625" defaultRowHeight="12.75"/>
  <cols>
    <col min="1" max="1" width="19.7109375" style="376" customWidth="1"/>
    <col min="2" max="7" width="10.7109375" style="376" customWidth="1"/>
    <col min="8" max="16384" width="9.140625" style="376"/>
  </cols>
  <sheetData>
    <row r="1" spans="1:12" ht="21" customHeight="1">
      <c r="A1" s="375" t="s">
        <v>402</v>
      </c>
      <c r="B1" s="784" t="s">
        <v>441</v>
      </c>
      <c r="C1" s="784"/>
      <c r="D1" s="784"/>
      <c r="E1" s="784"/>
      <c r="F1" s="784"/>
      <c r="G1" s="784"/>
    </row>
    <row r="2" spans="1:12" ht="15" customHeight="1"/>
    <row r="3" spans="1:12" ht="20.25">
      <c r="A3" s="377" t="s">
        <v>403</v>
      </c>
    </row>
    <row r="4" spans="1:12" ht="12" customHeight="1">
      <c r="A4" s="378"/>
      <c r="B4" s="378"/>
      <c r="C4" s="378"/>
      <c r="D4" s="378" t="s">
        <v>516</v>
      </c>
      <c r="E4" s="378"/>
      <c r="F4" s="378"/>
      <c r="G4" s="378"/>
      <c r="H4" s="378"/>
      <c r="I4" s="378"/>
      <c r="J4" s="378"/>
      <c r="K4" s="378"/>
      <c r="L4" s="378"/>
    </row>
    <row r="5" spans="1:12" ht="15.6" customHeight="1">
      <c r="A5" s="379" t="s">
        <v>5</v>
      </c>
      <c r="B5" s="379" t="s">
        <v>404</v>
      </c>
      <c r="C5" s="379" t="s">
        <v>405</v>
      </c>
      <c r="D5" s="379" t="s">
        <v>406</v>
      </c>
      <c r="E5" s="379" t="s">
        <v>407</v>
      </c>
      <c r="F5" s="379" t="s">
        <v>408</v>
      </c>
      <c r="G5" s="379" t="s">
        <v>409</v>
      </c>
      <c r="H5" s="378"/>
      <c r="I5" s="378"/>
      <c r="J5" s="378"/>
      <c r="K5" s="378"/>
      <c r="L5" s="378"/>
    </row>
    <row r="6" spans="1:12" ht="15.6" customHeight="1">
      <c r="A6" s="380" t="s">
        <v>410</v>
      </c>
      <c r="B6" s="380" t="s">
        <v>165</v>
      </c>
      <c r="C6" s="380" t="s">
        <v>165</v>
      </c>
      <c r="D6" s="380" t="s">
        <v>411</v>
      </c>
      <c r="E6" s="380" t="s">
        <v>135</v>
      </c>
      <c r="F6" s="380" t="s">
        <v>412</v>
      </c>
      <c r="G6" s="380" t="s">
        <v>412</v>
      </c>
      <c r="H6" s="378"/>
      <c r="I6" s="378"/>
      <c r="J6" s="378"/>
      <c r="K6" s="378"/>
      <c r="L6" s="378"/>
    </row>
    <row r="7" spans="1:12" ht="15.95" customHeight="1">
      <c r="A7" s="381" t="s">
        <v>442</v>
      </c>
      <c r="B7" s="381" t="s">
        <v>455</v>
      </c>
      <c r="C7" s="381" t="s">
        <v>468</v>
      </c>
      <c r="D7" s="381" t="s">
        <v>517</v>
      </c>
      <c r="E7" s="381" t="s">
        <v>480</v>
      </c>
      <c r="F7" s="381" t="s">
        <v>530</v>
      </c>
      <c r="G7" s="381" t="s">
        <v>543</v>
      </c>
      <c r="H7" s="378"/>
      <c r="I7" s="378"/>
      <c r="J7" s="378"/>
      <c r="K7" s="378"/>
      <c r="L7" s="378"/>
    </row>
    <row r="8" spans="1:12" ht="15.95" customHeight="1">
      <c r="A8" s="381" t="s">
        <v>443</v>
      </c>
      <c r="B8" s="381" t="s">
        <v>456</v>
      </c>
      <c r="C8" s="381" t="s">
        <v>469</v>
      </c>
      <c r="D8" s="381" t="s">
        <v>518</v>
      </c>
      <c r="E8" s="381" t="s">
        <v>481</v>
      </c>
      <c r="F8" s="381" t="s">
        <v>531</v>
      </c>
      <c r="G8" s="381" t="s">
        <v>544</v>
      </c>
      <c r="H8" s="378"/>
      <c r="I8" s="378"/>
      <c r="J8" s="378"/>
      <c r="K8" s="378"/>
      <c r="L8" s="378"/>
    </row>
    <row r="9" spans="1:12" ht="15.95" customHeight="1">
      <c r="A9" s="381" t="s">
        <v>444</v>
      </c>
      <c r="B9" s="381" t="s">
        <v>457</v>
      </c>
      <c r="C9" s="381" t="s">
        <v>470</v>
      </c>
      <c r="D9" s="381" t="s">
        <v>519</v>
      </c>
      <c r="E9" s="381" t="s">
        <v>482</v>
      </c>
      <c r="F9" s="381" t="s">
        <v>532</v>
      </c>
      <c r="G9" s="381" t="s">
        <v>545</v>
      </c>
      <c r="H9" s="378"/>
      <c r="I9" s="378"/>
      <c r="J9" s="378"/>
      <c r="K9" s="378"/>
      <c r="L9" s="378"/>
    </row>
    <row r="10" spans="1:12" ht="15.95" customHeight="1">
      <c r="A10" s="381" t="s">
        <v>445</v>
      </c>
      <c r="B10" s="381" t="s">
        <v>458</v>
      </c>
      <c r="C10" s="381" t="s">
        <v>471</v>
      </c>
      <c r="D10" s="381" t="s">
        <v>520</v>
      </c>
      <c r="E10" s="381" t="s">
        <v>483</v>
      </c>
      <c r="F10" s="381" t="s">
        <v>533</v>
      </c>
      <c r="G10" s="381" t="s">
        <v>546</v>
      </c>
      <c r="H10" s="378"/>
      <c r="I10" s="378"/>
      <c r="J10" s="378"/>
      <c r="K10" s="378"/>
      <c r="L10" s="378"/>
    </row>
    <row r="11" spans="1:12" ht="15.95" customHeight="1">
      <c r="A11" s="381" t="s">
        <v>446</v>
      </c>
      <c r="B11" s="381" t="s">
        <v>459</v>
      </c>
      <c r="C11" s="381" t="s">
        <v>469</v>
      </c>
      <c r="D11" s="381" t="s">
        <v>521</v>
      </c>
      <c r="E11" s="381" t="s">
        <v>484</v>
      </c>
      <c r="F11" s="381" t="s">
        <v>534</v>
      </c>
      <c r="G11" s="381" t="s">
        <v>547</v>
      </c>
      <c r="H11" s="378"/>
      <c r="I11" s="378"/>
      <c r="J11" s="378"/>
      <c r="K11" s="378"/>
      <c r="L11" s="378"/>
    </row>
    <row r="12" spans="1:12" ht="15.95" customHeight="1">
      <c r="A12" s="381" t="s">
        <v>447</v>
      </c>
      <c r="B12" s="381" t="s">
        <v>460</v>
      </c>
      <c r="C12" s="381" t="s">
        <v>472</v>
      </c>
      <c r="D12" s="381" t="s">
        <v>522</v>
      </c>
      <c r="E12" s="381" t="s">
        <v>485</v>
      </c>
      <c r="F12" s="381" t="s">
        <v>535</v>
      </c>
      <c r="G12" s="381" t="s">
        <v>548</v>
      </c>
      <c r="H12" s="378"/>
      <c r="I12" s="378"/>
      <c r="J12" s="378"/>
      <c r="K12" s="378"/>
      <c r="L12" s="378"/>
    </row>
    <row r="13" spans="1:12" ht="15.95" customHeight="1">
      <c r="A13" s="381" t="s">
        <v>448</v>
      </c>
      <c r="B13" s="381" t="s">
        <v>461</v>
      </c>
      <c r="C13" s="381" t="s">
        <v>473</v>
      </c>
      <c r="D13" s="381" t="s">
        <v>523</v>
      </c>
      <c r="E13" s="381" t="s">
        <v>486</v>
      </c>
      <c r="F13" s="381" t="s">
        <v>536</v>
      </c>
      <c r="G13" s="381" t="s">
        <v>549</v>
      </c>
      <c r="H13" s="378"/>
      <c r="I13" s="378"/>
      <c r="J13" s="378"/>
      <c r="K13" s="378"/>
      <c r="L13" s="378"/>
    </row>
    <row r="14" spans="1:12" ht="15.95" customHeight="1">
      <c r="A14" s="381" t="s">
        <v>449</v>
      </c>
      <c r="B14" s="381" t="s">
        <v>462</v>
      </c>
      <c r="C14" s="381" t="s">
        <v>474</v>
      </c>
      <c r="D14" s="381" t="s">
        <v>524</v>
      </c>
      <c r="E14" s="381" t="s">
        <v>487</v>
      </c>
      <c r="F14" s="381" t="s">
        <v>537</v>
      </c>
      <c r="G14" s="381" t="s">
        <v>550</v>
      </c>
      <c r="H14" s="378"/>
      <c r="I14" s="378"/>
      <c r="J14" s="378"/>
      <c r="K14" s="378"/>
      <c r="L14" s="378"/>
    </row>
    <row r="15" spans="1:12" ht="15.95" customHeight="1">
      <c r="A15" s="381" t="s">
        <v>450</v>
      </c>
      <c r="B15" s="381" t="s">
        <v>463</v>
      </c>
      <c r="C15" s="381" t="s">
        <v>475</v>
      </c>
      <c r="D15" s="381" t="s">
        <v>525</v>
      </c>
      <c r="E15" s="381" t="s">
        <v>488</v>
      </c>
      <c r="F15" s="381" t="s">
        <v>538</v>
      </c>
      <c r="G15" s="381" t="s">
        <v>551</v>
      </c>
      <c r="H15" s="378"/>
      <c r="I15" s="378"/>
      <c r="J15" s="378"/>
      <c r="K15" s="378"/>
      <c r="L15" s="378"/>
    </row>
    <row r="16" spans="1:12" ht="15.95" customHeight="1">
      <c r="A16" s="381" t="s">
        <v>451</v>
      </c>
      <c r="B16" s="381" t="s">
        <v>464</v>
      </c>
      <c r="C16" s="381" t="s">
        <v>476</v>
      </c>
      <c r="D16" s="381" t="s">
        <v>526</v>
      </c>
      <c r="E16" s="381" t="s">
        <v>489</v>
      </c>
      <c r="F16" s="381" t="s">
        <v>539</v>
      </c>
      <c r="G16" s="381" t="s">
        <v>552</v>
      </c>
      <c r="H16" s="378"/>
      <c r="I16" s="378"/>
      <c r="J16" s="378"/>
      <c r="K16" s="378"/>
      <c r="L16" s="378"/>
    </row>
    <row r="17" spans="1:12" ht="15.95" customHeight="1">
      <c r="A17" s="381" t="s">
        <v>452</v>
      </c>
      <c r="B17" s="381" t="s">
        <v>465</v>
      </c>
      <c r="C17" s="381" t="s">
        <v>477</v>
      </c>
      <c r="D17" s="381" t="s">
        <v>527</v>
      </c>
      <c r="E17" s="381" t="s">
        <v>490</v>
      </c>
      <c r="F17" s="381" t="s">
        <v>540</v>
      </c>
      <c r="G17" s="381" t="s">
        <v>553</v>
      </c>
      <c r="H17" s="378"/>
      <c r="I17" s="378"/>
      <c r="J17" s="378"/>
      <c r="K17" s="378"/>
      <c r="L17" s="378"/>
    </row>
    <row r="18" spans="1:12" ht="15.95" customHeight="1">
      <c r="A18" s="381" t="s">
        <v>453</v>
      </c>
      <c r="B18" s="381" t="s">
        <v>466</v>
      </c>
      <c r="C18" s="381" t="s">
        <v>478</v>
      </c>
      <c r="D18" s="381" t="s">
        <v>528</v>
      </c>
      <c r="E18" s="381" t="s">
        <v>491</v>
      </c>
      <c r="F18" s="381" t="s">
        <v>541</v>
      </c>
      <c r="G18" s="381" t="s">
        <v>554</v>
      </c>
      <c r="H18" s="378"/>
      <c r="I18" s="378"/>
      <c r="J18" s="378"/>
      <c r="K18" s="378"/>
      <c r="L18" s="378"/>
    </row>
    <row r="19" spans="1:12" ht="15.95" customHeight="1">
      <c r="A19" s="381" t="s">
        <v>454</v>
      </c>
      <c r="B19" s="381" t="s">
        <v>467</v>
      </c>
      <c r="C19" s="381" t="s">
        <v>479</v>
      </c>
      <c r="D19" s="381" t="s">
        <v>529</v>
      </c>
      <c r="E19" s="381" t="s">
        <v>492</v>
      </c>
      <c r="F19" s="381" t="s">
        <v>542</v>
      </c>
      <c r="G19" s="381" t="s">
        <v>555</v>
      </c>
      <c r="H19" s="378"/>
      <c r="I19" s="378"/>
      <c r="J19" s="378"/>
      <c r="K19" s="378"/>
      <c r="L19" s="378"/>
    </row>
    <row r="20" spans="1:12" ht="15.75">
      <c r="A20" s="378"/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</row>
    <row r="21" spans="1:12" ht="15.75">
      <c r="A21" s="378"/>
      <c r="B21" s="378"/>
      <c r="C21" s="378"/>
      <c r="D21" s="785" t="s">
        <v>564</v>
      </c>
      <c r="E21" s="786"/>
      <c r="F21" s="786"/>
      <c r="G21" s="787"/>
      <c r="H21" s="378"/>
      <c r="I21" s="378"/>
      <c r="J21" s="378"/>
      <c r="K21" s="378"/>
      <c r="L21" s="378"/>
    </row>
    <row r="22" spans="1:12" ht="17.25" customHeight="1">
      <c r="A22" s="378"/>
      <c r="B22" s="788" t="s">
        <v>413</v>
      </c>
      <c r="C22" s="788"/>
      <c r="D22" s="788" t="s">
        <v>414</v>
      </c>
      <c r="E22" s="788"/>
      <c r="F22" s="788" t="s">
        <v>415</v>
      </c>
      <c r="G22" s="788"/>
      <c r="H22" s="378"/>
      <c r="I22" s="378"/>
      <c r="J22" s="378"/>
      <c r="K22" s="378"/>
      <c r="L22" s="378"/>
    </row>
    <row r="23" spans="1:12" ht="15.75">
      <c r="A23" s="382" t="s">
        <v>416</v>
      </c>
      <c r="B23" s="783" t="s">
        <v>556</v>
      </c>
      <c r="C23" s="783"/>
      <c r="D23" s="783" t="s">
        <v>559</v>
      </c>
      <c r="E23" s="783"/>
      <c r="F23" s="783" t="s">
        <v>561</v>
      </c>
      <c r="G23" s="783"/>
      <c r="H23" s="378"/>
      <c r="I23" s="378"/>
      <c r="J23" s="378"/>
      <c r="K23" s="378"/>
      <c r="L23" s="378"/>
    </row>
    <row r="24" spans="1:12" ht="18" customHeight="1">
      <c r="A24" s="382" t="s">
        <v>417</v>
      </c>
      <c r="B24" s="783" t="s">
        <v>557</v>
      </c>
      <c r="C24" s="783"/>
      <c r="D24" s="783" t="s">
        <v>560</v>
      </c>
      <c r="E24" s="783"/>
      <c r="F24" s="783" t="s">
        <v>562</v>
      </c>
      <c r="G24" s="783"/>
      <c r="H24" s="378"/>
      <c r="I24" s="378"/>
      <c r="J24" s="378"/>
      <c r="K24" s="378"/>
      <c r="L24" s="378"/>
    </row>
    <row r="25" spans="1:12" ht="15.75">
      <c r="A25" s="382" t="s">
        <v>418</v>
      </c>
      <c r="B25" s="783" t="s">
        <v>558</v>
      </c>
      <c r="C25" s="783"/>
      <c r="D25" s="783" t="s">
        <v>494</v>
      </c>
      <c r="E25" s="783"/>
      <c r="F25" s="783" t="s">
        <v>563</v>
      </c>
      <c r="G25" s="783"/>
      <c r="H25" s="378"/>
      <c r="I25" s="378"/>
      <c r="J25" s="378"/>
      <c r="K25" s="378"/>
      <c r="L25" s="378"/>
    </row>
    <row r="26" spans="1:12" ht="15.75">
      <c r="A26" s="378"/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</row>
    <row r="27" spans="1:12" ht="20.25">
      <c r="A27" s="377" t="s">
        <v>419</v>
      </c>
      <c r="B27" s="378"/>
      <c r="C27" s="378"/>
      <c r="D27" s="378"/>
      <c r="E27" s="378"/>
      <c r="F27" s="378"/>
      <c r="G27" s="378"/>
      <c r="H27" s="378"/>
      <c r="I27" s="378"/>
      <c r="J27" s="378"/>
      <c r="K27" s="378"/>
      <c r="L27" s="378"/>
    </row>
    <row r="28" spans="1:12" ht="15.75">
      <c r="A28" s="378"/>
      <c r="B28" s="378"/>
      <c r="C28" s="378"/>
      <c r="D28" s="378"/>
      <c r="E28" s="789" t="s">
        <v>420</v>
      </c>
      <c r="F28" s="786"/>
      <c r="G28" s="787"/>
      <c r="H28" s="378"/>
      <c r="I28" s="378"/>
      <c r="J28" s="378"/>
      <c r="K28" s="378"/>
      <c r="L28" s="378"/>
    </row>
    <row r="29" spans="1:12" ht="15.75">
      <c r="A29" s="378"/>
      <c r="B29" s="788" t="s">
        <v>421</v>
      </c>
      <c r="C29" s="788"/>
      <c r="D29" s="383" t="s">
        <v>422</v>
      </c>
      <c r="E29" s="383" t="s">
        <v>423</v>
      </c>
      <c r="F29" s="788" t="s">
        <v>424</v>
      </c>
      <c r="G29" s="788"/>
      <c r="H29" s="378"/>
      <c r="I29" s="378"/>
      <c r="J29" s="378"/>
      <c r="K29" s="378"/>
      <c r="L29" s="378"/>
    </row>
    <row r="30" spans="1:12" ht="15.75">
      <c r="A30" s="382" t="s">
        <v>425</v>
      </c>
      <c r="B30" s="783" t="s">
        <v>495</v>
      </c>
      <c r="C30" s="783"/>
      <c r="D30" s="381" t="s">
        <v>498</v>
      </c>
      <c r="E30" s="381" t="s">
        <v>426</v>
      </c>
      <c r="F30" s="783" t="s">
        <v>501</v>
      </c>
      <c r="G30" s="783"/>
      <c r="H30" s="378"/>
      <c r="I30" s="378"/>
      <c r="J30" s="378"/>
      <c r="K30" s="378"/>
      <c r="L30" s="378"/>
    </row>
    <row r="31" spans="1:12" ht="15.75">
      <c r="A31" s="382" t="s">
        <v>427</v>
      </c>
      <c r="B31" s="783" t="s">
        <v>496</v>
      </c>
      <c r="C31" s="783"/>
      <c r="D31" s="381" t="s">
        <v>499</v>
      </c>
      <c r="E31" s="381" t="s">
        <v>428</v>
      </c>
      <c r="F31" s="783" t="s">
        <v>502</v>
      </c>
      <c r="G31" s="783"/>
      <c r="H31" s="378"/>
      <c r="I31" s="378"/>
      <c r="J31" s="378"/>
      <c r="K31" s="378"/>
      <c r="L31" s="378"/>
    </row>
    <row r="32" spans="1:12" ht="15.75">
      <c r="A32" s="382" t="s">
        <v>429</v>
      </c>
      <c r="B32" s="783" t="s">
        <v>497</v>
      </c>
      <c r="C32" s="783"/>
      <c r="D32" s="381" t="s">
        <v>500</v>
      </c>
      <c r="E32" s="381" t="s">
        <v>430</v>
      </c>
      <c r="F32" s="783" t="s">
        <v>503</v>
      </c>
      <c r="G32" s="783"/>
      <c r="H32" s="378"/>
      <c r="I32" s="378"/>
      <c r="J32" s="378"/>
      <c r="K32" s="378"/>
      <c r="L32" s="378"/>
    </row>
    <row r="33" spans="1:12" ht="15.75">
      <c r="A33" s="378"/>
      <c r="B33" s="378"/>
      <c r="C33" s="378"/>
      <c r="D33" s="378"/>
      <c r="E33" s="378"/>
      <c r="F33" s="378"/>
      <c r="G33" s="378"/>
      <c r="H33" s="378"/>
      <c r="I33" s="378"/>
      <c r="J33" s="378"/>
      <c r="K33" s="378"/>
      <c r="L33" s="378"/>
    </row>
    <row r="34" spans="1:12" ht="15.75">
      <c r="A34" s="378"/>
      <c r="B34" s="378"/>
      <c r="C34" s="378"/>
      <c r="D34" s="378"/>
      <c r="E34" s="789" t="s">
        <v>431</v>
      </c>
      <c r="F34" s="786"/>
      <c r="G34" s="787"/>
      <c r="H34" s="378"/>
      <c r="I34" s="378"/>
      <c r="J34" s="378"/>
      <c r="K34" s="378"/>
      <c r="L34" s="378"/>
    </row>
    <row r="35" spans="1:12" ht="15.75">
      <c r="A35" s="378"/>
      <c r="B35" s="788" t="s">
        <v>432</v>
      </c>
      <c r="C35" s="788"/>
      <c r="D35" s="383" t="s">
        <v>423</v>
      </c>
      <c r="E35" s="383" t="s">
        <v>433</v>
      </c>
      <c r="F35" s="383" t="s">
        <v>100</v>
      </c>
      <c r="G35" s="383" t="s">
        <v>434</v>
      </c>
      <c r="H35" s="378"/>
      <c r="I35" s="378"/>
      <c r="J35" s="378"/>
      <c r="K35" s="378"/>
      <c r="L35" s="378"/>
    </row>
    <row r="36" spans="1:12" ht="15.75">
      <c r="A36" s="382" t="s">
        <v>425</v>
      </c>
      <c r="B36" s="790" t="s">
        <v>504</v>
      </c>
      <c r="C36" s="791"/>
      <c r="D36" s="384" t="s">
        <v>506</v>
      </c>
      <c r="E36" s="384" t="s">
        <v>435</v>
      </c>
      <c r="F36" s="385" t="s">
        <v>436</v>
      </c>
      <c r="G36" s="381" t="s">
        <v>509</v>
      </c>
      <c r="H36" s="378"/>
      <c r="I36" s="378"/>
      <c r="J36" s="378"/>
      <c r="K36" s="378"/>
      <c r="L36" s="378"/>
    </row>
    <row r="37" spans="1:12" ht="15.75">
      <c r="A37" s="382" t="s">
        <v>427</v>
      </c>
      <c r="B37" s="790" t="s">
        <v>505</v>
      </c>
      <c r="C37" s="791"/>
      <c r="D37" s="384" t="s">
        <v>507</v>
      </c>
      <c r="E37" s="384" t="s">
        <v>435</v>
      </c>
      <c r="F37" s="385" t="s">
        <v>437</v>
      </c>
      <c r="G37" s="386" t="s">
        <v>510</v>
      </c>
      <c r="H37" s="378"/>
      <c r="I37" s="378"/>
      <c r="J37" s="378"/>
      <c r="K37" s="378"/>
      <c r="L37" s="378"/>
    </row>
    <row r="38" spans="1:12" ht="15.75">
      <c r="A38" s="382" t="s">
        <v>429</v>
      </c>
      <c r="B38" s="790" t="s">
        <v>505</v>
      </c>
      <c r="C38" s="791"/>
      <c r="D38" s="384" t="s">
        <v>508</v>
      </c>
      <c r="E38" s="384" t="s">
        <v>435</v>
      </c>
      <c r="F38" s="385" t="s">
        <v>438</v>
      </c>
      <c r="G38" s="381" t="s">
        <v>511</v>
      </c>
      <c r="H38" s="378"/>
      <c r="I38" s="378"/>
      <c r="J38" s="378"/>
      <c r="K38" s="378"/>
      <c r="L38" s="378"/>
    </row>
    <row r="39" spans="1:12" ht="15.75">
      <c r="A39" s="378"/>
      <c r="B39" s="378"/>
      <c r="C39" s="378"/>
      <c r="D39" s="378"/>
      <c r="E39" s="378"/>
      <c r="F39" s="378"/>
      <c r="G39" s="378"/>
      <c r="H39" s="378"/>
      <c r="I39" s="378"/>
      <c r="J39" s="378"/>
      <c r="K39" s="378"/>
      <c r="L39" s="378"/>
    </row>
    <row r="40" spans="1:12" ht="15.75">
      <c r="A40" s="387" t="s">
        <v>439</v>
      </c>
      <c r="B40" s="792" t="s">
        <v>512</v>
      </c>
      <c r="C40" s="792"/>
      <c r="D40" s="793" t="s">
        <v>440</v>
      </c>
      <c r="E40" s="793"/>
      <c r="F40" s="792" t="s">
        <v>513</v>
      </c>
      <c r="G40" s="792"/>
      <c r="H40" s="378"/>
      <c r="I40" s="378"/>
      <c r="J40" s="378"/>
      <c r="K40" s="378"/>
      <c r="L40" s="378"/>
    </row>
    <row r="41" spans="1:12" ht="15.75">
      <c r="A41" s="378"/>
      <c r="B41" s="378"/>
      <c r="C41" s="378"/>
      <c r="D41" s="378"/>
      <c r="E41" s="378"/>
      <c r="F41" s="378"/>
      <c r="G41" s="378"/>
      <c r="H41" s="378"/>
      <c r="I41" s="378"/>
      <c r="J41" s="378"/>
      <c r="K41" s="378"/>
      <c r="L41" s="378"/>
    </row>
    <row r="42" spans="1:12" ht="15.75">
      <c r="A42" s="378"/>
      <c r="B42" s="378"/>
      <c r="C42" s="378"/>
      <c r="D42" s="378"/>
      <c r="E42" s="378"/>
      <c r="F42" s="378"/>
      <c r="G42" s="378"/>
      <c r="H42" s="378"/>
      <c r="I42" s="378"/>
      <c r="J42" s="378"/>
      <c r="K42" s="378"/>
      <c r="L42" s="378"/>
    </row>
    <row r="43" spans="1:12" ht="15.75">
      <c r="A43" s="378"/>
      <c r="B43" s="378"/>
      <c r="C43" s="378"/>
      <c r="D43" s="378"/>
      <c r="E43" s="378"/>
      <c r="F43" s="378"/>
      <c r="G43" s="378"/>
      <c r="H43" s="378"/>
      <c r="I43" s="378"/>
      <c r="J43" s="378"/>
      <c r="K43" s="378"/>
      <c r="L43" s="378"/>
    </row>
    <row r="44" spans="1:12" ht="15.75">
      <c r="A44" s="378"/>
      <c r="B44" s="378"/>
      <c r="C44" s="378"/>
      <c r="D44" s="378"/>
      <c r="E44" s="378"/>
      <c r="F44" s="378"/>
      <c r="G44" s="378"/>
      <c r="H44" s="378"/>
      <c r="I44" s="378"/>
      <c r="J44" s="378"/>
      <c r="K44" s="378"/>
      <c r="L44" s="378"/>
    </row>
    <row r="45" spans="1:12" ht="15.75">
      <c r="A45" s="378"/>
      <c r="B45" s="378"/>
      <c r="C45" s="378"/>
      <c r="D45" s="378"/>
      <c r="E45" s="378"/>
      <c r="F45" s="378"/>
      <c r="G45" s="378"/>
      <c r="H45" s="378"/>
      <c r="I45" s="378"/>
      <c r="J45" s="378"/>
      <c r="K45" s="378"/>
      <c r="L45" s="378"/>
    </row>
    <row r="46" spans="1:12" ht="15.75">
      <c r="A46" s="378"/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</row>
    <row r="47" spans="1:12" ht="15.75">
      <c r="A47" s="378"/>
      <c r="B47" s="378"/>
      <c r="C47" s="378"/>
      <c r="D47" s="378"/>
      <c r="E47" s="378"/>
      <c r="F47" s="378"/>
      <c r="G47" s="378"/>
      <c r="H47" s="378"/>
      <c r="I47" s="378"/>
      <c r="J47" s="378"/>
      <c r="K47" s="378"/>
      <c r="L47" s="378"/>
    </row>
    <row r="48" spans="1:12" ht="15.75">
      <c r="A48" s="378"/>
      <c r="B48" s="378"/>
      <c r="C48" s="378"/>
      <c r="D48" s="378"/>
      <c r="E48" s="378"/>
      <c r="F48" s="378"/>
      <c r="G48" s="378"/>
      <c r="H48" s="378"/>
      <c r="I48" s="378"/>
      <c r="J48" s="378"/>
      <c r="K48" s="378"/>
      <c r="L48" s="378"/>
    </row>
    <row r="49" spans="1:12" ht="15.75">
      <c r="A49" s="378"/>
      <c r="B49" s="378"/>
      <c r="C49" s="378"/>
      <c r="D49" s="378"/>
      <c r="E49" s="378"/>
      <c r="F49" s="378"/>
      <c r="G49" s="378"/>
      <c r="H49" s="378"/>
      <c r="I49" s="378"/>
      <c r="J49" s="378"/>
      <c r="K49" s="378"/>
      <c r="L49" s="378"/>
    </row>
    <row r="50" spans="1:12" ht="15.75">
      <c r="A50" s="378"/>
      <c r="B50" s="378"/>
      <c r="C50" s="378"/>
      <c r="D50" s="378"/>
      <c r="E50" s="378"/>
      <c r="F50" s="378"/>
      <c r="G50" s="378"/>
      <c r="H50" s="378"/>
      <c r="I50" s="378"/>
      <c r="J50" s="378"/>
      <c r="K50" s="378"/>
      <c r="L50" s="378"/>
    </row>
    <row r="51" spans="1:12" ht="15.75">
      <c r="A51" s="378"/>
      <c r="B51" s="378"/>
      <c r="C51" s="378"/>
      <c r="D51" s="378"/>
      <c r="E51" s="378"/>
      <c r="F51" s="378"/>
      <c r="G51" s="378"/>
      <c r="H51" s="378"/>
      <c r="I51" s="378"/>
      <c r="J51" s="378"/>
      <c r="K51" s="378"/>
      <c r="L51" s="378"/>
    </row>
    <row r="52" spans="1:12" ht="15.75">
      <c r="A52" s="378"/>
      <c r="B52" s="378"/>
      <c r="C52" s="378"/>
      <c r="D52" s="378"/>
      <c r="E52" s="378"/>
      <c r="F52" s="378"/>
      <c r="G52" s="378"/>
      <c r="H52" s="378"/>
      <c r="I52" s="378"/>
      <c r="J52" s="378"/>
      <c r="K52" s="378"/>
      <c r="L52" s="378"/>
    </row>
    <row r="53" spans="1:12" ht="15.75">
      <c r="A53" s="378"/>
      <c r="B53" s="378"/>
      <c r="C53" s="378"/>
      <c r="D53" s="378"/>
      <c r="E53" s="378"/>
      <c r="F53" s="378"/>
      <c r="G53" s="378"/>
      <c r="H53" s="378"/>
      <c r="I53" s="378"/>
      <c r="J53" s="378"/>
      <c r="K53" s="378"/>
      <c r="L53" s="378"/>
    </row>
    <row r="54" spans="1:12" ht="15.75">
      <c r="A54" s="378"/>
      <c r="B54" s="378"/>
      <c r="C54" s="378"/>
      <c r="D54" s="378"/>
      <c r="E54" s="378"/>
      <c r="F54" s="378"/>
      <c r="G54" s="378"/>
      <c r="H54" s="378"/>
      <c r="I54" s="378"/>
      <c r="J54" s="378"/>
      <c r="K54" s="378"/>
      <c r="L54" s="378"/>
    </row>
    <row r="55" spans="1:12" ht="15.75">
      <c r="A55" s="378"/>
      <c r="B55" s="378"/>
      <c r="C55" s="378"/>
      <c r="D55" s="378"/>
      <c r="E55" s="378"/>
      <c r="F55" s="378"/>
      <c r="G55" s="378"/>
      <c r="H55" s="378"/>
      <c r="I55" s="378"/>
      <c r="J55" s="378"/>
      <c r="K55" s="378"/>
      <c r="L55" s="378"/>
    </row>
    <row r="56" spans="1:12" ht="15.75">
      <c r="A56" s="378"/>
      <c r="B56" s="378"/>
      <c r="C56" s="378"/>
      <c r="D56" s="378"/>
      <c r="E56" s="378"/>
      <c r="F56" s="378"/>
      <c r="G56" s="378"/>
      <c r="H56" s="378"/>
      <c r="I56" s="378"/>
      <c r="J56" s="378"/>
      <c r="K56" s="378"/>
      <c r="L56" s="378"/>
    </row>
    <row r="57" spans="1:12" ht="15.75">
      <c r="A57" s="378"/>
      <c r="B57" s="378"/>
      <c r="C57" s="378"/>
      <c r="D57" s="378"/>
      <c r="E57" s="378"/>
      <c r="F57" s="378"/>
      <c r="G57" s="378"/>
      <c r="H57" s="378"/>
      <c r="I57" s="378"/>
      <c r="J57" s="378"/>
      <c r="K57" s="378"/>
      <c r="L57" s="378"/>
    </row>
    <row r="58" spans="1:12" ht="15.75">
      <c r="A58" s="378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</row>
    <row r="59" spans="1:12" ht="15.75">
      <c r="A59" s="378"/>
      <c r="B59" s="378"/>
      <c r="C59" s="378"/>
      <c r="D59" s="378"/>
      <c r="E59" s="378"/>
      <c r="F59" s="378"/>
      <c r="G59" s="378"/>
      <c r="H59" s="378"/>
      <c r="I59" s="378"/>
      <c r="J59" s="378"/>
      <c r="K59" s="378"/>
      <c r="L59" s="378"/>
    </row>
    <row r="60" spans="1:12" ht="15.75">
      <c r="A60" s="378"/>
      <c r="B60" s="378"/>
      <c r="C60" s="378"/>
      <c r="D60" s="378"/>
      <c r="E60" s="378"/>
      <c r="F60" s="378"/>
      <c r="G60" s="378"/>
      <c r="H60" s="378"/>
      <c r="I60" s="378"/>
      <c r="J60" s="378"/>
      <c r="K60" s="378"/>
      <c r="L60" s="378"/>
    </row>
    <row r="61" spans="1:12" ht="15.75">
      <c r="A61" s="378"/>
      <c r="B61" s="378"/>
      <c r="C61" s="378"/>
      <c r="D61" s="378"/>
      <c r="E61" s="378"/>
      <c r="F61" s="378"/>
      <c r="G61" s="378"/>
      <c r="H61" s="378"/>
      <c r="I61" s="378"/>
      <c r="J61" s="378"/>
      <c r="K61" s="378"/>
      <c r="L61" s="378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1" transitionEvaluation="1"/>
  <dimension ref="A1:N120"/>
  <sheetViews>
    <sheetView showGridLines="0" zoomScaleNormal="100" workbookViewId="0">
      <selection activeCell="P15" sqref="P15"/>
    </sheetView>
  </sheetViews>
  <sheetFormatPr defaultColWidth="12.5703125" defaultRowHeight="15.75"/>
  <cols>
    <col min="1" max="13" width="7" style="440" customWidth="1"/>
    <col min="14" max="14" width="7.140625" style="440" customWidth="1"/>
    <col min="15" max="16384" width="12.5703125" style="440"/>
  </cols>
  <sheetData>
    <row r="1" spans="1:14" ht="17.100000000000001" customHeight="1">
      <c r="A1" s="433" t="s">
        <v>269</v>
      </c>
      <c r="B1" s="434"/>
      <c r="C1" s="434"/>
      <c r="D1" s="434"/>
      <c r="E1" s="434"/>
      <c r="F1" s="434"/>
      <c r="G1" s="434"/>
      <c r="H1" s="434"/>
      <c r="I1" s="434"/>
      <c r="J1" s="435" t="s">
        <v>597</v>
      </c>
      <c r="K1" s="436"/>
      <c r="L1" s="437" t="s">
        <v>598</v>
      </c>
      <c r="M1" s="438"/>
      <c r="N1" s="439"/>
    </row>
    <row r="2" spans="1:14" ht="17.100000000000001" customHeight="1">
      <c r="A2" s="441" t="s">
        <v>599</v>
      </c>
      <c r="B2" s="442"/>
      <c r="C2" s="442"/>
      <c r="D2" s="442"/>
      <c r="E2" s="442"/>
      <c r="F2" s="442"/>
      <c r="G2" s="442"/>
      <c r="H2" s="442"/>
      <c r="I2" s="442"/>
      <c r="J2" s="443" t="s">
        <v>600</v>
      </c>
      <c r="K2" s="444"/>
      <c r="L2" s="445" t="s">
        <v>601</v>
      </c>
      <c r="M2" s="446"/>
      <c r="N2" s="439"/>
    </row>
    <row r="3" spans="1:14" ht="15.95" customHeight="1">
      <c r="A3" s="447"/>
      <c r="B3" s="448"/>
      <c r="C3" s="448"/>
      <c r="D3" s="448"/>
      <c r="E3" s="448"/>
      <c r="F3" s="448"/>
      <c r="G3" s="448"/>
      <c r="H3" s="448"/>
      <c r="I3" s="448"/>
      <c r="J3" s="443" t="s">
        <v>602</v>
      </c>
      <c r="K3" s="444"/>
      <c r="L3" s="449" t="s">
        <v>603</v>
      </c>
      <c r="M3" s="446"/>
      <c r="N3" s="439"/>
    </row>
    <row r="4" spans="1:14" ht="15.95" customHeight="1">
      <c r="A4" s="450"/>
      <c r="B4" s="448"/>
      <c r="C4" s="448"/>
      <c r="D4" s="448"/>
      <c r="E4" s="448"/>
      <c r="F4" s="448"/>
      <c r="G4" s="448"/>
      <c r="H4" s="448"/>
      <c r="I4" s="448"/>
      <c r="J4" s="443" t="s">
        <v>604</v>
      </c>
      <c r="K4" s="444"/>
      <c r="L4" s="449" t="s">
        <v>605</v>
      </c>
      <c r="M4" s="446"/>
      <c r="N4" s="439"/>
    </row>
    <row r="5" spans="1:14" ht="15.95" customHeight="1">
      <c r="A5" s="447"/>
      <c r="B5" s="448"/>
      <c r="C5" s="448"/>
      <c r="D5" s="448"/>
      <c r="E5" s="448"/>
      <c r="F5" s="448"/>
      <c r="G5" s="448"/>
      <c r="H5" s="448"/>
      <c r="I5" s="448"/>
      <c r="J5" s="443" t="s">
        <v>606</v>
      </c>
      <c r="K5" s="444"/>
      <c r="L5" s="445">
        <v>2</v>
      </c>
      <c r="M5" s="446"/>
      <c r="N5" s="439"/>
    </row>
    <row r="6" spans="1:14" ht="15.95" customHeight="1">
      <c r="A6" s="451" t="s">
        <v>607</v>
      </c>
      <c r="B6" s="448"/>
      <c r="C6" s="448"/>
      <c r="D6" s="448"/>
      <c r="E6" s="448"/>
      <c r="F6" s="448"/>
      <c r="G6" s="448"/>
      <c r="H6" s="448"/>
      <c r="I6" s="448"/>
      <c r="J6" s="443" t="s">
        <v>608</v>
      </c>
      <c r="K6" s="444"/>
      <c r="L6" s="445" t="s">
        <v>609</v>
      </c>
      <c r="M6" s="446"/>
      <c r="N6" s="439"/>
    </row>
    <row r="7" spans="1:14" ht="15.95" customHeight="1" thickBot="1">
      <c r="A7" s="452" t="s">
        <v>610</v>
      </c>
      <c r="B7" s="453"/>
      <c r="C7" s="453"/>
      <c r="D7" s="453"/>
      <c r="E7" s="453"/>
      <c r="F7" s="453"/>
      <c r="G7" s="453"/>
      <c r="H7" s="453"/>
      <c r="I7" s="453"/>
      <c r="J7" s="454" t="s">
        <v>611</v>
      </c>
      <c r="K7" s="455"/>
      <c r="L7" s="456" t="s">
        <v>612</v>
      </c>
      <c r="M7" s="457"/>
      <c r="N7" s="439"/>
    </row>
    <row r="8" spans="1:14" ht="15.95" customHeight="1">
      <c r="A8" s="458"/>
      <c r="B8" s="448"/>
      <c r="C8" s="448"/>
      <c r="D8" s="448"/>
      <c r="E8" s="448"/>
      <c r="F8" s="448"/>
      <c r="G8" s="448"/>
      <c r="H8" s="448"/>
      <c r="I8" s="448"/>
      <c r="J8" s="448"/>
      <c r="K8" s="459"/>
      <c r="L8" s="460"/>
      <c r="M8" s="461"/>
      <c r="N8" s="448"/>
    </row>
    <row r="9" spans="1:14" ht="12" customHeight="1">
      <c r="A9" s="462"/>
      <c r="B9" s="463" t="s">
        <v>613</v>
      </c>
      <c r="C9" s="464"/>
      <c r="D9" s="465"/>
      <c r="E9" s="465"/>
      <c r="F9" s="465"/>
      <c r="G9" s="465"/>
      <c r="H9" s="465"/>
      <c r="I9" s="465"/>
      <c r="J9" s="465"/>
      <c r="K9" s="466"/>
      <c r="L9" s="462"/>
      <c r="M9" s="465"/>
      <c r="N9" s="448"/>
    </row>
    <row r="10" spans="1:14" ht="12" customHeight="1">
      <c r="A10" s="462"/>
      <c r="B10" s="463" t="s">
        <v>614</v>
      </c>
      <c r="C10" s="467" t="s">
        <v>705</v>
      </c>
      <c r="D10" s="462"/>
      <c r="E10" s="462"/>
      <c r="F10" s="462"/>
      <c r="G10" s="462"/>
      <c r="H10" s="462"/>
      <c r="I10" s="462"/>
      <c r="J10" s="462"/>
      <c r="K10" s="462"/>
      <c r="L10" s="462"/>
      <c r="M10" s="462"/>
      <c r="N10" s="460"/>
    </row>
    <row r="11" spans="1:14" ht="16.5" thickBot="1">
      <c r="A11" s="460"/>
      <c r="B11" s="460"/>
      <c r="C11" s="460"/>
      <c r="D11" s="460"/>
      <c r="E11" s="460"/>
      <c r="F11" s="460"/>
      <c r="G11" s="460"/>
      <c r="H11" s="460"/>
      <c r="I11" s="460"/>
      <c r="J11" s="460"/>
      <c r="K11" s="460"/>
      <c r="L11" s="460"/>
      <c r="M11" s="460"/>
      <c r="N11" s="460"/>
    </row>
    <row r="12" spans="1:14" ht="20.100000000000001" customHeight="1" thickBot="1">
      <c r="A12" s="468" t="s">
        <v>615</v>
      </c>
      <c r="B12" s="469"/>
      <c r="C12" s="469"/>
      <c r="D12" s="469"/>
      <c r="E12" s="469"/>
      <c r="F12" s="469"/>
      <c r="G12" s="469"/>
      <c r="H12" s="469"/>
      <c r="I12" s="469"/>
      <c r="J12" s="469"/>
      <c r="K12" s="469"/>
      <c r="L12" s="469"/>
      <c r="M12" s="470"/>
      <c r="N12" s="439"/>
    </row>
    <row r="13" spans="1:14" ht="12.95" customHeight="1" thickTop="1">
      <c r="A13" s="471"/>
      <c r="B13" s="463" t="s">
        <v>616</v>
      </c>
      <c r="C13" s="472">
        <v>1750</v>
      </c>
      <c r="D13" s="462"/>
      <c r="E13" s="463" t="s">
        <v>617</v>
      </c>
      <c r="F13" s="472">
        <v>4000</v>
      </c>
      <c r="G13" s="462"/>
      <c r="H13" s="463" t="s">
        <v>618</v>
      </c>
      <c r="I13" s="472" t="s">
        <v>703</v>
      </c>
      <c r="J13" s="462"/>
      <c r="K13" s="462"/>
      <c r="L13" s="463" t="s">
        <v>619</v>
      </c>
      <c r="M13" s="473">
        <v>3600</v>
      </c>
      <c r="N13" s="439"/>
    </row>
    <row r="14" spans="1:14" ht="12.95" customHeight="1">
      <c r="A14" s="471"/>
      <c r="B14" s="463" t="s">
        <v>620</v>
      </c>
      <c r="C14" s="464" t="s">
        <v>706</v>
      </c>
      <c r="D14" s="462"/>
      <c r="E14" s="463" t="s">
        <v>621</v>
      </c>
      <c r="F14" s="474" t="s">
        <v>707</v>
      </c>
      <c r="G14" s="462"/>
      <c r="H14" s="463" t="s">
        <v>622</v>
      </c>
      <c r="I14" s="472">
        <v>217</v>
      </c>
      <c r="J14" s="462"/>
      <c r="K14" s="462"/>
      <c r="L14" s="463" t="s">
        <v>577</v>
      </c>
      <c r="M14" s="473">
        <v>3585</v>
      </c>
      <c r="N14" s="439"/>
    </row>
    <row r="15" spans="1:14" ht="12.95" customHeight="1">
      <c r="A15" s="471"/>
      <c r="B15" s="463" t="s">
        <v>623</v>
      </c>
      <c r="C15" s="472" t="s">
        <v>805</v>
      </c>
      <c r="D15" s="462"/>
      <c r="E15" s="463" t="s">
        <v>624</v>
      </c>
      <c r="F15" s="475" t="s">
        <v>493</v>
      </c>
      <c r="G15" s="462"/>
      <c r="H15" s="463" t="s">
        <v>625</v>
      </c>
      <c r="I15" s="474" t="s">
        <v>174</v>
      </c>
      <c r="J15" s="462"/>
      <c r="K15" s="462"/>
      <c r="L15" s="463" t="s">
        <v>626</v>
      </c>
      <c r="M15" s="473" t="s">
        <v>363</v>
      </c>
      <c r="N15" s="439"/>
    </row>
    <row r="16" spans="1:14" ht="12.95" customHeight="1">
      <c r="A16" s="471"/>
      <c r="B16" s="463" t="s">
        <v>627</v>
      </c>
      <c r="C16" s="472" t="s">
        <v>702</v>
      </c>
      <c r="D16" s="462"/>
      <c r="E16" s="463" t="s">
        <v>628</v>
      </c>
      <c r="F16" s="472" t="s">
        <v>435</v>
      </c>
      <c r="G16" s="462"/>
      <c r="H16" s="476" t="s">
        <v>629</v>
      </c>
      <c r="I16" s="477" t="s">
        <v>356</v>
      </c>
      <c r="J16" s="462"/>
      <c r="K16" s="462"/>
      <c r="L16" s="463" t="s">
        <v>630</v>
      </c>
      <c r="M16" s="473" t="s">
        <v>631</v>
      </c>
      <c r="N16" s="439"/>
    </row>
    <row r="17" spans="1:14" ht="12.95" customHeight="1">
      <c r="A17" s="471"/>
      <c r="B17" s="463" t="s">
        <v>632</v>
      </c>
      <c r="C17" s="464" t="s">
        <v>708</v>
      </c>
      <c r="D17" s="462"/>
      <c r="E17" s="463"/>
      <c r="F17" s="474"/>
      <c r="G17" s="462"/>
      <c r="H17" s="463" t="s">
        <v>633</v>
      </c>
      <c r="I17" s="477" t="s">
        <v>174</v>
      </c>
      <c r="J17" s="462"/>
      <c r="K17" s="462"/>
      <c r="L17" s="463"/>
      <c r="M17" s="478"/>
      <c r="N17" s="439"/>
    </row>
    <row r="18" spans="1:14" ht="12.95" customHeight="1" thickBot="1">
      <c r="A18" s="479"/>
      <c r="B18" s="480" t="s">
        <v>634</v>
      </c>
      <c r="C18" s="481" t="s">
        <v>174</v>
      </c>
      <c r="D18" s="482"/>
      <c r="E18" s="480" t="s">
        <v>635</v>
      </c>
      <c r="F18" s="481" t="s">
        <v>174</v>
      </c>
      <c r="G18" s="483"/>
      <c r="H18" s="480" t="s">
        <v>636</v>
      </c>
      <c r="I18" s="481" t="s">
        <v>174</v>
      </c>
      <c r="J18" s="482"/>
      <c r="K18" s="482"/>
      <c r="L18" s="482"/>
      <c r="M18" s="484"/>
      <c r="N18" s="439"/>
    </row>
    <row r="19" spans="1:14" ht="16.5" thickBot="1">
      <c r="A19" s="439"/>
      <c r="B19" s="439"/>
      <c r="C19" s="439"/>
      <c r="D19" s="439"/>
      <c r="E19" s="439"/>
      <c r="F19" s="439"/>
      <c r="G19" s="439"/>
      <c r="H19" s="439"/>
      <c r="I19" s="439"/>
      <c r="J19" s="439"/>
      <c r="K19" s="439"/>
      <c r="L19" s="439"/>
      <c r="M19" s="439"/>
      <c r="N19" s="439"/>
    </row>
    <row r="20" spans="1:14" ht="20.100000000000001" customHeight="1" thickBot="1">
      <c r="A20" s="468"/>
      <c r="B20" s="469"/>
      <c r="C20" s="469"/>
      <c r="D20" s="469"/>
      <c r="E20" s="469"/>
      <c r="F20" s="469"/>
      <c r="G20" s="469"/>
      <c r="H20" s="469"/>
      <c r="I20" s="469"/>
      <c r="J20" s="469"/>
      <c r="K20" s="469"/>
      <c r="L20" s="469"/>
      <c r="M20" s="470"/>
    </row>
    <row r="21" spans="1:14" ht="15.95" customHeight="1" thickTop="1">
      <c r="A21" s="485" t="s">
        <v>637</v>
      </c>
      <c r="B21" s="486"/>
      <c r="C21" s="460"/>
      <c r="D21" s="487"/>
      <c r="E21" s="488" t="s">
        <v>638</v>
      </c>
      <c r="F21" s="489"/>
      <c r="G21" s="489"/>
      <c r="H21" s="490"/>
      <c r="I21" s="491" t="s">
        <v>639</v>
      </c>
      <c r="J21" s="489"/>
      <c r="K21" s="489"/>
      <c r="L21" s="460"/>
      <c r="M21" s="492"/>
    </row>
    <row r="22" spans="1:14" ht="15.95" customHeight="1">
      <c r="A22" s="493"/>
      <c r="B22" s="462"/>
      <c r="C22" s="463" t="s">
        <v>640</v>
      </c>
      <c r="D22" s="494">
        <v>1248</v>
      </c>
      <c r="E22" s="463"/>
      <c r="G22" s="476" t="s">
        <v>641</v>
      </c>
      <c r="H22" s="495">
        <v>2564</v>
      </c>
      <c r="I22" s="463"/>
      <c r="J22" s="462"/>
      <c r="K22" s="463" t="s">
        <v>642</v>
      </c>
      <c r="L22" s="462" t="s">
        <v>643</v>
      </c>
      <c r="M22" s="478"/>
    </row>
    <row r="23" spans="1:14" ht="15.95" customHeight="1">
      <c r="A23" s="493"/>
      <c r="B23" s="463"/>
      <c r="C23" s="466"/>
      <c r="D23" s="496"/>
      <c r="E23" s="463"/>
      <c r="G23" s="463" t="s">
        <v>644</v>
      </c>
      <c r="H23" s="494">
        <v>70</v>
      </c>
      <c r="I23" s="462"/>
      <c r="J23" s="462"/>
      <c r="K23" s="463" t="s">
        <v>645</v>
      </c>
      <c r="L23" s="462" t="s">
        <v>643</v>
      </c>
      <c r="M23" s="478"/>
    </row>
    <row r="24" spans="1:14" ht="15.95" customHeight="1">
      <c r="A24" s="471"/>
      <c r="B24" s="463"/>
      <c r="C24" s="462"/>
      <c r="D24" s="496"/>
      <c r="E24" s="463"/>
      <c r="G24" s="476" t="s">
        <v>646</v>
      </c>
      <c r="H24" s="494">
        <v>240</v>
      </c>
      <c r="I24" s="462"/>
      <c r="J24" s="463"/>
      <c r="K24" s="462"/>
      <c r="L24" s="462"/>
      <c r="M24" s="478"/>
    </row>
    <row r="25" spans="1:14" ht="15.95" customHeight="1" thickBot="1">
      <c r="A25" s="479"/>
      <c r="B25" s="480"/>
      <c r="C25" s="482"/>
      <c r="D25" s="497"/>
      <c r="E25" s="480"/>
      <c r="F25" s="480"/>
      <c r="G25" s="480"/>
      <c r="H25" s="498"/>
      <c r="I25" s="482"/>
      <c r="J25" s="480"/>
      <c r="K25" s="482"/>
      <c r="L25" s="482"/>
      <c r="M25" s="484"/>
    </row>
    <row r="26" spans="1:14" ht="18.95" customHeight="1" thickBot="1">
      <c r="A26" s="458"/>
      <c r="B26" s="458"/>
      <c r="C26" s="458"/>
      <c r="D26" s="439"/>
      <c r="E26" s="439"/>
      <c r="F26" s="439"/>
      <c r="G26" s="439"/>
      <c r="H26" s="439"/>
      <c r="I26" s="439"/>
      <c r="J26" s="439"/>
      <c r="K26" s="439"/>
      <c r="L26" s="439"/>
      <c r="M26" s="439"/>
      <c r="N26" s="439"/>
    </row>
    <row r="27" spans="1:14" ht="20.100000000000001" customHeight="1" thickBot="1">
      <c r="A27" s="499"/>
      <c r="B27" s="500"/>
      <c r="C27" s="500"/>
      <c r="D27" s="500"/>
      <c r="E27" s="500"/>
      <c r="F27" s="500"/>
      <c r="G27" s="501"/>
      <c r="H27" s="500"/>
      <c r="I27" s="500"/>
      <c r="J27" s="500"/>
      <c r="K27" s="500"/>
      <c r="L27" s="500"/>
      <c r="M27" s="502"/>
    </row>
    <row r="28" spans="1:14" ht="15.95" customHeight="1" thickTop="1">
      <c r="A28" s="503" t="s">
        <v>647</v>
      </c>
      <c r="B28" s="486"/>
      <c r="C28" s="460"/>
      <c r="D28" s="460"/>
      <c r="E28" s="489"/>
      <c r="F28" s="489"/>
      <c r="G28" s="504"/>
      <c r="H28" s="488" t="s">
        <v>648</v>
      </c>
      <c r="I28" s="489"/>
      <c r="J28" s="489"/>
      <c r="K28" s="488"/>
      <c r="L28" s="489"/>
      <c r="M28" s="492"/>
    </row>
    <row r="29" spans="1:14" ht="15.95" customHeight="1">
      <c r="A29" s="471"/>
      <c r="B29" s="463"/>
      <c r="C29" s="463" t="s">
        <v>649</v>
      </c>
      <c r="D29" s="505">
        <v>95.3</v>
      </c>
      <c r="E29" s="463"/>
      <c r="F29" s="463"/>
      <c r="G29" s="504"/>
      <c r="H29" s="476"/>
      <c r="I29" s="463"/>
      <c r="J29" s="463" t="s">
        <v>649</v>
      </c>
      <c r="K29" s="505">
        <v>91.3</v>
      </c>
      <c r="L29" s="462"/>
      <c r="M29" s="478"/>
    </row>
    <row r="30" spans="1:14" ht="15.95" customHeight="1">
      <c r="A30" s="506"/>
      <c r="B30" s="462"/>
      <c r="C30" s="463" t="s">
        <v>650</v>
      </c>
      <c r="D30" s="505">
        <v>95</v>
      </c>
      <c r="E30" s="463"/>
      <c r="F30" s="463"/>
      <c r="G30" s="504"/>
      <c r="H30" s="463"/>
      <c r="I30" s="462"/>
      <c r="J30" s="463" t="s">
        <v>650</v>
      </c>
      <c r="K30" s="505">
        <v>89.1</v>
      </c>
      <c r="L30" s="462"/>
      <c r="M30" s="478"/>
    </row>
    <row r="31" spans="1:14" ht="15.95" customHeight="1">
      <c r="A31" s="471"/>
      <c r="B31" s="463"/>
      <c r="C31" s="463" t="s">
        <v>651</v>
      </c>
      <c r="D31" s="505">
        <v>94.2</v>
      </c>
      <c r="E31" s="463"/>
      <c r="F31" s="463"/>
      <c r="G31" s="504"/>
      <c r="H31" s="463"/>
      <c r="I31" s="462"/>
      <c r="J31" s="463" t="s">
        <v>651</v>
      </c>
      <c r="K31" s="505">
        <v>83</v>
      </c>
      <c r="L31" s="463"/>
      <c r="M31" s="478"/>
    </row>
    <row r="32" spans="1:14" ht="15.95" customHeight="1" thickBot="1">
      <c r="A32" s="479"/>
      <c r="B32" s="480"/>
      <c r="C32" s="482"/>
      <c r="D32" s="482"/>
      <c r="E32" s="480"/>
      <c r="F32" s="480"/>
      <c r="G32" s="507"/>
      <c r="H32" s="480"/>
      <c r="I32" s="482"/>
      <c r="J32" s="480"/>
      <c r="K32" s="482"/>
      <c r="L32" s="480"/>
      <c r="M32" s="484"/>
    </row>
    <row r="33" spans="1:14" ht="20.100000000000001" customHeight="1" thickBot="1">
      <c r="A33" s="508"/>
      <c r="B33" s="508"/>
      <c r="C33" s="508"/>
      <c r="D33" s="508"/>
      <c r="E33" s="508"/>
      <c r="F33" s="508"/>
      <c r="G33" s="508"/>
      <c r="H33" s="508"/>
      <c r="I33" s="508"/>
      <c r="J33" s="508"/>
      <c r="K33" s="508"/>
      <c r="L33" s="508"/>
      <c r="M33" s="508"/>
      <c r="N33" s="508"/>
    </row>
    <row r="34" spans="1:14" ht="20.100000000000001" customHeight="1" thickBot="1">
      <c r="A34" s="509"/>
      <c r="B34" s="510"/>
      <c r="C34" s="510"/>
      <c r="D34" s="510"/>
      <c r="E34" s="510"/>
      <c r="F34" s="510"/>
      <c r="G34" s="510"/>
      <c r="H34" s="510"/>
      <c r="I34" s="510"/>
      <c r="J34" s="510"/>
      <c r="K34" s="510"/>
      <c r="L34" s="510"/>
      <c r="M34" s="511"/>
    </row>
    <row r="35" spans="1:14" ht="15.95" customHeight="1" thickTop="1">
      <c r="A35" s="512" t="s">
        <v>652</v>
      </c>
      <c r="B35" s="466"/>
      <c r="C35" s="466"/>
      <c r="D35" s="466"/>
      <c r="E35" s="466"/>
      <c r="F35" s="466"/>
      <c r="G35" s="466"/>
      <c r="H35" s="466"/>
      <c r="I35" s="466"/>
      <c r="J35" s="466"/>
      <c r="K35" s="466"/>
      <c r="L35" s="466"/>
      <c r="M35" s="513"/>
    </row>
    <row r="36" spans="1:14" ht="15.95" customHeight="1">
      <c r="A36" s="506" t="s">
        <v>653</v>
      </c>
      <c r="B36" s="466"/>
      <c r="C36" s="466"/>
      <c r="D36" s="466"/>
      <c r="E36" s="466"/>
      <c r="F36" s="466"/>
      <c r="G36" s="466"/>
      <c r="H36" s="466"/>
      <c r="I36" s="466"/>
      <c r="J36" s="466"/>
      <c r="K36" s="466"/>
      <c r="L36" s="466"/>
      <c r="M36" s="513"/>
    </row>
    <row r="37" spans="1:14" ht="15.95" customHeight="1">
      <c r="A37" s="514" t="s">
        <v>654</v>
      </c>
      <c r="B37" s="466"/>
      <c r="C37" s="466"/>
      <c r="D37" s="466"/>
      <c r="E37" s="515"/>
      <c r="F37" s="466"/>
      <c r="G37" s="466"/>
      <c r="H37" s="466"/>
      <c r="I37" s="466"/>
      <c r="J37" s="466"/>
      <c r="K37" s="466"/>
      <c r="L37" s="466"/>
      <c r="M37" s="513"/>
    </row>
    <row r="38" spans="1:14" ht="15.95" customHeight="1">
      <c r="A38" s="516" t="s">
        <v>655</v>
      </c>
      <c r="B38" s="466"/>
      <c r="C38" s="466"/>
      <c r="D38" s="466"/>
      <c r="E38" s="466"/>
      <c r="F38" s="466"/>
      <c r="G38" s="466"/>
      <c r="H38" s="466"/>
      <c r="I38" s="466"/>
      <c r="J38" s="466"/>
      <c r="K38" s="466"/>
      <c r="L38" s="466"/>
      <c r="M38" s="513"/>
    </row>
    <row r="39" spans="1:14" ht="15.95" customHeight="1">
      <c r="A39" s="517" t="s">
        <v>656</v>
      </c>
      <c r="B39" s="466"/>
      <c r="C39" s="466"/>
      <c r="D39" s="466"/>
      <c r="E39" s="466"/>
      <c r="F39" s="466"/>
      <c r="G39" s="466"/>
      <c r="H39" s="466"/>
      <c r="I39" s="466"/>
      <c r="J39" s="466"/>
      <c r="K39" s="466"/>
      <c r="L39" s="466"/>
      <c r="M39" s="513"/>
    </row>
    <row r="40" spans="1:14" ht="15.95" customHeight="1" thickBot="1">
      <c r="A40" s="518" t="s">
        <v>657</v>
      </c>
      <c r="B40" s="519"/>
      <c r="C40" s="519"/>
      <c r="D40" s="519"/>
      <c r="E40" s="519"/>
      <c r="F40" s="519"/>
      <c r="G40" s="519"/>
      <c r="H40" s="519"/>
      <c r="I40" s="519"/>
      <c r="J40" s="519"/>
      <c r="K40" s="519"/>
      <c r="L40" s="519"/>
      <c r="M40" s="520"/>
    </row>
    <row r="41" spans="1:14" ht="15.95" customHeight="1"/>
    <row r="42" spans="1:14" ht="18">
      <c r="A42" s="521"/>
      <c r="B42" s="521"/>
      <c r="C42" s="521"/>
      <c r="D42" s="521"/>
      <c r="E42" s="521"/>
      <c r="F42" s="521"/>
      <c r="G42" s="521"/>
      <c r="H42" s="439"/>
      <c r="I42" s="439"/>
      <c r="J42" s="522" t="s">
        <v>658</v>
      </c>
      <c r="K42" s="794" t="s">
        <v>659</v>
      </c>
      <c r="L42" s="794"/>
      <c r="M42" s="794"/>
      <c r="N42" s="521"/>
    </row>
    <row r="43" spans="1:14" ht="7.5" customHeight="1">
      <c r="H43" s="439"/>
      <c r="I43" s="439"/>
      <c r="J43" s="439"/>
      <c r="K43" s="439"/>
      <c r="L43" s="439"/>
      <c r="M43" s="439"/>
    </row>
    <row r="44" spans="1:14" ht="16.5">
      <c r="H44" s="439"/>
      <c r="I44" s="439"/>
      <c r="J44" s="522" t="s">
        <v>660</v>
      </c>
      <c r="K44" s="795">
        <v>43636</v>
      </c>
      <c r="L44" s="795"/>
      <c r="M44" s="795"/>
    </row>
    <row r="59" spans="1:5">
      <c r="A59" s="440" t="s">
        <v>174</v>
      </c>
      <c r="B59" s="440" t="s">
        <v>661</v>
      </c>
      <c r="D59" s="440">
        <v>1</v>
      </c>
      <c r="E59" s="523" t="s">
        <v>174</v>
      </c>
    </row>
    <row r="60" spans="1:5">
      <c r="A60" s="440" t="s">
        <v>662</v>
      </c>
      <c r="B60" s="440" t="s">
        <v>663</v>
      </c>
      <c r="D60" s="440">
        <v>1.1499999999999999</v>
      </c>
      <c r="E60" s="523" t="s">
        <v>183</v>
      </c>
    </row>
    <row r="61" spans="1:5">
      <c r="A61" s="440" t="s">
        <v>664</v>
      </c>
      <c r="B61" s="440" t="s">
        <v>665</v>
      </c>
      <c r="E61" s="523" t="s">
        <v>320</v>
      </c>
    </row>
    <row r="62" spans="1:5">
      <c r="B62" s="440" t="s">
        <v>666</v>
      </c>
    </row>
    <row r="63" spans="1:5">
      <c r="B63" s="440" t="s">
        <v>667</v>
      </c>
    </row>
    <row r="64" spans="1:5">
      <c r="B64" s="440" t="s">
        <v>668</v>
      </c>
    </row>
    <row r="65" spans="2:2">
      <c r="B65" s="440" t="s">
        <v>669</v>
      </c>
    </row>
    <row r="66" spans="2:2">
      <c r="B66" s="440" t="s">
        <v>670</v>
      </c>
    </row>
    <row r="67" spans="2:2">
      <c r="B67" s="440" t="s">
        <v>671</v>
      </c>
    </row>
    <row r="68" spans="2:2">
      <c r="B68" s="440" t="s">
        <v>672</v>
      </c>
    </row>
    <row r="69" spans="2:2">
      <c r="B69" s="440" t="s">
        <v>673</v>
      </c>
    </row>
    <row r="70" spans="2:2">
      <c r="B70" s="440" t="s">
        <v>674</v>
      </c>
    </row>
    <row r="71" spans="2:2">
      <c r="B71" s="440" t="s">
        <v>675</v>
      </c>
    </row>
    <row r="72" spans="2:2">
      <c r="B72" s="440" t="s">
        <v>676</v>
      </c>
    </row>
    <row r="73" spans="2:2">
      <c r="B73" s="440" t="s">
        <v>677</v>
      </c>
    </row>
    <row r="74" spans="2:2">
      <c r="B74" s="440" t="s">
        <v>678</v>
      </c>
    </row>
    <row r="75" spans="2:2">
      <c r="B75" s="440" t="s">
        <v>679</v>
      </c>
    </row>
    <row r="76" spans="2:2">
      <c r="B76" s="440" t="s">
        <v>680</v>
      </c>
    </row>
    <row r="77" spans="2:2">
      <c r="B77" s="440" t="s">
        <v>681</v>
      </c>
    </row>
    <row r="78" spans="2:2">
      <c r="B78" s="440" t="s">
        <v>682</v>
      </c>
    </row>
    <row r="79" spans="2:2">
      <c r="B79" s="440" t="s">
        <v>683</v>
      </c>
    </row>
    <row r="80" spans="2:2">
      <c r="B80" s="440">
        <v>6312</v>
      </c>
    </row>
    <row r="81" spans="2:2">
      <c r="B81" s="440" t="s">
        <v>684</v>
      </c>
    </row>
    <row r="82" spans="2:2">
      <c r="B82" s="440" t="s">
        <v>685</v>
      </c>
    </row>
    <row r="83" spans="2:2">
      <c r="B83" s="440" t="s">
        <v>686</v>
      </c>
    </row>
    <row r="84" spans="2:2">
      <c r="B84" s="440" t="s">
        <v>687</v>
      </c>
    </row>
    <row r="85" spans="2:2">
      <c r="B85" s="440">
        <v>6313</v>
      </c>
    </row>
    <row r="86" spans="2:2">
      <c r="B86" s="440" t="s">
        <v>688</v>
      </c>
    </row>
    <row r="87" spans="2:2">
      <c r="B87" s="440" t="s">
        <v>689</v>
      </c>
    </row>
    <row r="88" spans="2:2">
      <c r="B88" s="440" t="s">
        <v>690</v>
      </c>
    </row>
    <row r="89" spans="2:2">
      <c r="B89" s="440">
        <v>6314</v>
      </c>
    </row>
    <row r="90" spans="2:2">
      <c r="B90" s="440" t="s">
        <v>691</v>
      </c>
    </row>
    <row r="91" spans="2:2">
      <c r="B91" s="440">
        <v>6317</v>
      </c>
    </row>
    <row r="92" spans="2:2">
      <c r="B92" s="440" t="s">
        <v>692</v>
      </c>
    </row>
    <row r="93" spans="2:2">
      <c r="B93" s="440">
        <v>6318</v>
      </c>
    </row>
    <row r="94" spans="2:2">
      <c r="B94" s="440" t="s">
        <v>693</v>
      </c>
    </row>
    <row r="95" spans="2:2">
      <c r="B95" s="440" t="s">
        <v>694</v>
      </c>
    </row>
    <row r="96" spans="2:2">
      <c r="B96" s="440" t="s">
        <v>695</v>
      </c>
    </row>
    <row r="97" spans="2:2">
      <c r="B97" s="440">
        <v>6320</v>
      </c>
    </row>
    <row r="98" spans="2:2">
      <c r="B98" s="440" t="s">
        <v>696</v>
      </c>
    </row>
    <row r="99" spans="2:2">
      <c r="B99" s="440" t="s">
        <v>697</v>
      </c>
    </row>
    <row r="100" spans="2:2">
      <c r="B100" s="440" t="s">
        <v>698</v>
      </c>
    </row>
    <row r="101" spans="2:2">
      <c r="B101" s="440" t="s">
        <v>699</v>
      </c>
    </row>
    <row r="102" spans="2:2">
      <c r="B102" s="440" t="s">
        <v>699</v>
      </c>
    </row>
    <row r="118" spans="2:2">
      <c r="B118" s="440" t="s">
        <v>700</v>
      </c>
    </row>
    <row r="120" spans="2:2">
      <c r="B120" s="440" t="s">
        <v>701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7"/>
  <sheetViews>
    <sheetView workbookViewId="0">
      <selection activeCell="O26" sqref="O26"/>
    </sheetView>
  </sheetViews>
  <sheetFormatPr defaultColWidth="9.140625" defaultRowHeight="12.75"/>
  <cols>
    <col min="1" max="6" width="16.7109375" style="376" customWidth="1"/>
    <col min="7" max="16384" width="9.140625" style="376"/>
  </cols>
  <sheetData>
    <row r="1" spans="1:6" ht="18.95" customHeight="1">
      <c r="A1" s="388"/>
      <c r="B1" s="389"/>
      <c r="C1" s="389"/>
      <c r="D1" s="389"/>
      <c r="E1" s="389"/>
      <c r="F1" s="390"/>
    </row>
    <row r="2" spans="1:6" ht="26.1" customHeight="1">
      <c r="A2" s="391" t="s">
        <v>269</v>
      </c>
      <c r="B2" s="392"/>
      <c r="C2" s="392"/>
      <c r="D2" s="392"/>
      <c r="E2" s="392"/>
      <c r="F2" s="393"/>
    </row>
    <row r="3" spans="1:6" ht="18.95" customHeight="1">
      <c r="A3" s="394" t="s">
        <v>565</v>
      </c>
      <c r="B3" s="392"/>
      <c r="C3" s="392"/>
      <c r="D3" s="392"/>
      <c r="E3" s="392"/>
      <c r="F3" s="393"/>
    </row>
    <row r="4" spans="1:6" ht="18.95" customHeight="1">
      <c r="A4" s="395"/>
      <c r="B4" s="396"/>
      <c r="C4" s="396"/>
      <c r="D4" s="396"/>
      <c r="E4" s="396"/>
      <c r="F4" s="397"/>
    </row>
    <row r="5" spans="1:6" ht="18.95" customHeight="1">
      <c r="A5" s="395"/>
      <c r="B5" s="396"/>
      <c r="C5" s="396"/>
      <c r="D5" s="396"/>
      <c r="E5" s="396"/>
      <c r="F5" s="397"/>
    </row>
    <row r="6" spans="1:6" ht="18.95" customHeight="1">
      <c r="A6" s="398" t="s">
        <v>566</v>
      </c>
      <c r="B6" s="796" t="str">
        <f>'Performance Data Sheet'!C17</f>
        <v>WT-10019401</v>
      </c>
      <c r="C6" s="797"/>
      <c r="D6" s="798"/>
      <c r="E6" s="398" t="s">
        <v>567</v>
      </c>
      <c r="F6" s="399">
        <f>'Performance Data Sheet'!I14</f>
        <v>217</v>
      </c>
    </row>
    <row r="7" spans="1:6" ht="18.95" customHeight="1">
      <c r="A7" s="398" t="s">
        <v>568</v>
      </c>
      <c r="B7" s="399" t="str">
        <f>'Performance Data Sheet'!F14</f>
        <v>WP-II</v>
      </c>
      <c r="C7" s="398" t="s">
        <v>569</v>
      </c>
      <c r="D7" s="399" t="str">
        <f>'Performance Data Sheet'!F13 &amp; " V"</f>
        <v>4000 V</v>
      </c>
      <c r="E7" s="398" t="s">
        <v>570</v>
      </c>
      <c r="F7" s="399" t="str">
        <f>'Performance Data Sheet'!C14</f>
        <v>5812USS</v>
      </c>
    </row>
    <row r="8" spans="1:6" ht="18.95" customHeight="1">
      <c r="A8" s="398" t="s">
        <v>571</v>
      </c>
      <c r="B8" s="399">
        <v>2</v>
      </c>
      <c r="C8" s="398" t="s">
        <v>572</v>
      </c>
      <c r="D8" s="399" t="s">
        <v>573</v>
      </c>
      <c r="E8" s="398" t="s">
        <v>574</v>
      </c>
      <c r="F8" s="399" t="str">
        <f>'Performance Data Sheet'!M15</f>
        <v>F</v>
      </c>
    </row>
    <row r="9" spans="1:6" ht="18.95" customHeight="1">
      <c r="A9" s="398" t="s">
        <v>575</v>
      </c>
      <c r="B9" s="399">
        <f>'Performance Data Sheet'!C13</f>
        <v>1750</v>
      </c>
      <c r="C9" s="398" t="s">
        <v>576</v>
      </c>
      <c r="D9" s="399" t="s">
        <v>586</v>
      </c>
      <c r="E9" s="398" t="s">
        <v>2</v>
      </c>
      <c r="F9" s="400">
        <f>'Performance Data Sheet'!K44</f>
        <v>43636</v>
      </c>
    </row>
    <row r="10" spans="1:6" ht="18.95" customHeight="1">
      <c r="A10" s="398" t="s">
        <v>577</v>
      </c>
      <c r="B10" s="399">
        <f>'Performance Data Sheet'!M14</f>
        <v>3585</v>
      </c>
      <c r="C10" s="398" t="s">
        <v>396</v>
      </c>
      <c r="D10" s="399" t="s">
        <v>587</v>
      </c>
      <c r="E10" s="398" t="s">
        <v>1</v>
      </c>
      <c r="F10" s="399" t="s">
        <v>390</v>
      </c>
    </row>
    <row r="11" spans="1:6" ht="18.95" customHeight="1">
      <c r="A11" s="395"/>
      <c r="B11" s="396"/>
      <c r="C11" s="396"/>
      <c r="D11" s="396"/>
      <c r="E11" s="396"/>
      <c r="F11" s="397"/>
    </row>
    <row r="12" spans="1:6" ht="18.95" customHeight="1">
      <c r="A12" s="395"/>
      <c r="B12" s="401" t="s">
        <v>578</v>
      </c>
      <c r="C12" s="402" t="str">
        <f>'Performance Data Sheet'!D22 &amp; " A"</f>
        <v>1248 A</v>
      </c>
      <c r="D12" s="401" t="s">
        <v>395</v>
      </c>
      <c r="E12" s="402" t="s">
        <v>399</v>
      </c>
      <c r="F12" s="397"/>
    </row>
    <row r="13" spans="1:6" ht="18.95" customHeight="1">
      <c r="A13" s="395"/>
      <c r="B13" s="401" t="s">
        <v>579</v>
      </c>
      <c r="C13" s="403">
        <f>'Performance Data Sheet'!H23/100</f>
        <v>0.7</v>
      </c>
      <c r="D13" s="401" t="s">
        <v>580</v>
      </c>
      <c r="E13" s="402" t="s">
        <v>588</v>
      </c>
      <c r="F13" s="397"/>
    </row>
    <row r="14" spans="1:6" ht="18.95" customHeight="1">
      <c r="A14" s="395"/>
      <c r="B14" s="401" t="s">
        <v>581</v>
      </c>
      <c r="C14" s="403">
        <v>2.4</v>
      </c>
      <c r="D14" s="401" t="s">
        <v>397</v>
      </c>
      <c r="E14" s="402" t="s">
        <v>515</v>
      </c>
      <c r="F14" s="397"/>
    </row>
    <row r="15" spans="1:6" ht="18.95" customHeight="1">
      <c r="A15" s="395"/>
      <c r="B15" s="401" t="s">
        <v>398</v>
      </c>
      <c r="C15" s="402" t="str">
        <f>'Performance Data Sheet'!H22 &amp; " lb-ft"</f>
        <v>2564 lb-ft</v>
      </c>
      <c r="D15" s="396"/>
      <c r="E15" s="396"/>
      <c r="F15" s="397"/>
    </row>
    <row r="16" spans="1:6" ht="18.95" customHeight="1">
      <c r="A16" s="395"/>
      <c r="B16" s="396"/>
      <c r="C16" s="396"/>
      <c r="D16" s="396"/>
      <c r="E16" s="396"/>
      <c r="F16" s="397"/>
    </row>
    <row r="17" spans="1:6" ht="18.95" customHeight="1">
      <c r="A17" s="395"/>
      <c r="B17" s="396"/>
      <c r="C17" s="396"/>
      <c r="D17" s="396"/>
      <c r="E17" s="396"/>
      <c r="F17" s="397"/>
    </row>
    <row r="18" spans="1:6" ht="18.95" customHeight="1">
      <c r="A18" s="395"/>
      <c r="B18" s="396"/>
      <c r="C18" s="396"/>
      <c r="D18" s="396"/>
      <c r="E18" s="396"/>
      <c r="F18" s="397"/>
    </row>
    <row r="19" spans="1:6" ht="18.95" customHeight="1">
      <c r="A19" s="395"/>
      <c r="B19" s="396"/>
      <c r="C19" s="396"/>
      <c r="D19" s="396"/>
      <c r="E19" s="396"/>
      <c r="F19" s="397"/>
    </row>
    <row r="20" spans="1:6" ht="18.95" customHeight="1">
      <c r="A20" s="395"/>
      <c r="B20" s="396"/>
      <c r="C20" s="396"/>
      <c r="D20" s="396"/>
      <c r="E20" s="396"/>
      <c r="F20" s="397"/>
    </row>
    <row r="21" spans="1:6" ht="18.95" customHeight="1">
      <c r="A21" s="395"/>
      <c r="B21" s="396"/>
      <c r="C21" s="396"/>
      <c r="D21" s="396"/>
      <c r="E21" s="396"/>
      <c r="F21" s="397"/>
    </row>
    <row r="22" spans="1:6" ht="18.95" customHeight="1">
      <c r="A22" s="395"/>
      <c r="B22" s="396"/>
      <c r="C22" s="396"/>
      <c r="D22" s="396"/>
      <c r="E22" s="396"/>
      <c r="F22" s="397"/>
    </row>
    <row r="23" spans="1:6" ht="18.95" customHeight="1">
      <c r="A23" s="395"/>
      <c r="B23" s="396"/>
      <c r="C23" s="396"/>
      <c r="D23" s="396"/>
      <c r="E23" s="396"/>
      <c r="F23" s="397"/>
    </row>
    <row r="24" spans="1:6" ht="18.95" customHeight="1">
      <c r="A24" s="395"/>
      <c r="B24" s="396"/>
      <c r="C24" s="396"/>
      <c r="D24" s="396"/>
      <c r="E24" s="396"/>
      <c r="F24" s="397"/>
    </row>
    <row r="25" spans="1:6" ht="18.95" customHeight="1">
      <c r="A25" s="395"/>
      <c r="B25" s="396"/>
      <c r="C25" s="396"/>
      <c r="D25" s="396"/>
      <c r="E25" s="396"/>
      <c r="F25" s="397"/>
    </row>
    <row r="26" spans="1:6" ht="18.95" customHeight="1">
      <c r="A26" s="395"/>
      <c r="B26" s="396"/>
      <c r="C26" s="396"/>
      <c r="D26" s="396"/>
      <c r="E26" s="396"/>
      <c r="F26" s="397"/>
    </row>
    <row r="27" spans="1:6" ht="18.95" customHeight="1">
      <c r="A27" s="395"/>
      <c r="B27" s="396"/>
      <c r="C27" s="396"/>
      <c r="D27" s="396"/>
      <c r="E27" s="396"/>
      <c r="F27" s="397"/>
    </row>
    <row r="28" spans="1:6" ht="18.95" customHeight="1">
      <c r="A28" s="395"/>
      <c r="B28" s="396"/>
      <c r="C28" s="396"/>
      <c r="D28" s="396"/>
      <c r="E28" s="396"/>
      <c r="F28" s="397"/>
    </row>
    <row r="29" spans="1:6" ht="18.95" customHeight="1">
      <c r="A29" s="395"/>
      <c r="B29" s="396"/>
      <c r="C29" s="396"/>
      <c r="D29" s="396"/>
      <c r="E29" s="396"/>
      <c r="F29" s="397"/>
    </row>
    <row r="30" spans="1:6" ht="18.95" customHeight="1">
      <c r="A30" s="395"/>
      <c r="B30" s="396"/>
      <c r="C30" s="396"/>
      <c r="D30" s="396"/>
      <c r="E30" s="396"/>
      <c r="F30" s="397"/>
    </row>
    <row r="31" spans="1:6" ht="18.95" customHeight="1">
      <c r="A31" s="395"/>
      <c r="B31" s="396"/>
      <c r="C31" s="396"/>
      <c r="D31" s="396"/>
      <c r="E31" s="396"/>
      <c r="F31" s="397"/>
    </row>
    <row r="32" spans="1:6" ht="18.95" customHeight="1">
      <c r="A32" s="395"/>
      <c r="B32" s="396"/>
      <c r="C32" s="396"/>
      <c r="D32" s="396"/>
      <c r="E32" s="396"/>
      <c r="F32" s="397"/>
    </row>
    <row r="33" spans="1:6" ht="18.95" customHeight="1">
      <c r="A33" s="395"/>
      <c r="B33" s="396"/>
      <c r="C33" s="396"/>
      <c r="D33" s="396"/>
      <c r="E33" s="396"/>
      <c r="F33" s="397"/>
    </row>
    <row r="34" spans="1:6" ht="18.95" customHeight="1">
      <c r="A34" s="395"/>
      <c r="B34" s="396"/>
      <c r="C34" s="396"/>
      <c r="D34" s="396"/>
      <c r="E34" s="396"/>
      <c r="F34" s="397"/>
    </row>
    <row r="35" spans="1:6" ht="18.95" customHeight="1">
      <c r="A35" s="395"/>
      <c r="B35" s="396"/>
      <c r="C35" s="396"/>
      <c r="D35" s="396"/>
      <c r="E35" s="396"/>
      <c r="F35" s="397"/>
    </row>
    <row r="36" spans="1:6" ht="18.95" customHeight="1">
      <c r="A36" s="395"/>
      <c r="B36" s="396"/>
      <c r="C36" s="396"/>
      <c r="D36" s="396"/>
      <c r="E36" s="396"/>
      <c r="F36" s="397"/>
    </row>
    <row r="37" spans="1:6" ht="18.95" customHeight="1">
      <c r="A37" s="395"/>
      <c r="B37" s="396"/>
      <c r="C37" s="396"/>
      <c r="D37" s="396"/>
      <c r="E37" s="396"/>
      <c r="F37" s="397"/>
    </row>
    <row r="38" spans="1:6" ht="18.95" customHeight="1">
      <c r="A38" s="395"/>
      <c r="B38" s="396"/>
      <c r="C38" s="396"/>
      <c r="D38" s="396"/>
      <c r="E38" s="396"/>
      <c r="F38" s="397"/>
    </row>
    <row r="39" spans="1:6" ht="18.95" customHeight="1">
      <c r="A39" s="404" t="s">
        <v>582</v>
      </c>
      <c r="B39" s="405" t="s">
        <v>370</v>
      </c>
      <c r="C39" s="524" t="str">
        <f>'Performance Data Sheet'!C10</f>
        <v>2135527.1</v>
      </c>
      <c r="D39" s="396"/>
      <c r="E39" s="401" t="s">
        <v>583</v>
      </c>
      <c r="F39" s="406" t="str">
        <f>F10</f>
        <v>DT2M35U</v>
      </c>
    </row>
    <row r="40" spans="1:6" ht="18.95" customHeight="1">
      <c r="A40" s="395"/>
      <c r="B40" s="405"/>
      <c r="C40" s="405"/>
      <c r="D40" s="396"/>
      <c r="E40" s="396"/>
      <c r="F40" s="397"/>
    </row>
    <row r="41" spans="1:6" ht="18.95" customHeight="1">
      <c r="A41" s="395"/>
      <c r="B41" s="405"/>
      <c r="C41" s="405"/>
      <c r="D41" s="396"/>
      <c r="E41" s="396"/>
      <c r="F41" s="397"/>
    </row>
    <row r="42" spans="1:6" ht="18.95" customHeight="1">
      <c r="A42" s="395"/>
      <c r="B42" s="396"/>
      <c r="C42" s="396"/>
      <c r="D42" s="396"/>
      <c r="E42" s="396"/>
      <c r="F42" s="397"/>
    </row>
    <row r="43" spans="1:6" ht="18.95" customHeight="1">
      <c r="A43" s="407"/>
      <c r="B43" s="405"/>
      <c r="C43" s="408" t="s">
        <v>584</v>
      </c>
      <c r="D43" s="409" t="str">
        <f>'Performance Data Sheet'!K42</f>
        <v>Zichao Xie</v>
      </c>
      <c r="E43" s="408" t="s">
        <v>585</v>
      </c>
      <c r="F43" s="40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66" t="s">
        <v>394</v>
      </c>
      <c r="E53" s="366"/>
      <c r="F53" s="366"/>
      <c r="G53" s="366"/>
      <c r="H53" s="366"/>
      <c r="I53" s="366"/>
      <c r="J53" s="366"/>
      <c r="K53" s="366"/>
      <c r="L53" s="366"/>
    </row>
    <row r="54" spans="1:12" ht="15" customHeight="1">
      <c r="A54" s="412">
        <v>100</v>
      </c>
      <c r="B54" s="366">
        <v>0</v>
      </c>
      <c r="C54" s="366">
        <v>0.26622247695922852</v>
      </c>
      <c r="D54" s="366">
        <v>100</v>
      </c>
      <c r="E54" s="366"/>
      <c r="F54" s="366"/>
      <c r="G54" s="366"/>
      <c r="H54" s="366"/>
      <c r="I54" s="366"/>
      <c r="J54" s="366"/>
      <c r="K54" s="366"/>
      <c r="L54" s="366"/>
    </row>
    <row r="55" spans="1:12" ht="15" customHeight="1">
      <c r="A55" s="412">
        <v>99.24000003375113</v>
      </c>
      <c r="B55" s="366">
        <v>121.79018420879014</v>
      </c>
      <c r="C55" s="366">
        <v>144.80722045898438</v>
      </c>
      <c r="D55" s="366">
        <v>98.480003356933594</v>
      </c>
      <c r="E55" s="366"/>
      <c r="F55" s="366"/>
      <c r="G55" s="366"/>
      <c r="H55" s="366"/>
      <c r="I55" s="366"/>
      <c r="J55" s="366"/>
      <c r="K55" s="366"/>
      <c r="L55" s="366"/>
    </row>
    <row r="56" spans="1:12" ht="15" customHeight="1">
      <c r="A56" s="412">
        <v>96.200000122189522</v>
      </c>
      <c r="B56" s="366">
        <v>240</v>
      </c>
      <c r="C56" s="366">
        <v>438.42398071289063</v>
      </c>
      <c r="D56" s="366">
        <v>90.300003051757813</v>
      </c>
      <c r="E56" s="366"/>
      <c r="F56" s="366"/>
      <c r="G56" s="366"/>
      <c r="H56" s="366"/>
      <c r="I56" s="366"/>
      <c r="J56" s="366"/>
      <c r="K56" s="366"/>
      <c r="L56" s="366"/>
    </row>
    <row r="57" spans="1:12">
      <c r="A57" s="412">
        <v>91.136842221021652</v>
      </c>
      <c r="B57" s="366">
        <v>152.18032399871473</v>
      </c>
      <c r="C57" s="366">
        <v>516.21026611328125</v>
      </c>
      <c r="D57" s="366">
        <v>76.955787658691406</v>
      </c>
      <c r="E57" s="366"/>
      <c r="F57" s="366"/>
      <c r="G57" s="366"/>
      <c r="H57" s="366"/>
      <c r="I57" s="366"/>
      <c r="J57" s="366"/>
      <c r="K57" s="366"/>
      <c r="L57" s="366"/>
    </row>
    <row r="58" spans="1:12">
      <c r="A58" s="412">
        <v>86.073683202266693</v>
      </c>
      <c r="B58" s="366">
        <v>113.29605561002269</v>
      </c>
      <c r="C58" s="366">
        <v>536.67681884765625</v>
      </c>
      <c r="D58" s="366">
        <v>63.791576385498047</v>
      </c>
      <c r="E58" s="366"/>
      <c r="F58" s="366"/>
      <c r="G58" s="366"/>
      <c r="H58" s="366"/>
      <c r="I58" s="366"/>
      <c r="J58" s="366"/>
      <c r="K58" s="366"/>
      <c r="L58" s="366"/>
    </row>
    <row r="59" spans="1:12">
      <c r="A59" s="412">
        <v>81.010526418685913</v>
      </c>
      <c r="B59" s="366">
        <v>95.62466836441061</v>
      </c>
      <c r="C59" s="366">
        <v>544.85546875</v>
      </c>
      <c r="D59" s="366">
        <v>52.223159790039063</v>
      </c>
      <c r="E59" s="366"/>
      <c r="F59" s="366"/>
      <c r="G59" s="366"/>
      <c r="H59" s="366"/>
      <c r="I59" s="366"/>
      <c r="J59" s="366"/>
      <c r="K59" s="366"/>
      <c r="L59" s="366"/>
    </row>
    <row r="60" spans="1:12">
      <c r="A60" s="412">
        <v>70.884209871292114</v>
      </c>
      <c r="B60" s="366">
        <v>84.528216659665418</v>
      </c>
      <c r="C60" s="366">
        <v>552.18231201171875</v>
      </c>
      <c r="D60" s="366">
        <v>34.503158569335938</v>
      </c>
      <c r="E60" s="366"/>
      <c r="F60" s="366"/>
      <c r="G60" s="366"/>
      <c r="H60" s="366"/>
      <c r="I60" s="366"/>
      <c r="J60" s="366"/>
      <c r="K60" s="366"/>
      <c r="L60" s="366"/>
    </row>
    <row r="61" spans="1:12">
      <c r="A61" s="412">
        <v>60.757893323898315</v>
      </c>
      <c r="B61" s="366">
        <v>78.903267093432959</v>
      </c>
      <c r="C61" s="366">
        <v>556.7513427734375</v>
      </c>
      <c r="D61" s="366">
        <v>22.833683013916016</v>
      </c>
      <c r="E61" s="366"/>
      <c r="F61" s="366"/>
      <c r="G61" s="366"/>
      <c r="H61" s="366"/>
      <c r="I61" s="366"/>
      <c r="J61" s="366"/>
      <c r="K61" s="366"/>
      <c r="L61" s="366"/>
    </row>
    <row r="62" spans="1:12">
      <c r="A62" s="412">
        <v>50.631579756736755</v>
      </c>
      <c r="B62" s="366">
        <v>75.385045243972769</v>
      </c>
      <c r="C62" s="366">
        <v>560.74725341796875</v>
      </c>
      <c r="D62" s="366">
        <v>14.505264282226563</v>
      </c>
      <c r="E62" s="366"/>
      <c r="F62" s="366"/>
      <c r="G62" s="366"/>
      <c r="H62" s="366"/>
      <c r="I62" s="366"/>
      <c r="J62" s="366"/>
      <c r="K62" s="366"/>
      <c r="L62" s="366"/>
    </row>
    <row r="63" spans="1:12">
      <c r="A63" s="412">
        <v>40.505260229110718</v>
      </c>
      <c r="B63" s="366">
        <v>73.116037182347725</v>
      </c>
      <c r="C63" s="366">
        <v>564.3900146484375</v>
      </c>
      <c r="D63" s="366">
        <v>8.3031558990478516</v>
      </c>
      <c r="E63" s="366"/>
      <c r="F63" s="366"/>
      <c r="G63" s="366"/>
      <c r="H63" s="366"/>
      <c r="I63" s="366"/>
      <c r="J63" s="366"/>
      <c r="K63" s="366"/>
      <c r="L63" s="366"/>
    </row>
    <row r="64" spans="1:12">
      <c r="A64" s="412">
        <v>30.378949642181396</v>
      </c>
      <c r="B64" s="366">
        <v>71.682820561717733</v>
      </c>
      <c r="C64" s="366">
        <v>567.64990234375</v>
      </c>
      <c r="D64" s="366">
        <v>6.0757899284362793</v>
      </c>
      <c r="E64" s="366"/>
      <c r="F64" s="366"/>
      <c r="G64" s="366"/>
      <c r="H64" s="366"/>
      <c r="I64" s="366"/>
      <c r="J64" s="366"/>
      <c r="K64" s="366"/>
      <c r="L64" s="366"/>
    </row>
    <row r="65" spans="1:12">
      <c r="A65" s="412">
        <v>20.252633094787598</v>
      </c>
      <c r="B65" s="366">
        <v>70.806191521123736</v>
      </c>
      <c r="C65" s="366">
        <v>570.52105712890625</v>
      </c>
      <c r="D65" s="366">
        <v>7.9494733810424805</v>
      </c>
      <c r="E65" s="366"/>
      <c r="F65" s="366"/>
      <c r="G65" s="366"/>
      <c r="H65" s="366"/>
      <c r="I65" s="366"/>
      <c r="J65" s="366"/>
      <c r="K65" s="366"/>
      <c r="L65" s="366"/>
    </row>
    <row r="66" spans="1:12">
      <c r="A66" s="412">
        <v>10.126316547393799</v>
      </c>
      <c r="B66" s="366">
        <v>70.290134860795632</v>
      </c>
      <c r="C66" s="366">
        <v>573.03485107421875</v>
      </c>
      <c r="D66" s="366">
        <v>14.911578178405762</v>
      </c>
      <c r="E66" s="366"/>
      <c r="F66" s="366"/>
      <c r="G66" s="366"/>
      <c r="H66" s="366"/>
      <c r="I66" s="366"/>
      <c r="J66" s="366"/>
      <c r="K66" s="366"/>
      <c r="L66" s="366"/>
    </row>
    <row r="67" spans="1:12">
      <c r="A67" s="413">
        <v>0</v>
      </c>
      <c r="B67" s="366">
        <v>70</v>
      </c>
      <c r="C67" s="366">
        <v>575.11517333984375</v>
      </c>
      <c r="D67" s="366">
        <v>30</v>
      </c>
      <c r="E67" s="366"/>
      <c r="F67" s="366"/>
      <c r="G67" s="366"/>
      <c r="H67" s="366"/>
      <c r="I67" s="366"/>
      <c r="J67" s="366"/>
      <c r="K67" s="366"/>
      <c r="L67" s="366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topLeftCell="A43" workbookViewId="0">
      <selection activeCell="I63" sqref="I63"/>
    </sheetView>
  </sheetViews>
  <sheetFormatPr defaultColWidth="9.140625" defaultRowHeight="12.75"/>
  <cols>
    <col min="1" max="6" width="16.7109375" style="376" customWidth="1"/>
    <col min="7" max="16384" width="9.140625" style="376"/>
  </cols>
  <sheetData>
    <row r="1" spans="1:6" ht="18.95" customHeight="1">
      <c r="A1" s="388"/>
      <c r="B1" s="389"/>
      <c r="C1" s="389"/>
      <c r="D1" s="389"/>
      <c r="E1" s="389"/>
      <c r="F1" s="390"/>
    </row>
    <row r="2" spans="1:6" ht="26.1" customHeight="1">
      <c r="A2" s="391" t="s">
        <v>269</v>
      </c>
      <c r="B2" s="392"/>
      <c r="C2" s="392"/>
      <c r="D2" s="392"/>
      <c r="E2" s="392"/>
      <c r="F2" s="393"/>
    </row>
    <row r="3" spans="1:6" ht="18.95" customHeight="1">
      <c r="A3" s="799" t="s">
        <v>589</v>
      </c>
      <c r="B3" s="800"/>
      <c r="C3" s="800"/>
      <c r="D3" s="800"/>
      <c r="E3" s="800"/>
      <c r="F3" s="801"/>
    </row>
    <row r="4" spans="1:6" ht="18.95" customHeight="1">
      <c r="A4" s="802" t="s">
        <v>590</v>
      </c>
      <c r="B4" s="803"/>
      <c r="C4" s="803"/>
      <c r="D4" s="803"/>
      <c r="E4" s="803"/>
      <c r="F4" s="804"/>
    </row>
    <row r="5" spans="1:6" ht="18.95" customHeight="1">
      <c r="A5" s="395"/>
      <c r="B5" s="396"/>
      <c r="C5" s="396"/>
      <c r="D5" s="396"/>
      <c r="E5" s="396"/>
      <c r="F5" s="397"/>
    </row>
    <row r="6" spans="1:6" ht="18.95" customHeight="1">
      <c r="A6" s="398" t="s">
        <v>566</v>
      </c>
      <c r="B6" s="796" t="str">
        <f>'Performance Data Sheet'!C17</f>
        <v>WT-10019401</v>
      </c>
      <c r="C6" s="797"/>
      <c r="D6" s="798"/>
      <c r="E6" s="398" t="s">
        <v>567</v>
      </c>
      <c r="F6" s="399">
        <f>'Performance Data Sheet'!I14</f>
        <v>217</v>
      </c>
    </row>
    <row r="7" spans="1:6" ht="18.95" customHeight="1">
      <c r="A7" s="398" t="s">
        <v>568</v>
      </c>
      <c r="B7" s="399" t="str">
        <f>'Performance Data Sheet'!F14</f>
        <v>WP-II</v>
      </c>
      <c r="C7" s="398" t="s">
        <v>569</v>
      </c>
      <c r="D7" s="399" t="str">
        <f>'Performance Data Sheet'!F13 &amp; " V"</f>
        <v>4000 V</v>
      </c>
      <c r="E7" s="398" t="s">
        <v>570</v>
      </c>
      <c r="F7" s="399" t="str">
        <f>'Performance Data Sheet'!C14</f>
        <v>5812USS</v>
      </c>
    </row>
    <row r="8" spans="1:6" ht="18.95" customHeight="1">
      <c r="A8" s="398" t="s">
        <v>571</v>
      </c>
      <c r="B8" s="399">
        <v>2</v>
      </c>
      <c r="C8" s="398" t="s">
        <v>572</v>
      </c>
      <c r="D8" s="399" t="s">
        <v>573</v>
      </c>
      <c r="E8" s="398" t="s">
        <v>574</v>
      </c>
      <c r="F8" s="399" t="str">
        <f>'Performance Data Sheet'!M15</f>
        <v>F</v>
      </c>
    </row>
    <row r="9" spans="1:6" ht="18.95" customHeight="1">
      <c r="A9" s="398" t="s">
        <v>575</v>
      </c>
      <c r="B9" s="399">
        <f>'Performance Data Sheet'!C13</f>
        <v>1750</v>
      </c>
      <c r="C9" s="398" t="s">
        <v>576</v>
      </c>
      <c r="D9" s="399" t="s">
        <v>586</v>
      </c>
      <c r="E9" s="398" t="s">
        <v>2</v>
      </c>
      <c r="F9" s="400">
        <f>'Performance Data Sheet'!K44</f>
        <v>43636</v>
      </c>
    </row>
    <row r="10" spans="1:6" ht="18.95" customHeight="1">
      <c r="A10" s="398" t="s">
        <v>577</v>
      </c>
      <c r="B10" s="399">
        <f>'Performance Data Sheet'!M14</f>
        <v>3585</v>
      </c>
      <c r="C10" s="398" t="s">
        <v>396</v>
      </c>
      <c r="D10" s="399" t="s">
        <v>587</v>
      </c>
      <c r="E10" s="398" t="s">
        <v>1</v>
      </c>
      <c r="F10" s="399" t="s">
        <v>390</v>
      </c>
    </row>
    <row r="11" spans="1:6" ht="18.95" customHeight="1">
      <c r="A11" s="395"/>
      <c r="B11" s="396"/>
      <c r="C11" s="396"/>
      <c r="D11" s="396"/>
      <c r="E11" s="396"/>
      <c r="F11" s="397"/>
    </row>
    <row r="12" spans="1:6" ht="18.95" customHeight="1">
      <c r="A12" s="395"/>
      <c r="B12" s="401"/>
      <c r="C12" s="402" t="str">
        <f>'Performance Data Sheet'!D22 &amp; " A"</f>
        <v>1248 A</v>
      </c>
      <c r="D12" s="401"/>
      <c r="E12" s="402"/>
      <c r="F12" s="397"/>
    </row>
    <row r="13" spans="1:6" ht="18.95" customHeight="1">
      <c r="A13" s="395"/>
      <c r="B13" s="401"/>
      <c r="C13" s="403">
        <f>'Performance Data Sheet'!H23/100</f>
        <v>0.7</v>
      </c>
      <c r="D13" s="401"/>
      <c r="E13" s="402"/>
      <c r="F13" s="397"/>
    </row>
    <row r="14" spans="1:6" ht="18.95" customHeight="1">
      <c r="A14" s="395"/>
      <c r="B14" s="401"/>
      <c r="C14" s="403"/>
      <c r="D14" s="401"/>
      <c r="E14" s="402"/>
      <c r="F14" s="397"/>
    </row>
    <row r="15" spans="1:6" ht="18.95" customHeight="1">
      <c r="A15" s="395"/>
      <c r="B15" s="401"/>
      <c r="C15" s="402" t="str">
        <f>'Performance Data Sheet'!H22 &amp; " lb-ft"</f>
        <v>2564 lb-ft</v>
      </c>
      <c r="D15" s="396"/>
      <c r="E15" s="396"/>
      <c r="F15" s="397"/>
    </row>
    <row r="16" spans="1:6" ht="18.95" customHeight="1">
      <c r="A16" s="395"/>
      <c r="B16" s="396"/>
      <c r="C16" s="396"/>
      <c r="D16" s="396"/>
      <c r="E16" s="396"/>
      <c r="F16" s="397"/>
    </row>
    <row r="17" spans="1:6" ht="18.95" customHeight="1">
      <c r="A17" s="395"/>
      <c r="B17" s="396"/>
      <c r="C17" s="396"/>
      <c r="D17" s="396"/>
      <c r="E17" s="396"/>
      <c r="F17" s="397"/>
    </row>
    <row r="18" spans="1:6" ht="18.95" customHeight="1">
      <c r="A18" s="395"/>
      <c r="B18" s="396"/>
      <c r="C18" s="396"/>
      <c r="D18" s="396"/>
      <c r="E18" s="396"/>
      <c r="F18" s="397"/>
    </row>
    <row r="19" spans="1:6" ht="18.95" customHeight="1">
      <c r="A19" s="395"/>
      <c r="B19" s="396"/>
      <c r="C19" s="396"/>
      <c r="D19" s="396"/>
      <c r="E19" s="396"/>
      <c r="F19" s="397"/>
    </row>
    <row r="20" spans="1:6" ht="18.95" customHeight="1">
      <c r="A20" s="395"/>
      <c r="B20" s="396"/>
      <c r="C20" s="396"/>
      <c r="D20" s="396"/>
      <c r="E20" s="396"/>
      <c r="F20" s="397"/>
    </row>
    <row r="21" spans="1:6" ht="18.95" customHeight="1">
      <c r="A21" s="395"/>
      <c r="B21" s="396"/>
      <c r="C21" s="396"/>
      <c r="D21" s="396"/>
      <c r="E21" s="396"/>
      <c r="F21" s="397"/>
    </row>
    <row r="22" spans="1:6" ht="18.95" customHeight="1">
      <c r="A22" s="395"/>
      <c r="B22" s="396"/>
      <c r="C22" s="396"/>
      <c r="D22" s="396"/>
      <c r="E22" s="396"/>
      <c r="F22" s="397"/>
    </row>
    <row r="23" spans="1:6" ht="18.95" customHeight="1">
      <c r="A23" s="395"/>
      <c r="B23" s="396"/>
      <c r="C23" s="396"/>
      <c r="D23" s="396"/>
      <c r="E23" s="396"/>
      <c r="F23" s="397"/>
    </row>
    <row r="24" spans="1:6" ht="18.95" customHeight="1">
      <c r="A24" s="395"/>
      <c r="B24" s="396"/>
      <c r="C24" s="396"/>
      <c r="D24" s="396"/>
      <c r="E24" s="396"/>
      <c r="F24" s="397"/>
    </row>
    <row r="25" spans="1:6" ht="18.95" customHeight="1">
      <c r="A25" s="395"/>
      <c r="B25" s="396"/>
      <c r="C25" s="396"/>
      <c r="D25" s="396"/>
      <c r="E25" s="396"/>
      <c r="F25" s="397"/>
    </row>
    <row r="26" spans="1:6" ht="18.95" customHeight="1">
      <c r="A26" s="395"/>
      <c r="B26" s="396"/>
      <c r="C26" s="396"/>
      <c r="D26" s="396"/>
      <c r="E26" s="396"/>
      <c r="F26" s="397"/>
    </row>
    <row r="27" spans="1:6" ht="18.95" customHeight="1">
      <c r="A27" s="395"/>
      <c r="B27" s="396"/>
      <c r="C27" s="396"/>
      <c r="D27" s="396"/>
      <c r="E27" s="396"/>
      <c r="F27" s="397"/>
    </row>
    <row r="28" spans="1:6" ht="18.95" customHeight="1">
      <c r="A28" s="395"/>
      <c r="B28" s="396"/>
      <c r="C28" s="396"/>
      <c r="D28" s="396"/>
      <c r="E28" s="396"/>
      <c r="F28" s="397"/>
    </row>
    <row r="29" spans="1:6" ht="18.95" customHeight="1">
      <c r="A29" s="395"/>
      <c r="B29" s="396"/>
      <c r="C29" s="396"/>
      <c r="D29" s="396"/>
      <c r="E29" s="396"/>
      <c r="F29" s="397"/>
    </row>
    <row r="30" spans="1:6" ht="18.95" customHeight="1">
      <c r="A30" s="395"/>
      <c r="B30" s="396"/>
      <c r="C30" s="396"/>
      <c r="D30" s="396"/>
      <c r="E30" s="396"/>
      <c r="F30" s="397"/>
    </row>
    <row r="31" spans="1:6" ht="18.95" customHeight="1">
      <c r="A31" s="395"/>
      <c r="B31" s="396"/>
      <c r="C31" s="396"/>
      <c r="D31" s="396"/>
      <c r="E31" s="396"/>
      <c r="F31" s="397"/>
    </row>
    <row r="32" spans="1:6" ht="18.95" customHeight="1">
      <c r="A32" s="395"/>
      <c r="B32" s="396"/>
      <c r="C32" s="396"/>
      <c r="D32" s="396"/>
      <c r="E32" s="396"/>
      <c r="F32" s="397"/>
    </row>
    <row r="33" spans="1:6" ht="18.95" customHeight="1">
      <c r="A33" s="395"/>
      <c r="B33" s="396"/>
      <c r="C33" s="396"/>
      <c r="D33" s="396"/>
      <c r="E33" s="396"/>
      <c r="F33" s="397"/>
    </row>
    <row r="34" spans="1:6" ht="18.95" customHeight="1">
      <c r="A34" s="395"/>
      <c r="B34" s="396"/>
      <c r="C34" s="396"/>
      <c r="D34" s="396"/>
      <c r="E34" s="396"/>
      <c r="F34" s="397"/>
    </row>
    <row r="35" spans="1:6" ht="18.95" customHeight="1">
      <c r="A35" s="395"/>
      <c r="B35" s="396"/>
      <c r="C35" s="396"/>
      <c r="D35" s="396"/>
      <c r="E35" s="396"/>
      <c r="F35" s="397"/>
    </row>
    <row r="36" spans="1:6" ht="18.95" customHeight="1">
      <c r="A36" s="395"/>
      <c r="B36" s="396"/>
      <c r="C36" s="396"/>
      <c r="D36" s="396"/>
      <c r="E36" s="396"/>
      <c r="F36" s="397"/>
    </row>
    <row r="37" spans="1:6" ht="18.95" customHeight="1">
      <c r="A37" s="395"/>
      <c r="B37" s="396"/>
      <c r="C37" s="396"/>
      <c r="D37" s="396"/>
      <c r="E37" s="396"/>
      <c r="F37" s="397"/>
    </row>
    <row r="38" spans="1:6" ht="18.95" customHeight="1">
      <c r="A38" s="395"/>
      <c r="B38" s="396"/>
      <c r="C38" s="396"/>
      <c r="D38" s="396"/>
      <c r="E38" s="396"/>
      <c r="F38" s="397"/>
    </row>
    <row r="39" spans="1:6" ht="18.95" customHeight="1">
      <c r="A39" s="404" t="s">
        <v>582</v>
      </c>
      <c r="B39" s="405" t="s">
        <v>370</v>
      </c>
      <c r="C39" s="524" t="str">
        <f>'Performance Data Sheet'!C10</f>
        <v>2135527.1</v>
      </c>
      <c r="D39" s="396"/>
      <c r="E39" s="401" t="s">
        <v>583</v>
      </c>
      <c r="F39" s="406" t="str">
        <f>F10</f>
        <v>DT2M35U</v>
      </c>
    </row>
    <row r="40" spans="1:6" ht="18.95" customHeight="1">
      <c r="A40" s="395"/>
      <c r="B40" s="405"/>
      <c r="C40" s="405"/>
      <c r="D40" s="396"/>
      <c r="E40" s="396"/>
      <c r="F40" s="397"/>
    </row>
    <row r="41" spans="1:6" ht="18.95" customHeight="1">
      <c r="A41" s="395"/>
      <c r="B41" s="405"/>
      <c r="C41" s="405"/>
      <c r="D41" s="396"/>
      <c r="E41" s="396"/>
      <c r="F41" s="397"/>
    </row>
    <row r="42" spans="1:6" ht="18.95" customHeight="1">
      <c r="A42" s="395"/>
      <c r="B42" s="396"/>
      <c r="C42" s="396"/>
      <c r="D42" s="396"/>
      <c r="E42" s="396"/>
      <c r="F42" s="397"/>
    </row>
    <row r="43" spans="1:6" ht="18.95" customHeight="1">
      <c r="A43" s="407"/>
      <c r="B43" s="405"/>
      <c r="C43" s="408" t="s">
        <v>584</v>
      </c>
      <c r="D43" s="409" t="str">
        <f>'Performance Data Sheet'!K42</f>
        <v>Zichao Xie</v>
      </c>
      <c r="E43" s="408" t="s">
        <v>585</v>
      </c>
      <c r="F43" s="40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4" t="e">
        <f>5252.1*B50/D53</f>
        <v>#DIV/0!</v>
      </c>
      <c r="G50" s="414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5"/>
    </row>
    <row r="63" spans="6:9">
      <c r="I63" s="376" t="s">
        <v>39</v>
      </c>
    </row>
    <row r="66" spans="1:6">
      <c r="D66" s="414" t="e">
        <f>D65/D64</f>
        <v>#DIV/0!</v>
      </c>
    </row>
    <row r="67" spans="1:6">
      <c r="A67" s="416" t="s">
        <v>391</v>
      </c>
      <c r="B67" s="416" t="s">
        <v>591</v>
      </c>
      <c r="C67" s="416" t="s">
        <v>592</v>
      </c>
      <c r="E67" s="416" t="s">
        <v>593</v>
      </c>
      <c r="F67" s="416" t="s">
        <v>594</v>
      </c>
    </row>
    <row r="68" spans="1:6">
      <c r="A68" s="417">
        <v>575.11520737327191</v>
      </c>
      <c r="B68" s="418">
        <v>24</v>
      </c>
      <c r="C68" s="418">
        <v>12</v>
      </c>
      <c r="E68" s="417">
        <f>A68</f>
        <v>575.11520737327191</v>
      </c>
      <c r="F68" s="418">
        <v>1E-4</v>
      </c>
    </row>
    <row r="69" spans="1:6">
      <c r="A69" s="417">
        <f>A68-50</f>
        <v>525.11520737327191</v>
      </c>
      <c r="B69" s="418">
        <f>((A68/A69)^2)*B68</f>
        <v>28.788017191900948</v>
      </c>
      <c r="C69" s="418">
        <f>((A68/A69)^2)*C68</f>
        <v>14.394008595950474</v>
      </c>
      <c r="E69" s="417">
        <v>574.05529953917051</v>
      </c>
      <c r="F69" s="418">
        <v>0.70099997520446777</v>
      </c>
    </row>
    <row r="70" spans="1:6">
      <c r="A70" s="417">
        <f t="shared" ref="A70:A72" si="0">A69-50</f>
        <v>475.11520737327191</v>
      </c>
      <c r="B70" s="418">
        <f>((A68/A70)^2)*B68</f>
        <v>35.166008912838763</v>
      </c>
      <c r="C70" s="418">
        <f>((A68/A70)^2)*C68</f>
        <v>17.583004456419381</v>
      </c>
      <c r="E70" s="417">
        <v>571.79723502304148</v>
      </c>
      <c r="F70" s="418">
        <v>1.2669999599456787</v>
      </c>
    </row>
    <row r="71" spans="1:6">
      <c r="A71" s="417">
        <f t="shared" si="0"/>
        <v>425.11520737327191</v>
      </c>
      <c r="B71" s="418">
        <f>((A68/A71)^2)*B68</f>
        <v>43.924584572674995</v>
      </c>
      <c r="C71" s="418">
        <f>((A68/A71)^2)*C68</f>
        <v>21.962292286337497</v>
      </c>
      <c r="E71" s="417">
        <v>569.07834101382491</v>
      </c>
      <c r="F71" s="418">
        <v>1.7879999876022339</v>
      </c>
    </row>
    <row r="72" spans="1:6">
      <c r="A72" s="417">
        <f t="shared" si="0"/>
        <v>375.11520737327191</v>
      </c>
      <c r="B72" s="418">
        <f>((A68/A72)^2)*B68</f>
        <v>56.414611618542828</v>
      </c>
      <c r="C72" s="418"/>
      <c r="E72" s="417">
        <v>566.036866359447</v>
      </c>
      <c r="F72" s="418">
        <v>2.3009998798370361</v>
      </c>
    </row>
    <row r="73" spans="1:6">
      <c r="A73" s="417">
        <f>A72-100</f>
        <v>275.11520737327191</v>
      </c>
      <c r="B73" s="418">
        <f>((A68/A73)^2)*B68</f>
        <v>104.87977576323829</v>
      </c>
      <c r="C73" s="418"/>
      <c r="E73" s="417">
        <v>562.58064516129036</v>
      </c>
      <c r="F73" s="418">
        <v>2.8329999446868896</v>
      </c>
    </row>
    <row r="74" spans="1:6">
      <c r="A74" s="417">
        <v>240</v>
      </c>
      <c r="B74" s="418">
        <f>((A68/A74)^2)*B68</f>
        <v>137.81562573000068</v>
      </c>
      <c r="C74" s="418">
        <f>((A68/A74)^2)*C68</f>
        <v>68.907812865000338</v>
      </c>
      <c r="E74" s="417">
        <v>558.75576036866357</v>
      </c>
      <c r="F74" s="418">
        <v>3.4040000438690186</v>
      </c>
    </row>
    <row r="75" spans="1:6">
      <c r="A75" s="419">
        <v>180</v>
      </c>
      <c r="B75" s="418">
        <f>((A68/A75)^2)*B69</f>
        <v>293.88434095021074</v>
      </c>
      <c r="C75" s="418">
        <f>((A68/A75)^2)*C68</f>
        <v>122.50277842666725</v>
      </c>
      <c r="E75" s="417">
        <v>554.47004608294935</v>
      </c>
      <c r="F75" s="418">
        <v>4.0349998474121094</v>
      </c>
    </row>
    <row r="76" spans="1:6">
      <c r="A76" s="419">
        <v>145</v>
      </c>
      <c r="B76" s="418">
        <f>((A68/A76)^2)*B68</f>
        <v>377.55909831381871</v>
      </c>
      <c r="C76" s="418">
        <f>((A68/A76)^2)*C68</f>
        <v>188.77954915690935</v>
      </c>
      <c r="E76" s="417">
        <v>548.52534562211986</v>
      </c>
      <c r="F76" s="418">
        <v>4.750999927520752</v>
      </c>
    </row>
    <row r="77" spans="1:6">
      <c r="A77" s="419">
        <v>125</v>
      </c>
      <c r="B77" s="418"/>
      <c r="C77" s="417">
        <f>CEILING(C76*2,100)</f>
        <v>400</v>
      </c>
      <c r="E77" s="417">
        <v>540.78341013824888</v>
      </c>
      <c r="F77" s="418">
        <v>5.1100001335144043</v>
      </c>
    </row>
    <row r="78" spans="1:6">
      <c r="A78" s="419">
        <v>125</v>
      </c>
      <c r="B78" s="418"/>
      <c r="C78" s="417">
        <f>2*C77</f>
        <v>800</v>
      </c>
      <c r="E78" s="417">
        <v>526.45161290322585</v>
      </c>
      <c r="F78" s="418">
        <v>5.3780002593994141</v>
      </c>
    </row>
    <row r="79" spans="1:6">
      <c r="A79" s="419">
        <v>125</v>
      </c>
      <c r="B79" s="419"/>
      <c r="C79" s="419">
        <v>10000</v>
      </c>
      <c r="E79" s="417">
        <v>477.32718894009219</v>
      </c>
      <c r="F79" s="418">
        <v>5.5270004272460938</v>
      </c>
    </row>
    <row r="80" spans="1:6">
      <c r="E80" s="417">
        <f>A74</f>
        <v>240</v>
      </c>
      <c r="F80" s="418">
        <v>5.643000602722168</v>
      </c>
    </row>
    <row r="81" spans="5:6">
      <c r="E81" s="417">
        <f>A77</f>
        <v>125</v>
      </c>
      <c r="F81" s="418">
        <v>5.6950006484985352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69"/>
  <sheetViews>
    <sheetView workbookViewId="0">
      <selection activeCell="L23" sqref="L23"/>
    </sheetView>
  </sheetViews>
  <sheetFormatPr defaultColWidth="9.140625" defaultRowHeight="12.75"/>
  <cols>
    <col min="1" max="6" width="16.7109375" style="376" customWidth="1"/>
    <col min="7" max="16384" width="9.140625" style="376"/>
  </cols>
  <sheetData>
    <row r="1" spans="1:6" ht="18.95" customHeight="1">
      <c r="A1" s="388"/>
      <c r="B1" s="389"/>
      <c r="C1" s="389"/>
      <c r="D1" s="389"/>
      <c r="E1" s="389"/>
      <c r="F1" s="390"/>
    </row>
    <row r="2" spans="1:6" ht="26.1" customHeight="1">
      <c r="A2" s="391" t="s">
        <v>269</v>
      </c>
      <c r="B2" s="392"/>
      <c r="C2" s="392"/>
      <c r="D2" s="392"/>
      <c r="E2" s="392"/>
      <c r="F2" s="393"/>
    </row>
    <row r="3" spans="1:6" ht="18.95" customHeight="1">
      <c r="A3" s="394" t="s">
        <v>595</v>
      </c>
      <c r="B3" s="392"/>
      <c r="C3" s="392"/>
      <c r="D3" s="392"/>
      <c r="E3" s="392"/>
      <c r="F3" s="393"/>
    </row>
    <row r="4" spans="1:6" ht="18.95" customHeight="1">
      <c r="A4" s="802" t="s">
        <v>590</v>
      </c>
      <c r="B4" s="803"/>
      <c r="C4" s="803"/>
      <c r="D4" s="803"/>
      <c r="E4" s="803"/>
      <c r="F4" s="804"/>
    </row>
    <row r="5" spans="1:6" ht="18.95" customHeight="1">
      <c r="A5" s="395"/>
      <c r="B5" s="396"/>
      <c r="C5" s="396"/>
      <c r="D5" s="396"/>
      <c r="E5" s="396"/>
      <c r="F5" s="397"/>
    </row>
    <row r="6" spans="1:6" ht="18.95" customHeight="1">
      <c r="A6" s="398" t="s">
        <v>566</v>
      </c>
      <c r="B6" s="796" t="str">
        <f>'Performance Data Sheet'!C17</f>
        <v>WT-10019401</v>
      </c>
      <c r="C6" s="797"/>
      <c r="D6" s="798"/>
      <c r="E6" s="398" t="s">
        <v>567</v>
      </c>
      <c r="F6" s="399">
        <f>'Performance Data Sheet'!I14</f>
        <v>217</v>
      </c>
    </row>
    <row r="7" spans="1:6" ht="18.95" customHeight="1">
      <c r="A7" s="398" t="s">
        <v>568</v>
      </c>
      <c r="B7" s="399" t="str">
        <f>'Performance Data Sheet'!F14</f>
        <v>WP-II</v>
      </c>
      <c r="C7" s="398" t="s">
        <v>569</v>
      </c>
      <c r="D7" s="399" t="str">
        <f>'Performance Data Sheet'!F13 &amp; " V"</f>
        <v>4000 V</v>
      </c>
      <c r="E7" s="398" t="s">
        <v>570</v>
      </c>
      <c r="F7" s="399" t="str">
        <f>'Performance Data Sheet'!C14</f>
        <v>5812USS</v>
      </c>
    </row>
    <row r="8" spans="1:6" ht="18.95" customHeight="1">
      <c r="A8" s="398" t="s">
        <v>571</v>
      </c>
      <c r="B8" s="399">
        <v>2</v>
      </c>
      <c r="C8" s="398" t="s">
        <v>572</v>
      </c>
      <c r="D8" s="399" t="s">
        <v>573</v>
      </c>
      <c r="E8" s="398" t="s">
        <v>574</v>
      </c>
      <c r="F8" s="399" t="str">
        <f>'Performance Data Sheet'!M15</f>
        <v>F</v>
      </c>
    </row>
    <row r="9" spans="1:6" ht="18.95" customHeight="1">
      <c r="A9" s="398" t="s">
        <v>575</v>
      </c>
      <c r="B9" s="399">
        <f>'Performance Data Sheet'!C13</f>
        <v>1750</v>
      </c>
      <c r="C9" s="398" t="s">
        <v>576</v>
      </c>
      <c r="D9" s="399" t="s">
        <v>586</v>
      </c>
      <c r="E9" s="398" t="s">
        <v>2</v>
      </c>
      <c r="F9" s="400">
        <f>'Performance Data Sheet'!K44</f>
        <v>43636</v>
      </c>
    </row>
    <row r="10" spans="1:6" ht="18.95" customHeight="1">
      <c r="A10" s="398" t="s">
        <v>577</v>
      </c>
      <c r="B10" s="399">
        <f>'Performance Data Sheet'!M14</f>
        <v>3585</v>
      </c>
      <c r="C10" s="398" t="s">
        <v>396</v>
      </c>
      <c r="D10" s="399" t="s">
        <v>587</v>
      </c>
      <c r="E10" s="398" t="s">
        <v>1</v>
      </c>
      <c r="F10" s="399" t="s">
        <v>390</v>
      </c>
    </row>
    <row r="11" spans="1:6" ht="18.95" customHeight="1">
      <c r="A11" s="395"/>
      <c r="B11" s="396"/>
      <c r="C11" s="396"/>
      <c r="D11" s="396"/>
      <c r="E11" s="396"/>
      <c r="F11" s="397"/>
    </row>
    <row r="12" spans="1:6" ht="18.95" customHeight="1">
      <c r="A12" s="395"/>
      <c r="B12" s="401" t="s">
        <v>578</v>
      </c>
      <c r="C12" s="402" t="str">
        <f>'Performance Data Sheet'!D22 &amp; " A"</f>
        <v>1248 A</v>
      </c>
      <c r="D12" s="401" t="s">
        <v>395</v>
      </c>
      <c r="E12" s="402" t="s">
        <v>399</v>
      </c>
      <c r="F12" s="397"/>
    </row>
    <row r="13" spans="1:6" ht="18.95" customHeight="1">
      <c r="A13" s="395"/>
      <c r="B13" s="401" t="s">
        <v>579</v>
      </c>
      <c r="C13" s="403">
        <f>'Performance Data Sheet'!H23/100</f>
        <v>0.7</v>
      </c>
      <c r="D13" s="401" t="s">
        <v>580</v>
      </c>
      <c r="E13" s="402" t="s">
        <v>588</v>
      </c>
      <c r="F13" s="397"/>
    </row>
    <row r="14" spans="1:6" ht="18.95" customHeight="1">
      <c r="A14" s="395"/>
      <c r="B14" s="401" t="s">
        <v>581</v>
      </c>
      <c r="C14" s="403">
        <v>2.4</v>
      </c>
      <c r="D14" s="401" t="s">
        <v>397</v>
      </c>
      <c r="E14" s="402" t="s">
        <v>515</v>
      </c>
      <c r="F14" s="397"/>
    </row>
    <row r="15" spans="1:6" ht="18.95" customHeight="1">
      <c r="A15" s="395"/>
      <c r="B15" s="401" t="s">
        <v>398</v>
      </c>
      <c r="C15" s="402" t="str">
        <f>'Performance Data Sheet'!H22 &amp; " lb-ft"</f>
        <v>2564 lb-ft</v>
      </c>
      <c r="D15" s="396"/>
      <c r="E15" s="396"/>
      <c r="F15" s="397"/>
    </row>
    <row r="16" spans="1:6" ht="18.95" customHeight="1">
      <c r="A16" s="395"/>
      <c r="B16" s="396"/>
      <c r="C16" s="396"/>
      <c r="D16" s="396"/>
      <c r="E16" s="396"/>
      <c r="F16" s="397"/>
    </row>
    <row r="17" spans="1:8" ht="18.95" customHeight="1">
      <c r="A17" s="395"/>
      <c r="B17" s="396"/>
      <c r="C17" s="396"/>
      <c r="D17" s="396"/>
      <c r="E17" s="396"/>
      <c r="F17" s="397"/>
    </row>
    <row r="18" spans="1:8" ht="18.95" customHeight="1">
      <c r="A18" s="395"/>
      <c r="B18" s="396"/>
      <c r="C18" s="396"/>
      <c r="D18" s="396"/>
      <c r="E18" s="396"/>
      <c r="F18" s="397"/>
    </row>
    <row r="19" spans="1:8" ht="18.95" customHeight="1">
      <c r="A19" s="395"/>
      <c r="B19" s="396"/>
      <c r="C19" s="396"/>
      <c r="D19" s="396"/>
      <c r="E19" s="396"/>
      <c r="F19" s="397"/>
    </row>
    <row r="20" spans="1:8" ht="18.95" customHeight="1">
      <c r="A20" s="395"/>
      <c r="B20" s="396"/>
      <c r="C20" s="396"/>
      <c r="D20" s="396"/>
      <c r="E20" s="396"/>
      <c r="F20" s="397"/>
    </row>
    <row r="21" spans="1:8" ht="18.95" customHeight="1">
      <c r="A21" s="395"/>
      <c r="B21" s="396"/>
      <c r="C21" s="396"/>
      <c r="D21" s="396"/>
      <c r="E21" s="396"/>
      <c r="F21" s="397"/>
    </row>
    <row r="22" spans="1:8" ht="18.95" customHeight="1">
      <c r="A22" s="395"/>
      <c r="B22" s="396"/>
      <c r="C22" s="396"/>
      <c r="D22" s="396"/>
      <c r="E22" s="396"/>
      <c r="F22" s="397"/>
    </row>
    <row r="23" spans="1:8" ht="18.95" customHeight="1">
      <c r="A23" s="395"/>
      <c r="B23" s="396"/>
      <c r="C23" s="396"/>
      <c r="D23" s="396"/>
      <c r="E23" s="396"/>
      <c r="F23" s="397"/>
    </row>
    <row r="24" spans="1:8" ht="18.95" customHeight="1">
      <c r="A24" s="395"/>
      <c r="B24" s="396"/>
      <c r="C24" s="396"/>
      <c r="D24" s="396"/>
      <c r="E24" s="396"/>
      <c r="F24" s="397"/>
      <c r="H24" s="420"/>
    </row>
    <row r="25" spans="1:8" ht="18.95" customHeight="1">
      <c r="A25" s="395"/>
      <c r="B25" s="396"/>
      <c r="C25" s="396"/>
      <c r="D25" s="396"/>
      <c r="E25" s="396"/>
      <c r="F25" s="397"/>
    </row>
    <row r="26" spans="1:8" ht="18.95" customHeight="1">
      <c r="A26" s="395"/>
      <c r="B26" s="396"/>
      <c r="C26" s="396"/>
      <c r="D26" s="396"/>
      <c r="E26" s="396"/>
      <c r="F26" s="397"/>
    </row>
    <row r="27" spans="1:8" ht="18.95" customHeight="1">
      <c r="A27" s="395"/>
      <c r="B27" s="396"/>
      <c r="C27" s="396"/>
      <c r="D27" s="396"/>
      <c r="E27" s="396"/>
      <c r="F27" s="397"/>
    </row>
    <row r="28" spans="1:8" ht="18.95" customHeight="1">
      <c r="A28" s="395"/>
      <c r="B28" s="396"/>
      <c r="C28" s="396"/>
      <c r="D28" s="396"/>
      <c r="E28" s="396"/>
      <c r="F28" s="397"/>
    </row>
    <row r="29" spans="1:8" ht="18.95" customHeight="1">
      <c r="A29" s="395"/>
      <c r="B29" s="396"/>
      <c r="C29" s="396"/>
      <c r="D29" s="396"/>
      <c r="E29" s="396"/>
      <c r="F29" s="397"/>
    </row>
    <row r="30" spans="1:8" ht="18.95" customHeight="1">
      <c r="A30" s="395"/>
      <c r="B30" s="396"/>
      <c r="C30" s="396"/>
      <c r="D30" s="396"/>
      <c r="E30" s="396"/>
      <c r="F30" s="397"/>
    </row>
    <row r="31" spans="1:8" ht="18.95" customHeight="1">
      <c r="A31" s="395"/>
      <c r="B31" s="396"/>
      <c r="C31" s="396"/>
      <c r="D31" s="396"/>
      <c r="E31" s="396"/>
      <c r="F31" s="397"/>
    </row>
    <row r="32" spans="1:8" ht="18.95" customHeight="1">
      <c r="A32" s="395"/>
      <c r="B32" s="396"/>
      <c r="C32" s="396"/>
      <c r="D32" s="396"/>
      <c r="E32" s="396"/>
      <c r="F32" s="397"/>
    </row>
    <row r="33" spans="1:15" ht="18.95" customHeight="1">
      <c r="A33" s="395"/>
      <c r="B33" s="396"/>
      <c r="C33" s="396"/>
      <c r="D33" s="396"/>
      <c r="E33" s="396"/>
      <c r="F33" s="397"/>
    </row>
    <row r="34" spans="1:15" ht="18.95" customHeight="1">
      <c r="A34" s="395"/>
      <c r="B34" s="396"/>
      <c r="C34" s="396"/>
      <c r="D34" s="396"/>
      <c r="E34" s="396"/>
      <c r="F34" s="397"/>
    </row>
    <row r="35" spans="1:15" ht="18.95" customHeight="1">
      <c r="A35" s="395"/>
      <c r="B35" s="396"/>
      <c r="C35" s="396"/>
      <c r="D35" s="396"/>
      <c r="E35" s="396"/>
      <c r="F35" s="397"/>
    </row>
    <row r="36" spans="1:15" ht="18.95" customHeight="1">
      <c r="A36" s="395"/>
      <c r="B36" s="396"/>
      <c r="C36" s="396"/>
      <c r="D36" s="396"/>
      <c r="E36" s="396"/>
      <c r="F36" s="397"/>
      <c r="N36" s="525" t="s">
        <v>714</v>
      </c>
      <c r="O36" s="525" t="s">
        <v>715</v>
      </c>
    </row>
    <row r="37" spans="1:15" ht="18.95" customHeight="1">
      <c r="A37" s="395"/>
      <c r="B37" s="396"/>
      <c r="C37" s="396"/>
      <c r="D37" s="396"/>
      <c r="E37" s="396"/>
      <c r="F37" s="397"/>
      <c r="N37" s="525">
        <f xml:space="preserve"> L43 - (L43-L44) / 10 * 0</f>
        <v>3600</v>
      </c>
      <c r="O37" s="525">
        <f xml:space="preserve"> L45 / 10 * 10</f>
        <v>4000</v>
      </c>
    </row>
    <row r="38" spans="1:15" ht="18.95" customHeight="1">
      <c r="A38" s="395"/>
      <c r="B38" s="396"/>
      <c r="C38" s="396"/>
      <c r="D38" s="396"/>
      <c r="E38" s="396"/>
      <c r="F38" s="397"/>
      <c r="N38" s="525">
        <f xml:space="preserve"> L43 - (L43-L44) / 10 * 1</f>
        <v>3597</v>
      </c>
      <c r="O38" s="525">
        <f xml:space="preserve"> L45 / 10 * 9</f>
        <v>3600</v>
      </c>
    </row>
    <row r="39" spans="1:15" ht="18.95" customHeight="1">
      <c r="A39" s="404" t="s">
        <v>582</v>
      </c>
      <c r="B39" s="405" t="s">
        <v>370</v>
      </c>
      <c r="C39" s="524" t="str">
        <f>'Performance Data Sheet'!C10</f>
        <v>2135527.1</v>
      </c>
      <c r="D39" s="396"/>
      <c r="E39" s="401" t="s">
        <v>583</v>
      </c>
      <c r="F39" s="406" t="str">
        <f>F10</f>
        <v>DT2M35U</v>
      </c>
      <c r="N39" s="525">
        <f xml:space="preserve"> L43 - (L43-L44) / 10 * 2</f>
        <v>3594</v>
      </c>
      <c r="O39" s="525">
        <f xml:space="preserve"> L45 / 10 * 8</f>
        <v>3200</v>
      </c>
    </row>
    <row r="40" spans="1:15" ht="18.95" customHeight="1">
      <c r="A40" s="395"/>
      <c r="B40" s="405"/>
      <c r="C40" s="405"/>
      <c r="D40" s="396"/>
      <c r="E40" s="396"/>
      <c r="F40" s="397"/>
      <c r="N40" s="525">
        <f xml:space="preserve"> L43 - (L43-L44) / 10 * 3</f>
        <v>3591</v>
      </c>
      <c r="O40" s="525">
        <f xml:space="preserve"> L45 / 10 * 7</f>
        <v>2800</v>
      </c>
    </row>
    <row r="41" spans="1:15" ht="18.95" customHeight="1">
      <c r="A41" s="395"/>
      <c r="B41" s="405"/>
      <c r="C41" s="405"/>
      <c r="D41" s="396"/>
      <c r="E41" s="396"/>
      <c r="F41" s="397"/>
      <c r="N41" s="525">
        <f xml:space="preserve"> L43 - (L43-L44) / 10 * 4</f>
        <v>3588</v>
      </c>
      <c r="O41" s="525">
        <f xml:space="preserve"> L45 / 10 * 6</f>
        <v>2400</v>
      </c>
    </row>
    <row r="42" spans="1:15" ht="18.95" customHeight="1">
      <c r="A42" s="395"/>
      <c r="B42" s="396"/>
      <c r="C42" s="396"/>
      <c r="D42" s="396"/>
      <c r="E42" s="396"/>
      <c r="F42" s="397"/>
      <c r="N42" s="525">
        <f xml:space="preserve"> L43 - (L43-L44) / 10 * 5</f>
        <v>3585</v>
      </c>
      <c r="O42" s="525">
        <f xml:space="preserve"> L45 / 10 * 5</f>
        <v>2000</v>
      </c>
    </row>
    <row r="43" spans="1:15" ht="18.95" customHeight="1">
      <c r="A43" s="407"/>
      <c r="B43" s="405"/>
      <c r="C43" s="408" t="s">
        <v>584</v>
      </c>
      <c r="D43" s="409" t="str">
        <f>'Performance Data Sheet'!K42</f>
        <v>Zichao Xie</v>
      </c>
      <c r="E43" s="408" t="s">
        <v>585</v>
      </c>
      <c r="F43" s="409"/>
      <c r="K43" s="528" t="s">
        <v>711</v>
      </c>
      <c r="L43" s="529">
        <v>3600</v>
      </c>
      <c r="N43" s="525">
        <f xml:space="preserve"> L43 - (L43-L44) / 10 * 6</f>
        <v>3582</v>
      </c>
      <c r="O43" s="525">
        <f xml:space="preserve"> L45 / 10 * 4</f>
        <v>1600</v>
      </c>
    </row>
    <row r="44" spans="1:15" ht="15" customHeight="1">
      <c r="K44" s="528" t="s">
        <v>712</v>
      </c>
      <c r="L44" s="530">
        <v>3570</v>
      </c>
      <c r="N44" s="525">
        <f xml:space="preserve"> L43 - (L43-L44) / 10 * 7</f>
        <v>3579</v>
      </c>
      <c r="O44" s="525">
        <f xml:space="preserve"> L45 / 10 * 3</f>
        <v>1200</v>
      </c>
    </row>
    <row r="45" spans="1:15" ht="15" customHeight="1">
      <c r="K45" s="528" t="s">
        <v>713</v>
      </c>
      <c r="L45" s="530">
        <v>4000</v>
      </c>
      <c r="N45" s="525">
        <f xml:space="preserve"> L43 - (L43-L44) / 10 * 8</f>
        <v>3576</v>
      </c>
      <c r="O45" s="525">
        <f xml:space="preserve"> L45 / 10 * 2</f>
        <v>800</v>
      </c>
    </row>
    <row r="46" spans="1:15" ht="15" customHeight="1">
      <c r="N46" s="525">
        <f xml:space="preserve"> L43 - (L43-L44) / 10 * 9</f>
        <v>3573</v>
      </c>
      <c r="O46" s="525">
        <f xml:space="preserve"> L45 / 10 * 1</f>
        <v>400</v>
      </c>
    </row>
    <row r="47" spans="1:15" ht="15" customHeight="1">
      <c r="N47" s="525">
        <f xml:space="preserve"> L43 - (L43-L44) / 10 * 10</f>
        <v>3570</v>
      </c>
      <c r="O47" s="678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805" t="s">
        <v>709</v>
      </c>
      <c r="B52" s="806"/>
      <c r="C52" s="806"/>
      <c r="D52" s="806"/>
      <c r="E52" s="806"/>
      <c r="F52" s="807"/>
    </row>
    <row r="53" spans="1:6" ht="15" customHeight="1" thickBot="1">
      <c r="A53" s="526" t="s">
        <v>394</v>
      </c>
      <c r="B53" s="526" t="s">
        <v>142</v>
      </c>
      <c r="C53" s="526" t="s">
        <v>120</v>
      </c>
      <c r="D53" s="526" t="s">
        <v>135</v>
      </c>
      <c r="E53" s="526" t="s">
        <v>5</v>
      </c>
      <c r="F53" s="527" t="s">
        <v>596</v>
      </c>
    </row>
    <row r="54" spans="1:6" ht="15" customHeight="1">
      <c r="A54" s="421">
        <v>0</v>
      </c>
      <c r="B54" s="422"/>
      <c r="C54" s="423"/>
      <c r="D54" s="423">
        <v>49</v>
      </c>
      <c r="E54" s="423">
        <v>100</v>
      </c>
      <c r="F54" s="424">
        <f>20181/(L45*1000) * 100</f>
        <v>0.504525</v>
      </c>
    </row>
    <row r="55" spans="1:6" ht="15" customHeight="1">
      <c r="A55" s="425">
        <v>25</v>
      </c>
      <c r="B55" s="426">
        <v>91.299995422363281</v>
      </c>
      <c r="C55" s="427">
        <v>63.400001525878906</v>
      </c>
      <c r="D55" s="427">
        <v>81.370002746582031</v>
      </c>
      <c r="E55" s="427">
        <f xml:space="preserve"> (1.00313303586994*B10-L44)/(L43-L44)*100</f>
        <v>87.4397786457818</v>
      </c>
      <c r="F55" s="428">
        <f xml:space="preserve"> 357416.2/(L45*1000)*100</f>
        <v>8.9354050000000012</v>
      </c>
    </row>
    <row r="56" spans="1:6" ht="15" customHeight="1">
      <c r="A56" s="425">
        <v>50</v>
      </c>
      <c r="B56" s="426">
        <v>94.199996948242188</v>
      </c>
      <c r="C56" s="427">
        <v>83</v>
      </c>
      <c r="D56" s="427">
        <v>120.37999725341797</v>
      </c>
      <c r="E56" s="427">
        <f xml:space="preserve"> (1.00210212909693*B10-L44)/(L43-L44)*100</f>
        <v>75.120442708315139</v>
      </c>
      <c r="F56" s="428">
        <f xml:space="preserve"> 692234.2/(L45*1000)*100</f>
        <v>17.305854999999998</v>
      </c>
    </row>
    <row r="57" spans="1:6">
      <c r="A57" s="425">
        <v>75</v>
      </c>
      <c r="B57" s="426">
        <v>95.099998474121094</v>
      </c>
      <c r="C57" s="427">
        <v>89.099998474121094</v>
      </c>
      <c r="D57" s="427">
        <v>166.77000427246094</v>
      </c>
      <c r="E57" s="427">
        <f xml:space="preserve"> (1.00105106454847*B10-L44)/(L43-L44)*100</f>
        <v>62.560221354216694</v>
      </c>
      <c r="F57" s="428">
        <f xml:space="preserve"> 1029476/(L45*1000)*100</f>
        <v>25.736900000000002</v>
      </c>
    </row>
    <row r="58" spans="1:6">
      <c r="A58" s="425">
        <v>100</v>
      </c>
      <c r="B58" s="426">
        <v>95.300003051757813</v>
      </c>
      <c r="C58" s="427">
        <v>91.279998779296875</v>
      </c>
      <c r="D58" s="427">
        <v>216.57000732421875</v>
      </c>
      <c r="E58" s="427">
        <f xml:space="preserve"> (1*B10-L44)/(L43-L44)*100</f>
        <v>50</v>
      </c>
      <c r="F58" s="428">
        <f xml:space="preserve"> 1369603/(L45*1000)*100</f>
        <v>34.240074999999997</v>
      </c>
    </row>
    <row r="59" spans="1:6" ht="13.5" thickBot="1">
      <c r="A59" s="429">
        <v>125</v>
      </c>
      <c r="B59" s="430">
        <v>95.300003051757813</v>
      </c>
      <c r="C59" s="431">
        <v>91.900001525878906</v>
      </c>
      <c r="D59" s="431">
        <v>268.72000122070313</v>
      </c>
      <c r="E59" s="431">
        <f xml:space="preserve"> (0.998908483699442*B10-L44)/(L43-L44)*100</f>
        <v>36.956380208331815</v>
      </c>
      <c r="F59" s="432">
        <f xml:space="preserve"> 1710945/(L45*1000)*100</f>
        <v>42.773624999999996</v>
      </c>
    </row>
    <row r="60" spans="1:6">
      <c r="A60" s="410"/>
      <c r="B60" s="411"/>
      <c r="C60" s="411"/>
    </row>
    <row r="61" spans="1:6" ht="13.5" thickBot="1">
      <c r="A61" s="410"/>
      <c r="B61" s="411"/>
      <c r="C61" s="411"/>
    </row>
    <row r="62" spans="1:6" ht="13.5" thickBot="1">
      <c r="A62" s="805" t="s">
        <v>710</v>
      </c>
      <c r="B62" s="806"/>
      <c r="C62" s="806"/>
      <c r="D62" s="806"/>
      <c r="E62" s="806"/>
      <c r="F62" s="807"/>
    </row>
    <row r="63" spans="1:6" ht="13.5" thickBot="1">
      <c r="A63" s="526" t="s">
        <v>394</v>
      </c>
      <c r="B63" s="526" t="s">
        <v>142</v>
      </c>
      <c r="C63" s="526" t="s">
        <v>120</v>
      </c>
      <c r="D63" s="526" t="s">
        <v>135</v>
      </c>
      <c r="E63" s="526" t="s">
        <v>5</v>
      </c>
      <c r="F63" s="527" t="s">
        <v>596</v>
      </c>
    </row>
    <row r="64" spans="1:6">
      <c r="A64" s="421">
        <v>0</v>
      </c>
      <c r="B64" s="422"/>
      <c r="C64" s="423"/>
      <c r="D64" s="423">
        <v>58.573285804002836</v>
      </c>
      <c r="E64" s="423">
        <v>100</v>
      </c>
      <c r="F64" s="424">
        <v>24.404410260191817</v>
      </c>
    </row>
    <row r="65" spans="1:6">
      <c r="A65" s="425">
        <v>25</v>
      </c>
      <c r="B65" s="426">
        <v>91.256126403808594</v>
      </c>
      <c r="C65" s="427">
        <v>63.424694061279297</v>
      </c>
      <c r="D65" s="427">
        <v>81.376548767089844</v>
      </c>
      <c r="E65" s="427">
        <v>97.736179456321011</v>
      </c>
      <c r="F65" s="428">
        <v>8.939341403609161</v>
      </c>
    </row>
    <row r="66" spans="1:6">
      <c r="A66" s="425">
        <v>50</v>
      </c>
      <c r="B66" s="426">
        <v>94.222824096679688</v>
      </c>
      <c r="C66" s="427">
        <v>83.047454833984375</v>
      </c>
      <c r="D66" s="427">
        <v>120.38358306884766</v>
      </c>
      <c r="E66" s="427">
        <v>84.963588397657404</v>
      </c>
      <c r="F66" s="428">
        <v>17.315756189137765</v>
      </c>
    </row>
    <row r="67" spans="1:6">
      <c r="A67" s="425">
        <v>75</v>
      </c>
      <c r="B67" s="426">
        <v>95.04779052734375</v>
      </c>
      <c r="C67" s="427">
        <v>89.134956359863281</v>
      </c>
      <c r="D67" s="427">
        <v>166.78265380859375</v>
      </c>
      <c r="E67" s="427">
        <v>71.97171644376634</v>
      </c>
      <c r="F67" s="428">
        <v>25.748196794366731</v>
      </c>
    </row>
    <row r="68" spans="1:6">
      <c r="A68" s="425">
        <v>100</v>
      </c>
      <c r="B68" s="426">
        <v>95.299606323242188</v>
      </c>
      <c r="C68" s="427">
        <v>91.278976440429688</v>
      </c>
      <c r="D68" s="427">
        <v>216.57974243164063</v>
      </c>
      <c r="E68" s="427">
        <v>58.867056532341721</v>
      </c>
      <c r="F68" s="428">
        <v>34.240215790397457</v>
      </c>
    </row>
    <row r="69" spans="1:6" ht="13.5" thickBot="1">
      <c r="A69" s="429">
        <v>125</v>
      </c>
      <c r="B69" s="430">
        <v>95.315567016601563</v>
      </c>
      <c r="C69" s="431">
        <v>91.938949584960938</v>
      </c>
      <c r="D69" s="431">
        <v>268.73629760742188</v>
      </c>
      <c r="E69" s="431">
        <v>45.543731485837256</v>
      </c>
      <c r="F69" s="432">
        <v>42.793101192131445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syncVertical="1" syncRef="A8" transitionEvaluation="1"/>
  <dimension ref="A1:AB43"/>
  <sheetViews>
    <sheetView showGridLines="0" topLeftCell="A8" zoomScale="75" zoomScaleNormal="75" workbookViewId="0">
      <selection activeCell="J43" sqref="J43"/>
    </sheetView>
  </sheetViews>
  <sheetFormatPr defaultColWidth="9.7109375" defaultRowHeight="12.75"/>
  <cols>
    <col min="1" max="2" width="6.5703125" style="541" customWidth="1"/>
    <col min="3" max="3" width="8.28515625" style="541" customWidth="1"/>
    <col min="4" max="5" width="6.5703125" style="541" customWidth="1"/>
    <col min="6" max="6" width="8.42578125" style="541" customWidth="1"/>
    <col min="7" max="13" width="6.5703125" style="541" customWidth="1"/>
    <col min="14" max="14" width="6.42578125" style="541" customWidth="1"/>
    <col min="15" max="256" width="9.7109375" style="541"/>
    <col min="257" max="258" width="6.5703125" style="541" customWidth="1"/>
    <col min="259" max="259" width="8.28515625" style="541" customWidth="1"/>
    <col min="260" max="261" width="6.5703125" style="541" customWidth="1"/>
    <col min="262" max="262" width="8.42578125" style="541" customWidth="1"/>
    <col min="263" max="269" width="6.5703125" style="541" customWidth="1"/>
    <col min="270" max="270" width="6.42578125" style="541" customWidth="1"/>
    <col min="271" max="512" width="9.7109375" style="541"/>
    <col min="513" max="514" width="6.5703125" style="541" customWidth="1"/>
    <col min="515" max="515" width="8.28515625" style="541" customWidth="1"/>
    <col min="516" max="517" width="6.5703125" style="541" customWidth="1"/>
    <col min="518" max="518" width="8.42578125" style="541" customWidth="1"/>
    <col min="519" max="525" width="6.5703125" style="541" customWidth="1"/>
    <col min="526" max="526" width="6.42578125" style="541" customWidth="1"/>
    <col min="527" max="768" width="9.7109375" style="541"/>
    <col min="769" max="770" width="6.5703125" style="541" customWidth="1"/>
    <col min="771" max="771" width="8.28515625" style="541" customWidth="1"/>
    <col min="772" max="773" width="6.5703125" style="541" customWidth="1"/>
    <col min="774" max="774" width="8.42578125" style="541" customWidth="1"/>
    <col min="775" max="781" width="6.5703125" style="541" customWidth="1"/>
    <col min="782" max="782" width="6.42578125" style="541" customWidth="1"/>
    <col min="783" max="1024" width="9.7109375" style="541"/>
    <col min="1025" max="1026" width="6.5703125" style="541" customWidth="1"/>
    <col min="1027" max="1027" width="8.28515625" style="541" customWidth="1"/>
    <col min="1028" max="1029" width="6.5703125" style="541" customWidth="1"/>
    <col min="1030" max="1030" width="8.42578125" style="541" customWidth="1"/>
    <col min="1031" max="1037" width="6.5703125" style="541" customWidth="1"/>
    <col min="1038" max="1038" width="6.42578125" style="541" customWidth="1"/>
    <col min="1039" max="1280" width="9.7109375" style="541"/>
    <col min="1281" max="1282" width="6.5703125" style="541" customWidth="1"/>
    <col min="1283" max="1283" width="8.28515625" style="541" customWidth="1"/>
    <col min="1284" max="1285" width="6.5703125" style="541" customWidth="1"/>
    <col min="1286" max="1286" width="8.42578125" style="541" customWidth="1"/>
    <col min="1287" max="1293" width="6.5703125" style="541" customWidth="1"/>
    <col min="1294" max="1294" width="6.42578125" style="541" customWidth="1"/>
    <col min="1295" max="1536" width="9.7109375" style="541"/>
    <col min="1537" max="1538" width="6.5703125" style="541" customWidth="1"/>
    <col min="1539" max="1539" width="8.28515625" style="541" customWidth="1"/>
    <col min="1540" max="1541" width="6.5703125" style="541" customWidth="1"/>
    <col min="1542" max="1542" width="8.42578125" style="541" customWidth="1"/>
    <col min="1543" max="1549" width="6.5703125" style="541" customWidth="1"/>
    <col min="1550" max="1550" width="6.42578125" style="541" customWidth="1"/>
    <col min="1551" max="1792" width="9.7109375" style="541"/>
    <col min="1793" max="1794" width="6.5703125" style="541" customWidth="1"/>
    <col min="1795" max="1795" width="8.28515625" style="541" customWidth="1"/>
    <col min="1796" max="1797" width="6.5703125" style="541" customWidth="1"/>
    <col min="1798" max="1798" width="8.42578125" style="541" customWidth="1"/>
    <col min="1799" max="1805" width="6.5703125" style="541" customWidth="1"/>
    <col min="1806" max="1806" width="6.42578125" style="541" customWidth="1"/>
    <col min="1807" max="2048" width="9.7109375" style="541"/>
    <col min="2049" max="2050" width="6.5703125" style="541" customWidth="1"/>
    <col min="2051" max="2051" width="8.28515625" style="541" customWidth="1"/>
    <col min="2052" max="2053" width="6.5703125" style="541" customWidth="1"/>
    <col min="2054" max="2054" width="8.42578125" style="541" customWidth="1"/>
    <col min="2055" max="2061" width="6.5703125" style="541" customWidth="1"/>
    <col min="2062" max="2062" width="6.42578125" style="541" customWidth="1"/>
    <col min="2063" max="2304" width="9.7109375" style="541"/>
    <col min="2305" max="2306" width="6.5703125" style="541" customWidth="1"/>
    <col min="2307" max="2307" width="8.28515625" style="541" customWidth="1"/>
    <col min="2308" max="2309" width="6.5703125" style="541" customWidth="1"/>
    <col min="2310" max="2310" width="8.42578125" style="541" customWidth="1"/>
    <col min="2311" max="2317" width="6.5703125" style="541" customWidth="1"/>
    <col min="2318" max="2318" width="6.42578125" style="541" customWidth="1"/>
    <col min="2319" max="2560" width="9.7109375" style="541"/>
    <col min="2561" max="2562" width="6.5703125" style="541" customWidth="1"/>
    <col min="2563" max="2563" width="8.28515625" style="541" customWidth="1"/>
    <col min="2564" max="2565" width="6.5703125" style="541" customWidth="1"/>
    <col min="2566" max="2566" width="8.42578125" style="541" customWidth="1"/>
    <col min="2567" max="2573" width="6.5703125" style="541" customWidth="1"/>
    <col min="2574" max="2574" width="6.42578125" style="541" customWidth="1"/>
    <col min="2575" max="2816" width="9.7109375" style="541"/>
    <col min="2817" max="2818" width="6.5703125" style="541" customWidth="1"/>
    <col min="2819" max="2819" width="8.28515625" style="541" customWidth="1"/>
    <col min="2820" max="2821" width="6.5703125" style="541" customWidth="1"/>
    <col min="2822" max="2822" width="8.42578125" style="541" customWidth="1"/>
    <col min="2823" max="2829" width="6.5703125" style="541" customWidth="1"/>
    <col min="2830" max="2830" width="6.42578125" style="541" customWidth="1"/>
    <col min="2831" max="3072" width="9.7109375" style="541"/>
    <col min="3073" max="3074" width="6.5703125" style="541" customWidth="1"/>
    <col min="3075" max="3075" width="8.28515625" style="541" customWidth="1"/>
    <col min="3076" max="3077" width="6.5703125" style="541" customWidth="1"/>
    <col min="3078" max="3078" width="8.42578125" style="541" customWidth="1"/>
    <col min="3079" max="3085" width="6.5703125" style="541" customWidth="1"/>
    <col min="3086" max="3086" width="6.42578125" style="541" customWidth="1"/>
    <col min="3087" max="3328" width="9.7109375" style="541"/>
    <col min="3329" max="3330" width="6.5703125" style="541" customWidth="1"/>
    <col min="3331" max="3331" width="8.28515625" style="541" customWidth="1"/>
    <col min="3332" max="3333" width="6.5703125" style="541" customWidth="1"/>
    <col min="3334" max="3334" width="8.42578125" style="541" customWidth="1"/>
    <col min="3335" max="3341" width="6.5703125" style="541" customWidth="1"/>
    <col min="3342" max="3342" width="6.42578125" style="541" customWidth="1"/>
    <col min="3343" max="3584" width="9.7109375" style="541"/>
    <col min="3585" max="3586" width="6.5703125" style="541" customWidth="1"/>
    <col min="3587" max="3587" width="8.28515625" style="541" customWidth="1"/>
    <col min="3588" max="3589" width="6.5703125" style="541" customWidth="1"/>
    <col min="3590" max="3590" width="8.42578125" style="541" customWidth="1"/>
    <col min="3591" max="3597" width="6.5703125" style="541" customWidth="1"/>
    <col min="3598" max="3598" width="6.42578125" style="541" customWidth="1"/>
    <col min="3599" max="3840" width="9.7109375" style="541"/>
    <col min="3841" max="3842" width="6.5703125" style="541" customWidth="1"/>
    <col min="3843" max="3843" width="8.28515625" style="541" customWidth="1"/>
    <col min="3844" max="3845" width="6.5703125" style="541" customWidth="1"/>
    <col min="3846" max="3846" width="8.42578125" style="541" customWidth="1"/>
    <col min="3847" max="3853" width="6.5703125" style="541" customWidth="1"/>
    <col min="3854" max="3854" width="6.42578125" style="541" customWidth="1"/>
    <col min="3855" max="4096" width="9.7109375" style="541"/>
    <col min="4097" max="4098" width="6.5703125" style="541" customWidth="1"/>
    <col min="4099" max="4099" width="8.28515625" style="541" customWidth="1"/>
    <col min="4100" max="4101" width="6.5703125" style="541" customWidth="1"/>
    <col min="4102" max="4102" width="8.42578125" style="541" customWidth="1"/>
    <col min="4103" max="4109" width="6.5703125" style="541" customWidth="1"/>
    <col min="4110" max="4110" width="6.42578125" style="541" customWidth="1"/>
    <col min="4111" max="4352" width="9.7109375" style="541"/>
    <col min="4353" max="4354" width="6.5703125" style="541" customWidth="1"/>
    <col min="4355" max="4355" width="8.28515625" style="541" customWidth="1"/>
    <col min="4356" max="4357" width="6.5703125" style="541" customWidth="1"/>
    <col min="4358" max="4358" width="8.42578125" style="541" customWidth="1"/>
    <col min="4359" max="4365" width="6.5703125" style="541" customWidth="1"/>
    <col min="4366" max="4366" width="6.42578125" style="541" customWidth="1"/>
    <col min="4367" max="4608" width="9.7109375" style="541"/>
    <col min="4609" max="4610" width="6.5703125" style="541" customWidth="1"/>
    <col min="4611" max="4611" width="8.28515625" style="541" customWidth="1"/>
    <col min="4612" max="4613" width="6.5703125" style="541" customWidth="1"/>
    <col min="4614" max="4614" width="8.42578125" style="541" customWidth="1"/>
    <col min="4615" max="4621" width="6.5703125" style="541" customWidth="1"/>
    <col min="4622" max="4622" width="6.42578125" style="541" customWidth="1"/>
    <col min="4623" max="4864" width="9.7109375" style="541"/>
    <col min="4865" max="4866" width="6.5703125" style="541" customWidth="1"/>
    <col min="4867" max="4867" width="8.28515625" style="541" customWidth="1"/>
    <col min="4868" max="4869" width="6.5703125" style="541" customWidth="1"/>
    <col min="4870" max="4870" width="8.42578125" style="541" customWidth="1"/>
    <col min="4871" max="4877" width="6.5703125" style="541" customWidth="1"/>
    <col min="4878" max="4878" width="6.42578125" style="541" customWidth="1"/>
    <col min="4879" max="5120" width="9.7109375" style="541"/>
    <col min="5121" max="5122" width="6.5703125" style="541" customWidth="1"/>
    <col min="5123" max="5123" width="8.28515625" style="541" customWidth="1"/>
    <col min="5124" max="5125" width="6.5703125" style="541" customWidth="1"/>
    <col min="5126" max="5126" width="8.42578125" style="541" customWidth="1"/>
    <col min="5127" max="5133" width="6.5703125" style="541" customWidth="1"/>
    <col min="5134" max="5134" width="6.42578125" style="541" customWidth="1"/>
    <col min="5135" max="5376" width="9.7109375" style="541"/>
    <col min="5377" max="5378" width="6.5703125" style="541" customWidth="1"/>
    <col min="5379" max="5379" width="8.28515625" style="541" customWidth="1"/>
    <col min="5380" max="5381" width="6.5703125" style="541" customWidth="1"/>
    <col min="5382" max="5382" width="8.42578125" style="541" customWidth="1"/>
    <col min="5383" max="5389" width="6.5703125" style="541" customWidth="1"/>
    <col min="5390" max="5390" width="6.42578125" style="541" customWidth="1"/>
    <col min="5391" max="5632" width="9.7109375" style="541"/>
    <col min="5633" max="5634" width="6.5703125" style="541" customWidth="1"/>
    <col min="5635" max="5635" width="8.28515625" style="541" customWidth="1"/>
    <col min="5636" max="5637" width="6.5703125" style="541" customWidth="1"/>
    <col min="5638" max="5638" width="8.42578125" style="541" customWidth="1"/>
    <col min="5639" max="5645" width="6.5703125" style="541" customWidth="1"/>
    <col min="5646" max="5646" width="6.42578125" style="541" customWidth="1"/>
    <col min="5647" max="5888" width="9.7109375" style="541"/>
    <col min="5889" max="5890" width="6.5703125" style="541" customWidth="1"/>
    <col min="5891" max="5891" width="8.28515625" style="541" customWidth="1"/>
    <col min="5892" max="5893" width="6.5703125" style="541" customWidth="1"/>
    <col min="5894" max="5894" width="8.42578125" style="541" customWidth="1"/>
    <col min="5895" max="5901" width="6.5703125" style="541" customWidth="1"/>
    <col min="5902" max="5902" width="6.42578125" style="541" customWidth="1"/>
    <col min="5903" max="6144" width="9.7109375" style="541"/>
    <col min="6145" max="6146" width="6.5703125" style="541" customWidth="1"/>
    <col min="6147" max="6147" width="8.28515625" style="541" customWidth="1"/>
    <col min="6148" max="6149" width="6.5703125" style="541" customWidth="1"/>
    <col min="6150" max="6150" width="8.42578125" style="541" customWidth="1"/>
    <col min="6151" max="6157" width="6.5703125" style="541" customWidth="1"/>
    <col min="6158" max="6158" width="6.42578125" style="541" customWidth="1"/>
    <col min="6159" max="6400" width="9.7109375" style="541"/>
    <col min="6401" max="6402" width="6.5703125" style="541" customWidth="1"/>
    <col min="6403" max="6403" width="8.28515625" style="541" customWidth="1"/>
    <col min="6404" max="6405" width="6.5703125" style="541" customWidth="1"/>
    <col min="6406" max="6406" width="8.42578125" style="541" customWidth="1"/>
    <col min="6407" max="6413" width="6.5703125" style="541" customWidth="1"/>
    <col min="6414" max="6414" width="6.42578125" style="541" customWidth="1"/>
    <col min="6415" max="6656" width="9.7109375" style="541"/>
    <col min="6657" max="6658" width="6.5703125" style="541" customWidth="1"/>
    <col min="6659" max="6659" width="8.28515625" style="541" customWidth="1"/>
    <col min="6660" max="6661" width="6.5703125" style="541" customWidth="1"/>
    <col min="6662" max="6662" width="8.42578125" style="541" customWidth="1"/>
    <col min="6663" max="6669" width="6.5703125" style="541" customWidth="1"/>
    <col min="6670" max="6670" width="6.42578125" style="541" customWidth="1"/>
    <col min="6671" max="6912" width="9.7109375" style="541"/>
    <col min="6913" max="6914" width="6.5703125" style="541" customWidth="1"/>
    <col min="6915" max="6915" width="8.28515625" style="541" customWidth="1"/>
    <col min="6916" max="6917" width="6.5703125" style="541" customWidth="1"/>
    <col min="6918" max="6918" width="8.42578125" style="541" customWidth="1"/>
    <col min="6919" max="6925" width="6.5703125" style="541" customWidth="1"/>
    <col min="6926" max="6926" width="6.42578125" style="541" customWidth="1"/>
    <col min="6927" max="7168" width="9.7109375" style="541"/>
    <col min="7169" max="7170" width="6.5703125" style="541" customWidth="1"/>
    <col min="7171" max="7171" width="8.28515625" style="541" customWidth="1"/>
    <col min="7172" max="7173" width="6.5703125" style="541" customWidth="1"/>
    <col min="7174" max="7174" width="8.42578125" style="541" customWidth="1"/>
    <col min="7175" max="7181" width="6.5703125" style="541" customWidth="1"/>
    <col min="7182" max="7182" width="6.42578125" style="541" customWidth="1"/>
    <col min="7183" max="7424" width="9.7109375" style="541"/>
    <col min="7425" max="7426" width="6.5703125" style="541" customWidth="1"/>
    <col min="7427" max="7427" width="8.28515625" style="541" customWidth="1"/>
    <col min="7428" max="7429" width="6.5703125" style="541" customWidth="1"/>
    <col min="7430" max="7430" width="8.42578125" style="541" customWidth="1"/>
    <col min="7431" max="7437" width="6.5703125" style="541" customWidth="1"/>
    <col min="7438" max="7438" width="6.42578125" style="541" customWidth="1"/>
    <col min="7439" max="7680" width="9.7109375" style="541"/>
    <col min="7681" max="7682" width="6.5703125" style="541" customWidth="1"/>
    <col min="7683" max="7683" width="8.28515625" style="541" customWidth="1"/>
    <col min="7684" max="7685" width="6.5703125" style="541" customWidth="1"/>
    <col min="7686" max="7686" width="8.42578125" style="541" customWidth="1"/>
    <col min="7687" max="7693" width="6.5703125" style="541" customWidth="1"/>
    <col min="7694" max="7694" width="6.42578125" style="541" customWidth="1"/>
    <col min="7695" max="7936" width="9.7109375" style="541"/>
    <col min="7937" max="7938" width="6.5703125" style="541" customWidth="1"/>
    <col min="7939" max="7939" width="8.28515625" style="541" customWidth="1"/>
    <col min="7940" max="7941" width="6.5703125" style="541" customWidth="1"/>
    <col min="7942" max="7942" width="8.42578125" style="541" customWidth="1"/>
    <col min="7943" max="7949" width="6.5703125" style="541" customWidth="1"/>
    <col min="7950" max="7950" width="6.42578125" style="541" customWidth="1"/>
    <col min="7951" max="8192" width="9.7109375" style="541"/>
    <col min="8193" max="8194" width="6.5703125" style="541" customWidth="1"/>
    <col min="8195" max="8195" width="8.28515625" style="541" customWidth="1"/>
    <col min="8196" max="8197" width="6.5703125" style="541" customWidth="1"/>
    <col min="8198" max="8198" width="8.42578125" style="541" customWidth="1"/>
    <col min="8199" max="8205" width="6.5703125" style="541" customWidth="1"/>
    <col min="8206" max="8206" width="6.42578125" style="541" customWidth="1"/>
    <col min="8207" max="8448" width="9.7109375" style="541"/>
    <col min="8449" max="8450" width="6.5703125" style="541" customWidth="1"/>
    <col min="8451" max="8451" width="8.28515625" style="541" customWidth="1"/>
    <col min="8452" max="8453" width="6.5703125" style="541" customWidth="1"/>
    <col min="8454" max="8454" width="8.42578125" style="541" customWidth="1"/>
    <col min="8455" max="8461" width="6.5703125" style="541" customWidth="1"/>
    <col min="8462" max="8462" width="6.42578125" style="541" customWidth="1"/>
    <col min="8463" max="8704" width="9.7109375" style="541"/>
    <col min="8705" max="8706" width="6.5703125" style="541" customWidth="1"/>
    <col min="8707" max="8707" width="8.28515625" style="541" customWidth="1"/>
    <col min="8708" max="8709" width="6.5703125" style="541" customWidth="1"/>
    <col min="8710" max="8710" width="8.42578125" style="541" customWidth="1"/>
    <col min="8711" max="8717" width="6.5703125" style="541" customWidth="1"/>
    <col min="8718" max="8718" width="6.42578125" style="541" customWidth="1"/>
    <col min="8719" max="8960" width="9.7109375" style="541"/>
    <col min="8961" max="8962" width="6.5703125" style="541" customWidth="1"/>
    <col min="8963" max="8963" width="8.28515625" style="541" customWidth="1"/>
    <col min="8964" max="8965" width="6.5703125" style="541" customWidth="1"/>
    <col min="8966" max="8966" width="8.42578125" style="541" customWidth="1"/>
    <col min="8967" max="8973" width="6.5703125" style="541" customWidth="1"/>
    <col min="8974" max="8974" width="6.42578125" style="541" customWidth="1"/>
    <col min="8975" max="9216" width="9.7109375" style="541"/>
    <col min="9217" max="9218" width="6.5703125" style="541" customWidth="1"/>
    <col min="9219" max="9219" width="8.28515625" style="541" customWidth="1"/>
    <col min="9220" max="9221" width="6.5703125" style="541" customWidth="1"/>
    <col min="9222" max="9222" width="8.42578125" style="541" customWidth="1"/>
    <col min="9223" max="9229" width="6.5703125" style="541" customWidth="1"/>
    <col min="9230" max="9230" width="6.42578125" style="541" customWidth="1"/>
    <col min="9231" max="9472" width="9.7109375" style="541"/>
    <col min="9473" max="9474" width="6.5703125" style="541" customWidth="1"/>
    <col min="9475" max="9475" width="8.28515625" style="541" customWidth="1"/>
    <col min="9476" max="9477" width="6.5703125" style="541" customWidth="1"/>
    <col min="9478" max="9478" width="8.42578125" style="541" customWidth="1"/>
    <col min="9479" max="9485" width="6.5703125" style="541" customWidth="1"/>
    <col min="9486" max="9486" width="6.42578125" style="541" customWidth="1"/>
    <col min="9487" max="9728" width="9.7109375" style="541"/>
    <col min="9729" max="9730" width="6.5703125" style="541" customWidth="1"/>
    <col min="9731" max="9731" width="8.28515625" style="541" customWidth="1"/>
    <col min="9732" max="9733" width="6.5703125" style="541" customWidth="1"/>
    <col min="9734" max="9734" width="8.42578125" style="541" customWidth="1"/>
    <col min="9735" max="9741" width="6.5703125" style="541" customWidth="1"/>
    <col min="9742" max="9742" width="6.42578125" style="541" customWidth="1"/>
    <col min="9743" max="9984" width="9.7109375" style="541"/>
    <col min="9985" max="9986" width="6.5703125" style="541" customWidth="1"/>
    <col min="9987" max="9987" width="8.28515625" style="541" customWidth="1"/>
    <col min="9988" max="9989" width="6.5703125" style="541" customWidth="1"/>
    <col min="9990" max="9990" width="8.42578125" style="541" customWidth="1"/>
    <col min="9991" max="9997" width="6.5703125" style="541" customWidth="1"/>
    <col min="9998" max="9998" width="6.42578125" style="541" customWidth="1"/>
    <col min="9999" max="10240" width="9.7109375" style="541"/>
    <col min="10241" max="10242" width="6.5703125" style="541" customWidth="1"/>
    <col min="10243" max="10243" width="8.28515625" style="541" customWidth="1"/>
    <col min="10244" max="10245" width="6.5703125" style="541" customWidth="1"/>
    <col min="10246" max="10246" width="8.42578125" style="541" customWidth="1"/>
    <col min="10247" max="10253" width="6.5703125" style="541" customWidth="1"/>
    <col min="10254" max="10254" width="6.42578125" style="541" customWidth="1"/>
    <col min="10255" max="10496" width="9.7109375" style="541"/>
    <col min="10497" max="10498" width="6.5703125" style="541" customWidth="1"/>
    <col min="10499" max="10499" width="8.28515625" style="541" customWidth="1"/>
    <col min="10500" max="10501" width="6.5703125" style="541" customWidth="1"/>
    <col min="10502" max="10502" width="8.42578125" style="541" customWidth="1"/>
    <col min="10503" max="10509" width="6.5703125" style="541" customWidth="1"/>
    <col min="10510" max="10510" width="6.42578125" style="541" customWidth="1"/>
    <col min="10511" max="10752" width="9.7109375" style="541"/>
    <col min="10753" max="10754" width="6.5703125" style="541" customWidth="1"/>
    <col min="10755" max="10755" width="8.28515625" style="541" customWidth="1"/>
    <col min="10756" max="10757" width="6.5703125" style="541" customWidth="1"/>
    <col min="10758" max="10758" width="8.42578125" style="541" customWidth="1"/>
    <col min="10759" max="10765" width="6.5703125" style="541" customWidth="1"/>
    <col min="10766" max="10766" width="6.42578125" style="541" customWidth="1"/>
    <col min="10767" max="11008" width="9.7109375" style="541"/>
    <col min="11009" max="11010" width="6.5703125" style="541" customWidth="1"/>
    <col min="11011" max="11011" width="8.28515625" style="541" customWidth="1"/>
    <col min="11012" max="11013" width="6.5703125" style="541" customWidth="1"/>
    <col min="11014" max="11014" width="8.42578125" style="541" customWidth="1"/>
    <col min="11015" max="11021" width="6.5703125" style="541" customWidth="1"/>
    <col min="11022" max="11022" width="6.42578125" style="541" customWidth="1"/>
    <col min="11023" max="11264" width="9.7109375" style="541"/>
    <col min="11265" max="11266" width="6.5703125" style="541" customWidth="1"/>
    <col min="11267" max="11267" width="8.28515625" style="541" customWidth="1"/>
    <col min="11268" max="11269" width="6.5703125" style="541" customWidth="1"/>
    <col min="11270" max="11270" width="8.42578125" style="541" customWidth="1"/>
    <col min="11271" max="11277" width="6.5703125" style="541" customWidth="1"/>
    <col min="11278" max="11278" width="6.42578125" style="541" customWidth="1"/>
    <col min="11279" max="11520" width="9.7109375" style="541"/>
    <col min="11521" max="11522" width="6.5703125" style="541" customWidth="1"/>
    <col min="11523" max="11523" width="8.28515625" style="541" customWidth="1"/>
    <col min="11524" max="11525" width="6.5703125" style="541" customWidth="1"/>
    <col min="11526" max="11526" width="8.42578125" style="541" customWidth="1"/>
    <col min="11527" max="11533" width="6.5703125" style="541" customWidth="1"/>
    <col min="11534" max="11534" width="6.42578125" style="541" customWidth="1"/>
    <col min="11535" max="11776" width="9.7109375" style="541"/>
    <col min="11777" max="11778" width="6.5703125" style="541" customWidth="1"/>
    <col min="11779" max="11779" width="8.28515625" style="541" customWidth="1"/>
    <col min="11780" max="11781" width="6.5703125" style="541" customWidth="1"/>
    <col min="11782" max="11782" width="8.42578125" style="541" customWidth="1"/>
    <col min="11783" max="11789" width="6.5703125" style="541" customWidth="1"/>
    <col min="11790" max="11790" width="6.42578125" style="541" customWidth="1"/>
    <col min="11791" max="12032" width="9.7109375" style="541"/>
    <col min="12033" max="12034" width="6.5703125" style="541" customWidth="1"/>
    <col min="12035" max="12035" width="8.28515625" style="541" customWidth="1"/>
    <col min="12036" max="12037" width="6.5703125" style="541" customWidth="1"/>
    <col min="12038" max="12038" width="8.42578125" style="541" customWidth="1"/>
    <col min="12039" max="12045" width="6.5703125" style="541" customWidth="1"/>
    <col min="12046" max="12046" width="6.42578125" style="541" customWidth="1"/>
    <col min="12047" max="12288" width="9.7109375" style="541"/>
    <col min="12289" max="12290" width="6.5703125" style="541" customWidth="1"/>
    <col min="12291" max="12291" width="8.28515625" style="541" customWidth="1"/>
    <col min="12292" max="12293" width="6.5703125" style="541" customWidth="1"/>
    <col min="12294" max="12294" width="8.42578125" style="541" customWidth="1"/>
    <col min="12295" max="12301" width="6.5703125" style="541" customWidth="1"/>
    <col min="12302" max="12302" width="6.42578125" style="541" customWidth="1"/>
    <col min="12303" max="12544" width="9.7109375" style="541"/>
    <col min="12545" max="12546" width="6.5703125" style="541" customWidth="1"/>
    <col min="12547" max="12547" width="8.28515625" style="541" customWidth="1"/>
    <col min="12548" max="12549" width="6.5703125" style="541" customWidth="1"/>
    <col min="12550" max="12550" width="8.42578125" style="541" customWidth="1"/>
    <col min="12551" max="12557" width="6.5703125" style="541" customWidth="1"/>
    <col min="12558" max="12558" width="6.42578125" style="541" customWidth="1"/>
    <col min="12559" max="12800" width="9.7109375" style="541"/>
    <col min="12801" max="12802" width="6.5703125" style="541" customWidth="1"/>
    <col min="12803" max="12803" width="8.28515625" style="541" customWidth="1"/>
    <col min="12804" max="12805" width="6.5703125" style="541" customWidth="1"/>
    <col min="12806" max="12806" width="8.42578125" style="541" customWidth="1"/>
    <col min="12807" max="12813" width="6.5703125" style="541" customWidth="1"/>
    <col min="12814" max="12814" width="6.42578125" style="541" customWidth="1"/>
    <col min="12815" max="13056" width="9.7109375" style="541"/>
    <col min="13057" max="13058" width="6.5703125" style="541" customWidth="1"/>
    <col min="13059" max="13059" width="8.28515625" style="541" customWidth="1"/>
    <col min="13060" max="13061" width="6.5703125" style="541" customWidth="1"/>
    <col min="13062" max="13062" width="8.42578125" style="541" customWidth="1"/>
    <col min="13063" max="13069" width="6.5703125" style="541" customWidth="1"/>
    <col min="13070" max="13070" width="6.42578125" style="541" customWidth="1"/>
    <col min="13071" max="13312" width="9.7109375" style="541"/>
    <col min="13313" max="13314" width="6.5703125" style="541" customWidth="1"/>
    <col min="13315" max="13315" width="8.28515625" style="541" customWidth="1"/>
    <col min="13316" max="13317" width="6.5703125" style="541" customWidth="1"/>
    <col min="13318" max="13318" width="8.42578125" style="541" customWidth="1"/>
    <col min="13319" max="13325" width="6.5703125" style="541" customWidth="1"/>
    <col min="13326" max="13326" width="6.42578125" style="541" customWidth="1"/>
    <col min="13327" max="13568" width="9.7109375" style="541"/>
    <col min="13569" max="13570" width="6.5703125" style="541" customWidth="1"/>
    <col min="13571" max="13571" width="8.28515625" style="541" customWidth="1"/>
    <col min="13572" max="13573" width="6.5703125" style="541" customWidth="1"/>
    <col min="13574" max="13574" width="8.42578125" style="541" customWidth="1"/>
    <col min="13575" max="13581" width="6.5703125" style="541" customWidth="1"/>
    <col min="13582" max="13582" width="6.42578125" style="541" customWidth="1"/>
    <col min="13583" max="13824" width="9.7109375" style="541"/>
    <col min="13825" max="13826" width="6.5703125" style="541" customWidth="1"/>
    <col min="13827" max="13827" width="8.28515625" style="541" customWidth="1"/>
    <col min="13828" max="13829" width="6.5703125" style="541" customWidth="1"/>
    <col min="13830" max="13830" width="8.42578125" style="541" customWidth="1"/>
    <col min="13831" max="13837" width="6.5703125" style="541" customWidth="1"/>
    <col min="13838" max="13838" width="6.42578125" style="541" customWidth="1"/>
    <col min="13839" max="14080" width="9.7109375" style="541"/>
    <col min="14081" max="14082" width="6.5703125" style="541" customWidth="1"/>
    <col min="14083" max="14083" width="8.28515625" style="541" customWidth="1"/>
    <col min="14084" max="14085" width="6.5703125" style="541" customWidth="1"/>
    <col min="14086" max="14086" width="8.42578125" style="541" customWidth="1"/>
    <col min="14087" max="14093" width="6.5703125" style="541" customWidth="1"/>
    <col min="14094" max="14094" width="6.42578125" style="541" customWidth="1"/>
    <col min="14095" max="14336" width="9.7109375" style="541"/>
    <col min="14337" max="14338" width="6.5703125" style="541" customWidth="1"/>
    <col min="14339" max="14339" width="8.28515625" style="541" customWidth="1"/>
    <col min="14340" max="14341" width="6.5703125" style="541" customWidth="1"/>
    <col min="14342" max="14342" width="8.42578125" style="541" customWidth="1"/>
    <col min="14343" max="14349" width="6.5703125" style="541" customWidth="1"/>
    <col min="14350" max="14350" width="6.42578125" style="541" customWidth="1"/>
    <col min="14351" max="14592" width="9.7109375" style="541"/>
    <col min="14593" max="14594" width="6.5703125" style="541" customWidth="1"/>
    <col min="14595" max="14595" width="8.28515625" style="541" customWidth="1"/>
    <col min="14596" max="14597" width="6.5703125" style="541" customWidth="1"/>
    <col min="14598" max="14598" width="8.42578125" style="541" customWidth="1"/>
    <col min="14599" max="14605" width="6.5703125" style="541" customWidth="1"/>
    <col min="14606" max="14606" width="6.42578125" style="541" customWidth="1"/>
    <col min="14607" max="14848" width="9.7109375" style="541"/>
    <col min="14849" max="14850" width="6.5703125" style="541" customWidth="1"/>
    <col min="14851" max="14851" width="8.28515625" style="541" customWidth="1"/>
    <col min="14852" max="14853" width="6.5703125" style="541" customWidth="1"/>
    <col min="14854" max="14854" width="8.42578125" style="541" customWidth="1"/>
    <col min="14855" max="14861" width="6.5703125" style="541" customWidth="1"/>
    <col min="14862" max="14862" width="6.42578125" style="541" customWidth="1"/>
    <col min="14863" max="15104" width="9.7109375" style="541"/>
    <col min="15105" max="15106" width="6.5703125" style="541" customWidth="1"/>
    <col min="15107" max="15107" width="8.28515625" style="541" customWidth="1"/>
    <col min="15108" max="15109" width="6.5703125" style="541" customWidth="1"/>
    <col min="15110" max="15110" width="8.42578125" style="541" customWidth="1"/>
    <col min="15111" max="15117" width="6.5703125" style="541" customWidth="1"/>
    <col min="15118" max="15118" width="6.42578125" style="541" customWidth="1"/>
    <col min="15119" max="15360" width="9.7109375" style="541"/>
    <col min="15361" max="15362" width="6.5703125" style="541" customWidth="1"/>
    <col min="15363" max="15363" width="8.28515625" style="541" customWidth="1"/>
    <col min="15364" max="15365" width="6.5703125" style="541" customWidth="1"/>
    <col min="15366" max="15366" width="8.42578125" style="541" customWidth="1"/>
    <col min="15367" max="15373" width="6.5703125" style="541" customWidth="1"/>
    <col min="15374" max="15374" width="6.42578125" style="541" customWidth="1"/>
    <col min="15375" max="15616" width="9.7109375" style="541"/>
    <col min="15617" max="15618" width="6.5703125" style="541" customWidth="1"/>
    <col min="15619" max="15619" width="8.28515625" style="541" customWidth="1"/>
    <col min="15620" max="15621" width="6.5703125" style="541" customWidth="1"/>
    <col min="15622" max="15622" width="8.42578125" style="541" customWidth="1"/>
    <col min="15623" max="15629" width="6.5703125" style="541" customWidth="1"/>
    <col min="15630" max="15630" width="6.42578125" style="541" customWidth="1"/>
    <col min="15631" max="15872" width="9.7109375" style="541"/>
    <col min="15873" max="15874" width="6.5703125" style="541" customWidth="1"/>
    <col min="15875" max="15875" width="8.28515625" style="541" customWidth="1"/>
    <col min="15876" max="15877" width="6.5703125" style="541" customWidth="1"/>
    <col min="15878" max="15878" width="8.42578125" style="541" customWidth="1"/>
    <col min="15879" max="15885" width="6.5703125" style="541" customWidth="1"/>
    <col min="15886" max="15886" width="6.42578125" style="541" customWidth="1"/>
    <col min="15887" max="16128" width="9.7109375" style="541"/>
    <col min="16129" max="16130" width="6.5703125" style="541" customWidth="1"/>
    <col min="16131" max="16131" width="8.28515625" style="541" customWidth="1"/>
    <col min="16132" max="16133" width="6.5703125" style="541" customWidth="1"/>
    <col min="16134" max="16134" width="8.42578125" style="541" customWidth="1"/>
    <col min="16135" max="16141" width="6.5703125" style="541" customWidth="1"/>
    <col min="16142" max="16142" width="6.42578125" style="541" customWidth="1"/>
    <col min="16143" max="16384" width="9.7109375" style="541"/>
  </cols>
  <sheetData>
    <row r="1" spans="1:14" ht="15.75" customHeight="1">
      <c r="A1" s="535" t="s">
        <v>269</v>
      </c>
      <c r="B1" s="536"/>
      <c r="C1" s="536"/>
      <c r="D1" s="536"/>
      <c r="E1" s="536"/>
      <c r="F1" s="536"/>
      <c r="G1" s="536"/>
      <c r="H1" s="536"/>
      <c r="I1" s="536"/>
      <c r="J1" s="537" t="s">
        <v>597</v>
      </c>
      <c r="K1" s="538"/>
      <c r="L1" s="539" t="s">
        <v>721</v>
      </c>
      <c r="M1" s="540"/>
    </row>
    <row r="2" spans="1:14" ht="15.75" customHeight="1">
      <c r="A2" s="542" t="s">
        <v>599</v>
      </c>
      <c r="B2" s="543"/>
      <c r="C2" s="543"/>
      <c r="D2" s="543"/>
      <c r="E2" s="543"/>
      <c r="F2" s="543"/>
      <c r="G2" s="543"/>
      <c r="H2" s="543"/>
      <c r="I2" s="543"/>
      <c r="J2" s="544" t="s">
        <v>600</v>
      </c>
      <c r="K2" s="545"/>
      <c r="L2" s="546" t="s">
        <v>601</v>
      </c>
      <c r="M2" s="547"/>
    </row>
    <row r="3" spans="1:14" ht="15.75" customHeight="1">
      <c r="A3" s="548"/>
      <c r="B3" s="549"/>
      <c r="C3" s="549"/>
      <c r="D3" s="549"/>
      <c r="E3" s="549"/>
      <c r="F3" s="549"/>
      <c r="G3" s="549"/>
      <c r="H3" s="549"/>
      <c r="I3" s="549"/>
      <c r="J3" s="544" t="s">
        <v>602</v>
      </c>
      <c r="K3" s="545"/>
      <c r="L3" s="814">
        <v>38309</v>
      </c>
      <c r="M3" s="815"/>
    </row>
    <row r="4" spans="1:14" ht="15.75" customHeight="1">
      <c r="A4" s="816" t="s">
        <v>722</v>
      </c>
      <c r="B4" s="817"/>
      <c r="C4" s="817"/>
      <c r="D4" s="817"/>
      <c r="E4" s="817"/>
      <c r="F4" s="817"/>
      <c r="G4" s="817"/>
      <c r="H4" s="817"/>
      <c r="I4" s="818"/>
      <c r="J4" s="544" t="s">
        <v>604</v>
      </c>
      <c r="K4" s="545"/>
      <c r="L4" s="546" t="s">
        <v>723</v>
      </c>
      <c r="M4" s="547"/>
    </row>
    <row r="5" spans="1:14" ht="15.75" customHeight="1">
      <c r="A5" s="816"/>
      <c r="B5" s="819"/>
      <c r="C5" s="819"/>
      <c r="D5" s="819"/>
      <c r="E5" s="819"/>
      <c r="F5" s="819"/>
      <c r="G5" s="819"/>
      <c r="H5" s="819"/>
      <c r="I5" s="820"/>
      <c r="J5" s="544" t="s">
        <v>606</v>
      </c>
      <c r="K5" s="545"/>
      <c r="L5" s="546" t="s">
        <v>724</v>
      </c>
      <c r="M5" s="547"/>
    </row>
    <row r="6" spans="1:14" ht="15.75" customHeight="1">
      <c r="A6" s="550"/>
      <c r="B6" s="549"/>
      <c r="C6" s="549"/>
      <c r="D6" s="549"/>
      <c r="E6" s="549"/>
      <c r="F6" s="549"/>
      <c r="G6" s="549"/>
      <c r="H6" s="549"/>
      <c r="I6" s="549"/>
      <c r="J6" s="544" t="s">
        <v>608</v>
      </c>
      <c r="K6" s="545"/>
      <c r="L6" s="546" t="s">
        <v>609</v>
      </c>
      <c r="M6" s="547"/>
    </row>
    <row r="7" spans="1:14" ht="15.75" customHeight="1" thickBot="1">
      <c r="A7" s="551" t="s">
        <v>725</v>
      </c>
      <c r="B7" s="552"/>
      <c r="C7" s="552"/>
      <c r="D7" s="552"/>
      <c r="E7" s="552"/>
      <c r="F7" s="552"/>
      <c r="G7" s="552"/>
      <c r="H7" s="552"/>
      <c r="I7" s="552"/>
      <c r="J7" s="553" t="s">
        <v>611</v>
      </c>
      <c r="K7" s="554"/>
      <c r="L7" s="555" t="s">
        <v>726</v>
      </c>
      <c r="M7" s="556"/>
    </row>
    <row r="8" spans="1:14" ht="15.75" customHeight="1">
      <c r="A8" s="557"/>
      <c r="B8" s="558"/>
      <c r="C8" s="558"/>
      <c r="D8" s="558"/>
      <c r="E8" s="558"/>
      <c r="F8" s="558"/>
      <c r="G8" s="558"/>
      <c r="H8" s="558"/>
      <c r="I8" s="558"/>
      <c r="J8" s="558"/>
      <c r="K8" s="559"/>
      <c r="L8" s="560"/>
      <c r="M8" s="561"/>
      <c r="N8" s="562"/>
    </row>
    <row r="9" spans="1:14" ht="15.75" customHeight="1">
      <c r="A9" s="462"/>
      <c r="B9" s="463" t="s">
        <v>613</v>
      </c>
      <c r="C9" s="464" t="s">
        <v>704</v>
      </c>
      <c r="D9" s="465"/>
      <c r="E9" s="465"/>
      <c r="F9" s="465"/>
      <c r="G9" s="465"/>
      <c r="H9" s="465"/>
      <c r="I9" s="465"/>
      <c r="J9" s="465"/>
      <c r="K9" s="466"/>
      <c r="L9" s="462"/>
      <c r="M9" s="465"/>
      <c r="N9" s="562"/>
    </row>
    <row r="10" spans="1:14" ht="15.75" customHeight="1">
      <c r="A10" s="462"/>
      <c r="B10" s="463" t="s">
        <v>614</v>
      </c>
      <c r="C10" s="467" t="s">
        <v>705</v>
      </c>
      <c r="D10" s="462"/>
      <c r="E10" s="462"/>
      <c r="F10" s="462"/>
      <c r="G10" s="462"/>
      <c r="H10" s="462"/>
      <c r="I10" s="462"/>
      <c r="J10" s="462"/>
      <c r="K10" s="462"/>
      <c r="L10" s="462"/>
      <c r="M10" s="462"/>
      <c r="N10" s="562"/>
    </row>
    <row r="11" spans="1:14" ht="15.75" customHeight="1" thickBot="1">
      <c r="A11" s="460"/>
      <c r="B11" s="460"/>
      <c r="C11" s="460"/>
      <c r="D11" s="460"/>
      <c r="E11" s="460"/>
      <c r="F11" s="460"/>
      <c r="G11" s="460"/>
      <c r="H11" s="460"/>
      <c r="I11" s="460"/>
      <c r="J11" s="460"/>
      <c r="K11" s="460"/>
      <c r="L11" s="460"/>
      <c r="M11" s="460"/>
      <c r="N11" s="562"/>
    </row>
    <row r="12" spans="1:14" ht="15.75" customHeight="1" thickBot="1">
      <c r="A12" s="468" t="s">
        <v>615</v>
      </c>
      <c r="B12" s="469"/>
      <c r="C12" s="469"/>
      <c r="D12" s="469"/>
      <c r="E12" s="469"/>
      <c r="F12" s="469"/>
      <c r="G12" s="469"/>
      <c r="H12" s="469"/>
      <c r="I12" s="469"/>
      <c r="J12" s="469"/>
      <c r="K12" s="469"/>
      <c r="L12" s="469"/>
      <c r="M12" s="470"/>
    </row>
    <row r="13" spans="1:14" ht="14.1" customHeight="1" thickTop="1">
      <c r="A13" s="471"/>
      <c r="B13" s="463" t="s">
        <v>616</v>
      </c>
      <c r="C13" s="472">
        <v>1750</v>
      </c>
      <c r="D13" s="462"/>
      <c r="E13" s="463" t="s">
        <v>617</v>
      </c>
      <c r="F13" s="472">
        <v>4000</v>
      </c>
      <c r="G13" s="462"/>
      <c r="H13" s="463" t="s">
        <v>618</v>
      </c>
      <c r="I13" s="472" t="s">
        <v>703</v>
      </c>
      <c r="J13" s="462"/>
      <c r="K13" s="462"/>
      <c r="L13" s="463" t="s">
        <v>619</v>
      </c>
      <c r="M13" s="473">
        <v>3600</v>
      </c>
    </row>
    <row r="14" spans="1:14" ht="14.1" customHeight="1">
      <c r="A14" s="471"/>
      <c r="B14" s="463" t="s">
        <v>620</v>
      </c>
      <c r="C14" s="464" t="s">
        <v>706</v>
      </c>
      <c r="D14" s="462"/>
      <c r="E14" s="463" t="s">
        <v>621</v>
      </c>
      <c r="F14" s="474" t="s">
        <v>707</v>
      </c>
      <c r="G14" s="462"/>
      <c r="H14" s="463" t="s">
        <v>622</v>
      </c>
      <c r="I14" s="472">
        <v>217</v>
      </c>
      <c r="J14" s="462"/>
      <c r="K14" s="462"/>
      <c r="L14" s="463" t="s">
        <v>577</v>
      </c>
      <c r="M14" s="473">
        <v>3585</v>
      </c>
    </row>
    <row r="15" spans="1:14" ht="14.1" customHeight="1">
      <c r="A15" s="471"/>
      <c r="B15" s="463" t="s">
        <v>623</v>
      </c>
      <c r="C15" s="472" t="s">
        <v>192</v>
      </c>
      <c r="D15" s="462"/>
      <c r="E15" s="463" t="s">
        <v>624</v>
      </c>
      <c r="F15" s="475" t="s">
        <v>493</v>
      </c>
      <c r="G15" s="462"/>
      <c r="H15" s="463" t="s">
        <v>625</v>
      </c>
      <c r="I15" s="474" t="s">
        <v>174</v>
      </c>
      <c r="J15" s="462"/>
      <c r="K15" s="462"/>
      <c r="L15" s="463" t="s">
        <v>626</v>
      </c>
      <c r="M15" s="473" t="s">
        <v>363</v>
      </c>
    </row>
    <row r="16" spans="1:14" ht="14.1" customHeight="1">
      <c r="A16" s="471"/>
      <c r="B16" s="463" t="s">
        <v>627</v>
      </c>
      <c r="C16" s="472" t="s">
        <v>702</v>
      </c>
      <c r="D16" s="462"/>
      <c r="E16" s="463" t="s">
        <v>628</v>
      </c>
      <c r="F16" s="472" t="s">
        <v>435</v>
      </c>
      <c r="G16" s="462"/>
      <c r="H16" s="476" t="s">
        <v>629</v>
      </c>
      <c r="I16" s="477" t="s">
        <v>356</v>
      </c>
      <c r="J16" s="462"/>
      <c r="K16" s="462"/>
      <c r="L16" s="463" t="s">
        <v>630</v>
      </c>
      <c r="M16" s="473" t="s">
        <v>631</v>
      </c>
    </row>
    <row r="17" spans="1:22" ht="14.1" customHeight="1">
      <c r="A17" s="471"/>
      <c r="B17" s="463" t="s">
        <v>632</v>
      </c>
      <c r="C17" s="464" t="s">
        <v>708</v>
      </c>
      <c r="D17" s="462"/>
      <c r="E17" s="463"/>
      <c r="F17" s="474"/>
      <c r="G17" s="462"/>
      <c r="H17" s="463" t="s">
        <v>633</v>
      </c>
      <c r="I17" s="477" t="s">
        <v>174</v>
      </c>
      <c r="J17" s="462"/>
      <c r="K17" s="462"/>
      <c r="L17" s="463"/>
      <c r="M17" s="478"/>
    </row>
    <row r="18" spans="1:22" ht="14.1" customHeight="1" thickBot="1">
      <c r="A18" s="479"/>
      <c r="B18" s="480" t="s">
        <v>634</v>
      </c>
      <c r="C18" s="481" t="s">
        <v>174</v>
      </c>
      <c r="D18" s="482"/>
      <c r="E18" s="480" t="s">
        <v>635</v>
      </c>
      <c r="F18" s="481" t="s">
        <v>174</v>
      </c>
      <c r="G18" s="483"/>
      <c r="H18" s="480" t="s">
        <v>636</v>
      </c>
      <c r="I18" s="481" t="s">
        <v>174</v>
      </c>
      <c r="J18" s="482"/>
      <c r="K18" s="482"/>
      <c r="L18" s="482"/>
      <c r="M18" s="484"/>
    </row>
    <row r="19" spans="1:22" ht="15.75" customHeight="1">
      <c r="A19" s="562"/>
      <c r="B19" s="562"/>
      <c r="C19" s="549"/>
      <c r="D19" s="549"/>
      <c r="E19" s="549"/>
      <c r="F19" s="549"/>
      <c r="G19" s="549"/>
      <c r="H19" s="549"/>
      <c r="I19" s="549"/>
      <c r="J19" s="549"/>
      <c r="K19" s="549"/>
      <c r="L19" s="549"/>
      <c r="M19" s="549"/>
      <c r="N19" s="562"/>
    </row>
    <row r="20" spans="1:22" ht="15.75" customHeight="1" thickBot="1">
      <c r="A20" s="563"/>
      <c r="B20" s="563"/>
      <c r="C20" s="563"/>
      <c r="D20" s="563"/>
      <c r="E20" s="563"/>
      <c r="F20" s="563"/>
      <c r="G20" s="563"/>
      <c r="H20" s="563"/>
      <c r="I20" s="563"/>
      <c r="J20" s="563"/>
      <c r="K20" s="563"/>
      <c r="L20" s="563"/>
      <c r="M20" s="563"/>
    </row>
    <row r="21" spans="1:22" ht="15.75" customHeight="1">
      <c r="A21" s="821" t="s">
        <v>727</v>
      </c>
      <c r="B21" s="822"/>
      <c r="C21" s="822"/>
      <c r="D21" s="822"/>
      <c r="E21" s="822"/>
      <c r="F21" s="823" t="s">
        <v>728</v>
      </c>
      <c r="G21" s="823"/>
      <c r="H21" s="823"/>
      <c r="I21" s="824"/>
      <c r="J21" s="564"/>
      <c r="K21" s="564"/>
      <c r="L21" s="564"/>
      <c r="M21" s="564"/>
    </row>
    <row r="22" spans="1:22" ht="15.75" customHeight="1">
      <c r="A22" s="808" t="s">
        <v>729</v>
      </c>
      <c r="B22" s="809"/>
      <c r="C22" s="809"/>
      <c r="D22" s="809"/>
      <c r="E22" s="809"/>
      <c r="F22" s="810" t="s">
        <v>730</v>
      </c>
      <c r="G22" s="810"/>
      <c r="H22" s="810"/>
      <c r="I22" s="811"/>
      <c r="J22" s="565"/>
      <c r="K22" s="566"/>
      <c r="L22" s="566"/>
      <c r="M22" s="566"/>
    </row>
    <row r="23" spans="1:22" ht="15.75" customHeight="1">
      <c r="A23" s="808" t="s">
        <v>731</v>
      </c>
      <c r="B23" s="809"/>
      <c r="C23" s="809"/>
      <c r="D23" s="809"/>
      <c r="E23" s="809"/>
      <c r="F23" s="810" t="s">
        <v>732</v>
      </c>
      <c r="G23" s="810"/>
      <c r="H23" s="810"/>
      <c r="I23" s="811"/>
      <c r="J23" s="567"/>
      <c r="K23" s="568"/>
      <c r="L23" s="568"/>
      <c r="M23" s="568"/>
    </row>
    <row r="24" spans="1:22" ht="15.75" customHeight="1">
      <c r="A24" s="569"/>
      <c r="B24" s="570"/>
      <c r="C24" s="570"/>
      <c r="D24" s="571"/>
      <c r="E24" s="571"/>
      <c r="F24" s="572"/>
      <c r="G24" s="573"/>
      <c r="H24" s="573"/>
      <c r="I24" s="574"/>
      <c r="J24" s="575"/>
      <c r="K24" s="576"/>
      <c r="L24" s="576"/>
      <c r="M24" s="575"/>
      <c r="N24" s="562"/>
    </row>
    <row r="25" spans="1:22" ht="15.75" customHeight="1">
      <c r="A25" s="812" t="s">
        <v>733</v>
      </c>
      <c r="B25" s="813"/>
      <c r="C25" s="813"/>
      <c r="D25" s="813"/>
      <c r="E25" s="813"/>
      <c r="F25" s="810" t="s">
        <v>734</v>
      </c>
      <c r="G25" s="810"/>
      <c r="H25" s="810"/>
      <c r="I25" s="811"/>
      <c r="J25" s="577"/>
      <c r="K25" s="577"/>
      <c r="L25" s="577"/>
      <c r="M25" s="564"/>
      <c r="N25" s="562"/>
      <c r="Q25" s="825"/>
      <c r="R25" s="825"/>
      <c r="S25" s="825"/>
      <c r="T25" s="825"/>
      <c r="U25" s="825"/>
      <c r="V25" s="825"/>
    </row>
    <row r="26" spans="1:22" ht="15.75" customHeight="1">
      <c r="A26" s="826" t="s">
        <v>735</v>
      </c>
      <c r="B26" s="827"/>
      <c r="C26" s="827"/>
      <c r="D26" s="827"/>
      <c r="E26" s="827"/>
      <c r="F26" s="810" t="s">
        <v>736</v>
      </c>
      <c r="G26" s="810"/>
      <c r="H26" s="810"/>
      <c r="I26" s="811"/>
      <c r="J26" s="578"/>
      <c r="K26" s="578"/>
      <c r="L26" s="578"/>
      <c r="M26" s="564"/>
      <c r="N26" s="562"/>
      <c r="Q26" s="579"/>
      <c r="R26" s="579"/>
      <c r="S26" s="579"/>
      <c r="T26" s="579"/>
      <c r="U26" s="580"/>
      <c r="V26" s="579"/>
    </row>
    <row r="27" spans="1:22" ht="15.75" customHeight="1">
      <c r="A27" s="826" t="s">
        <v>737</v>
      </c>
      <c r="B27" s="827"/>
      <c r="C27" s="827"/>
      <c r="D27" s="827"/>
      <c r="E27" s="827"/>
      <c r="F27" s="810" t="s">
        <v>738</v>
      </c>
      <c r="G27" s="810"/>
      <c r="H27" s="810"/>
      <c r="I27" s="811"/>
      <c r="J27" s="578"/>
      <c r="K27" s="581"/>
      <c r="L27" s="581"/>
      <c r="M27" s="564"/>
      <c r="N27" s="562"/>
      <c r="Q27" s="579"/>
      <c r="R27" s="579"/>
      <c r="S27" s="579"/>
      <c r="T27" s="579"/>
      <c r="U27" s="579"/>
      <c r="V27" s="579"/>
    </row>
    <row r="28" spans="1:22" ht="15.75" customHeight="1">
      <c r="A28" s="569"/>
      <c r="B28" s="570"/>
      <c r="C28" s="570"/>
      <c r="D28" s="582"/>
      <c r="E28" s="582"/>
      <c r="F28" s="583"/>
      <c r="G28" s="584"/>
      <c r="H28" s="584"/>
      <c r="I28" s="574"/>
      <c r="J28" s="581"/>
      <c r="K28" s="581"/>
      <c r="L28" s="564"/>
      <c r="M28" s="564"/>
      <c r="N28" s="562"/>
      <c r="Q28" s="585"/>
      <c r="R28" s="585"/>
      <c r="S28" s="585"/>
      <c r="T28" s="585"/>
      <c r="U28" s="585"/>
      <c r="V28" s="585"/>
    </row>
    <row r="29" spans="1:22" ht="15.75" customHeight="1">
      <c r="A29" s="808" t="s">
        <v>739</v>
      </c>
      <c r="B29" s="809"/>
      <c r="C29" s="809"/>
      <c r="D29" s="809"/>
      <c r="E29" s="809"/>
      <c r="F29" s="810" t="s">
        <v>740</v>
      </c>
      <c r="G29" s="810"/>
      <c r="H29" s="810"/>
      <c r="I29" s="811"/>
      <c r="J29" s="564"/>
      <c r="K29" s="564"/>
      <c r="L29" s="564"/>
      <c r="M29" s="567"/>
      <c r="N29" s="562"/>
      <c r="Q29" s="586"/>
      <c r="R29" s="586"/>
      <c r="S29" s="586"/>
      <c r="T29" s="586"/>
      <c r="U29" s="586"/>
      <c r="V29" s="587"/>
    </row>
    <row r="30" spans="1:22" ht="15.75" customHeight="1">
      <c r="A30" s="569"/>
      <c r="B30" s="570"/>
      <c r="C30" s="570"/>
      <c r="D30" s="570"/>
      <c r="E30" s="570"/>
      <c r="F30" s="588"/>
      <c r="G30" s="589"/>
      <c r="H30" s="589"/>
      <c r="I30" s="590"/>
      <c r="J30" s="577"/>
      <c r="K30" s="577"/>
      <c r="L30" s="577"/>
      <c r="M30" s="575"/>
      <c r="N30" s="562"/>
    </row>
    <row r="31" spans="1:22" ht="15.75" customHeight="1">
      <c r="A31" s="808" t="s">
        <v>741</v>
      </c>
      <c r="B31" s="809"/>
      <c r="C31" s="809"/>
      <c r="D31" s="809"/>
      <c r="E31" s="809"/>
      <c r="F31" s="810" t="s">
        <v>742</v>
      </c>
      <c r="G31" s="810"/>
      <c r="H31" s="810"/>
      <c r="I31" s="811"/>
      <c r="J31" s="564"/>
      <c r="K31" s="564"/>
      <c r="L31" s="564"/>
      <c r="M31" s="575"/>
      <c r="N31" s="562"/>
    </row>
    <row r="32" spans="1:22" ht="15.75" customHeight="1">
      <c r="A32" s="808" t="s">
        <v>743</v>
      </c>
      <c r="B32" s="809"/>
      <c r="C32" s="809"/>
      <c r="D32" s="809"/>
      <c r="E32" s="809"/>
      <c r="F32" s="810" t="s">
        <v>744</v>
      </c>
      <c r="G32" s="810"/>
      <c r="H32" s="810"/>
      <c r="I32" s="811"/>
      <c r="J32" s="564"/>
      <c r="K32" s="564"/>
      <c r="L32" s="564"/>
      <c r="M32" s="575"/>
      <c r="N32" s="562"/>
    </row>
    <row r="33" spans="1:28" ht="15.75" customHeight="1">
      <c r="A33" s="808" t="s">
        <v>745</v>
      </c>
      <c r="B33" s="809"/>
      <c r="C33" s="809"/>
      <c r="D33" s="809"/>
      <c r="E33" s="809"/>
      <c r="F33" s="831">
        <v>2.4633500000000002</v>
      </c>
      <c r="G33" s="831"/>
      <c r="H33" s="831"/>
      <c r="I33" s="832"/>
      <c r="J33" s="575"/>
      <c r="K33" s="575"/>
      <c r="L33" s="575"/>
      <c r="M33" s="575"/>
      <c r="N33" s="562"/>
    </row>
    <row r="34" spans="1:28" ht="15.75" customHeight="1">
      <c r="A34" s="808" t="s">
        <v>746</v>
      </c>
      <c r="B34" s="809"/>
      <c r="C34" s="809"/>
      <c r="D34" s="809"/>
      <c r="E34" s="809"/>
      <c r="F34" s="831">
        <v>1.077E-2</v>
      </c>
      <c r="G34" s="831"/>
      <c r="H34" s="831"/>
      <c r="I34" s="832"/>
      <c r="M34" s="575"/>
      <c r="N34" s="562"/>
    </row>
    <row r="35" spans="1:28" ht="15.75" customHeight="1" thickBot="1">
      <c r="A35" s="833" t="s">
        <v>747</v>
      </c>
      <c r="B35" s="834"/>
      <c r="C35" s="834"/>
      <c r="D35" s="834"/>
      <c r="E35" s="834"/>
      <c r="F35" s="835">
        <v>1.49776</v>
      </c>
      <c r="G35" s="835"/>
      <c r="H35" s="835"/>
      <c r="I35" s="836"/>
      <c r="M35" s="575"/>
      <c r="N35" s="562"/>
      <c r="T35" s="591"/>
      <c r="U35" s="579"/>
      <c r="V35" s="579"/>
      <c r="W35" s="579"/>
      <c r="X35" s="579"/>
      <c r="Y35" s="579"/>
      <c r="Z35" s="592"/>
      <c r="AA35" s="593"/>
      <c r="AB35" s="580"/>
    </row>
    <row r="36" spans="1:28" ht="15.75" customHeight="1">
      <c r="A36" s="594"/>
      <c r="E36" s="581"/>
      <c r="F36" s="581"/>
      <c r="G36" s="581"/>
      <c r="H36" s="564"/>
      <c r="I36" s="564"/>
      <c r="M36" s="575"/>
      <c r="N36" s="562"/>
      <c r="T36" s="579"/>
      <c r="U36" s="579"/>
      <c r="V36" s="579"/>
      <c r="W36" s="579"/>
      <c r="X36" s="580"/>
      <c r="Y36" s="579"/>
      <c r="Z36" s="829"/>
      <c r="AA36" s="829"/>
      <c r="AB36" s="828"/>
    </row>
    <row r="37" spans="1:28" ht="15.75" customHeight="1">
      <c r="A37" s="594"/>
      <c r="E37" s="595"/>
      <c r="F37" s="595"/>
      <c r="G37" s="595"/>
      <c r="H37" s="567"/>
      <c r="I37" s="567"/>
      <c r="M37" s="575"/>
      <c r="N37" s="562"/>
      <c r="T37" s="579"/>
      <c r="U37" s="579"/>
      <c r="V37" s="579"/>
      <c r="W37" s="579"/>
      <c r="X37" s="579"/>
      <c r="Y37" s="579"/>
      <c r="Z37" s="829"/>
      <c r="AA37" s="829"/>
      <c r="AB37" s="828"/>
    </row>
    <row r="38" spans="1:28" ht="15.75" customHeight="1">
      <c r="A38" s="594"/>
      <c r="B38" s="575"/>
      <c r="C38" s="575"/>
      <c r="D38" s="596"/>
      <c r="E38" s="595"/>
      <c r="F38" s="595"/>
      <c r="G38" s="595"/>
      <c r="H38" s="567"/>
      <c r="I38" s="567"/>
      <c r="J38" s="575"/>
      <c r="K38" s="575"/>
      <c r="L38" s="575"/>
      <c r="M38" s="575"/>
      <c r="N38" s="562"/>
      <c r="T38" s="585"/>
      <c r="U38" s="585"/>
      <c r="V38" s="585"/>
      <c r="W38" s="585"/>
      <c r="X38" s="585"/>
      <c r="Y38" s="585"/>
      <c r="Z38" s="830"/>
      <c r="AA38" s="830"/>
      <c r="AB38" s="597"/>
    </row>
    <row r="39" spans="1:28" ht="15.75" customHeight="1">
      <c r="A39" s="562"/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49"/>
    </row>
    <row r="40" spans="1:28" ht="15.75" customHeight="1">
      <c r="A40" s="598"/>
      <c r="B40" s="562"/>
      <c r="C40" s="599"/>
      <c r="D40" s="600"/>
      <c r="E40" s="562"/>
      <c r="F40" s="562"/>
      <c r="G40" s="562"/>
      <c r="H40" s="549"/>
      <c r="I40" s="601" t="s">
        <v>658</v>
      </c>
      <c r="J40" s="602" t="s">
        <v>748</v>
      </c>
      <c r="K40" s="602"/>
      <c r="L40" s="602"/>
      <c r="M40" s="602"/>
      <c r="N40" s="562"/>
    </row>
    <row r="41" spans="1:28" ht="15.75" customHeight="1">
      <c r="A41" s="562"/>
      <c r="B41" s="562"/>
      <c r="C41" s="562"/>
      <c r="D41" s="562"/>
      <c r="E41" s="562"/>
      <c r="F41" s="562"/>
      <c r="G41" s="562"/>
      <c r="H41" s="562"/>
      <c r="I41" s="562"/>
      <c r="J41" s="549"/>
      <c r="K41" s="549"/>
      <c r="L41" s="549"/>
      <c r="M41" s="549"/>
    </row>
    <row r="42" spans="1:28" ht="15.75" customHeight="1">
      <c r="A42" s="562"/>
      <c r="B42" s="562"/>
      <c r="C42" s="562"/>
      <c r="D42" s="562"/>
      <c r="E42" s="562"/>
      <c r="F42" s="562"/>
      <c r="G42" s="562"/>
      <c r="H42" s="549"/>
      <c r="I42" s="601" t="s">
        <v>660</v>
      </c>
      <c r="J42" s="603">
        <v>43747</v>
      </c>
      <c r="K42" s="603"/>
      <c r="L42" s="603"/>
      <c r="M42" s="603"/>
    </row>
    <row r="43" spans="1:28" ht="15.95" customHeight="1"/>
  </sheetData>
  <mergeCells count="32">
    <mergeCell ref="AB36:AB37"/>
    <mergeCell ref="Z37:AA37"/>
    <mergeCell ref="A31:E31"/>
    <mergeCell ref="F31:I31"/>
    <mergeCell ref="Z38:AA38"/>
    <mergeCell ref="A32:E32"/>
    <mergeCell ref="F32:I32"/>
    <mergeCell ref="A33:E33"/>
    <mergeCell ref="F33:I33"/>
    <mergeCell ref="A34:E34"/>
    <mergeCell ref="F34:I34"/>
    <mergeCell ref="A35:E35"/>
    <mergeCell ref="F35:I35"/>
    <mergeCell ref="Z36:AA36"/>
    <mergeCell ref="Q25:V25"/>
    <mergeCell ref="A27:E27"/>
    <mergeCell ref="F27:I27"/>
    <mergeCell ref="A29:E29"/>
    <mergeCell ref="F29:I29"/>
    <mergeCell ref="A26:E26"/>
    <mergeCell ref="F26:I26"/>
    <mergeCell ref="L3:M3"/>
    <mergeCell ref="A4:I4"/>
    <mergeCell ref="A5:I5"/>
    <mergeCell ref="A21:E21"/>
    <mergeCell ref="F21:I21"/>
    <mergeCell ref="A22:E22"/>
    <mergeCell ref="F22:I22"/>
    <mergeCell ref="A23:E23"/>
    <mergeCell ref="F23:I23"/>
    <mergeCell ref="A25:E25"/>
    <mergeCell ref="F25:I25"/>
  </mergeCells>
  <printOptions horizontalCentered="1" gridLinesSet="0"/>
  <pageMargins left="0.5" right="0.5" top="0.5" bottom="0.5" header="0.5" footer="0.5"/>
  <pageSetup scale="94" orientation="portrait" horizont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syncVertical="1" syncRef="A1" transitionEvaluation="1"/>
  <dimension ref="A1:U54"/>
  <sheetViews>
    <sheetView showGridLines="0" zoomScale="75" zoomScaleNormal="75" workbookViewId="0">
      <selection activeCell="J16" sqref="J16"/>
    </sheetView>
  </sheetViews>
  <sheetFormatPr defaultColWidth="12.5703125" defaultRowHeight="15.75"/>
  <cols>
    <col min="1" max="3" width="7" style="609" customWidth="1"/>
    <col min="4" max="4" width="8.28515625" style="609" customWidth="1"/>
    <col min="5" max="5" width="7" style="609" customWidth="1"/>
    <col min="6" max="6" width="8.85546875" style="609" customWidth="1"/>
    <col min="7" max="13" width="7" style="609" customWidth="1"/>
    <col min="14" max="14" width="7.140625" style="609" customWidth="1"/>
    <col min="15" max="256" width="12.5703125" style="609"/>
    <col min="257" max="259" width="7" style="609" customWidth="1"/>
    <col min="260" max="260" width="8.28515625" style="609" customWidth="1"/>
    <col min="261" max="261" width="7" style="609" customWidth="1"/>
    <col min="262" max="262" width="8.85546875" style="609" customWidth="1"/>
    <col min="263" max="269" width="7" style="609" customWidth="1"/>
    <col min="270" max="270" width="7.140625" style="609" customWidth="1"/>
    <col min="271" max="512" width="12.5703125" style="609"/>
    <col min="513" max="515" width="7" style="609" customWidth="1"/>
    <col min="516" max="516" width="8.28515625" style="609" customWidth="1"/>
    <col min="517" max="517" width="7" style="609" customWidth="1"/>
    <col min="518" max="518" width="8.85546875" style="609" customWidth="1"/>
    <col min="519" max="525" width="7" style="609" customWidth="1"/>
    <col min="526" max="526" width="7.140625" style="609" customWidth="1"/>
    <col min="527" max="768" width="12.5703125" style="609"/>
    <col min="769" max="771" width="7" style="609" customWidth="1"/>
    <col min="772" max="772" width="8.28515625" style="609" customWidth="1"/>
    <col min="773" max="773" width="7" style="609" customWidth="1"/>
    <col min="774" max="774" width="8.85546875" style="609" customWidth="1"/>
    <col min="775" max="781" width="7" style="609" customWidth="1"/>
    <col min="782" max="782" width="7.140625" style="609" customWidth="1"/>
    <col min="783" max="1024" width="12.5703125" style="609"/>
    <col min="1025" max="1027" width="7" style="609" customWidth="1"/>
    <col min="1028" max="1028" width="8.28515625" style="609" customWidth="1"/>
    <col min="1029" max="1029" width="7" style="609" customWidth="1"/>
    <col min="1030" max="1030" width="8.85546875" style="609" customWidth="1"/>
    <col min="1031" max="1037" width="7" style="609" customWidth="1"/>
    <col min="1038" max="1038" width="7.140625" style="609" customWidth="1"/>
    <col min="1039" max="1280" width="12.5703125" style="609"/>
    <col min="1281" max="1283" width="7" style="609" customWidth="1"/>
    <col min="1284" max="1284" width="8.28515625" style="609" customWidth="1"/>
    <col min="1285" max="1285" width="7" style="609" customWidth="1"/>
    <col min="1286" max="1286" width="8.85546875" style="609" customWidth="1"/>
    <col min="1287" max="1293" width="7" style="609" customWidth="1"/>
    <col min="1294" max="1294" width="7.140625" style="609" customWidth="1"/>
    <col min="1295" max="1536" width="12.5703125" style="609"/>
    <col min="1537" max="1539" width="7" style="609" customWidth="1"/>
    <col min="1540" max="1540" width="8.28515625" style="609" customWidth="1"/>
    <col min="1541" max="1541" width="7" style="609" customWidth="1"/>
    <col min="1542" max="1542" width="8.85546875" style="609" customWidth="1"/>
    <col min="1543" max="1549" width="7" style="609" customWidth="1"/>
    <col min="1550" max="1550" width="7.140625" style="609" customWidth="1"/>
    <col min="1551" max="1792" width="12.5703125" style="609"/>
    <col min="1793" max="1795" width="7" style="609" customWidth="1"/>
    <col min="1796" max="1796" width="8.28515625" style="609" customWidth="1"/>
    <col min="1797" max="1797" width="7" style="609" customWidth="1"/>
    <col min="1798" max="1798" width="8.85546875" style="609" customWidth="1"/>
    <col min="1799" max="1805" width="7" style="609" customWidth="1"/>
    <col min="1806" max="1806" width="7.140625" style="609" customWidth="1"/>
    <col min="1807" max="2048" width="12.5703125" style="609"/>
    <col min="2049" max="2051" width="7" style="609" customWidth="1"/>
    <col min="2052" max="2052" width="8.28515625" style="609" customWidth="1"/>
    <col min="2053" max="2053" width="7" style="609" customWidth="1"/>
    <col min="2054" max="2054" width="8.85546875" style="609" customWidth="1"/>
    <col min="2055" max="2061" width="7" style="609" customWidth="1"/>
    <col min="2062" max="2062" width="7.140625" style="609" customWidth="1"/>
    <col min="2063" max="2304" width="12.5703125" style="609"/>
    <col min="2305" max="2307" width="7" style="609" customWidth="1"/>
    <col min="2308" max="2308" width="8.28515625" style="609" customWidth="1"/>
    <col min="2309" max="2309" width="7" style="609" customWidth="1"/>
    <col min="2310" max="2310" width="8.85546875" style="609" customWidth="1"/>
    <col min="2311" max="2317" width="7" style="609" customWidth="1"/>
    <col min="2318" max="2318" width="7.140625" style="609" customWidth="1"/>
    <col min="2319" max="2560" width="12.5703125" style="609"/>
    <col min="2561" max="2563" width="7" style="609" customWidth="1"/>
    <col min="2564" max="2564" width="8.28515625" style="609" customWidth="1"/>
    <col min="2565" max="2565" width="7" style="609" customWidth="1"/>
    <col min="2566" max="2566" width="8.85546875" style="609" customWidth="1"/>
    <col min="2567" max="2573" width="7" style="609" customWidth="1"/>
    <col min="2574" max="2574" width="7.140625" style="609" customWidth="1"/>
    <col min="2575" max="2816" width="12.5703125" style="609"/>
    <col min="2817" max="2819" width="7" style="609" customWidth="1"/>
    <col min="2820" max="2820" width="8.28515625" style="609" customWidth="1"/>
    <col min="2821" max="2821" width="7" style="609" customWidth="1"/>
    <col min="2822" max="2822" width="8.85546875" style="609" customWidth="1"/>
    <col min="2823" max="2829" width="7" style="609" customWidth="1"/>
    <col min="2830" max="2830" width="7.140625" style="609" customWidth="1"/>
    <col min="2831" max="3072" width="12.5703125" style="609"/>
    <col min="3073" max="3075" width="7" style="609" customWidth="1"/>
    <col min="3076" max="3076" width="8.28515625" style="609" customWidth="1"/>
    <col min="3077" max="3077" width="7" style="609" customWidth="1"/>
    <col min="3078" max="3078" width="8.85546875" style="609" customWidth="1"/>
    <col min="3079" max="3085" width="7" style="609" customWidth="1"/>
    <col min="3086" max="3086" width="7.140625" style="609" customWidth="1"/>
    <col min="3087" max="3328" width="12.5703125" style="609"/>
    <col min="3329" max="3331" width="7" style="609" customWidth="1"/>
    <col min="3332" max="3332" width="8.28515625" style="609" customWidth="1"/>
    <col min="3333" max="3333" width="7" style="609" customWidth="1"/>
    <col min="3334" max="3334" width="8.85546875" style="609" customWidth="1"/>
    <col min="3335" max="3341" width="7" style="609" customWidth="1"/>
    <col min="3342" max="3342" width="7.140625" style="609" customWidth="1"/>
    <col min="3343" max="3584" width="12.5703125" style="609"/>
    <col min="3585" max="3587" width="7" style="609" customWidth="1"/>
    <col min="3588" max="3588" width="8.28515625" style="609" customWidth="1"/>
    <col min="3589" max="3589" width="7" style="609" customWidth="1"/>
    <col min="3590" max="3590" width="8.85546875" style="609" customWidth="1"/>
    <col min="3591" max="3597" width="7" style="609" customWidth="1"/>
    <col min="3598" max="3598" width="7.140625" style="609" customWidth="1"/>
    <col min="3599" max="3840" width="12.5703125" style="609"/>
    <col min="3841" max="3843" width="7" style="609" customWidth="1"/>
    <col min="3844" max="3844" width="8.28515625" style="609" customWidth="1"/>
    <col min="3845" max="3845" width="7" style="609" customWidth="1"/>
    <col min="3846" max="3846" width="8.85546875" style="609" customWidth="1"/>
    <col min="3847" max="3853" width="7" style="609" customWidth="1"/>
    <col min="3854" max="3854" width="7.140625" style="609" customWidth="1"/>
    <col min="3855" max="4096" width="12.5703125" style="609"/>
    <col min="4097" max="4099" width="7" style="609" customWidth="1"/>
    <col min="4100" max="4100" width="8.28515625" style="609" customWidth="1"/>
    <col min="4101" max="4101" width="7" style="609" customWidth="1"/>
    <col min="4102" max="4102" width="8.85546875" style="609" customWidth="1"/>
    <col min="4103" max="4109" width="7" style="609" customWidth="1"/>
    <col min="4110" max="4110" width="7.140625" style="609" customWidth="1"/>
    <col min="4111" max="4352" width="12.5703125" style="609"/>
    <col min="4353" max="4355" width="7" style="609" customWidth="1"/>
    <col min="4356" max="4356" width="8.28515625" style="609" customWidth="1"/>
    <col min="4357" max="4357" width="7" style="609" customWidth="1"/>
    <col min="4358" max="4358" width="8.85546875" style="609" customWidth="1"/>
    <col min="4359" max="4365" width="7" style="609" customWidth="1"/>
    <col min="4366" max="4366" width="7.140625" style="609" customWidth="1"/>
    <col min="4367" max="4608" width="12.5703125" style="609"/>
    <col min="4609" max="4611" width="7" style="609" customWidth="1"/>
    <col min="4612" max="4612" width="8.28515625" style="609" customWidth="1"/>
    <col min="4613" max="4613" width="7" style="609" customWidth="1"/>
    <col min="4614" max="4614" width="8.85546875" style="609" customWidth="1"/>
    <col min="4615" max="4621" width="7" style="609" customWidth="1"/>
    <col min="4622" max="4622" width="7.140625" style="609" customWidth="1"/>
    <col min="4623" max="4864" width="12.5703125" style="609"/>
    <col min="4865" max="4867" width="7" style="609" customWidth="1"/>
    <col min="4868" max="4868" width="8.28515625" style="609" customWidth="1"/>
    <col min="4869" max="4869" width="7" style="609" customWidth="1"/>
    <col min="4870" max="4870" width="8.85546875" style="609" customWidth="1"/>
    <col min="4871" max="4877" width="7" style="609" customWidth="1"/>
    <col min="4878" max="4878" width="7.140625" style="609" customWidth="1"/>
    <col min="4879" max="5120" width="12.5703125" style="609"/>
    <col min="5121" max="5123" width="7" style="609" customWidth="1"/>
    <col min="5124" max="5124" width="8.28515625" style="609" customWidth="1"/>
    <col min="5125" max="5125" width="7" style="609" customWidth="1"/>
    <col min="5126" max="5126" width="8.85546875" style="609" customWidth="1"/>
    <col min="5127" max="5133" width="7" style="609" customWidth="1"/>
    <col min="5134" max="5134" width="7.140625" style="609" customWidth="1"/>
    <col min="5135" max="5376" width="12.5703125" style="609"/>
    <col min="5377" max="5379" width="7" style="609" customWidth="1"/>
    <col min="5380" max="5380" width="8.28515625" style="609" customWidth="1"/>
    <col min="5381" max="5381" width="7" style="609" customWidth="1"/>
    <col min="5382" max="5382" width="8.85546875" style="609" customWidth="1"/>
    <col min="5383" max="5389" width="7" style="609" customWidth="1"/>
    <col min="5390" max="5390" width="7.140625" style="609" customWidth="1"/>
    <col min="5391" max="5632" width="12.5703125" style="609"/>
    <col min="5633" max="5635" width="7" style="609" customWidth="1"/>
    <col min="5636" max="5636" width="8.28515625" style="609" customWidth="1"/>
    <col min="5637" max="5637" width="7" style="609" customWidth="1"/>
    <col min="5638" max="5638" width="8.85546875" style="609" customWidth="1"/>
    <col min="5639" max="5645" width="7" style="609" customWidth="1"/>
    <col min="5646" max="5646" width="7.140625" style="609" customWidth="1"/>
    <col min="5647" max="5888" width="12.5703125" style="609"/>
    <col min="5889" max="5891" width="7" style="609" customWidth="1"/>
    <col min="5892" max="5892" width="8.28515625" style="609" customWidth="1"/>
    <col min="5893" max="5893" width="7" style="609" customWidth="1"/>
    <col min="5894" max="5894" width="8.85546875" style="609" customWidth="1"/>
    <col min="5895" max="5901" width="7" style="609" customWidth="1"/>
    <col min="5902" max="5902" width="7.140625" style="609" customWidth="1"/>
    <col min="5903" max="6144" width="12.5703125" style="609"/>
    <col min="6145" max="6147" width="7" style="609" customWidth="1"/>
    <col min="6148" max="6148" width="8.28515625" style="609" customWidth="1"/>
    <col min="6149" max="6149" width="7" style="609" customWidth="1"/>
    <col min="6150" max="6150" width="8.85546875" style="609" customWidth="1"/>
    <col min="6151" max="6157" width="7" style="609" customWidth="1"/>
    <col min="6158" max="6158" width="7.140625" style="609" customWidth="1"/>
    <col min="6159" max="6400" width="12.5703125" style="609"/>
    <col min="6401" max="6403" width="7" style="609" customWidth="1"/>
    <col min="6404" max="6404" width="8.28515625" style="609" customWidth="1"/>
    <col min="6405" max="6405" width="7" style="609" customWidth="1"/>
    <col min="6406" max="6406" width="8.85546875" style="609" customWidth="1"/>
    <col min="6407" max="6413" width="7" style="609" customWidth="1"/>
    <col min="6414" max="6414" width="7.140625" style="609" customWidth="1"/>
    <col min="6415" max="6656" width="12.5703125" style="609"/>
    <col min="6657" max="6659" width="7" style="609" customWidth="1"/>
    <col min="6660" max="6660" width="8.28515625" style="609" customWidth="1"/>
    <col min="6661" max="6661" width="7" style="609" customWidth="1"/>
    <col min="6662" max="6662" width="8.85546875" style="609" customWidth="1"/>
    <col min="6663" max="6669" width="7" style="609" customWidth="1"/>
    <col min="6670" max="6670" width="7.140625" style="609" customWidth="1"/>
    <col min="6671" max="6912" width="12.5703125" style="609"/>
    <col min="6913" max="6915" width="7" style="609" customWidth="1"/>
    <col min="6916" max="6916" width="8.28515625" style="609" customWidth="1"/>
    <col min="6917" max="6917" width="7" style="609" customWidth="1"/>
    <col min="6918" max="6918" width="8.85546875" style="609" customWidth="1"/>
    <col min="6919" max="6925" width="7" style="609" customWidth="1"/>
    <col min="6926" max="6926" width="7.140625" style="609" customWidth="1"/>
    <col min="6927" max="7168" width="12.5703125" style="609"/>
    <col min="7169" max="7171" width="7" style="609" customWidth="1"/>
    <col min="7172" max="7172" width="8.28515625" style="609" customWidth="1"/>
    <col min="7173" max="7173" width="7" style="609" customWidth="1"/>
    <col min="7174" max="7174" width="8.85546875" style="609" customWidth="1"/>
    <col min="7175" max="7181" width="7" style="609" customWidth="1"/>
    <col min="7182" max="7182" width="7.140625" style="609" customWidth="1"/>
    <col min="7183" max="7424" width="12.5703125" style="609"/>
    <col min="7425" max="7427" width="7" style="609" customWidth="1"/>
    <col min="7428" max="7428" width="8.28515625" style="609" customWidth="1"/>
    <col min="7429" max="7429" width="7" style="609" customWidth="1"/>
    <col min="7430" max="7430" width="8.85546875" style="609" customWidth="1"/>
    <col min="7431" max="7437" width="7" style="609" customWidth="1"/>
    <col min="7438" max="7438" width="7.140625" style="609" customWidth="1"/>
    <col min="7439" max="7680" width="12.5703125" style="609"/>
    <col min="7681" max="7683" width="7" style="609" customWidth="1"/>
    <col min="7684" max="7684" width="8.28515625" style="609" customWidth="1"/>
    <col min="7685" max="7685" width="7" style="609" customWidth="1"/>
    <col min="7686" max="7686" width="8.85546875" style="609" customWidth="1"/>
    <col min="7687" max="7693" width="7" style="609" customWidth="1"/>
    <col min="7694" max="7694" width="7.140625" style="609" customWidth="1"/>
    <col min="7695" max="7936" width="12.5703125" style="609"/>
    <col min="7937" max="7939" width="7" style="609" customWidth="1"/>
    <col min="7940" max="7940" width="8.28515625" style="609" customWidth="1"/>
    <col min="7941" max="7941" width="7" style="609" customWidth="1"/>
    <col min="7942" max="7942" width="8.85546875" style="609" customWidth="1"/>
    <col min="7943" max="7949" width="7" style="609" customWidth="1"/>
    <col min="7950" max="7950" width="7.140625" style="609" customWidth="1"/>
    <col min="7951" max="8192" width="12.5703125" style="609"/>
    <col min="8193" max="8195" width="7" style="609" customWidth="1"/>
    <col min="8196" max="8196" width="8.28515625" style="609" customWidth="1"/>
    <col min="8197" max="8197" width="7" style="609" customWidth="1"/>
    <col min="8198" max="8198" width="8.85546875" style="609" customWidth="1"/>
    <col min="8199" max="8205" width="7" style="609" customWidth="1"/>
    <col min="8206" max="8206" width="7.140625" style="609" customWidth="1"/>
    <col min="8207" max="8448" width="12.5703125" style="609"/>
    <col min="8449" max="8451" width="7" style="609" customWidth="1"/>
    <col min="8452" max="8452" width="8.28515625" style="609" customWidth="1"/>
    <col min="8453" max="8453" width="7" style="609" customWidth="1"/>
    <col min="8454" max="8454" width="8.85546875" style="609" customWidth="1"/>
    <col min="8455" max="8461" width="7" style="609" customWidth="1"/>
    <col min="8462" max="8462" width="7.140625" style="609" customWidth="1"/>
    <col min="8463" max="8704" width="12.5703125" style="609"/>
    <col min="8705" max="8707" width="7" style="609" customWidth="1"/>
    <col min="8708" max="8708" width="8.28515625" style="609" customWidth="1"/>
    <col min="8709" max="8709" width="7" style="609" customWidth="1"/>
    <col min="8710" max="8710" width="8.85546875" style="609" customWidth="1"/>
    <col min="8711" max="8717" width="7" style="609" customWidth="1"/>
    <col min="8718" max="8718" width="7.140625" style="609" customWidth="1"/>
    <col min="8719" max="8960" width="12.5703125" style="609"/>
    <col min="8961" max="8963" width="7" style="609" customWidth="1"/>
    <col min="8964" max="8964" width="8.28515625" style="609" customWidth="1"/>
    <col min="8965" max="8965" width="7" style="609" customWidth="1"/>
    <col min="8966" max="8966" width="8.85546875" style="609" customWidth="1"/>
    <col min="8967" max="8973" width="7" style="609" customWidth="1"/>
    <col min="8974" max="8974" width="7.140625" style="609" customWidth="1"/>
    <col min="8975" max="9216" width="12.5703125" style="609"/>
    <col min="9217" max="9219" width="7" style="609" customWidth="1"/>
    <col min="9220" max="9220" width="8.28515625" style="609" customWidth="1"/>
    <col min="9221" max="9221" width="7" style="609" customWidth="1"/>
    <col min="9222" max="9222" width="8.85546875" style="609" customWidth="1"/>
    <col min="9223" max="9229" width="7" style="609" customWidth="1"/>
    <col min="9230" max="9230" width="7.140625" style="609" customWidth="1"/>
    <col min="9231" max="9472" width="12.5703125" style="609"/>
    <col min="9473" max="9475" width="7" style="609" customWidth="1"/>
    <col min="9476" max="9476" width="8.28515625" style="609" customWidth="1"/>
    <col min="9477" max="9477" width="7" style="609" customWidth="1"/>
    <col min="9478" max="9478" width="8.85546875" style="609" customWidth="1"/>
    <col min="9479" max="9485" width="7" style="609" customWidth="1"/>
    <col min="9486" max="9486" width="7.140625" style="609" customWidth="1"/>
    <col min="9487" max="9728" width="12.5703125" style="609"/>
    <col min="9729" max="9731" width="7" style="609" customWidth="1"/>
    <col min="9732" max="9732" width="8.28515625" style="609" customWidth="1"/>
    <col min="9733" max="9733" width="7" style="609" customWidth="1"/>
    <col min="9734" max="9734" width="8.85546875" style="609" customWidth="1"/>
    <col min="9735" max="9741" width="7" style="609" customWidth="1"/>
    <col min="9742" max="9742" width="7.140625" style="609" customWidth="1"/>
    <col min="9743" max="9984" width="12.5703125" style="609"/>
    <col min="9985" max="9987" width="7" style="609" customWidth="1"/>
    <col min="9988" max="9988" width="8.28515625" style="609" customWidth="1"/>
    <col min="9989" max="9989" width="7" style="609" customWidth="1"/>
    <col min="9990" max="9990" width="8.85546875" style="609" customWidth="1"/>
    <col min="9991" max="9997" width="7" style="609" customWidth="1"/>
    <col min="9998" max="9998" width="7.140625" style="609" customWidth="1"/>
    <col min="9999" max="10240" width="12.5703125" style="609"/>
    <col min="10241" max="10243" width="7" style="609" customWidth="1"/>
    <col min="10244" max="10244" width="8.28515625" style="609" customWidth="1"/>
    <col min="10245" max="10245" width="7" style="609" customWidth="1"/>
    <col min="10246" max="10246" width="8.85546875" style="609" customWidth="1"/>
    <col min="10247" max="10253" width="7" style="609" customWidth="1"/>
    <col min="10254" max="10254" width="7.140625" style="609" customWidth="1"/>
    <col min="10255" max="10496" width="12.5703125" style="609"/>
    <col min="10497" max="10499" width="7" style="609" customWidth="1"/>
    <col min="10500" max="10500" width="8.28515625" style="609" customWidth="1"/>
    <col min="10501" max="10501" width="7" style="609" customWidth="1"/>
    <col min="10502" max="10502" width="8.85546875" style="609" customWidth="1"/>
    <col min="10503" max="10509" width="7" style="609" customWidth="1"/>
    <col min="10510" max="10510" width="7.140625" style="609" customWidth="1"/>
    <col min="10511" max="10752" width="12.5703125" style="609"/>
    <col min="10753" max="10755" width="7" style="609" customWidth="1"/>
    <col min="10756" max="10756" width="8.28515625" style="609" customWidth="1"/>
    <col min="10757" max="10757" width="7" style="609" customWidth="1"/>
    <col min="10758" max="10758" width="8.85546875" style="609" customWidth="1"/>
    <col min="10759" max="10765" width="7" style="609" customWidth="1"/>
    <col min="10766" max="10766" width="7.140625" style="609" customWidth="1"/>
    <col min="10767" max="11008" width="12.5703125" style="609"/>
    <col min="11009" max="11011" width="7" style="609" customWidth="1"/>
    <col min="11012" max="11012" width="8.28515625" style="609" customWidth="1"/>
    <col min="11013" max="11013" width="7" style="609" customWidth="1"/>
    <col min="11014" max="11014" width="8.85546875" style="609" customWidth="1"/>
    <col min="11015" max="11021" width="7" style="609" customWidth="1"/>
    <col min="11022" max="11022" width="7.140625" style="609" customWidth="1"/>
    <col min="11023" max="11264" width="12.5703125" style="609"/>
    <col min="11265" max="11267" width="7" style="609" customWidth="1"/>
    <col min="11268" max="11268" width="8.28515625" style="609" customWidth="1"/>
    <col min="11269" max="11269" width="7" style="609" customWidth="1"/>
    <col min="11270" max="11270" width="8.85546875" style="609" customWidth="1"/>
    <col min="11271" max="11277" width="7" style="609" customWidth="1"/>
    <col min="11278" max="11278" width="7.140625" style="609" customWidth="1"/>
    <col min="11279" max="11520" width="12.5703125" style="609"/>
    <col min="11521" max="11523" width="7" style="609" customWidth="1"/>
    <col min="11524" max="11524" width="8.28515625" style="609" customWidth="1"/>
    <col min="11525" max="11525" width="7" style="609" customWidth="1"/>
    <col min="11526" max="11526" width="8.85546875" style="609" customWidth="1"/>
    <col min="11527" max="11533" width="7" style="609" customWidth="1"/>
    <col min="11534" max="11534" width="7.140625" style="609" customWidth="1"/>
    <col min="11535" max="11776" width="12.5703125" style="609"/>
    <col min="11777" max="11779" width="7" style="609" customWidth="1"/>
    <col min="11780" max="11780" width="8.28515625" style="609" customWidth="1"/>
    <col min="11781" max="11781" width="7" style="609" customWidth="1"/>
    <col min="11782" max="11782" width="8.85546875" style="609" customWidth="1"/>
    <col min="11783" max="11789" width="7" style="609" customWidth="1"/>
    <col min="11790" max="11790" width="7.140625" style="609" customWidth="1"/>
    <col min="11791" max="12032" width="12.5703125" style="609"/>
    <col min="12033" max="12035" width="7" style="609" customWidth="1"/>
    <col min="12036" max="12036" width="8.28515625" style="609" customWidth="1"/>
    <col min="12037" max="12037" width="7" style="609" customWidth="1"/>
    <col min="12038" max="12038" width="8.85546875" style="609" customWidth="1"/>
    <col min="12039" max="12045" width="7" style="609" customWidth="1"/>
    <col min="12046" max="12046" width="7.140625" style="609" customWidth="1"/>
    <col min="12047" max="12288" width="12.5703125" style="609"/>
    <col min="12289" max="12291" width="7" style="609" customWidth="1"/>
    <col min="12292" max="12292" width="8.28515625" style="609" customWidth="1"/>
    <col min="12293" max="12293" width="7" style="609" customWidth="1"/>
    <col min="12294" max="12294" width="8.85546875" style="609" customWidth="1"/>
    <col min="12295" max="12301" width="7" style="609" customWidth="1"/>
    <col min="12302" max="12302" width="7.140625" style="609" customWidth="1"/>
    <col min="12303" max="12544" width="12.5703125" style="609"/>
    <col min="12545" max="12547" width="7" style="609" customWidth="1"/>
    <col min="12548" max="12548" width="8.28515625" style="609" customWidth="1"/>
    <col min="12549" max="12549" width="7" style="609" customWidth="1"/>
    <col min="12550" max="12550" width="8.85546875" style="609" customWidth="1"/>
    <col min="12551" max="12557" width="7" style="609" customWidth="1"/>
    <col min="12558" max="12558" width="7.140625" style="609" customWidth="1"/>
    <col min="12559" max="12800" width="12.5703125" style="609"/>
    <col min="12801" max="12803" width="7" style="609" customWidth="1"/>
    <col min="12804" max="12804" width="8.28515625" style="609" customWidth="1"/>
    <col min="12805" max="12805" width="7" style="609" customWidth="1"/>
    <col min="12806" max="12806" width="8.85546875" style="609" customWidth="1"/>
    <col min="12807" max="12813" width="7" style="609" customWidth="1"/>
    <col min="12814" max="12814" width="7.140625" style="609" customWidth="1"/>
    <col min="12815" max="13056" width="12.5703125" style="609"/>
    <col min="13057" max="13059" width="7" style="609" customWidth="1"/>
    <col min="13060" max="13060" width="8.28515625" style="609" customWidth="1"/>
    <col min="13061" max="13061" width="7" style="609" customWidth="1"/>
    <col min="13062" max="13062" width="8.85546875" style="609" customWidth="1"/>
    <col min="13063" max="13069" width="7" style="609" customWidth="1"/>
    <col min="13070" max="13070" width="7.140625" style="609" customWidth="1"/>
    <col min="13071" max="13312" width="12.5703125" style="609"/>
    <col min="13313" max="13315" width="7" style="609" customWidth="1"/>
    <col min="13316" max="13316" width="8.28515625" style="609" customWidth="1"/>
    <col min="13317" max="13317" width="7" style="609" customWidth="1"/>
    <col min="13318" max="13318" width="8.85546875" style="609" customWidth="1"/>
    <col min="13319" max="13325" width="7" style="609" customWidth="1"/>
    <col min="13326" max="13326" width="7.140625" style="609" customWidth="1"/>
    <col min="13327" max="13568" width="12.5703125" style="609"/>
    <col min="13569" max="13571" width="7" style="609" customWidth="1"/>
    <col min="13572" max="13572" width="8.28515625" style="609" customWidth="1"/>
    <col min="13573" max="13573" width="7" style="609" customWidth="1"/>
    <col min="13574" max="13574" width="8.85546875" style="609" customWidth="1"/>
    <col min="13575" max="13581" width="7" style="609" customWidth="1"/>
    <col min="13582" max="13582" width="7.140625" style="609" customWidth="1"/>
    <col min="13583" max="13824" width="12.5703125" style="609"/>
    <col min="13825" max="13827" width="7" style="609" customWidth="1"/>
    <col min="13828" max="13828" width="8.28515625" style="609" customWidth="1"/>
    <col min="13829" max="13829" width="7" style="609" customWidth="1"/>
    <col min="13830" max="13830" width="8.85546875" style="609" customWidth="1"/>
    <col min="13831" max="13837" width="7" style="609" customWidth="1"/>
    <col min="13838" max="13838" width="7.140625" style="609" customWidth="1"/>
    <col min="13839" max="14080" width="12.5703125" style="609"/>
    <col min="14081" max="14083" width="7" style="609" customWidth="1"/>
    <col min="14084" max="14084" width="8.28515625" style="609" customWidth="1"/>
    <col min="14085" max="14085" width="7" style="609" customWidth="1"/>
    <col min="14086" max="14086" width="8.85546875" style="609" customWidth="1"/>
    <col min="14087" max="14093" width="7" style="609" customWidth="1"/>
    <col min="14094" max="14094" width="7.140625" style="609" customWidth="1"/>
    <col min="14095" max="14336" width="12.5703125" style="609"/>
    <col min="14337" max="14339" width="7" style="609" customWidth="1"/>
    <col min="14340" max="14340" width="8.28515625" style="609" customWidth="1"/>
    <col min="14341" max="14341" width="7" style="609" customWidth="1"/>
    <col min="14342" max="14342" width="8.85546875" style="609" customWidth="1"/>
    <col min="14343" max="14349" width="7" style="609" customWidth="1"/>
    <col min="14350" max="14350" width="7.140625" style="609" customWidth="1"/>
    <col min="14351" max="14592" width="12.5703125" style="609"/>
    <col min="14593" max="14595" width="7" style="609" customWidth="1"/>
    <col min="14596" max="14596" width="8.28515625" style="609" customWidth="1"/>
    <col min="14597" max="14597" width="7" style="609" customWidth="1"/>
    <col min="14598" max="14598" width="8.85546875" style="609" customWidth="1"/>
    <col min="14599" max="14605" width="7" style="609" customWidth="1"/>
    <col min="14606" max="14606" width="7.140625" style="609" customWidth="1"/>
    <col min="14607" max="14848" width="12.5703125" style="609"/>
    <col min="14849" max="14851" width="7" style="609" customWidth="1"/>
    <col min="14852" max="14852" width="8.28515625" style="609" customWidth="1"/>
    <col min="14853" max="14853" width="7" style="609" customWidth="1"/>
    <col min="14854" max="14854" width="8.85546875" style="609" customWidth="1"/>
    <col min="14855" max="14861" width="7" style="609" customWidth="1"/>
    <col min="14862" max="14862" width="7.140625" style="609" customWidth="1"/>
    <col min="14863" max="15104" width="12.5703125" style="609"/>
    <col min="15105" max="15107" width="7" style="609" customWidth="1"/>
    <col min="15108" max="15108" width="8.28515625" style="609" customWidth="1"/>
    <col min="15109" max="15109" width="7" style="609" customWidth="1"/>
    <col min="15110" max="15110" width="8.85546875" style="609" customWidth="1"/>
    <col min="15111" max="15117" width="7" style="609" customWidth="1"/>
    <col min="15118" max="15118" width="7.140625" style="609" customWidth="1"/>
    <col min="15119" max="15360" width="12.5703125" style="609"/>
    <col min="15361" max="15363" width="7" style="609" customWidth="1"/>
    <col min="15364" max="15364" width="8.28515625" style="609" customWidth="1"/>
    <col min="15365" max="15365" width="7" style="609" customWidth="1"/>
    <col min="15366" max="15366" width="8.85546875" style="609" customWidth="1"/>
    <col min="15367" max="15373" width="7" style="609" customWidth="1"/>
    <col min="15374" max="15374" width="7.140625" style="609" customWidth="1"/>
    <col min="15375" max="15616" width="12.5703125" style="609"/>
    <col min="15617" max="15619" width="7" style="609" customWidth="1"/>
    <col min="15620" max="15620" width="8.28515625" style="609" customWidth="1"/>
    <col min="15621" max="15621" width="7" style="609" customWidth="1"/>
    <col min="15622" max="15622" width="8.85546875" style="609" customWidth="1"/>
    <col min="15623" max="15629" width="7" style="609" customWidth="1"/>
    <col min="15630" max="15630" width="7.140625" style="609" customWidth="1"/>
    <col min="15631" max="15872" width="12.5703125" style="609"/>
    <col min="15873" max="15875" width="7" style="609" customWidth="1"/>
    <col min="15876" max="15876" width="8.28515625" style="609" customWidth="1"/>
    <col min="15877" max="15877" width="7" style="609" customWidth="1"/>
    <col min="15878" max="15878" width="8.85546875" style="609" customWidth="1"/>
    <col min="15879" max="15885" width="7" style="609" customWidth="1"/>
    <col min="15886" max="15886" width="7.140625" style="609" customWidth="1"/>
    <col min="15887" max="16128" width="12.5703125" style="609"/>
    <col min="16129" max="16131" width="7" style="609" customWidth="1"/>
    <col min="16132" max="16132" width="8.28515625" style="609" customWidth="1"/>
    <col min="16133" max="16133" width="7" style="609" customWidth="1"/>
    <col min="16134" max="16134" width="8.85546875" style="609" customWidth="1"/>
    <col min="16135" max="16141" width="7" style="609" customWidth="1"/>
    <col min="16142" max="16142" width="7.140625" style="609" customWidth="1"/>
    <col min="16143" max="16384" width="12.5703125" style="609"/>
  </cols>
  <sheetData>
    <row r="1" spans="1:14" ht="17.100000000000001" customHeight="1">
      <c r="A1" s="604" t="s">
        <v>269</v>
      </c>
      <c r="B1" s="605"/>
      <c r="C1" s="605"/>
      <c r="D1" s="605"/>
      <c r="E1" s="605"/>
      <c r="F1" s="605"/>
      <c r="G1" s="605"/>
      <c r="H1" s="605"/>
      <c r="I1" s="605"/>
      <c r="J1" s="606" t="s">
        <v>597</v>
      </c>
      <c r="K1" s="607"/>
      <c r="L1" s="840" t="s">
        <v>749</v>
      </c>
      <c r="M1" s="841"/>
      <c r="N1" s="608"/>
    </row>
    <row r="2" spans="1:14" ht="17.100000000000001" customHeight="1">
      <c r="A2" s="610" t="s">
        <v>599</v>
      </c>
      <c r="B2" s="611"/>
      <c r="C2" s="611"/>
      <c r="D2" s="611"/>
      <c r="E2" s="611"/>
      <c r="F2" s="611"/>
      <c r="G2" s="611"/>
      <c r="H2" s="611"/>
      <c r="I2" s="611"/>
      <c r="J2" s="612" t="s">
        <v>600</v>
      </c>
      <c r="K2" s="613"/>
      <c r="L2" s="614" t="s">
        <v>601</v>
      </c>
      <c r="M2" s="615"/>
      <c r="N2" s="608"/>
    </row>
    <row r="3" spans="1:14" ht="15.95" customHeight="1">
      <c r="A3" s="616"/>
      <c r="B3" s="558"/>
      <c r="C3" s="558"/>
      <c r="D3" s="558"/>
      <c r="E3" s="558"/>
      <c r="F3" s="558"/>
      <c r="G3" s="558"/>
      <c r="H3" s="558"/>
      <c r="I3" s="558"/>
      <c r="J3" s="612" t="s">
        <v>602</v>
      </c>
      <c r="K3" s="613"/>
      <c r="L3" s="842" t="s">
        <v>750</v>
      </c>
      <c r="M3" s="843"/>
      <c r="N3" s="608"/>
    </row>
    <row r="4" spans="1:14" ht="15.95" customHeight="1">
      <c r="A4" s="617"/>
      <c r="B4" s="558"/>
      <c r="C4" s="558"/>
      <c r="D4" s="558"/>
      <c r="E4" s="558"/>
      <c r="F4" s="558"/>
      <c r="G4" s="558"/>
      <c r="H4" s="558"/>
      <c r="I4" s="558"/>
      <c r="J4" s="612" t="s">
        <v>604</v>
      </c>
      <c r="K4" s="613"/>
      <c r="L4" s="844" t="s">
        <v>723</v>
      </c>
      <c r="M4" s="845"/>
      <c r="N4" s="608"/>
    </row>
    <row r="5" spans="1:14" ht="15.95" customHeight="1">
      <c r="A5" s="616"/>
      <c r="B5" s="558"/>
      <c r="C5" s="558"/>
      <c r="D5" s="558"/>
      <c r="E5" s="558"/>
      <c r="F5" s="558"/>
      <c r="G5" s="558"/>
      <c r="H5" s="558"/>
      <c r="I5" s="558"/>
      <c r="J5" s="612" t="s">
        <v>606</v>
      </c>
      <c r="K5" s="613"/>
      <c r="L5" s="844">
        <v>0</v>
      </c>
      <c r="M5" s="846"/>
      <c r="N5" s="608"/>
    </row>
    <row r="6" spans="1:14" ht="15.95" customHeight="1">
      <c r="A6" s="618" t="s">
        <v>607</v>
      </c>
      <c r="B6" s="558"/>
      <c r="C6" s="558"/>
      <c r="D6" s="558"/>
      <c r="E6" s="558"/>
      <c r="F6" s="558"/>
      <c r="G6" s="558"/>
      <c r="H6" s="558"/>
      <c r="I6" s="558"/>
      <c r="J6" s="612" t="s">
        <v>608</v>
      </c>
      <c r="K6" s="613"/>
      <c r="L6" s="844" t="s">
        <v>751</v>
      </c>
      <c r="M6" s="846"/>
      <c r="N6" s="608"/>
    </row>
    <row r="7" spans="1:14" ht="15.95" customHeight="1" thickBot="1">
      <c r="A7" s="619" t="s">
        <v>752</v>
      </c>
      <c r="B7" s="620"/>
      <c r="C7" s="620"/>
      <c r="D7" s="620"/>
      <c r="E7" s="620"/>
      <c r="F7" s="620"/>
      <c r="G7" s="620"/>
      <c r="H7" s="620"/>
      <c r="I7" s="620"/>
      <c r="J7" s="621" t="s">
        <v>611</v>
      </c>
      <c r="K7" s="622"/>
      <c r="L7" s="847" t="s">
        <v>753</v>
      </c>
      <c r="M7" s="848"/>
      <c r="N7" s="608"/>
    </row>
    <row r="8" spans="1:14" ht="6.75" customHeight="1">
      <c r="A8" s="557"/>
      <c r="B8" s="558"/>
      <c r="C8" s="558"/>
      <c r="D8" s="558"/>
      <c r="E8" s="558"/>
      <c r="F8" s="558"/>
      <c r="G8" s="558"/>
      <c r="H8" s="558"/>
      <c r="I8" s="558"/>
      <c r="J8" s="558"/>
      <c r="K8" s="559"/>
      <c r="L8" s="560"/>
      <c r="M8" s="561"/>
      <c r="N8" s="558"/>
    </row>
    <row r="9" spans="1:14" ht="12" customHeight="1">
      <c r="A9" s="462"/>
      <c r="B9" s="463" t="s">
        <v>613</v>
      </c>
      <c r="C9" s="464" t="s">
        <v>704</v>
      </c>
      <c r="D9" s="465"/>
      <c r="E9" s="465"/>
      <c r="F9" s="465"/>
      <c r="G9" s="465"/>
      <c r="H9" s="465"/>
      <c r="I9" s="465"/>
      <c r="J9" s="465"/>
      <c r="K9" s="466"/>
      <c r="L9" s="462"/>
      <c r="M9" s="465"/>
      <c r="N9" s="558"/>
    </row>
    <row r="10" spans="1:14" ht="12" customHeight="1">
      <c r="A10" s="462"/>
      <c r="B10" s="463" t="s">
        <v>614</v>
      </c>
      <c r="C10" s="467" t="s">
        <v>705</v>
      </c>
      <c r="D10" s="462"/>
      <c r="E10" s="462"/>
      <c r="F10" s="462"/>
      <c r="G10" s="462"/>
      <c r="H10" s="462"/>
      <c r="I10" s="462"/>
      <c r="J10" s="462"/>
      <c r="K10" s="462"/>
      <c r="L10" s="462"/>
      <c r="M10" s="462"/>
      <c r="N10" s="560"/>
    </row>
    <row r="11" spans="1:14" ht="6.75" customHeight="1" thickBot="1">
      <c r="A11" s="460"/>
      <c r="B11" s="460"/>
      <c r="C11" s="460"/>
      <c r="D11" s="460"/>
      <c r="E11" s="460"/>
      <c r="F11" s="460"/>
      <c r="G11" s="460"/>
      <c r="H11" s="460"/>
      <c r="I11" s="460"/>
      <c r="J11" s="460"/>
      <c r="K11" s="460"/>
      <c r="L11" s="460"/>
      <c r="M11" s="460"/>
      <c r="N11" s="560"/>
    </row>
    <row r="12" spans="1:14" ht="20.100000000000001" customHeight="1" thickBot="1">
      <c r="A12" s="468" t="s">
        <v>615</v>
      </c>
      <c r="B12" s="469"/>
      <c r="C12" s="469"/>
      <c r="D12" s="469"/>
      <c r="E12" s="469"/>
      <c r="F12" s="469"/>
      <c r="G12" s="469"/>
      <c r="H12" s="469"/>
      <c r="I12" s="469"/>
      <c r="J12" s="469"/>
      <c r="K12" s="469"/>
      <c r="L12" s="469"/>
      <c r="M12" s="470"/>
      <c r="N12" s="608"/>
    </row>
    <row r="13" spans="1:14" ht="12.95" customHeight="1" thickTop="1">
      <c r="A13" s="471"/>
      <c r="B13" s="463" t="s">
        <v>616</v>
      </c>
      <c r="C13" s="472">
        <v>1750</v>
      </c>
      <c r="D13" s="462"/>
      <c r="E13" s="463" t="s">
        <v>617</v>
      </c>
      <c r="F13" s="472">
        <v>4000</v>
      </c>
      <c r="G13" s="462"/>
      <c r="H13" s="463" t="s">
        <v>618</v>
      </c>
      <c r="I13" s="472" t="s">
        <v>703</v>
      </c>
      <c r="J13" s="462"/>
      <c r="K13" s="462"/>
      <c r="L13" s="463" t="s">
        <v>619</v>
      </c>
      <c r="M13" s="473">
        <v>3600</v>
      </c>
      <c r="N13" s="608"/>
    </row>
    <row r="14" spans="1:14" ht="12.95" customHeight="1">
      <c r="A14" s="471"/>
      <c r="B14" s="463" t="s">
        <v>620</v>
      </c>
      <c r="C14" s="464" t="s">
        <v>706</v>
      </c>
      <c r="D14" s="462"/>
      <c r="E14" s="463" t="s">
        <v>621</v>
      </c>
      <c r="F14" s="474" t="s">
        <v>707</v>
      </c>
      <c r="G14" s="462"/>
      <c r="H14" s="463" t="s">
        <v>622</v>
      </c>
      <c r="I14" s="472">
        <v>217</v>
      </c>
      <c r="J14" s="462"/>
      <c r="K14" s="462"/>
      <c r="L14" s="463" t="s">
        <v>577</v>
      </c>
      <c r="M14" s="473">
        <v>3585</v>
      </c>
      <c r="N14" s="608"/>
    </row>
    <row r="15" spans="1:14" ht="12.95" customHeight="1">
      <c r="A15" s="471"/>
      <c r="B15" s="463" t="s">
        <v>623</v>
      </c>
      <c r="C15" s="472" t="s">
        <v>192</v>
      </c>
      <c r="D15" s="462"/>
      <c r="E15" s="463" t="s">
        <v>624</v>
      </c>
      <c r="F15" s="475" t="s">
        <v>493</v>
      </c>
      <c r="G15" s="462"/>
      <c r="H15" s="463" t="s">
        <v>625</v>
      </c>
      <c r="I15" s="474" t="s">
        <v>174</v>
      </c>
      <c r="J15" s="462"/>
      <c r="K15" s="462"/>
      <c r="L15" s="463" t="s">
        <v>626</v>
      </c>
      <c r="M15" s="473" t="s">
        <v>363</v>
      </c>
      <c r="N15" s="608"/>
    </row>
    <row r="16" spans="1:14" ht="12.95" customHeight="1">
      <c r="A16" s="471"/>
      <c r="B16" s="463" t="s">
        <v>627</v>
      </c>
      <c r="C16" s="472" t="s">
        <v>702</v>
      </c>
      <c r="D16" s="462"/>
      <c r="E16" s="463" t="s">
        <v>628</v>
      </c>
      <c r="F16" s="472" t="s">
        <v>435</v>
      </c>
      <c r="G16" s="462"/>
      <c r="H16" s="476" t="s">
        <v>629</v>
      </c>
      <c r="I16" s="477" t="s">
        <v>356</v>
      </c>
      <c r="J16" s="462"/>
      <c r="K16" s="462"/>
      <c r="L16" s="463" t="s">
        <v>630</v>
      </c>
      <c r="M16" s="473" t="s">
        <v>631</v>
      </c>
      <c r="N16" s="608"/>
    </row>
    <row r="17" spans="1:20" ht="12.95" customHeight="1">
      <c r="A17" s="471"/>
      <c r="B17" s="463" t="s">
        <v>632</v>
      </c>
      <c r="C17" s="464" t="s">
        <v>708</v>
      </c>
      <c r="D17" s="462"/>
      <c r="E17" s="463"/>
      <c r="F17" s="474"/>
      <c r="G17" s="462"/>
      <c r="H17" s="463" t="s">
        <v>633</v>
      </c>
      <c r="I17" s="477" t="s">
        <v>174</v>
      </c>
      <c r="J17" s="462"/>
      <c r="K17" s="462"/>
      <c r="L17" s="463"/>
      <c r="M17" s="478"/>
      <c r="N17" s="608"/>
    </row>
    <row r="18" spans="1:20" ht="12.95" customHeight="1" thickBot="1">
      <c r="A18" s="479"/>
      <c r="B18" s="480" t="s">
        <v>634</v>
      </c>
      <c r="C18" s="481" t="s">
        <v>174</v>
      </c>
      <c r="D18" s="482"/>
      <c r="E18" s="480" t="s">
        <v>635</v>
      </c>
      <c r="F18" s="481" t="s">
        <v>174</v>
      </c>
      <c r="G18" s="483"/>
      <c r="H18" s="480" t="s">
        <v>636</v>
      </c>
      <c r="I18" s="481" t="s">
        <v>174</v>
      </c>
      <c r="J18" s="482"/>
      <c r="K18" s="482"/>
      <c r="L18" s="482"/>
      <c r="M18" s="484"/>
      <c r="N18" s="608"/>
    </row>
    <row r="19" spans="1:20" ht="16.5" thickBot="1"/>
    <row r="20" spans="1:20" ht="16.5" thickBot="1">
      <c r="A20" s="849" t="s">
        <v>754</v>
      </c>
      <c r="B20" s="850"/>
      <c r="C20" s="850"/>
      <c r="D20" s="850"/>
      <c r="E20" s="850"/>
      <c r="F20" s="850"/>
      <c r="G20" s="850"/>
      <c r="H20" s="850"/>
      <c r="I20" s="850"/>
      <c r="J20" s="850"/>
      <c r="K20" s="850"/>
      <c r="L20" s="850"/>
      <c r="M20" s="851"/>
    </row>
    <row r="21" spans="1:20" ht="16.5" thickTop="1">
      <c r="A21" s="623"/>
      <c r="B21" s="624"/>
      <c r="C21" s="625"/>
      <c r="D21" s="626" t="s">
        <v>755</v>
      </c>
      <c r="E21" s="627" t="s">
        <v>794</v>
      </c>
      <c r="F21" s="628"/>
      <c r="G21" s="625"/>
      <c r="H21" s="625"/>
      <c r="I21" s="629" t="s">
        <v>756</v>
      </c>
      <c r="J21" s="630">
        <v>21.3</v>
      </c>
      <c r="K21" s="628"/>
      <c r="L21" s="628"/>
      <c r="M21" s="631"/>
      <c r="P21" s="632"/>
    </row>
    <row r="22" spans="1:20" ht="16.5" thickBot="1">
      <c r="A22" s="633"/>
      <c r="B22" s="634"/>
      <c r="C22" s="634"/>
      <c r="D22" s="635" t="s">
        <v>757</v>
      </c>
      <c r="E22" s="636" t="s">
        <v>795</v>
      </c>
      <c r="F22" s="637"/>
      <c r="G22" s="634"/>
      <c r="H22" s="634"/>
      <c r="I22" s="634"/>
      <c r="J22" s="634"/>
      <c r="K22" s="634"/>
      <c r="L22" s="634"/>
      <c r="M22" s="638"/>
      <c r="P22" s="472"/>
    </row>
    <row r="23" spans="1:20" ht="16.5" thickBot="1">
      <c r="P23" s="472"/>
    </row>
    <row r="24" spans="1:20" ht="16.5" thickBot="1">
      <c r="A24" s="849" t="s">
        <v>758</v>
      </c>
      <c r="B24" s="850"/>
      <c r="C24" s="850"/>
      <c r="D24" s="850"/>
      <c r="E24" s="850"/>
      <c r="F24" s="851"/>
      <c r="G24" s="639"/>
      <c r="H24" s="849" t="s">
        <v>759</v>
      </c>
      <c r="I24" s="850"/>
      <c r="J24" s="850"/>
      <c r="K24" s="850"/>
      <c r="L24" s="850"/>
      <c r="M24" s="851"/>
    </row>
    <row r="25" spans="1:20" ht="17.25" thickTop="1" thickBot="1">
      <c r="A25" s="640"/>
      <c r="B25" s="625"/>
      <c r="C25" s="629"/>
      <c r="D25" s="629"/>
      <c r="E25" s="629" t="s">
        <v>760</v>
      </c>
      <c r="F25" s="641">
        <v>2564</v>
      </c>
      <c r="G25" s="642"/>
      <c r="H25" s="625"/>
      <c r="I25" s="625"/>
      <c r="J25" s="643" t="s">
        <v>761</v>
      </c>
      <c r="K25" s="837" t="s">
        <v>390</v>
      </c>
      <c r="L25" s="838"/>
      <c r="M25" s="839"/>
    </row>
    <row r="26" spans="1:20" ht="17.25" thickTop="1" thickBot="1">
      <c r="A26" s="644"/>
      <c r="D26" s="645"/>
      <c r="E26" s="645" t="s">
        <v>762</v>
      </c>
      <c r="F26" s="646">
        <v>70</v>
      </c>
      <c r="G26" s="647"/>
      <c r="J26" s="648" t="s">
        <v>763</v>
      </c>
      <c r="K26" s="837" t="s">
        <v>390</v>
      </c>
      <c r="L26" s="838"/>
      <c r="M26" s="839"/>
    </row>
    <row r="27" spans="1:20" ht="16.5" thickTop="1">
      <c r="A27" s="644"/>
      <c r="D27" s="645"/>
      <c r="E27" s="645" t="s">
        <v>764</v>
      </c>
      <c r="F27" s="646">
        <v>70</v>
      </c>
      <c r="G27" s="647"/>
      <c r="J27" s="648" t="s">
        <v>765</v>
      </c>
      <c r="K27" s="837" t="s">
        <v>390</v>
      </c>
      <c r="L27" s="838"/>
      <c r="M27" s="839"/>
    </row>
    <row r="28" spans="1:20" ht="16.5" thickBot="1">
      <c r="A28" s="633"/>
      <c r="B28" s="634"/>
      <c r="C28" s="634"/>
      <c r="D28" s="635"/>
      <c r="E28" s="635" t="s">
        <v>766</v>
      </c>
      <c r="F28" s="649">
        <v>240</v>
      </c>
      <c r="G28" s="647"/>
      <c r="H28" s="634"/>
      <c r="I28" s="634"/>
      <c r="J28" s="650"/>
      <c r="K28" s="852"/>
      <c r="L28" s="852"/>
      <c r="M28" s="853"/>
      <c r="P28" s="651"/>
      <c r="Q28" s="652"/>
      <c r="R28" s="652"/>
      <c r="S28" s="652"/>
      <c r="T28" s="652"/>
    </row>
    <row r="29" spans="1:20" ht="16.5" thickBot="1">
      <c r="P29" s="653"/>
      <c r="Q29" s="654"/>
      <c r="R29" s="654"/>
      <c r="S29" s="654"/>
      <c r="T29" s="654"/>
    </row>
    <row r="30" spans="1:20" ht="16.5" thickBot="1">
      <c r="A30" s="854" t="s">
        <v>767</v>
      </c>
      <c r="B30" s="855"/>
      <c r="C30" s="855"/>
      <c r="D30" s="855"/>
      <c r="E30" s="855"/>
      <c r="F30" s="855"/>
      <c r="G30" s="855"/>
      <c r="H30" s="855"/>
      <c r="I30" s="855"/>
      <c r="J30" s="855"/>
      <c r="K30" s="855"/>
      <c r="L30" s="855"/>
      <c r="M30" s="856"/>
      <c r="O30" s="651"/>
      <c r="P30" s="653"/>
      <c r="Q30" s="655"/>
      <c r="R30" s="655"/>
      <c r="S30" s="655"/>
      <c r="T30" s="655"/>
    </row>
    <row r="31" spans="1:20" ht="16.5" thickTop="1">
      <c r="A31" s="857" t="s">
        <v>768</v>
      </c>
      <c r="B31" s="858"/>
      <c r="C31" s="858"/>
      <c r="D31" s="858"/>
      <c r="E31" s="858"/>
      <c r="F31" s="859"/>
      <c r="G31" s="656"/>
      <c r="H31" s="860" t="s">
        <v>769</v>
      </c>
      <c r="I31" s="858"/>
      <c r="J31" s="858"/>
      <c r="K31" s="858"/>
      <c r="L31" s="858"/>
      <c r="M31" s="861"/>
      <c r="O31" s="653"/>
      <c r="P31" s="653"/>
      <c r="Q31" s="655"/>
      <c r="R31" s="655"/>
      <c r="S31" s="655"/>
      <c r="T31" s="655"/>
    </row>
    <row r="32" spans="1:20">
      <c r="A32" s="644"/>
      <c r="B32" s="657"/>
      <c r="C32" s="645" t="s">
        <v>770</v>
      </c>
      <c r="D32" s="862" t="s">
        <v>775</v>
      </c>
      <c r="E32" s="862"/>
      <c r="F32" s="863"/>
      <c r="G32" s="658"/>
      <c r="J32" s="645" t="s">
        <v>770</v>
      </c>
      <c r="K32" s="862" t="s">
        <v>796</v>
      </c>
      <c r="L32" s="862"/>
      <c r="M32" s="864"/>
      <c r="O32" s="653"/>
      <c r="P32" s="653"/>
      <c r="Q32" s="659"/>
      <c r="R32" s="659"/>
      <c r="S32" s="659"/>
      <c r="T32" s="659"/>
    </row>
    <row r="33" spans="1:21">
      <c r="A33" s="644"/>
      <c r="B33" s="657"/>
      <c r="C33" s="645" t="s">
        <v>772</v>
      </c>
      <c r="D33" s="868" t="s">
        <v>773</v>
      </c>
      <c r="E33" s="868"/>
      <c r="F33" s="869"/>
      <c r="G33" s="658"/>
      <c r="J33" s="645" t="s">
        <v>772</v>
      </c>
      <c r="K33" s="868" t="s">
        <v>771</v>
      </c>
      <c r="L33" s="868"/>
      <c r="M33" s="870"/>
      <c r="O33" s="653"/>
      <c r="P33" s="655"/>
      <c r="Q33" s="655"/>
      <c r="R33" s="655"/>
      <c r="S33" s="655"/>
    </row>
    <row r="34" spans="1:21">
      <c r="A34" s="644"/>
      <c r="B34" s="657"/>
      <c r="C34" s="645" t="s">
        <v>774</v>
      </c>
      <c r="D34" s="868" t="s">
        <v>798</v>
      </c>
      <c r="E34" s="868"/>
      <c r="F34" s="869"/>
      <c r="G34" s="658"/>
      <c r="J34" s="645" t="s">
        <v>774</v>
      </c>
      <c r="K34" s="868" t="s">
        <v>797</v>
      </c>
      <c r="L34" s="868"/>
      <c r="M34" s="870"/>
      <c r="O34" s="653"/>
      <c r="P34" s="659"/>
      <c r="Q34" s="659"/>
      <c r="R34" s="659"/>
      <c r="S34" s="659"/>
    </row>
    <row r="35" spans="1:21" ht="16.5" thickBot="1">
      <c r="A35" s="633"/>
      <c r="B35" s="660"/>
      <c r="C35" s="635" t="s">
        <v>776</v>
      </c>
      <c r="D35" s="871" t="s">
        <v>799</v>
      </c>
      <c r="E35" s="871"/>
      <c r="F35" s="872"/>
      <c r="G35" s="658"/>
      <c r="H35" s="634"/>
      <c r="I35" s="634"/>
      <c r="J35" s="635" t="s">
        <v>776</v>
      </c>
      <c r="K35" s="871" t="s">
        <v>775</v>
      </c>
      <c r="L35" s="871"/>
      <c r="M35" s="873"/>
    </row>
    <row r="36" spans="1:21" ht="16.5" thickBot="1">
      <c r="P36" s="376"/>
      <c r="Q36" s="376"/>
      <c r="R36" s="376"/>
      <c r="S36" s="376"/>
      <c r="T36" s="376"/>
    </row>
    <row r="37" spans="1:21" ht="16.5" thickBot="1">
      <c r="A37" s="854" t="s">
        <v>777</v>
      </c>
      <c r="B37" s="855"/>
      <c r="C37" s="855"/>
      <c r="D37" s="855"/>
      <c r="E37" s="855"/>
      <c r="F37" s="855"/>
      <c r="G37" s="855"/>
      <c r="H37" s="855"/>
      <c r="I37" s="855"/>
      <c r="J37" s="855"/>
      <c r="K37" s="855"/>
      <c r="L37" s="855"/>
      <c r="M37" s="856"/>
      <c r="P37" s="376"/>
      <c r="Q37" s="376"/>
      <c r="R37" s="376"/>
      <c r="S37" s="376"/>
      <c r="T37" s="376"/>
      <c r="U37" s="376"/>
    </row>
    <row r="38" spans="1:21" ht="16.5" thickTop="1">
      <c r="A38" s="640"/>
      <c r="B38" s="641"/>
      <c r="C38" s="643" t="s">
        <v>778</v>
      </c>
      <c r="D38" s="874" t="s">
        <v>801</v>
      </c>
      <c r="E38" s="874"/>
      <c r="F38" s="874"/>
      <c r="G38" s="874"/>
      <c r="H38" s="625"/>
      <c r="I38" s="625"/>
      <c r="J38" s="629" t="s">
        <v>779</v>
      </c>
      <c r="K38" s="875" t="s">
        <v>799</v>
      </c>
      <c r="L38" s="875"/>
      <c r="M38" s="876"/>
      <c r="O38" s="661"/>
      <c r="P38" s="376"/>
      <c r="Q38" s="376"/>
      <c r="R38" s="376"/>
      <c r="S38" s="376"/>
      <c r="T38" s="376"/>
      <c r="U38" s="376"/>
    </row>
    <row r="39" spans="1:21" ht="16.5" thickBot="1">
      <c r="A39" s="633"/>
      <c r="B39" s="634"/>
      <c r="C39" s="649" t="s">
        <v>780</v>
      </c>
      <c r="D39" s="877" t="s">
        <v>800</v>
      </c>
      <c r="E39" s="877"/>
      <c r="F39" s="877"/>
      <c r="G39" s="877"/>
      <c r="H39" s="634"/>
      <c r="I39" s="634"/>
      <c r="J39" s="635" t="s">
        <v>781</v>
      </c>
      <c r="K39" s="878"/>
      <c r="L39" s="878"/>
      <c r="M39" s="879"/>
      <c r="O39" s="661"/>
      <c r="P39" s="376"/>
      <c r="Q39" s="376"/>
      <c r="R39" s="376"/>
      <c r="S39" s="376"/>
      <c r="T39" s="376"/>
      <c r="U39" s="376"/>
    </row>
    <row r="40" spans="1:21" ht="16.5" thickBot="1">
      <c r="A40" s="662"/>
      <c r="B40" s="662"/>
      <c r="C40" s="662"/>
      <c r="D40" s="865" t="s">
        <v>782</v>
      </c>
      <c r="E40" s="866"/>
      <c r="F40" s="866"/>
      <c r="G40" s="866"/>
      <c r="H40" s="866"/>
      <c r="I40" s="866"/>
      <c r="J40" s="867"/>
      <c r="K40" s="662"/>
      <c r="L40" s="662"/>
      <c r="M40" s="662"/>
      <c r="O40" s="376"/>
      <c r="P40" s="376"/>
      <c r="Q40" s="376"/>
      <c r="R40" s="376"/>
      <c r="S40" s="376"/>
      <c r="T40" s="376"/>
      <c r="U40" s="376"/>
    </row>
    <row r="41" spans="1:21">
      <c r="D41" s="882" t="s">
        <v>783</v>
      </c>
      <c r="E41" s="883"/>
      <c r="F41" s="884"/>
      <c r="G41" s="663" t="s">
        <v>784</v>
      </c>
      <c r="H41" s="664" t="s">
        <v>785</v>
      </c>
      <c r="I41" s="665" t="s">
        <v>786</v>
      </c>
      <c r="J41" s="666" t="s">
        <v>787</v>
      </c>
      <c r="M41" s="376"/>
      <c r="N41" s="376"/>
      <c r="O41" s="376"/>
      <c r="P41" s="376"/>
      <c r="Q41" s="376"/>
      <c r="R41" s="376"/>
      <c r="S41" s="376"/>
      <c r="T41" s="376"/>
      <c r="U41" s="376"/>
    </row>
    <row r="42" spans="1:21">
      <c r="D42" s="885" t="s">
        <v>788</v>
      </c>
      <c r="E42" s="886"/>
      <c r="F42" s="887"/>
      <c r="G42" s="667">
        <v>120</v>
      </c>
      <c r="H42" s="668">
        <v>167</v>
      </c>
      <c r="I42" s="668">
        <v>217</v>
      </c>
      <c r="J42" s="669" t="s">
        <v>174</v>
      </c>
      <c r="M42" s="376"/>
      <c r="N42" s="376"/>
      <c r="O42" s="376"/>
      <c r="P42" s="376"/>
      <c r="Q42" s="376"/>
      <c r="R42" s="376"/>
      <c r="S42" s="376"/>
      <c r="T42" s="376"/>
      <c r="U42" s="376"/>
    </row>
    <row r="43" spans="1:21">
      <c r="D43" s="885" t="s">
        <v>789</v>
      </c>
      <c r="E43" s="886"/>
      <c r="F43" s="887"/>
      <c r="G43" s="667">
        <v>94.2</v>
      </c>
      <c r="H43" s="668">
        <v>95.1</v>
      </c>
      <c r="I43" s="668">
        <v>95.3</v>
      </c>
      <c r="J43" s="669" t="s">
        <v>174</v>
      </c>
      <c r="M43" s="376"/>
      <c r="N43" s="376"/>
      <c r="O43" s="376"/>
      <c r="P43" s="376"/>
      <c r="Q43" s="376"/>
      <c r="R43" s="376"/>
      <c r="S43" s="376"/>
      <c r="T43" s="376"/>
      <c r="U43" s="376"/>
    </row>
    <row r="44" spans="1:21">
      <c r="D44" s="885" t="s">
        <v>790</v>
      </c>
      <c r="E44" s="886"/>
      <c r="F44" s="887"/>
      <c r="G44" s="667">
        <v>83</v>
      </c>
      <c r="H44" s="668">
        <v>89.1</v>
      </c>
      <c r="I44" s="668">
        <v>91.2</v>
      </c>
      <c r="J44" s="669" t="s">
        <v>174</v>
      </c>
      <c r="M44" s="376"/>
      <c r="N44" s="376"/>
      <c r="O44" s="376"/>
      <c r="P44" s="376"/>
      <c r="Q44" s="376"/>
      <c r="R44" s="376"/>
      <c r="S44" s="376"/>
      <c r="T44" s="376"/>
      <c r="U44" s="376"/>
    </row>
    <row r="45" spans="1:21" ht="16.5" thickBot="1">
      <c r="D45" s="888" t="s">
        <v>791</v>
      </c>
      <c r="E45" s="889"/>
      <c r="F45" s="890"/>
      <c r="G45" s="670" t="s">
        <v>174</v>
      </c>
      <c r="H45" s="671" t="s">
        <v>174</v>
      </c>
      <c r="I45" s="671" t="s">
        <v>174</v>
      </c>
      <c r="J45" s="672" t="s">
        <v>174</v>
      </c>
      <c r="M45" s="376"/>
      <c r="N45" s="376"/>
      <c r="O45" s="376"/>
      <c r="P45" s="376"/>
      <c r="Q45" s="376"/>
      <c r="R45" s="376"/>
      <c r="S45" s="376"/>
      <c r="T45" s="376"/>
      <c r="U45" s="376"/>
    </row>
    <row r="46" spans="1:21">
      <c r="A46" s="891" t="s">
        <v>792</v>
      </c>
      <c r="B46" s="891"/>
      <c r="C46" s="891"/>
      <c r="D46" s="891"/>
      <c r="E46" s="891"/>
      <c r="F46" s="891"/>
      <c r="G46" s="891"/>
      <c r="H46" s="891"/>
      <c r="I46" s="891"/>
      <c r="J46" s="891"/>
      <c r="K46" s="891"/>
      <c r="L46" s="891"/>
      <c r="M46" s="891"/>
      <c r="O46" s="376"/>
      <c r="P46" s="376"/>
      <c r="Q46" s="376"/>
      <c r="R46" s="376"/>
      <c r="S46" s="376"/>
      <c r="T46" s="376"/>
    </row>
    <row r="47" spans="1:21">
      <c r="O47" s="376"/>
      <c r="P47" s="376"/>
      <c r="Q47" s="376"/>
      <c r="R47" s="376"/>
      <c r="S47" s="376"/>
      <c r="T47" s="376"/>
    </row>
    <row r="48" spans="1:21">
      <c r="J48" s="673" t="s">
        <v>658</v>
      </c>
      <c r="K48" s="880" t="s">
        <v>748</v>
      </c>
      <c r="L48" s="880"/>
      <c r="M48" s="880"/>
      <c r="O48" s="376"/>
      <c r="P48" s="376"/>
      <c r="Q48" s="376"/>
      <c r="R48" s="376"/>
      <c r="S48" s="376"/>
      <c r="T48" s="376"/>
    </row>
    <row r="49" spans="1:13">
      <c r="K49" s="674"/>
      <c r="L49" s="674"/>
      <c r="M49" s="674"/>
    </row>
    <row r="50" spans="1:13">
      <c r="J50" s="673" t="s">
        <v>660</v>
      </c>
      <c r="K50" s="881">
        <v>43747</v>
      </c>
      <c r="L50" s="881"/>
      <c r="M50" s="881"/>
    </row>
    <row r="52" spans="1:13">
      <c r="A52" s="675"/>
    </row>
    <row r="53" spans="1:13">
      <c r="A53" s="676" t="s">
        <v>793</v>
      </c>
    </row>
    <row r="54" spans="1:13">
      <c r="A54" s="677"/>
    </row>
  </sheetData>
  <mergeCells count="38">
    <mergeCell ref="K48:M48"/>
    <mergeCell ref="K50:M50"/>
    <mergeCell ref="D41:F41"/>
    <mergeCell ref="D42:F42"/>
    <mergeCell ref="D43:F43"/>
    <mergeCell ref="D44:F44"/>
    <mergeCell ref="D45:F45"/>
    <mergeCell ref="A46:M46"/>
    <mergeCell ref="D40:J40"/>
    <mergeCell ref="D33:F33"/>
    <mergeCell ref="K33:M33"/>
    <mergeCell ref="D34:F34"/>
    <mergeCell ref="K34:M34"/>
    <mergeCell ref="D35:F35"/>
    <mergeCell ref="K35:M35"/>
    <mergeCell ref="A37:M37"/>
    <mergeCell ref="D38:G38"/>
    <mergeCell ref="K38:M38"/>
    <mergeCell ref="D39:G39"/>
    <mergeCell ref="K39:M39"/>
    <mergeCell ref="K28:M28"/>
    <mergeCell ref="A30:M30"/>
    <mergeCell ref="A31:F31"/>
    <mergeCell ref="H31:M31"/>
    <mergeCell ref="D32:F32"/>
    <mergeCell ref="K32:M32"/>
    <mergeCell ref="K27:M27"/>
    <mergeCell ref="L1:M1"/>
    <mergeCell ref="L3:M3"/>
    <mergeCell ref="L4:M4"/>
    <mergeCell ref="L5:M5"/>
    <mergeCell ref="L6:M6"/>
    <mergeCell ref="L7:M7"/>
    <mergeCell ref="A20:M20"/>
    <mergeCell ref="A24:F24"/>
    <mergeCell ref="H24:M24"/>
    <mergeCell ref="K25:M25"/>
    <mergeCell ref="K26:M26"/>
  </mergeCells>
  <printOptions horizontalCentered="1" gridLinesSet="0"/>
  <pageMargins left="0.5" right="0.5" top="0.5" bottom="0.5" header="0.5" footer="0.5"/>
  <pageSetup scale="8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13</vt:i4>
      </vt:variant>
    </vt:vector>
  </HeadingPairs>
  <TitlesOfParts>
    <vt:vector size="23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Circuit Param.</vt:lpstr>
      <vt:lpstr>PERFORMANCE data</vt:lpstr>
      <vt:lpstr>'Circuit Param.'!Print_Area</vt:lpstr>
      <vt:lpstr>'Data Sheet'!Print_Area</vt:lpstr>
      <vt:lpstr>DesignSheet!Print_Area</vt:lpstr>
      <vt:lpstr>LoginSheet!Print_Area</vt:lpstr>
      <vt:lpstr>Performance!Print_Area</vt:lpstr>
      <vt:lpstr>'PERFORMANCE data'!Print_Area</vt:lpstr>
      <vt:lpstr>'Performance Data Sheet'!Print_Area</vt:lpstr>
      <vt:lpstr>StallTime!Print_Area</vt:lpstr>
      <vt:lpstr>STCurve!Print_Area</vt:lpstr>
      <vt:lpstr>Thermdam!Print_Area</vt:lpstr>
      <vt:lpstr>'Circuit Param.'!Print_Area_MI</vt:lpstr>
      <vt:lpstr>'PERFORMANCE data'!Print_Area_MI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 (TIC)</cp:lastModifiedBy>
  <cp:lastPrinted>2017-05-22T14:20:14Z</cp:lastPrinted>
  <dcterms:created xsi:type="dcterms:W3CDTF">1997-10-03T20:37:30Z</dcterms:created>
  <dcterms:modified xsi:type="dcterms:W3CDTF">2026-03-11T13:21:45Z</dcterms:modified>
</cp:coreProperties>
</file>