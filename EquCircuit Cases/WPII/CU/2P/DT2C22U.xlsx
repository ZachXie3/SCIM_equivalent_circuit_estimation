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\Electrical Design\2P\SERIES\"/>
    </mc:Choice>
  </mc:AlternateContent>
  <xr:revisionPtr revIDLastSave="0" documentId="13_ncr:1_{493F7FF1-A6C6-4BB5-BA9E-F9148B34AEC2}" xr6:coauthVersionLast="47" xr6:coauthVersionMax="47" xr10:uidLastSave="{00000000-0000-0000-0000-000000000000}"/>
  <bookViews>
    <workbookView xWindow="22932" yWindow="1428" windowWidth="19416" windowHeight="10416" tabRatio="538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</sheets>
  <definedNames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8" l="1"/>
  <c r="C78" i="8" s="1"/>
  <c r="C76" i="8"/>
  <c r="B76" i="8"/>
  <c r="C75" i="8"/>
  <c r="C74" i="8"/>
  <c r="B74" i="8"/>
  <c r="A69" i="8"/>
  <c r="C69" i="8" s="1"/>
  <c r="E68" i="8"/>
  <c r="D66" i="8"/>
  <c r="F50" i="8"/>
  <c r="M28" i="3"/>
  <c r="M18" i="3"/>
  <c r="A70" i="8" l="1"/>
  <c r="A71" i="8" s="1"/>
  <c r="B71" i="8" s="1"/>
  <c r="B69" i="8"/>
  <c r="B75" i="8" s="1"/>
  <c r="C71" i="8"/>
  <c r="A72" i="8"/>
  <c r="B70" i="8"/>
  <c r="C70" i="8" l="1"/>
  <c r="B72" i="8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<sst xmlns="http://schemas.openxmlformats.org/spreadsheetml/2006/main" count="831" uniqueCount="650">
  <si>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</si>
  <si>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</si>
  <si>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</si>
  <si>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</si>
  <si>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</si>
  <si>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</si>
  <si>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</si>
  <si>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</si>
  <si>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</si>
  <si>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</si>
  <si>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</si>
  <si>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</si>
  <si>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</si>
  <si>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</si>
  <si>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</si>
  <si>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</si>
  <si>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</si>
  <si>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</si>
  <si>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</si>
  <si>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</si>
  <si>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</si>
  <si>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</si>
  <si>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</si>
  <si>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</si>
  <si>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</si>
  <si>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</si>
  <si>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</si>
  <si>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</si>
  <si>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</si>
  <si>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</si>
  <si>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</si>
  <si>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</si>
  <si>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</si>
  <si>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</si>
  <si>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</si>
  <si>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</si>
  <si>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</si>
  <si>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</si>
  <si>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</si>
  <si>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</si>
  <si>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</si>
  <si>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</si>
  <si>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</si>
  <si>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</si>
  <si>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</si>
  <si>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</si>
  <si>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</si>
  <si>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</si>
  <si>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</si>
  <si>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</si>
  <si>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</si>
  <si>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</si>
  <si>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</si>
  <si>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</si>
  <si>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</si>
  <si>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</si>
  <si>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</si>
  <si>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</si>
  <si>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</si>
  <si>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</si>
  <si>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</si>
  <si>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</si>
  <si>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</si>
  <si>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</si>
  <si>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</si>
  <si>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</si>
  <si>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</si>
  <si>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</si>
  <si>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</si>
  <si>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</si>
  <si>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</si>
  <si>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</si>
  <si>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</si>
  <si>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</si>
  <si>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</si>
  <si>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</si>
  <si>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</si>
  <si>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</si>
  <si>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</si>
  <si>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</si>
  <si>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</si>
  <si>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</si>
  <si>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</si>
  <si>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</si>
  <si>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</si>
  <si>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</si>
  <si>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</si>
  <si>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</si>
  <si>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</si>
  <si>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</si>
  <si>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</si>
  <si>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</si>
  <si>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</si>
  <si>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</si>
  <si>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</si>
  <si>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</si>
  <si>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</si>
  <si>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</si>
  <si>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</si>
  <si>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</si>
  <si>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</si>
  <si>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</si>
  <si>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</si>
  <si>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</si>
  <si>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</si>
  <si>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</si>
  <si>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</si>
  <si>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</si>
  <si>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</si>
  <si>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</si>
  <si>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</si>
  <si>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</si>
  <si>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</si>
  <si>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</si>
  <si>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</si>
  <si>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</si>
  <si>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</si>
  <si>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</si>
  <si>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</si>
  <si>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</si>
  <si>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</si>
  <si>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</si>
  <si>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</si>
  <si>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</si>
  <si>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</si>
  <si>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</si>
  <si>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</si>
  <si>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</si>
  <si>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</si>
  <si>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</si>
  <si>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</si>
  <si>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</si>
  <si>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</si>
  <si>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</si>
  <si>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</si>
  <si>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</si>
  <si>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</si>
  <si>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</si>
  <si>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</si>
  <si>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</si>
  <si>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</si>
  <si>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</si>
  <si>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</si>
  <si>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</si>
  <si>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</si>
  <si>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</si>
  <si>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</si>
  <si>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</si>
  <si>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</si>
  <si>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</si>
  <si>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</si>
  <si>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</si>
  <si>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</si>
  <si>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</si>
  <si>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</si>
  <si>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</si>
  <si>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</si>
  <si>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</si>
  <si>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</si>
  <si>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</si>
  <si>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</si>
  <si>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</si>
  <si>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</si>
  <si>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</si>
  <si>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</si>
  <si>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</si>
  <si>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</si>
  <si>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</si>
  <si>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</si>
  <si>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</si>
  <si>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</si>
  <si>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</si>
  <si>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</si>
  <si>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</si>
  <si>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</si>
  <si>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</si>
  <si>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450-1600</t>
  </si>
  <si>
    <t>Open</t>
  </si>
  <si>
    <t>Trapeze</t>
  </si>
  <si>
    <t>17.30 - 17.30</t>
  </si>
  <si>
    <t>0.80 - 2.40</t>
  </si>
  <si>
    <t>Normal</t>
  </si>
  <si>
    <t>31 x 6</t>
  </si>
  <si>
    <t>21 x 6</t>
  </si>
  <si>
    <t>1 ~ 18</t>
  </si>
  <si>
    <t>(.128"x.258")x2</t>
  </si>
  <si>
    <t>Delta</t>
  </si>
  <si>
    <t>(105°C)</t>
  </si>
  <si>
    <t>CU</t>
  </si>
  <si>
    <t>ERD1: 328.0</t>
  </si>
  <si>
    <t>EBL: 62.5</t>
  </si>
  <si>
    <t>ERT: 65.54</t>
  </si>
  <si>
    <t>ERH: 57.50</t>
  </si>
  <si>
    <t>LB:  -</t>
  </si>
  <si>
    <t>LER:  -</t>
  </si>
  <si>
    <t>Single Cage Data</t>
  </si>
  <si>
    <t>UB: 322.1</t>
  </si>
  <si>
    <t>UER: 3768.4</t>
  </si>
  <si>
    <t>(Coeff.: 0.0290)</t>
  </si>
  <si>
    <t>Skew R.: 0.00</t>
  </si>
  <si>
    <t>M:\Active Projects\6810 Development\Electrical Design\2P\SERIES\DT2C22U.rat</t>
  </si>
  <si>
    <t>2-2-2-0-1-2</t>
  </si>
  <si>
    <t>B.L.-1  P.F.-1</t>
  </si>
  <si>
    <t>27019.5 / 27322.0</t>
  </si>
  <si>
    <t>23338.6 / 14756.0</t>
  </si>
  <si>
    <t>60197.7 / 54300.0</t>
  </si>
  <si>
    <t>10700.0 / 28349.0</t>
  </si>
  <si>
    <t>48795.5 / 20728.0</t>
  </si>
  <si>
    <t>13870.4 / 5892.0</t>
  </si>
  <si>
    <t>34925.1 / 14836.0</t>
  </si>
  <si>
    <t>1.75 / 0.74</t>
  </si>
  <si>
    <t>66 / 66</t>
  </si>
  <si>
    <t>Temp. Rise @ 100%:</t>
  </si>
  <si>
    <t>Stray Loss</t>
  </si>
  <si>
    <t>0.942 / 0.937</t>
  </si>
  <si>
    <t>0.966 / 0.961</t>
  </si>
  <si>
    <t>0.972 / 0.968</t>
  </si>
  <si>
    <t>0.974 / 0.970</t>
  </si>
  <si>
    <t>0.768 / 0.750</t>
  </si>
  <si>
    <t>0.903 / 0.882</t>
  </si>
  <si>
    <t>0.935 / 0.913</t>
  </si>
  <si>
    <t>0.943 / 0.922</t>
  </si>
  <si>
    <t>204.74 / 210.51</t>
  </si>
  <si>
    <t>339.48 / 349.06</t>
  </si>
  <si>
    <t>488.60 / 502.38</t>
  </si>
  <si>
    <t>644.38 / 662.56</t>
  </si>
  <si>
    <t>805.64 / 828.37</t>
  </si>
  <si>
    <t>4.48 / 4.61</t>
  </si>
  <si>
    <t>UB: 6.63 / 6.81</t>
  </si>
  <si>
    <t>UER: 4.15 / 4.27</t>
  </si>
  <si>
    <t>3595.0 / 3602.0</t>
  </si>
  <si>
    <t>3590.1 / 3597.1</t>
  </si>
  <si>
    <t>3585.1 / 3592.1</t>
  </si>
  <si>
    <t>3580.0 / 3587.0</t>
  </si>
  <si>
    <t>3575.0 / 3582.0</t>
  </si>
  <si>
    <t>0.0014 / -0.0006</t>
  </si>
  <si>
    <t>0.0027 / 0.0008</t>
  </si>
  <si>
    <t>0.0041 / 0.0022</t>
  </si>
  <si>
    <t>0.0055 / 0.0036</t>
  </si>
  <si>
    <t>0.0069 / 0.0050</t>
  </si>
  <si>
    <t>69.271 / 76.474</t>
  </si>
  <si>
    <t>4.062 / 4.485</t>
  </si>
  <si>
    <t>120.18 / 132.68</t>
  </si>
  <si>
    <t>4318.4 / 4111.8</t>
  </si>
  <si>
    <t>670.2 / 638.1</t>
  </si>
  <si>
    <t>1439.5 / 1774.9</t>
  </si>
  <si>
    <t>129.0 / 159.0</t>
  </si>
  <si>
    <t>317.1 / 236.0</t>
  </si>
  <si>
    <t>Correlated to: H402129_Lab#1565_byRM.dat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</si>
  <si>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</si>
  <si>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</si>
  <si>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</si>
  <si>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</si>
  <si>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</si>
  <si>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</si>
  <si>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</si>
  <si>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</si>
  <si>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</si>
  <si>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282.7 kg.m²</t>
  </si>
  <si>
    <t>Acceleration Data (FV V)</t>
  </si>
  <si>
    <t>2.9 (s)</t>
  </si>
  <si>
    <t>1116.3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</si>
  <si>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</si>
  <si>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</si>
  <si>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</si>
  <si>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</si>
  <si>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</si>
  <si>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</si>
  <si>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</si>
  <si>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</si>
  <si>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</si>
  <si>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</si>
  <si>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</si>
  <si>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</si>
  <si>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</si>
  <si>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</si>
  <si>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</si>
  <si>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</si>
  <si>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</si>
  <si>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</si>
  <si>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</si>
  <si>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</si>
  <si>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</si>
  <si>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</si>
  <si>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</si>
  <si>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</si>
  <si>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</si>
  <si>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</si>
  <si>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</si>
  <si>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</si>
  <si>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</si>
  <si>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</si>
  <si>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</si>
  <si>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</si>
  <si>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</si>
  <si>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</si>
  <si>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</si>
  <si>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</si>
  <si>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</si>
  <si>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</si>
  <si>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</si>
  <si>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</si>
  <si>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</si>
  <si>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</si>
  <si>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</si>
  <si>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</si>
  <si>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</si>
  <si>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</si>
  <si>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</si>
  <si>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</si>
  <si>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</si>
  <si>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</si>
  <si>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</si>
  <si>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</si>
  <si>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</si>
  <si>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</si>
  <si>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</si>
  <si>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</si>
  <si>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</si>
  <si>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</si>
  <si>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</si>
  <si>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</si>
  <si>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</si>
  <si>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</si>
  <si>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</si>
  <si>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</si>
  <si>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</si>
  <si>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</si>
  <si>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</si>
  <si>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</si>
  <si>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</si>
  <si>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</si>
  <si>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</si>
  <si>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</si>
  <si>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</si>
  <si>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</si>
  <si>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</si>
  <si>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</si>
  <si>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</si>
  <si>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</si>
  <si>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</si>
  <si>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</si>
  <si>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</si>
  <si>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</si>
  <si>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</si>
  <si>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</si>
  <si>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</si>
  <si>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</si>
  <si>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</si>
  <si>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</si>
  <si>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</si>
  <si>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</si>
  <si>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</si>
  <si>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</si>
  <si>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</si>
  <si>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</si>
  <si>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</si>
  <si>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</si>
  <si>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</si>
  <si>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</si>
  <si>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</si>
  <si>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</si>
  <si>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</si>
  <si>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</si>
  <si>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</si>
  <si>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</si>
  <si>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</si>
  <si>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</si>
  <si>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</si>
  <si>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</si>
  <si>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</si>
  <si>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</si>
  <si>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DT2C22U</t>
  </si>
  <si>
    <t>13 x 2</t>
  </si>
  <si>
    <t>2 x Delta</t>
  </si>
  <si>
    <t xml:space="preserve"> - </t>
  </si>
  <si>
    <t>66 / 87</t>
  </si>
  <si>
    <t>461 / 2859</t>
  </si>
  <si>
    <t>681 / 427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</si>
  <si>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</si>
  <si>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</si>
  <si>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</si>
  <si>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</si>
  <si>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</si>
  <si>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</si>
  <si>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</si>
  <si>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</si>
  <si>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</si>
  <si>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</si>
  <si>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</si>
  <si>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</si>
  <si>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1987.0</t>
  </si>
  <si>
    <t xml:space="preserve">6T: </t>
  </si>
  <si>
    <t xml:space="preserve">7T: </t>
  </si>
  <si>
    <t>0.0101 ~ 0.0097</t>
  </si>
  <si>
    <t>0.0118 ~ 0.0113</t>
  </si>
  <si>
    <t>AWG. 1/0 x 3</t>
  </si>
  <si>
    <t>0.00144</t>
  </si>
  <si>
    <t>6T: 20.71</t>
  </si>
  <si>
    <t>7T: 24.16</t>
  </si>
  <si>
    <t>6T: 13.51</t>
  </si>
  <si>
    <t>7T: 13.51</t>
  </si>
  <si>
    <t>17.40 ~ 17.00</t>
  </si>
  <si>
    <t>14.98</t>
  </si>
  <si>
    <t>3.79</t>
  </si>
  <si>
    <t xml:space="preserve"> (.128"x.258")x 2: </t>
  </si>
  <si>
    <t>1165 lbs.</t>
  </si>
  <si>
    <t/>
  </si>
  <si>
    <t xml:space="preserve">1-2, 2-3, 3-1: </t>
  </si>
  <si>
    <t>0.036 ~ 0.034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</si>
  <si>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</si>
  <si>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</si>
  <si>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</si>
  <si>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</si>
  <si>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</si>
  <si>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</si>
  <si>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</si>
  <si>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</si>
  <si>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</si>
  <si>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</si>
  <si>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</si>
  <si>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</si>
  <si>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</si>
  <si>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</si>
  <si>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</si>
  <si>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</si>
  <si>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</si>
  <si>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</si>
  <si>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</si>
  <si>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</si>
  <si>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</si>
  <si>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</si>
  <si>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4000 V</t>
  </si>
  <si>
    <t>890.2 lb-ft²</t>
  </si>
  <si>
    <t>1677.0 lb-ft²</t>
  </si>
  <si>
    <t>8057 lb-ft</t>
  </si>
  <si>
    <t>4112 A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</si>
  <si>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</si>
  <si>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</si>
  <si>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</si>
  <si>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</si>
  <si>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</si>
  <si>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</si>
  <si>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</si>
  <si>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</si>
  <si>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</si>
  <si>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</si>
  <si>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</si>
  <si>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</si>
  <si>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</si>
  <si>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</si>
  <si>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</si>
  <si>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</si>
  <si>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</si>
  <si>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</si>
  <si>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</si>
  <si>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</si>
  <si>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</si>
  <si>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</si>
  <si>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</si>
  <si>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</si>
  <si>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</si>
  <si>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</si>
  <si>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</si>
  <si>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</si>
  <si>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</si>
  <si>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</si>
  <si>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</si>
  <si>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</si>
  <si>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</si>
  <si>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</si>
  <si>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</si>
  <si>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</si>
  <si>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</si>
  <si>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</si>
  <si>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</si>
  <si>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- 5500.0 HP - 3600 RPM - 4000 V - 60 Hz</t>
  </si>
  <si>
    <t>0~375</t>
  </si>
  <si>
    <t>375~750</t>
  </si>
  <si>
    <t>750~1125</t>
  </si>
  <si>
    <t>1125~1501</t>
  </si>
  <si>
    <t>1501~1876</t>
  </si>
  <si>
    <t>1876~2251</t>
  </si>
  <si>
    <t>2251~2626</t>
  </si>
  <si>
    <t>2626~3001</t>
  </si>
  <si>
    <t>3001~3189</t>
  </si>
  <si>
    <t>3189~3376</t>
  </si>
  <si>
    <t>3376~3564</t>
  </si>
  <si>
    <t>3564~3593</t>
  </si>
  <si>
    <t>3593~3600</t>
  </si>
  <si>
    <t>Load Type: Fan / Pump - 1677.0 lb-ft²</t>
  </si>
  <si>
    <t>159.0</t>
  </si>
  <si>
    <t>159.1</t>
  </si>
  <si>
    <t>159.6</t>
  </si>
  <si>
    <t>162.2</t>
  </si>
  <si>
    <t>172.4</t>
  </si>
  <si>
    <t>208.2</t>
  </si>
  <si>
    <t>178.1</t>
  </si>
  <si>
    <t>110.1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</si>
  <si>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</si>
  <si>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</si>
  <si>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</si>
  <si>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</si>
  <si>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</si>
  <si>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</si>
  <si>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</si>
  <si>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</si>
  <si>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</si>
  <si>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</si>
  <si>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</si>
  <si>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</si>
  <si>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</si>
  <si>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0.284</t>
  </si>
  <si>
    <t>0.263</t>
  </si>
  <si>
    <t>0.255</t>
  </si>
  <si>
    <t>0.256</t>
  </si>
  <si>
    <t>0.264</t>
  </si>
  <si>
    <t>0.279</t>
  </si>
  <si>
    <t>0.304</t>
  </si>
  <si>
    <t>0.347</t>
  </si>
  <si>
    <t>0.197</t>
  </si>
  <si>
    <t>0.203</t>
  </si>
  <si>
    <t>0.165</t>
  </si>
  <si>
    <t>0.038</t>
  </si>
  <si>
    <t>0.072</t>
  </si>
  <si>
    <t>4102.9</t>
  </si>
  <si>
    <t>4083.2</t>
  </si>
  <si>
    <t>4060.4</t>
  </si>
  <si>
    <t>4033.6</t>
  </si>
  <si>
    <t>4002.2</t>
  </si>
  <si>
    <t>3965.5</t>
  </si>
  <si>
    <t>3922.9</t>
  </si>
  <si>
    <t>3866.7</t>
  </si>
  <si>
    <t>3802.9</t>
  </si>
  <si>
    <t>3699.7</t>
  </si>
  <si>
    <t>3357.9</t>
  </si>
  <si>
    <t>2052.7</t>
  </si>
  <si>
    <t>906.8</t>
  </si>
  <si>
    <t>312.4</t>
  </si>
  <si>
    <t>286.3</t>
  </si>
  <si>
    <t>275.4</t>
  </si>
  <si>
    <t>273.1</t>
  </si>
  <si>
    <t>277.9</t>
  </si>
  <si>
    <t>288.7</t>
  </si>
  <si>
    <t>307.7</t>
  </si>
  <si>
    <t>343.0</t>
  </si>
  <si>
    <t>188.4</t>
  </si>
  <si>
    <t>188.2</t>
  </si>
  <si>
    <t>141.5</t>
  </si>
  <si>
    <t>23.3</t>
  </si>
  <si>
    <t>2.1</t>
  </si>
  <si>
    <t>2039.6</t>
  </si>
  <si>
    <t>1689.8</t>
  </si>
  <si>
    <t>1451.0</t>
  </si>
  <si>
    <t>1265.1</t>
  </si>
  <si>
    <t>1107.8</t>
  </si>
  <si>
    <t>961.7</t>
  </si>
  <si>
    <t>818.0</t>
  </si>
  <si>
    <t>674.0</t>
  </si>
  <si>
    <t>473.9</t>
  </si>
  <si>
    <t>345.0</t>
  </si>
  <si>
    <t>167.4</t>
  </si>
  <si>
    <t>52.1</t>
  </si>
  <si>
    <t>113.6</t>
  </si>
  <si>
    <t>2908 kW / s</t>
  </si>
  <si>
    <t>9515 kW / s</t>
  </si>
  <si>
    <t>1644 kW / s</t>
  </si>
  <si>
    <t>15°C</t>
  </si>
  <si>
    <t>138°C</t>
  </si>
  <si>
    <t>51°C</t>
  </si>
  <si>
    <t>29°C</t>
  </si>
  <si>
    <t>277°C</t>
  </si>
  <si>
    <t>101°C</t>
  </si>
  <si>
    <t>Acceleration Time:  2.9 s</t>
  </si>
  <si>
    <t>6.4°C / s</t>
  </si>
  <si>
    <t>80.9°C / s</t>
  </si>
  <si>
    <t>29.5°C / s</t>
  </si>
  <si>
    <t>1274.0 kW</t>
  </si>
  <si>
    <t>5562.8 kW</t>
  </si>
  <si>
    <t>961.0 kW</t>
  </si>
  <si>
    <t>24.9 s</t>
  </si>
  <si>
    <t>3.2 s</t>
  </si>
  <si>
    <t>6.1 s</t>
  </si>
  <si>
    <t>66°C    +</t>
  </si>
  <si>
    <t>88°C    +</t>
  </si>
  <si>
    <t>94°C    +</t>
  </si>
  <si>
    <t>172°C   +</t>
  </si>
  <si>
    <t>92°C   +</t>
  </si>
  <si>
    <t>14.6 s</t>
  </si>
  <si>
    <t>2.1 s</t>
  </si>
  <si>
    <t>3.1 s</t>
  </si>
  <si>
    <t>9.9 s</t>
  </si>
  <si>
    <t>5.1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</si>
  <si>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</si>
  <si>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</si>
  <si>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</si>
  <si>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</si>
  <si>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</si>
  <si>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</si>
  <si>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</si>
  <si>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</si>
  <si>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</si>
  <si>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</si>
  <si>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</si>
  <si>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</si>
  <si>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</si>
  <si>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</si>
  <si>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</si>
  <si>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</si>
  <si>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</si>
  <si>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</si>
  <si>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</si>
  <si>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</si>
  <si>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</si>
  <si>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</si>
  <si>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</si>
  <si>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</si>
  <si>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</si>
  <si>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</si>
  <si>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</si>
  <si>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</si>
  <si>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2864.7 Hz</t>
  </si>
  <si>
    <t>2640.0 Hz</t>
  </si>
  <si>
    <t>2624.7 Hz</t>
  </si>
  <si>
    <t>2760.0 Hz</t>
  </si>
  <si>
    <t>2744.7 Hz</t>
  </si>
  <si>
    <t>1483.0 Hz</t>
  </si>
  <si>
    <t>354.0 Hz</t>
  </si>
  <si>
    <t>1001.2 Hz</t>
  </si>
  <si>
    <t>1919.7 Hz</t>
  </si>
  <si>
    <t>3104.5 Hz</t>
  </si>
  <si>
    <t>4554.3 Hz</t>
  </si>
  <si>
    <t>6268.4 Hz</t>
  </si>
  <si>
    <t>8246.6 Hz</t>
  </si>
  <si>
    <t>10488.8 Hz</t>
  </si>
  <si>
    <t>12995.0 Hz</t>
  </si>
  <si>
    <t>No matching frequencies detected.</t>
  </si>
  <si>
    <t>C223WTQL11F-C</t>
  </si>
  <si>
    <t>Type: TIKE - Form: DCW4 - 2 Pole - 5500 HP - 4000 V - 60 Hz - 450-1600 - Class F</t>
  </si>
  <si>
    <t>DCW4</t>
  </si>
  <si>
    <t>6, 7</t>
  </si>
  <si>
    <t>A. Gracia</t>
  </si>
  <si>
    <t>QC Limits: DT2C22U</t>
  </si>
  <si>
    <t xml:space="preserve"> -</t>
  </si>
  <si>
    <t>AG</t>
  </si>
  <si>
    <t>S.Hernandez</t>
  </si>
  <si>
    <t>SH</t>
  </si>
  <si>
    <t>LINK:</t>
  </si>
  <si>
    <t>H402129.rat with H402129_Lab#1565_byRM.dat</t>
  </si>
  <si>
    <t>Run DT2C22U.rat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</si>
</sst>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</numFmts>
  <fonts count="6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/>
    <xf numFmtId="0" fontId="46" fillId="0" borderId="0"/>
    <xf numFmtId="0" fontId="46" fillId="0" borderId="0"/>
  </cellStyleXfs>
  <cellXfs count="564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0" fontId="31" fillId="2" borderId="109" xfId="1" applyFont="1" applyFill="1" applyBorder="1" applyAlignment="1">
      <alignment horizontal="center"/>
    </xf>
    <xf numFmtId="2" fontId="26" fillId="0" borderId="0" xfId="1" applyNumberFormat="1" applyFont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/>
    <xf numFmtId="0" fontId="29" fillId="2" borderId="111" xfId="1" applyFont="1" applyFill="1" applyBorder="1"/>
    <xf numFmtId="0" fontId="29" fillId="2" borderId="112" xfId="1" applyFont="1" applyFill="1" applyBorder="1"/>
    <xf numFmtId="0" fontId="29" fillId="2" borderId="113" xfId="1" applyFont="1" applyFill="1" applyBorder="1"/>
    <xf numFmtId="0" fontId="36" fillId="2" borderId="113" xfId="1" applyFont="1" applyFill="1" applyBorder="1"/>
    <xf numFmtId="166" fontId="31" fillId="2" borderId="113" xfId="1" applyNumberFormat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41" fillId="0" borderId="0" xfId="1" quotePrefix="1" applyFont="1" applyAlignment="1">
      <alignment horizontal="left"/>
    </xf>
    <xf numFmtId="0" fontId="26" fillId="0" borderId="0" xfId="2" applyFont="1"/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166" fontId="31" fillId="2" borderId="72" xfId="1" applyNumberFormat="1" applyFont="1" applyFill="1" applyBorder="1" applyAlignment="1">
      <alignment horizontal="center"/>
    </xf>
    <xf numFmtId="1" fontId="26" fillId="0" borderId="0" xfId="1" applyNumberFormat="1" applyFont="1"/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/>
    <xf numFmtId="0" fontId="29" fillId="0" borderId="114" xfId="1" applyFont="1" applyBorder="1"/>
    <xf numFmtId="0" fontId="29" fillId="2" borderId="117" xfId="1" applyFont="1" applyFill="1" applyBorder="1"/>
    <xf numFmtId="0" fontId="22" fillId="2" borderId="45" xfId="1" applyFont="1" applyFill="1" applyBorder="1"/>
    <xf numFmtId="0" fontId="29" fillId="2" borderId="119" xfId="1" applyFont="1" applyFill="1" applyBorder="1"/>
    <xf numFmtId="0" fontId="29" fillId="2" borderId="23" xfId="1" applyFont="1" applyFill="1" applyBorder="1"/>
    <xf numFmtId="14" fontId="24" fillId="2" borderId="122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3" xfId="1" applyFont="1" applyFill="1" applyBorder="1" applyAlignment="1">
      <alignment horizontal="left"/>
    </xf>
    <xf numFmtId="0" fontId="22" fillId="2" borderId="124" xfId="1" applyFont="1" applyFill="1" applyBorder="1" applyAlignment="1">
      <alignment horizontal="left"/>
    </xf>
    <xf numFmtId="0" fontId="22" fillId="0" borderId="0" xfId="1" applyFont="1"/>
    <xf numFmtId="0" fontId="46" fillId="0" borderId="6" xfId="3" applyBorder="1"/>
    <xf numFmtId="0" fontId="46" fillId="0" borderId="7" xfId="3" applyBorder="1"/>
    <xf numFmtId="0" fontId="46" fillId="0" borderId="41" xfId="3" applyBorder="1"/>
    <xf numFmtId="0" fontId="46" fillId="0" borderId="41" xfId="3" applyBorder="1" applyAlignment="1">
      <alignment horizontal="center"/>
    </xf>
    <xf numFmtId="0" fontId="47" fillId="0" borderId="41" xfId="3" applyFont="1" applyBorder="1" applyAlignment="1">
      <alignment horizontal="center"/>
    </xf>
    <xf numFmtId="0" fontId="46" fillId="0" borderId="0" xfId="3"/>
    <xf numFmtId="0" fontId="48" fillId="0" borderId="125" xfId="3" applyFont="1" applyBorder="1" applyAlignment="1">
      <alignment horizontal="center"/>
    </xf>
    <xf numFmtId="0" fontId="46" fillId="0" borderId="125" xfId="3" applyBorder="1" applyAlignment="1">
      <alignment horizontal="center"/>
    </xf>
    <xf numFmtId="0" fontId="47" fillId="0" borderId="125" xfId="3" applyFon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6" fillId="0" borderId="45" xfId="3" applyBorder="1"/>
    <xf numFmtId="0" fontId="49" fillId="0" borderId="0" xfId="3" applyFont="1"/>
    <xf numFmtId="0" fontId="46" fillId="0" borderId="125" xfId="3" applyBorder="1"/>
    <xf numFmtId="0" fontId="47" fillId="0" borderId="0" xfId="3" applyFont="1"/>
    <xf numFmtId="0" fontId="47" fillId="0" borderId="125" xfId="3" applyFont="1" applyBorder="1"/>
    <xf numFmtId="169" fontId="46" fillId="0" borderId="3" xfId="3" applyNumberFormat="1" applyBorder="1"/>
    <xf numFmtId="49" fontId="46" fillId="0" borderId="1" xfId="3" applyNumberFormat="1" applyBorder="1" applyAlignment="1">
      <alignment horizontal="center"/>
    </xf>
    <xf numFmtId="49" fontId="46" fillId="0" borderId="1" xfId="3" applyNumberFormat="1" applyBorder="1"/>
    <xf numFmtId="49" fontId="47" fillId="0" borderId="1" xfId="3" applyNumberFormat="1" applyFont="1" applyBorder="1"/>
    <xf numFmtId="170" fontId="47" fillId="0" borderId="1" xfId="3" applyNumberFormat="1" applyFont="1" applyBorder="1"/>
    <xf numFmtId="0" fontId="46" fillId="0" borderId="1" xfId="3" applyBorder="1"/>
    <xf numFmtId="0" fontId="46" fillId="0" borderId="9" xfId="3" applyBorder="1"/>
    <xf numFmtId="170" fontId="46" fillId="0" borderId="1" xfId="3" applyNumberFormat="1" applyBorder="1"/>
    <xf numFmtId="0" fontId="46" fillId="0" borderId="1" xfId="3" applyBorder="1" applyAlignment="1">
      <alignment horizontal="center"/>
    </xf>
    <xf numFmtId="169" fontId="46" fillId="0" borderId="18" xfId="3" applyNumberFormat="1" applyBorder="1"/>
    <xf numFmtId="49" fontId="46" fillId="0" borderId="26" xfId="3" applyNumberFormat="1" applyBorder="1"/>
    <xf numFmtId="170" fontId="46" fillId="0" borderId="26" xfId="3" applyNumberFormat="1" applyBorder="1"/>
    <xf numFmtId="0" fontId="46" fillId="0" borderId="26" xfId="3" applyBorder="1"/>
    <xf numFmtId="0" fontId="46" fillId="0" borderId="126" xfId="3" applyBorder="1"/>
    <xf numFmtId="0" fontId="47" fillId="0" borderId="127" xfId="3" applyFont="1" applyBorder="1" applyAlignment="1">
      <alignment horizontal="center"/>
    </xf>
    <xf numFmtId="0" fontId="47" fillId="0" borderId="128" xfId="3" applyFont="1" applyBorder="1" applyAlignment="1">
      <alignment horizontal="center"/>
    </xf>
    <xf numFmtId="49" fontId="47" fillId="0" borderId="2" xfId="3" applyNumberFormat="1" applyFont="1" applyBorder="1" applyAlignment="1">
      <alignment horizontal="center"/>
    </xf>
    <xf numFmtId="0" fontId="46" fillId="0" borderId="57" xfId="3" applyBorder="1" applyAlignment="1">
      <alignment horizontal="left"/>
    </xf>
    <xf numFmtId="49" fontId="46" fillId="0" borderId="3" xfId="3" applyNumberFormat="1" applyBorder="1"/>
    <xf numFmtId="0" fontId="46" fillId="0" borderId="130" xfId="3" applyBorder="1" applyAlignment="1">
      <alignment horizontal="left"/>
    </xf>
    <xf numFmtId="49" fontId="46" fillId="0" borderId="4" xfId="3" applyNumberFormat="1" applyBorder="1"/>
    <xf numFmtId="0" fontId="46" fillId="0" borderId="132" xfId="3" applyBorder="1" applyAlignment="1">
      <alignment horizontal="left"/>
    </xf>
    <xf numFmtId="0" fontId="46" fillId="0" borderId="0" xfId="4"/>
    <xf numFmtId="0" fontId="50" fillId="0" borderId="0" xfId="4" applyFont="1"/>
    <xf numFmtId="0" fontId="52" fillId="0" borderId="20" xfId="4" applyFont="1" applyBorder="1" applyAlignment="1">
      <alignment horizontal="right"/>
    </xf>
    <xf numFmtId="0" fontId="52" fillId="0" borderId="47" xfId="4" applyFont="1" applyBorder="1" applyAlignment="1">
      <alignment horizontal="right"/>
    </xf>
    <xf numFmtId="0" fontId="52" fillId="0" borderId="103" xfId="4" applyFont="1" applyBorder="1" applyAlignment="1">
      <alignment horizontal="center"/>
    </xf>
    <xf numFmtId="0" fontId="23" fillId="0" borderId="38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23" fillId="0" borderId="38" xfId="4" applyFont="1" applyBorder="1"/>
    <xf numFmtId="0" fontId="46" fillId="0" borderId="46" xfId="4" applyBorder="1"/>
    <xf numFmtId="0" fontId="23" fillId="0" borderId="48" xfId="4" applyFont="1" applyBorder="1" applyAlignment="1">
      <alignment horizontal="center"/>
    </xf>
    <xf numFmtId="0" fontId="50" fillId="0" borderId="53" xfId="4" applyFont="1" applyBorder="1" applyAlignment="1">
      <alignment horizontal="center"/>
    </xf>
    <xf numFmtId="0" fontId="23" fillId="0" borderId="48" xfId="4" applyFont="1" applyBorder="1"/>
    <xf numFmtId="0" fontId="52" fillId="0" borderId="103" xfId="4" applyFont="1" applyBorder="1" applyAlignment="1">
      <alignment horizontal="right"/>
    </xf>
    <xf numFmtId="0" fontId="23" fillId="0" borderId="27" xfId="4" applyFont="1" applyBorder="1" applyAlignment="1">
      <alignment horizontal="center"/>
    </xf>
    <xf numFmtId="0" fontId="52" fillId="0" borderId="46" xfId="4" applyFont="1" applyBorder="1" applyAlignment="1">
      <alignment horizontal="right"/>
    </xf>
    <xf numFmtId="0" fontId="23" fillId="0" borderId="24" xfId="4" applyFont="1" applyBorder="1" applyAlignment="1">
      <alignment horizontal="center"/>
    </xf>
    <xf numFmtId="0" fontId="23" fillId="0" borderId="32" xfId="4" applyFont="1" applyBorder="1" applyAlignment="1">
      <alignment horizontal="center"/>
    </xf>
    <xf numFmtId="0" fontId="50" fillId="0" borderId="0" xfId="4" applyFont="1" applyAlignment="1">
      <alignment horizontal="center"/>
    </xf>
    <xf numFmtId="0" fontId="53" fillId="0" borderId="63" xfId="4" applyFont="1" applyBorder="1"/>
    <xf numFmtId="0" fontId="53" fillId="0" borderId="64" xfId="4" applyFont="1" applyBorder="1"/>
    <xf numFmtId="0" fontId="53" fillId="0" borderId="38" xfId="4" applyFont="1" applyBorder="1"/>
    <xf numFmtId="0" fontId="54" fillId="0" borderId="52" xfId="4" applyFont="1" applyBorder="1" applyAlignment="1">
      <alignment horizontal="centerContinuous"/>
    </xf>
    <xf numFmtId="0" fontId="53" fillId="0" borderId="0" xfId="4" applyFont="1" applyAlignment="1">
      <alignment horizontal="centerContinuous"/>
    </xf>
    <xf numFmtId="0" fontId="53" fillId="0" borderId="51" xfId="4" applyFont="1" applyBorder="1" applyAlignment="1">
      <alignment horizontal="centerContinuous"/>
    </xf>
    <xf numFmtId="0" fontId="55" fillId="0" borderId="52" xfId="4" applyFont="1" applyBorder="1" applyAlignment="1">
      <alignment horizontal="centerContinuous"/>
    </xf>
    <xf numFmtId="0" fontId="53" fillId="0" borderId="52" xfId="4" applyFont="1" applyBorder="1"/>
    <xf numFmtId="0" fontId="53" fillId="0" borderId="0" xfId="4" applyFont="1"/>
    <xf numFmtId="0" fontId="53" fillId="0" borderId="51" xfId="4" applyFont="1" applyBorder="1"/>
    <xf numFmtId="0" fontId="51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1" fillId="0" borderId="0" xfId="4" applyFont="1" applyAlignment="1">
      <alignment horizontal="right"/>
    </xf>
    <xf numFmtId="0" fontId="53" fillId="0" borderId="0" xfId="4" applyFont="1" applyAlignment="1">
      <alignment horizontal="center"/>
    </xf>
    <xf numFmtId="9" fontId="53" fillId="0" borderId="0" xfId="4" applyNumberFormat="1" applyFont="1" applyAlignment="1">
      <alignment horizontal="center"/>
    </xf>
    <xf numFmtId="0" fontId="51" fillId="0" borderId="52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6" xfId="4" applyFont="1" applyBorder="1"/>
    <xf numFmtId="0" fontId="51" fillId="0" borderId="17" xfId="4" applyFont="1" applyBorder="1" applyAlignment="1">
      <alignment horizontal="right"/>
    </xf>
    <xf numFmtId="0" fontId="53" fillId="0" borderId="130" xfId="4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4" applyFont="1" applyAlignment="1">
      <alignment horizontal="right"/>
    </xf>
    <xf numFmtId="0" fontId="16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0" fillId="0" borderId="129" xfId="4" applyFont="1" applyBorder="1" applyAlignment="1">
      <alignment horizontal="center"/>
    </xf>
    <xf numFmtId="0" fontId="50" fillId="0" borderId="130" xfId="4" quotePrefix="1" applyFont="1" applyBorder="1" applyAlignment="1">
      <alignment horizontal="center"/>
    </xf>
    <xf numFmtId="0" fontId="50" fillId="0" borderId="130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51" fillId="0" borderId="0" xfId="4" applyFont="1"/>
    <xf numFmtId="0" fontId="23" fillId="0" borderId="17" xfId="4" applyFont="1" applyBorder="1" applyAlignment="1">
      <alignment horizontal="right"/>
    </xf>
    <xf numFmtId="0" fontId="23" fillId="0" borderId="130" xfId="4" applyFont="1" applyBorder="1" applyAlignment="1">
      <alignment horizontal="left"/>
    </xf>
    <xf numFmtId="0" fontId="23" fillId="0" borderId="130" xfId="4" quotePrefix="1" applyFont="1" applyBorder="1" applyAlignment="1">
      <alignment horizontal="left"/>
    </xf>
    <xf numFmtId="0" fontId="20" fillId="2" borderId="118" xfId="1" applyFont="1" applyFill="1" applyBorder="1" applyAlignment="1">
      <alignment horizontal="center" shrinkToFit="1"/>
    </xf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14" fontId="24" fillId="2" borderId="120" xfId="1" applyNumberFormat="1" applyFont="1" applyFill="1" applyBorder="1" applyAlignment="1">
      <alignment horizontal="center"/>
    </xf>
    <xf numFmtId="14" fontId="24" fillId="2" borderId="121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10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51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43" fillId="2" borderId="116" xfId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31" fillId="0" borderId="67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46" fillId="0" borderId="17" xfId="3" applyBorder="1" applyAlignment="1">
      <alignment horizontal="left"/>
    </xf>
    <xf numFmtId="0" fontId="46" fillId="0" borderId="129" xfId="3" applyBorder="1" applyAlignment="1">
      <alignment horizontal="left"/>
    </xf>
    <xf numFmtId="169" fontId="46" fillId="0" borderId="17" xfId="3" applyNumberFormat="1" applyBorder="1" applyAlignment="1">
      <alignment horizontal="center"/>
    </xf>
    <xf numFmtId="169" fontId="46" fillId="0" borderId="129" xfId="3" applyNumberFormat="1" applyBorder="1" applyAlignment="1">
      <alignment horizontal="center"/>
    </xf>
    <xf numFmtId="169" fontId="46" fillId="0" borderId="130" xfId="3" applyNumberFormat="1" applyBorder="1" applyAlignment="1">
      <alignment horizontal="center"/>
    </xf>
    <xf numFmtId="49" fontId="46" fillId="0" borderId="17" xfId="3" applyNumberFormat="1" applyBorder="1" applyAlignment="1">
      <alignment horizontal="center"/>
    </xf>
    <xf numFmtId="49" fontId="46" fillId="0" borderId="129" xfId="3" applyNumberFormat="1" applyBorder="1" applyAlignment="1">
      <alignment horizontal="center"/>
    </xf>
    <xf numFmtId="49" fontId="46" fillId="0" borderId="16" xfId="3" applyNumberFormat="1" applyBorder="1" applyAlignment="1">
      <alignment horizontal="center"/>
    </xf>
    <xf numFmtId="0" fontId="46" fillId="0" borderId="31" xfId="3" applyBorder="1" applyAlignment="1">
      <alignment horizontal="left"/>
    </xf>
    <xf numFmtId="0" fontId="46" fillId="0" borderId="131" xfId="3" applyBorder="1" applyAlignment="1">
      <alignment horizontal="left"/>
    </xf>
    <xf numFmtId="169" fontId="46" fillId="0" borderId="31" xfId="3" applyNumberFormat="1" applyBorder="1" applyAlignment="1">
      <alignment horizontal="center"/>
    </xf>
    <xf numFmtId="169" fontId="46" fillId="0" borderId="131" xfId="3" applyNumberFormat="1" applyBorder="1" applyAlignment="1">
      <alignment horizontal="center"/>
    </xf>
    <xf numFmtId="169" fontId="46" fillId="0" borderId="132" xfId="3" applyNumberFormat="1" applyBorder="1" applyAlignment="1">
      <alignment horizontal="center"/>
    </xf>
    <xf numFmtId="49" fontId="46" fillId="0" borderId="31" xfId="3" applyNumberFormat="1" applyBorder="1" applyAlignment="1">
      <alignment horizontal="center"/>
    </xf>
    <xf numFmtId="49" fontId="46" fillId="0" borderId="131" xfId="3" applyNumberFormat="1" applyBorder="1" applyAlignment="1">
      <alignment horizontal="center"/>
    </xf>
    <xf numFmtId="49" fontId="46" fillId="0" borderId="32" xfId="3" applyNumberFormat="1" applyBorder="1" applyAlignment="1">
      <alignment horizontal="center"/>
    </xf>
    <xf numFmtId="0" fontId="46" fillId="0" borderId="50" xfId="3" applyBorder="1" applyAlignment="1">
      <alignment horizontal="left"/>
    </xf>
    <xf numFmtId="0" fontId="46" fillId="0" borderId="13" xfId="3" applyBorder="1" applyAlignment="1">
      <alignment horizontal="left"/>
    </xf>
    <xf numFmtId="169" fontId="46" fillId="0" borderId="50" xfId="3" applyNumberFormat="1" applyBorder="1" applyAlignment="1">
      <alignment horizontal="center"/>
    </xf>
    <xf numFmtId="169" fontId="46" fillId="0" borderId="13" xfId="3" applyNumberFormat="1" applyBorder="1" applyAlignment="1">
      <alignment horizontal="center"/>
    </xf>
    <xf numFmtId="169" fontId="46" fillId="0" borderId="57" xfId="3" applyNumberFormat="1" applyBorder="1" applyAlignment="1">
      <alignment horizontal="center"/>
    </xf>
    <xf numFmtId="49" fontId="46" fillId="0" borderId="50" xfId="3" applyNumberFormat="1" applyBorder="1" applyAlignment="1">
      <alignment horizontal="center"/>
    </xf>
    <xf numFmtId="49" fontId="46" fillId="0" borderId="13" xfId="3" applyNumberFormat="1" applyBorder="1" applyAlignment="1">
      <alignment horizontal="center"/>
    </xf>
    <xf numFmtId="49" fontId="46" fillId="0" borderId="14" xfId="3" applyNumberForma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8" fillId="0" borderId="55" xfId="3" applyFont="1" applyBorder="1" applyAlignment="1">
      <alignment horizontal="center"/>
    </xf>
    <xf numFmtId="0" fontId="47" fillId="0" borderId="15" xfId="3" applyFont="1" applyBorder="1" applyAlignment="1">
      <alignment horizontal="center"/>
    </xf>
    <xf numFmtId="0" fontId="47" fillId="0" borderId="7" xfId="3" applyFont="1" applyBorder="1" applyAlignment="1">
      <alignment horizontal="center"/>
    </xf>
    <xf numFmtId="0" fontId="47" fillId="0" borderId="128" xfId="3" applyFont="1" applyBorder="1" applyAlignment="1">
      <alignment horizontal="center"/>
    </xf>
    <xf numFmtId="0" fontId="47" fillId="0" borderId="8" xfId="3" applyFont="1" applyBorder="1" applyAlignment="1">
      <alignment horizontal="center"/>
    </xf>
    <xf numFmtId="0" fontId="8" fillId="0" borderId="133" xfId="4" applyFont="1" applyBorder="1" applyAlignment="1">
      <alignment horizontal="right"/>
    </xf>
    <xf numFmtId="0" fontId="8" fillId="0" borderId="131" xfId="4" applyFont="1" applyBorder="1" applyAlignment="1">
      <alignment horizontal="right"/>
    </xf>
    <xf numFmtId="0" fontId="23" fillId="0" borderId="131" xfId="4" applyFont="1" applyBorder="1" applyAlignment="1">
      <alignment horizontal="center"/>
    </xf>
    <xf numFmtId="0" fontId="23" fillId="0" borderId="36" xfId="4" applyFont="1" applyBorder="1" applyAlignment="1">
      <alignment horizontal="center"/>
    </xf>
    <xf numFmtId="0" fontId="23" fillId="0" borderId="37" xfId="4" applyFont="1" applyBorder="1" applyAlignment="1">
      <alignment horizontal="center"/>
    </xf>
    <xf numFmtId="0" fontId="23" fillId="0" borderId="46" xfId="4" applyFont="1" applyBorder="1" applyAlignment="1">
      <alignment horizontal="center"/>
    </xf>
    <xf numFmtId="0" fontId="23" fillId="0" borderId="23" xfId="4" applyFont="1" applyBorder="1" applyAlignment="1">
      <alignment horizontal="center"/>
    </xf>
    <xf numFmtId="0" fontId="23" fillId="0" borderId="24" xfId="4" applyFont="1" applyBorder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52" fillId="0" borderId="63" xfId="4" applyFont="1" applyBorder="1" applyAlignment="1">
      <alignment horizontal="center"/>
    </xf>
    <xf numFmtId="0" fontId="46" fillId="0" borderId="27" xfId="4" applyBorder="1" applyAlignment="1">
      <alignment horizontal="center"/>
    </xf>
    <xf numFmtId="0" fontId="23" fillId="0" borderId="53" xfId="4" applyFont="1" applyBorder="1" applyAlignment="1">
      <alignment horizontal="center"/>
    </xf>
    <xf numFmtId="0" fontId="23" fillId="0" borderId="64" xfId="4" applyFont="1" applyBorder="1" applyAlignment="1">
      <alignment horizontal="center"/>
    </xf>
    <xf numFmtId="0" fontId="23" fillId="0" borderId="27" xfId="4" applyFont="1" applyBorder="1" applyAlignment="1">
      <alignment horizontal="center"/>
    </xf>
    <xf numFmtId="0" fontId="52" fillId="0" borderId="103" xfId="4" applyFont="1" applyBorder="1" applyAlignment="1">
      <alignment horizontal="right"/>
    </xf>
    <xf numFmtId="0" fontId="52" fillId="0" borderId="64" xfId="4" applyFont="1" applyBorder="1" applyAlignment="1">
      <alignment horizontal="right"/>
    </xf>
    <xf numFmtId="0" fontId="52" fillId="0" borderId="46" xfId="4" applyFont="1" applyBorder="1" applyAlignment="1">
      <alignment horizontal="right"/>
    </xf>
    <xf numFmtId="0" fontId="52" fillId="0" borderId="23" xfId="4" applyFont="1" applyBorder="1" applyAlignment="1">
      <alignment horizontal="right"/>
    </xf>
    <xf numFmtId="0" fontId="16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23" fillId="0" borderId="63" xfId="4" applyFont="1" applyBorder="1" applyAlignment="1">
      <alignment horizontal="center"/>
    </xf>
    <xf numFmtId="0" fontId="52" fillId="0" borderId="103" xfId="4" applyFont="1" applyBorder="1" applyAlignment="1">
      <alignment horizontal="center"/>
    </xf>
    <xf numFmtId="0" fontId="52" fillId="0" borderId="64" xfId="4" applyFont="1" applyBorder="1" applyAlignment="1">
      <alignment horizontal="center"/>
    </xf>
    <xf numFmtId="0" fontId="52" fillId="0" borderId="27" xfId="4" applyFont="1" applyBorder="1" applyAlignment="1">
      <alignment horizontal="center"/>
    </xf>
    <xf numFmtId="0" fontId="53" fillId="0" borderId="17" xfId="4" applyFont="1" applyBorder="1" applyAlignment="1">
      <alignment horizontal="center"/>
    </xf>
    <xf numFmtId="0" fontId="53" fillId="0" borderId="129" xfId="4" applyFont="1" applyBorder="1" applyAlignment="1">
      <alignment horizontal="center"/>
    </xf>
    <xf numFmtId="0" fontId="53" fillId="0" borderId="130" xfId="4" applyFont="1" applyBorder="1" applyAlignment="1">
      <alignment horizontal="center"/>
    </xf>
    <xf numFmtId="0" fontId="50" fillId="0" borderId="17" xfId="4" applyFont="1" applyBorder="1" applyAlignment="1">
      <alignment horizontal="right"/>
    </xf>
    <xf numFmtId="0" fontId="50" fillId="0" borderId="129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0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23" fillId="0" borderId="129" xfId="4" applyFont="1" applyBorder="1" applyAlignment="1">
      <alignment horizontal="center"/>
    </xf>
    <xf numFmtId="0" fontId="23" fillId="0" borderId="130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55" fillId="0" borderId="5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51" xfId="4" applyFont="1" applyBorder="1" applyAlignment="1">
      <alignment horizontal="center"/>
    </xf>
    <xf numFmtId="0" fontId="57" fillId="0" borderId="5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51" xfId="4" applyFont="1" applyBorder="1" applyAlignment="1">
      <alignment horizontal="center"/>
    </xf>
    <xf numFmtId="0" fontId="50" fillId="0" borderId="1" xfId="4" applyFont="1" applyBorder="1" applyAlignment="1">
      <alignment horizontal="right"/>
    </xf>
    <xf numFmtId="0" fontId="50" fillId="0" borderId="130" xfId="4" applyFont="1" applyBorder="1" applyAlignment="1">
      <alignment horizontal="center"/>
    </xf>
    <xf numFmtId="0" fontId="60" fillId="0" borderId="0" xfId="4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_OPTEST" xfId="2" xr:uid="{00000000-0005-0000-0000-000003000000}"/>
    <cellStyle name="Normal_PROJ_REV_HIST" xfId="3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120.29932755018979</c:v>
                </c:pt>
                <c:pt idx="2">
                  <c:v>236</c:v>
                </c:pt>
                <c:pt idx="3">
                  <c:v>180.42432653428637</c:v>
                </c:pt>
                <c:pt idx="4">
                  <c:v>164.4652856412672</c:v>
                </c:pt>
                <c:pt idx="5">
                  <c:v>160.01875841136575</c:v>
                </c:pt>
                <c:pt idx="6">
                  <c:v>159.10591358804845</c:v>
                </c:pt>
                <c:pt idx="7">
                  <c:v>159.07527437649827</c:v>
                </c:pt>
                <c:pt idx="8">
                  <c:v>159.05472730764416</c:v>
                </c:pt>
                <c:pt idx="9">
                  <c:v>159.03667216034734</c:v>
                </c:pt>
                <c:pt idx="10">
                  <c:v>159.01816173749086</c:v>
                </c:pt>
                <c:pt idx="11">
                  <c:v>159.00671022689224</c:v>
                </c:pt>
                <c:pt idx="12">
                  <c:v>159.00481002865669</c:v>
                </c:pt>
                <c:pt idx="13">
                  <c:v>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08-41C8-B1F4-C66A4D550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06752"/>
        <c:axId val="13250867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0.18127109110355377</c:v>
                </c:pt>
                <c:pt idx="1">
                  <c:v>153.35484313964844</c:v>
                </c:pt>
                <c:pt idx="2">
                  <c:v>465.8565673828125</c:v>
                </c:pt>
                <c:pt idx="3">
                  <c:v>547.08685302734375</c:v>
                </c:pt>
                <c:pt idx="4">
                  <c:v>568.96905517578125</c:v>
                </c:pt>
                <c:pt idx="5">
                  <c:v>578.205322265625</c:v>
                </c:pt>
                <c:pt idx="6">
                  <c:v>588.23150634765625</c:v>
                </c:pt>
                <c:pt idx="7">
                  <c:v>595.14801025390625</c:v>
                </c:pt>
                <c:pt idx="8">
                  <c:v>601.0843505859375</c:v>
                </c:pt>
                <c:pt idx="9">
                  <c:v>606.20550537109375</c:v>
                </c:pt>
                <c:pt idx="10">
                  <c:v>610.57171630859375</c:v>
                </c:pt>
                <c:pt idx="11">
                  <c:v>614.28558349609375</c:v>
                </c:pt>
                <c:pt idx="12">
                  <c:v>617.46337890625</c:v>
                </c:pt>
                <c:pt idx="13">
                  <c:v>620.211181640625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08-41C8-B1F4-C66A4D550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98688"/>
        <c:axId val="133700224"/>
      </c:scatterChart>
      <c:valAx>
        <c:axId val="13250675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508672"/>
        <c:crossesAt val="0"/>
        <c:crossBetween val="midCat"/>
        <c:majorUnit val="0.2"/>
        <c:minorUnit val="0.2"/>
      </c:valAx>
      <c:valAx>
        <c:axId val="13250867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506752"/>
        <c:crosses val="max"/>
        <c:crossBetween val="midCat"/>
        <c:majorUnit val="50"/>
        <c:minorUnit val="50"/>
      </c:valAx>
      <c:valAx>
        <c:axId val="13369868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33700224"/>
        <c:crosses val="autoZero"/>
        <c:crossBetween val="midCat"/>
      </c:valAx>
      <c:valAx>
        <c:axId val="13370022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369868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120.29932755018979</c:v>
                </c:pt>
                <c:pt idx="2">
                  <c:v>236</c:v>
                </c:pt>
                <c:pt idx="3">
                  <c:v>180.42432653428637</c:v>
                </c:pt>
                <c:pt idx="4">
                  <c:v>164.4652856412672</c:v>
                </c:pt>
                <c:pt idx="5">
                  <c:v>160.01875841136575</c:v>
                </c:pt>
                <c:pt idx="6">
                  <c:v>159.10591358804845</c:v>
                </c:pt>
                <c:pt idx="7">
                  <c:v>159.07527437649827</c:v>
                </c:pt>
                <c:pt idx="8">
                  <c:v>159.05472730764416</c:v>
                </c:pt>
                <c:pt idx="9">
                  <c:v>159.03667216034734</c:v>
                </c:pt>
                <c:pt idx="10">
                  <c:v>159.01816173749086</c:v>
                </c:pt>
                <c:pt idx="11">
                  <c:v>159.00671022689224</c:v>
                </c:pt>
                <c:pt idx="12">
                  <c:v>159.00481002865669</c:v>
                </c:pt>
                <c:pt idx="13">
                  <c:v>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EE-4D1D-8EBA-CFBF8CEB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51744"/>
        <c:axId val="13475366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0.18127109110355377</c:v>
                </c:pt>
                <c:pt idx="1">
                  <c:v>153.35484313964844</c:v>
                </c:pt>
                <c:pt idx="2">
                  <c:v>465.8565673828125</c:v>
                </c:pt>
                <c:pt idx="3">
                  <c:v>547.08685302734375</c:v>
                </c:pt>
                <c:pt idx="4">
                  <c:v>568.96905517578125</c:v>
                </c:pt>
                <c:pt idx="5">
                  <c:v>578.205322265625</c:v>
                </c:pt>
                <c:pt idx="6">
                  <c:v>588.23150634765625</c:v>
                </c:pt>
                <c:pt idx="7">
                  <c:v>595.14801025390625</c:v>
                </c:pt>
                <c:pt idx="8">
                  <c:v>601.0843505859375</c:v>
                </c:pt>
                <c:pt idx="9">
                  <c:v>606.20550537109375</c:v>
                </c:pt>
                <c:pt idx="10">
                  <c:v>610.57171630859375</c:v>
                </c:pt>
                <c:pt idx="11">
                  <c:v>614.28558349609375</c:v>
                </c:pt>
                <c:pt idx="12">
                  <c:v>617.46337890625</c:v>
                </c:pt>
                <c:pt idx="13">
                  <c:v>620.211181640625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EE-4D1D-8EBA-CFBF8CEB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59936"/>
        <c:axId val="134761472"/>
      </c:scatterChart>
      <c:valAx>
        <c:axId val="13475174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4753664"/>
        <c:crosses val="autoZero"/>
        <c:crossBetween val="midCat"/>
        <c:majorUnit val="20"/>
        <c:minorUnit val="20"/>
      </c:valAx>
      <c:valAx>
        <c:axId val="1347536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4751744"/>
        <c:crosses val="autoZero"/>
        <c:crossBetween val="midCat"/>
      </c:valAx>
      <c:valAx>
        <c:axId val="13475993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34761472"/>
        <c:crosses val="autoZero"/>
        <c:crossBetween val="midCat"/>
      </c:valAx>
      <c:valAx>
        <c:axId val="134761472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4759936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620.21116138763193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14.17656217302595</c:v>
                </c:pt>
                <c:pt idx="1">
                  <c:v>15.147730900504865</c:v>
                </c:pt>
                <c:pt idx="2">
                  <c:v>21.812732496727005</c:v>
                </c:pt>
                <c:pt idx="3">
                  <c:v>34.082394526135943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A-43E1-A4E8-B1D586CF04F1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620.21116138763193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7.2777557373046884</c:v>
                </c:pt>
                <c:pt idx="1">
                  <c:v>7.7763201065809628</c:v>
                </c:pt>
                <c:pt idx="2">
                  <c:v>11.197900953476585</c:v>
                </c:pt>
                <c:pt idx="3">
                  <c:v>17.496720239807164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DA-43E1-A4E8-B1D586CF04F1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236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50.263488192494016</c:v>
                </c:pt>
                <c:pt idx="3">
                  <c:v>86.403556739788485</c:v>
                </c:pt>
                <c:pt idx="4">
                  <c:v>194.40800266452408</c:v>
                </c:pt>
                <c:pt idx="5" formatCode="0">
                  <c:v>400</c:v>
                </c:pt>
                <c:pt idx="6" formatCode="0">
                  <c:v>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DA-43E1-A4E8-B1D586CF04F1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620.21116138763193</c:v>
                </c:pt>
                <c:pt idx="1">
                  <c:v>618.83861236802409</c:v>
                </c:pt>
                <c:pt idx="2">
                  <c:v>615.86726998491702</c:v>
                </c:pt>
                <c:pt idx="3">
                  <c:v>612.42835595776774</c:v>
                </c:pt>
                <c:pt idx="4">
                  <c:v>608.38612368024133</c:v>
                </c:pt>
                <c:pt idx="5">
                  <c:v>603.65007541478133</c:v>
                </c:pt>
                <c:pt idx="6">
                  <c:v>598.1146304675716</c:v>
                </c:pt>
                <c:pt idx="7">
                  <c:v>591.6892911010558</c:v>
                </c:pt>
                <c:pt idx="8">
                  <c:v>583.2126696832579</c:v>
                </c:pt>
                <c:pt idx="9">
                  <c:v>573.58974358974353</c:v>
                </c:pt>
                <c:pt idx="10">
                  <c:v>558.02413273001514</c:v>
                </c:pt>
                <c:pt idx="11">
                  <c:v>506.47058823529414</c:v>
                </c:pt>
                <c:pt idx="12">
                  <c:v>309.60784313725486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0.28400000929832458</c:v>
                </c:pt>
                <c:pt idx="2">
                  <c:v>0.54699999094009399</c:v>
                </c:pt>
                <c:pt idx="3">
                  <c:v>0.80199998617172241</c:v>
                </c:pt>
                <c:pt idx="4">
                  <c:v>1.0579999685287476</c:v>
                </c:pt>
                <c:pt idx="5">
                  <c:v>1.3220000267028809</c:v>
                </c:pt>
                <c:pt idx="6">
                  <c:v>1.6010000705718994</c:v>
                </c:pt>
                <c:pt idx="7">
                  <c:v>1.9050000905990601</c:v>
                </c:pt>
                <c:pt idx="8">
                  <c:v>2.252000093460083</c:v>
                </c:pt>
                <c:pt idx="9">
                  <c:v>2.4490001201629639</c:v>
                </c:pt>
                <c:pt idx="10">
                  <c:v>2.6520001888275146</c:v>
                </c:pt>
                <c:pt idx="11">
                  <c:v>2.817000150680542</c:v>
                </c:pt>
                <c:pt idx="12">
                  <c:v>2.8550002574920654</c:v>
                </c:pt>
                <c:pt idx="13">
                  <c:v>2.9270002841949463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DA-43E1-A4E8-B1D586CF0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32352"/>
        <c:axId val="134934528"/>
      </c:scatterChart>
      <c:valAx>
        <c:axId val="13493235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34528"/>
        <c:crossesAt val="0.1"/>
        <c:crossBetween val="midCat"/>
        <c:majorUnit val="100"/>
      </c:valAx>
      <c:valAx>
        <c:axId val="13493452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3235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7" name="Radiu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8" name="Heigh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9" name="Cle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" name="Thicknes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1205865" y="7768590"/>
          <a:ext cx="891540" cy="952500"/>
          <a:chOff x="120" y="793"/>
          <a:chExt cx="91" cy="100"/>
        </a:xfrm>
      </xdr:grpSpPr>
      <xdr:sp macro="" textlink="">
        <xdr:nvSpPr>
          <xdr:cNvPr id="35" name="Line 10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73.0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13.15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17.3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>
          <a:grpSpLocks/>
        </xdr:cNvGrpSpPr>
      </xdr:nvGrpSpPr>
      <xdr:grpSpPr bwMode="auto">
        <a:xfrm>
          <a:off x="1148715" y="6282690"/>
          <a:ext cx="967740" cy="1076325"/>
          <a:chOff x="118" y="637"/>
          <a:chExt cx="99" cy="113"/>
        </a:xfrm>
      </xdr:grpSpPr>
      <xdr:sp macro="" textlink="">
        <xdr:nvSpPr>
          <xdr:cNvPr id="73" name="Line 229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03" name="Radius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04" name="Heigh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05" name="Clear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6" name="Thickness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07" name="Radius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08" name="Height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09" name="Clear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10" name="Thickness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11" name="Radius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12" name="Height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13" name="Clear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14" name="Thickness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15" name="Radius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16" name="Height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17" name="Clear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18" name="Thickness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19" name="Radius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20" name="Height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21" name="Clear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22" name="Thickness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3" name="Clear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4" name="Radius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5" name="Clear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6" name="Thickness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7" name="Radius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8" name="Thickness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9" name="Radius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30" name="Height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1" name="Clear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32" name="Thickness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133" name="Text 219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134" name="Radius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135" name="Height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136" name="Clear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137" name="Thickness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38" name="Text 583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139" name="Line 125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140" name="Line 126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141" name="Line 127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142" name="Line 128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143" name="Line 129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144" name="Line 130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145" name="Thickness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146" name="Rectangle 132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147" name="Rectangle 133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148" name="Line 134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149" name="Line 135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150" name="Line 136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151" name="Line 137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152" name="Line 138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153" name="Line 139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154" name="Line 140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155" name="Line 14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156" name="Line 142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157" name="Line 143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158" name="Line 144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159" name="Thickness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160" name="Line 146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161" name="Height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162" name="Line 148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163" name="Line 149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164" name="Line 150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165" name="Line 15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752475</xdr:colOff>
      <xdr:row>33</xdr:row>
      <xdr:rowOff>133350</xdr:rowOff>
    </xdr:from>
    <xdr:to>
      <xdr:col>4</xdr:col>
      <xdr:colOff>714375</xdr:colOff>
      <xdr:row>34</xdr:row>
      <xdr:rowOff>59315</xdr:rowOff>
    </xdr:to>
    <xdr:sp macro="" textlink="">
      <xdr:nvSpPr>
        <xdr:cNvPr id="166" name="Text 21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2447925" y="7743825"/>
          <a:ext cx="800100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411-TC13</a:t>
          </a:r>
        </a:p>
      </xdr:txBody>
    </xdr:sp>
    <xdr:clientData/>
  </xdr:twoCellAnchor>
  <xdr:twoCellAnchor>
    <xdr:from>
      <xdr:col>3</xdr:col>
      <xdr:colOff>676275</xdr:colOff>
      <xdr:row>27</xdr:row>
      <xdr:rowOff>123825</xdr:rowOff>
    </xdr:from>
    <xdr:to>
      <xdr:col>4</xdr:col>
      <xdr:colOff>638175</xdr:colOff>
      <xdr:row>28</xdr:row>
      <xdr:rowOff>49790</xdr:rowOff>
    </xdr:to>
    <xdr:sp macro="" textlink="">
      <xdr:nvSpPr>
        <xdr:cNvPr id="167" name="Text 21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2371725" y="6362700"/>
          <a:ext cx="800100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311-TC13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0.64206</cdr:x>
      <cdr:y>0.6791</cdr:y>
    </cdr:from>
    <cdr:to>
      <cdr:x>0.87791</cdr:x>
      <cdr:y>0.69979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984" y="43726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0.63717</cdr:x>
      <cdr:y>0.60893</cdr:y>
    </cdr:from>
    <cdr:to>
      <cdr:x>0.91999</cdr:x>
      <cdr:y>0.63406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26409" y="392083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0.65519</cdr:x>
      <cdr:y>0.8316</cdr:y>
    </cdr:from>
    <cdr:to>
      <cdr:x>0.90063</cdr:x>
      <cdr:y>0.85673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31784" y="5354563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32" zoomScale="95" zoomScaleNormal="95" workbookViewId="0">
      <selection activeCell="L54" sqref="L54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</cols>
  <sheetData>
    <row r="1" spans="1:10" ht="17.399999999999999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201</v>
      </c>
    </row>
    <row r="2" spans="1:10" ht="17.399999999999999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202</v>
      </c>
    </row>
    <row r="3" spans="1:10" ht="15" customHeight="1" thickBot="1">
      <c r="A3" s="49" t="s">
        <v>1</v>
      </c>
      <c r="B3" s="96" t="s">
        <v>200</v>
      </c>
      <c r="C3" s="1"/>
      <c r="D3" s="49"/>
      <c r="E3" s="1"/>
      <c r="F3" s="1"/>
      <c r="G3" s="49" t="s">
        <v>2</v>
      </c>
      <c r="H3" s="149">
        <v>41871</v>
      </c>
      <c r="I3" s="49" t="s">
        <v>3</v>
      </c>
      <c r="J3" s="150">
        <v>0.57991898148148147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2</v>
      </c>
      <c r="B5" s="113">
        <v>5500</v>
      </c>
      <c r="C5" s="143">
        <v>3600</v>
      </c>
      <c r="D5" s="50" t="s">
        <v>639</v>
      </c>
      <c r="E5" s="143">
        <v>4000</v>
      </c>
      <c r="F5" s="143">
        <v>60</v>
      </c>
      <c r="G5" s="50">
        <v>105</v>
      </c>
      <c r="H5" s="78" t="s">
        <v>233</v>
      </c>
      <c r="I5" s="77" t="s">
        <v>238</v>
      </c>
      <c r="J5" s="50" t="s">
        <v>176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26.179916666666667</v>
      </c>
      <c r="J7" s="106" t="s">
        <v>19</v>
      </c>
    </row>
    <row r="8" spans="1:10" ht="15" customHeight="1">
      <c r="A8" s="6" t="s">
        <v>20</v>
      </c>
      <c r="B8" s="69">
        <v>3.5</v>
      </c>
      <c r="C8" s="52"/>
      <c r="D8" s="6"/>
      <c r="E8" s="51"/>
      <c r="F8" s="3"/>
      <c r="G8" s="16"/>
      <c r="H8" s="10" t="s">
        <v>21</v>
      </c>
      <c r="I8" s="68">
        <v>30.254877608695651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184</v>
      </c>
      <c r="F9" s="107" t="s">
        <v>25</v>
      </c>
      <c r="G9" s="30"/>
      <c r="H9" s="10" t="s">
        <v>26</v>
      </c>
      <c r="I9" s="69">
        <v>28.217397137681161</v>
      </c>
      <c r="J9" s="104">
        <v>198.9548799178996</v>
      </c>
    </row>
    <row r="10" spans="1:10" ht="15" customHeight="1">
      <c r="A10" s="6" t="s">
        <v>27</v>
      </c>
      <c r="B10" s="69">
        <v>1100</v>
      </c>
      <c r="C10" s="73">
        <v>1100</v>
      </c>
      <c r="D10" s="6"/>
      <c r="E10" s="51"/>
      <c r="F10" s="117" t="s">
        <v>196</v>
      </c>
      <c r="G10" s="115" t="s">
        <v>197</v>
      </c>
      <c r="H10" s="10" t="s">
        <v>28</v>
      </c>
      <c r="I10" s="68">
        <v>17.127578248316492</v>
      </c>
      <c r="J10" s="103" t="s">
        <v>29</v>
      </c>
    </row>
    <row r="11" spans="1:10" ht="15" customHeight="1" thickBot="1">
      <c r="A11" s="6" t="s">
        <v>30</v>
      </c>
      <c r="B11" s="69">
        <v>815</v>
      </c>
      <c r="C11" s="73">
        <v>443</v>
      </c>
      <c r="D11" s="6" t="s">
        <v>31</v>
      </c>
      <c r="E11" s="68">
        <v>0.62956666666666661</v>
      </c>
      <c r="F11" s="118"/>
      <c r="G11" s="114"/>
      <c r="H11" s="10" t="s">
        <v>32</v>
      </c>
      <c r="I11" s="68">
        <v>29.859305480929297</v>
      </c>
      <c r="J11" s="104">
        <v>145246.7540244433</v>
      </c>
    </row>
    <row r="12" spans="1:10" ht="15" customHeight="1">
      <c r="A12" s="6" t="s">
        <v>33</v>
      </c>
      <c r="B12" s="69">
        <v>450</v>
      </c>
      <c r="C12" s="73">
        <v>170</v>
      </c>
      <c r="D12" s="6" t="s">
        <v>34</v>
      </c>
      <c r="E12" s="138" t="s">
        <v>174</v>
      </c>
      <c r="F12" s="124" t="s">
        <v>190</v>
      </c>
      <c r="G12" s="116" t="s">
        <v>189</v>
      </c>
      <c r="H12" s="10" t="s">
        <v>35</v>
      </c>
      <c r="I12" s="68">
        <v>1.5285241314976885</v>
      </c>
      <c r="J12" s="103" t="s">
        <v>36</v>
      </c>
    </row>
    <row r="13" spans="1:10" ht="15" customHeight="1" thickBot="1">
      <c r="A13" s="6" t="s">
        <v>37</v>
      </c>
      <c r="B13" s="69">
        <v>109.5</v>
      </c>
      <c r="C13" s="73">
        <v>98.090000152587891</v>
      </c>
      <c r="D13" s="6" t="s">
        <v>38</v>
      </c>
      <c r="E13" s="70">
        <v>13</v>
      </c>
      <c r="F13" s="124"/>
      <c r="G13" s="116" t="s">
        <v>191</v>
      </c>
      <c r="H13" s="10" t="s">
        <v>40</v>
      </c>
      <c r="I13" s="68">
        <v>1.0132478676712358</v>
      </c>
      <c r="J13" s="104">
        <v>644.37664794921875</v>
      </c>
    </row>
    <row r="14" spans="1:10" ht="15" customHeight="1" thickBot="1">
      <c r="A14" s="134" t="s">
        <v>41</v>
      </c>
      <c r="B14" s="135">
        <v>850.02001953125</v>
      </c>
      <c r="C14" s="136">
        <v>905.82000732421875</v>
      </c>
      <c r="D14" s="6" t="s">
        <v>42</v>
      </c>
      <c r="E14" s="51" t="s">
        <v>185</v>
      </c>
      <c r="F14" s="51"/>
      <c r="G14" s="116" t="s">
        <v>192</v>
      </c>
      <c r="H14" s="49" t="s">
        <v>43</v>
      </c>
      <c r="I14" s="68">
        <v>1.5487738169240604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174</v>
      </c>
      <c r="F15" s="51"/>
      <c r="G15" s="116"/>
      <c r="H15" s="10" t="s">
        <v>47</v>
      </c>
      <c r="I15" s="68">
        <v>0.83543300071747506</v>
      </c>
      <c r="J15" s="104">
        <v>68.376068376068375</v>
      </c>
    </row>
    <row r="16" spans="1:10" ht="15" customHeight="1">
      <c r="A16" s="6" t="s">
        <v>48</v>
      </c>
      <c r="B16" s="51">
        <v>54</v>
      </c>
      <c r="C16" s="52">
        <v>46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0.95529270900034158</v>
      </c>
      <c r="J16" s="105" t="s">
        <v>51</v>
      </c>
    </row>
    <row r="17" spans="1:10" ht="15" customHeight="1" thickBot="1">
      <c r="A17" s="6" t="s">
        <v>52</v>
      </c>
      <c r="B17" s="51" t="s">
        <v>177</v>
      </c>
      <c r="C17" s="52" t="s">
        <v>178</v>
      </c>
      <c r="D17" s="96" t="s">
        <v>53</v>
      </c>
      <c r="E17" s="51" t="s">
        <v>186</v>
      </c>
      <c r="F17" s="51"/>
      <c r="G17" s="116"/>
      <c r="H17" s="10" t="s">
        <v>54</v>
      </c>
      <c r="I17" s="68">
        <v>0.79808305444368111</v>
      </c>
      <c r="J17" s="104">
        <v>923.71292912995989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1987</v>
      </c>
      <c r="F18" s="70">
        <v>1290.5370025634766</v>
      </c>
      <c r="G18" s="74"/>
      <c r="H18" s="13" t="s">
        <v>57</v>
      </c>
      <c r="I18" s="132" t="s">
        <v>198</v>
      </c>
      <c r="J18" s="133"/>
    </row>
    <row r="19" spans="1:10" ht="15" customHeight="1">
      <c r="A19" s="6" t="s">
        <v>58</v>
      </c>
      <c r="B19" s="69">
        <v>73</v>
      </c>
      <c r="C19" s="73">
        <v>38.409999847412109</v>
      </c>
      <c r="D19" s="6" t="s">
        <v>59</v>
      </c>
      <c r="E19" s="70">
        <v>117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179</v>
      </c>
      <c r="C20" s="73"/>
      <c r="D20" s="6" t="s">
        <v>166</v>
      </c>
      <c r="E20" s="67">
        <v>4.8777577750396005E-2</v>
      </c>
      <c r="F20" s="51"/>
      <c r="G20" s="52"/>
      <c r="H20" s="10" t="s">
        <v>63</v>
      </c>
      <c r="I20" s="68">
        <v>14.993256568908691</v>
      </c>
      <c r="J20" s="72">
        <v>14.993256568908691</v>
      </c>
    </row>
    <row r="21" spans="1:10" ht="15" customHeight="1">
      <c r="A21" s="6" t="s">
        <v>64</v>
      </c>
      <c r="B21" s="69">
        <v>17.299999237060547</v>
      </c>
      <c r="C21" s="73">
        <v>3</v>
      </c>
      <c r="D21" s="10" t="s">
        <v>187</v>
      </c>
      <c r="E21" s="67">
        <v>6.5068713737758119E-2</v>
      </c>
      <c r="F21" s="67">
        <v>5.3990826010704041E-2</v>
      </c>
      <c r="G21" s="71">
        <v>9.3270178901273849E-3</v>
      </c>
      <c r="H21" s="10" t="s">
        <v>65</v>
      </c>
      <c r="I21" s="68">
        <v>16.318153381347656</v>
      </c>
      <c r="J21" s="72">
        <v>13.79779052734375</v>
      </c>
    </row>
    <row r="22" spans="1:10" ht="15" customHeight="1">
      <c r="A22" s="6" t="s">
        <v>66</v>
      </c>
      <c r="B22" s="69">
        <v>13.149999618530273</v>
      </c>
      <c r="C22" s="73">
        <v>3</v>
      </c>
      <c r="D22" s="6" t="s">
        <v>67</v>
      </c>
      <c r="E22" s="51" t="s">
        <v>188</v>
      </c>
      <c r="F22" s="51" t="s">
        <v>188</v>
      </c>
      <c r="G22" s="52" t="s">
        <v>188</v>
      </c>
      <c r="H22" s="10" t="s">
        <v>68</v>
      </c>
      <c r="I22" s="68">
        <v>4.6907854080200195</v>
      </c>
      <c r="J22" s="72">
        <v>3.6291477680206299</v>
      </c>
    </row>
    <row r="23" spans="1:10" ht="15" customHeight="1">
      <c r="A23" s="6" t="s">
        <v>69</v>
      </c>
      <c r="B23" s="69">
        <v>8.8799171447753906</v>
      </c>
      <c r="C23" s="73">
        <v>10.888422012329102</v>
      </c>
      <c r="D23" s="6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16.397457138583789</v>
      </c>
      <c r="J23" s="16" t="s">
        <v>199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6.7857612215462551</v>
      </c>
      <c r="J24" s="72">
        <v>5.2888472071563601</v>
      </c>
    </row>
    <row r="25" spans="1:10" ht="15" customHeight="1">
      <c r="A25" s="6" t="s">
        <v>75</v>
      </c>
      <c r="B25" s="51" t="s">
        <v>174</v>
      </c>
      <c r="C25" s="73">
        <v>5.7199997901916504</v>
      </c>
      <c r="D25" s="109" t="s">
        <v>76</v>
      </c>
      <c r="E25" s="53"/>
      <c r="F25" s="53"/>
      <c r="G25" s="60"/>
      <c r="H25" s="10" t="s">
        <v>77</v>
      </c>
      <c r="I25" s="68">
        <v>0.12838655710220337</v>
      </c>
      <c r="J25" s="72">
        <v>0.34978511929512024</v>
      </c>
    </row>
    <row r="26" spans="1:10" ht="15" customHeight="1">
      <c r="A26" s="6" t="s">
        <v>78</v>
      </c>
      <c r="B26" s="53" t="s">
        <v>180</v>
      </c>
      <c r="C26" s="60" t="s">
        <v>181</v>
      </c>
      <c r="D26" s="10" t="s">
        <v>79</v>
      </c>
      <c r="E26" s="69">
        <v>514.77613752406728</v>
      </c>
      <c r="F26" s="69">
        <v>178.64368740631303</v>
      </c>
      <c r="G26" s="73">
        <v>84.531503356144583</v>
      </c>
      <c r="H26" s="10" t="s">
        <v>80</v>
      </c>
      <c r="I26" s="68">
        <v>1.7139170169830322</v>
      </c>
      <c r="J26" s="72">
        <v>1.5657141208648682</v>
      </c>
    </row>
    <row r="27" spans="1:10" ht="15" customHeight="1" thickBot="1">
      <c r="A27" s="6" t="s">
        <v>81</v>
      </c>
      <c r="B27" s="51" t="s">
        <v>182</v>
      </c>
      <c r="C27" s="52" t="s">
        <v>183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1.7187188863754272</v>
      </c>
      <c r="J27" s="81">
        <v>1.6043099164962769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35.359193128881586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35.395463326989393</v>
      </c>
      <c r="D30" s="10" t="s">
        <v>95</v>
      </c>
      <c r="E30" s="69">
        <v>64.009896249999997</v>
      </c>
      <c r="F30" s="69">
        <v>1861.5438427734375</v>
      </c>
      <c r="G30" s="69">
        <v>17.276212847548184</v>
      </c>
      <c r="H30" s="74">
        <v>1053.9696707279031</v>
      </c>
      <c r="I30" s="70">
        <v>206295.52030393123</v>
      </c>
      <c r="J30" s="74">
        <v>17746.813273614483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7.3000000000000007</v>
      </c>
      <c r="F31" s="69">
        <v>2037.9889831062221</v>
      </c>
      <c r="G31" s="69">
        <v>15.780471788311155</v>
      </c>
      <c r="H31" s="74">
        <v>82.089640997334996</v>
      </c>
      <c r="I31" s="70">
        <v>29754.639153350847</v>
      </c>
      <c r="J31" s="74">
        <v>2210.4108227426732</v>
      </c>
    </row>
    <row r="32" spans="1:10" ht="15" customHeight="1">
      <c r="A32" s="6" t="s">
        <v>98</v>
      </c>
      <c r="B32" s="68" t="s">
        <v>240</v>
      </c>
      <c r="C32" s="110"/>
      <c r="D32" s="10" t="s">
        <v>99</v>
      </c>
      <c r="E32" s="69">
        <v>28.759685678968431</v>
      </c>
      <c r="F32" s="69">
        <v>2290.3356972833863</v>
      </c>
      <c r="G32" s="69">
        <v>14.041796445360745</v>
      </c>
      <c r="H32" s="74">
        <v>197.93303705011726</v>
      </c>
      <c r="I32" s="9" t="s">
        <v>100</v>
      </c>
      <c r="J32" s="74">
        <v>19957.224096357157</v>
      </c>
    </row>
    <row r="33" spans="1:10" ht="15" customHeight="1">
      <c r="A33" s="6" t="s">
        <v>101</v>
      </c>
      <c r="B33" s="68" t="s">
        <v>241</v>
      </c>
      <c r="C33" s="111" t="s">
        <v>102</v>
      </c>
      <c r="D33" s="10" t="s">
        <v>97</v>
      </c>
      <c r="E33" s="69">
        <v>3.8409999847412113</v>
      </c>
      <c r="F33" s="69">
        <v>2268.4786166001404</v>
      </c>
      <c r="G33" s="69">
        <v>14.177090944324966</v>
      </c>
      <c r="H33" s="74">
        <v>27.486226597310882</v>
      </c>
      <c r="I33" s="9" t="s">
        <v>103</v>
      </c>
      <c r="J33" s="73" t="s">
        <v>210</v>
      </c>
    </row>
    <row r="34" spans="1:10" ht="15" customHeight="1" thickBot="1">
      <c r="A34" s="17" t="s">
        <v>104</v>
      </c>
      <c r="B34" s="79" t="s">
        <v>242</v>
      </c>
      <c r="C34" s="112">
        <v>32.160427652796677</v>
      </c>
      <c r="D34" s="11" t="s">
        <v>20</v>
      </c>
      <c r="E34" s="79">
        <v>0.35000000000000003</v>
      </c>
      <c r="F34" s="80">
        <v>4308.4000304527217</v>
      </c>
      <c r="G34" s="80">
        <v>7.4645871844489093</v>
      </c>
      <c r="H34" s="83">
        <v>2079.0471660505655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212</v>
      </c>
      <c r="E35" s="148" t="s">
        <v>211</v>
      </c>
      <c r="F35" s="15"/>
      <c r="G35" s="26" t="s">
        <v>107</v>
      </c>
      <c r="H35" s="85" t="s">
        <v>205</v>
      </c>
      <c r="I35" s="10" t="s">
        <v>108</v>
      </c>
      <c r="J35" s="74" t="s">
        <v>209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203</v>
      </c>
      <c r="I36" s="10" t="s">
        <v>111</v>
      </c>
      <c r="J36" s="74" t="s">
        <v>208</v>
      </c>
    </row>
    <row r="37" spans="1:10" ht="15" customHeight="1" thickBot="1">
      <c r="A37" s="6" t="s">
        <v>112</v>
      </c>
      <c r="B37" s="69" t="s">
        <v>222</v>
      </c>
      <c r="C37" s="69" t="s">
        <v>223</v>
      </c>
      <c r="D37" s="69" t="s">
        <v>224</v>
      </c>
      <c r="E37" s="69" t="s">
        <v>225</v>
      </c>
      <c r="F37" s="73" t="s">
        <v>226</v>
      </c>
      <c r="G37" s="10" t="s">
        <v>113</v>
      </c>
      <c r="H37" s="74" t="s">
        <v>204</v>
      </c>
      <c r="I37" s="11" t="s">
        <v>114</v>
      </c>
      <c r="J37" s="83" t="s">
        <v>207</v>
      </c>
    </row>
    <row r="38" spans="1:10" ht="15" customHeight="1" thickBot="1">
      <c r="A38" s="6" t="s">
        <v>115</v>
      </c>
      <c r="B38" s="68" t="s">
        <v>214</v>
      </c>
      <c r="C38" s="68" t="s">
        <v>215</v>
      </c>
      <c r="D38" s="68" t="s">
        <v>216</v>
      </c>
      <c r="E38" s="68" t="s">
        <v>217</v>
      </c>
      <c r="F38" s="72" t="s">
        <v>217</v>
      </c>
      <c r="G38" s="17" t="s">
        <v>116</v>
      </c>
      <c r="H38" s="83" t="s">
        <v>206</v>
      </c>
      <c r="I38" s="139" t="s">
        <v>213</v>
      </c>
      <c r="J38" s="84">
        <v>36926.99609375</v>
      </c>
    </row>
    <row r="39" spans="1:10" ht="15" customHeight="1">
      <c r="A39" s="6" t="s">
        <v>117</v>
      </c>
      <c r="B39" s="68" t="s">
        <v>218</v>
      </c>
      <c r="C39" s="68" t="s">
        <v>219</v>
      </c>
      <c r="D39" s="68" t="s">
        <v>220</v>
      </c>
      <c r="E39" s="68" t="s">
        <v>221</v>
      </c>
      <c r="F39" s="72" t="s">
        <v>221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235</v>
      </c>
      <c r="C40" s="67" t="s">
        <v>236</v>
      </c>
      <c r="D40" s="67" t="s">
        <v>237</v>
      </c>
      <c r="E40" s="67" t="s">
        <v>238</v>
      </c>
      <c r="F40" s="71" t="s">
        <v>239</v>
      </c>
      <c r="G40" s="36" t="s">
        <v>121</v>
      </c>
      <c r="H40" s="91" t="s">
        <v>243</v>
      </c>
      <c r="I40" s="55"/>
      <c r="J40" s="56"/>
    </row>
    <row r="41" spans="1:10" ht="15" customHeight="1">
      <c r="A41" s="6" t="s">
        <v>5</v>
      </c>
      <c r="B41" s="70" t="s">
        <v>230</v>
      </c>
      <c r="C41" s="70" t="s">
        <v>231</v>
      </c>
      <c r="D41" s="70" t="s">
        <v>232</v>
      </c>
      <c r="E41" s="70" t="s">
        <v>233</v>
      </c>
      <c r="F41" s="74" t="s">
        <v>234</v>
      </c>
      <c r="G41" s="37" t="s">
        <v>122</v>
      </c>
      <c r="H41" s="92" t="s">
        <v>244</v>
      </c>
      <c r="I41" s="57"/>
      <c r="J41" s="58"/>
    </row>
    <row r="42" spans="1:10" ht="15" customHeight="1">
      <c r="A42" s="6" t="s">
        <v>123</v>
      </c>
      <c r="B42" s="68">
        <v>3.8564900770058035</v>
      </c>
      <c r="C42" s="68">
        <v>3.8564900770058035</v>
      </c>
      <c r="D42" s="68">
        <v>3.8564900770058035</v>
      </c>
      <c r="E42" s="68">
        <v>3.8564900770058035</v>
      </c>
      <c r="F42" s="72">
        <v>3.8564900770058035</v>
      </c>
      <c r="G42" s="36" t="s">
        <v>124</v>
      </c>
      <c r="H42" s="91" t="s">
        <v>245</v>
      </c>
      <c r="I42" s="55"/>
      <c r="J42" s="97">
        <v>0.21803490442086707</v>
      </c>
    </row>
    <row r="43" spans="1:10" ht="15" customHeight="1" thickBot="1">
      <c r="A43" s="17" t="s">
        <v>125</v>
      </c>
      <c r="B43" s="79">
        <v>3.8564900770058035</v>
      </c>
      <c r="C43" s="79"/>
      <c r="D43" s="79" t="s">
        <v>248</v>
      </c>
      <c r="E43" s="79"/>
      <c r="F43" s="81"/>
      <c r="G43" s="37" t="s">
        <v>122</v>
      </c>
      <c r="H43" s="92" t="s">
        <v>246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13084.302018530263</v>
      </c>
      <c r="I44" s="90">
        <v>3.6916760743960331E-2</v>
      </c>
      <c r="J44" s="97">
        <v>0.64874840316219717</v>
      </c>
    </row>
    <row r="45" spans="1:10" ht="15" customHeight="1">
      <c r="A45" s="6" t="s">
        <v>129</v>
      </c>
      <c r="B45" s="68">
        <v>0.19762183725833893</v>
      </c>
      <c r="C45" s="4" t="s">
        <v>130</v>
      </c>
      <c r="D45" s="72">
        <v>6.0473321937024593E-3</v>
      </c>
      <c r="E45" s="6" t="s">
        <v>131</v>
      </c>
      <c r="F45" s="74">
        <v>1599.9582732255569</v>
      </c>
      <c r="G45" s="38" t="s">
        <v>122</v>
      </c>
      <c r="H45" s="86" t="s">
        <v>247</v>
      </c>
      <c r="I45" s="59"/>
      <c r="J45" s="60"/>
    </row>
    <row r="46" spans="1:10" ht="15" customHeight="1">
      <c r="A46" s="6" t="s">
        <v>132</v>
      </c>
      <c r="B46" s="68">
        <v>0.15019088983535767</v>
      </c>
      <c r="C46" s="4" t="s">
        <v>133</v>
      </c>
      <c r="D46" s="72">
        <v>5.5485554039478302E-3</v>
      </c>
      <c r="E46" s="6" t="s">
        <v>134</v>
      </c>
      <c r="F46" s="74">
        <v>2291.6569141698587</v>
      </c>
      <c r="G46" s="37" t="s">
        <v>135</v>
      </c>
      <c r="H46" s="94">
        <v>2803.6078151528345</v>
      </c>
      <c r="I46" s="57"/>
      <c r="J46" s="58"/>
    </row>
    <row r="47" spans="1:10" ht="15" customHeight="1">
      <c r="A47" s="6" t="s">
        <v>136</v>
      </c>
      <c r="B47" s="68">
        <v>0.3478127121925354</v>
      </c>
      <c r="C47" s="4" t="s">
        <v>137</v>
      </c>
      <c r="D47" s="72">
        <v>2.6078480295836926E-3</v>
      </c>
      <c r="E47" s="6" t="s">
        <v>138</v>
      </c>
      <c r="F47" s="74">
        <v>775.01412239858792</v>
      </c>
      <c r="G47" s="64" t="s">
        <v>139</v>
      </c>
      <c r="H47" s="93">
        <v>12610.510097602062</v>
      </c>
      <c r="I47" s="90">
        <v>3.5531167635051257E-2</v>
      </c>
      <c r="J47" s="95">
        <v>0.66199494957608296</v>
      </c>
    </row>
    <row r="48" spans="1:10" ht="15" customHeight="1">
      <c r="A48" s="6" t="s">
        <v>140</v>
      </c>
      <c r="B48" s="68">
        <v>1.0927296243607998E-2</v>
      </c>
      <c r="C48" s="4" t="s">
        <v>100</v>
      </c>
      <c r="D48" s="72">
        <v>2.513103187084198E-2</v>
      </c>
      <c r="E48" s="6" t="s">
        <v>141</v>
      </c>
      <c r="F48" s="74">
        <v>497.49421986343583</v>
      </c>
      <c r="G48" s="65" t="s">
        <v>122</v>
      </c>
      <c r="H48" s="86">
        <v>307.34852784796641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0.97486895322799683</v>
      </c>
      <c r="E49" s="17" t="s">
        <v>143</v>
      </c>
      <c r="F49" s="83">
        <v>1268.5586775063182</v>
      </c>
      <c r="G49" s="66" t="s">
        <v>135</v>
      </c>
      <c r="H49" s="94">
        <v>2749.5217333277346</v>
      </c>
      <c r="I49" s="57"/>
      <c r="J49" s="61"/>
    </row>
    <row r="50" spans="1:10" ht="15" customHeight="1">
      <c r="A50" s="13" t="s">
        <v>195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46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0.13620519651066068</v>
      </c>
      <c r="I51" s="45" t="s">
        <v>149</v>
      </c>
      <c r="J51" s="39"/>
    </row>
    <row r="52" spans="1:10" ht="15" customHeight="1">
      <c r="A52" s="10" t="s">
        <v>58</v>
      </c>
      <c r="B52" s="69">
        <v>38.409999847412109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191146.52600000001</v>
      </c>
      <c r="I52" s="98" t="s">
        <v>227</v>
      </c>
      <c r="J52" s="62"/>
    </row>
    <row r="53" spans="1:10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150.049258323896</v>
      </c>
      <c r="I53" s="44" t="s">
        <v>154</v>
      </c>
      <c r="J53" s="39"/>
    </row>
    <row r="54" spans="1:10" ht="15" customHeight="1">
      <c r="A54" s="10" t="s">
        <v>66</v>
      </c>
      <c r="B54" s="69">
        <v>3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607101.65</v>
      </c>
      <c r="I54" s="99" t="s">
        <v>228</v>
      </c>
      <c r="J54" s="100" t="s">
        <v>193</v>
      </c>
    </row>
    <row r="55" spans="1:10" ht="15" customHeight="1">
      <c r="A55" s="10" t="s">
        <v>156</v>
      </c>
      <c r="B55" s="69">
        <v>14.119999885559082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0.69434999999999991</v>
      </c>
      <c r="I56" s="101" t="s">
        <v>229</v>
      </c>
      <c r="J56" s="61" t="s">
        <v>194</v>
      </c>
    </row>
    <row r="57" spans="1:10" ht="15" customHeight="1">
      <c r="A57" s="23" t="s">
        <v>249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250</v>
      </c>
      <c r="D58" s="3" t="s">
        <v>119</v>
      </c>
      <c r="E58" s="3" t="s">
        <v>165</v>
      </c>
      <c r="F58" s="16" t="s">
        <v>251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0.18127109110355377</v>
      </c>
      <c r="D59" s="128">
        <v>0.68736839294433594</v>
      </c>
      <c r="E59" s="86">
        <v>159.01816173749086</v>
      </c>
      <c r="F59" s="87">
        <v>610.57171630859375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120.29932755018979</v>
      </c>
      <c r="C60" s="87">
        <v>153.35484313964844</v>
      </c>
      <c r="D60" s="128">
        <v>0.79157894849777222</v>
      </c>
      <c r="E60" s="86">
        <v>159.00671022689224</v>
      </c>
      <c r="F60" s="87">
        <v>614.28558349609375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236</v>
      </c>
      <c r="C61" s="87">
        <v>465.8565673828125</v>
      </c>
      <c r="D61" s="128">
        <v>0.89578944444656372</v>
      </c>
      <c r="E61" s="86">
        <v>159.00481002865669</v>
      </c>
      <c r="F61" s="87">
        <v>617.46337890625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180.42432653428637</v>
      </c>
      <c r="C62" s="87">
        <v>547.08685302734375</v>
      </c>
      <c r="D62" s="129">
        <v>1</v>
      </c>
      <c r="E62" s="86">
        <v>159</v>
      </c>
      <c r="F62" s="87">
        <v>620.211181640625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164.4652856412672</v>
      </c>
      <c r="C63" s="87">
        <v>568.96905517578125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160.01875841136575</v>
      </c>
      <c r="C64" s="87">
        <v>578.205322265625</v>
      </c>
      <c r="D64" s="154" t="s">
        <v>259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159.10591358804845</v>
      </c>
      <c r="C65" s="87">
        <v>588.23150634765625</v>
      </c>
      <c r="D65" s="156" t="s">
        <v>253</v>
      </c>
      <c r="E65" s="158" t="s">
        <v>257</v>
      </c>
      <c r="F65" s="15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159.07527437649827</v>
      </c>
      <c r="C66" s="87">
        <v>595.14801025390625</v>
      </c>
      <c r="D66" s="156" t="s">
        <v>254</v>
      </c>
      <c r="E66" s="158" t="s">
        <v>258</v>
      </c>
      <c r="F66" s="15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159.05472730764416</v>
      </c>
      <c r="C67" s="87">
        <v>601.0843505859375</v>
      </c>
      <c r="D67" s="156" t="s">
        <v>255</v>
      </c>
      <c r="E67" s="158" t="s">
        <v>260</v>
      </c>
      <c r="F67" s="15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159.03667216034734</v>
      </c>
      <c r="C68" s="89">
        <v>606.20550537109375</v>
      </c>
      <c r="D68" s="157" t="s">
        <v>256</v>
      </c>
      <c r="E68" s="159" t="s">
        <v>261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252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83.852630615234375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70.305259704589844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57.410526275634766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38.010524749755859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24.778947830200195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15.684209823608398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9.0105257034301758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6.2526321411132813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7.8315787315368652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14.70526123046875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34" workbookViewId="0">
      <selection activeCell="G43" sqref="G43"/>
    </sheetView>
  </sheetViews>
  <sheetFormatPr defaultColWidth="9.109375" defaultRowHeight="15"/>
  <cols>
    <col min="1" max="1" width="11.88671875" style="305" customWidth="1"/>
    <col min="2" max="2" width="6.109375" style="305" customWidth="1"/>
    <col min="3" max="3" width="7.44140625" style="305" customWidth="1"/>
    <col min="4" max="5" width="12.5546875" style="305" customWidth="1"/>
    <col min="6" max="6" width="9.44140625" style="305" customWidth="1"/>
    <col min="7" max="7" width="5.6640625" style="305" customWidth="1"/>
    <col min="8" max="8" width="7.88671875" style="305" customWidth="1"/>
    <col min="9" max="9" width="6.5546875" style="305" customWidth="1"/>
    <col min="10" max="11" width="12" style="305" customWidth="1"/>
    <col min="12" max="26" width="9.109375" style="160"/>
    <col min="27" max="16384" width="9.109375" style="161"/>
  </cols>
  <sheetData>
    <row r="1" spans="1:26" ht="20.25" customHeight="1">
      <c r="A1" s="476" t="s">
        <v>262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</row>
    <row r="2" spans="1:26" ht="20.25" customHeight="1">
      <c r="A2" s="477" t="s">
        <v>263</v>
      </c>
      <c r="B2" s="477"/>
      <c r="C2" s="477"/>
      <c r="D2" s="477"/>
      <c r="E2" s="477"/>
      <c r="F2" s="477"/>
      <c r="G2" s="477"/>
      <c r="H2" s="477"/>
      <c r="I2" s="477"/>
      <c r="J2" s="477"/>
      <c r="K2" s="477"/>
    </row>
    <row r="3" spans="1:26" ht="18.75" customHeight="1" thickBot="1">
      <c r="A3" s="162" t="s">
        <v>1</v>
      </c>
      <c r="B3" s="163" t="s">
        <v>372</v>
      </c>
      <c r="C3" s="164"/>
      <c r="D3" s="164"/>
      <c r="E3" s="164"/>
      <c r="F3" s="165"/>
      <c r="G3" s="164"/>
      <c r="H3" s="164"/>
      <c r="I3" s="162" t="s">
        <v>264</v>
      </c>
      <c r="J3" s="478" t="s">
        <v>637</v>
      </c>
      <c r="K3" s="478"/>
    </row>
    <row r="4" spans="1:26" s="174" customFormat="1" ht="18.45" customHeight="1" thickBot="1">
      <c r="A4" s="166" t="s">
        <v>638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/>
      <c r="M4" s="170"/>
      <c r="N4" s="170"/>
      <c r="O4" s="170"/>
      <c r="P4" s="170"/>
      <c r="Q4" s="171" t="s">
        <v>265</v>
      </c>
      <c r="R4" s="172"/>
      <c r="S4" s="170"/>
      <c r="T4" s="171" t="s">
        <v>266</v>
      </c>
      <c r="U4" s="173"/>
      <c r="V4" s="170"/>
      <c r="W4" s="170"/>
      <c r="X4" s="170"/>
      <c r="Y4" s="170"/>
      <c r="Z4" s="170"/>
    </row>
    <row r="5" spans="1:26" s="174" customFormat="1" ht="18.45" customHeight="1">
      <c r="A5" s="479" t="s">
        <v>267</v>
      </c>
      <c r="B5" s="480"/>
      <c r="C5" s="480"/>
      <c r="D5" s="175"/>
      <c r="E5" s="176"/>
      <c r="F5" s="177" t="s">
        <v>268</v>
      </c>
      <c r="G5" s="164"/>
      <c r="H5" s="164"/>
      <c r="I5" s="178"/>
      <c r="J5" s="179" t="s">
        <v>269</v>
      </c>
      <c r="K5" s="180" t="s">
        <v>270</v>
      </c>
      <c r="L5" s="170"/>
      <c r="M5" s="170"/>
      <c r="N5" s="170"/>
      <c r="O5" s="170"/>
      <c r="P5" s="170"/>
      <c r="Q5" s="181" t="s">
        <v>271</v>
      </c>
      <c r="R5" s="182"/>
      <c r="S5" s="170"/>
      <c r="T5" s="181" t="s">
        <v>272</v>
      </c>
      <c r="U5" s="183"/>
      <c r="V5" s="170"/>
      <c r="W5" s="170"/>
      <c r="X5" s="170"/>
      <c r="Y5" s="170"/>
      <c r="Z5" s="170"/>
    </row>
    <row r="6" spans="1:26" s="174" customFormat="1" ht="18.45" customHeight="1">
      <c r="A6" s="481" t="s">
        <v>67</v>
      </c>
      <c r="B6" s="482"/>
      <c r="C6" s="482"/>
      <c r="D6" s="483" t="s">
        <v>276</v>
      </c>
      <c r="E6" s="484"/>
      <c r="F6" s="411" t="s">
        <v>274</v>
      </c>
      <c r="G6" s="412"/>
      <c r="H6" s="412"/>
      <c r="I6" s="412"/>
      <c r="J6" s="412"/>
      <c r="K6" s="413"/>
      <c r="L6" s="170"/>
      <c r="M6" s="170"/>
      <c r="N6" s="170"/>
      <c r="O6" s="170"/>
      <c r="P6" s="170"/>
      <c r="Q6" s="181" t="s">
        <v>275</v>
      </c>
      <c r="R6" s="182"/>
      <c r="S6" s="170"/>
      <c r="T6" s="181" t="s">
        <v>276</v>
      </c>
      <c r="U6" s="183"/>
      <c r="V6" s="170"/>
      <c r="W6" s="170"/>
      <c r="X6" s="170"/>
      <c r="Y6" s="170"/>
      <c r="Z6" s="170"/>
    </row>
    <row r="7" spans="1:26" s="174" customFormat="1" ht="18.45" customHeight="1">
      <c r="A7" s="472" t="s">
        <v>20</v>
      </c>
      <c r="B7" s="473"/>
      <c r="C7" s="473"/>
      <c r="D7" s="474">
        <v>3.5</v>
      </c>
      <c r="E7" s="475"/>
      <c r="F7" s="184" t="s">
        <v>277</v>
      </c>
      <c r="G7" s="185"/>
      <c r="H7" s="186"/>
      <c r="I7" s="187"/>
      <c r="J7" s="188">
        <v>133</v>
      </c>
      <c r="K7" s="189" t="s">
        <v>174</v>
      </c>
      <c r="L7" s="170"/>
      <c r="M7" s="170"/>
      <c r="N7" s="170"/>
      <c r="O7" s="170"/>
      <c r="P7" s="170"/>
      <c r="Q7" s="181" t="s">
        <v>278</v>
      </c>
      <c r="R7" s="182"/>
      <c r="S7" s="170"/>
      <c r="T7" s="181" t="s">
        <v>273</v>
      </c>
      <c r="U7" s="183"/>
      <c r="V7" s="170"/>
      <c r="W7" s="170"/>
      <c r="X7" s="170"/>
      <c r="Y7" s="170"/>
      <c r="Z7" s="170"/>
    </row>
    <row r="8" spans="1:26" s="174" customFormat="1" ht="18.45" customHeight="1">
      <c r="A8" s="472" t="s">
        <v>279</v>
      </c>
      <c r="B8" s="473"/>
      <c r="C8" s="473"/>
      <c r="D8" s="458">
        <v>1100</v>
      </c>
      <c r="E8" s="454"/>
      <c r="F8" s="190" t="s">
        <v>280</v>
      </c>
      <c r="G8" s="191"/>
      <c r="H8" s="192"/>
      <c r="I8" s="193"/>
      <c r="J8" s="194">
        <v>50006</v>
      </c>
      <c r="K8" s="195" t="s">
        <v>174</v>
      </c>
      <c r="L8" s="170"/>
      <c r="M8" s="170"/>
      <c r="N8" s="170"/>
      <c r="O8" s="170"/>
      <c r="P8" s="170"/>
      <c r="Q8" s="181" t="s">
        <v>281</v>
      </c>
      <c r="R8" s="182"/>
      <c r="S8" s="170"/>
      <c r="T8" s="181" t="s">
        <v>282</v>
      </c>
      <c r="U8" s="183"/>
      <c r="V8" s="170"/>
      <c r="W8" s="170"/>
      <c r="X8" s="170"/>
      <c r="Y8" s="170"/>
      <c r="Z8" s="170"/>
    </row>
    <row r="9" spans="1:26" s="174" customFormat="1" ht="18.45" customHeight="1">
      <c r="A9" s="467" t="s">
        <v>283</v>
      </c>
      <c r="B9" s="468"/>
      <c r="C9" s="469"/>
      <c r="D9" s="458" t="s">
        <v>640</v>
      </c>
      <c r="E9" s="454"/>
      <c r="F9" s="184" t="s">
        <v>284</v>
      </c>
      <c r="G9" s="185"/>
      <c r="H9" s="196">
        <v>3</v>
      </c>
      <c r="I9" s="197" t="s">
        <v>285</v>
      </c>
      <c r="J9" s="198">
        <v>3725</v>
      </c>
      <c r="K9" s="195" t="s">
        <v>174</v>
      </c>
      <c r="L9" s="170"/>
      <c r="M9" s="170"/>
      <c r="N9" s="170"/>
      <c r="O9" s="170"/>
      <c r="P9" s="170"/>
      <c r="Q9" s="181" t="s">
        <v>286</v>
      </c>
      <c r="R9" s="182"/>
      <c r="S9" s="170"/>
      <c r="T9" s="181" t="s">
        <v>287</v>
      </c>
      <c r="U9" s="183"/>
      <c r="V9" s="170"/>
      <c r="W9" s="170"/>
      <c r="X9" s="170"/>
      <c r="Y9" s="170"/>
      <c r="Z9" s="170"/>
    </row>
    <row r="10" spans="1:26" s="174" customFormat="1" ht="18.45" customHeight="1" thickBot="1">
      <c r="A10" s="467" t="s">
        <v>288</v>
      </c>
      <c r="B10" s="468"/>
      <c r="C10" s="469"/>
      <c r="D10" s="441" t="s">
        <v>185</v>
      </c>
      <c r="E10" s="442"/>
      <c r="F10" s="184" t="s">
        <v>289</v>
      </c>
      <c r="G10" s="185"/>
      <c r="H10" s="196">
        <v>3</v>
      </c>
      <c r="I10" s="197" t="s">
        <v>285</v>
      </c>
      <c r="J10" s="198">
        <v>1150</v>
      </c>
      <c r="K10" s="195" t="s">
        <v>174</v>
      </c>
      <c r="L10" s="170"/>
      <c r="M10" s="170"/>
      <c r="N10" s="170"/>
      <c r="O10" s="170"/>
      <c r="P10" s="170"/>
      <c r="Q10" s="181" t="s">
        <v>290</v>
      </c>
      <c r="R10" s="182"/>
      <c r="S10" s="170"/>
      <c r="T10" s="199" t="s">
        <v>291</v>
      </c>
      <c r="U10" s="200"/>
      <c r="V10" s="170"/>
      <c r="W10" s="170"/>
      <c r="X10" s="170"/>
      <c r="Y10" s="170"/>
      <c r="Z10" s="170"/>
    </row>
    <row r="11" spans="1:26" s="174" customFormat="1" ht="18.45" customHeight="1" thickBot="1">
      <c r="A11" s="467" t="s">
        <v>292</v>
      </c>
      <c r="B11" s="468"/>
      <c r="C11" s="469"/>
      <c r="D11" s="436" t="s">
        <v>174</v>
      </c>
      <c r="E11" s="437"/>
      <c r="F11" s="201" t="s">
        <v>293</v>
      </c>
      <c r="G11" s="202"/>
      <c r="H11" s="203">
        <v>3</v>
      </c>
      <c r="I11" s="197" t="s">
        <v>285</v>
      </c>
      <c r="J11" s="204">
        <v>145247</v>
      </c>
      <c r="K11" s="205" t="s">
        <v>174</v>
      </c>
      <c r="L11" s="170"/>
      <c r="M11" s="170"/>
      <c r="N11" s="170"/>
      <c r="O11" s="170"/>
      <c r="P11" s="170"/>
      <c r="Q11" s="199" t="s">
        <v>294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45" customHeight="1">
      <c r="A12" s="207" t="s">
        <v>295</v>
      </c>
      <c r="C12" s="208"/>
      <c r="D12" s="470" t="s">
        <v>174</v>
      </c>
      <c r="E12" s="471"/>
      <c r="F12" s="438" t="s">
        <v>296</v>
      </c>
      <c r="G12" s="439"/>
      <c r="H12" s="439"/>
      <c r="I12" s="439"/>
      <c r="J12" s="439"/>
      <c r="K12" s="44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45" customHeight="1">
      <c r="A13" s="467" t="s">
        <v>53</v>
      </c>
      <c r="B13" s="468"/>
      <c r="C13" s="469"/>
      <c r="D13" s="461" t="s">
        <v>374</v>
      </c>
      <c r="E13" s="462"/>
      <c r="F13" s="209"/>
      <c r="G13" s="210" t="s">
        <v>297</v>
      </c>
      <c r="H13" s="211"/>
      <c r="I13" s="212" t="s">
        <v>298</v>
      </c>
      <c r="J13" s="213" t="s">
        <v>376</v>
      </c>
      <c r="K13" s="214" t="s">
        <v>174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4" customFormat="1" ht="18.45" customHeight="1">
      <c r="A14" s="467" t="s">
        <v>56</v>
      </c>
      <c r="B14" s="468"/>
      <c r="C14" s="469"/>
      <c r="D14" s="470">
        <v>1987</v>
      </c>
      <c r="E14" s="471"/>
      <c r="F14" s="209"/>
      <c r="G14" s="215" t="s">
        <v>10</v>
      </c>
      <c r="H14" s="216"/>
      <c r="I14" s="216"/>
      <c r="J14" s="198" t="s">
        <v>174</v>
      </c>
      <c r="K14" s="195" t="s">
        <v>174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s="174" customFormat="1" ht="18.45" customHeight="1">
      <c r="A15" s="455" t="s">
        <v>299</v>
      </c>
      <c r="B15" s="456"/>
      <c r="C15" s="457"/>
      <c r="D15" s="434">
        <v>14.984400749206543</v>
      </c>
      <c r="E15" s="435"/>
      <c r="F15" s="209"/>
      <c r="G15" s="215" t="s">
        <v>300</v>
      </c>
      <c r="H15" s="216"/>
      <c r="I15" s="216"/>
      <c r="J15" s="198" t="s">
        <v>174</v>
      </c>
      <c r="K15" s="195" t="s">
        <v>174</v>
      </c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s="174" customFormat="1" ht="18.45" customHeight="1">
      <c r="A16" s="431" t="s">
        <v>301</v>
      </c>
      <c r="B16" s="432"/>
      <c r="C16" s="433"/>
      <c r="D16" s="434">
        <v>3.7935991287231445</v>
      </c>
      <c r="E16" s="435"/>
      <c r="F16" s="217"/>
      <c r="G16" s="218" t="s">
        <v>17</v>
      </c>
      <c r="H16" s="219"/>
      <c r="I16" s="219"/>
      <c r="J16" s="204" t="s">
        <v>174</v>
      </c>
      <c r="K16" s="205" t="s">
        <v>174</v>
      </c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s="174" customFormat="1" ht="18.45" customHeight="1">
      <c r="A17" s="220" t="s">
        <v>302</v>
      </c>
      <c r="B17" s="221"/>
      <c r="C17" s="222"/>
      <c r="D17" s="436" t="s">
        <v>373</v>
      </c>
      <c r="E17" s="437"/>
      <c r="F17" s="438" t="s">
        <v>303</v>
      </c>
      <c r="G17" s="439"/>
      <c r="H17" s="439"/>
      <c r="I17" s="439"/>
      <c r="J17" s="439"/>
      <c r="K17" s="44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s="174" customFormat="1" ht="18.45" customHeight="1">
      <c r="A18" s="223" t="s">
        <v>304</v>
      </c>
      <c r="B18" s="224"/>
      <c r="C18" s="222"/>
      <c r="D18" s="441" t="s">
        <v>174</v>
      </c>
      <c r="E18" s="442"/>
      <c r="F18" s="443"/>
      <c r="G18" s="444"/>
      <c r="H18" s="225" t="s">
        <v>305</v>
      </c>
      <c r="I18" s="226"/>
      <c r="J18" s="194">
        <v>663</v>
      </c>
      <c r="K18" s="195"/>
      <c r="L18" s="170"/>
      <c r="M18" s="170">
        <f>J18*6.5</f>
        <v>4309.5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s="174" customFormat="1" ht="18.45" customHeight="1">
      <c r="A19" s="449" t="s">
        <v>306</v>
      </c>
      <c r="B19" s="450"/>
      <c r="C19" s="451"/>
      <c r="D19" s="452" t="s">
        <v>174</v>
      </c>
      <c r="E19" s="437"/>
      <c r="F19" s="445"/>
      <c r="G19" s="446"/>
      <c r="H19" s="225" t="s">
        <v>5</v>
      </c>
      <c r="I19" s="187"/>
      <c r="J19" s="194">
        <v>3587</v>
      </c>
      <c r="K19" s="195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s="174" customFormat="1" ht="18.45" customHeight="1" thickBot="1">
      <c r="A20" s="227" t="s">
        <v>307</v>
      </c>
      <c r="C20" s="228"/>
      <c r="D20" s="453" t="s">
        <v>184</v>
      </c>
      <c r="E20" s="454"/>
      <c r="F20" s="445"/>
      <c r="G20" s="446"/>
      <c r="H20" s="225" t="s">
        <v>308</v>
      </c>
      <c r="I20" s="187"/>
      <c r="J20" s="198" t="s">
        <v>355</v>
      </c>
      <c r="K20" s="19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45" customHeight="1" thickBot="1">
      <c r="A21" s="455" t="s">
        <v>309</v>
      </c>
      <c r="B21" s="456"/>
      <c r="C21" s="457"/>
      <c r="D21" s="458" t="s">
        <v>174</v>
      </c>
      <c r="E21" s="454"/>
      <c r="F21" s="445"/>
      <c r="G21" s="446"/>
      <c r="H21" s="229" t="s">
        <v>310</v>
      </c>
      <c r="I21" s="187"/>
      <c r="J21" s="198">
        <v>1.1499999999999999</v>
      </c>
      <c r="K21" s="195"/>
      <c r="L21" s="170"/>
      <c r="M21" s="170"/>
      <c r="N21" s="170"/>
      <c r="O21" s="170"/>
      <c r="P21" s="170"/>
      <c r="Q21" s="171" t="s">
        <v>311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45" customHeight="1">
      <c r="A22" s="223" t="s">
        <v>312</v>
      </c>
      <c r="B22" s="230"/>
      <c r="C22" s="230"/>
      <c r="D22" s="459">
        <v>5.2499999999999998E-2</v>
      </c>
      <c r="E22" s="460"/>
      <c r="F22" s="445"/>
      <c r="G22" s="446"/>
      <c r="H22" s="225" t="s">
        <v>269</v>
      </c>
      <c r="I22" s="187"/>
      <c r="J22" s="198" t="s">
        <v>643</v>
      </c>
      <c r="K22" s="195"/>
      <c r="L22" s="170"/>
      <c r="M22" s="170"/>
      <c r="N22" s="170"/>
      <c r="O22" s="170"/>
      <c r="P22" s="170"/>
      <c r="Q22" s="181" t="s">
        <v>313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45" customHeight="1">
      <c r="A23" s="231" t="s">
        <v>314</v>
      </c>
      <c r="B23" s="232" t="s">
        <v>315</v>
      </c>
      <c r="C23" s="233"/>
      <c r="D23" s="461">
        <v>1165</v>
      </c>
      <c r="E23" s="462"/>
      <c r="F23" s="445"/>
      <c r="G23" s="446"/>
      <c r="H23" s="234" t="s">
        <v>316</v>
      </c>
      <c r="I23" s="235"/>
      <c r="J23" s="236"/>
      <c r="K23" s="237"/>
      <c r="L23" s="170"/>
      <c r="Q23" s="181" t="s">
        <v>317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45" customHeight="1" thickBot="1">
      <c r="A24" s="238" t="s">
        <v>318</v>
      </c>
      <c r="B24" s="239" t="s">
        <v>319</v>
      </c>
      <c r="C24" s="240"/>
      <c r="D24" s="463" t="s">
        <v>174</v>
      </c>
      <c r="E24" s="464"/>
      <c r="F24" s="445"/>
      <c r="G24" s="446"/>
      <c r="H24" s="225" t="s">
        <v>320</v>
      </c>
      <c r="I24" s="208"/>
      <c r="J24" s="241"/>
      <c r="K24" s="242"/>
      <c r="Q24" s="243" t="s">
        <v>174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45" customHeight="1">
      <c r="A25" s="245" t="s">
        <v>321</v>
      </c>
      <c r="B25" s="246"/>
      <c r="C25" s="246"/>
      <c r="D25" s="247"/>
      <c r="E25" s="247" t="s">
        <v>322</v>
      </c>
      <c r="F25" s="445"/>
      <c r="G25" s="446"/>
      <c r="H25" s="225" t="s">
        <v>323</v>
      </c>
      <c r="I25" s="208"/>
      <c r="J25" s="248"/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45" customHeight="1">
      <c r="A26" s="249" t="s">
        <v>324</v>
      </c>
      <c r="B26" s="250"/>
      <c r="C26" s="251"/>
      <c r="D26" s="252" t="s">
        <v>377</v>
      </c>
      <c r="E26" s="252" t="s">
        <v>378</v>
      </c>
      <c r="F26" s="447"/>
      <c r="G26" s="448"/>
      <c r="H26" s="465"/>
      <c r="I26" s="466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45" customHeight="1">
      <c r="A27" s="409" t="s">
        <v>325</v>
      </c>
      <c r="B27" s="410"/>
      <c r="C27" s="410"/>
      <c r="D27" s="410"/>
      <c r="E27" s="410"/>
      <c r="F27" s="411" t="s">
        <v>326</v>
      </c>
      <c r="G27" s="412"/>
      <c r="H27" s="412"/>
      <c r="I27" s="412"/>
      <c r="J27" s="412"/>
      <c r="K27" s="413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45" customHeight="1">
      <c r="A28" s="416"/>
      <c r="B28" s="417"/>
      <c r="C28" s="417"/>
      <c r="D28" s="417"/>
      <c r="E28" s="418"/>
      <c r="F28" s="255"/>
      <c r="G28" s="256"/>
      <c r="H28" s="215" t="s">
        <v>327</v>
      </c>
      <c r="I28" s="257" t="s">
        <v>375</v>
      </c>
      <c r="J28" s="194">
        <v>4112</v>
      </c>
      <c r="K28" s="258" t="s">
        <v>174</v>
      </c>
      <c r="M28" s="174">
        <f>(J28/J18)*100</f>
        <v>620.21116138763205</v>
      </c>
      <c r="N28" s="259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45" customHeight="1">
      <c r="A29" s="416"/>
      <c r="B29" s="417"/>
      <c r="C29" s="417"/>
      <c r="D29" s="417"/>
      <c r="E29" s="418"/>
      <c r="F29" s="260"/>
      <c r="G29" s="261"/>
      <c r="H29" s="215" t="s">
        <v>328</v>
      </c>
      <c r="I29" s="262">
        <v>60</v>
      </c>
      <c r="J29" s="194">
        <v>159</v>
      </c>
      <c r="K29" s="189" t="s">
        <v>174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45" customHeight="1">
      <c r="A30" s="416"/>
      <c r="B30" s="417"/>
      <c r="C30" s="417"/>
      <c r="D30" s="417"/>
      <c r="E30" s="418"/>
      <c r="F30" s="260"/>
      <c r="G30" s="261"/>
      <c r="H30" s="215" t="s">
        <v>329</v>
      </c>
      <c r="I30" s="262">
        <v>175</v>
      </c>
      <c r="J30" s="194">
        <v>236</v>
      </c>
      <c r="K30" s="189" t="s">
        <v>174</v>
      </c>
      <c r="L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45" customHeight="1">
      <c r="A31" s="416"/>
      <c r="B31" s="417"/>
      <c r="C31" s="417"/>
      <c r="D31" s="417"/>
      <c r="E31" s="418"/>
      <c r="F31" s="260"/>
      <c r="G31" s="261"/>
      <c r="H31" s="215" t="s">
        <v>330</v>
      </c>
      <c r="I31" s="216"/>
      <c r="J31" s="263">
        <v>0.36</v>
      </c>
      <c r="K31" s="189" t="s">
        <v>174</v>
      </c>
      <c r="L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45" customHeight="1">
      <c r="A32" s="419"/>
      <c r="B32" s="420"/>
      <c r="C32" s="420"/>
      <c r="D32" s="420"/>
      <c r="E32" s="421"/>
      <c r="F32" s="260"/>
      <c r="G32" s="264" t="s">
        <v>331</v>
      </c>
      <c r="H32" s="215" t="s">
        <v>332</v>
      </c>
      <c r="I32" s="265"/>
      <c r="J32" s="188">
        <v>97</v>
      </c>
      <c r="K32" s="189" t="s">
        <v>174</v>
      </c>
      <c r="L32" s="170"/>
      <c r="N32" s="266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45" customHeight="1">
      <c r="A33" s="409" t="s">
        <v>333</v>
      </c>
      <c r="B33" s="410"/>
      <c r="C33" s="410"/>
      <c r="D33" s="410"/>
      <c r="E33" s="422"/>
      <c r="F33" s="267"/>
      <c r="G33" s="268"/>
      <c r="H33" s="269" t="s">
        <v>334</v>
      </c>
      <c r="I33" s="270"/>
      <c r="J33" s="271">
        <v>92.2</v>
      </c>
      <c r="K33" s="258" t="s">
        <v>174</v>
      </c>
      <c r="L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45" customHeight="1">
      <c r="A34" s="416"/>
      <c r="B34" s="417"/>
      <c r="C34" s="417"/>
      <c r="D34" s="417"/>
      <c r="E34" s="418"/>
      <c r="F34" s="190" t="s">
        <v>335</v>
      </c>
      <c r="G34" s="272"/>
      <c r="H34" s="273" t="s">
        <v>14</v>
      </c>
      <c r="I34" s="274"/>
      <c r="J34" s="275">
        <v>27322</v>
      </c>
      <c r="K34" s="258" t="s">
        <v>174</v>
      </c>
      <c r="L34" s="276"/>
      <c r="M34" s="277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45" customHeight="1">
      <c r="A35" s="416"/>
      <c r="B35" s="417"/>
      <c r="C35" s="417"/>
      <c r="D35" s="417"/>
      <c r="E35" s="418"/>
      <c r="F35" s="209"/>
      <c r="G35" s="278"/>
      <c r="H35" s="279" t="s">
        <v>15</v>
      </c>
      <c r="I35" s="280"/>
      <c r="J35" s="194">
        <v>14756</v>
      </c>
      <c r="K35" s="258" t="s">
        <v>174</v>
      </c>
      <c r="M35" s="277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45" customHeight="1">
      <c r="A36" s="416"/>
      <c r="B36" s="417"/>
      <c r="C36" s="417"/>
      <c r="D36" s="417"/>
      <c r="E36" s="418"/>
      <c r="F36" s="209"/>
      <c r="G36" s="278"/>
      <c r="H36" s="279" t="s">
        <v>336</v>
      </c>
      <c r="I36" s="280"/>
      <c r="J36" s="194">
        <v>20728</v>
      </c>
      <c r="K36" s="258" t="s">
        <v>174</v>
      </c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45" customHeight="1">
      <c r="A37" s="416"/>
      <c r="B37" s="417"/>
      <c r="C37" s="417"/>
      <c r="D37" s="417"/>
      <c r="E37" s="418"/>
      <c r="F37" s="260"/>
      <c r="G37" s="278"/>
      <c r="H37" s="279" t="s">
        <v>337</v>
      </c>
      <c r="I37" s="280"/>
      <c r="J37" s="194">
        <v>28349</v>
      </c>
      <c r="K37" s="281" t="s">
        <v>174</v>
      </c>
      <c r="M37" s="282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45" customHeight="1">
      <c r="A38" s="419"/>
      <c r="B38" s="420"/>
      <c r="C38" s="420"/>
      <c r="D38" s="420"/>
      <c r="E38" s="421"/>
      <c r="F38" s="217"/>
      <c r="G38" s="283"/>
      <c r="H38" s="284" t="s">
        <v>338</v>
      </c>
      <c r="I38" s="285"/>
      <c r="J38" s="286">
        <v>36927</v>
      </c>
      <c r="K38" s="258" t="s">
        <v>174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45" customHeight="1">
      <c r="A39" s="409" t="s">
        <v>339</v>
      </c>
      <c r="B39" s="410"/>
      <c r="C39" s="410"/>
      <c r="D39" s="410"/>
      <c r="E39" s="410"/>
      <c r="F39" s="287" t="s">
        <v>340</v>
      </c>
      <c r="G39" s="288"/>
      <c r="H39" s="288"/>
      <c r="I39" s="288"/>
      <c r="J39" s="288"/>
      <c r="K39" s="289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45" customHeight="1">
      <c r="A40" s="423"/>
      <c r="B40" s="424"/>
      <c r="C40" s="424"/>
      <c r="D40" s="424"/>
      <c r="E40" s="425"/>
      <c r="F40" s="290"/>
      <c r="G40" s="291" t="s">
        <v>642</v>
      </c>
      <c r="H40" s="291"/>
      <c r="I40" s="291"/>
      <c r="J40" s="291"/>
      <c r="K40" s="292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45" customHeight="1">
      <c r="A41" s="423"/>
      <c r="B41" s="424"/>
      <c r="C41" s="424"/>
      <c r="D41" s="424"/>
      <c r="E41" s="425"/>
      <c r="F41" s="290" t="s">
        <v>647</v>
      </c>
      <c r="G41" s="291" t="s">
        <v>648</v>
      </c>
      <c r="H41" s="291"/>
      <c r="I41" s="291"/>
      <c r="J41" s="291"/>
      <c r="K41" s="292"/>
      <c r="L41" s="295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45" customHeight="1">
      <c r="A42" s="423"/>
      <c r="B42" s="424"/>
      <c r="C42" s="424"/>
      <c r="D42" s="424"/>
      <c r="E42" s="425"/>
      <c r="F42" s="290"/>
      <c r="G42" s="174" t="s">
        <v>649</v>
      </c>
      <c r="H42" s="293"/>
      <c r="I42" s="293"/>
      <c r="J42" s="293"/>
      <c r="K42" s="294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45" customHeight="1">
      <c r="A43" s="423"/>
      <c r="B43" s="424"/>
      <c r="C43" s="424"/>
      <c r="D43" s="424"/>
      <c r="E43" s="425"/>
      <c r="F43" s="290"/>
      <c r="G43" s="293"/>
      <c r="H43" s="293"/>
      <c r="I43" s="293"/>
      <c r="J43" s="293"/>
      <c r="K43" s="294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426"/>
      <c r="B44" s="427"/>
      <c r="C44" s="427"/>
      <c r="D44" s="427"/>
      <c r="E44" s="428"/>
      <c r="F44" s="290"/>
      <c r="G44" s="293"/>
      <c r="H44" s="293"/>
      <c r="I44" s="293"/>
      <c r="J44" s="293"/>
      <c r="K44" s="294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296" t="s">
        <v>341</v>
      </c>
      <c r="B45" s="429" t="s">
        <v>645</v>
      </c>
      <c r="C45" s="430"/>
      <c r="D45" s="297" t="s">
        <v>342</v>
      </c>
      <c r="E45" s="408" t="s">
        <v>641</v>
      </c>
      <c r="F45" s="298"/>
      <c r="G45" s="293"/>
      <c r="H45" s="293"/>
      <c r="I45" s="293"/>
      <c r="J45" s="293"/>
      <c r="K45" s="294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299" t="s">
        <v>343</v>
      </c>
      <c r="B46" s="414">
        <v>41873</v>
      </c>
      <c r="C46" s="415"/>
      <c r="D46" s="300" t="s">
        <v>343</v>
      </c>
      <c r="E46" s="301">
        <v>41871</v>
      </c>
      <c r="F46" s="302"/>
      <c r="G46" s="303"/>
      <c r="H46" s="303"/>
      <c r="I46" s="303"/>
      <c r="J46" s="303"/>
      <c r="K46" s="304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5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/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09375" defaultRowHeight="13.2"/>
  <cols>
    <col min="1" max="1" width="9.109375" style="311" customWidth="1"/>
    <col min="2" max="2" width="18.109375" style="311" customWidth="1"/>
    <col min="3" max="3" width="21.5546875" style="311" customWidth="1"/>
    <col min="4" max="4" width="21.33203125" style="311" bestFit="1" customWidth="1"/>
    <col min="5" max="5" width="6.88671875" style="311" bestFit="1" customWidth="1"/>
    <col min="6" max="6" width="29.88671875" style="311" customWidth="1"/>
    <col min="7" max="7" width="43.6640625" style="311" customWidth="1"/>
    <col min="8" max="8" width="17.109375" style="311" customWidth="1"/>
    <col min="9" max="9" width="7.88671875" style="311" customWidth="1"/>
    <col min="10" max="10" width="2.33203125" style="311" bestFit="1" customWidth="1"/>
    <col min="11" max="12" width="2.33203125" style="311" customWidth="1"/>
    <col min="13" max="13" width="2.5546875" style="311" bestFit="1" customWidth="1"/>
    <col min="14" max="14" width="2.33203125" style="311" bestFit="1" customWidth="1"/>
    <col min="15" max="16384" width="9.10937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344</v>
      </c>
      <c r="K1" s="310" t="s">
        <v>345</v>
      </c>
      <c r="L1" s="310" t="s">
        <v>346</v>
      </c>
      <c r="M1" s="310" t="s">
        <v>345</v>
      </c>
      <c r="N1" s="310"/>
    </row>
    <row r="2" spans="2:14" ht="12.75" customHeight="1">
      <c r="B2" s="509" t="s">
        <v>347</v>
      </c>
      <c r="C2" s="510"/>
      <c r="D2" s="510"/>
      <c r="E2" s="510"/>
      <c r="F2" s="510"/>
      <c r="G2" s="510"/>
      <c r="H2" s="312"/>
      <c r="I2" s="313"/>
      <c r="J2" s="314" t="s">
        <v>348</v>
      </c>
      <c r="K2" s="314" t="s">
        <v>349</v>
      </c>
      <c r="L2" s="314" t="s">
        <v>350</v>
      </c>
      <c r="M2" s="314" t="s">
        <v>351</v>
      </c>
      <c r="N2" s="314" t="s">
        <v>352</v>
      </c>
    </row>
    <row r="3" spans="2:14" ht="12.75" customHeight="1">
      <c r="B3" s="509"/>
      <c r="C3" s="510"/>
      <c r="D3" s="510"/>
      <c r="E3" s="510"/>
      <c r="F3" s="510"/>
      <c r="G3" s="510"/>
      <c r="H3" s="312"/>
      <c r="I3" s="313"/>
      <c r="J3" s="314" t="s">
        <v>353</v>
      </c>
      <c r="K3" s="314"/>
      <c r="L3" s="314" t="s">
        <v>354</v>
      </c>
      <c r="M3" s="314" t="s">
        <v>344</v>
      </c>
      <c r="N3" s="314"/>
    </row>
    <row r="4" spans="2:14" ht="12.75" customHeight="1">
      <c r="B4" s="509"/>
      <c r="C4" s="510"/>
      <c r="D4" s="510"/>
      <c r="E4" s="510"/>
      <c r="F4" s="510"/>
      <c r="G4" s="510"/>
      <c r="H4" s="312"/>
      <c r="I4" s="313"/>
      <c r="J4" s="314" t="s">
        <v>355</v>
      </c>
      <c r="K4" s="314"/>
      <c r="L4" s="314" t="s">
        <v>350</v>
      </c>
      <c r="M4" s="314" t="s">
        <v>348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356</v>
      </c>
      <c r="L5" s="314" t="s">
        <v>345</v>
      </c>
      <c r="M5" s="314"/>
      <c r="N5" s="314" t="s">
        <v>350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349</v>
      </c>
      <c r="K6" s="314" t="s">
        <v>357</v>
      </c>
      <c r="L6" s="314"/>
      <c r="M6" s="314" t="s">
        <v>345</v>
      </c>
      <c r="N6" s="314" t="s">
        <v>358</v>
      </c>
    </row>
    <row r="7" spans="2:14" ht="12.75" customHeight="1">
      <c r="B7" s="317"/>
      <c r="D7" s="320"/>
      <c r="H7" s="319"/>
      <c r="I7" s="313"/>
      <c r="J7" s="314" t="s">
        <v>359</v>
      </c>
      <c r="K7" s="314" t="s">
        <v>353</v>
      </c>
      <c r="L7" s="314" t="s">
        <v>353</v>
      </c>
      <c r="M7" s="314" t="s">
        <v>348</v>
      </c>
      <c r="N7" s="314" t="s">
        <v>360</v>
      </c>
    </row>
    <row r="8" spans="2:14" ht="12.75" customHeight="1">
      <c r="B8" s="317"/>
      <c r="G8" s="320"/>
      <c r="H8" s="321"/>
      <c r="I8" s="314" t="s">
        <v>360</v>
      </c>
      <c r="J8" s="314" t="s">
        <v>345</v>
      </c>
      <c r="K8" s="314" t="s">
        <v>361</v>
      </c>
      <c r="L8" s="314" t="s">
        <v>348</v>
      </c>
      <c r="M8" s="314" t="s">
        <v>360</v>
      </c>
      <c r="N8" s="314" t="s">
        <v>357</v>
      </c>
    </row>
    <row r="9" spans="2:14">
      <c r="B9" s="314" t="s">
        <v>362</v>
      </c>
      <c r="C9" s="321" t="s">
        <v>363</v>
      </c>
      <c r="D9" s="321" t="s">
        <v>364</v>
      </c>
      <c r="E9" s="321" t="s">
        <v>365</v>
      </c>
      <c r="F9" s="314" t="s">
        <v>366</v>
      </c>
      <c r="G9" s="314" t="s">
        <v>367</v>
      </c>
      <c r="H9" s="314" t="s">
        <v>368</v>
      </c>
      <c r="I9" s="314" t="s">
        <v>355</v>
      </c>
      <c r="J9" s="314" t="s">
        <v>359</v>
      </c>
      <c r="K9" s="314" t="s">
        <v>348</v>
      </c>
      <c r="L9" s="314" t="s">
        <v>361</v>
      </c>
      <c r="M9" s="314" t="s">
        <v>345</v>
      </c>
      <c r="N9" s="314" t="s">
        <v>346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511" t="s">
        <v>369</v>
      </c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</row>
    <row r="54" spans="2:14" ht="15" customHeight="1" thickBot="1">
      <c r="B54" s="336" t="s">
        <v>370</v>
      </c>
      <c r="C54" s="512" t="s">
        <v>367</v>
      </c>
      <c r="D54" s="513"/>
      <c r="E54" s="513"/>
      <c r="F54" s="513"/>
      <c r="G54" s="513"/>
      <c r="H54" s="337"/>
      <c r="I54" s="512" t="s">
        <v>362</v>
      </c>
      <c r="J54" s="513"/>
      <c r="K54" s="514"/>
      <c r="L54" s="512" t="s">
        <v>371</v>
      </c>
      <c r="M54" s="513"/>
      <c r="N54" s="515"/>
    </row>
    <row r="55" spans="2:14" ht="15" customHeight="1">
      <c r="B55" s="338"/>
      <c r="C55" s="501"/>
      <c r="D55" s="502"/>
      <c r="E55" s="502"/>
      <c r="F55" s="502"/>
      <c r="G55" s="502"/>
      <c r="H55" s="339"/>
      <c r="I55" s="503"/>
      <c r="J55" s="504"/>
      <c r="K55" s="505"/>
      <c r="L55" s="506"/>
      <c r="M55" s="507"/>
      <c r="N55" s="508"/>
    </row>
    <row r="56" spans="2:14" ht="15" customHeight="1">
      <c r="B56" s="340"/>
      <c r="C56" s="485"/>
      <c r="D56" s="486"/>
      <c r="E56" s="486"/>
      <c r="F56" s="486"/>
      <c r="G56" s="486"/>
      <c r="H56" s="341"/>
      <c r="I56" s="487"/>
      <c r="J56" s="488"/>
      <c r="K56" s="489"/>
      <c r="L56" s="490"/>
      <c r="M56" s="491"/>
      <c r="N56" s="492"/>
    </row>
    <row r="57" spans="2:14" ht="15" customHeight="1">
      <c r="B57" s="340"/>
      <c r="C57" s="485"/>
      <c r="D57" s="486"/>
      <c r="E57" s="486"/>
      <c r="F57" s="486"/>
      <c r="G57" s="486"/>
      <c r="H57" s="341"/>
      <c r="I57" s="487"/>
      <c r="J57" s="488"/>
      <c r="K57" s="489"/>
      <c r="L57" s="490"/>
      <c r="M57" s="491"/>
      <c r="N57" s="492"/>
    </row>
    <row r="58" spans="2:14" ht="15" customHeight="1">
      <c r="B58" s="340"/>
      <c r="C58" s="485"/>
      <c r="D58" s="486"/>
      <c r="E58" s="486"/>
      <c r="F58" s="486"/>
      <c r="G58" s="486"/>
      <c r="H58" s="341"/>
      <c r="I58" s="487"/>
      <c r="J58" s="488"/>
      <c r="K58" s="489"/>
      <c r="L58" s="490"/>
      <c r="M58" s="491"/>
      <c r="N58" s="492"/>
    </row>
    <row r="59" spans="2:14" ht="15" customHeight="1">
      <c r="B59" s="340"/>
      <c r="C59" s="485"/>
      <c r="D59" s="486"/>
      <c r="E59" s="486"/>
      <c r="F59" s="486"/>
      <c r="G59" s="486"/>
      <c r="H59" s="341"/>
      <c r="I59" s="487"/>
      <c r="J59" s="488"/>
      <c r="K59" s="489"/>
      <c r="L59" s="490"/>
      <c r="M59" s="491"/>
      <c r="N59" s="492"/>
    </row>
    <row r="60" spans="2:14" ht="15" customHeight="1">
      <c r="B60" s="340"/>
      <c r="C60" s="485"/>
      <c r="D60" s="486"/>
      <c r="E60" s="486"/>
      <c r="F60" s="486"/>
      <c r="G60" s="486"/>
      <c r="H60" s="341"/>
      <c r="I60" s="487"/>
      <c r="J60" s="488"/>
      <c r="K60" s="489"/>
      <c r="L60" s="490"/>
      <c r="M60" s="491"/>
      <c r="N60" s="492"/>
    </row>
    <row r="61" spans="2:14" ht="15" customHeight="1">
      <c r="B61" s="340"/>
      <c r="C61" s="485"/>
      <c r="D61" s="486"/>
      <c r="E61" s="486"/>
      <c r="F61" s="486"/>
      <c r="G61" s="486"/>
      <c r="H61" s="341"/>
      <c r="I61" s="487"/>
      <c r="J61" s="488"/>
      <c r="K61" s="489"/>
      <c r="L61" s="490"/>
      <c r="M61" s="491"/>
      <c r="N61" s="492"/>
    </row>
    <row r="62" spans="2:14" ht="15" customHeight="1">
      <c r="B62" s="340"/>
      <c r="C62" s="485"/>
      <c r="D62" s="486"/>
      <c r="E62" s="486"/>
      <c r="F62" s="486"/>
      <c r="G62" s="486"/>
      <c r="H62" s="341"/>
      <c r="I62" s="487"/>
      <c r="J62" s="488"/>
      <c r="K62" s="489"/>
      <c r="L62" s="490"/>
      <c r="M62" s="491"/>
      <c r="N62" s="492"/>
    </row>
    <row r="63" spans="2:14" ht="15" customHeight="1">
      <c r="B63" s="340"/>
      <c r="C63" s="485"/>
      <c r="D63" s="486"/>
      <c r="E63" s="486"/>
      <c r="F63" s="486"/>
      <c r="G63" s="486"/>
      <c r="H63" s="341"/>
      <c r="I63" s="487"/>
      <c r="J63" s="488"/>
      <c r="K63" s="489"/>
      <c r="L63" s="490"/>
      <c r="M63" s="491"/>
      <c r="N63" s="492"/>
    </row>
    <row r="64" spans="2:14" ht="15" customHeight="1">
      <c r="B64" s="340"/>
      <c r="C64" s="485"/>
      <c r="D64" s="486"/>
      <c r="E64" s="486"/>
      <c r="F64" s="486"/>
      <c r="G64" s="486"/>
      <c r="H64" s="341"/>
      <c r="I64" s="487"/>
      <c r="J64" s="488"/>
      <c r="K64" s="489"/>
      <c r="L64" s="490"/>
      <c r="M64" s="491"/>
      <c r="N64" s="492"/>
    </row>
    <row r="65" spans="2:14" ht="15" customHeight="1">
      <c r="B65" s="340"/>
      <c r="C65" s="485"/>
      <c r="D65" s="486"/>
      <c r="E65" s="486"/>
      <c r="F65" s="486"/>
      <c r="G65" s="486"/>
      <c r="H65" s="341"/>
      <c r="I65" s="487"/>
      <c r="J65" s="488"/>
      <c r="K65" s="489"/>
      <c r="L65" s="490"/>
      <c r="M65" s="491"/>
      <c r="N65" s="492"/>
    </row>
    <row r="66" spans="2:14" ht="15" customHeight="1">
      <c r="B66" s="340"/>
      <c r="C66" s="485"/>
      <c r="D66" s="486"/>
      <c r="E66" s="486"/>
      <c r="F66" s="486"/>
      <c r="G66" s="486"/>
      <c r="H66" s="341"/>
      <c r="I66" s="487"/>
      <c r="J66" s="488"/>
      <c r="K66" s="489"/>
      <c r="L66" s="490"/>
      <c r="M66" s="491"/>
      <c r="N66" s="492"/>
    </row>
    <row r="67" spans="2:14" ht="15" customHeight="1">
      <c r="B67" s="340"/>
      <c r="C67" s="485"/>
      <c r="D67" s="486"/>
      <c r="E67" s="486"/>
      <c r="F67" s="486"/>
      <c r="G67" s="486"/>
      <c r="H67" s="341"/>
      <c r="I67" s="487"/>
      <c r="J67" s="488"/>
      <c r="K67" s="489"/>
      <c r="L67" s="490"/>
      <c r="M67" s="491"/>
      <c r="N67" s="492"/>
    </row>
    <row r="68" spans="2:14" ht="15" customHeight="1">
      <c r="B68" s="340"/>
      <c r="C68" s="485"/>
      <c r="D68" s="486"/>
      <c r="E68" s="486"/>
      <c r="F68" s="486"/>
      <c r="G68" s="486"/>
      <c r="H68" s="341"/>
      <c r="I68" s="487"/>
      <c r="J68" s="488"/>
      <c r="K68" s="489"/>
      <c r="L68" s="490"/>
      <c r="M68" s="491"/>
      <c r="N68" s="492"/>
    </row>
    <row r="69" spans="2:14" ht="15" customHeight="1">
      <c r="B69" s="340"/>
      <c r="C69" s="485"/>
      <c r="D69" s="486"/>
      <c r="E69" s="486"/>
      <c r="F69" s="486"/>
      <c r="G69" s="486"/>
      <c r="H69" s="341"/>
      <c r="I69" s="487"/>
      <c r="J69" s="488"/>
      <c r="K69" s="489"/>
      <c r="L69" s="490"/>
      <c r="M69" s="491"/>
      <c r="N69" s="492"/>
    </row>
    <row r="70" spans="2:14" ht="15" customHeight="1">
      <c r="B70" s="340"/>
      <c r="C70" s="485"/>
      <c r="D70" s="486"/>
      <c r="E70" s="486"/>
      <c r="F70" s="486"/>
      <c r="G70" s="486"/>
      <c r="H70" s="341"/>
      <c r="I70" s="487"/>
      <c r="J70" s="488"/>
      <c r="K70" s="489"/>
      <c r="L70" s="490"/>
      <c r="M70" s="491"/>
      <c r="N70" s="492"/>
    </row>
    <row r="71" spans="2:14" ht="15" customHeight="1">
      <c r="B71" s="340"/>
      <c r="C71" s="485"/>
      <c r="D71" s="486"/>
      <c r="E71" s="486"/>
      <c r="F71" s="486"/>
      <c r="G71" s="486"/>
      <c r="H71" s="341"/>
      <c r="I71" s="487"/>
      <c r="J71" s="488"/>
      <c r="K71" s="489"/>
      <c r="L71" s="490"/>
      <c r="M71" s="491"/>
      <c r="N71" s="492"/>
    </row>
    <row r="72" spans="2:14">
      <c r="B72" s="340"/>
      <c r="C72" s="485"/>
      <c r="D72" s="486"/>
      <c r="E72" s="486"/>
      <c r="F72" s="486"/>
      <c r="G72" s="486"/>
      <c r="H72" s="341"/>
      <c r="I72" s="487"/>
      <c r="J72" s="488"/>
      <c r="K72" s="489"/>
      <c r="L72" s="490"/>
      <c r="M72" s="491"/>
      <c r="N72" s="492"/>
    </row>
    <row r="73" spans="2:14">
      <c r="B73" s="340"/>
      <c r="C73" s="485"/>
      <c r="D73" s="486"/>
      <c r="E73" s="486"/>
      <c r="F73" s="486"/>
      <c r="G73" s="486"/>
      <c r="H73" s="341"/>
      <c r="I73" s="487"/>
      <c r="J73" s="488"/>
      <c r="K73" s="489"/>
      <c r="L73" s="490"/>
      <c r="M73" s="491"/>
      <c r="N73" s="492"/>
    </row>
    <row r="74" spans="2:14">
      <c r="B74" s="340"/>
      <c r="C74" s="485"/>
      <c r="D74" s="486"/>
      <c r="E74" s="486"/>
      <c r="F74" s="486"/>
      <c r="G74" s="486"/>
      <c r="H74" s="341"/>
      <c r="I74" s="487"/>
      <c r="J74" s="488"/>
      <c r="K74" s="489"/>
      <c r="L74" s="490"/>
      <c r="M74" s="491"/>
      <c r="N74" s="492"/>
    </row>
    <row r="75" spans="2:14">
      <c r="B75" s="340"/>
      <c r="C75" s="485"/>
      <c r="D75" s="486"/>
      <c r="E75" s="486"/>
      <c r="F75" s="486"/>
      <c r="G75" s="486"/>
      <c r="H75" s="341"/>
      <c r="I75" s="487"/>
      <c r="J75" s="488"/>
      <c r="K75" s="489"/>
      <c r="L75" s="490"/>
      <c r="M75" s="491"/>
      <c r="N75" s="492"/>
    </row>
    <row r="76" spans="2:14">
      <c r="B76" s="340"/>
      <c r="C76" s="485"/>
      <c r="D76" s="486"/>
      <c r="E76" s="486"/>
      <c r="F76" s="486"/>
      <c r="G76" s="486"/>
      <c r="H76" s="341"/>
      <c r="I76" s="487"/>
      <c r="J76" s="488"/>
      <c r="K76" s="489"/>
      <c r="L76" s="490"/>
      <c r="M76" s="491"/>
      <c r="N76" s="492"/>
    </row>
    <row r="77" spans="2:14">
      <c r="B77" s="340"/>
      <c r="C77" s="485"/>
      <c r="D77" s="486"/>
      <c r="E77" s="486"/>
      <c r="F77" s="486"/>
      <c r="G77" s="486"/>
      <c r="H77" s="341"/>
      <c r="I77" s="487"/>
      <c r="J77" s="488"/>
      <c r="K77" s="489"/>
      <c r="L77" s="490"/>
      <c r="M77" s="491"/>
      <c r="N77" s="492"/>
    </row>
    <row r="78" spans="2:14">
      <c r="B78" s="340"/>
      <c r="C78" s="485"/>
      <c r="D78" s="486"/>
      <c r="E78" s="486"/>
      <c r="F78" s="486"/>
      <c r="G78" s="486"/>
      <c r="H78" s="341"/>
      <c r="I78" s="487"/>
      <c r="J78" s="488"/>
      <c r="K78" s="489"/>
      <c r="L78" s="490"/>
      <c r="M78" s="491"/>
      <c r="N78" s="492"/>
    </row>
    <row r="79" spans="2:14" ht="13.8" thickBot="1">
      <c r="B79" s="342"/>
      <c r="C79" s="493"/>
      <c r="D79" s="494"/>
      <c r="E79" s="494"/>
      <c r="F79" s="494"/>
      <c r="G79" s="494"/>
      <c r="H79" s="343"/>
      <c r="I79" s="495"/>
      <c r="J79" s="496"/>
      <c r="K79" s="497"/>
      <c r="L79" s="498"/>
      <c r="M79" s="499"/>
      <c r="N79" s="500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sqref="A1:F1"/>
    </sheetView>
  </sheetViews>
  <sheetFormatPr defaultColWidth="9.109375" defaultRowHeight="13.2"/>
  <cols>
    <col min="1" max="6" width="14.6640625" style="344" customWidth="1"/>
    <col min="7" max="16384" width="9.109375" style="344"/>
  </cols>
  <sheetData>
    <row r="1" spans="1:7" ht="20.399999999999999">
      <c r="A1" s="536" t="s">
        <v>379</v>
      </c>
      <c r="B1" s="536"/>
      <c r="C1" s="536"/>
      <c r="D1" s="536"/>
      <c r="E1" s="536"/>
      <c r="F1" s="536"/>
    </row>
    <row r="2" spans="1:7" ht="18" thickBot="1">
      <c r="A2" s="345"/>
      <c r="B2" s="345"/>
      <c r="C2" s="537" t="s">
        <v>391</v>
      </c>
      <c r="D2" s="537"/>
      <c r="E2" s="345"/>
      <c r="F2" s="345"/>
      <c r="G2" s="345"/>
    </row>
    <row r="3" spans="1:7" ht="18">
      <c r="A3" s="524" t="s">
        <v>380</v>
      </c>
      <c r="B3" s="525"/>
      <c r="C3" s="526"/>
      <c r="D3" s="524" t="s">
        <v>381</v>
      </c>
      <c r="E3" s="525"/>
      <c r="F3" s="526"/>
      <c r="G3" s="345"/>
    </row>
    <row r="4" spans="1:7" ht="16.2">
      <c r="A4" s="346" t="s">
        <v>392</v>
      </c>
      <c r="B4" s="538" t="s">
        <v>394</v>
      </c>
      <c r="C4" s="531"/>
      <c r="D4" s="539" t="s">
        <v>396</v>
      </c>
      <c r="E4" s="540"/>
      <c r="F4" s="541"/>
      <c r="G4" s="345"/>
    </row>
    <row r="5" spans="1:7" ht="16.8" thickBot="1">
      <c r="A5" s="347" t="s">
        <v>393</v>
      </c>
      <c r="B5" s="519" t="s">
        <v>395</v>
      </c>
      <c r="C5" s="520"/>
      <c r="D5" s="521" t="s">
        <v>397</v>
      </c>
      <c r="E5" s="522"/>
      <c r="F5" s="523"/>
      <c r="G5" s="345"/>
    </row>
    <row r="6" spans="1:7" ht="18">
      <c r="A6" s="524" t="s">
        <v>382</v>
      </c>
      <c r="B6" s="525"/>
      <c r="C6" s="525"/>
      <c r="D6" s="525"/>
      <c r="E6" s="525"/>
      <c r="F6" s="526"/>
      <c r="G6" s="345"/>
    </row>
    <row r="7" spans="1:7" ht="16.2">
      <c r="A7" s="348" t="s">
        <v>383</v>
      </c>
      <c r="B7" s="349" t="s">
        <v>398</v>
      </c>
      <c r="C7" s="350" t="s">
        <v>384</v>
      </c>
      <c r="D7" s="351" t="s">
        <v>400</v>
      </c>
      <c r="E7" s="527" t="s">
        <v>385</v>
      </c>
      <c r="F7" s="528"/>
      <c r="G7" s="345"/>
    </row>
    <row r="8" spans="1:7" ht="16.2" thickBot="1">
      <c r="A8" s="352"/>
      <c r="B8" s="353" t="s">
        <v>399</v>
      </c>
      <c r="C8" s="354"/>
      <c r="D8" s="355" t="s">
        <v>401</v>
      </c>
      <c r="E8" s="529" t="s">
        <v>402</v>
      </c>
      <c r="F8" s="523"/>
      <c r="G8" s="345"/>
    </row>
    <row r="9" spans="1:7" ht="18">
      <c r="A9" s="524" t="s">
        <v>386</v>
      </c>
      <c r="B9" s="525"/>
      <c r="C9" s="526"/>
      <c r="D9" s="524" t="s">
        <v>387</v>
      </c>
      <c r="E9" s="525"/>
      <c r="F9" s="526"/>
      <c r="G9" s="345"/>
    </row>
    <row r="10" spans="1:7" ht="16.2">
      <c r="A10" s="356" t="s">
        <v>388</v>
      </c>
      <c r="B10" s="530" t="s">
        <v>403</v>
      </c>
      <c r="C10" s="531"/>
      <c r="D10" s="532" t="s">
        <v>405</v>
      </c>
      <c r="E10" s="533"/>
      <c r="F10" s="357" t="s">
        <v>406</v>
      </c>
      <c r="G10" s="345"/>
    </row>
    <row r="11" spans="1:7" ht="16.8" thickBot="1">
      <c r="A11" s="358" t="s">
        <v>389</v>
      </c>
      <c r="B11" s="522" t="s">
        <v>404</v>
      </c>
      <c r="C11" s="523"/>
      <c r="D11" s="534"/>
      <c r="E11" s="535"/>
      <c r="F11" s="359" t="s">
        <v>407</v>
      </c>
      <c r="G11" s="345"/>
    </row>
    <row r="12" spans="1:7" ht="18">
      <c r="A12" s="524" t="s">
        <v>390</v>
      </c>
      <c r="B12" s="525"/>
      <c r="C12" s="525"/>
      <c r="D12" s="525"/>
      <c r="E12" s="525"/>
      <c r="F12" s="526"/>
      <c r="G12" s="345"/>
    </row>
    <row r="13" spans="1:7" ht="16.2" thickBot="1">
      <c r="A13" s="516" t="s">
        <v>408</v>
      </c>
      <c r="B13" s="517"/>
      <c r="C13" s="518" t="s">
        <v>409</v>
      </c>
      <c r="D13" s="518"/>
      <c r="E13" s="518"/>
      <c r="F13" s="360"/>
      <c r="G13" s="345"/>
    </row>
    <row r="14" spans="1:7" ht="18.899999999999999" customHeight="1">
      <c r="A14" s="361"/>
      <c r="B14" s="361"/>
      <c r="C14" s="361"/>
      <c r="D14" s="361"/>
      <c r="E14" s="361"/>
      <c r="F14" s="361"/>
      <c r="G14" s="345"/>
    </row>
    <row r="15" spans="1:7" ht="15.6">
      <c r="G15" s="345"/>
    </row>
    <row r="16" spans="1:7" ht="15.6">
      <c r="G16" s="345"/>
    </row>
    <row r="17" spans="7:7" ht="15.6">
      <c r="G17" s="345"/>
    </row>
    <row r="18" spans="7:7" ht="15.6">
      <c r="G18" s="345"/>
    </row>
    <row r="19" spans="7:7" ht="15.6">
      <c r="G19" s="345"/>
    </row>
    <row r="20" spans="7:7" ht="15.6">
      <c r="G20" s="345"/>
    </row>
    <row r="21" spans="7:7" ht="15.6">
      <c r="G21" s="345"/>
    </row>
    <row r="22" spans="7:7" ht="15.6">
      <c r="G22" s="345"/>
    </row>
    <row r="23" spans="7:7" ht="15.6">
      <c r="G23" s="345"/>
    </row>
    <row r="24" spans="7:7" ht="15.6">
      <c r="G24" s="345"/>
    </row>
    <row r="25" spans="7:7" ht="15.6">
      <c r="G25" s="345"/>
    </row>
    <row r="26" spans="7:7" ht="15.6">
      <c r="G26" s="345"/>
    </row>
    <row r="27" spans="7:7" ht="18.899999999999999" customHeight="1">
      <c r="G27" s="345"/>
    </row>
    <row r="28" spans="7:7" ht="15.6">
      <c r="G28" s="345"/>
    </row>
    <row r="29" spans="7:7" ht="15.6">
      <c r="G29" s="345"/>
    </row>
    <row r="30" spans="7:7" ht="15.6">
      <c r="G30" s="345"/>
    </row>
    <row r="31" spans="7:7" ht="15.6">
      <c r="G31" s="345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7"/>
  <sheetViews>
    <sheetView topLeftCell="A19" workbookViewId="0">
      <selection activeCell="F43" sqref="F43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262</v>
      </c>
      <c r="B2" s="366"/>
      <c r="C2" s="366"/>
      <c r="D2" s="366"/>
      <c r="E2" s="366"/>
      <c r="F2" s="367"/>
    </row>
    <row r="3" spans="1:6" ht="18.899999999999999" customHeight="1">
      <c r="A3" s="368" t="s">
        <v>410</v>
      </c>
      <c r="B3" s="366"/>
      <c r="C3" s="366"/>
      <c r="D3" s="366"/>
      <c r="E3" s="366"/>
      <c r="F3" s="367"/>
    </row>
    <row r="4" spans="1:6" ht="18.899999999999999" customHeight="1">
      <c r="A4" s="369"/>
      <c r="B4" s="370"/>
      <c r="C4" s="370"/>
      <c r="D4" s="370"/>
      <c r="E4" s="370"/>
      <c r="F4" s="371"/>
    </row>
    <row r="5" spans="1:6" ht="18.899999999999999" customHeight="1">
      <c r="A5" s="369"/>
      <c r="B5" s="370"/>
      <c r="C5" s="370"/>
      <c r="D5" s="370"/>
      <c r="E5" s="370"/>
      <c r="F5" s="371"/>
    </row>
    <row r="6" spans="1:6" ht="18.899999999999999" customHeight="1">
      <c r="A6" s="372" t="s">
        <v>411</v>
      </c>
      <c r="B6" s="542" t="s">
        <v>637</v>
      </c>
      <c r="C6" s="543"/>
      <c r="D6" s="544"/>
      <c r="E6" s="372" t="s">
        <v>412</v>
      </c>
      <c r="F6" s="373">
        <v>663</v>
      </c>
    </row>
    <row r="7" spans="1:6" ht="18.899999999999999" customHeight="1">
      <c r="A7" s="372" t="s">
        <v>413</v>
      </c>
      <c r="B7" s="373" t="s">
        <v>639</v>
      </c>
      <c r="C7" s="372" t="s">
        <v>414</v>
      </c>
      <c r="D7" s="373" t="s">
        <v>432</v>
      </c>
      <c r="E7" s="372" t="s">
        <v>415</v>
      </c>
      <c r="F7" s="373" t="s">
        <v>176</v>
      </c>
    </row>
    <row r="8" spans="1:6" ht="18.899999999999999" customHeight="1">
      <c r="A8" s="372" t="s">
        <v>416</v>
      </c>
      <c r="B8" s="373">
        <v>2</v>
      </c>
      <c r="C8" s="372" t="s">
        <v>417</v>
      </c>
      <c r="D8" s="373" t="s">
        <v>418</v>
      </c>
      <c r="E8" s="372" t="s">
        <v>419</v>
      </c>
      <c r="F8" s="373" t="s">
        <v>355</v>
      </c>
    </row>
    <row r="9" spans="1:6" ht="18.899999999999999" customHeight="1">
      <c r="A9" s="372" t="s">
        <v>420</v>
      </c>
      <c r="B9" s="373">
        <v>5500</v>
      </c>
      <c r="C9" s="372" t="s">
        <v>421</v>
      </c>
      <c r="D9" s="373" t="s">
        <v>433</v>
      </c>
      <c r="E9" s="372" t="s">
        <v>2</v>
      </c>
      <c r="F9" s="374">
        <v>41871</v>
      </c>
    </row>
    <row r="10" spans="1:6" ht="18.899999999999999" customHeight="1">
      <c r="A10" s="372" t="s">
        <v>422</v>
      </c>
      <c r="B10" s="373">
        <v>3587</v>
      </c>
      <c r="C10" s="372" t="s">
        <v>254</v>
      </c>
      <c r="D10" s="373" t="s">
        <v>423</v>
      </c>
      <c r="E10" s="372" t="s">
        <v>1</v>
      </c>
      <c r="F10" s="373" t="s">
        <v>372</v>
      </c>
    </row>
    <row r="11" spans="1:6" ht="18.899999999999999" customHeight="1">
      <c r="A11" s="369"/>
      <c r="B11" s="370"/>
      <c r="C11" s="370"/>
      <c r="D11" s="370"/>
      <c r="E11" s="370"/>
      <c r="F11" s="371"/>
    </row>
    <row r="12" spans="1:6" ht="18.899999999999999" customHeight="1">
      <c r="A12" s="369"/>
      <c r="B12" s="375" t="s">
        <v>424</v>
      </c>
      <c r="C12" s="376" t="s">
        <v>436</v>
      </c>
      <c r="D12" s="375" t="s">
        <v>253</v>
      </c>
      <c r="E12" s="376" t="s">
        <v>423</v>
      </c>
      <c r="F12" s="371"/>
    </row>
    <row r="13" spans="1:6" ht="18.899999999999999" customHeight="1">
      <c r="A13" s="369"/>
      <c r="B13" s="375" t="s">
        <v>425</v>
      </c>
      <c r="C13" s="377">
        <v>1.59</v>
      </c>
      <c r="D13" s="375" t="s">
        <v>426</v>
      </c>
      <c r="E13" s="361" t="s">
        <v>423</v>
      </c>
      <c r="F13" s="371"/>
    </row>
    <row r="14" spans="1:6" ht="18.899999999999999" customHeight="1">
      <c r="A14" s="369"/>
      <c r="B14" s="375" t="s">
        <v>427</v>
      </c>
      <c r="C14" s="377">
        <v>2.36</v>
      </c>
      <c r="D14" s="375" t="s">
        <v>255</v>
      </c>
      <c r="E14" s="361" t="s">
        <v>423</v>
      </c>
      <c r="F14" s="371"/>
    </row>
    <row r="15" spans="1:6" ht="18.899999999999999" customHeight="1">
      <c r="A15" s="369"/>
      <c r="B15" s="375" t="s">
        <v>256</v>
      </c>
      <c r="C15" s="376" t="s">
        <v>435</v>
      </c>
      <c r="D15" s="370"/>
      <c r="E15" s="370"/>
      <c r="F15" s="371"/>
    </row>
    <row r="16" spans="1:6" ht="18.899999999999999" customHeight="1">
      <c r="A16" s="369"/>
      <c r="B16" s="370"/>
      <c r="C16" s="370"/>
      <c r="D16" s="370"/>
      <c r="E16" s="370"/>
      <c r="F16" s="371"/>
    </row>
    <row r="17" spans="1:6" ht="18.899999999999999" customHeight="1">
      <c r="A17" s="369"/>
      <c r="B17" s="370"/>
      <c r="C17" s="370"/>
      <c r="D17" s="370"/>
      <c r="E17" s="370"/>
      <c r="F17" s="371"/>
    </row>
    <row r="18" spans="1:6" ht="18.899999999999999" customHeight="1">
      <c r="A18" s="369"/>
      <c r="B18" s="370"/>
      <c r="C18" s="370"/>
      <c r="D18" s="370"/>
      <c r="E18" s="370"/>
      <c r="F18" s="371"/>
    </row>
    <row r="19" spans="1:6" ht="18.899999999999999" customHeight="1">
      <c r="A19" s="369"/>
      <c r="B19" s="370"/>
      <c r="C19" s="370"/>
      <c r="D19" s="370"/>
      <c r="E19" s="370"/>
      <c r="F19" s="371"/>
    </row>
    <row r="20" spans="1:6" ht="18.899999999999999" customHeight="1">
      <c r="A20" s="369"/>
      <c r="B20" s="370"/>
      <c r="C20" s="370"/>
      <c r="D20" s="370"/>
      <c r="E20" s="370"/>
      <c r="F20" s="371"/>
    </row>
    <row r="21" spans="1:6" ht="18.899999999999999" customHeight="1">
      <c r="A21" s="369"/>
      <c r="B21" s="370"/>
      <c r="C21" s="370"/>
      <c r="D21" s="370"/>
      <c r="E21" s="370"/>
      <c r="F21" s="371"/>
    </row>
    <row r="22" spans="1:6" ht="18.899999999999999" customHeight="1">
      <c r="A22" s="369"/>
      <c r="B22" s="370"/>
      <c r="C22" s="370"/>
      <c r="D22" s="370"/>
      <c r="E22" s="370"/>
      <c r="F22" s="371"/>
    </row>
    <row r="23" spans="1:6" ht="18.899999999999999" customHeight="1">
      <c r="A23" s="369"/>
      <c r="B23" s="370"/>
      <c r="C23" s="370"/>
      <c r="D23" s="370"/>
      <c r="E23" s="370"/>
      <c r="F23" s="371"/>
    </row>
    <row r="24" spans="1:6" ht="18.899999999999999" customHeight="1">
      <c r="A24" s="369"/>
      <c r="B24" s="370"/>
      <c r="C24" s="370"/>
      <c r="D24" s="370"/>
      <c r="E24" s="370"/>
      <c r="F24" s="371"/>
    </row>
    <row r="25" spans="1:6" ht="18.899999999999999" customHeight="1">
      <c r="A25" s="369"/>
      <c r="B25" s="370"/>
      <c r="C25" s="370"/>
      <c r="D25" s="370"/>
      <c r="E25" s="370"/>
      <c r="F25" s="371"/>
    </row>
    <row r="26" spans="1:6" ht="18.899999999999999" customHeight="1">
      <c r="A26" s="369"/>
      <c r="B26" s="370"/>
      <c r="C26" s="370"/>
      <c r="D26" s="370"/>
      <c r="E26" s="370"/>
      <c r="F26" s="371"/>
    </row>
    <row r="27" spans="1:6" ht="18.899999999999999" customHeight="1">
      <c r="A27" s="369"/>
      <c r="B27" s="370"/>
      <c r="C27" s="370"/>
      <c r="D27" s="370"/>
      <c r="E27" s="370"/>
      <c r="F27" s="371"/>
    </row>
    <row r="28" spans="1:6" ht="18.899999999999999" customHeight="1">
      <c r="A28" s="369"/>
      <c r="B28" s="370"/>
      <c r="C28" s="370"/>
      <c r="D28" s="370"/>
      <c r="E28" s="370"/>
      <c r="F28" s="371"/>
    </row>
    <row r="29" spans="1:6" ht="18.899999999999999" customHeight="1">
      <c r="A29" s="369"/>
      <c r="B29" s="370"/>
      <c r="C29" s="370"/>
      <c r="D29" s="370"/>
      <c r="E29" s="370"/>
      <c r="F29" s="371"/>
    </row>
    <row r="30" spans="1:6" ht="18.899999999999999" customHeight="1">
      <c r="A30" s="369"/>
      <c r="B30" s="370"/>
      <c r="C30" s="370"/>
      <c r="D30" s="370"/>
      <c r="E30" s="370"/>
      <c r="F30" s="371"/>
    </row>
    <row r="31" spans="1:6" ht="18.899999999999999" customHeight="1">
      <c r="A31" s="369"/>
      <c r="B31" s="370"/>
      <c r="C31" s="370"/>
      <c r="D31" s="370"/>
      <c r="E31" s="370"/>
      <c r="F31" s="371"/>
    </row>
    <row r="32" spans="1:6" ht="18.899999999999999" customHeight="1">
      <c r="A32" s="369"/>
      <c r="B32" s="370"/>
      <c r="C32" s="370"/>
      <c r="D32" s="370"/>
      <c r="E32" s="370"/>
      <c r="F32" s="371"/>
    </row>
    <row r="33" spans="1:6" ht="18.899999999999999" customHeight="1">
      <c r="A33" s="369"/>
      <c r="B33" s="370"/>
      <c r="C33" s="370"/>
      <c r="D33" s="370"/>
      <c r="E33" s="370"/>
      <c r="F33" s="371"/>
    </row>
    <row r="34" spans="1:6" ht="18.899999999999999" customHeight="1">
      <c r="A34" s="369"/>
      <c r="B34" s="370"/>
      <c r="C34" s="370"/>
      <c r="D34" s="370"/>
      <c r="E34" s="370"/>
      <c r="F34" s="371"/>
    </row>
    <row r="35" spans="1:6" ht="18.899999999999999" customHeight="1">
      <c r="A35" s="369"/>
      <c r="B35" s="370"/>
      <c r="C35" s="370"/>
      <c r="D35" s="370"/>
      <c r="E35" s="370"/>
      <c r="F35" s="371"/>
    </row>
    <row r="36" spans="1:6" ht="18.899999999999999" customHeight="1">
      <c r="A36" s="369"/>
      <c r="B36" s="370"/>
      <c r="C36" s="370"/>
      <c r="D36" s="370"/>
      <c r="E36" s="370"/>
      <c r="F36" s="371"/>
    </row>
    <row r="37" spans="1:6" ht="18.899999999999999" customHeight="1">
      <c r="A37" s="369"/>
      <c r="B37" s="370"/>
      <c r="C37" s="370"/>
      <c r="D37" s="370"/>
      <c r="E37" s="370"/>
      <c r="F37" s="371"/>
    </row>
    <row r="38" spans="1:6" ht="18.899999999999999" customHeight="1">
      <c r="A38" s="369"/>
      <c r="B38" s="370"/>
      <c r="C38" s="370"/>
      <c r="D38" s="370"/>
      <c r="E38" s="370"/>
      <c r="F38" s="371"/>
    </row>
    <row r="39" spans="1:6" ht="18.899999999999999" customHeight="1">
      <c r="A39" s="378" t="s">
        <v>428</v>
      </c>
      <c r="B39" s="379"/>
      <c r="C39" s="379"/>
      <c r="D39" s="370"/>
      <c r="E39" s="375" t="s">
        <v>429</v>
      </c>
      <c r="F39" s="380"/>
    </row>
    <row r="40" spans="1:6" ht="18.899999999999999" customHeight="1">
      <c r="A40" s="369"/>
      <c r="B40" s="379"/>
      <c r="C40" s="379"/>
      <c r="D40" s="370"/>
      <c r="E40" s="370"/>
      <c r="F40" s="371"/>
    </row>
    <row r="41" spans="1:6" ht="18.899999999999999" customHeight="1">
      <c r="A41" s="369"/>
      <c r="B41" s="379"/>
      <c r="C41" s="379"/>
      <c r="D41" s="370"/>
      <c r="E41" s="370"/>
      <c r="F41" s="371"/>
    </row>
    <row r="42" spans="1:6" ht="18.899999999999999" customHeight="1">
      <c r="A42" s="369"/>
      <c r="B42" s="370"/>
      <c r="C42" s="370"/>
      <c r="D42" s="370"/>
      <c r="E42" s="370"/>
      <c r="F42" s="371"/>
    </row>
    <row r="43" spans="1:6" ht="18.899999999999999" customHeight="1">
      <c r="A43" s="381"/>
      <c r="B43" s="379"/>
      <c r="C43" s="382" t="s">
        <v>430</v>
      </c>
      <c r="D43" s="383" t="s">
        <v>644</v>
      </c>
      <c r="E43" s="382" t="s">
        <v>431</v>
      </c>
      <c r="F43" s="383" t="s">
        <v>646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1" t="s">
        <v>252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84">
        <v>100</v>
      </c>
      <c r="B54" s="151">
        <v>0</v>
      </c>
      <c r="C54" s="151">
        <v>0.18127109110355377</v>
      </c>
      <c r="D54" s="151">
        <v>100</v>
      </c>
      <c r="E54" s="151"/>
      <c r="F54" s="151"/>
      <c r="G54" s="151"/>
      <c r="H54" s="151"/>
      <c r="I54" s="151"/>
      <c r="J54" s="151"/>
      <c r="K54" s="151"/>
      <c r="L54" s="151"/>
    </row>
    <row r="55" spans="1:12" ht="15" customHeight="1">
      <c r="A55" s="384">
        <v>99.799999967217445</v>
      </c>
      <c r="B55" s="151">
        <v>120.29932755018979</v>
      </c>
      <c r="C55" s="151">
        <v>153.35484313964844</v>
      </c>
      <c r="D55" s="151">
        <v>99.599998474121094</v>
      </c>
      <c r="E55" s="151"/>
      <c r="F55" s="151"/>
      <c r="G55" s="151"/>
      <c r="H55" s="151"/>
      <c r="I55" s="151"/>
      <c r="J55" s="151"/>
      <c r="K55" s="151"/>
      <c r="L55" s="151"/>
    </row>
    <row r="56" spans="1:12" ht="15" customHeight="1">
      <c r="A56" s="384">
        <v>98.999999836087227</v>
      </c>
      <c r="B56" s="151">
        <v>236</v>
      </c>
      <c r="C56" s="151">
        <v>465.8565673828125</v>
      </c>
      <c r="D56" s="151">
        <v>98</v>
      </c>
      <c r="E56" s="151"/>
      <c r="F56" s="151"/>
      <c r="G56" s="151"/>
      <c r="H56" s="151"/>
      <c r="I56" s="151"/>
      <c r="J56" s="151"/>
      <c r="K56" s="151"/>
      <c r="L56" s="151"/>
    </row>
    <row r="57" spans="1:12">
      <c r="A57" s="384">
        <v>93.789473548531532</v>
      </c>
      <c r="B57" s="151">
        <v>180.42432653428637</v>
      </c>
      <c r="C57" s="151">
        <v>547.08685302734375</v>
      </c>
      <c r="D57" s="151">
        <v>83.852630615234375</v>
      </c>
      <c r="E57" s="151"/>
      <c r="F57" s="151"/>
      <c r="G57" s="151"/>
      <c r="H57" s="151"/>
      <c r="I57" s="151"/>
      <c r="J57" s="151"/>
      <c r="K57" s="151"/>
      <c r="L57" s="151"/>
    </row>
    <row r="58" spans="1:12">
      <c r="A58" s="384">
        <v>88.578946888446808</v>
      </c>
      <c r="B58" s="151">
        <v>164.4652856412672</v>
      </c>
      <c r="C58" s="151">
        <v>568.96905517578125</v>
      </c>
      <c r="D58" s="151">
        <v>70.305259704589844</v>
      </c>
      <c r="E58" s="151"/>
      <c r="F58" s="151"/>
      <c r="G58" s="151"/>
      <c r="H58" s="151"/>
      <c r="I58" s="151"/>
      <c r="J58" s="151"/>
      <c r="K58" s="151"/>
      <c r="L58" s="151"/>
    </row>
    <row r="59" spans="1:12">
      <c r="A59" s="384">
        <v>83.368420600891113</v>
      </c>
      <c r="B59" s="151">
        <v>160.01875841136575</v>
      </c>
      <c r="C59" s="151">
        <v>578.205322265625</v>
      </c>
      <c r="D59" s="151">
        <v>57.410526275634766</v>
      </c>
      <c r="E59" s="151"/>
      <c r="F59" s="151"/>
      <c r="G59" s="151"/>
      <c r="H59" s="151"/>
      <c r="I59" s="151"/>
      <c r="J59" s="151"/>
      <c r="K59" s="151"/>
      <c r="L59" s="151"/>
    </row>
    <row r="60" spans="1:12">
      <c r="A60" s="384">
        <v>72.947368025779724</v>
      </c>
      <c r="B60" s="151">
        <v>159.10591358804845</v>
      </c>
      <c r="C60" s="151">
        <v>588.23150634765625</v>
      </c>
      <c r="D60" s="151">
        <v>38.010524749755859</v>
      </c>
      <c r="E60" s="151"/>
      <c r="F60" s="151"/>
      <c r="G60" s="151"/>
      <c r="H60" s="151"/>
      <c r="I60" s="151"/>
      <c r="J60" s="151"/>
      <c r="K60" s="151"/>
      <c r="L60" s="151"/>
    </row>
    <row r="61" spans="1:12">
      <c r="A61" s="384">
        <v>62.526315450668335</v>
      </c>
      <c r="B61" s="151">
        <v>159.07527437649827</v>
      </c>
      <c r="C61" s="151">
        <v>595.14801025390625</v>
      </c>
      <c r="D61" s="151">
        <v>24.778947830200195</v>
      </c>
      <c r="E61" s="151"/>
      <c r="F61" s="151"/>
      <c r="G61" s="151"/>
      <c r="H61" s="151"/>
      <c r="I61" s="151"/>
      <c r="J61" s="151"/>
      <c r="K61" s="151"/>
      <c r="L61" s="151"/>
    </row>
    <row r="62" spans="1:12">
      <c r="A62" s="384">
        <v>52.105262875556946</v>
      </c>
      <c r="B62" s="151">
        <v>159.05472730764416</v>
      </c>
      <c r="C62" s="151">
        <v>601.0843505859375</v>
      </c>
      <c r="D62" s="151">
        <v>15.684209823608398</v>
      </c>
      <c r="E62" s="151"/>
      <c r="F62" s="151"/>
      <c r="G62" s="151"/>
      <c r="H62" s="151"/>
      <c r="I62" s="151"/>
      <c r="J62" s="151"/>
      <c r="K62" s="151"/>
      <c r="L62" s="151"/>
    </row>
    <row r="63" spans="1:12">
      <c r="A63" s="384">
        <v>41.684210300445557</v>
      </c>
      <c r="B63" s="151">
        <v>159.03667216034734</v>
      </c>
      <c r="C63" s="151">
        <v>606.20550537109375</v>
      </c>
      <c r="D63" s="151">
        <v>9.0105257034301758</v>
      </c>
      <c r="E63" s="151"/>
      <c r="F63" s="151"/>
      <c r="G63" s="151"/>
      <c r="H63" s="151"/>
      <c r="I63" s="151"/>
      <c r="J63" s="151"/>
      <c r="K63" s="151"/>
      <c r="L63" s="151"/>
    </row>
    <row r="64" spans="1:12">
      <c r="A64" s="384">
        <v>31.263160705566406</v>
      </c>
      <c r="B64" s="151">
        <v>159.01816173749086</v>
      </c>
      <c r="C64" s="151">
        <v>610.57171630859375</v>
      </c>
      <c r="D64" s="151">
        <v>6.2526321411132813</v>
      </c>
      <c r="E64" s="151"/>
      <c r="F64" s="151"/>
      <c r="G64" s="151"/>
      <c r="H64" s="151"/>
      <c r="I64" s="151"/>
      <c r="J64" s="151"/>
      <c r="K64" s="151"/>
      <c r="L64" s="151"/>
    </row>
    <row r="65" spans="1:12">
      <c r="A65" s="384">
        <v>20.842105150222778</v>
      </c>
      <c r="B65" s="151">
        <v>159.00671022689224</v>
      </c>
      <c r="C65" s="151">
        <v>614.28558349609375</v>
      </c>
      <c r="D65" s="151">
        <v>7.8315787315368652</v>
      </c>
      <c r="E65" s="151"/>
      <c r="F65" s="151"/>
      <c r="G65" s="151"/>
      <c r="H65" s="151"/>
      <c r="I65" s="151"/>
      <c r="J65" s="151"/>
      <c r="K65" s="151"/>
      <c r="L65" s="151"/>
    </row>
    <row r="66" spans="1:12">
      <c r="A66" s="384">
        <v>10.421055555343628</v>
      </c>
      <c r="B66" s="151">
        <v>159.00481002865669</v>
      </c>
      <c r="C66" s="151">
        <v>617.46337890625</v>
      </c>
      <c r="D66" s="151">
        <v>14.70526123046875</v>
      </c>
      <c r="E66" s="151"/>
      <c r="F66" s="151"/>
      <c r="G66" s="151"/>
      <c r="H66" s="151"/>
      <c r="I66" s="151"/>
      <c r="J66" s="151"/>
      <c r="K66" s="151"/>
      <c r="L66" s="151"/>
    </row>
    <row r="67" spans="1:12">
      <c r="A67" s="385">
        <v>0</v>
      </c>
      <c r="B67" s="151">
        <v>159</v>
      </c>
      <c r="C67" s="151">
        <v>620.211181640625</v>
      </c>
      <c r="D67" s="151">
        <v>30</v>
      </c>
      <c r="E67" s="151"/>
      <c r="F67" s="151"/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344" customWidth="1"/>
    <col min="2" max="7" width="10.6640625" style="344" customWidth="1"/>
    <col min="8" max="16384" width="9.109375" style="344"/>
  </cols>
  <sheetData>
    <row r="1" spans="1:12" ht="21" customHeight="1">
      <c r="A1" s="386" t="s">
        <v>437</v>
      </c>
      <c r="B1" s="537" t="s">
        <v>476</v>
      </c>
      <c r="C1" s="537"/>
      <c r="D1" s="537"/>
      <c r="E1" s="537"/>
      <c r="F1" s="537"/>
      <c r="G1" s="537"/>
    </row>
    <row r="2" spans="1:12" ht="15" customHeight="1"/>
    <row r="3" spans="1:12" ht="20.399999999999999">
      <c r="A3" s="387" t="s">
        <v>438</v>
      </c>
    </row>
    <row r="4" spans="1:12" ht="12" customHeight="1">
      <c r="A4" s="345"/>
      <c r="B4" s="345"/>
      <c r="C4" s="345"/>
      <c r="D4" s="345" t="s">
        <v>490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388" t="s">
        <v>5</v>
      </c>
      <c r="B5" s="388" t="s">
        <v>439</v>
      </c>
      <c r="C5" s="388" t="s">
        <v>440</v>
      </c>
      <c r="D5" s="388" t="s">
        <v>441</v>
      </c>
      <c r="E5" s="388" t="s">
        <v>442</v>
      </c>
      <c r="F5" s="388" t="s">
        <v>443</v>
      </c>
      <c r="G5" s="388" t="s">
        <v>444</v>
      </c>
      <c r="H5" s="345"/>
      <c r="I5" s="345"/>
      <c r="J5" s="345"/>
      <c r="K5" s="345"/>
      <c r="L5" s="345"/>
    </row>
    <row r="6" spans="1:12" ht="15.6" customHeight="1">
      <c r="A6" s="389" t="s">
        <v>445</v>
      </c>
      <c r="B6" s="389" t="s">
        <v>165</v>
      </c>
      <c r="C6" s="389" t="s">
        <v>165</v>
      </c>
      <c r="D6" s="389" t="s">
        <v>446</v>
      </c>
      <c r="E6" s="389" t="s">
        <v>135</v>
      </c>
      <c r="F6" s="389" t="s">
        <v>447</v>
      </c>
      <c r="G6" s="389" t="s">
        <v>447</v>
      </c>
      <c r="H6" s="345"/>
      <c r="I6" s="345"/>
      <c r="J6" s="345"/>
      <c r="K6" s="345"/>
      <c r="L6" s="345"/>
    </row>
    <row r="7" spans="1:12" ht="15.9" customHeight="1">
      <c r="A7" s="390" t="s">
        <v>477</v>
      </c>
      <c r="B7" s="390" t="s">
        <v>491</v>
      </c>
      <c r="C7" s="390" t="s">
        <v>499</v>
      </c>
      <c r="D7" s="390" t="s">
        <v>512</v>
      </c>
      <c r="E7" s="390" t="s">
        <v>525</v>
      </c>
      <c r="F7" s="390" t="s">
        <v>538</v>
      </c>
      <c r="G7" s="390" t="s">
        <v>551</v>
      </c>
      <c r="H7" s="345"/>
      <c r="I7" s="345"/>
      <c r="J7" s="345"/>
      <c r="K7" s="345"/>
      <c r="L7" s="345"/>
    </row>
    <row r="8" spans="1:12" ht="15.9" customHeight="1">
      <c r="A8" s="390" t="s">
        <v>478</v>
      </c>
      <c r="B8" s="390" t="s">
        <v>491</v>
      </c>
      <c r="C8" s="390" t="s">
        <v>500</v>
      </c>
      <c r="D8" s="390" t="s">
        <v>513</v>
      </c>
      <c r="E8" s="390" t="s">
        <v>526</v>
      </c>
      <c r="F8" s="390" t="s">
        <v>539</v>
      </c>
      <c r="G8" s="390" t="s">
        <v>552</v>
      </c>
      <c r="H8" s="345"/>
      <c r="I8" s="345"/>
      <c r="J8" s="345"/>
      <c r="K8" s="345"/>
      <c r="L8" s="345"/>
    </row>
    <row r="9" spans="1:12" ht="15.9" customHeight="1">
      <c r="A9" s="390" t="s">
        <v>479</v>
      </c>
      <c r="B9" s="390" t="s">
        <v>491</v>
      </c>
      <c r="C9" s="390" t="s">
        <v>501</v>
      </c>
      <c r="D9" s="390" t="s">
        <v>514</v>
      </c>
      <c r="E9" s="390" t="s">
        <v>527</v>
      </c>
      <c r="F9" s="390" t="s">
        <v>540</v>
      </c>
      <c r="G9" s="390" t="s">
        <v>553</v>
      </c>
      <c r="H9" s="345"/>
      <c r="I9" s="345"/>
      <c r="J9" s="345"/>
      <c r="K9" s="345"/>
      <c r="L9" s="345"/>
    </row>
    <row r="10" spans="1:12" ht="15.9" customHeight="1">
      <c r="A10" s="390" t="s">
        <v>480</v>
      </c>
      <c r="B10" s="390" t="s">
        <v>491</v>
      </c>
      <c r="C10" s="390" t="s">
        <v>502</v>
      </c>
      <c r="D10" s="390" t="s">
        <v>515</v>
      </c>
      <c r="E10" s="390" t="s">
        <v>528</v>
      </c>
      <c r="F10" s="390" t="s">
        <v>541</v>
      </c>
      <c r="G10" s="390" t="s">
        <v>554</v>
      </c>
      <c r="H10" s="345"/>
      <c r="I10" s="345"/>
      <c r="J10" s="345"/>
      <c r="K10" s="345"/>
      <c r="L10" s="345"/>
    </row>
    <row r="11" spans="1:12" ht="15.9" customHeight="1">
      <c r="A11" s="390" t="s">
        <v>481</v>
      </c>
      <c r="B11" s="390" t="s">
        <v>491</v>
      </c>
      <c r="C11" s="390" t="s">
        <v>503</v>
      </c>
      <c r="D11" s="390" t="s">
        <v>516</v>
      </c>
      <c r="E11" s="390" t="s">
        <v>529</v>
      </c>
      <c r="F11" s="390" t="s">
        <v>542</v>
      </c>
      <c r="G11" s="390" t="s">
        <v>555</v>
      </c>
      <c r="H11" s="345"/>
      <c r="I11" s="345"/>
      <c r="J11" s="345"/>
      <c r="K11" s="345"/>
      <c r="L11" s="345"/>
    </row>
    <row r="12" spans="1:12" ht="15.9" customHeight="1">
      <c r="A12" s="390" t="s">
        <v>482</v>
      </c>
      <c r="B12" s="390" t="s">
        <v>492</v>
      </c>
      <c r="C12" s="390" t="s">
        <v>504</v>
      </c>
      <c r="D12" s="390" t="s">
        <v>517</v>
      </c>
      <c r="E12" s="390" t="s">
        <v>530</v>
      </c>
      <c r="F12" s="390" t="s">
        <v>543</v>
      </c>
      <c r="G12" s="390" t="s">
        <v>556</v>
      </c>
      <c r="H12" s="345"/>
      <c r="I12" s="345"/>
      <c r="J12" s="345"/>
      <c r="K12" s="345"/>
      <c r="L12" s="345"/>
    </row>
    <row r="13" spans="1:12" ht="15.9" customHeight="1">
      <c r="A13" s="390" t="s">
        <v>483</v>
      </c>
      <c r="B13" s="390" t="s">
        <v>492</v>
      </c>
      <c r="C13" s="390" t="s">
        <v>505</v>
      </c>
      <c r="D13" s="390" t="s">
        <v>518</v>
      </c>
      <c r="E13" s="390" t="s">
        <v>531</v>
      </c>
      <c r="F13" s="390" t="s">
        <v>544</v>
      </c>
      <c r="G13" s="390" t="s">
        <v>557</v>
      </c>
      <c r="H13" s="345"/>
      <c r="I13" s="345"/>
      <c r="J13" s="345"/>
      <c r="K13" s="345"/>
      <c r="L13" s="345"/>
    </row>
    <row r="14" spans="1:12" ht="15.9" customHeight="1">
      <c r="A14" s="390" t="s">
        <v>484</v>
      </c>
      <c r="B14" s="390" t="s">
        <v>493</v>
      </c>
      <c r="C14" s="390" t="s">
        <v>506</v>
      </c>
      <c r="D14" s="390" t="s">
        <v>519</v>
      </c>
      <c r="E14" s="390" t="s">
        <v>532</v>
      </c>
      <c r="F14" s="390" t="s">
        <v>545</v>
      </c>
      <c r="G14" s="390" t="s">
        <v>558</v>
      </c>
      <c r="H14" s="345"/>
      <c r="I14" s="345"/>
      <c r="J14" s="345"/>
      <c r="K14" s="345"/>
      <c r="L14" s="345"/>
    </row>
    <row r="15" spans="1:12" ht="15.9" customHeight="1">
      <c r="A15" s="390" t="s">
        <v>485</v>
      </c>
      <c r="B15" s="390" t="s">
        <v>494</v>
      </c>
      <c r="C15" s="390" t="s">
        <v>507</v>
      </c>
      <c r="D15" s="390" t="s">
        <v>520</v>
      </c>
      <c r="E15" s="390" t="s">
        <v>533</v>
      </c>
      <c r="F15" s="390" t="s">
        <v>546</v>
      </c>
      <c r="G15" s="390" t="s">
        <v>559</v>
      </c>
      <c r="H15" s="345"/>
      <c r="I15" s="345"/>
      <c r="J15" s="345"/>
      <c r="K15" s="345"/>
      <c r="L15" s="345"/>
    </row>
    <row r="16" spans="1:12" ht="15.9" customHeight="1">
      <c r="A16" s="390" t="s">
        <v>486</v>
      </c>
      <c r="B16" s="390" t="s">
        <v>495</v>
      </c>
      <c r="C16" s="390" t="s">
        <v>508</v>
      </c>
      <c r="D16" s="390" t="s">
        <v>521</v>
      </c>
      <c r="E16" s="390" t="s">
        <v>534</v>
      </c>
      <c r="F16" s="390" t="s">
        <v>547</v>
      </c>
      <c r="G16" s="390" t="s">
        <v>560</v>
      </c>
      <c r="H16" s="345"/>
      <c r="I16" s="345"/>
      <c r="J16" s="345"/>
      <c r="K16" s="345"/>
      <c r="L16" s="345"/>
    </row>
    <row r="17" spans="1:12" ht="15.9" customHeight="1">
      <c r="A17" s="390" t="s">
        <v>487</v>
      </c>
      <c r="B17" s="390" t="s">
        <v>496</v>
      </c>
      <c r="C17" s="390" t="s">
        <v>509</v>
      </c>
      <c r="D17" s="390" t="s">
        <v>522</v>
      </c>
      <c r="E17" s="390" t="s">
        <v>535</v>
      </c>
      <c r="F17" s="390" t="s">
        <v>548</v>
      </c>
      <c r="G17" s="390" t="s">
        <v>561</v>
      </c>
      <c r="H17" s="345"/>
      <c r="I17" s="345"/>
      <c r="J17" s="345"/>
      <c r="K17" s="345"/>
      <c r="L17" s="345"/>
    </row>
    <row r="18" spans="1:12" ht="15.9" customHeight="1">
      <c r="A18" s="390" t="s">
        <v>488</v>
      </c>
      <c r="B18" s="390" t="s">
        <v>497</v>
      </c>
      <c r="C18" s="390" t="s">
        <v>510</v>
      </c>
      <c r="D18" s="390" t="s">
        <v>523</v>
      </c>
      <c r="E18" s="390" t="s">
        <v>536</v>
      </c>
      <c r="F18" s="390" t="s">
        <v>549</v>
      </c>
      <c r="G18" s="390" t="s">
        <v>562</v>
      </c>
      <c r="H18" s="345"/>
      <c r="I18" s="345"/>
      <c r="J18" s="345"/>
      <c r="K18" s="345"/>
      <c r="L18" s="345"/>
    </row>
    <row r="19" spans="1:12" ht="15.9" customHeight="1">
      <c r="A19" s="390" t="s">
        <v>489</v>
      </c>
      <c r="B19" s="390" t="s">
        <v>498</v>
      </c>
      <c r="C19" s="390" t="s">
        <v>511</v>
      </c>
      <c r="D19" s="390" t="s">
        <v>524</v>
      </c>
      <c r="E19" s="390" t="s">
        <v>537</v>
      </c>
      <c r="F19" s="390" t="s">
        <v>550</v>
      </c>
      <c r="G19" s="390" t="s">
        <v>563</v>
      </c>
      <c r="H19" s="345"/>
      <c r="I19" s="345"/>
      <c r="J19" s="345"/>
      <c r="K19" s="345"/>
      <c r="L19" s="345"/>
    </row>
    <row r="20" spans="1:12" ht="15.6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6.2">
      <c r="A21" s="345"/>
      <c r="B21" s="345"/>
      <c r="C21" s="345"/>
      <c r="D21" s="554" t="s">
        <v>573</v>
      </c>
      <c r="E21" s="551"/>
      <c r="F21" s="551"/>
      <c r="G21" s="552"/>
      <c r="H21" s="345"/>
      <c r="I21" s="345"/>
      <c r="J21" s="345"/>
      <c r="K21" s="345"/>
      <c r="L21" s="345"/>
    </row>
    <row r="22" spans="1:12" ht="17.25" customHeight="1">
      <c r="A22" s="345"/>
      <c r="B22" s="553" t="s">
        <v>448</v>
      </c>
      <c r="C22" s="553"/>
      <c r="D22" s="553" t="s">
        <v>449</v>
      </c>
      <c r="E22" s="553"/>
      <c r="F22" s="553" t="s">
        <v>450</v>
      </c>
      <c r="G22" s="553"/>
      <c r="H22" s="345"/>
      <c r="I22" s="345"/>
      <c r="J22" s="345"/>
      <c r="K22" s="345"/>
      <c r="L22" s="345"/>
    </row>
    <row r="23" spans="1:12" ht="15.6">
      <c r="A23" s="391" t="s">
        <v>451</v>
      </c>
      <c r="B23" s="549" t="s">
        <v>564</v>
      </c>
      <c r="C23" s="549"/>
      <c r="D23" s="549" t="s">
        <v>567</v>
      </c>
      <c r="E23" s="549"/>
      <c r="F23" s="549" t="s">
        <v>570</v>
      </c>
      <c r="G23" s="549"/>
      <c r="H23" s="345"/>
      <c r="I23" s="345"/>
      <c r="J23" s="345"/>
      <c r="K23" s="345"/>
      <c r="L23" s="345"/>
    </row>
    <row r="24" spans="1:12" ht="18" customHeight="1">
      <c r="A24" s="391" t="s">
        <v>452</v>
      </c>
      <c r="B24" s="549" t="s">
        <v>565</v>
      </c>
      <c r="C24" s="549"/>
      <c r="D24" s="549" t="s">
        <v>568</v>
      </c>
      <c r="E24" s="549"/>
      <c r="F24" s="549" t="s">
        <v>571</v>
      </c>
      <c r="G24" s="549"/>
      <c r="H24" s="345"/>
      <c r="I24" s="345"/>
      <c r="J24" s="345"/>
      <c r="K24" s="345"/>
      <c r="L24" s="345"/>
    </row>
    <row r="25" spans="1:12" ht="15.6">
      <c r="A25" s="391" t="s">
        <v>453</v>
      </c>
      <c r="B25" s="549" t="s">
        <v>566</v>
      </c>
      <c r="C25" s="549"/>
      <c r="D25" s="549" t="s">
        <v>569</v>
      </c>
      <c r="E25" s="549"/>
      <c r="F25" s="549" t="s">
        <v>572</v>
      </c>
      <c r="G25" s="549"/>
      <c r="H25" s="345"/>
      <c r="I25" s="345"/>
      <c r="J25" s="345"/>
      <c r="K25" s="345"/>
      <c r="L25" s="345"/>
    </row>
    <row r="26" spans="1:12" ht="15.6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399999999999999">
      <c r="A27" s="387" t="s">
        <v>454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6">
      <c r="A28" s="345"/>
      <c r="B28" s="345"/>
      <c r="C28" s="345"/>
      <c r="D28" s="345"/>
      <c r="E28" s="550" t="s">
        <v>455</v>
      </c>
      <c r="F28" s="551"/>
      <c r="G28" s="552"/>
      <c r="H28" s="345"/>
      <c r="I28" s="345"/>
      <c r="J28" s="345"/>
      <c r="K28" s="345"/>
      <c r="L28" s="345"/>
    </row>
    <row r="29" spans="1:12" ht="15.6">
      <c r="A29" s="345"/>
      <c r="B29" s="553" t="s">
        <v>456</v>
      </c>
      <c r="C29" s="553"/>
      <c r="D29" s="392" t="s">
        <v>457</v>
      </c>
      <c r="E29" s="392" t="s">
        <v>458</v>
      </c>
      <c r="F29" s="553" t="s">
        <v>459</v>
      </c>
      <c r="G29" s="553"/>
      <c r="H29" s="345"/>
      <c r="I29" s="345"/>
      <c r="J29" s="345"/>
      <c r="K29" s="345"/>
      <c r="L29" s="345"/>
    </row>
    <row r="30" spans="1:12" ht="15.6">
      <c r="A30" s="391" t="s">
        <v>460</v>
      </c>
      <c r="B30" s="549" t="s">
        <v>574</v>
      </c>
      <c r="C30" s="549"/>
      <c r="D30" s="390" t="s">
        <v>577</v>
      </c>
      <c r="E30" s="390" t="s">
        <v>461</v>
      </c>
      <c r="F30" s="549" t="s">
        <v>580</v>
      </c>
      <c r="G30" s="549"/>
      <c r="H30" s="345"/>
      <c r="I30" s="345"/>
      <c r="J30" s="345"/>
      <c r="K30" s="345"/>
      <c r="L30" s="345"/>
    </row>
    <row r="31" spans="1:12" ht="15.6">
      <c r="A31" s="391" t="s">
        <v>462</v>
      </c>
      <c r="B31" s="549" t="s">
        <v>575</v>
      </c>
      <c r="C31" s="549"/>
      <c r="D31" s="390" t="s">
        <v>578</v>
      </c>
      <c r="E31" s="390" t="s">
        <v>463</v>
      </c>
      <c r="F31" s="549" t="s">
        <v>581</v>
      </c>
      <c r="G31" s="549"/>
      <c r="H31" s="345"/>
      <c r="I31" s="345"/>
      <c r="J31" s="345"/>
      <c r="K31" s="345"/>
      <c r="L31" s="345"/>
    </row>
    <row r="32" spans="1:12" ht="15.6">
      <c r="A32" s="391" t="s">
        <v>464</v>
      </c>
      <c r="B32" s="549" t="s">
        <v>576</v>
      </c>
      <c r="C32" s="549"/>
      <c r="D32" s="390" t="s">
        <v>579</v>
      </c>
      <c r="E32" s="390" t="s">
        <v>465</v>
      </c>
      <c r="F32" s="549" t="s">
        <v>582</v>
      </c>
      <c r="G32" s="549"/>
      <c r="H32" s="345"/>
      <c r="I32" s="345"/>
      <c r="J32" s="345"/>
      <c r="K32" s="345"/>
      <c r="L32" s="345"/>
    </row>
    <row r="33" spans="1:12" ht="15.6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6">
      <c r="A34" s="345"/>
      <c r="B34" s="345"/>
      <c r="C34" s="345"/>
      <c r="D34" s="345"/>
      <c r="E34" s="550" t="s">
        <v>466</v>
      </c>
      <c r="F34" s="551"/>
      <c r="G34" s="552"/>
      <c r="H34" s="345"/>
      <c r="I34" s="345"/>
      <c r="J34" s="345"/>
      <c r="K34" s="345"/>
      <c r="L34" s="345"/>
    </row>
    <row r="35" spans="1:12" ht="15.6">
      <c r="A35" s="345"/>
      <c r="B35" s="553" t="s">
        <v>467</v>
      </c>
      <c r="C35" s="553"/>
      <c r="D35" s="392" t="s">
        <v>458</v>
      </c>
      <c r="E35" s="392" t="s">
        <v>468</v>
      </c>
      <c r="F35" s="392" t="s">
        <v>100</v>
      </c>
      <c r="G35" s="392" t="s">
        <v>469</v>
      </c>
      <c r="H35" s="345"/>
      <c r="I35" s="345"/>
      <c r="J35" s="345"/>
      <c r="K35" s="345"/>
      <c r="L35" s="345"/>
    </row>
    <row r="36" spans="1:12" ht="15.6">
      <c r="A36" s="391" t="s">
        <v>460</v>
      </c>
      <c r="B36" s="545" t="s">
        <v>583</v>
      </c>
      <c r="C36" s="546"/>
      <c r="D36" s="393" t="s">
        <v>585</v>
      </c>
      <c r="E36" s="393" t="s">
        <v>470</v>
      </c>
      <c r="F36" s="394" t="s">
        <v>471</v>
      </c>
      <c r="G36" s="390" t="s">
        <v>588</v>
      </c>
      <c r="H36" s="345"/>
      <c r="I36" s="345"/>
      <c r="J36" s="345"/>
      <c r="K36" s="345"/>
      <c r="L36" s="345"/>
    </row>
    <row r="37" spans="1:12" ht="15.6">
      <c r="A37" s="391" t="s">
        <v>462</v>
      </c>
      <c r="B37" s="545" t="s">
        <v>584</v>
      </c>
      <c r="C37" s="546"/>
      <c r="D37" s="393" t="s">
        <v>586</v>
      </c>
      <c r="E37" s="393" t="s">
        <v>470</v>
      </c>
      <c r="F37" s="394" t="s">
        <v>472</v>
      </c>
      <c r="G37" s="395" t="s">
        <v>589</v>
      </c>
      <c r="H37" s="345"/>
      <c r="I37" s="345"/>
      <c r="J37" s="345"/>
      <c r="K37" s="345"/>
      <c r="L37" s="345"/>
    </row>
    <row r="38" spans="1:12" ht="15.6">
      <c r="A38" s="391" t="s">
        <v>464</v>
      </c>
      <c r="B38" s="545" t="s">
        <v>584</v>
      </c>
      <c r="C38" s="546"/>
      <c r="D38" s="393" t="s">
        <v>587</v>
      </c>
      <c r="E38" s="393" t="s">
        <v>470</v>
      </c>
      <c r="F38" s="394" t="s">
        <v>473</v>
      </c>
      <c r="G38" s="390" t="s">
        <v>590</v>
      </c>
      <c r="H38" s="345"/>
      <c r="I38" s="345"/>
      <c r="J38" s="345"/>
      <c r="K38" s="345"/>
      <c r="L38" s="345"/>
    </row>
    <row r="39" spans="1:12" ht="15.6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6">
      <c r="A40" s="396" t="s">
        <v>474</v>
      </c>
      <c r="B40" s="547" t="s">
        <v>591</v>
      </c>
      <c r="C40" s="547"/>
      <c r="D40" s="548" t="s">
        <v>475</v>
      </c>
      <c r="E40" s="548"/>
      <c r="F40" s="547" t="s">
        <v>592</v>
      </c>
      <c r="G40" s="547"/>
      <c r="H40" s="345"/>
      <c r="I40" s="345"/>
      <c r="J40" s="345"/>
      <c r="K40" s="345"/>
      <c r="L40" s="345"/>
    </row>
    <row r="41" spans="1:12" ht="15.6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6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6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6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6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6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6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6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6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6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6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6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6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6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6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6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6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6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6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6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6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F51" sqref="F51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262</v>
      </c>
      <c r="B2" s="366"/>
      <c r="C2" s="366"/>
      <c r="D2" s="366"/>
      <c r="E2" s="366"/>
      <c r="F2" s="367"/>
    </row>
    <row r="3" spans="1:6" ht="18.899999999999999" customHeight="1">
      <c r="A3" s="555" t="s">
        <v>593</v>
      </c>
      <c r="B3" s="556"/>
      <c r="C3" s="556"/>
      <c r="D3" s="556"/>
      <c r="E3" s="556"/>
      <c r="F3" s="557"/>
    </row>
    <row r="4" spans="1:6" ht="18.899999999999999" customHeight="1">
      <c r="A4" s="558" t="s">
        <v>594</v>
      </c>
      <c r="B4" s="559"/>
      <c r="C4" s="559"/>
      <c r="D4" s="559"/>
      <c r="E4" s="559"/>
      <c r="F4" s="560"/>
    </row>
    <row r="5" spans="1:6" ht="18.899999999999999" customHeight="1">
      <c r="A5" s="369"/>
      <c r="B5" s="370"/>
      <c r="C5" s="370"/>
      <c r="D5" s="370"/>
      <c r="E5" s="370"/>
      <c r="F5" s="371"/>
    </row>
    <row r="6" spans="1:6" ht="18.899999999999999" customHeight="1">
      <c r="A6" s="372" t="s">
        <v>411</v>
      </c>
      <c r="B6" s="542" t="s">
        <v>637</v>
      </c>
      <c r="C6" s="543"/>
      <c r="D6" s="544"/>
      <c r="E6" s="372" t="s">
        <v>412</v>
      </c>
      <c r="F6" s="373">
        <v>663</v>
      </c>
    </row>
    <row r="7" spans="1:6" ht="18.899999999999999" customHeight="1">
      <c r="A7" s="372" t="s">
        <v>413</v>
      </c>
      <c r="B7" s="373" t="s">
        <v>639</v>
      </c>
      <c r="C7" s="372" t="s">
        <v>414</v>
      </c>
      <c r="D7" s="373" t="s">
        <v>432</v>
      </c>
      <c r="E7" s="372" t="s">
        <v>415</v>
      </c>
      <c r="F7" s="373" t="s">
        <v>176</v>
      </c>
    </row>
    <row r="8" spans="1:6" ht="18.899999999999999" customHeight="1">
      <c r="A8" s="372" t="s">
        <v>416</v>
      </c>
      <c r="B8" s="373">
        <v>2</v>
      </c>
      <c r="C8" s="372" t="s">
        <v>417</v>
      </c>
      <c r="D8" s="373" t="s">
        <v>418</v>
      </c>
      <c r="E8" s="372" t="s">
        <v>419</v>
      </c>
      <c r="F8" s="373" t="s">
        <v>355</v>
      </c>
    </row>
    <row r="9" spans="1:6" ht="18.899999999999999" customHeight="1">
      <c r="A9" s="372" t="s">
        <v>420</v>
      </c>
      <c r="B9" s="373">
        <v>5500</v>
      </c>
      <c r="C9" s="372" t="s">
        <v>421</v>
      </c>
      <c r="D9" s="373" t="s">
        <v>433</v>
      </c>
      <c r="E9" s="372" t="s">
        <v>2</v>
      </c>
      <c r="F9" s="374">
        <v>41871</v>
      </c>
    </row>
    <row r="10" spans="1:6" ht="18.899999999999999" customHeight="1">
      <c r="A10" s="372" t="s">
        <v>422</v>
      </c>
      <c r="B10" s="373">
        <v>3587</v>
      </c>
      <c r="C10" s="372" t="s">
        <v>254</v>
      </c>
      <c r="D10" s="373" t="s">
        <v>434</v>
      </c>
      <c r="E10" s="372" t="s">
        <v>1</v>
      </c>
      <c r="F10" s="373" t="s">
        <v>372</v>
      </c>
    </row>
    <row r="11" spans="1:6" ht="18.899999999999999" customHeight="1">
      <c r="A11" s="369"/>
      <c r="B11" s="370"/>
      <c r="C11" s="370"/>
      <c r="D11" s="370"/>
      <c r="E11" s="370"/>
      <c r="F11" s="371"/>
    </row>
    <row r="12" spans="1:6" ht="18.899999999999999" customHeight="1">
      <c r="A12" s="369"/>
      <c r="B12" s="375"/>
      <c r="C12" s="376"/>
      <c r="D12" s="375"/>
      <c r="E12" s="376"/>
      <c r="F12" s="371"/>
    </row>
    <row r="13" spans="1:6" ht="18.899999999999999" customHeight="1">
      <c r="A13" s="369"/>
      <c r="B13" s="375"/>
      <c r="C13" s="377"/>
      <c r="D13" s="375"/>
      <c r="E13" s="376"/>
      <c r="F13" s="371"/>
    </row>
    <row r="14" spans="1:6" ht="18.899999999999999" customHeight="1">
      <c r="A14" s="369"/>
      <c r="B14" s="375"/>
      <c r="C14" s="377"/>
      <c r="D14" s="375"/>
      <c r="E14" s="376"/>
      <c r="F14" s="371"/>
    </row>
    <row r="15" spans="1:6" ht="18.899999999999999" customHeight="1">
      <c r="A15" s="369"/>
      <c r="B15" s="375"/>
      <c r="C15" s="376"/>
      <c r="D15" s="370"/>
      <c r="E15" s="370"/>
      <c r="F15" s="371"/>
    </row>
    <row r="16" spans="1:6" ht="18.899999999999999" customHeight="1">
      <c r="A16" s="369"/>
      <c r="B16" s="370"/>
      <c r="C16" s="370"/>
      <c r="D16" s="370"/>
      <c r="E16" s="370"/>
      <c r="F16" s="371"/>
    </row>
    <row r="17" spans="1:6" ht="18.899999999999999" customHeight="1">
      <c r="A17" s="369"/>
      <c r="B17" s="370"/>
      <c r="C17" s="370"/>
      <c r="D17" s="370"/>
      <c r="E17" s="370"/>
      <c r="F17" s="371"/>
    </row>
    <row r="18" spans="1:6" ht="18.899999999999999" customHeight="1">
      <c r="A18" s="369"/>
      <c r="B18" s="370"/>
      <c r="C18" s="370"/>
      <c r="D18" s="370"/>
      <c r="E18" s="370"/>
      <c r="F18" s="371"/>
    </row>
    <row r="19" spans="1:6" ht="18.899999999999999" customHeight="1">
      <c r="A19" s="369"/>
      <c r="B19" s="370"/>
      <c r="C19" s="370"/>
      <c r="D19" s="370"/>
      <c r="E19" s="370"/>
      <c r="F19" s="371"/>
    </row>
    <row r="20" spans="1:6" ht="18.899999999999999" customHeight="1">
      <c r="A20" s="369"/>
      <c r="B20" s="370"/>
      <c r="C20" s="370"/>
      <c r="D20" s="370"/>
      <c r="E20" s="370"/>
      <c r="F20" s="371"/>
    </row>
    <row r="21" spans="1:6" ht="18.899999999999999" customHeight="1">
      <c r="A21" s="369"/>
      <c r="B21" s="370"/>
      <c r="C21" s="370"/>
      <c r="D21" s="370"/>
      <c r="E21" s="370"/>
      <c r="F21" s="371"/>
    </row>
    <row r="22" spans="1:6" ht="18.899999999999999" customHeight="1">
      <c r="A22" s="369"/>
      <c r="B22" s="370"/>
      <c r="C22" s="370"/>
      <c r="D22" s="370"/>
      <c r="E22" s="370"/>
      <c r="F22" s="371"/>
    </row>
    <row r="23" spans="1:6" ht="18.899999999999999" customHeight="1">
      <c r="A23" s="369"/>
      <c r="B23" s="370"/>
      <c r="C23" s="370"/>
      <c r="D23" s="370"/>
      <c r="E23" s="370"/>
      <c r="F23" s="371"/>
    </row>
    <row r="24" spans="1:6" ht="18.899999999999999" customHeight="1">
      <c r="A24" s="369"/>
      <c r="B24" s="370"/>
      <c r="C24" s="370"/>
      <c r="D24" s="370"/>
      <c r="E24" s="370"/>
      <c r="F24" s="371"/>
    </row>
    <row r="25" spans="1:6" ht="18.899999999999999" customHeight="1">
      <c r="A25" s="369"/>
      <c r="B25" s="370"/>
      <c r="C25" s="370"/>
      <c r="D25" s="370"/>
      <c r="E25" s="370"/>
      <c r="F25" s="371"/>
    </row>
    <row r="26" spans="1:6" ht="18.899999999999999" customHeight="1">
      <c r="A26" s="369"/>
      <c r="B26" s="370"/>
      <c r="C26" s="370"/>
      <c r="D26" s="370"/>
      <c r="E26" s="370"/>
      <c r="F26" s="371"/>
    </row>
    <row r="27" spans="1:6" ht="18.899999999999999" customHeight="1">
      <c r="A27" s="369"/>
      <c r="B27" s="370"/>
      <c r="C27" s="370"/>
      <c r="D27" s="370"/>
      <c r="E27" s="370"/>
      <c r="F27" s="371"/>
    </row>
    <row r="28" spans="1:6" ht="18.899999999999999" customHeight="1">
      <c r="A28" s="369"/>
      <c r="B28" s="370"/>
      <c r="C28" s="370"/>
      <c r="D28" s="370"/>
      <c r="E28" s="370"/>
      <c r="F28" s="371"/>
    </row>
    <row r="29" spans="1:6" ht="18.899999999999999" customHeight="1">
      <c r="A29" s="369"/>
      <c r="B29" s="370"/>
      <c r="C29" s="370"/>
      <c r="D29" s="370"/>
      <c r="E29" s="370"/>
      <c r="F29" s="371"/>
    </row>
    <row r="30" spans="1:6" ht="18.899999999999999" customHeight="1">
      <c r="A30" s="369"/>
      <c r="B30" s="370"/>
      <c r="C30" s="370"/>
      <c r="D30" s="370"/>
      <c r="E30" s="370"/>
      <c r="F30" s="371"/>
    </row>
    <row r="31" spans="1:6" ht="18.899999999999999" customHeight="1">
      <c r="A31" s="369"/>
      <c r="B31" s="370"/>
      <c r="C31" s="370"/>
      <c r="D31" s="370"/>
      <c r="E31" s="370"/>
      <c r="F31" s="371"/>
    </row>
    <row r="32" spans="1:6" ht="18.899999999999999" customHeight="1">
      <c r="A32" s="369"/>
      <c r="B32" s="370"/>
      <c r="C32" s="370"/>
      <c r="D32" s="370"/>
      <c r="E32" s="370"/>
      <c r="F32" s="371"/>
    </row>
    <row r="33" spans="1:6" ht="18.899999999999999" customHeight="1">
      <c r="A33" s="369"/>
      <c r="B33" s="370"/>
      <c r="C33" s="370"/>
      <c r="D33" s="370"/>
      <c r="E33" s="370"/>
      <c r="F33" s="371"/>
    </row>
    <row r="34" spans="1:6" ht="18.899999999999999" customHeight="1">
      <c r="A34" s="369"/>
      <c r="B34" s="370"/>
      <c r="C34" s="370"/>
      <c r="D34" s="370"/>
      <c r="E34" s="370"/>
      <c r="F34" s="371"/>
    </row>
    <row r="35" spans="1:6" ht="18.899999999999999" customHeight="1">
      <c r="A35" s="369"/>
      <c r="B35" s="370"/>
      <c r="C35" s="370"/>
      <c r="D35" s="370"/>
      <c r="E35" s="370"/>
      <c r="F35" s="371"/>
    </row>
    <row r="36" spans="1:6" ht="18.899999999999999" customHeight="1">
      <c r="A36" s="369"/>
      <c r="B36" s="370"/>
      <c r="C36" s="370"/>
      <c r="D36" s="370"/>
      <c r="E36" s="370"/>
      <c r="F36" s="371"/>
    </row>
    <row r="37" spans="1:6" ht="18.899999999999999" customHeight="1">
      <c r="A37" s="369"/>
      <c r="B37" s="370"/>
      <c r="C37" s="370"/>
      <c r="D37" s="370"/>
      <c r="E37" s="370"/>
      <c r="F37" s="371"/>
    </row>
    <row r="38" spans="1:6" ht="18.899999999999999" customHeight="1">
      <c r="A38" s="369"/>
      <c r="B38" s="370"/>
      <c r="C38" s="370"/>
      <c r="D38" s="370"/>
      <c r="E38" s="370"/>
      <c r="F38" s="371"/>
    </row>
    <row r="39" spans="1:6" ht="18.899999999999999" customHeight="1">
      <c r="A39" s="378" t="s">
        <v>428</v>
      </c>
      <c r="B39" s="379"/>
      <c r="C39" s="379"/>
      <c r="D39" s="370"/>
      <c r="E39" s="375" t="s">
        <v>429</v>
      </c>
      <c r="F39" s="380"/>
    </row>
    <row r="40" spans="1:6" ht="18.899999999999999" customHeight="1">
      <c r="A40" s="369"/>
      <c r="B40" s="379"/>
      <c r="C40" s="379"/>
      <c r="D40" s="370"/>
      <c r="E40" s="370"/>
      <c r="F40" s="371"/>
    </row>
    <row r="41" spans="1:6" ht="18.899999999999999" customHeight="1">
      <c r="A41" s="369"/>
      <c r="B41" s="379"/>
      <c r="C41" s="379"/>
      <c r="D41" s="370"/>
      <c r="E41" s="370"/>
      <c r="F41" s="371"/>
    </row>
    <row r="42" spans="1:6" ht="18.899999999999999" customHeight="1">
      <c r="A42" s="369"/>
      <c r="B42" s="370"/>
      <c r="C42" s="370"/>
      <c r="D42" s="370"/>
      <c r="E42" s="370"/>
      <c r="F42" s="371"/>
    </row>
    <row r="43" spans="1:6" ht="18.899999999999999" customHeight="1">
      <c r="A43" s="381"/>
      <c r="B43" s="379"/>
      <c r="C43" s="382" t="s">
        <v>430</v>
      </c>
      <c r="D43" s="383"/>
      <c r="E43" s="382" t="s">
        <v>431</v>
      </c>
      <c r="F43" s="383" t="s">
        <v>646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97" t="e">
        <f>5252.1*B50/D53</f>
        <v>#DIV/0!</v>
      </c>
      <c r="G50" s="397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98"/>
    </row>
    <row r="63" spans="6:9">
      <c r="I63" s="344" t="s">
        <v>39</v>
      </c>
    </row>
    <row r="66" spans="1:6">
      <c r="D66" s="397" t="e">
        <f>D65/D64</f>
        <v>#DIV/0!</v>
      </c>
    </row>
    <row r="67" spans="1:6">
      <c r="A67" s="399" t="s">
        <v>250</v>
      </c>
      <c r="B67" s="399" t="s">
        <v>595</v>
      </c>
      <c r="C67" s="399" t="s">
        <v>596</v>
      </c>
      <c r="E67" s="399" t="s">
        <v>597</v>
      </c>
      <c r="F67" s="399" t="s">
        <v>598</v>
      </c>
    </row>
    <row r="68" spans="1:6">
      <c r="A68" s="400">
        <v>620.21116138763193</v>
      </c>
      <c r="B68" s="401">
        <v>14.17656217302595</v>
      </c>
      <c r="C68" s="401">
        <v>7.2777557373046884</v>
      </c>
      <c r="E68" s="400">
        <f>A68</f>
        <v>620.21116138763193</v>
      </c>
      <c r="F68" s="401">
        <v>1E-4</v>
      </c>
    </row>
    <row r="69" spans="1:6">
      <c r="A69" s="400">
        <f>FLOOR(A68,100)</f>
        <v>600</v>
      </c>
      <c r="B69" s="401">
        <f>((A68/A69)^2)*B68</f>
        <v>15.147730900504865</v>
      </c>
      <c r="C69" s="401">
        <f>((A68/A69)^2)*C68</f>
        <v>7.7763201065809628</v>
      </c>
      <c r="E69" s="400">
        <v>618.83861236802409</v>
      </c>
      <c r="F69" s="401">
        <v>0.28400000929832458</v>
      </c>
    </row>
    <row r="70" spans="1:6">
      <c r="A70" s="400">
        <f>A69-100</f>
        <v>500</v>
      </c>
      <c r="B70" s="401">
        <f>((A68/A70)^2)*B68</f>
        <v>21.812732496727005</v>
      </c>
      <c r="C70" s="401">
        <f>((A68/A70)^2)*C68</f>
        <v>11.197900953476585</v>
      </c>
      <c r="E70" s="400">
        <v>615.86726998491702</v>
      </c>
      <c r="F70" s="401">
        <v>0.54699999094009399</v>
      </c>
    </row>
    <row r="71" spans="1:6">
      <c r="A71" s="400">
        <f>A70-100</f>
        <v>400</v>
      </c>
      <c r="B71" s="401">
        <f>((A68/A71)^2)*B68</f>
        <v>34.082394526135943</v>
      </c>
      <c r="C71" s="401">
        <f>((A68/A71)^2)*C68</f>
        <v>17.496720239807164</v>
      </c>
      <c r="E71" s="400">
        <v>612.42835595776774</v>
      </c>
      <c r="F71" s="401">
        <v>0.80199998617172241</v>
      </c>
    </row>
    <row r="72" spans="1:6">
      <c r="A72" s="400">
        <f>A71-100</f>
        <v>300</v>
      </c>
      <c r="B72" s="401">
        <f>((A68/A72)^2)*B68</f>
        <v>60.590923602019458</v>
      </c>
      <c r="C72" s="401"/>
      <c r="E72" s="400">
        <v>608.38612368024133</v>
      </c>
      <c r="F72" s="401">
        <v>1.0579999685287476</v>
      </c>
    </row>
    <row r="73" spans="1:6">
      <c r="A73" s="400">
        <f>A72-100</f>
        <v>200</v>
      </c>
      <c r="B73" s="401">
        <f>((A68/A73)^2)*B68</f>
        <v>136.32957810454377</v>
      </c>
      <c r="C73" s="401"/>
      <c r="E73" s="400">
        <v>603.65007541478133</v>
      </c>
      <c r="F73" s="401">
        <v>1.3220000267028809</v>
      </c>
    </row>
    <row r="74" spans="1:6">
      <c r="A74" s="400">
        <v>236</v>
      </c>
      <c r="B74" s="401">
        <f>((A68/A74)^2)*B68</f>
        <v>97.909780310646212</v>
      </c>
      <c r="C74" s="401">
        <f>((A68/A74)^2)*C68</f>
        <v>50.263488192494016</v>
      </c>
      <c r="E74" s="400">
        <v>598.1146304675716</v>
      </c>
      <c r="F74" s="401">
        <v>1.6010000705718994</v>
      </c>
    </row>
    <row r="75" spans="1:6">
      <c r="A75" s="402">
        <v>180</v>
      </c>
      <c r="B75" s="401">
        <f>((A68/A75)^2)*B69</f>
        <v>179.8381085575619</v>
      </c>
      <c r="C75" s="401">
        <f>((A68/A75)^2)*C68</f>
        <v>86.403556739788485</v>
      </c>
      <c r="E75" s="400">
        <v>591.6892911010558</v>
      </c>
      <c r="F75" s="401">
        <v>1.9050000905990601</v>
      </c>
    </row>
    <row r="76" spans="1:6">
      <c r="A76" s="402">
        <v>120</v>
      </c>
      <c r="B76" s="401">
        <f>((A68/A76)^2)*B68</f>
        <v>378.6932725126216</v>
      </c>
      <c r="C76" s="401">
        <f>((A68/A76)^2)*C68</f>
        <v>194.40800266452408</v>
      </c>
      <c r="E76" s="400">
        <v>583.2126696832579</v>
      </c>
      <c r="F76" s="401">
        <v>2.252000093460083</v>
      </c>
    </row>
    <row r="77" spans="1:6">
      <c r="A77" s="402">
        <v>110</v>
      </c>
      <c r="B77" s="401"/>
      <c r="C77" s="400">
        <f>CEILING(C76*2,100)</f>
        <v>400</v>
      </c>
      <c r="E77" s="400">
        <v>573.58974358974353</v>
      </c>
      <c r="F77" s="401">
        <v>2.4490001201629639</v>
      </c>
    </row>
    <row r="78" spans="1:6">
      <c r="A78" s="402">
        <v>110</v>
      </c>
      <c r="B78" s="401"/>
      <c r="C78" s="400">
        <f>2*C77</f>
        <v>800</v>
      </c>
      <c r="E78" s="400">
        <v>558.02413273001514</v>
      </c>
      <c r="F78" s="401">
        <v>2.6520001888275146</v>
      </c>
    </row>
    <row r="79" spans="1:6">
      <c r="A79" s="402">
        <v>110</v>
      </c>
      <c r="B79" s="402"/>
      <c r="C79" s="402">
        <v>10000</v>
      </c>
      <c r="E79" s="400">
        <v>506.47058823529414</v>
      </c>
      <c r="F79" s="401">
        <v>2.817000150680542</v>
      </c>
    </row>
    <row r="80" spans="1:6">
      <c r="E80" s="400">
        <v>309.60784313725486</v>
      </c>
      <c r="F80" s="401">
        <v>2.8550002574920654</v>
      </c>
    </row>
    <row r="81" spans="5:6">
      <c r="E81" s="400">
        <v>0</v>
      </c>
      <c r="F81" s="401">
        <v>2.9270002841949463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sqref="A1:K1"/>
    </sheetView>
  </sheetViews>
  <sheetFormatPr defaultColWidth="9.109375" defaultRowHeight="13.2"/>
  <cols>
    <col min="1" max="1" width="9.5546875" style="344" customWidth="1"/>
    <col min="2" max="11" width="7.6640625" style="344" customWidth="1"/>
    <col min="12" max="16384" width="9.109375" style="344"/>
  </cols>
  <sheetData>
    <row r="1" spans="1:12" ht="20.399999999999999">
      <c r="A1" s="563" t="s">
        <v>599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8">
      <c r="A3" s="375" t="s">
        <v>437</v>
      </c>
      <c r="B3" s="403" t="s">
        <v>476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8">
      <c r="A5" s="404" t="s">
        <v>600</v>
      </c>
      <c r="B5" s="370"/>
      <c r="C5" s="370"/>
      <c r="D5" s="370"/>
      <c r="E5" s="370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6">
      <c r="A7" s="345"/>
      <c r="B7" s="405" t="s">
        <v>601</v>
      </c>
      <c r="C7" s="406">
        <v>0</v>
      </c>
      <c r="D7" s="405" t="s">
        <v>601</v>
      </c>
      <c r="E7" s="407" t="s">
        <v>602</v>
      </c>
      <c r="F7" s="405" t="s">
        <v>601</v>
      </c>
      <c r="G7" s="407" t="s">
        <v>603</v>
      </c>
      <c r="H7" s="405" t="s">
        <v>604</v>
      </c>
      <c r="I7" s="407">
        <v>0</v>
      </c>
      <c r="J7" s="405" t="s">
        <v>604</v>
      </c>
      <c r="K7" s="407">
        <v>6.0000000000000001E-3</v>
      </c>
      <c r="L7" s="345"/>
    </row>
    <row r="8" spans="1:12" ht="15.6">
      <c r="A8" s="390" t="s">
        <v>605</v>
      </c>
      <c r="B8" s="549">
        <v>6</v>
      </c>
      <c r="C8" s="549"/>
      <c r="D8" s="549">
        <v>12</v>
      </c>
      <c r="E8" s="549"/>
      <c r="F8" s="549">
        <v>0</v>
      </c>
      <c r="G8" s="549"/>
      <c r="H8" s="549" t="s">
        <v>620</v>
      </c>
      <c r="I8" s="549"/>
      <c r="J8" s="549" t="s">
        <v>621</v>
      </c>
      <c r="K8" s="549"/>
      <c r="L8" s="345"/>
    </row>
    <row r="9" spans="1:12" ht="15.6">
      <c r="A9" s="390" t="s">
        <v>606</v>
      </c>
      <c r="B9" s="549">
        <v>10</v>
      </c>
      <c r="C9" s="549"/>
      <c r="D9" s="549">
        <v>16</v>
      </c>
      <c r="E9" s="549"/>
      <c r="F9" s="549">
        <v>4</v>
      </c>
      <c r="G9" s="549"/>
      <c r="H9" s="549" t="s">
        <v>622</v>
      </c>
      <c r="I9" s="549"/>
      <c r="J9" s="549" t="s">
        <v>623</v>
      </c>
      <c r="K9" s="549"/>
      <c r="L9" s="345"/>
    </row>
    <row r="10" spans="1:12" ht="15.6">
      <c r="A10" s="390" t="s">
        <v>607</v>
      </c>
      <c r="B10" s="549">
        <v>8</v>
      </c>
      <c r="C10" s="549"/>
      <c r="D10" s="549">
        <v>14</v>
      </c>
      <c r="E10" s="549"/>
      <c r="F10" s="549">
        <v>2</v>
      </c>
      <c r="G10" s="549"/>
      <c r="H10" s="549" t="s">
        <v>624</v>
      </c>
      <c r="I10" s="549"/>
      <c r="J10" s="549" t="s">
        <v>625</v>
      </c>
      <c r="K10" s="549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8">
      <c r="A12" s="404" t="s">
        <v>608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6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6">
      <c r="A14" s="345"/>
      <c r="B14" s="561" t="s">
        <v>609</v>
      </c>
      <c r="C14" s="545"/>
      <c r="D14" s="562" t="s">
        <v>626</v>
      </c>
      <c r="E14" s="549"/>
      <c r="F14" s="561" t="s">
        <v>610</v>
      </c>
      <c r="G14" s="545"/>
      <c r="H14" s="562" t="s">
        <v>631</v>
      </c>
      <c r="I14" s="549"/>
      <c r="J14" s="345"/>
      <c r="K14" s="345"/>
      <c r="L14" s="345"/>
    </row>
    <row r="15" spans="1:12" ht="15.6">
      <c r="A15" s="345"/>
      <c r="B15" s="561" t="s">
        <v>611</v>
      </c>
      <c r="C15" s="545"/>
      <c r="D15" s="562" t="s">
        <v>627</v>
      </c>
      <c r="E15" s="549"/>
      <c r="F15" s="561" t="s">
        <v>612</v>
      </c>
      <c r="G15" s="545"/>
      <c r="H15" s="562" t="s">
        <v>632</v>
      </c>
      <c r="I15" s="549"/>
      <c r="J15" s="345"/>
      <c r="K15" s="345"/>
      <c r="L15" s="345"/>
    </row>
    <row r="16" spans="1:12" ht="15.6">
      <c r="A16" s="345"/>
      <c r="B16" s="561" t="s">
        <v>613</v>
      </c>
      <c r="C16" s="545"/>
      <c r="D16" s="562" t="s">
        <v>628</v>
      </c>
      <c r="E16" s="549"/>
      <c r="F16" s="561" t="s">
        <v>614</v>
      </c>
      <c r="G16" s="545"/>
      <c r="H16" s="562" t="s">
        <v>633</v>
      </c>
      <c r="I16" s="549"/>
      <c r="J16" s="345"/>
      <c r="K16" s="345"/>
      <c r="L16" s="345"/>
    </row>
    <row r="17" spans="1:12" ht="15.6">
      <c r="A17" s="345"/>
      <c r="B17" s="561" t="s">
        <v>615</v>
      </c>
      <c r="C17" s="545"/>
      <c r="D17" s="562" t="s">
        <v>629</v>
      </c>
      <c r="E17" s="549"/>
      <c r="F17" s="561" t="s">
        <v>616</v>
      </c>
      <c r="G17" s="545"/>
      <c r="H17" s="562" t="s">
        <v>634</v>
      </c>
      <c r="I17" s="549"/>
      <c r="J17" s="345"/>
      <c r="K17" s="345"/>
      <c r="L17" s="345"/>
    </row>
    <row r="18" spans="1:12" ht="15.6">
      <c r="A18" s="345"/>
      <c r="B18" s="561" t="s">
        <v>617</v>
      </c>
      <c r="C18" s="545"/>
      <c r="D18" s="562" t="s">
        <v>630</v>
      </c>
      <c r="E18" s="549"/>
      <c r="F18" s="561" t="s">
        <v>618</v>
      </c>
      <c r="G18" s="545"/>
      <c r="H18" s="562" t="s">
        <v>635</v>
      </c>
      <c r="I18" s="549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8">
      <c r="A20" s="404" t="s">
        <v>619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6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8">
      <c r="A22" s="345"/>
      <c r="B22" s="404" t="s">
        <v>636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6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6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6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6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6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6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6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6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6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6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6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'Data Sheet'!Print_Area</vt:lpstr>
      <vt:lpstr>DesignSheet!Print_Area</vt:lpstr>
      <vt:lpstr>Form!Print_Area</vt:lpstr>
      <vt:lpstr>LoginSheet!Print_Area</vt:lpstr>
      <vt:lpstr>StallTime!Print_Area</vt:lpstr>
      <vt:lpstr>STCurve!Print_Area</vt:lpstr>
      <vt:lpstr>Thermdam!Print_Area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 (TIC)</cp:lastModifiedBy>
  <cp:lastPrinted>1997-10-31T21:44:37Z</cp:lastPrinted>
  <dcterms:created xsi:type="dcterms:W3CDTF">1997-10-03T20:37:30Z</dcterms:created>
  <dcterms:modified xsi:type="dcterms:W3CDTF">2023-10-16T11:01:51Z</dcterms:modified>
</cp:coreProperties>
</file>