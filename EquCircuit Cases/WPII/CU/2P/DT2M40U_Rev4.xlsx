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TOP HAT - WPII\"/>
    </mc:Choice>
  </mc:AlternateContent>
  <xr:revisionPtr revIDLastSave="0" documentId="13_ncr:1_{1B001E1F-9128-4E99-A69C-0C66642302E3}" xr6:coauthVersionLast="47" xr6:coauthVersionMax="47" xr10:uidLastSave="{00000000-0000-0000-0000-000000000000}"/>
  <bookViews>
    <workbookView xWindow="15975" yWindow="0" windowWidth="12930" windowHeight="17385" tabRatio="825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8" r:id="rId4"/>
    <sheet name="Performance Data Sheet 2000HP" sheetId="14" r:id="rId5"/>
    <sheet name="STCurve 2000HP" sheetId="10" r:id="rId6"/>
    <sheet name="Thermdam 2000HP" sheetId="9" r:id="rId7"/>
    <sheet name="Performance 4000V 2000HP" sheetId="13" r:id="rId8"/>
    <sheet name="Performance 2300V 2000HP" sheetId="17" r:id="rId9"/>
    <sheet name="Circuit Param" sheetId="15" r:id="rId10"/>
    <sheet name="Performance API" sheetId="16" r:id="rId11"/>
    <sheet name="Performance Data Sheet 1750HP" sheetId="18" r:id="rId12"/>
    <sheet name="STCurve 1750HP" sheetId="19" r:id="rId13"/>
    <sheet name="Thermdam 1750HP" sheetId="20" r:id="rId14"/>
    <sheet name="Performance 4000V 1750HP" sheetId="21" r:id="rId15"/>
    <sheet name="Performance 2300V 1750HP" sheetId="22" r:id="rId16"/>
  </sheets>
  <definedNames>
    <definedName name="_Regression_Int" localSheetId="9" hidden="1">1</definedName>
    <definedName name="_Regression_Int" localSheetId="10" hidden="1">1</definedName>
    <definedName name="_Regression_Int" localSheetId="11" hidden="1">1</definedName>
    <definedName name="_Regression_Int" localSheetId="4" hidden="1">1</definedName>
    <definedName name="_xlnm.Print_Area" localSheetId="9">'Circuit Param'!$A$1:$M$42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15">'Performance 2300V 1750HP'!$A$1:$F$43</definedName>
    <definedName name="_xlnm.Print_Area" localSheetId="8">'Performance 2300V 2000HP'!$A$1:$F$43</definedName>
    <definedName name="_xlnm.Print_Area" localSheetId="14">'Performance 4000V 1750HP'!$A$1:$F$43</definedName>
    <definedName name="_xlnm.Print_Area" localSheetId="7">'Performance 4000V 2000HP'!$A$1:$F$43</definedName>
    <definedName name="_xlnm.Print_Area" localSheetId="10">'Performance API'!$A$1:$M$54</definedName>
    <definedName name="_xlnm.Print_Area" localSheetId="11">'Performance Data Sheet 1750HP'!$A$1:$M$44</definedName>
    <definedName name="_xlnm.Print_Area" localSheetId="4">'Performance Data Sheet 2000HP'!$A$1:$M$44</definedName>
    <definedName name="_xlnm.Print_Area" localSheetId="3">StallTime!$A$1:$G$40</definedName>
    <definedName name="_xlnm.Print_Area" localSheetId="12">'STCurve 1750HP'!$A$1:$F$43</definedName>
    <definedName name="_xlnm.Print_Area" localSheetId="5">'STCurve 2000HP'!$A$1:$F$43</definedName>
    <definedName name="_xlnm.Print_Area" localSheetId="13">'Thermdam 1750HP'!$A$1:$F$43</definedName>
    <definedName name="_xlnm.Print_Area" localSheetId="6">'Thermdam 2000HP'!$A$1:$F$43</definedName>
    <definedName name="Print_Area_MI" localSheetId="9">'Circuit Param'!$A$8:$N$43</definedName>
    <definedName name="Print_Area_MI" localSheetId="10">'Performance API'!$A$10:$N$18</definedName>
    <definedName name="Print_Area_MI">'Performance Data Sheet 2000HP'!$A$10:$N$42</definedName>
    <definedName name="thermal">#REF!</definedName>
    <definedName name="transfer">#REF!</definedName>
    <definedName name="unit_sht">"unit_sht"</definedName>
    <definedName name="vassvelo">#REF!</definedName>
    <definedName name="velcoity">#REF!</definedName>
    <definedName name="viscosity">#REF!</definedName>
    <definedName name="vollheatre">#REF!</definedName>
    <definedName name="volumetri">#REF!</definedName>
    <definedName name="weight">#REF!</definedName>
    <definedName name="weights">#REF!</definedName>
    <definedName name="Z_852987ED_B4F5_11D1_ABEC_0000832EB49E_.wvu.PrintArea" localSheetId="15" hidden="1">'Performance 2300V 1750HP'!$A$1:$F$43</definedName>
    <definedName name="Z_852987ED_B4F5_11D1_ABEC_0000832EB49E_.wvu.PrintArea" localSheetId="8" hidden="1">'Performance 2300V 2000HP'!$A$1:$F$43</definedName>
    <definedName name="Z_852987ED_B4F5_11D1_ABEC_0000832EB49E_.wvu.PrintArea" localSheetId="14" hidden="1">'Performance 4000V 1750HP'!$A$1:$F$43</definedName>
    <definedName name="Z_852987ED_B4F5_11D1_ABEC_0000832EB49E_.wvu.PrintArea" localSheetId="7" hidden="1">'Performance 4000V 2000HP'!$A$1:$F$43</definedName>
    <definedName name="Z_852987ED_B4F5_11D1_ABEC_0000832EB49E_.wvu.PrintArea" localSheetId="12" hidden="1">'STCurve 1750HP'!$A$1:$F$43</definedName>
    <definedName name="Z_852987ED_B4F5_11D1_ABEC_0000832EB49E_.wvu.PrintArea" localSheetId="5" hidden="1">'STCurve 2000HP'!$A$1:$F$43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2" l="1"/>
  <c r="F39" i="22"/>
  <c r="C39" i="22"/>
  <c r="F9" i="22"/>
  <c r="F7" i="22"/>
  <c r="B7" i="22"/>
  <c r="B6" i="22"/>
  <c r="D43" i="21"/>
  <c r="F39" i="21"/>
  <c r="C39" i="21"/>
  <c r="F9" i="21"/>
  <c r="F7" i="21"/>
  <c r="B7" i="21"/>
  <c r="B6" i="21"/>
  <c r="J81" i="20"/>
  <c r="H81" i="20"/>
  <c r="H80" i="20"/>
  <c r="G80" i="20"/>
  <c r="H79" i="20"/>
  <c r="G79" i="20"/>
  <c r="H78" i="20"/>
  <c r="G78" i="20"/>
  <c r="H77" i="20"/>
  <c r="G77" i="20"/>
  <c r="H76" i="20"/>
  <c r="G76" i="20"/>
  <c r="C76" i="20"/>
  <c r="C77" i="20" s="1"/>
  <c r="C78" i="20" s="1"/>
  <c r="B76" i="20"/>
  <c r="H75" i="20"/>
  <c r="G75" i="20"/>
  <c r="C75" i="20"/>
  <c r="H74" i="20"/>
  <c r="G74" i="20"/>
  <c r="C74" i="20"/>
  <c r="B74" i="20"/>
  <c r="H73" i="20"/>
  <c r="G73" i="20"/>
  <c r="H72" i="20"/>
  <c r="G72" i="20"/>
  <c r="H71" i="20"/>
  <c r="G71" i="20"/>
  <c r="H70" i="20"/>
  <c r="G70" i="20"/>
  <c r="A70" i="20"/>
  <c r="A71" i="20" s="1"/>
  <c r="H69" i="20"/>
  <c r="G69" i="20"/>
  <c r="C69" i="20"/>
  <c r="A69" i="20"/>
  <c r="B69" i="20" s="1"/>
  <c r="B75" i="20" s="1"/>
  <c r="H68" i="20"/>
  <c r="E68" i="20"/>
  <c r="G68" i="20" s="1"/>
  <c r="D66" i="20"/>
  <c r="F50" i="20"/>
  <c r="D43" i="20"/>
  <c r="F39" i="20"/>
  <c r="C39" i="20"/>
  <c r="F9" i="20"/>
  <c r="F7" i="20"/>
  <c r="D7" i="20"/>
  <c r="B7" i="20"/>
  <c r="F6" i="20"/>
  <c r="B6" i="20"/>
  <c r="D43" i="19"/>
  <c r="F39" i="19"/>
  <c r="C39" i="19"/>
  <c r="C12" i="19"/>
  <c r="F9" i="19"/>
  <c r="F7" i="19"/>
  <c r="D7" i="19"/>
  <c r="B7" i="19"/>
  <c r="F6" i="19"/>
  <c r="B6" i="19"/>
  <c r="C71" i="20" l="1"/>
  <c r="B71" i="20"/>
  <c r="A72" i="20"/>
  <c r="C70" i="20"/>
  <c r="B70" i="20"/>
  <c r="B72" i="20" l="1"/>
  <c r="A73" i="20"/>
  <c r="B73" i="20" s="1"/>
  <c r="G69" i="9" l="1"/>
  <c r="G70" i="9"/>
  <c r="G71" i="9"/>
  <c r="G72" i="9"/>
  <c r="G73" i="9"/>
  <c r="G74" i="9"/>
  <c r="G75" i="9"/>
  <c r="G76" i="9"/>
  <c r="G77" i="9"/>
  <c r="G78" i="9"/>
  <c r="G79" i="9"/>
  <c r="G80" i="9"/>
  <c r="G68" i="9"/>
  <c r="C15" i="17"/>
  <c r="C13" i="17"/>
  <c r="B10" i="17"/>
  <c r="F9" i="17"/>
  <c r="B9" i="17"/>
  <c r="F8" i="17"/>
  <c r="F7" i="17"/>
  <c r="B7" i="17"/>
  <c r="B6" i="17"/>
  <c r="C15" i="13"/>
  <c r="C13" i="13"/>
  <c r="B10" i="13"/>
  <c r="F9" i="13"/>
  <c r="B9" i="13"/>
  <c r="F8" i="13"/>
  <c r="F7" i="13"/>
  <c r="B7" i="13"/>
  <c r="B6" i="13"/>
  <c r="B10" i="9"/>
  <c r="F9" i="9"/>
  <c r="B9" i="9"/>
  <c r="F8" i="9"/>
  <c r="F7" i="9"/>
  <c r="D7" i="9"/>
  <c r="B7" i="9"/>
  <c r="F6" i="9"/>
  <c r="B6" i="9"/>
  <c r="M56" i="2"/>
  <c r="F59" i="17" l="1"/>
  <c r="F58" i="17"/>
  <c r="F57" i="17"/>
  <c r="F56" i="17"/>
  <c r="F55" i="17"/>
  <c r="F54" i="17"/>
  <c r="O47" i="17"/>
  <c r="N47" i="17"/>
  <c r="O46" i="17"/>
  <c r="N46" i="17"/>
  <c r="O45" i="17"/>
  <c r="N45" i="17"/>
  <c r="O44" i="17"/>
  <c r="N44" i="17"/>
  <c r="O43" i="17"/>
  <c r="N43" i="17"/>
  <c r="D43" i="17"/>
  <c r="O42" i="17"/>
  <c r="N42" i="17"/>
  <c r="O41" i="17"/>
  <c r="N41" i="17"/>
  <c r="O40" i="17"/>
  <c r="N40" i="17"/>
  <c r="O39" i="17"/>
  <c r="N39" i="17"/>
  <c r="F39" i="17"/>
  <c r="C39" i="17"/>
  <c r="O38" i="17"/>
  <c r="N38" i="17"/>
  <c r="O37" i="17"/>
  <c r="N37" i="17"/>
  <c r="E59" i="17"/>
  <c r="F59" i="13"/>
  <c r="F58" i="13"/>
  <c r="F57" i="13"/>
  <c r="F56" i="13"/>
  <c r="F55" i="13"/>
  <c r="E55" i="13"/>
  <c r="F54" i="13"/>
  <c r="O47" i="13"/>
  <c r="N47" i="13"/>
  <c r="O46" i="13"/>
  <c r="N46" i="13"/>
  <c r="O45" i="13"/>
  <c r="N45" i="13"/>
  <c r="O44" i="13"/>
  <c r="N44" i="13"/>
  <c r="O43" i="13"/>
  <c r="N43" i="13"/>
  <c r="O42" i="13"/>
  <c r="N42" i="13"/>
  <c r="O41" i="13"/>
  <c r="N41" i="13"/>
  <c r="O40" i="13"/>
  <c r="N40" i="13"/>
  <c r="O39" i="13"/>
  <c r="N39" i="13"/>
  <c r="O38" i="13"/>
  <c r="N38" i="13"/>
  <c r="O37" i="13"/>
  <c r="N37" i="13"/>
  <c r="D43" i="13"/>
  <c r="D43" i="9"/>
  <c r="D43" i="10"/>
  <c r="C39" i="13"/>
  <c r="C39" i="9"/>
  <c r="C39" i="10"/>
  <c r="C15" i="9"/>
  <c r="C15" i="10"/>
  <c r="C13" i="9"/>
  <c r="C13" i="10"/>
  <c r="C12" i="9"/>
  <c r="C12" i="10"/>
  <c r="F39" i="13"/>
  <c r="F39" i="9"/>
  <c r="F39" i="10"/>
  <c r="F9" i="10"/>
  <c r="F8" i="10"/>
  <c r="F7" i="10"/>
  <c r="F6" i="10"/>
  <c r="D7" i="10"/>
  <c r="E59" i="13"/>
  <c r="B10" i="10"/>
  <c r="B9" i="10"/>
  <c r="B7" i="10"/>
  <c r="B6" i="10"/>
  <c r="D66" i="9"/>
  <c r="F50" i="9"/>
  <c r="E55" i="17" l="1"/>
  <c r="E56" i="17"/>
  <c r="E57" i="17"/>
  <c r="E58" i="17"/>
  <c r="E56" i="13"/>
  <c r="E57" i="13"/>
  <c r="E58" i="13"/>
  <c r="M28" i="3"/>
  <c r="M18" i="3"/>
  <c r="M52" i="2"/>
  <c r="M41" i="2"/>
  <c r="L41" i="2"/>
  <c r="M40" i="2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53" i="2" s="1"/>
  <c r="M47" i="2"/>
  <c r="N39" i="2" l="1"/>
  <c r="N38" i="2"/>
  <c r="N41" i="2"/>
  <c r="N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<sst xmlns="http://schemas.openxmlformats.org/spreadsheetml/2006/main" count="1521" uniqueCount="824">
  <si>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</si>
  <si>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</si>
  <si>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</si>
  <si>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</si>
  <si>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</si>
  <si>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</si>
  <si>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</si>
  <si>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</si>
  <si>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</si>
  <si>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</si>
  <si>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</si>
  <si>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</si>
  <si>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</si>
  <si>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</si>
  <si>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</si>
  <si>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</si>
  <si>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</si>
  <si>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</si>
  <si>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</si>
  <si>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</si>
  <si>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</si>
  <si>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</si>
  <si>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</si>
  <si>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</si>
  <si>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</si>
  <si>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</si>
  <si>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</si>
  <si>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</si>
  <si>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</si>
  <si>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</si>
  <si>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</si>
  <si>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</si>
  <si>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</si>
  <si>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</si>
  <si>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</si>
  <si>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</si>
  <si>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</si>
  <si>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</si>
  <si>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</si>
  <si>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</si>
  <si>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</si>
  <si>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</si>
  <si>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</si>
  <si>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</si>
  <si>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</si>
  <si>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</si>
  <si>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</si>
  <si>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</si>
  <si>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</si>
  <si>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</si>
  <si>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</si>
  <si>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</si>
  <si>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</si>
  <si>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</si>
  <si>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</si>
  <si>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</si>
  <si>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</si>
  <si>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</si>
  <si>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</si>
  <si>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</si>
  <si>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</si>
  <si>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</si>
  <si>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</si>
  <si>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</si>
  <si>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</si>
  <si>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</si>
  <si>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</si>
  <si>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</si>
  <si>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</si>
  <si>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</si>
  <si>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</si>
  <si>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</si>
  <si>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</si>
  <si>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</si>
  <si>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</si>
  <si>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</si>
  <si>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</si>
  <si>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</si>
  <si>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</si>
  <si>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</si>
  <si>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</si>
  <si>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</si>
  <si>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</si>
  <si>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</si>
  <si>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</si>
  <si>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</si>
  <si>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</si>
  <si>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</si>
  <si>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</si>
  <si>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</si>
  <si>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</si>
  <si>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</si>
  <si>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</si>
  <si>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</si>
  <si>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</si>
  <si>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</si>
  <si>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</si>
  <si>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</si>
  <si>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</si>
  <si>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</si>
  <si>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</si>
  <si>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</si>
  <si>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</si>
  <si>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</si>
  <si>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</si>
  <si>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</si>
  <si>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</si>
  <si>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</si>
  <si>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</si>
  <si>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</si>
  <si>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</si>
  <si>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</si>
  <si>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</si>
  <si>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</si>
  <si>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</si>
  <si>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</si>
  <si>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</si>
  <si>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</si>
  <si>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</si>
  <si>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</si>
  <si>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</si>
  <si>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</si>
  <si>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</si>
  <si>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</si>
  <si>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</si>
  <si>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</si>
  <si>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</si>
  <si>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</si>
  <si>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</si>
  <si>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</si>
  <si>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</si>
  <si>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</si>
  <si>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</si>
  <si>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</si>
  <si>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</si>
  <si>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</si>
  <si>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</si>
  <si>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</si>
  <si>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</si>
  <si>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</si>
  <si>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</si>
  <si>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</si>
  <si>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</si>
  <si>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</si>
  <si>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</si>
  <si>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</si>
  <si>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</si>
  <si>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</si>
  <si>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</si>
  <si>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</si>
  <si>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</si>
  <si>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</si>
  <si>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</si>
  <si>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</si>
  <si>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</si>
  <si>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</si>
  <si>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</si>
  <si>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</si>
  <si>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</si>
  <si>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</si>
  <si>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</si>
  <si>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</si>
  <si>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</si>
  <si>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</si>
  <si>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</si>
  <si>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</si>
  <si>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</si>
  <si>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</si>
  <si>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</si>
  <si>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</si>
  <si>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</si>
  <si>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</si>
  <si>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</si>
  <si>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</si>
  <si>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</si>
  <si>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</si>
  <si>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</si>
  <si>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</si>
  <si>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</si>
  <si>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</si>
  <si>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</si>
  <si>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</si>
  <si>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</si>
  <si>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</si>
  <si>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</si>
  <si>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</si>
  <si>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</si>
  <si>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</si>
  <si>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</si>
  <si>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</si>
  <si>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</si>
  <si>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</si>
  <si>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DCNW</t>
  </si>
  <si>
    <t>5811/12UDZ</t>
  </si>
  <si>
    <t>Open</t>
  </si>
  <si>
    <t>Trapeze</t>
  </si>
  <si>
    <t>10.20 - 10.20</t>
  </si>
  <si>
    <t>2.83 - 2.00</t>
  </si>
  <si>
    <t>Magnetic</t>
  </si>
  <si>
    <t>14 x 6</t>
  </si>
  <si>
    <t>13 x 6</t>
  </si>
  <si>
    <t>1 ~ 17</t>
  </si>
  <si>
    <t>(.114"x.204")x2</t>
  </si>
  <si>
    <t>Wye</t>
  </si>
  <si>
    <t>(105°C)</t>
  </si>
  <si>
    <t>CU</t>
  </si>
  <si>
    <t>ERD1: 284.0</t>
  </si>
  <si>
    <t>EBL: 45.0</t>
  </si>
  <si>
    <t>ERT: 44.00</t>
  </si>
  <si>
    <t>ERH: 42.00</t>
  </si>
  <si>
    <t>LB:  -</t>
  </si>
  <si>
    <t>LER:  -</t>
  </si>
  <si>
    <t>Single Cage Data</t>
  </si>
  <si>
    <t>UB: 304.0</t>
  </si>
  <si>
    <t>UER: 1848.0</t>
  </si>
  <si>
    <t>(Coeff.: 0.0252)</t>
  </si>
  <si>
    <t>Skew R.: 0.00</t>
  </si>
  <si>
    <t>G:\DESPRO\BASE MV DESIGNS\6800 FRAME\Electrical Design\2P\SERIES\DT2M40UEXP_ERchange.rat</t>
  </si>
  <si>
    <t>2-2-2-0-1-2</t>
  </si>
  <si>
    <t>B.L.-1  P.F.-1</t>
  </si>
  <si>
    <t>12384.0 / 11262.0</t>
  </si>
  <si>
    <t>10790.0 / 8317.0</t>
  </si>
  <si>
    <t>25150.7 / 17700.0</t>
  </si>
  <si>
    <t>7280.0 / 6042.0</t>
  </si>
  <si>
    <t>17283.8 / 10295.5</t>
  </si>
  <si>
    <t>1871.9 / 1115.1</t>
  </si>
  <si>
    <t>15411.9 / 9180.4</t>
  </si>
  <si>
    <t>1.75 / 1.04</t>
  </si>
  <si>
    <t>65 / 65</t>
  </si>
  <si>
    <t>Temp. Rise @ 100%:</t>
  </si>
  <si>
    <t>Stray Loss</t>
  </si>
  <si>
    <t>0.933 / 0.929</t>
  </si>
  <si>
    <t>0.961 / 0.956</t>
  </si>
  <si>
    <t>0.968 / 0.963</t>
  </si>
  <si>
    <t>0.970 / 0.965</t>
  </si>
  <si>
    <t>0.969 / 0.965</t>
  </si>
  <si>
    <t>0.659 / 0.656</t>
  </si>
  <si>
    <t>0.843 / 0.840</t>
  </si>
  <si>
    <t>0.897 / 0.894</t>
  </si>
  <si>
    <t>0.914 / 0.911</t>
  </si>
  <si>
    <t>0.918 / 0.915</t>
  </si>
  <si>
    <t>87.59 / 88.31</t>
  </si>
  <si>
    <t>132.95 / 134.04</t>
  </si>
  <si>
    <t>186.09 / 187.62</t>
  </si>
  <si>
    <t>242.90 / 244.89</t>
  </si>
  <si>
    <t>302.47 / 304.95</t>
  </si>
  <si>
    <t>4.20 / 4.24</t>
  </si>
  <si>
    <t>UB: 6.11 / 6.16</t>
  </si>
  <si>
    <t>UER: 6.08 / 6.13</t>
  </si>
  <si>
    <t>3593.7 / 3601.0</t>
  </si>
  <si>
    <t>3587.5 / 3594.8</t>
  </si>
  <si>
    <t>3581.2 / 3588.4</t>
  </si>
  <si>
    <t>3574.7 / 3582.0</t>
  </si>
  <si>
    <t>3568.3 / 3575.5</t>
  </si>
  <si>
    <t>0.0018 / -0.0003</t>
  </si>
  <si>
    <t>0.0035 / 0.0015</t>
  </si>
  <si>
    <t>0.0052 / 0.0032</t>
  </si>
  <si>
    <t>0.0070 / 0.0050</t>
  </si>
  <si>
    <t>0.0088 / 0.0068</t>
  </si>
  <si>
    <t>61.074 / 54.550</t>
  </si>
  <si>
    <t>2.492 / 2.226</t>
  </si>
  <si>
    <t>61.12 / 54.60</t>
  </si>
  <si>
    <t>1409.5 / 1548.5</t>
  </si>
  <si>
    <t>580.3 / 637.5</t>
  </si>
  <si>
    <t>472.5 / 566.9</t>
  </si>
  <si>
    <t>116.2 / 139.4</t>
  </si>
  <si>
    <t>290.1 / 216.2</t>
  </si>
  <si>
    <t>Correlated to: H402118_Test Lab 0620 &amp; 1797_RM_LRA 3015,3016,3017.dat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</si>
  <si>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</si>
  <si>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</si>
  <si>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</si>
  <si>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</si>
  <si>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</si>
  <si>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</si>
  <si>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</si>
  <si>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</si>
  <si>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</si>
  <si>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</si>
  <si>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</si>
  <si>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</si>
  <si>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</si>
  <si>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</si>
  <si>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</si>
  <si>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</si>
  <si>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</si>
  <si>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</si>
  <si>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</si>
  <si>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</si>
  <si>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</si>
  <si>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</si>
  <si>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</si>
  <si>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</si>
  <si>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</si>
  <si>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</si>
  <si>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</si>
  <si>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</si>
  <si>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</si>
  <si>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</si>
  <si>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</si>
  <si>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</si>
  <si>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</si>
  <si>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</si>
  <si>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</si>
  <si>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</si>
  <si>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</si>
  <si>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</si>
  <si>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</si>
  <si>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</si>
  <si>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</si>
  <si>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</si>
  <si>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</si>
  <si>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</si>
  <si>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</si>
  <si>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</si>
  <si>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</si>
  <si>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</si>
  <si>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</si>
  <si>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</si>
  <si>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</si>
  <si>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</si>
  <si>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</si>
  <si>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</si>
  <si>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</si>
  <si>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</si>
  <si>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</si>
  <si>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</si>
  <si>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</si>
  <si>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</si>
  <si>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</si>
  <si>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</si>
  <si>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</si>
  <si>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</si>
  <si>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</si>
  <si>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</si>
  <si>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</si>
  <si>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</si>
  <si>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</si>
  <si>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</si>
  <si>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</si>
  <si>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</si>
  <si>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</si>
  <si>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</si>
  <si>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</si>
  <si>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</si>
  <si>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</si>
  <si>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</si>
  <si>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</si>
  <si>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</si>
  <si>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</si>
  <si>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</si>
  <si>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</si>
  <si>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</si>
  <si>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</si>
  <si>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</si>
  <si>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</si>
  <si>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</si>
  <si>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</si>
  <si>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</si>
  <si>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</si>
  <si>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</si>
  <si>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</si>
  <si>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</si>
  <si>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</si>
  <si>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</si>
  <si>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</si>
  <si>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</si>
  <si>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</si>
  <si>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</si>
  <si>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</si>
  <si>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</si>
  <si>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</si>
  <si>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</si>
  <si>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</si>
  <si>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</si>
  <si>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</si>
  <si>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</si>
  <si>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</si>
  <si>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</si>
  <si>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</si>
  <si>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DT2M40UEXP_ERchange</t>
  </si>
  <si>
    <t>16 x 2</t>
  </si>
  <si>
    <t xml:space="preserve"> - </t>
  </si>
  <si>
    <t>424 / 2681</t>
  </si>
  <si>
    <t>616 / 613</t>
  </si>
  <si>
    <t>64.6 / 86</t>
  </si>
  <si>
    <t>DT2M40U (ER at end of bar)</t>
  </si>
  <si>
    <t>LINK:</t>
  </si>
  <si>
    <t xml:space="preserve">DT2M40UEXP_ERchange.rat &amp; </t>
  </si>
  <si>
    <t>H402118_Test Lab 0620 &amp; 1797_RM_LRA 3015,3016,3017.dat</t>
  </si>
  <si>
    <t>Rev.3 Update correlation.  Z.X 07/19/2019</t>
  </si>
  <si>
    <t>Rev.2 Update correlation.  Z.X 05/24/2019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</si>
  <si>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</si>
  <si>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</si>
  <si>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</si>
  <si>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</si>
  <si>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</si>
  <si>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</si>
  <si>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</si>
  <si>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</si>
  <si>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</si>
  <si>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184.8 kg.m²</t>
  </si>
  <si>
    <t>406.5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</si>
  <si>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</si>
  <si>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</si>
  <si>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</si>
  <si>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</si>
  <si>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</si>
  <si>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</si>
  <si>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</si>
  <si>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</si>
  <si>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</si>
  <si>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</si>
  <si>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</si>
  <si>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</si>
  <si>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</si>
  <si>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</si>
  <si>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</si>
  <si>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</si>
  <si>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</si>
  <si>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</si>
  <si>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</si>
  <si>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</si>
  <si>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</si>
  <si>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</si>
  <si>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</si>
  <si>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</si>
  <si>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</si>
  <si>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</si>
  <si>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</si>
  <si>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</si>
  <si>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</si>
  <si>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</si>
  <si>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</si>
  <si>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</si>
  <si>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</si>
  <si>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</si>
  <si>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</si>
  <si>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</si>
  <si>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</si>
  <si>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</si>
  <si>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</si>
  <si>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- 2000.0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</si>
  <si>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</si>
  <si>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</si>
  <si>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</si>
  <si>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</si>
  <si>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</si>
  <si>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</si>
  <si>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</si>
  <si>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</si>
  <si>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</si>
  <si>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</si>
  <si>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</si>
  <si>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3564~3575</t>
  </si>
  <si>
    <t/>
  </si>
  <si>
    <t>Load Type: Fan / Pump - 1096.1 lb-ft²</t>
  </si>
  <si>
    <t>135.0</t>
  </si>
  <si>
    <t>135.1</t>
  </si>
  <si>
    <t>136.6</t>
  </si>
  <si>
    <t>141.3</t>
  </si>
  <si>
    <t>153.8</t>
  </si>
  <si>
    <t>189.0</t>
  </si>
  <si>
    <t>157.5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</si>
  <si>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</si>
  <si>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</si>
  <si>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</si>
  <si>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</si>
  <si>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</si>
  <si>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</si>
  <si>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</si>
  <si>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</si>
  <si>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</si>
  <si>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</si>
  <si>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</si>
  <si>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</si>
  <si>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0.493</t>
  </si>
  <si>
    <t>0.448</t>
  </si>
  <si>
    <t>0.433</t>
  </si>
  <si>
    <t>0.435</t>
  </si>
  <si>
    <t>0.452</t>
  </si>
  <si>
    <t>0.483</t>
  </si>
  <si>
    <t>0.535</t>
  </si>
  <si>
    <t>0.624</t>
  </si>
  <si>
    <t>0.358</t>
  </si>
  <si>
    <t>0.362</t>
  </si>
  <si>
    <t>0.283</t>
  </si>
  <si>
    <t>0.027</t>
  </si>
  <si>
    <t>1546.2</t>
  </si>
  <si>
    <t>1540.0</t>
  </si>
  <si>
    <t>1532.6</t>
  </si>
  <si>
    <t>1524.1</t>
  </si>
  <si>
    <t>1514.3</t>
  </si>
  <si>
    <t>1503.0</t>
  </si>
  <si>
    <t>1489.6</t>
  </si>
  <si>
    <t>1469.7</t>
  </si>
  <si>
    <t>1443.1</t>
  </si>
  <si>
    <t>1395.3</t>
  </si>
  <si>
    <t>1240.7</t>
  </si>
  <si>
    <t>733.0</t>
  </si>
  <si>
    <t>248.1</t>
  </si>
  <si>
    <t>224.2</t>
  </si>
  <si>
    <t>214.8</t>
  </si>
  <si>
    <t>213.6</t>
  </si>
  <si>
    <t>219.1</t>
  </si>
  <si>
    <t>231.0</t>
  </si>
  <si>
    <t>251.7</t>
  </si>
  <si>
    <t>287.8</t>
  </si>
  <si>
    <t>159.7</t>
  </si>
  <si>
    <t>155.1</t>
  </si>
  <si>
    <t>110.0</t>
  </si>
  <si>
    <t>0.3</t>
  </si>
  <si>
    <t>959.3</t>
  </si>
  <si>
    <t>782.2</t>
  </si>
  <si>
    <t>668.0</t>
  </si>
  <si>
    <t>582.8</t>
  </si>
  <si>
    <t>513.4</t>
  </si>
  <si>
    <t>450.7</t>
  </si>
  <si>
    <t>390.4</t>
  </si>
  <si>
    <t>329.4</t>
  </si>
  <si>
    <t>237.3</t>
  </si>
  <si>
    <t>172.2</t>
  </si>
  <si>
    <t>82.6</t>
  </si>
  <si>
    <t>20.6</t>
  </si>
  <si>
    <t>2315 kW / s</t>
  </si>
  <si>
    <t>3745 kW / s</t>
  </si>
  <si>
    <t>1444 kW / s</t>
  </si>
  <si>
    <t>22°C</t>
  </si>
  <si>
    <t>117°C</t>
  </si>
  <si>
    <t>110°C</t>
  </si>
  <si>
    <t>45°C</t>
  </si>
  <si>
    <t>234°C</t>
  </si>
  <si>
    <t>221°C</t>
  </si>
  <si>
    <t>Acceleration Time:  4.9 s</t>
  </si>
  <si>
    <t>45.5°C / s</t>
  </si>
  <si>
    <t>42.9°C / s</t>
  </si>
  <si>
    <t>1453.7 kW</t>
  </si>
  <si>
    <t>560.5 kW</t>
  </si>
  <si>
    <t>5.7 s</t>
  </si>
  <si>
    <t>4.2 s</t>
  </si>
  <si>
    <t>10.0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</si>
  <si>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</si>
  <si>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</si>
  <si>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</si>
  <si>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</si>
  <si>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</si>
  <si>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</si>
  <si>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</si>
  <si>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</si>
  <si>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</si>
  <si>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</si>
  <si>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</si>
  <si>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</si>
  <si>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</si>
  <si>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</si>
  <si>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</si>
  <si>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</si>
  <si>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</si>
  <si>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</si>
  <si>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</si>
  <si>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</si>
  <si>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</si>
  <si>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241.3 lb-ft²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</si>
  <si>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</si>
  <si>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</si>
  <si>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</si>
  <si>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</si>
  <si>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</si>
  <si>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</si>
  <si>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5.6°C / s</t>
  </si>
  <si>
    <t>580.5 kW</t>
  </si>
  <si>
    <t>28.5 s</t>
  </si>
  <si>
    <t>65°C    +</t>
  </si>
  <si>
    <t>85°C    +</t>
  </si>
  <si>
    <t>95°C    +</t>
  </si>
  <si>
    <t>175°C   +</t>
  </si>
  <si>
    <t>95°C   +</t>
  </si>
  <si>
    <t>17.0 s</t>
  </si>
  <si>
    <t>3.8 s</t>
  </si>
  <si>
    <t>2.2 s</t>
  </si>
  <si>
    <t>5.3 s</t>
  </si>
  <si>
    <t>Torque 80%</t>
  </si>
  <si>
    <t>LRA 80%</t>
  </si>
  <si>
    <t>Acceleration Data (FV / 0.80 V)</t>
  </si>
  <si>
    <t>4.9 / 10.3 (s)</t>
  </si>
  <si>
    <t>FV / 0.80 (V)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</si>
  <si>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</si>
  <si>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</si>
  <si>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</si>
  <si>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</si>
  <si>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</si>
  <si>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</si>
  <si>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</si>
  <si>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</si>
  <si>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</si>
  <si>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</si>
  <si>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</si>
  <si>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</si>
  <si>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</si>
  <si>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</si>
  <si>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</si>
  <si>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</si>
  <si>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</si>
  <si>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</si>
  <si>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</si>
  <si>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</si>
  <si>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</si>
  <si>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</si>
  <si>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</si>
  <si>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</si>
  <si>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</si>
  <si>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</si>
  <si>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</si>
  <si>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</si>
  <si>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</si>
  <si>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</si>
  <si>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</si>
  <si>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</si>
  <si>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</si>
  <si>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</si>
  <si>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</si>
  <si>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</si>
  <si>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</si>
  <si>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</si>
  <si>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</si>
  <si>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</si>
  <si>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</si>
  <si>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</si>
  <si>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</si>
  <si>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</si>
  <si>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</si>
  <si>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</si>
  <si>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</si>
  <si>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</si>
  <si>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</si>
  <si>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</si>
  <si>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</si>
  <si>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</si>
  <si>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</si>
  <si>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</si>
  <si>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</si>
  <si>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</si>
  <si>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</si>
  <si>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</si>
  <si>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</si>
  <si>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</si>
  <si>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</si>
  <si>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</si>
  <si>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</si>
  <si>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</si>
  <si>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</si>
  <si>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</si>
  <si>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</si>
  <si>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</si>
  <si>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</si>
  <si>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</si>
  <si>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</si>
  <si>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</si>
  <si>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</si>
  <si>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</si>
  <si>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</si>
  <si>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</si>
  <si>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</si>
  <si>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</si>
  <si>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</si>
  <si>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</si>
  <si>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</si>
  <si>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</si>
  <si>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</si>
  <si>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</si>
  <si>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</si>
  <si>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</si>
  <si>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</si>
  <si>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</si>
  <si>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</si>
  <si>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</si>
  <si>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</si>
  <si>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</si>
  <si>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</si>
  <si>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</si>
  <si>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</si>
  <si>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</si>
  <si>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</si>
  <si>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</si>
  <si>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</si>
  <si>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</si>
  <si>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</si>
  <si>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</si>
  <si>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</si>
  <si>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</si>
  <si>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</si>
  <si>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</si>
  <si>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</si>
  <si>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</si>
  <si>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WP-II</t>
  </si>
  <si>
    <t>1.0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</si>
  <si>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</si>
  <si>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</si>
  <si>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</si>
  <si>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</si>
  <si>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</si>
  <si>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</si>
  <si>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</si>
  <si>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DT2M40U</t>
  </si>
  <si>
    <t>Rev.4 Remove temperature rise from 0620 test.  Z.X 02/11/20</t>
  </si>
  <si>
    <t>MPCF-1109</t>
  </si>
  <si>
    <t>EQUIVALENT CIRCUIT DATA</t>
  </si>
  <si>
    <t>NEW</t>
  </si>
  <si>
    <t>REV. 0</t>
  </si>
  <si>
    <t xml:space="preserve">All Values are Presented in Ohms/Phase, Equivalent Wye Connection. </t>
  </si>
  <si>
    <t>Paul Anderson</t>
  </si>
  <si>
    <t>Primary Resistance (R1) :</t>
  </si>
  <si>
    <t>Secondary Resistance (R2) :</t>
  </si>
  <si>
    <t>Starting Secondary Resistance (R3) :</t>
  </si>
  <si>
    <t>Primary Reactance (X1) :</t>
  </si>
  <si>
    <t>Secondary Reactance (X2) :</t>
  </si>
  <si>
    <t>Starting Secondary Reactance (X3) :</t>
  </si>
  <si>
    <t>Magnetizing Reactance (Xm) :</t>
  </si>
  <si>
    <t>Transient Reactance :</t>
  </si>
  <si>
    <t>Sub Transient Reactance :</t>
  </si>
  <si>
    <t>Short Circuit Time Constant :</t>
  </si>
  <si>
    <t>Sub Transient Time Constant :</t>
  </si>
  <si>
    <t>Open Circuit Time Constant :</t>
  </si>
  <si>
    <t>MPCF-1082</t>
  </si>
  <si>
    <t>2/14/02</t>
  </si>
  <si>
    <t>M. CAMPBELL</t>
  </si>
  <si>
    <t>API 541 PERFORMANCE SPECIFICATIONS</t>
  </si>
  <si>
    <t>P.A.A</t>
  </si>
  <si>
    <t>LOCKED ROTOR DATA</t>
  </si>
  <si>
    <t>AMPS AT RATED VOLTAGE:</t>
  </si>
  <si>
    <t>POWER FACTOR:</t>
  </si>
  <si>
    <t>AMPS AT 80% VOLTAGE:</t>
  </si>
  <si>
    <t>TORQUE VALUES</t>
  </si>
  <si>
    <t>CURVE NUMBERS</t>
  </si>
  <si>
    <t>FULL LOAD (LB.FT):</t>
  </si>
  <si>
    <t>SPEED-TORQUE CURVE:</t>
  </si>
  <si>
    <t>LOCKED ROTOR TORQUE (% OF FLT):</t>
  </si>
  <si>
    <t>SPEED-CURRENT CURVE:</t>
  </si>
  <si>
    <t>PULL UP TORQUE (% OF FLT):</t>
  </si>
  <si>
    <t>ACCELERATION CURVE:</t>
  </si>
  <si>
    <t>BREAKDOWN TORQUE (% OF FLT):</t>
  </si>
  <si>
    <t>LOCKED ROTOR WITHSTAND TIMES</t>
  </si>
  <si>
    <t>COLD CONDITION</t>
  </si>
  <si>
    <t>HOT CONDITION</t>
  </si>
  <si>
    <t>100% VOLTAGE:</t>
  </si>
  <si>
    <t>16 (s)</t>
  </si>
  <si>
    <t>10 (s)</t>
  </si>
  <si>
    <t>90% VOLTAGE:</t>
  </si>
  <si>
    <t>80% VOLTAGE:</t>
  </si>
  <si>
    <t>70% VOLTAGE:</t>
  </si>
  <si>
    <t>DESIGN DATA</t>
  </si>
  <si>
    <r>
      <t>MOTOR ROTOR wk</t>
    </r>
    <r>
      <rPr>
        <vertAlign val="superscript"/>
        <sz val="8"/>
        <rFont val="Univers"/>
        <family val="2"/>
      </rPr>
      <t xml:space="preserve">2 </t>
    </r>
    <r>
      <rPr>
        <sz val="8"/>
        <rFont val="Univers"/>
        <family val="2"/>
      </rPr>
      <t>(LB.FT</t>
    </r>
    <r>
      <rPr>
        <vertAlign val="superscript"/>
        <sz val="8"/>
        <rFont val="Univers"/>
        <family val="2"/>
      </rPr>
      <t>2</t>
    </r>
    <r>
      <rPr>
        <sz val="8"/>
        <rFont val="Univers"/>
        <family val="2"/>
      </rPr>
      <t>):</t>
    </r>
  </si>
  <si>
    <t>241.3</t>
  </si>
  <si>
    <t>NO LOAD CURRENT:</t>
  </si>
  <si>
    <t>AIR GAP:</t>
  </si>
  <si>
    <t>3.3 mm</t>
  </si>
  <si>
    <t>ACCELERATION TIME:</t>
  </si>
  <si>
    <t>LOAD CHARACTERISTICS</t>
  </si>
  <si>
    <t>LOAD</t>
  </si>
  <si>
    <t>1/2</t>
  </si>
  <si>
    <t>3/4</t>
  </si>
  <si>
    <t>FULL</t>
  </si>
  <si>
    <t>SF</t>
  </si>
  <si>
    <t>AMPS (A)</t>
  </si>
  <si>
    <t>EFFICIENCY (%)</t>
  </si>
  <si>
    <t>POWER FACTOR (%)</t>
  </si>
  <si>
    <t>GUARENTEED EFFICIENCY (%)</t>
  </si>
  <si>
    <t>EFFICIENCY TO BE DETERMINED BY IEEE 112, METHOD B</t>
  </si>
  <si>
    <t>ALL CHARACTERISTICS ARE AVERAGE EXPECTED VALUES BASED UPON RATED VOLTAGE, FREQUENCY AND SINEWAVE POWER INPUT.</t>
  </si>
  <si>
    <t>JOHNSON CONTROL INC</t>
  </si>
  <si>
    <t>2177141.1</t>
  </si>
  <si>
    <t>5812UDZ</t>
  </si>
  <si>
    <t>DCNLW</t>
  </si>
  <si>
    <t>A1-10032592</t>
  </si>
  <si>
    <t>JERRY R</t>
  </si>
  <si>
    <t>8 (s)</t>
  </si>
  <si>
    <t>14 (s)</t>
  </si>
  <si>
    <t>17 (s)</t>
  </si>
  <si>
    <t>22 (s)</t>
  </si>
  <si>
    <t>28 (s)</t>
  </si>
  <si>
    <t>13 (s)</t>
  </si>
  <si>
    <t>DT2M40U_REV4.</t>
  </si>
  <si>
    <t>1545 A</t>
  </si>
  <si>
    <t>1226 A</t>
  </si>
  <si>
    <t>56 A</t>
  </si>
  <si>
    <t>2 / 3 (s)</t>
  </si>
  <si>
    <t xml:space="preserve"> 361-N126-6L2DYINT (3L2YINT), 362-N126-08</t>
  </si>
  <si>
    <t>RSO2: 400-H402118, 135-H402118-100</t>
  </si>
  <si>
    <t>V.Phillips</t>
  </si>
  <si>
    <t>2300 V</t>
  </si>
  <si>
    <t>424 A</t>
  </si>
  <si>
    <t>2683 A</t>
  </si>
  <si>
    <t>2683 / 1549</t>
  </si>
  <si>
    <t>424 / 245</t>
  </si>
  <si>
    <t>Type: TIKE - Form: DCNW - 2 Pole - 2000 HP - 2300/4000 V - 60 Hz - 5811/12UDZ - Class F</t>
  </si>
  <si>
    <t>2 Delta / 2 x Wye</t>
  </si>
  <si>
    <t>REV5. ADDED 2300V DATA. For 2300V only,</t>
  </si>
  <si>
    <t>you must use 361-N126-6L2DYINT due to FLA.</t>
  </si>
  <si>
    <t>JROD 01/30/2024</t>
  </si>
  <si>
    <t>365.0 lb-ft²</t>
  </si>
  <si>
    <t>1.15</t>
  </si>
  <si>
    <t>615.4</t>
  </si>
  <si>
    <t>2300/4000</t>
  </si>
  <si>
    <t>2683/1549</t>
  </si>
  <si>
    <t>HEARTLAND MOTORS INC</t>
  </si>
  <si>
    <t>2374928.4</t>
  </si>
  <si>
    <t>5812USS</t>
  </si>
  <si>
    <t>DCW4</t>
  </si>
  <si>
    <t>2 / 4 (s)</t>
  </si>
  <si>
    <t>1549 A</t>
  </si>
  <si>
    <t>245 A</t>
  </si>
  <si>
    <t>4000 V</t>
  </si>
  <si>
    <t>372/215</t>
  </si>
  <si>
    <t>DCKW4</t>
  </si>
  <si>
    <t>G</t>
  </si>
  <si>
    <t>3UKM40L1S50150</t>
  </si>
  <si>
    <t>Jerry R</t>
  </si>
  <si>
    <t>335.4 lb-ft²</t>
  </si>
  <si>
    <t>H110345</t>
  </si>
  <si>
    <t>2564 lb-ft</t>
  </si>
  <si>
    <t>215 A</t>
  </si>
  <si>
    <t>372 A</t>
  </si>
  <si>
    <t>M401WTAL11E-CH</t>
  </si>
  <si>
    <t>M403WTAL11E-CH</t>
  </si>
  <si>
    <t>NL &amp; Impedance Test                     4000V            2300V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</si>
</sst>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  <numFmt numFmtId="173" formatCode="m/d/yy"/>
    <numFmt numFmtId="174" formatCode="0.000\ &quot;Ohms/Phase&quot;"/>
    <numFmt numFmtId="175" formatCode="0.00000\ &quot;Ohm&quot;"/>
    <numFmt numFmtId="176" formatCode="@\ &quot;ohm&quot;"/>
    <numFmt numFmtId="177" formatCode="0.0000\ &quot;Ohm&quot;"/>
    <numFmt numFmtId="178" formatCode="&quot;#,##0.00&quot;\ @\ &quot;ohm&quot;"/>
    <numFmt numFmtId="179" formatCode="0.0000\ &quot;Ohms&quot;"/>
    <numFmt numFmtId="180" formatCode="0.00\ &quot;Ohms&quot;"/>
    <numFmt numFmtId="181" formatCode=".0"/>
    <numFmt numFmtId="182" formatCode="\ 0.0\ \A"/>
    <numFmt numFmtId="183" formatCode="0.0000\ &quot;Ohms/Phase&quot;"/>
    <numFmt numFmtId="184" formatCode="0.00\ &quot;Ohms/Phase&quot;"/>
    <numFmt numFmtId="185" formatCode="General&quot;°C&quot;"/>
  </numFmts>
  <fonts count="10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i/>
      <sz val="10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name val="Helv"/>
    </font>
    <font>
      <b/>
      <sz val="12"/>
      <name val="Univers (W1)"/>
    </font>
    <font>
      <sz val="10"/>
      <name val="Univers (W1)"/>
    </font>
    <font>
      <i/>
      <sz val="10"/>
      <name val="Script"/>
      <family val="4"/>
      <charset val="255"/>
    </font>
    <font>
      <sz val="12"/>
      <name val="Univers"/>
      <family val="2"/>
    </font>
    <font>
      <sz val="9"/>
      <name val="Helv"/>
    </font>
    <font>
      <sz val="11"/>
      <name val="Univers (W1)"/>
      <family val="2"/>
    </font>
    <font>
      <sz val="11"/>
      <name val="Univers (W1)"/>
    </font>
    <font>
      <sz val="12"/>
      <name val="Lucida Calligraphy"/>
      <family val="4"/>
    </font>
    <font>
      <sz val="10"/>
      <name val="Univers"/>
      <family val="2"/>
    </font>
    <font>
      <sz val="9"/>
      <name val="Univers"/>
      <family val="2"/>
    </font>
    <font>
      <sz val="8"/>
      <name val="Univers"/>
      <family val="2"/>
    </font>
    <font>
      <sz val="11"/>
      <name val="Univers"/>
      <family val="2"/>
    </font>
    <font>
      <vertAlign val="superscript"/>
      <sz val="8"/>
      <name val="Univers"/>
      <family val="2"/>
    </font>
    <font>
      <sz val="8"/>
      <name val="Helv"/>
    </font>
    <font>
      <b/>
      <sz val="12"/>
      <name val="Helv"/>
    </font>
    <font>
      <sz val="7"/>
      <name val="Univers (W1)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6">
    <xf numFmtId="0" fontId="0" fillId="0" borderId="0"/>
    <xf numFmtId="0" fontId="24" fillId="0" borderId="0"/>
    <xf numFmtId="0" fontId="24" fillId="0" borderId="0"/>
    <xf numFmtId="0" fontId="54" fillId="0" borderId="0"/>
    <xf numFmtId="0" fontId="2" fillId="0" borderId="0"/>
    <xf numFmtId="172" fontId="69" fillId="0" borderId="0"/>
    <xf numFmtId="172" fontId="69" fillId="0" borderId="0"/>
    <xf numFmtId="0" fontId="82" fillId="0" borderId="0"/>
    <xf numFmtId="0" fontId="69" fillId="0" borderId="0"/>
    <xf numFmtId="172" fontId="69" fillId="0" borderId="0"/>
    <xf numFmtId="0" fontId="24" fillId="0" borderId="0"/>
    <xf numFmtId="0" fontId="1" fillId="0" borderId="0"/>
    <xf numFmtId="0" fontId="69" fillId="0" borderId="0"/>
    <xf numFmtId="0" fontId="69" fillId="0" borderId="0"/>
    <xf numFmtId="0" fontId="2" fillId="0" borderId="0"/>
    <xf numFmtId="0" fontId="2" fillId="0" borderId="0"/>
  </cellStyleXfs>
  <cellXfs count="1041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4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center"/>
    </xf>
    <xf numFmtId="0" fontId="4" fillId="0" borderId="4" xfId="0" applyFont="1" applyBorder="1"/>
    <xf numFmtId="0" fontId="3" fillId="0" borderId="0" xfId="0" applyFont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10" xfId="0" applyFont="1" applyBorder="1"/>
    <xf numFmtId="0" fontId="4" fillId="0" borderId="11" xfId="0" applyFont="1" applyBorder="1" applyAlignment="1">
      <alignment horizontal="right"/>
    </xf>
    <xf numFmtId="0" fontId="4" fillId="0" borderId="7" xfId="0" applyFont="1" applyBorder="1" applyAlignment="1">
      <alignment horizontal="centerContinuous"/>
    </xf>
    <xf numFmtId="0" fontId="5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3" fillId="0" borderId="14" xfId="0" applyFont="1" applyBorder="1"/>
    <xf numFmtId="0" fontId="5" fillId="0" borderId="15" xfId="0" applyFont="1" applyBorder="1"/>
    <xf numFmtId="0" fontId="3" fillId="0" borderId="14" xfId="0" applyFont="1" applyBorder="1" applyAlignment="1">
      <alignment horizontal="centerContinuous"/>
    </xf>
    <xf numFmtId="0" fontId="3" fillId="0" borderId="16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6" fillId="0" borderId="0" xfId="0" applyFont="1"/>
    <xf numFmtId="0" fontId="7" fillId="0" borderId="0" xfId="0" applyFont="1" applyAlignment="1">
      <alignment horizontal="centerContinuous"/>
    </xf>
    <xf numFmtId="0" fontId="3" fillId="0" borderId="1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3" fillId="0" borderId="21" xfId="0" applyFont="1" applyBorder="1"/>
    <xf numFmtId="0" fontId="4" fillId="0" borderId="2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3" xfId="0" applyFont="1" applyBorder="1"/>
    <xf numFmtId="0" fontId="5" fillId="0" borderId="0" xfId="0" applyFont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21" xfId="0" applyFont="1" applyBorder="1"/>
    <xf numFmtId="0" fontId="6" fillId="0" borderId="23" xfId="0" applyFont="1" applyBorder="1"/>
    <xf numFmtId="0" fontId="6" fillId="0" borderId="24" xfId="0" applyFont="1" applyBorder="1"/>
    <xf numFmtId="0" fontId="4" fillId="0" borderId="0" xfId="0" applyFont="1" applyAlignment="1">
      <alignment horizontal="right"/>
    </xf>
    <xf numFmtId="0" fontId="3" fillId="0" borderId="2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9" xfId="0" applyFont="1" applyBorder="1" applyAlignment="1">
      <alignment horizontal="centerContinuous"/>
    </xf>
    <xf numFmtId="0" fontId="3" fillId="0" borderId="31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3" fillId="0" borderId="32" xfId="0" applyNumberFormat="1" applyFont="1" applyBorder="1" applyAlignment="1">
      <alignment horizontal="center"/>
    </xf>
    <xf numFmtId="166" fontId="3" fillId="0" borderId="25" xfId="0" applyNumberFormat="1" applyFont="1" applyBorder="1" applyAlignment="1">
      <alignment horizontal="center"/>
    </xf>
    <xf numFmtId="167" fontId="3" fillId="0" borderId="25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166" fontId="3" fillId="0" borderId="33" xfId="0" applyNumberFormat="1" applyFont="1" applyBorder="1" applyAlignment="1">
      <alignment horizontal="center"/>
    </xf>
    <xf numFmtId="2" fontId="3" fillId="0" borderId="33" xfId="0" applyNumberFormat="1" applyFont="1" applyBorder="1" applyAlignment="1">
      <alignment horizontal="center"/>
    </xf>
    <xf numFmtId="167" fontId="3" fillId="0" borderId="33" xfId="0" applyNumberFormat="1" applyFont="1" applyBorder="1" applyAlignment="1">
      <alignment horizontal="center"/>
    </xf>
    <xf numFmtId="167" fontId="3" fillId="0" borderId="34" xfId="0" applyNumberFormat="1" applyFont="1" applyBorder="1" applyAlignment="1">
      <alignment horizontal="center"/>
    </xf>
    <xf numFmtId="167" fontId="3" fillId="0" borderId="10" xfId="0" applyNumberFormat="1" applyFont="1" applyBorder="1" applyAlignment="1">
      <alignment horizontal="center"/>
    </xf>
    <xf numFmtId="167" fontId="3" fillId="0" borderId="30" xfId="0" applyNumberFormat="1" applyFont="1" applyBorder="1" applyAlignment="1">
      <alignment horizontal="center"/>
    </xf>
    <xf numFmtId="167" fontId="3" fillId="0" borderId="35" xfId="0" applyNumberFormat="1" applyFont="1" applyBorder="1" applyAlignment="1">
      <alignment horizontal="center"/>
    </xf>
    <xf numFmtId="167" fontId="3" fillId="0" borderId="36" xfId="0" applyNumberFormat="1" applyFont="1" applyBorder="1" applyAlignment="1">
      <alignment horizontal="center"/>
    </xf>
    <xf numFmtId="167" fontId="3" fillId="0" borderId="37" xfId="0" applyNumberFormat="1" applyFont="1" applyBorder="1" applyAlignment="1">
      <alignment horizontal="center"/>
    </xf>
    <xf numFmtId="166" fontId="3" fillId="0" borderId="26" xfId="0" applyNumberFormat="1" applyFont="1" applyBorder="1" applyAlignment="1">
      <alignment horizontal="center"/>
    </xf>
    <xf numFmtId="167" fontId="3" fillId="0" borderId="38" xfId="0" applyNumberFormat="1" applyFont="1" applyBorder="1" applyAlignment="1">
      <alignment horizontal="center"/>
    </xf>
    <xf numFmtId="167" fontId="3" fillId="0" borderId="39" xfId="0" applyNumberFormat="1" applyFont="1" applyBorder="1" applyAlignment="1">
      <alignment horizontal="center"/>
    </xf>
    <xf numFmtId="167" fontId="3" fillId="0" borderId="26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0" fontId="4" fillId="0" borderId="0" xfId="0" applyFont="1"/>
    <xf numFmtId="2" fontId="3" fillId="0" borderId="27" xfId="0" applyNumberFormat="1" applyFont="1" applyBorder="1" applyAlignment="1">
      <alignment horizontal="center"/>
    </xf>
    <xf numFmtId="2" fontId="10" fillId="0" borderId="40" xfId="0" applyNumberFormat="1" applyFont="1" applyBorder="1" applyAlignment="1">
      <alignment horizontal="centerContinuous"/>
    </xf>
    <xf numFmtId="0" fontId="10" fillId="0" borderId="40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167" fontId="3" fillId="0" borderId="42" xfId="0" applyNumberFormat="1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7" xfId="0" applyFont="1" applyBorder="1" applyAlignment="1">
      <alignment horizontal="centerContinuous"/>
    </xf>
    <xf numFmtId="0" fontId="5" fillId="0" borderId="12" xfId="0" applyFont="1" applyBorder="1" applyAlignment="1">
      <alignment horizontal="left"/>
    </xf>
    <xf numFmtId="0" fontId="4" fillId="0" borderId="45" xfId="0" applyFont="1" applyBorder="1"/>
    <xf numFmtId="0" fontId="3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3" fillId="0" borderId="25" xfId="0" applyNumberFormat="1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45" xfId="0" applyFont="1" applyBorder="1"/>
    <xf numFmtId="0" fontId="6" fillId="0" borderId="46" xfId="0" applyFont="1" applyBorder="1"/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centerContinuous"/>
    </xf>
    <xf numFmtId="2" fontId="4" fillId="0" borderId="20" xfId="0" quotePrefix="1" applyNumberFormat="1" applyFont="1" applyBorder="1" applyAlignment="1">
      <alignment horizontal="center"/>
    </xf>
    <xf numFmtId="2" fontId="4" fillId="0" borderId="47" xfId="0" quotePrefix="1" applyNumberFormat="1" applyFont="1" applyBorder="1" applyAlignment="1">
      <alignment horizontal="center"/>
    </xf>
    <xf numFmtId="2" fontId="4" fillId="0" borderId="30" xfId="0" quotePrefix="1" applyNumberFormat="1" applyFont="1" applyBorder="1" applyAlignment="1">
      <alignment horizontal="center"/>
    </xf>
    <xf numFmtId="2" fontId="4" fillId="0" borderId="30" xfId="0" applyNumberFormat="1" applyFont="1" applyBorder="1" applyAlignment="1">
      <alignment horizontal="center"/>
    </xf>
    <xf numFmtId="166" fontId="4" fillId="0" borderId="20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7" xfId="0" applyFont="1" applyBorder="1" applyAlignment="1">
      <alignment horizontal="centerContinuous"/>
    </xf>
    <xf numFmtId="0" fontId="12" fillId="0" borderId="8" xfId="0" applyFont="1" applyBorder="1" applyAlignment="1">
      <alignment horizontal="centerContinuous"/>
    </xf>
    <xf numFmtId="2" fontId="3" fillId="0" borderId="48" xfId="0" applyNumberFormat="1" applyFont="1" applyBorder="1" applyAlignment="1">
      <alignment horizontal="center"/>
    </xf>
    <xf numFmtId="2" fontId="3" fillId="0" borderId="24" xfId="0" applyNumberFormat="1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4" fillId="0" borderId="49" xfId="0" applyFont="1" applyBorder="1" applyAlignment="1">
      <alignment horizontal="right"/>
    </xf>
    <xf numFmtId="167" fontId="15" fillId="0" borderId="1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3" fillId="0" borderId="50" xfId="0" applyFont="1" applyBorder="1"/>
    <xf numFmtId="0" fontId="2" fillId="0" borderId="45" xfId="0" applyFont="1" applyBorder="1"/>
    <xf numFmtId="0" fontId="2" fillId="0" borderId="3" xfId="0" applyFont="1" applyBorder="1"/>
    <xf numFmtId="0" fontId="2" fillId="0" borderId="13" xfId="0" applyFont="1" applyBorder="1"/>
    <xf numFmtId="49" fontId="3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/>
    <xf numFmtId="165" fontId="0" fillId="0" borderId="0" xfId="0" applyNumberFormat="1"/>
    <xf numFmtId="167" fontId="0" fillId="0" borderId="0" xfId="0" applyNumberFormat="1"/>
    <xf numFmtId="168" fontId="3" fillId="2" borderId="1" xfId="0" applyNumberFormat="1" applyFont="1" applyFill="1" applyBorder="1" applyAlignment="1">
      <alignment horizontal="center"/>
    </xf>
    <xf numFmtId="0" fontId="3" fillId="3" borderId="0" xfId="0" applyFont="1" applyFill="1"/>
    <xf numFmtId="0" fontId="18" fillId="4" borderId="0" xfId="0" applyFont="1" applyFill="1"/>
    <xf numFmtId="0" fontId="6" fillId="4" borderId="0" xfId="0" applyFont="1" applyFill="1"/>
    <xf numFmtId="0" fontId="5" fillId="0" borderId="41" xfId="0" applyFont="1" applyBorder="1" applyAlignment="1">
      <alignment horizontal="center"/>
    </xf>
    <xf numFmtId="1" fontId="3" fillId="0" borderId="4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Continuous"/>
    </xf>
    <xf numFmtId="165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13" fillId="0" borderId="47" xfId="0" applyFont="1" applyBorder="1" applyAlignment="1">
      <alignment horizontal="right"/>
    </xf>
    <xf numFmtId="0" fontId="4" fillId="0" borderId="1" xfId="0" applyFont="1" applyBorder="1"/>
    <xf numFmtId="0" fontId="4" fillId="0" borderId="11" xfId="0" applyFont="1" applyBorder="1"/>
    <xf numFmtId="2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2" fontId="21" fillId="0" borderId="11" xfId="0" applyNumberFormat="1" applyFont="1" applyBorder="1" applyAlignment="1">
      <alignment horizontal="center"/>
    </xf>
    <xf numFmtId="167" fontId="21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center"/>
    </xf>
    <xf numFmtId="19" fontId="4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20" fillId="0" borderId="0" xfId="1" applyFont="1"/>
    <xf numFmtId="0" fontId="33" fillId="0" borderId="52" xfId="1" applyFont="1" applyBorder="1"/>
    <xf numFmtId="0" fontId="20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36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20" fillId="0" borderId="21" xfId="1" applyFont="1" applyBorder="1"/>
    <xf numFmtId="0" fontId="33" fillId="0" borderId="21" xfId="1" applyFont="1" applyBorder="1"/>
    <xf numFmtId="0" fontId="37" fillId="5" borderId="67" xfId="1" applyFont="1" applyFill="1" applyBorder="1"/>
    <xf numFmtId="0" fontId="37" fillId="5" borderId="68" xfId="1" applyFont="1" applyFill="1" applyBorder="1"/>
    <xf numFmtId="0" fontId="40" fillId="5" borderId="68" xfId="1" applyFont="1" applyFill="1" applyBorder="1"/>
    <xf numFmtId="0" fontId="40" fillId="5" borderId="69" xfId="1" applyFont="1" applyFill="1" applyBorder="1"/>
    <xf numFmtId="167" fontId="39" fillId="5" borderId="64" xfId="1" applyNumberFormat="1" applyFont="1" applyFill="1" applyBorder="1" applyAlignment="1">
      <alignment horizontal="center"/>
    </xf>
    <xf numFmtId="0" fontId="39" fillId="5" borderId="70" xfId="1" applyFont="1" applyFill="1" applyBorder="1" applyAlignment="1">
      <alignment horizontal="center"/>
    </xf>
    <xf numFmtId="0" fontId="37" fillId="5" borderId="71" xfId="1" applyFont="1" applyFill="1" applyBorder="1"/>
    <xf numFmtId="0" fontId="37" fillId="5" borderId="72" xfId="1" applyFont="1" applyFill="1" applyBorder="1"/>
    <xf numFmtId="0" fontId="40" fillId="5" borderId="72" xfId="1" applyFont="1" applyFill="1" applyBorder="1"/>
    <xf numFmtId="0" fontId="40" fillId="5" borderId="73" xfId="1" applyFont="1" applyFill="1" applyBorder="1"/>
    <xf numFmtId="1" fontId="39" fillId="5" borderId="64" xfId="1" applyNumberFormat="1" applyFont="1" applyFill="1" applyBorder="1" applyAlignment="1">
      <alignment horizontal="center"/>
    </xf>
    <xf numFmtId="0" fontId="39" fillId="5" borderId="74" xfId="1" applyFont="1" applyFill="1" applyBorder="1" applyAlignment="1">
      <alignment horizontal="center"/>
    </xf>
    <xf numFmtId="0" fontId="41" fillId="5" borderId="68" xfId="1" applyFont="1" applyFill="1" applyBorder="1"/>
    <xf numFmtId="0" fontId="42" fillId="5" borderId="69" xfId="1" applyFont="1" applyFill="1" applyBorder="1" applyAlignment="1">
      <alignment horizontal="left"/>
    </xf>
    <xf numFmtId="0" fontId="39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7" fillId="5" borderId="76" xfId="1" applyFont="1" applyFill="1" applyBorder="1"/>
    <xf numFmtId="0" fontId="37" fillId="5" borderId="77" xfId="1" applyFont="1" applyFill="1" applyBorder="1"/>
    <xf numFmtId="0" fontId="41" fillId="5" borderId="77" xfId="1" applyFont="1" applyFill="1" applyBorder="1"/>
    <xf numFmtId="0" fontId="39" fillId="5" borderId="78" xfId="1" applyFont="1" applyFill="1" applyBorder="1" applyAlignment="1">
      <alignment horizontal="center"/>
    </xf>
    <xf numFmtId="0" fontId="39" fillId="5" borderId="79" xfId="1" applyFont="1" applyFill="1" applyBorder="1" applyAlignment="1">
      <alignment horizontal="center"/>
    </xf>
    <xf numFmtId="0" fontId="37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20" fillId="0" borderId="24" xfId="1" applyFont="1" applyBorder="1"/>
    <xf numFmtId="0" fontId="37" fillId="5" borderId="83" xfId="1" quotePrefix="1" applyFont="1" applyFill="1" applyBorder="1" applyAlignment="1">
      <alignment horizontal="left"/>
    </xf>
    <xf numFmtId="0" fontId="37" fillId="5" borderId="59" xfId="1" applyFont="1" applyFill="1" applyBorder="1"/>
    <xf numFmtId="0" fontId="40" fillId="5" borderId="59" xfId="1" applyFont="1" applyFill="1" applyBorder="1"/>
    <xf numFmtId="0" fontId="44" fillId="5" borderId="59" xfId="1" applyFont="1" applyFill="1" applyBorder="1" applyAlignment="1">
      <alignment horizontal="right"/>
    </xf>
    <xf numFmtId="49" fontId="39" fillId="5" borderId="59" xfId="1" applyNumberFormat="1" applyFont="1" applyFill="1" applyBorder="1" applyAlignment="1">
      <alignment horizontal="center"/>
    </xf>
    <xf numFmtId="0" fontId="39" fillId="5" borderId="84" xfId="1" applyFont="1" applyFill="1" applyBorder="1" applyAlignment="1">
      <alignment horizontal="center"/>
    </xf>
    <xf numFmtId="0" fontId="37" fillId="5" borderId="64" xfId="1" applyFont="1" applyFill="1" applyBorder="1"/>
    <xf numFmtId="0" fontId="40" fillId="5" borderId="64" xfId="1" applyFont="1" applyFill="1" applyBorder="1"/>
    <xf numFmtId="0" fontId="37" fillId="5" borderId="85" xfId="1" quotePrefix="1" applyFont="1" applyFill="1" applyBorder="1" applyAlignment="1">
      <alignment horizontal="left"/>
    </xf>
    <xf numFmtId="0" fontId="37" fillId="5" borderId="78" xfId="1" applyFont="1" applyFill="1" applyBorder="1"/>
    <xf numFmtId="0" fontId="40" fillId="5" borderId="78" xfId="1" applyFont="1" applyFill="1" applyBorder="1"/>
    <xf numFmtId="0" fontId="37" fillId="5" borderId="63" xfId="1" applyFont="1" applyFill="1" applyBorder="1" applyAlignment="1">
      <alignment horizontal="left"/>
    </xf>
    <xf numFmtId="0" fontId="20" fillId="5" borderId="86" xfId="1" applyFont="1" applyFill="1" applyBorder="1"/>
    <xf numFmtId="0" fontId="20" fillId="5" borderId="69" xfId="1" applyFont="1" applyFill="1" applyBorder="1"/>
    <xf numFmtId="0" fontId="37" fillId="5" borderId="63" xfId="1" applyFont="1" applyFill="1" applyBorder="1"/>
    <xf numFmtId="0" fontId="20" fillId="5" borderId="68" xfId="1" applyFont="1" applyFill="1" applyBorder="1"/>
    <xf numFmtId="0" fontId="37" fillId="5" borderId="86" xfId="1" applyFont="1" applyFill="1" applyBorder="1"/>
    <xf numFmtId="0" fontId="44" fillId="5" borderId="69" xfId="1" applyFont="1" applyFill="1" applyBorder="1" applyAlignment="1">
      <alignment horizontal="right"/>
    </xf>
    <xf numFmtId="0" fontId="37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7" fillId="5" borderId="86" xfId="1" quotePrefix="1" applyFont="1" applyFill="1" applyBorder="1" applyAlignment="1">
      <alignment horizontal="left"/>
    </xf>
    <xf numFmtId="0" fontId="20" fillId="5" borderId="64" xfId="1" applyFont="1" applyFill="1" applyBorder="1"/>
    <xf numFmtId="0" fontId="37" fillId="5" borderId="94" xfId="1" applyFont="1" applyFill="1" applyBorder="1" applyAlignment="1">
      <alignment horizontal="left"/>
    </xf>
    <xf numFmtId="0" fontId="37" fillId="5" borderId="68" xfId="1" quotePrefix="1" applyFont="1" applyFill="1" applyBorder="1" applyAlignment="1">
      <alignment horizontal="center"/>
    </xf>
    <xf numFmtId="0" fontId="20" fillId="5" borderId="69" xfId="1" quotePrefix="1" applyFont="1" applyFill="1" applyBorder="1" applyAlignment="1">
      <alignment horizontal="center"/>
    </xf>
    <xf numFmtId="0" fontId="37" fillId="5" borderId="95" xfId="1" applyFont="1" applyFill="1" applyBorder="1"/>
    <xf numFmtId="0" fontId="34" fillId="0" borderId="96" xfId="1" applyFont="1" applyBorder="1"/>
    <xf numFmtId="0" fontId="39" fillId="0" borderId="96" xfId="1" applyFont="1" applyBorder="1" applyAlignment="1">
      <alignment horizontal="center"/>
    </xf>
    <xf numFmtId="0" fontId="39" fillId="0" borderId="97" xfId="1" applyFont="1" applyBorder="1" applyAlignment="1">
      <alignment horizontal="center"/>
    </xf>
    <xf numFmtId="0" fontId="37" fillId="5" borderId="98" xfId="1" applyFont="1" applyFill="1" applyBorder="1" applyAlignment="1">
      <alignment horizontal="center"/>
    </xf>
    <xf numFmtId="0" fontId="37" fillId="5" borderId="77" xfId="1" quotePrefix="1" applyFont="1" applyFill="1" applyBorder="1" applyAlignment="1">
      <alignment horizontal="center"/>
    </xf>
    <xf numFmtId="0" fontId="20" fillId="5" borderId="99" xfId="1" quotePrefix="1" applyFont="1" applyFill="1" applyBorder="1" applyAlignment="1">
      <alignment horizontal="center"/>
    </xf>
    <xf numFmtId="0" fontId="39" fillId="0" borderId="69" xfId="1" applyFont="1" applyBorder="1" applyAlignment="1">
      <alignment horizontal="center"/>
    </xf>
    <xf numFmtId="0" fontId="39" fillId="0" borderId="74" xfId="1" applyFont="1" applyBorder="1" applyAlignment="1">
      <alignment horizontal="center"/>
    </xf>
    <xf numFmtId="0" fontId="39" fillId="0" borderId="46" xfId="1" applyFont="1" applyBorder="1"/>
    <xf numFmtId="0" fontId="45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47" fillId="5" borderId="103" xfId="1" applyFont="1" applyFill="1" applyBorder="1" applyAlignment="1">
      <alignment horizontal="center"/>
    </xf>
    <xf numFmtId="167" fontId="39" fillId="0" borderId="69" xfId="1" applyNumberFormat="1" applyFont="1" applyBorder="1" applyAlignment="1">
      <alignment horizontal="center"/>
    </xf>
    <xf numFmtId="0" fontId="37" fillId="5" borderId="104" xfId="1" applyFont="1" applyFill="1" applyBorder="1" applyAlignment="1">
      <alignment horizontal="left"/>
    </xf>
    <xf numFmtId="0" fontId="20" fillId="5" borderId="105" xfId="1" applyFont="1" applyFill="1" applyBorder="1"/>
    <xf numFmtId="0" fontId="20" fillId="5" borderId="106" xfId="1" applyFont="1" applyFill="1" applyBorder="1"/>
    <xf numFmtId="0" fontId="39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7" fillId="5" borderId="96" xfId="1" applyFont="1" applyFill="1" applyBorder="1"/>
    <xf numFmtId="0" fontId="44" fillId="5" borderId="64" xfId="1" applyFont="1" applyFill="1" applyBorder="1" applyAlignment="1">
      <alignment horizontal="right" shrinkToFit="1"/>
    </xf>
    <xf numFmtId="0" fontId="39" fillId="5" borderId="109" xfId="1" applyFont="1" applyFill="1" applyBorder="1" applyAlignment="1">
      <alignment horizontal="center"/>
    </xf>
    <xf numFmtId="2" fontId="34" fillId="0" borderId="0" xfId="1" applyNumberFormat="1" applyFont="1"/>
    <xf numFmtId="0" fontId="37" fillId="5" borderId="83" xfId="1" applyFont="1" applyFill="1" applyBorder="1"/>
    <xf numFmtId="0" fontId="37" fillId="5" borderId="56" xfId="1" applyFont="1" applyFill="1" applyBorder="1"/>
    <xf numFmtId="0" fontId="44" fillId="5" borderId="64" xfId="1" applyFont="1" applyFill="1" applyBorder="1" applyAlignment="1">
      <alignment horizontal="right"/>
    </xf>
    <xf numFmtId="2" fontId="39" fillId="5" borderId="64" xfId="1" applyNumberFormat="1" applyFont="1" applyFill="1" applyBorder="1" applyAlignment="1">
      <alignment horizontal="center"/>
    </xf>
    <xf numFmtId="0" fontId="44" fillId="5" borderId="56" xfId="1" applyFont="1" applyFill="1" applyBorder="1" applyAlignment="1">
      <alignment horizontal="right"/>
    </xf>
    <xf numFmtId="0" fontId="44" fillId="5" borderId="64" xfId="1" applyFont="1" applyFill="1" applyBorder="1"/>
    <xf numFmtId="0" fontId="48" fillId="0" borderId="0" xfId="1" applyFont="1"/>
    <xf numFmtId="0" fontId="37" fillId="5" borderId="111" xfId="1" applyFont="1" applyFill="1" applyBorder="1"/>
    <xf numFmtId="0" fontId="37" fillId="5" borderId="112" xfId="1" applyFont="1" applyFill="1" applyBorder="1"/>
    <xf numFmtId="0" fontId="37" fillId="5" borderId="113" xfId="1" applyFont="1" applyFill="1" applyBorder="1"/>
    <xf numFmtId="0" fontId="44" fillId="5" borderId="113" xfId="1" applyFont="1" applyFill="1" applyBorder="1"/>
    <xf numFmtId="167" fontId="39" fillId="5" borderId="113" xfId="1" applyNumberFormat="1" applyFont="1" applyFill="1" applyBorder="1" applyAlignment="1">
      <alignment horizontal="center"/>
    </xf>
    <xf numFmtId="0" fontId="37" fillId="5" borderId="73" xfId="1" applyFont="1" applyFill="1" applyBorder="1"/>
    <xf numFmtId="0" fontId="37" fillId="5" borderId="103" xfId="1" applyFont="1" applyFill="1" applyBorder="1" applyAlignment="1">
      <alignment horizontal="left"/>
    </xf>
    <xf numFmtId="0" fontId="37" fillId="5" borderId="73" xfId="1" applyFont="1" applyFill="1" applyBorder="1" applyAlignment="1">
      <alignment horizontal="left"/>
    </xf>
    <xf numFmtId="1" fontId="39" fillId="5" borderId="59" xfId="1" applyNumberFormat="1" applyFont="1" applyFill="1" applyBorder="1" applyAlignment="1">
      <alignment horizontal="center"/>
    </xf>
    <xf numFmtId="0" fontId="49" fillId="0" borderId="0" xfId="1" quotePrefix="1" applyFont="1" applyAlignment="1">
      <alignment horizontal="left"/>
    </xf>
    <xf numFmtId="0" fontId="34" fillId="0" borderId="0" xfId="2" applyFont="1"/>
    <xf numFmtId="0" fontId="37" fillId="5" borderId="0" xfId="1" applyFont="1" applyFill="1"/>
    <xf numFmtId="0" fontId="37" fillId="5" borderId="86" xfId="1" applyFont="1" applyFill="1" applyBorder="1" applyAlignment="1">
      <alignment horizontal="left"/>
    </xf>
    <xf numFmtId="0" fontId="37" fillId="5" borderId="69" xfId="1" applyFont="1" applyFill="1" applyBorder="1" applyAlignment="1">
      <alignment horizontal="left"/>
    </xf>
    <xf numFmtId="167" fontId="39" fillId="5" borderId="70" xfId="1" applyNumberFormat="1" applyFont="1" applyFill="1" applyBorder="1" applyAlignment="1">
      <alignment horizontal="center"/>
    </xf>
    <xf numFmtId="1" fontId="34" fillId="0" borderId="0" xfId="1" applyNumberFormat="1" applyFont="1"/>
    <xf numFmtId="0" fontId="37" fillId="5" borderId="40" xfId="1" applyFont="1" applyFill="1" applyBorder="1"/>
    <xf numFmtId="0" fontId="37" fillId="5" borderId="107" xfId="1" applyFont="1" applyFill="1" applyBorder="1" applyAlignment="1">
      <alignment horizontal="left"/>
    </xf>
    <xf numFmtId="0" fontId="37" fillId="5" borderId="99" xfId="1" applyFont="1" applyFill="1" applyBorder="1" applyAlignment="1">
      <alignment horizontal="left"/>
    </xf>
    <xf numFmtId="1" fontId="39" fillId="5" borderId="78" xfId="1" applyNumberFormat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50" fillId="0" borderId="0" xfId="1" applyFont="1"/>
    <xf numFmtId="0" fontId="37" fillId="0" borderId="114" xfId="1" applyFont="1" applyBorder="1"/>
    <xf numFmtId="0" fontId="37" fillId="5" borderId="117" xfId="1" applyFont="1" applyFill="1" applyBorder="1"/>
    <xf numFmtId="0" fontId="51" fillId="5" borderId="118" xfId="1" applyFont="1" applyFill="1" applyBorder="1" applyAlignment="1">
      <alignment horizontal="center" shrinkToFit="1"/>
    </xf>
    <xf numFmtId="0" fontId="37" fillId="5" borderId="119" xfId="1" applyFont="1" applyFill="1" applyBorder="1"/>
    <xf numFmtId="0" fontId="37" fillId="5" borderId="23" xfId="1" applyFont="1" applyFill="1" applyBorder="1"/>
    <xf numFmtId="14" fontId="20" fillId="5" borderId="122" xfId="1" applyNumberFormat="1" applyFont="1" applyFill="1" applyBorder="1" applyAlignment="1">
      <alignment horizontal="center"/>
    </xf>
    <xf numFmtId="0" fontId="31" fillId="0" borderId="0" xfId="1" applyFont="1"/>
    <xf numFmtId="0" fontId="54" fillId="0" borderId="6" xfId="3" applyBorder="1"/>
    <xf numFmtId="0" fontId="54" fillId="0" borderId="7" xfId="3" applyBorder="1"/>
    <xf numFmtId="0" fontId="54" fillId="0" borderId="41" xfId="3" applyBorder="1"/>
    <xf numFmtId="0" fontId="54" fillId="0" borderId="41" xfId="3" applyBorder="1" applyAlignment="1">
      <alignment horizontal="center"/>
    </xf>
    <xf numFmtId="0" fontId="55" fillId="0" borderId="41" xfId="3" applyFont="1" applyBorder="1" applyAlignment="1">
      <alignment horizontal="center"/>
    </xf>
    <xf numFmtId="0" fontId="54" fillId="0" borderId="0" xfId="3"/>
    <xf numFmtId="0" fontId="56" fillId="0" borderId="125" xfId="3" applyFont="1" applyBorder="1" applyAlignment="1">
      <alignment horizontal="center"/>
    </xf>
    <xf numFmtId="0" fontId="54" fillId="0" borderId="125" xfId="3" applyBorder="1" applyAlignment="1">
      <alignment horizontal="center"/>
    </xf>
    <xf numFmtId="0" fontId="55" fillId="0" borderId="125" xfId="3" applyFont="1" applyBorder="1" applyAlignment="1">
      <alignment horizontal="center"/>
    </xf>
    <xf numFmtId="0" fontId="56" fillId="0" borderId="45" xfId="3" applyFont="1" applyBorder="1" applyAlignment="1">
      <alignment horizontal="center"/>
    </xf>
    <xf numFmtId="0" fontId="56" fillId="0" borderId="0" xfId="3" applyFont="1" applyAlignment="1">
      <alignment horizontal="center"/>
    </xf>
    <xf numFmtId="0" fontId="54" fillId="0" borderId="45" xfId="3" applyBorder="1"/>
    <xf numFmtId="0" fontId="57" fillId="0" borderId="0" xfId="3" applyFont="1"/>
    <xf numFmtId="0" fontId="54" fillId="0" borderId="125" xfId="3" applyBorder="1"/>
    <xf numFmtId="0" fontId="55" fillId="0" borderId="0" xfId="3" applyFont="1"/>
    <xf numFmtId="0" fontId="55" fillId="0" borderId="125" xfId="3" applyFont="1" applyBorder="1"/>
    <xf numFmtId="170" fontId="54" fillId="0" borderId="3" xfId="3" applyNumberFormat="1" applyBorder="1"/>
    <xf numFmtId="49" fontId="54" fillId="0" borderId="1" xfId="3" applyNumberFormat="1" applyBorder="1" applyAlignment="1">
      <alignment horizontal="center"/>
    </xf>
    <xf numFmtId="49" fontId="54" fillId="0" borderId="1" xfId="3" applyNumberFormat="1" applyBorder="1"/>
    <xf numFmtId="49" fontId="55" fillId="0" borderId="1" xfId="3" applyNumberFormat="1" applyFont="1" applyBorder="1"/>
    <xf numFmtId="171" fontId="55" fillId="0" borderId="1" xfId="3" applyNumberFormat="1" applyFont="1" applyBorder="1"/>
    <xf numFmtId="0" fontId="54" fillId="0" borderId="1" xfId="3" applyBorder="1"/>
    <xf numFmtId="0" fontId="54" fillId="0" borderId="9" xfId="3" applyBorder="1"/>
    <xf numFmtId="171" fontId="54" fillId="0" borderId="1" xfId="3" applyNumberFormat="1" applyBorder="1"/>
    <xf numFmtId="0" fontId="54" fillId="0" borderId="1" xfId="3" applyBorder="1" applyAlignment="1">
      <alignment horizontal="center"/>
    </xf>
    <xf numFmtId="170" fontId="54" fillId="0" borderId="18" xfId="3" applyNumberFormat="1" applyBorder="1"/>
    <xf numFmtId="49" fontId="54" fillId="0" borderId="26" xfId="3" applyNumberFormat="1" applyBorder="1"/>
    <xf numFmtId="171" fontId="54" fillId="0" borderId="26" xfId="3" applyNumberFormat="1" applyBorder="1"/>
    <xf numFmtId="0" fontId="54" fillId="0" borderId="26" xfId="3" applyBorder="1"/>
    <xf numFmtId="0" fontId="54" fillId="0" borderId="126" xfId="3" applyBorder="1"/>
    <xf numFmtId="0" fontId="55" fillId="0" borderId="127" xfId="3" applyFont="1" applyBorder="1" applyAlignment="1">
      <alignment horizontal="center"/>
    </xf>
    <xf numFmtId="0" fontId="55" fillId="0" borderId="128" xfId="3" applyFont="1" applyBorder="1" applyAlignment="1">
      <alignment horizontal="center"/>
    </xf>
    <xf numFmtId="49" fontId="55" fillId="0" borderId="2" xfId="3" applyNumberFormat="1" applyFont="1" applyBorder="1" applyAlignment="1">
      <alignment horizontal="center"/>
    </xf>
    <xf numFmtId="0" fontId="54" fillId="0" borderId="55" xfId="3" applyBorder="1" applyAlignment="1">
      <alignment horizontal="left"/>
    </xf>
    <xf numFmtId="49" fontId="54" fillId="0" borderId="3" xfId="3" applyNumberFormat="1" applyBorder="1"/>
    <xf numFmtId="0" fontId="54" fillId="0" borderId="130" xfId="3" applyBorder="1" applyAlignment="1">
      <alignment horizontal="left"/>
    </xf>
    <xf numFmtId="49" fontId="54" fillId="0" borderId="4" xfId="3" applyNumberFormat="1" applyBorder="1"/>
    <xf numFmtId="0" fontId="54" fillId="0" borderId="131" xfId="3" applyBorder="1" applyAlignment="1">
      <alignment horizontal="left"/>
    </xf>
    <xf numFmtId="0" fontId="20" fillId="5" borderId="72" xfId="1" applyFont="1" applyFill="1" applyBorder="1" applyAlignment="1">
      <alignment horizontal="left"/>
    </xf>
    <xf numFmtId="0" fontId="20" fillId="5" borderId="84" xfId="1" applyFont="1" applyFill="1" applyBorder="1" applyAlignment="1">
      <alignment horizontal="left"/>
    </xf>
    <xf numFmtId="0" fontId="20" fillId="5" borderId="83" xfId="1" applyFont="1" applyFill="1" applyBorder="1"/>
    <xf numFmtId="0" fontId="20" fillId="5" borderId="68" xfId="1" applyFont="1" applyFill="1" applyBorder="1" applyAlignment="1">
      <alignment horizontal="left"/>
    </xf>
    <xf numFmtId="0" fontId="20" fillId="5" borderId="74" xfId="1" applyFont="1" applyFill="1" applyBorder="1" applyAlignment="1">
      <alignment horizontal="left"/>
    </xf>
    <xf numFmtId="0" fontId="20" fillId="5" borderId="45" xfId="1" applyFont="1" applyFill="1" applyBorder="1"/>
    <xf numFmtId="0" fontId="20" fillId="0" borderId="23" xfId="1" applyFont="1" applyBorder="1"/>
    <xf numFmtId="0" fontId="20" fillId="5" borderId="23" xfId="1" applyFont="1" applyFill="1" applyBorder="1" applyAlignment="1">
      <alignment horizontal="left"/>
    </xf>
    <xf numFmtId="0" fontId="20" fillId="5" borderId="123" xfId="1" applyFont="1" applyFill="1" applyBorder="1" applyAlignment="1">
      <alignment horizontal="left"/>
    </xf>
    <xf numFmtId="0" fontId="20" fillId="5" borderId="124" xfId="1" applyFont="1" applyFill="1" applyBorder="1" applyAlignment="1">
      <alignment horizontal="left"/>
    </xf>
    <xf numFmtId="167" fontId="3" fillId="0" borderId="0" xfId="0" applyNumberFormat="1" applyFont="1" applyAlignment="1">
      <alignment horizontal="center"/>
    </xf>
    <xf numFmtId="2" fontId="8" fillId="0" borderId="36" xfId="0" applyNumberFormat="1" applyFont="1" applyBorder="1" applyAlignment="1">
      <alignment horizontal="center"/>
    </xf>
    <xf numFmtId="167" fontId="3" fillId="0" borderId="132" xfId="0" applyNumberFormat="1" applyFont="1" applyBorder="1" applyAlignment="1">
      <alignment horizontal="center"/>
    </xf>
    <xf numFmtId="2" fontId="5" fillId="0" borderId="40" xfId="0" applyNumberFormat="1" applyFont="1" applyBorder="1" applyAlignment="1">
      <alignment horizontal="left"/>
    </xf>
    <xf numFmtId="167" fontId="15" fillId="0" borderId="40" xfId="0" applyNumberFormat="1" applyFont="1" applyBorder="1" applyAlignment="1">
      <alignment horizontal="left"/>
    </xf>
    <xf numFmtId="2" fontId="8" fillId="0" borderId="0" xfId="0" applyNumberFormat="1" applyFont="1" applyAlignment="1">
      <alignment horizontal="right"/>
    </xf>
    <xf numFmtId="2" fontId="8" fillId="0" borderId="23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centerContinuous"/>
    </xf>
    <xf numFmtId="167" fontId="3" fillId="0" borderId="23" xfId="0" applyNumberFormat="1" applyFont="1" applyBorder="1" applyAlignment="1">
      <alignment horizontal="centerContinuous"/>
    </xf>
    <xf numFmtId="0" fontId="7" fillId="0" borderId="0" xfId="4" applyFont="1" applyAlignment="1">
      <alignment horizontal="right"/>
    </xf>
    <xf numFmtId="0" fontId="2" fillId="0" borderId="0" xfId="4"/>
    <xf numFmtId="0" fontId="25" fillId="0" borderId="0" xfId="4" applyFont="1"/>
    <xf numFmtId="0" fontId="58" fillId="0" borderId="0" xfId="4" applyFont="1"/>
    <xf numFmtId="0" fontId="59" fillId="0" borderId="26" xfId="4" applyFont="1" applyBorder="1" applyAlignment="1">
      <alignment horizontal="center"/>
    </xf>
    <xf numFmtId="0" fontId="59" fillId="0" borderId="28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59" fillId="0" borderId="1" xfId="4" applyFont="1" applyBorder="1" applyAlignment="1">
      <alignment horizontal="right"/>
    </xf>
    <xf numFmtId="0" fontId="59" fillId="0" borderId="1" xfId="4" applyFont="1" applyBorder="1" applyAlignment="1">
      <alignment horizontal="center"/>
    </xf>
    <xf numFmtId="0" fontId="58" fillId="0" borderId="129" xfId="4" applyFont="1" applyBorder="1" applyAlignment="1">
      <alignment horizontal="center"/>
    </xf>
    <xf numFmtId="0" fontId="58" fillId="0" borderId="130" xfId="4" quotePrefix="1" applyFont="1" applyBorder="1" applyAlignment="1">
      <alignment horizontal="center"/>
    </xf>
    <xf numFmtId="0" fontId="58" fillId="0" borderId="130" xfId="4" applyFont="1" applyBorder="1" applyAlignment="1">
      <alignment horizontal="center"/>
    </xf>
    <xf numFmtId="0" fontId="59" fillId="0" borderId="0" xfId="4" applyFont="1" applyAlignment="1">
      <alignment horizontal="right"/>
    </xf>
    <xf numFmtId="0" fontId="58" fillId="0" borderId="62" xfId="4" applyFont="1" applyBorder="1" applyAlignment="1">
      <alignment horizontal="center"/>
    </xf>
    <xf numFmtId="0" fontId="61" fillId="0" borderId="61" xfId="4" applyFont="1" applyBorder="1"/>
    <xf numFmtId="0" fontId="61" fillId="0" borderId="62" xfId="4" applyFont="1" applyBorder="1"/>
    <xf numFmtId="0" fontId="61" fillId="0" borderId="38" xfId="4" applyFont="1" applyBorder="1"/>
    <xf numFmtId="0" fontId="62" fillId="0" borderId="83" xfId="4" applyFont="1" applyBorder="1" applyAlignment="1">
      <alignment horizontal="centerContinuous"/>
    </xf>
    <xf numFmtId="0" fontId="61" fillId="0" borderId="0" xfId="4" applyFont="1" applyAlignment="1">
      <alignment horizontal="centerContinuous"/>
    </xf>
    <xf numFmtId="0" fontId="61" fillId="0" borderId="108" xfId="4" applyFont="1" applyBorder="1" applyAlignment="1">
      <alignment horizontal="centerContinuous"/>
    </xf>
    <xf numFmtId="0" fontId="63" fillId="0" borderId="83" xfId="4" applyFont="1" applyBorder="1" applyAlignment="1">
      <alignment horizontal="centerContinuous"/>
    </xf>
    <xf numFmtId="0" fontId="61" fillId="0" borderId="83" xfId="4" applyFont="1" applyBorder="1"/>
    <xf numFmtId="0" fontId="61" fillId="0" borderId="0" xfId="4" applyFont="1"/>
    <xf numFmtId="0" fontId="61" fillId="0" borderId="108" xfId="4" applyFont="1" applyBorder="1"/>
    <xf numFmtId="0" fontId="64" fillId="0" borderId="1" xfId="4" applyFont="1" applyBorder="1" applyAlignment="1">
      <alignment horizontal="right"/>
    </xf>
    <xf numFmtId="0" fontId="61" fillId="0" borderId="1" xfId="4" applyFont="1" applyBorder="1" applyAlignment="1">
      <alignment horizontal="center"/>
    </xf>
    <xf numFmtId="14" fontId="61" fillId="0" borderId="1" xfId="4" applyNumberFormat="1" applyFont="1" applyBorder="1" applyAlignment="1">
      <alignment horizontal="center"/>
    </xf>
    <xf numFmtId="0" fontId="64" fillId="0" borderId="0" xfId="4" applyFont="1" applyAlignment="1">
      <alignment horizontal="right"/>
    </xf>
    <xf numFmtId="0" fontId="61" fillId="0" borderId="0" xfId="4" applyFont="1" applyAlignment="1">
      <alignment horizontal="center"/>
    </xf>
    <xf numFmtId="9" fontId="61" fillId="0" borderId="0" xfId="4" applyNumberFormat="1" applyFont="1" applyAlignment="1">
      <alignment horizontal="center"/>
    </xf>
    <xf numFmtId="0" fontId="64" fillId="0" borderId="83" xfId="4" applyFont="1" applyBorder="1" applyAlignment="1">
      <alignment horizontal="right"/>
    </xf>
    <xf numFmtId="0" fontId="61" fillId="0" borderId="40" xfId="4" applyFont="1" applyBorder="1"/>
    <xf numFmtId="0" fontId="61" fillId="0" borderId="39" xfId="4" applyFont="1" applyBorder="1" applyAlignment="1">
      <alignment horizontal="center"/>
    </xf>
    <xf numFmtId="0" fontId="61" fillId="0" borderId="85" xfId="4" applyFont="1" applyBorder="1"/>
    <xf numFmtId="0" fontId="64" fillId="0" borderId="17" xfId="4" applyFont="1" applyBorder="1" applyAlignment="1">
      <alignment horizontal="right"/>
    </xf>
    <xf numFmtId="0" fontId="61" fillId="0" borderId="130" xfId="4" applyFont="1" applyBorder="1"/>
    <xf numFmtId="167" fontId="4" fillId="0" borderId="0" xfId="0" quotePrefix="1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66" fillId="0" borderId="0" xfId="4" applyFont="1"/>
    <xf numFmtId="0" fontId="67" fillId="0" borderId="0" xfId="4" applyFont="1"/>
    <xf numFmtId="0" fontId="61" fillId="0" borderId="61" xfId="0" applyFont="1" applyBorder="1"/>
    <xf numFmtId="0" fontId="61" fillId="0" borderId="62" xfId="0" applyFont="1" applyBorder="1"/>
    <xf numFmtId="0" fontId="61" fillId="0" borderId="38" xfId="0" applyFont="1" applyBorder="1"/>
    <xf numFmtId="0" fontId="62" fillId="0" borderId="83" xfId="0" applyFont="1" applyBorder="1" applyAlignment="1">
      <alignment horizontal="centerContinuous"/>
    </xf>
    <xf numFmtId="0" fontId="61" fillId="0" borderId="0" xfId="0" applyFont="1" applyAlignment="1">
      <alignment horizontal="centerContinuous"/>
    </xf>
    <xf numFmtId="0" fontId="61" fillId="0" borderId="108" xfId="0" applyFont="1" applyBorder="1" applyAlignment="1">
      <alignment horizontal="centerContinuous"/>
    </xf>
    <xf numFmtId="0" fontId="63" fillId="0" borderId="83" xfId="0" applyFont="1" applyBorder="1" applyAlignment="1">
      <alignment horizontal="centerContinuous"/>
    </xf>
    <xf numFmtId="0" fontId="61" fillId="0" borderId="83" xfId="0" applyFont="1" applyBorder="1"/>
    <xf numFmtId="0" fontId="61" fillId="0" borderId="0" xfId="0" applyFont="1"/>
    <xf numFmtId="0" fontId="61" fillId="0" borderId="108" xfId="0" applyFont="1" applyBorder="1"/>
    <xf numFmtId="0" fontId="64" fillId="0" borderId="0" xfId="0" applyFont="1" applyAlignment="1">
      <alignment horizontal="right"/>
    </xf>
    <xf numFmtId="0" fontId="19" fillId="0" borderId="0" xfId="0" applyFont="1"/>
    <xf numFmtId="0" fontId="64" fillId="0" borderId="83" xfId="0" applyFont="1" applyBorder="1" applyAlignment="1">
      <alignment horizontal="right"/>
    </xf>
    <xf numFmtId="0" fontId="61" fillId="0" borderId="40" xfId="0" applyFont="1" applyBorder="1"/>
    <xf numFmtId="0" fontId="61" fillId="0" borderId="39" xfId="0" applyFont="1" applyBorder="1" applyAlignment="1">
      <alignment horizontal="center"/>
    </xf>
    <xf numFmtId="0" fontId="61" fillId="0" borderId="85" xfId="0" applyFont="1" applyBorder="1"/>
    <xf numFmtId="0" fontId="64" fillId="0" borderId="17" xfId="0" applyFont="1" applyBorder="1" applyAlignment="1">
      <alignment horizontal="right"/>
    </xf>
    <xf numFmtId="0" fontId="61" fillId="0" borderId="130" xfId="0" applyFont="1" applyBorder="1"/>
    <xf numFmtId="167" fontId="68" fillId="0" borderId="133" xfId="0" quotePrefix="1" applyNumberFormat="1" applyFont="1" applyBorder="1" applyAlignment="1">
      <alignment horizontal="center"/>
    </xf>
    <xf numFmtId="167" fontId="3" fillId="0" borderId="28" xfId="0" applyNumberFormat="1" applyFont="1" applyBorder="1" applyAlignment="1">
      <alignment horizontal="center"/>
    </xf>
    <xf numFmtId="167" fontId="3" fillId="0" borderId="134" xfId="0" applyNumberFormat="1" applyFont="1" applyBorder="1" applyAlignment="1">
      <alignment horizontal="center"/>
    </xf>
    <xf numFmtId="167" fontId="68" fillId="0" borderId="135" xfId="0" quotePrefix="1" applyNumberFormat="1" applyFont="1" applyBorder="1" applyAlignment="1">
      <alignment horizontal="center"/>
    </xf>
    <xf numFmtId="167" fontId="3" fillId="0" borderId="130" xfId="0" applyNumberFormat="1" applyFont="1" applyBorder="1" applyAlignment="1">
      <alignment horizontal="center"/>
    </xf>
    <xf numFmtId="167" fontId="68" fillId="0" borderId="25" xfId="0" quotePrefix="1" applyNumberFormat="1" applyFont="1" applyBorder="1" applyAlignment="1">
      <alignment horizontal="center"/>
    </xf>
    <xf numFmtId="167" fontId="3" fillId="0" borderId="131" xfId="0" applyNumberFormat="1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167" fontId="68" fillId="0" borderId="0" xfId="0" quotePrefix="1" applyNumberFormat="1" applyFont="1" applyAlignment="1">
      <alignment horizontal="center"/>
    </xf>
    <xf numFmtId="172" fontId="70" fillId="0" borderId="6" xfId="5" applyFont="1" applyBorder="1" applyAlignment="1">
      <alignment horizontal="centerContinuous"/>
    </xf>
    <xf numFmtId="172" fontId="70" fillId="0" borderId="7" xfId="5" applyFont="1" applyBorder="1" applyAlignment="1">
      <alignment horizontal="centerContinuous"/>
    </xf>
    <xf numFmtId="172" fontId="71" fillId="0" borderId="12" xfId="5" applyFont="1" applyBorder="1" applyAlignment="1">
      <alignment horizontal="left"/>
    </xf>
    <xf numFmtId="172" fontId="72" fillId="0" borderId="55" xfId="5" applyFont="1" applyBorder="1"/>
    <xf numFmtId="172" fontId="71" fillId="0" borderId="13" xfId="5" applyFont="1" applyBorder="1" applyAlignment="1">
      <alignment horizontal="centerContinuous"/>
    </xf>
    <xf numFmtId="172" fontId="72" fillId="0" borderId="14" xfId="5" applyFont="1" applyBorder="1" applyAlignment="1">
      <alignment horizontal="centerContinuous"/>
    </xf>
    <xf numFmtId="172" fontId="73" fillId="0" borderId="0" xfId="5" applyFont="1"/>
    <xf numFmtId="172" fontId="69" fillId="0" borderId="0" xfId="5"/>
    <xf numFmtId="172" fontId="70" fillId="0" borderId="45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71" fillId="0" borderId="110" xfId="5" applyFont="1" applyBorder="1" applyAlignment="1">
      <alignment horizontal="left"/>
    </xf>
    <xf numFmtId="172" fontId="72" fillId="0" borderId="39" xfId="5" applyFont="1" applyBorder="1"/>
    <xf numFmtId="172" fontId="71" fillId="0" borderId="40" xfId="5" applyFont="1" applyBorder="1" applyAlignment="1">
      <alignment horizontal="centerContinuous"/>
    </xf>
    <xf numFmtId="172" fontId="72" fillId="0" borderId="29" xfId="5" applyFont="1" applyBorder="1" applyAlignment="1">
      <alignment horizontal="centerContinuous"/>
    </xf>
    <xf numFmtId="172" fontId="72" fillId="0" borderId="45" xfId="5" applyFont="1" applyBorder="1" applyAlignment="1">
      <alignment horizontal="centerContinuous"/>
    </xf>
    <xf numFmtId="172" fontId="72" fillId="0" borderId="0" xfId="5" applyFont="1" applyAlignment="1">
      <alignment horizontal="centerContinuous"/>
    </xf>
    <xf numFmtId="172" fontId="71" fillId="0" borderId="40" xfId="5" quotePrefix="1" applyFont="1" applyBorder="1" applyAlignment="1">
      <alignment horizontal="centerContinuous"/>
    </xf>
    <xf numFmtId="172" fontId="74" fillId="0" borderId="45" xfId="5" applyFont="1" applyBorder="1" applyAlignment="1">
      <alignment horizontal="centerContinuous"/>
    </xf>
    <xf numFmtId="172" fontId="73" fillId="0" borderId="45" xfId="5" applyFont="1" applyBorder="1" applyAlignment="1">
      <alignment horizontal="centerContinuous"/>
    </xf>
    <xf numFmtId="172" fontId="73" fillId="0" borderId="46" xfId="5" applyFont="1" applyBorder="1" applyAlignment="1">
      <alignment horizontal="centerContinuous"/>
    </xf>
    <xf numFmtId="172" fontId="72" fillId="0" borderId="23" xfId="5" applyFont="1" applyBorder="1" applyAlignment="1">
      <alignment horizontal="centerContinuous"/>
    </xf>
    <xf numFmtId="172" fontId="71" fillId="0" borderId="46" xfId="5" applyFont="1" applyBorder="1" applyAlignment="1">
      <alignment horizontal="left"/>
    </xf>
    <xf numFmtId="172" fontId="72" fillId="0" borderId="48" xfId="5" applyFont="1" applyBorder="1"/>
    <xf numFmtId="172" fontId="75" fillId="0" borderId="23" xfId="5" applyFont="1" applyBorder="1" applyAlignment="1">
      <alignment horizontal="centerContinuous"/>
    </xf>
    <xf numFmtId="172" fontId="72" fillId="0" borderId="24" xfId="5" applyFont="1" applyBorder="1" applyAlignment="1">
      <alignment horizontal="centerContinuous"/>
    </xf>
    <xf numFmtId="172" fontId="73" fillId="0" borderId="0" xfId="5" applyFont="1" applyAlignment="1">
      <alignment horizontal="centerContinuous"/>
    </xf>
    <xf numFmtId="172" fontId="71" fillId="0" borderId="0" xfId="5" applyFont="1" applyAlignment="1">
      <alignment horizontal="left"/>
    </xf>
    <xf numFmtId="172" fontId="72" fillId="0" borderId="0" xfId="5" applyFont="1"/>
    <xf numFmtId="172" fontId="71" fillId="0" borderId="0" xfId="5" applyFont="1" applyAlignment="1">
      <alignment horizontal="centerContinuous"/>
    </xf>
    <xf numFmtId="172" fontId="76" fillId="0" borderId="0" xfId="5" applyFont="1"/>
    <xf numFmtId="172" fontId="76" fillId="0" borderId="0" xfId="5" applyFont="1" applyAlignment="1">
      <alignment horizontal="right"/>
    </xf>
    <xf numFmtId="172" fontId="76" fillId="0" borderId="0" xfId="5" applyFont="1" applyAlignment="1" applyProtection="1">
      <alignment horizontal="left"/>
      <protection locked="0"/>
    </xf>
    <xf numFmtId="172" fontId="76" fillId="0" borderId="0" xfId="5" applyFont="1" applyAlignment="1">
      <alignment horizontal="centerContinuous"/>
    </xf>
    <xf numFmtId="172" fontId="76" fillId="0" borderId="0" xfId="5" applyFont="1" applyAlignment="1">
      <alignment horizontal="left"/>
    </xf>
    <xf numFmtId="49" fontId="76" fillId="0" borderId="0" xfId="5" quotePrefix="1" applyNumberFormat="1" applyFont="1" applyAlignment="1" applyProtection="1">
      <alignment horizontal="left"/>
      <protection locked="0"/>
    </xf>
    <xf numFmtId="172" fontId="77" fillId="0" borderId="136" xfId="5" applyFont="1" applyBorder="1" applyAlignment="1">
      <alignment horizontal="centerContinuous"/>
    </xf>
    <xf numFmtId="172" fontId="73" fillId="0" borderId="137" xfId="5" applyFont="1" applyBorder="1" applyAlignment="1">
      <alignment horizontal="centerContinuous"/>
    </xf>
    <xf numFmtId="172" fontId="73" fillId="0" borderId="138" xfId="5" applyFont="1" applyBorder="1" applyAlignment="1">
      <alignment horizontal="centerContinuous"/>
    </xf>
    <xf numFmtId="172" fontId="76" fillId="0" borderId="45" xfId="5" applyFont="1" applyBorder="1"/>
    <xf numFmtId="172" fontId="76" fillId="0" borderId="0" xfId="5" applyFont="1" applyAlignment="1" applyProtection="1">
      <alignment horizontal="center"/>
      <protection locked="0"/>
    </xf>
    <xf numFmtId="172" fontId="76" fillId="0" borderId="21" xfId="5" applyFont="1" applyBorder="1" applyAlignment="1" applyProtection="1">
      <alignment horizontal="center"/>
      <protection locked="0"/>
    </xf>
    <xf numFmtId="172" fontId="76" fillId="0" borderId="0" xfId="5" applyFont="1" applyAlignment="1">
      <alignment horizontal="center"/>
    </xf>
    <xf numFmtId="172" fontId="76" fillId="0" borderId="0" xfId="5" quotePrefix="1" applyFont="1" applyAlignment="1">
      <alignment horizontal="right"/>
    </xf>
    <xf numFmtId="172" fontId="76" fillId="0" borderId="0" xfId="5" quotePrefix="1" applyFont="1" applyAlignment="1" applyProtection="1">
      <alignment horizontal="center"/>
      <protection locked="0"/>
    </xf>
    <xf numFmtId="172" fontId="76" fillId="0" borderId="21" xfId="5" applyFont="1" applyBorder="1"/>
    <xf numFmtId="172" fontId="76" fillId="0" borderId="46" xfId="5" applyFont="1" applyBorder="1"/>
    <xf numFmtId="172" fontId="76" fillId="0" borderId="23" xfId="5" applyFont="1" applyBorder="1" applyAlignment="1">
      <alignment horizontal="right"/>
    </xf>
    <xf numFmtId="167" fontId="76" fillId="0" borderId="23" xfId="5" quotePrefix="1" applyNumberFormat="1" applyFont="1" applyBorder="1" applyAlignment="1" applyProtection="1">
      <alignment horizontal="center"/>
      <protection locked="0"/>
    </xf>
    <xf numFmtId="172" fontId="76" fillId="0" borderId="23" xfId="5" applyFont="1" applyBorder="1"/>
    <xf numFmtId="167" fontId="76" fillId="0" borderId="23" xfId="5" applyNumberFormat="1" applyFont="1" applyBorder="1"/>
    <xf numFmtId="172" fontId="76" fillId="0" borderId="24" xfId="5" applyFont="1" applyBorder="1"/>
    <xf numFmtId="172" fontId="78" fillId="0" borderId="45" xfId="5" quotePrefix="1" applyFont="1" applyBorder="1" applyAlignment="1">
      <alignment horizontal="left"/>
    </xf>
    <xf numFmtId="172" fontId="72" fillId="0" borderId="0" xfId="5" quotePrefix="1" applyFont="1" applyAlignment="1">
      <alignment horizontal="right"/>
    </xf>
    <xf numFmtId="172" fontId="72" fillId="0" borderId="108" xfId="5" applyFont="1" applyBorder="1"/>
    <xf numFmtId="172" fontId="78" fillId="0" borderId="0" xfId="5" applyFont="1" applyAlignment="1">
      <alignment horizontal="left"/>
    </xf>
    <xf numFmtId="172" fontId="72" fillId="0" borderId="0" xfId="5" applyFont="1" applyAlignment="1">
      <alignment horizontal="right"/>
    </xf>
    <xf numFmtId="172" fontId="72" fillId="0" borderId="108" xfId="5" applyFont="1" applyBorder="1" applyAlignment="1">
      <alignment horizontal="right"/>
    </xf>
    <xf numFmtId="172" fontId="78" fillId="0" borderId="0" xfId="5" quotePrefix="1" applyFont="1" applyAlignment="1">
      <alignment horizontal="left"/>
    </xf>
    <xf numFmtId="172" fontId="72" fillId="0" borderId="21" xfId="5" applyFont="1" applyBorder="1"/>
    <xf numFmtId="172" fontId="69" fillId="0" borderId="45" xfId="5" applyBorder="1"/>
    <xf numFmtId="172" fontId="76" fillId="0" borderId="108" xfId="5" applyFont="1" applyBorder="1" applyAlignment="1" applyProtection="1">
      <alignment horizontal="center"/>
      <protection locked="0"/>
    </xf>
    <xf numFmtId="1" fontId="76" fillId="0" borderId="108" xfId="5" applyNumberFormat="1" applyFont="1" applyBorder="1" applyAlignment="1">
      <alignment horizontal="center"/>
    </xf>
    <xf numFmtId="172" fontId="76" fillId="0" borderId="108" xfId="5" applyFont="1" applyBorder="1"/>
    <xf numFmtId="172" fontId="76" fillId="0" borderId="48" xfId="5" applyFont="1" applyBorder="1"/>
    <xf numFmtId="172" fontId="76" fillId="0" borderId="48" xfId="5" applyFont="1" applyBorder="1" applyAlignment="1">
      <alignment horizontal="left"/>
    </xf>
    <xf numFmtId="172" fontId="77" fillId="0" borderId="139" xfId="5" applyFont="1" applyBorder="1" applyAlignment="1">
      <alignment horizontal="centerContinuous"/>
    </xf>
    <xf numFmtId="172" fontId="73" fillId="0" borderId="140" xfId="5" applyFont="1" applyBorder="1" applyAlignment="1">
      <alignment horizontal="centerContinuous"/>
    </xf>
    <xf numFmtId="172" fontId="69" fillId="0" borderId="141" xfId="5" applyBorder="1"/>
    <xf numFmtId="172" fontId="73" fillId="0" borderId="142" xfId="5" applyFont="1" applyBorder="1" applyAlignment="1">
      <alignment horizontal="centerContinuous"/>
    </xf>
    <xf numFmtId="172" fontId="78" fillId="0" borderId="45" xfId="5" applyFont="1" applyBorder="1" applyAlignment="1">
      <alignment horizontal="left"/>
    </xf>
    <xf numFmtId="172" fontId="69" fillId="0" borderId="108" xfId="5" applyBorder="1"/>
    <xf numFmtId="167" fontId="76" fillId="0" borderId="0" xfId="5" applyNumberFormat="1" applyFont="1" applyAlignment="1" applyProtection="1">
      <alignment horizontal="center"/>
      <protection locked="0"/>
    </xf>
    <xf numFmtId="172" fontId="76" fillId="0" borderId="45" xfId="5" applyFont="1" applyBorder="1" applyAlignment="1">
      <alignment horizontal="left"/>
    </xf>
    <xf numFmtId="172" fontId="69" fillId="0" borderId="48" xfId="5" applyBorder="1"/>
    <xf numFmtId="172" fontId="73" fillId="0" borderId="0" xfId="5" applyFont="1" applyAlignment="1">
      <alignment horizontal="left"/>
    </xf>
    <xf numFmtId="172" fontId="73" fillId="0" borderId="139" xfId="5" applyFont="1" applyBorder="1"/>
    <xf numFmtId="172" fontId="72" fillId="0" borderId="140" xfId="5" applyFont="1" applyBorder="1" applyAlignment="1">
      <alignment horizontal="left"/>
    </xf>
    <xf numFmtId="172" fontId="72" fillId="0" borderId="142" xfId="5" applyFont="1" applyBorder="1" applyAlignment="1">
      <alignment horizontal="left"/>
    </xf>
    <xf numFmtId="172" fontId="76" fillId="0" borderId="45" xfId="5" quotePrefix="1" applyFont="1" applyBorder="1" applyAlignment="1">
      <alignment horizontal="left"/>
    </xf>
    <xf numFmtId="172" fontId="76" fillId="0" borderId="21" xfId="5" applyFont="1" applyBorder="1" applyAlignment="1">
      <alignment horizontal="left"/>
    </xf>
    <xf numFmtId="172" fontId="79" fillId="0" borderId="143" xfId="5" applyFont="1" applyBorder="1"/>
    <xf numFmtId="172" fontId="76" fillId="0" borderId="0" xfId="5" quotePrefix="1" applyFont="1" applyAlignment="1">
      <alignment horizontal="left"/>
    </xf>
    <xf numFmtId="172" fontId="76" fillId="0" borderId="144" xfId="5" quotePrefix="1" applyFont="1" applyBorder="1" applyAlignment="1">
      <alignment horizontal="left"/>
    </xf>
    <xf numFmtId="172" fontId="76" fillId="0" borderId="145" xfId="5" quotePrefix="1" applyFont="1" applyBorder="1" applyAlignment="1">
      <alignment horizontal="left"/>
    </xf>
    <xf numFmtId="172" fontId="76" fillId="0" borderId="46" xfId="5" applyFont="1" applyBorder="1" applyAlignment="1">
      <alignment horizontal="left"/>
    </xf>
    <xf numFmtId="172" fontId="76" fillId="0" borderId="23" xfId="5" applyFont="1" applyBorder="1" applyAlignment="1">
      <alignment horizontal="left"/>
    </xf>
    <xf numFmtId="172" fontId="76" fillId="0" borderId="24" xfId="5" applyFont="1" applyBorder="1" applyAlignment="1">
      <alignment horizontal="left"/>
    </xf>
    <xf numFmtId="172" fontId="72" fillId="0" borderId="0" xfId="5" applyFont="1" applyAlignment="1">
      <alignment horizontal="left"/>
    </xf>
    <xf numFmtId="172" fontId="80" fillId="0" borderId="0" xfId="5" applyFont="1" applyAlignment="1">
      <alignment horizontal="right"/>
    </xf>
    <xf numFmtId="172" fontId="69" fillId="0" borderId="0" xfId="5" applyAlignment="1">
      <alignment horizontal="right"/>
    </xf>
    <xf numFmtId="172" fontId="76" fillId="0" borderId="0" xfId="6" applyFont="1" applyAlignment="1" applyProtection="1">
      <alignment horizontal="center"/>
      <protection locked="0"/>
    </xf>
    <xf numFmtId="172" fontId="76" fillId="0" borderId="0" xfId="6" applyFont="1" applyAlignment="1" applyProtection="1">
      <alignment horizontal="left"/>
      <protection locked="0"/>
    </xf>
    <xf numFmtId="167" fontId="76" fillId="0" borderId="23" xfId="6" quotePrefix="1" applyNumberFormat="1" applyFont="1" applyBorder="1" applyAlignment="1" applyProtection="1">
      <alignment horizontal="center"/>
      <protection locked="0"/>
    </xf>
    <xf numFmtId="172" fontId="76" fillId="0" borderId="0" xfId="6" applyFont="1" applyAlignment="1">
      <alignment horizontal="center"/>
    </xf>
    <xf numFmtId="49" fontId="76" fillId="0" borderId="0" xfId="6" applyNumberFormat="1" applyFont="1" applyAlignment="1">
      <alignment horizontal="center"/>
    </xf>
    <xf numFmtId="49" fontId="61" fillId="0" borderId="40" xfId="4" applyNumberFormat="1" applyFont="1" applyBorder="1"/>
    <xf numFmtId="49" fontId="61" fillId="0" borderId="40" xfId="0" applyNumberFormat="1" applyFont="1" applyBorder="1"/>
    <xf numFmtId="0" fontId="0" fillId="0" borderId="0" xfId="0" applyAlignment="1">
      <alignment horizontal="center"/>
    </xf>
    <xf numFmtId="0" fontId="3" fillId="0" borderId="42" xfId="0" applyFont="1" applyBorder="1" applyAlignment="1">
      <alignment horizontal="center"/>
    </xf>
    <xf numFmtId="0" fontId="0" fillId="6" borderId="0" xfId="0" applyFill="1"/>
    <xf numFmtId="0" fontId="0" fillId="7" borderId="0" xfId="0" applyFill="1"/>
    <xf numFmtId="172" fontId="70" fillId="0" borderId="6" xfId="7" applyNumberFormat="1" applyFont="1" applyBorder="1" applyAlignment="1">
      <alignment horizontal="centerContinuous"/>
    </xf>
    <xf numFmtId="172" fontId="70" fillId="0" borderId="7" xfId="7" applyNumberFormat="1" applyFont="1" applyBorder="1" applyAlignment="1">
      <alignment horizontal="centerContinuous"/>
    </xf>
    <xf numFmtId="172" fontId="71" fillId="0" borderId="12" xfId="7" applyNumberFormat="1" applyFont="1" applyBorder="1" applyAlignment="1">
      <alignment horizontal="left"/>
    </xf>
    <xf numFmtId="172" fontId="72" fillId="0" borderId="55" xfId="7" applyNumberFormat="1" applyFont="1" applyBorder="1"/>
    <xf numFmtId="172" fontId="71" fillId="0" borderId="13" xfId="7" applyNumberFormat="1" applyFont="1" applyBorder="1" applyAlignment="1">
      <alignment horizontal="centerContinuous"/>
    </xf>
    <xf numFmtId="172" fontId="72" fillId="0" borderId="14" xfId="7" applyNumberFormat="1" applyFont="1" applyBorder="1" applyAlignment="1">
      <alignment horizontal="centerContinuous"/>
    </xf>
    <xf numFmtId="172" fontId="82" fillId="0" borderId="0" xfId="7" applyNumberFormat="1"/>
    <xf numFmtId="172" fontId="70" fillId="0" borderId="45" xfId="7" applyNumberFormat="1" applyFont="1" applyBorder="1" applyAlignment="1">
      <alignment horizontal="centerContinuous"/>
    </xf>
    <xf numFmtId="172" fontId="70" fillId="0" borderId="0" xfId="7" applyNumberFormat="1" applyFont="1" applyAlignment="1">
      <alignment horizontal="centerContinuous"/>
    </xf>
    <xf numFmtId="172" fontId="71" fillId="0" borderId="110" xfId="7" applyNumberFormat="1" applyFont="1" applyBorder="1" applyAlignment="1">
      <alignment horizontal="left"/>
    </xf>
    <xf numFmtId="172" fontId="72" fillId="0" borderId="39" xfId="7" applyNumberFormat="1" applyFont="1" applyBorder="1"/>
    <xf numFmtId="172" fontId="71" fillId="0" borderId="40" xfId="7" applyNumberFormat="1" applyFont="1" applyBorder="1" applyAlignment="1">
      <alignment horizontal="centerContinuous"/>
    </xf>
    <xf numFmtId="172" fontId="72" fillId="0" borderId="29" xfId="7" applyNumberFormat="1" applyFont="1" applyBorder="1" applyAlignment="1">
      <alignment horizontal="centerContinuous"/>
    </xf>
    <xf numFmtId="172" fontId="72" fillId="0" borderId="45" xfId="7" applyNumberFormat="1" applyFont="1" applyBorder="1" applyAlignment="1">
      <alignment horizontal="centerContinuous"/>
    </xf>
    <xf numFmtId="172" fontId="72" fillId="0" borderId="0" xfId="7" applyNumberFormat="1" applyFont="1" applyAlignment="1">
      <alignment horizontal="centerContinuous"/>
    </xf>
    <xf numFmtId="172" fontId="73" fillId="0" borderId="45" xfId="7" applyNumberFormat="1" applyFont="1" applyBorder="1" applyAlignment="1">
      <alignment horizontal="centerContinuous"/>
    </xf>
    <xf numFmtId="172" fontId="84" fillId="0" borderId="46" xfId="7" applyNumberFormat="1" applyFont="1" applyBorder="1" applyAlignment="1">
      <alignment horizontal="centerContinuous"/>
    </xf>
    <xf numFmtId="172" fontId="72" fillId="0" borderId="23" xfId="7" applyNumberFormat="1" applyFont="1" applyBorder="1" applyAlignment="1">
      <alignment horizontal="centerContinuous"/>
    </xf>
    <xf numFmtId="172" fontId="71" fillId="0" borderId="46" xfId="7" applyNumberFormat="1" applyFont="1" applyBorder="1" applyAlignment="1">
      <alignment horizontal="left"/>
    </xf>
    <xf numFmtId="172" fontId="72" fillId="0" borderId="48" xfId="7" applyNumberFormat="1" applyFont="1" applyBorder="1"/>
    <xf numFmtId="172" fontId="85" fillId="0" borderId="23" xfId="7" applyNumberFormat="1" applyFont="1" applyBorder="1" applyAlignment="1">
      <alignment horizontal="centerContinuous"/>
    </xf>
    <xf numFmtId="172" fontId="72" fillId="0" borderId="24" xfId="7" applyNumberFormat="1" applyFont="1" applyBorder="1" applyAlignment="1">
      <alignment horizontal="centerContinuous"/>
    </xf>
    <xf numFmtId="172" fontId="73" fillId="0" borderId="0" xfId="8" applyNumberFormat="1" applyFont="1" applyAlignment="1">
      <alignment horizontal="centerContinuous"/>
    </xf>
    <xf numFmtId="172" fontId="72" fillId="0" borderId="0" xfId="8" applyNumberFormat="1" applyFont="1" applyAlignment="1">
      <alignment horizontal="centerContinuous"/>
    </xf>
    <xf numFmtId="172" fontId="71" fillId="0" borderId="0" xfId="8" applyNumberFormat="1" applyFont="1" applyAlignment="1">
      <alignment horizontal="left"/>
    </xf>
    <xf numFmtId="172" fontId="72" fillId="0" borderId="0" xfId="8" applyNumberFormat="1" applyFont="1"/>
    <xf numFmtId="172" fontId="71" fillId="0" borderId="0" xfId="8" applyNumberFormat="1" applyFont="1" applyAlignment="1">
      <alignment horizontal="centerContinuous"/>
    </xf>
    <xf numFmtId="172" fontId="72" fillId="0" borderId="0" xfId="7" applyNumberFormat="1" applyFont="1"/>
    <xf numFmtId="0" fontId="1" fillId="0" borderId="0" xfId="11"/>
    <xf numFmtId="172" fontId="77" fillId="0" borderId="0" xfId="7" applyNumberFormat="1" applyFont="1" applyAlignment="1">
      <alignment horizontal="center"/>
    </xf>
    <xf numFmtId="172" fontId="76" fillId="0" borderId="0" xfId="7" applyNumberFormat="1" applyFont="1" applyAlignment="1">
      <alignment horizontal="center"/>
    </xf>
    <xf numFmtId="167" fontId="76" fillId="0" borderId="0" xfId="7" quotePrefix="1" applyNumberFormat="1" applyFont="1" applyAlignment="1">
      <alignment horizontal="center"/>
    </xf>
    <xf numFmtId="1" fontId="76" fillId="0" borderId="0" xfId="7" quotePrefix="1" applyNumberFormat="1" applyFont="1" applyAlignment="1">
      <alignment horizontal="center"/>
    </xf>
    <xf numFmtId="175" fontId="82" fillId="0" borderId="0" xfId="7" applyNumberFormat="1"/>
    <xf numFmtId="172" fontId="76" fillId="0" borderId="0" xfId="7" applyNumberFormat="1" applyFont="1" applyAlignment="1">
      <alignment horizontal="centerContinuous"/>
    </xf>
    <xf numFmtId="172" fontId="76" fillId="0" borderId="0" xfId="7" applyNumberFormat="1" applyFont="1"/>
    <xf numFmtId="176" fontId="82" fillId="0" borderId="0" xfId="7" applyNumberFormat="1"/>
    <xf numFmtId="172" fontId="87" fillId="0" borderId="0" xfId="7" applyNumberFormat="1" applyFont="1" applyAlignment="1">
      <alignment horizontal="center"/>
    </xf>
    <xf numFmtId="177" fontId="82" fillId="0" borderId="0" xfId="7" applyNumberFormat="1"/>
    <xf numFmtId="39" fontId="76" fillId="0" borderId="0" xfId="7" applyNumberFormat="1" applyFont="1" applyAlignment="1">
      <alignment horizontal="center"/>
    </xf>
    <xf numFmtId="178" fontId="82" fillId="0" borderId="0" xfId="7" applyNumberFormat="1"/>
    <xf numFmtId="172" fontId="79" fillId="0" borderId="0" xfId="7" applyNumberFormat="1" applyFont="1" applyAlignment="1">
      <alignment horizontal="center"/>
    </xf>
    <xf numFmtId="1" fontId="76" fillId="0" borderId="0" xfId="7" applyNumberFormat="1" applyFont="1" applyAlignment="1">
      <alignment horizontal="center"/>
    </xf>
    <xf numFmtId="179" fontId="82" fillId="0" borderId="0" xfId="7" applyNumberFormat="1"/>
    <xf numFmtId="180" fontId="82" fillId="0" borderId="0" xfId="7" applyNumberFormat="1"/>
    <xf numFmtId="172" fontId="77" fillId="0" borderId="0" xfId="12" applyNumberFormat="1" applyFont="1" applyAlignment="1">
      <alignment horizontal="centerContinuous"/>
    </xf>
    <xf numFmtId="172" fontId="73" fillId="0" borderId="0" xfId="12" applyNumberFormat="1" applyFont="1" applyAlignment="1">
      <alignment horizontal="centerContinuous"/>
    </xf>
    <xf numFmtId="172" fontId="76" fillId="0" borderId="0" xfId="12" quotePrefix="1" applyNumberFormat="1" applyFont="1" applyAlignment="1">
      <alignment horizontal="center"/>
    </xf>
    <xf numFmtId="181" fontId="76" fillId="0" borderId="0" xfId="12" quotePrefix="1" applyNumberFormat="1" applyFont="1" applyAlignment="1">
      <alignment horizontal="centerContinuous"/>
    </xf>
    <xf numFmtId="172" fontId="76" fillId="0" borderId="0" xfId="12" applyNumberFormat="1" applyFont="1" applyAlignment="1">
      <alignment horizontal="centerContinuous"/>
    </xf>
    <xf numFmtId="172" fontId="76" fillId="0" borderId="0" xfId="7" applyNumberFormat="1" applyFont="1" applyAlignment="1">
      <alignment horizontal="left"/>
    </xf>
    <xf numFmtId="1" fontId="79" fillId="0" borderId="0" xfId="7" applyNumberFormat="1" applyFont="1" applyAlignment="1">
      <alignment horizontal="center"/>
    </xf>
    <xf numFmtId="172" fontId="79" fillId="0" borderId="0" xfId="7" applyNumberFormat="1" applyFont="1"/>
    <xf numFmtId="172" fontId="88" fillId="0" borderId="0" xfId="12" applyNumberFormat="1" applyFont="1" applyAlignment="1">
      <alignment horizontal="center"/>
    </xf>
    <xf numFmtId="172" fontId="73" fillId="0" borderId="0" xfId="12" applyNumberFormat="1" applyFont="1" applyAlignment="1">
      <alignment horizontal="center"/>
    </xf>
    <xf numFmtId="172" fontId="80" fillId="0" borderId="0" xfId="7" applyNumberFormat="1" applyFont="1" applyAlignment="1">
      <alignment horizontal="left"/>
    </xf>
    <xf numFmtId="1" fontId="82" fillId="0" borderId="0" xfId="7" applyNumberFormat="1" applyAlignment="1">
      <alignment horizontal="center"/>
    </xf>
    <xf numFmtId="1" fontId="73" fillId="0" borderId="0" xfId="7" applyNumberFormat="1" applyFont="1" applyAlignment="1">
      <alignment horizontal="center"/>
    </xf>
    <xf numFmtId="172" fontId="80" fillId="0" borderId="0" xfId="7" applyNumberFormat="1" applyFont="1" applyAlignment="1">
      <alignment horizontal="right"/>
    </xf>
    <xf numFmtId="172" fontId="90" fillId="0" borderId="146" xfId="7" applyNumberFormat="1" applyFont="1" applyBorder="1" applyAlignment="1">
      <alignment horizontal="centerContinuous"/>
    </xf>
    <xf numFmtId="172" fontId="73" fillId="0" borderId="146" xfId="7" applyNumberFormat="1" applyFont="1" applyBorder="1" applyAlignment="1">
      <alignment horizontal="centerContinuous"/>
    </xf>
    <xf numFmtId="14" fontId="73" fillId="0" borderId="146" xfId="7" quotePrefix="1" applyNumberFormat="1" applyFont="1" applyBorder="1" applyAlignment="1">
      <alignment horizontal="centerContinuous"/>
    </xf>
    <xf numFmtId="172" fontId="70" fillId="0" borderId="6" xfId="13" applyNumberFormat="1" applyFont="1" applyBorder="1" applyAlignment="1">
      <alignment horizontal="centerContinuous"/>
    </xf>
    <xf numFmtId="172" fontId="70" fillId="0" borderId="7" xfId="13" applyNumberFormat="1" applyFont="1" applyBorder="1" applyAlignment="1">
      <alignment horizontal="centerContinuous"/>
    </xf>
    <xf numFmtId="172" fontId="71" fillId="0" borderId="12" xfId="13" applyNumberFormat="1" applyFont="1" applyBorder="1" applyAlignment="1">
      <alignment horizontal="left"/>
    </xf>
    <xf numFmtId="172" fontId="72" fillId="0" borderId="55" xfId="13" applyNumberFormat="1" applyFont="1" applyBorder="1"/>
    <xf numFmtId="172" fontId="73" fillId="0" borderId="0" xfId="13" applyNumberFormat="1" applyFont="1"/>
    <xf numFmtId="172" fontId="69" fillId="0" borderId="0" xfId="13" applyNumberFormat="1"/>
    <xf numFmtId="172" fontId="70" fillId="0" borderId="45" xfId="13" applyNumberFormat="1" applyFont="1" applyBorder="1" applyAlignment="1">
      <alignment horizontal="centerContinuous"/>
    </xf>
    <xf numFmtId="172" fontId="70" fillId="0" borderId="0" xfId="13" applyNumberFormat="1" applyFont="1" applyAlignment="1">
      <alignment horizontal="centerContinuous"/>
    </xf>
    <xf numFmtId="172" fontId="71" fillId="0" borderId="110" xfId="13" applyNumberFormat="1" applyFont="1" applyBorder="1" applyAlignment="1">
      <alignment horizontal="left"/>
    </xf>
    <xf numFmtId="172" fontId="72" fillId="0" borderId="39" xfId="13" applyNumberFormat="1" applyFont="1" applyBorder="1"/>
    <xf numFmtId="172" fontId="71" fillId="0" borderId="40" xfId="13" applyNumberFormat="1" applyFont="1" applyBorder="1" applyAlignment="1">
      <alignment horizontal="centerContinuous"/>
    </xf>
    <xf numFmtId="172" fontId="72" fillId="0" borderId="29" xfId="13" applyNumberFormat="1" applyFont="1" applyBorder="1" applyAlignment="1">
      <alignment horizontal="centerContinuous"/>
    </xf>
    <xf numFmtId="172" fontId="72" fillId="0" borderId="45" xfId="13" applyNumberFormat="1" applyFont="1" applyBorder="1" applyAlignment="1">
      <alignment horizontal="centerContinuous"/>
    </xf>
    <xf numFmtId="172" fontId="72" fillId="0" borderId="0" xfId="13" applyNumberFormat="1" applyFont="1" applyAlignment="1">
      <alignment horizontal="centerContinuous"/>
    </xf>
    <xf numFmtId="172" fontId="74" fillId="0" borderId="45" xfId="13" applyNumberFormat="1" applyFont="1" applyBorder="1" applyAlignment="1">
      <alignment horizontal="centerContinuous"/>
    </xf>
    <xf numFmtId="172" fontId="73" fillId="0" borderId="45" xfId="13" applyNumberFormat="1" applyFont="1" applyBorder="1" applyAlignment="1">
      <alignment horizontal="centerContinuous"/>
    </xf>
    <xf numFmtId="172" fontId="73" fillId="0" borderId="46" xfId="13" applyNumberFormat="1" applyFont="1" applyBorder="1" applyAlignment="1">
      <alignment horizontal="centerContinuous"/>
    </xf>
    <xf numFmtId="172" fontId="72" fillId="0" borderId="23" xfId="13" applyNumberFormat="1" applyFont="1" applyBorder="1" applyAlignment="1">
      <alignment horizontal="centerContinuous"/>
    </xf>
    <xf numFmtId="172" fontId="71" fillId="0" borderId="46" xfId="13" applyNumberFormat="1" applyFont="1" applyBorder="1" applyAlignment="1">
      <alignment horizontal="left"/>
    </xf>
    <xf numFmtId="172" fontId="72" fillId="0" borderId="48" xfId="13" applyNumberFormat="1" applyFont="1" applyBorder="1"/>
    <xf numFmtId="172" fontId="73" fillId="0" borderId="0" xfId="13" applyNumberFormat="1" applyFont="1" applyAlignment="1">
      <alignment horizontal="centerContinuous"/>
    </xf>
    <xf numFmtId="172" fontId="71" fillId="0" borderId="0" xfId="13" applyNumberFormat="1" applyFont="1" applyAlignment="1">
      <alignment horizontal="left"/>
    </xf>
    <xf numFmtId="172" fontId="72" fillId="0" borderId="0" xfId="13" applyNumberFormat="1" applyFont="1"/>
    <xf numFmtId="172" fontId="71" fillId="0" borderId="0" xfId="13" applyNumberFormat="1" applyFont="1" applyAlignment="1">
      <alignment horizontal="centerContinuous"/>
    </xf>
    <xf numFmtId="172" fontId="87" fillId="0" borderId="149" xfId="13" applyNumberFormat="1" applyFont="1" applyBorder="1"/>
    <xf numFmtId="172" fontId="87" fillId="0" borderId="150" xfId="13" applyNumberFormat="1" applyFont="1" applyBorder="1"/>
    <xf numFmtId="172" fontId="69" fillId="0" borderId="150" xfId="13" applyNumberFormat="1" applyBorder="1"/>
    <xf numFmtId="172" fontId="92" fillId="0" borderId="150" xfId="13" applyNumberFormat="1" applyFont="1" applyBorder="1" applyAlignment="1">
      <alignment horizontal="right"/>
    </xf>
    <xf numFmtId="0" fontId="92" fillId="0" borderId="150" xfId="13" applyFont="1" applyBorder="1"/>
    <xf numFmtId="172" fontId="92" fillId="0" borderId="150" xfId="13" applyNumberFormat="1" applyFont="1" applyBorder="1"/>
    <xf numFmtId="168" fontId="92" fillId="0" borderId="150" xfId="13" quotePrefix="1" applyNumberFormat="1" applyFont="1" applyBorder="1" applyAlignment="1">
      <alignment horizontal="center"/>
    </xf>
    <xf numFmtId="172" fontId="69" fillId="0" borderId="151" xfId="13" applyNumberFormat="1" applyBorder="1"/>
    <xf numFmtId="172" fontId="69" fillId="0" borderId="46" xfId="13" applyNumberFormat="1" applyBorder="1"/>
    <xf numFmtId="172" fontId="69" fillId="0" borderId="23" xfId="13" applyNumberFormat="1" applyBorder="1"/>
    <xf numFmtId="172" fontId="92" fillId="0" borderId="23" xfId="13" applyNumberFormat="1" applyFont="1" applyBorder="1" applyAlignment="1">
      <alignment horizontal="right"/>
    </xf>
    <xf numFmtId="0" fontId="92" fillId="0" borderId="23" xfId="13" applyFont="1" applyBorder="1"/>
    <xf numFmtId="172" fontId="92" fillId="0" borderId="23" xfId="13" applyNumberFormat="1" applyFont="1" applyBorder="1"/>
    <xf numFmtId="172" fontId="69" fillId="0" borderId="24" xfId="13" applyNumberFormat="1" applyBorder="1"/>
    <xf numFmtId="172" fontId="86" fillId="0" borderId="125" xfId="13" applyNumberFormat="1" applyFont="1" applyBorder="1" applyAlignment="1">
      <alignment horizontal="center"/>
    </xf>
    <xf numFmtId="172" fontId="69" fillId="0" borderId="149" xfId="13" applyNumberFormat="1" applyBorder="1"/>
    <xf numFmtId="172" fontId="91" fillId="0" borderId="150" xfId="13" applyNumberFormat="1" applyFont="1" applyBorder="1" applyAlignment="1">
      <alignment horizontal="right"/>
    </xf>
    <xf numFmtId="172" fontId="92" fillId="0" borderId="125" xfId="13" applyNumberFormat="1" applyFont="1" applyBorder="1" applyAlignment="1">
      <alignment horizontal="right"/>
    </xf>
    <xf numFmtId="172" fontId="93" fillId="0" borderId="150" xfId="13" applyNumberFormat="1" applyFont="1" applyBorder="1" applyAlignment="1">
      <alignment horizontal="right"/>
    </xf>
    <xf numFmtId="172" fontId="69" fillId="0" borderId="45" xfId="13" applyNumberFormat="1" applyBorder="1"/>
    <xf numFmtId="172" fontId="92" fillId="0" borderId="0" xfId="13" applyNumberFormat="1" applyFont="1" applyAlignment="1">
      <alignment horizontal="right"/>
    </xf>
    <xf numFmtId="172" fontId="91" fillId="0" borderId="0" xfId="13" applyNumberFormat="1" applyFont="1" applyAlignment="1">
      <alignment horizontal="right"/>
    </xf>
    <xf numFmtId="172" fontId="69" fillId="0" borderId="125" xfId="13" applyNumberFormat="1" applyBorder="1"/>
    <xf numFmtId="172" fontId="93" fillId="0" borderId="0" xfId="13" applyNumberFormat="1" applyFont="1" applyAlignment="1">
      <alignment horizontal="right"/>
    </xf>
    <xf numFmtId="172" fontId="91" fillId="0" borderId="23" xfId="13" applyNumberFormat="1" applyFont="1" applyBorder="1" applyAlignment="1">
      <alignment horizontal="right"/>
    </xf>
    <xf numFmtId="172" fontId="93" fillId="0" borderId="23" xfId="13" applyNumberFormat="1" applyFont="1" applyBorder="1" applyAlignment="1">
      <alignment horizontal="right"/>
    </xf>
    <xf numFmtId="172" fontId="69" fillId="0" borderId="157" xfId="13" applyNumberFormat="1" applyBorder="1"/>
    <xf numFmtId="172" fontId="69" fillId="0" borderId="0" xfId="13" applyNumberFormat="1" applyAlignment="1">
      <alignment horizontal="right"/>
    </xf>
    <xf numFmtId="172" fontId="69" fillId="0" borderId="30" xfId="13" applyNumberFormat="1" applyBorder="1"/>
    <xf numFmtId="172" fontId="69" fillId="0" borderId="23" xfId="13" applyNumberFormat="1" applyBorder="1" applyAlignment="1">
      <alignment horizontal="right"/>
    </xf>
    <xf numFmtId="172" fontId="69" fillId="0" borderId="0" xfId="13" applyNumberFormat="1" applyAlignment="1">
      <alignment horizontal="center"/>
    </xf>
    <xf numFmtId="0" fontId="2" fillId="0" borderId="0" xfId="14"/>
    <xf numFmtId="172" fontId="69" fillId="0" borderId="2" xfId="13" quotePrefix="1" applyNumberFormat="1" applyBorder="1" applyAlignment="1">
      <alignment horizontal="center"/>
    </xf>
    <xf numFmtId="172" fontId="69" fillId="0" borderId="22" xfId="13" quotePrefix="1" applyNumberFormat="1" applyBorder="1" applyAlignment="1">
      <alignment horizontal="center"/>
    </xf>
    <xf numFmtId="172" fontId="69" fillId="0" borderId="22" xfId="13" applyNumberFormat="1" applyBorder="1" applyAlignment="1">
      <alignment horizontal="center"/>
    </xf>
    <xf numFmtId="172" fontId="69" fillId="0" borderId="10" xfId="13" applyNumberFormat="1" applyBorder="1" applyAlignment="1">
      <alignment horizontal="center"/>
    </xf>
    <xf numFmtId="167" fontId="92" fillId="0" borderId="3" xfId="13" applyNumberFormat="1" applyFont="1" applyBorder="1" applyAlignment="1">
      <alignment horizontal="center"/>
    </xf>
    <xf numFmtId="167" fontId="92" fillId="0" borderId="1" xfId="13" applyNumberFormat="1" applyFont="1" applyBorder="1" applyAlignment="1">
      <alignment horizontal="center"/>
    </xf>
    <xf numFmtId="167" fontId="92" fillId="0" borderId="9" xfId="13" applyNumberFormat="1" applyFont="1" applyBorder="1" applyAlignment="1">
      <alignment horizontal="center"/>
    </xf>
    <xf numFmtId="167" fontId="92" fillId="0" borderId="4" xfId="13" quotePrefix="1" applyNumberFormat="1" applyFont="1" applyBorder="1" applyAlignment="1">
      <alignment horizontal="center"/>
    </xf>
    <xf numFmtId="167" fontId="92" fillId="0" borderId="11" xfId="13" quotePrefix="1" applyNumberFormat="1" applyFont="1" applyBorder="1" applyAlignment="1">
      <alignment horizontal="center"/>
    </xf>
    <xf numFmtId="167" fontId="92" fillId="0" borderId="33" xfId="13" quotePrefix="1" applyNumberFormat="1" applyFont="1" applyBorder="1" applyAlignment="1">
      <alignment horizontal="center"/>
    </xf>
    <xf numFmtId="172" fontId="97" fillId="0" borderId="0" xfId="13" applyNumberFormat="1" applyFont="1" applyAlignment="1">
      <alignment horizontal="right"/>
    </xf>
    <xf numFmtId="0" fontId="73" fillId="0" borderId="0" xfId="10" applyFont="1"/>
    <xf numFmtId="0" fontId="6" fillId="0" borderId="0" xfId="15" applyFont="1"/>
    <xf numFmtId="172" fontId="98" fillId="0" borderId="0" xfId="13" applyNumberFormat="1" applyFont="1" applyAlignment="1">
      <alignment horizontal="left"/>
    </xf>
    <xf numFmtId="172" fontId="76" fillId="0" borderId="0" xfId="13" applyNumberFormat="1" applyFont="1" applyAlignment="1">
      <alignment horizontal="left"/>
    </xf>
    <xf numFmtId="0" fontId="3" fillId="0" borderId="1" xfId="14" applyFont="1" applyBorder="1" applyAlignment="1">
      <alignment horizontal="center"/>
    </xf>
    <xf numFmtId="1" fontId="3" fillId="5" borderId="1" xfId="14" applyNumberFormat="1" applyFont="1" applyFill="1" applyBorder="1" applyAlignment="1">
      <alignment horizontal="center"/>
    </xf>
    <xf numFmtId="2" fontId="3" fillId="5" borderId="1" xfId="14" applyNumberFormat="1" applyFont="1" applyFill="1" applyBorder="1" applyAlignment="1">
      <alignment horizontal="center"/>
    </xf>
    <xf numFmtId="0" fontId="3" fillId="5" borderId="1" xfId="14" applyFont="1" applyFill="1" applyBorder="1" applyAlignment="1">
      <alignment horizontal="center"/>
    </xf>
    <xf numFmtId="2" fontId="2" fillId="0" borderId="0" xfId="14" applyNumberFormat="1"/>
    <xf numFmtId="0" fontId="2" fillId="0" borderId="0" xfId="0" applyFont="1"/>
    <xf numFmtId="172" fontId="70" fillId="0" borderId="6" xfId="9" applyFont="1" applyBorder="1" applyAlignment="1">
      <alignment horizontal="centerContinuous"/>
    </xf>
    <xf numFmtId="172" fontId="70" fillId="0" borderId="7" xfId="9" applyFont="1" applyBorder="1" applyAlignment="1">
      <alignment horizontal="centerContinuous"/>
    </xf>
    <xf numFmtId="172" fontId="71" fillId="0" borderId="12" xfId="9" applyFont="1" applyBorder="1" applyAlignment="1">
      <alignment horizontal="left"/>
    </xf>
    <xf numFmtId="172" fontId="72" fillId="0" borderId="55" xfId="9" applyFont="1" applyBorder="1"/>
    <xf numFmtId="172" fontId="71" fillId="0" borderId="13" xfId="9" applyFont="1" applyBorder="1" applyAlignment="1">
      <alignment horizontal="centerContinuous"/>
    </xf>
    <xf numFmtId="172" fontId="72" fillId="0" borderId="14" xfId="9" applyFont="1" applyBorder="1" applyAlignment="1">
      <alignment horizontal="centerContinuous"/>
    </xf>
    <xf numFmtId="172" fontId="73" fillId="0" borderId="0" xfId="9" applyFont="1"/>
    <xf numFmtId="172" fontId="69" fillId="0" borderId="0" xfId="9"/>
    <xf numFmtId="172" fontId="70" fillId="0" borderId="45" xfId="9" applyFont="1" applyBorder="1" applyAlignment="1">
      <alignment horizontal="centerContinuous"/>
    </xf>
    <xf numFmtId="172" fontId="70" fillId="0" borderId="0" xfId="9" applyFont="1" applyAlignment="1">
      <alignment horizontal="centerContinuous"/>
    </xf>
    <xf numFmtId="172" fontId="71" fillId="0" borderId="110" xfId="9" applyFont="1" applyBorder="1" applyAlignment="1">
      <alignment horizontal="left"/>
    </xf>
    <xf numFmtId="172" fontId="72" fillId="0" borderId="39" xfId="9" applyFont="1" applyBorder="1"/>
    <xf numFmtId="172" fontId="71" fillId="0" borderId="40" xfId="9" applyFont="1" applyBorder="1" applyAlignment="1">
      <alignment horizontal="centerContinuous"/>
    </xf>
    <xf numFmtId="172" fontId="72" fillId="0" borderId="29" xfId="9" applyFont="1" applyBorder="1" applyAlignment="1">
      <alignment horizontal="centerContinuous"/>
    </xf>
    <xf numFmtId="172" fontId="72" fillId="0" borderId="45" xfId="9" applyFont="1" applyBorder="1" applyAlignment="1">
      <alignment horizontal="centerContinuous"/>
    </xf>
    <xf numFmtId="172" fontId="72" fillId="0" borderId="0" xfId="9" applyFont="1" applyAlignment="1">
      <alignment horizontal="centerContinuous"/>
    </xf>
    <xf numFmtId="172" fontId="71" fillId="0" borderId="40" xfId="9" quotePrefix="1" applyFont="1" applyBorder="1" applyAlignment="1">
      <alignment horizontal="centerContinuous"/>
    </xf>
    <xf numFmtId="172" fontId="74" fillId="0" borderId="45" xfId="9" applyFont="1" applyBorder="1" applyAlignment="1">
      <alignment horizontal="centerContinuous"/>
    </xf>
    <xf numFmtId="172" fontId="73" fillId="0" borderId="45" xfId="9" applyFont="1" applyBorder="1" applyAlignment="1">
      <alignment horizontal="centerContinuous"/>
    </xf>
    <xf numFmtId="172" fontId="73" fillId="0" borderId="46" xfId="9" applyFont="1" applyBorder="1" applyAlignment="1">
      <alignment horizontal="centerContinuous"/>
    </xf>
    <xf numFmtId="172" fontId="72" fillId="0" borderId="23" xfId="9" applyFont="1" applyBorder="1" applyAlignment="1">
      <alignment horizontal="centerContinuous"/>
    </xf>
    <xf numFmtId="172" fontId="71" fillId="0" borderId="46" xfId="9" applyFont="1" applyBorder="1" applyAlignment="1">
      <alignment horizontal="left"/>
    </xf>
    <xf numFmtId="172" fontId="72" fillId="0" borderId="48" xfId="9" applyFont="1" applyBorder="1"/>
    <xf numFmtId="172" fontId="75" fillId="0" borderId="23" xfId="9" applyFont="1" applyBorder="1" applyAlignment="1">
      <alignment horizontal="centerContinuous"/>
    </xf>
    <xf numFmtId="172" fontId="72" fillId="0" borderId="24" xfId="9" applyFont="1" applyBorder="1" applyAlignment="1">
      <alignment horizontal="centerContinuous"/>
    </xf>
    <xf numFmtId="172" fontId="73" fillId="0" borderId="0" xfId="9" applyFont="1" applyAlignment="1">
      <alignment horizontal="centerContinuous"/>
    </xf>
    <xf numFmtId="172" fontId="71" fillId="0" borderId="0" xfId="9" applyFont="1" applyAlignment="1">
      <alignment horizontal="left"/>
    </xf>
    <xf numFmtId="172" fontId="72" fillId="0" borderId="0" xfId="9" applyFont="1"/>
    <xf numFmtId="172" fontId="71" fillId="0" borderId="0" xfId="9" applyFont="1" applyAlignment="1">
      <alignment horizontal="centerContinuous"/>
    </xf>
    <xf numFmtId="172" fontId="76" fillId="0" borderId="0" xfId="9" applyFont="1"/>
    <xf numFmtId="172" fontId="76" fillId="0" borderId="0" xfId="9" applyFont="1" applyAlignment="1">
      <alignment horizontal="right"/>
    </xf>
    <xf numFmtId="172" fontId="76" fillId="0" borderId="0" xfId="9" applyFont="1" applyAlignment="1" applyProtection="1">
      <alignment horizontal="left"/>
      <protection locked="0"/>
    </xf>
    <xf numFmtId="172" fontId="76" fillId="0" borderId="0" xfId="9" applyFont="1" applyAlignment="1">
      <alignment horizontal="centerContinuous"/>
    </xf>
    <xf numFmtId="172" fontId="76" fillId="0" borderId="0" xfId="9" applyFont="1" applyAlignment="1">
      <alignment horizontal="left"/>
    </xf>
    <xf numFmtId="49" fontId="76" fillId="0" borderId="0" xfId="9" quotePrefix="1" applyNumberFormat="1" applyFont="1" applyAlignment="1" applyProtection="1">
      <alignment horizontal="left"/>
      <protection locked="0"/>
    </xf>
    <xf numFmtId="172" fontId="77" fillId="0" borderId="136" xfId="9" applyFont="1" applyBorder="1" applyAlignment="1">
      <alignment horizontal="centerContinuous"/>
    </xf>
    <xf numFmtId="172" fontId="73" fillId="0" borderId="137" xfId="9" applyFont="1" applyBorder="1" applyAlignment="1">
      <alignment horizontal="centerContinuous"/>
    </xf>
    <xf numFmtId="172" fontId="73" fillId="0" borderId="138" xfId="9" applyFont="1" applyBorder="1" applyAlignment="1">
      <alignment horizontal="centerContinuous"/>
    </xf>
    <xf numFmtId="172" fontId="76" fillId="0" borderId="45" xfId="9" applyFont="1" applyBorder="1"/>
    <xf numFmtId="172" fontId="76" fillId="0" borderId="0" xfId="9" applyFont="1" applyAlignment="1" applyProtection="1">
      <alignment horizontal="center"/>
      <protection locked="0"/>
    </xf>
    <xf numFmtId="172" fontId="76" fillId="0" borderId="21" xfId="9" applyFont="1" applyBorder="1" applyAlignment="1" applyProtection="1">
      <alignment horizontal="center"/>
      <protection locked="0"/>
    </xf>
    <xf numFmtId="172" fontId="76" fillId="0" borderId="0" xfId="9" applyFont="1" applyAlignment="1">
      <alignment horizontal="center"/>
    </xf>
    <xf numFmtId="49" fontId="76" fillId="0" borderId="0" xfId="9" applyNumberFormat="1" applyFont="1" applyAlignment="1">
      <alignment horizontal="center"/>
    </xf>
    <xf numFmtId="185" fontId="76" fillId="0" borderId="0" xfId="9" applyNumberFormat="1" applyFont="1" applyAlignment="1" applyProtection="1">
      <alignment horizontal="center"/>
      <protection locked="0"/>
    </xf>
    <xf numFmtId="172" fontId="76" fillId="0" borderId="0" xfId="9" quotePrefix="1" applyFont="1" applyAlignment="1">
      <alignment horizontal="right"/>
    </xf>
    <xf numFmtId="172" fontId="76" fillId="0" borderId="0" xfId="9" quotePrefix="1" applyFont="1" applyAlignment="1" applyProtection="1">
      <alignment horizontal="center"/>
      <protection locked="0"/>
    </xf>
    <xf numFmtId="172" fontId="76" fillId="0" borderId="21" xfId="9" applyFont="1" applyBorder="1"/>
    <xf numFmtId="172" fontId="76" fillId="0" borderId="46" xfId="9" applyFont="1" applyBorder="1"/>
    <xf numFmtId="172" fontId="76" fillId="0" borderId="23" xfId="9" applyFont="1" applyBorder="1" applyAlignment="1">
      <alignment horizontal="right"/>
    </xf>
    <xf numFmtId="167" fontId="76" fillId="0" borderId="23" xfId="9" quotePrefix="1" applyNumberFormat="1" applyFont="1" applyBorder="1" applyAlignment="1" applyProtection="1">
      <alignment horizontal="center"/>
      <protection locked="0"/>
    </xf>
    <xf numFmtId="172" fontId="76" fillId="0" borderId="23" xfId="9" applyFont="1" applyBorder="1"/>
    <xf numFmtId="167" fontId="76" fillId="0" borderId="23" xfId="9" applyNumberFormat="1" applyFont="1" applyBorder="1"/>
    <xf numFmtId="172" fontId="76" fillId="0" borderId="24" xfId="9" applyFont="1" applyBorder="1"/>
    <xf numFmtId="172" fontId="78" fillId="0" borderId="45" xfId="9" quotePrefix="1" applyFont="1" applyBorder="1" applyAlignment="1">
      <alignment horizontal="left"/>
    </xf>
    <xf numFmtId="172" fontId="72" fillId="0" borderId="0" xfId="9" quotePrefix="1" applyFont="1" applyAlignment="1">
      <alignment horizontal="right"/>
    </xf>
    <xf numFmtId="172" fontId="72" fillId="0" borderId="108" xfId="9" applyFont="1" applyBorder="1"/>
    <xf numFmtId="172" fontId="78" fillId="0" borderId="0" xfId="9" applyFont="1" applyAlignment="1">
      <alignment horizontal="left"/>
    </xf>
    <xf numFmtId="172" fontId="72" fillId="0" borderId="0" xfId="9" applyFont="1" applyAlignment="1">
      <alignment horizontal="right"/>
    </xf>
    <xf numFmtId="172" fontId="72" fillId="0" borderId="108" xfId="9" applyFont="1" applyBorder="1" applyAlignment="1">
      <alignment horizontal="right"/>
    </xf>
    <xf numFmtId="172" fontId="78" fillId="0" borderId="0" xfId="9" quotePrefix="1" applyFont="1" applyAlignment="1">
      <alignment horizontal="left"/>
    </xf>
    <xf numFmtId="172" fontId="72" fillId="0" borderId="21" xfId="9" applyFont="1" applyBorder="1"/>
    <xf numFmtId="172" fontId="69" fillId="0" borderId="45" xfId="9" applyBorder="1"/>
    <xf numFmtId="172" fontId="76" fillId="0" borderId="108" xfId="9" applyFont="1" applyBorder="1" applyAlignment="1" applyProtection="1">
      <alignment horizontal="center"/>
      <protection locked="0"/>
    </xf>
    <xf numFmtId="1" fontId="76" fillId="0" borderId="108" xfId="9" applyNumberFormat="1" applyFont="1" applyBorder="1" applyAlignment="1">
      <alignment horizontal="center"/>
    </xf>
    <xf numFmtId="172" fontId="76" fillId="0" borderId="108" xfId="9" applyFont="1" applyBorder="1"/>
    <xf numFmtId="172" fontId="76" fillId="0" borderId="48" xfId="9" applyFont="1" applyBorder="1"/>
    <xf numFmtId="172" fontId="76" fillId="0" borderId="48" xfId="9" applyFont="1" applyBorder="1" applyAlignment="1">
      <alignment horizontal="left"/>
    </xf>
    <xf numFmtId="172" fontId="77" fillId="0" borderId="139" xfId="9" applyFont="1" applyBorder="1" applyAlignment="1">
      <alignment horizontal="centerContinuous"/>
    </xf>
    <xf numFmtId="172" fontId="73" fillId="0" borderId="140" xfId="9" applyFont="1" applyBorder="1" applyAlignment="1">
      <alignment horizontal="centerContinuous"/>
    </xf>
    <xf numFmtId="172" fontId="69" fillId="0" borderId="141" xfId="9" applyBorder="1"/>
    <xf numFmtId="172" fontId="73" fillId="0" borderId="142" xfId="9" applyFont="1" applyBorder="1" applyAlignment="1">
      <alignment horizontal="centerContinuous"/>
    </xf>
    <xf numFmtId="172" fontId="78" fillId="0" borderId="45" xfId="9" applyFont="1" applyBorder="1" applyAlignment="1">
      <alignment horizontal="left"/>
    </xf>
    <xf numFmtId="172" fontId="69" fillId="0" borderId="108" xfId="9" applyBorder="1"/>
    <xf numFmtId="167" fontId="76" fillId="0" borderId="0" xfId="9" applyNumberFormat="1" applyFont="1" applyAlignment="1" applyProtection="1">
      <alignment horizontal="center"/>
      <protection locked="0"/>
    </xf>
    <xf numFmtId="172" fontId="76" fillId="0" borderId="45" xfId="9" applyFont="1" applyBorder="1" applyAlignment="1">
      <alignment horizontal="left"/>
    </xf>
    <xf numFmtId="172" fontId="69" fillId="0" borderId="48" xfId="9" applyBorder="1"/>
    <xf numFmtId="172" fontId="73" fillId="0" borderId="0" xfId="9" applyFont="1" applyAlignment="1">
      <alignment horizontal="left"/>
    </xf>
    <xf numFmtId="172" fontId="73" fillId="0" borderId="139" xfId="9" applyFont="1" applyBorder="1"/>
    <xf numFmtId="172" fontId="72" fillId="0" borderId="140" xfId="9" applyFont="1" applyBorder="1" applyAlignment="1">
      <alignment horizontal="left"/>
    </xf>
    <xf numFmtId="172" fontId="72" fillId="0" borderId="142" xfId="9" applyFont="1" applyBorder="1" applyAlignment="1">
      <alignment horizontal="left"/>
    </xf>
    <xf numFmtId="172" fontId="76" fillId="0" borderId="21" xfId="9" applyFont="1" applyBorder="1" applyAlignment="1">
      <alignment horizontal="left"/>
    </xf>
    <xf numFmtId="172" fontId="76" fillId="0" borderId="0" xfId="9" quotePrefix="1" applyFont="1" applyAlignment="1">
      <alignment horizontal="left"/>
    </xf>
    <xf numFmtId="172" fontId="76" fillId="0" borderId="23" xfId="9" applyFont="1" applyBorder="1" applyAlignment="1">
      <alignment horizontal="left"/>
    </xf>
    <xf numFmtId="172" fontId="76" fillId="0" borderId="24" xfId="9" applyFont="1" applyBorder="1" applyAlignment="1">
      <alignment horizontal="left"/>
    </xf>
    <xf numFmtId="172" fontId="72" fillId="0" borderId="0" xfId="9" applyFont="1" applyAlignment="1">
      <alignment horizontal="left"/>
    </xf>
    <xf numFmtId="172" fontId="80" fillId="0" borderId="0" xfId="9" applyFont="1" applyAlignment="1">
      <alignment horizontal="right"/>
    </xf>
    <xf numFmtId="172" fontId="69" fillId="0" borderId="0" xfId="9" applyAlignment="1">
      <alignment horizontal="right"/>
    </xf>
    <xf numFmtId="0" fontId="61" fillId="0" borderId="61" xfId="14" applyFont="1" applyBorder="1"/>
    <xf numFmtId="0" fontId="61" fillId="0" borderId="62" xfId="14" applyFont="1" applyBorder="1"/>
    <xf numFmtId="0" fontId="61" fillId="0" borderId="38" xfId="14" applyFont="1" applyBorder="1"/>
    <xf numFmtId="0" fontId="62" fillId="0" borderId="83" xfId="14" applyFont="1" applyBorder="1" applyAlignment="1">
      <alignment horizontal="centerContinuous"/>
    </xf>
    <xf numFmtId="0" fontId="61" fillId="0" borderId="0" xfId="14" applyFont="1" applyAlignment="1">
      <alignment horizontal="centerContinuous"/>
    </xf>
    <xf numFmtId="0" fontId="61" fillId="0" borderId="108" xfId="14" applyFont="1" applyBorder="1" applyAlignment="1">
      <alignment horizontal="centerContinuous"/>
    </xf>
    <xf numFmtId="0" fontId="63" fillId="0" borderId="83" xfId="14" applyFont="1" applyBorder="1" applyAlignment="1">
      <alignment horizontal="centerContinuous"/>
    </xf>
    <xf numFmtId="0" fontId="61" fillId="0" borderId="83" xfId="14" applyFont="1" applyBorder="1"/>
    <xf numFmtId="0" fontId="61" fillId="0" borderId="0" xfId="14" applyFont="1"/>
    <xf numFmtId="0" fontId="61" fillId="0" borderId="108" xfId="14" applyFont="1" applyBorder="1"/>
    <xf numFmtId="0" fontId="64" fillId="0" borderId="1" xfId="14" applyFont="1" applyBorder="1" applyAlignment="1">
      <alignment horizontal="right"/>
    </xf>
    <xf numFmtId="0" fontId="61" fillId="0" borderId="1" xfId="14" applyFont="1" applyBorder="1" applyAlignment="1">
      <alignment horizontal="center"/>
    </xf>
    <xf numFmtId="14" fontId="61" fillId="0" borderId="1" xfId="14" applyNumberFormat="1" applyFont="1" applyBorder="1" applyAlignment="1">
      <alignment horizontal="center"/>
    </xf>
    <xf numFmtId="0" fontId="64" fillId="0" borderId="0" xfId="14" applyFont="1" applyAlignment="1">
      <alignment horizontal="right"/>
    </xf>
    <xf numFmtId="0" fontId="61" fillId="0" borderId="0" xfId="14" applyFont="1" applyAlignment="1">
      <alignment horizontal="center"/>
    </xf>
    <xf numFmtId="9" fontId="61" fillId="0" borderId="0" xfId="14" applyNumberFormat="1" applyFont="1" applyAlignment="1">
      <alignment horizontal="center"/>
    </xf>
    <xf numFmtId="0" fontId="64" fillId="0" borderId="83" xfId="14" applyFont="1" applyBorder="1" applyAlignment="1">
      <alignment horizontal="right"/>
    </xf>
    <xf numFmtId="0" fontId="61" fillId="0" borderId="40" xfId="14" applyFont="1" applyBorder="1"/>
    <xf numFmtId="49" fontId="61" fillId="0" borderId="40" xfId="14" applyNumberFormat="1" applyFont="1" applyBorder="1"/>
    <xf numFmtId="0" fontId="61" fillId="0" borderId="39" xfId="14" applyFont="1" applyBorder="1" applyAlignment="1">
      <alignment horizontal="center"/>
    </xf>
    <xf numFmtId="0" fontId="61" fillId="0" borderId="85" xfId="14" applyFont="1" applyBorder="1"/>
    <xf numFmtId="0" fontId="64" fillId="0" borderId="17" xfId="14" applyFont="1" applyBorder="1" applyAlignment="1">
      <alignment horizontal="right"/>
    </xf>
    <xf numFmtId="0" fontId="61" fillId="0" borderId="130" xfId="14" applyFont="1" applyBorder="1"/>
    <xf numFmtId="167" fontId="3" fillId="0" borderId="0" xfId="14" applyNumberFormat="1" applyFont="1" applyAlignment="1">
      <alignment horizontal="center"/>
    </xf>
    <xf numFmtId="167" fontId="4" fillId="0" borderId="0" xfId="14" quotePrefix="1" applyNumberFormat="1" applyFont="1" applyAlignment="1">
      <alignment horizontal="center"/>
    </xf>
    <xf numFmtId="167" fontId="4" fillId="0" borderId="0" xfId="14" applyNumberFormat="1" applyFont="1" applyAlignment="1">
      <alignment horizontal="center"/>
    </xf>
    <xf numFmtId="0" fontId="66" fillId="0" borderId="0" xfId="14" applyFont="1"/>
    <xf numFmtId="0" fontId="67" fillId="0" borderId="0" xfId="14" applyFont="1"/>
    <xf numFmtId="0" fontId="19" fillId="0" borderId="0" xfId="14" applyFont="1"/>
    <xf numFmtId="0" fontId="3" fillId="0" borderId="44" xfId="14" applyFont="1" applyBorder="1" applyAlignment="1">
      <alignment horizontal="center"/>
    </xf>
    <xf numFmtId="0" fontId="3" fillId="0" borderId="54" xfId="14" applyFont="1" applyBorder="1" applyAlignment="1">
      <alignment horizontal="center"/>
    </xf>
    <xf numFmtId="167" fontId="4" fillId="0" borderId="133" xfId="14" quotePrefix="1" applyNumberFormat="1" applyFont="1" applyBorder="1" applyAlignment="1">
      <alignment horizontal="center"/>
    </xf>
    <xf numFmtId="167" fontId="3" fillId="0" borderId="39" xfId="14" applyNumberFormat="1" applyFont="1" applyBorder="1" applyAlignment="1">
      <alignment horizontal="center"/>
    </xf>
    <xf numFmtId="167" fontId="3" fillId="0" borderId="28" xfId="14" applyNumberFormat="1" applyFont="1" applyBorder="1" applyAlignment="1">
      <alignment horizontal="center"/>
    </xf>
    <xf numFmtId="167" fontId="3" fillId="0" borderId="134" xfId="14" applyNumberFormat="1" applyFont="1" applyBorder="1" applyAlignment="1">
      <alignment horizontal="center"/>
    </xf>
    <xf numFmtId="167" fontId="4" fillId="0" borderId="135" xfId="14" quotePrefix="1" applyNumberFormat="1" applyFont="1" applyBorder="1" applyAlignment="1">
      <alignment horizontal="center"/>
    </xf>
    <xf numFmtId="167" fontId="3" fillId="0" borderId="130" xfId="14" applyNumberFormat="1" applyFont="1" applyBorder="1" applyAlignment="1">
      <alignment horizontal="center"/>
    </xf>
    <xf numFmtId="167" fontId="3" fillId="0" borderId="1" xfId="14" applyNumberFormat="1" applyFont="1" applyBorder="1" applyAlignment="1">
      <alignment horizontal="center"/>
    </xf>
    <xf numFmtId="167" fontId="3" fillId="0" borderId="9" xfId="14" applyNumberFormat="1" applyFont="1" applyBorder="1" applyAlignment="1">
      <alignment horizontal="center"/>
    </xf>
    <xf numFmtId="167" fontId="4" fillId="0" borderId="25" xfId="14" quotePrefix="1" applyNumberFormat="1" applyFont="1" applyBorder="1" applyAlignment="1">
      <alignment horizontal="center"/>
    </xf>
    <xf numFmtId="167" fontId="3" fillId="0" borderId="131" xfId="14" applyNumberFormat="1" applyFont="1" applyBorder="1" applyAlignment="1">
      <alignment horizontal="center"/>
    </xf>
    <xf numFmtId="167" fontId="3" fillId="0" borderId="11" xfId="14" applyNumberFormat="1" applyFont="1" applyBorder="1" applyAlignment="1">
      <alignment horizontal="center"/>
    </xf>
    <xf numFmtId="167" fontId="3" fillId="0" borderId="33" xfId="14" applyNumberFormat="1" applyFont="1" applyBorder="1" applyAlignment="1">
      <alignment horizontal="center"/>
    </xf>
    <xf numFmtId="0" fontId="99" fillId="0" borderId="0" xfId="0" applyFont="1"/>
    <xf numFmtId="172" fontId="81" fillId="0" borderId="146" xfId="5" applyFont="1" applyBorder="1" applyAlignment="1" applyProtection="1">
      <alignment horizontal="center"/>
      <protection locked="0"/>
    </xf>
    <xf numFmtId="14" fontId="24" fillId="0" borderId="146" xfId="5" quotePrefix="1" applyNumberFormat="1" applyFont="1" applyBorder="1" applyAlignment="1" applyProtection="1">
      <alignment horizontal="center"/>
      <protection locked="0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14" fontId="20" fillId="5" borderId="120" xfId="1" applyNumberFormat="1" applyFont="1" applyFill="1" applyBorder="1" applyAlignment="1">
      <alignment horizontal="center"/>
    </xf>
    <xf numFmtId="14" fontId="20" fillId="5" borderId="121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10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51" fillId="5" borderId="115" xfId="1" applyFont="1" applyFill="1" applyBorder="1" applyAlignment="1">
      <alignment horizontal="center"/>
    </xf>
    <xf numFmtId="0" fontId="51" fillId="5" borderId="116" xfId="1" applyFont="1" applyFill="1" applyBorder="1" applyAlignment="1">
      <alignment horizontal="center"/>
    </xf>
    <xf numFmtId="0" fontId="37" fillId="5" borderId="75" xfId="1" quotePrefix="1" applyFont="1" applyFill="1" applyBorder="1" applyAlignment="1">
      <alignment horizontal="left"/>
    </xf>
    <xf numFmtId="0" fontId="37" fillId="5" borderId="68" xfId="1" quotePrefix="1" applyFont="1" applyFill="1" applyBorder="1" applyAlignment="1">
      <alignment horizontal="left"/>
    </xf>
    <xf numFmtId="0" fontId="37" fillId="5" borderId="69" xfId="1" quotePrefix="1" applyFont="1" applyFill="1" applyBorder="1" applyAlignment="1">
      <alignment horizontal="left"/>
    </xf>
    <xf numFmtId="2" fontId="39" fillId="5" borderId="65" xfId="1" applyNumberFormat="1" applyFont="1" applyFill="1" applyBorder="1" applyAlignment="1">
      <alignment horizontal="center"/>
    </xf>
    <xf numFmtId="2" fontId="39" fillId="5" borderId="66" xfId="1" applyNumberFormat="1" applyFont="1" applyFill="1" applyBorder="1" applyAlignment="1">
      <alignment horizontal="center"/>
    </xf>
    <xf numFmtId="0" fontId="39" fillId="5" borderId="65" xfId="1" applyFont="1" applyFill="1" applyBorder="1" applyAlignment="1">
      <alignment horizontal="center"/>
    </xf>
    <xf numFmtId="0" fontId="39" fillId="5" borderId="66" xfId="1" applyFont="1" applyFill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167" fontId="39" fillId="5" borderId="65" xfId="1" applyNumberFormat="1" applyFont="1" applyFill="1" applyBorder="1" applyAlignment="1">
      <alignment horizontal="center"/>
    </xf>
    <xf numFmtId="167" fontId="39" fillId="5" borderId="66" xfId="1" applyNumberFormat="1" applyFont="1" applyFill="1" applyBorder="1" applyAlignment="1">
      <alignment horizontal="center"/>
    </xf>
    <xf numFmtId="0" fontId="37" fillId="5" borderId="87" xfId="1" applyFont="1" applyFill="1" applyBorder="1" applyAlignment="1">
      <alignment horizontal="center"/>
    </xf>
    <xf numFmtId="0" fontId="37" fillId="5" borderId="88" xfId="1" applyFont="1" applyFill="1" applyBorder="1" applyAlignment="1">
      <alignment horizontal="center"/>
    </xf>
    <xf numFmtId="0" fontId="37" fillId="5" borderId="83" xfId="1" applyFont="1" applyFill="1" applyBorder="1" applyAlignment="1">
      <alignment horizontal="center"/>
    </xf>
    <xf numFmtId="0" fontId="37" fillId="5" borderId="0" xfId="1" applyFont="1" applyFill="1" applyAlignment="1">
      <alignment horizontal="center"/>
    </xf>
    <xf numFmtId="0" fontId="37" fillId="5" borderId="85" xfId="1" applyFont="1" applyFill="1" applyBorder="1" applyAlignment="1">
      <alignment horizontal="center"/>
    </xf>
    <xf numFmtId="0" fontId="37" fillId="5" borderId="40" xfId="1" applyFont="1" applyFill="1" applyBorder="1" applyAlignment="1">
      <alignment horizontal="center"/>
    </xf>
    <xf numFmtId="0" fontId="37" fillId="5" borderId="89" xfId="1" applyFont="1" applyFill="1" applyBorder="1" applyAlignment="1">
      <alignment horizontal="left"/>
    </xf>
    <xf numFmtId="0" fontId="37" fillId="5" borderId="90" xfId="1" applyFont="1" applyFill="1" applyBorder="1" applyAlignment="1">
      <alignment horizontal="left"/>
    </xf>
    <xf numFmtId="0" fontId="37" fillId="5" borderId="91" xfId="1" applyFont="1" applyFill="1" applyBorder="1" applyAlignment="1">
      <alignment horizontal="left"/>
    </xf>
    <xf numFmtId="0" fontId="39" fillId="5" borderId="92" xfId="1" applyFont="1" applyFill="1" applyBorder="1" applyAlignment="1">
      <alignment horizontal="center"/>
    </xf>
    <xf numFmtId="0" fontId="39" fillId="0" borderId="92" xfId="1" applyFont="1" applyBorder="1" applyAlignment="1">
      <alignment horizontal="center"/>
    </xf>
    <xf numFmtId="0" fontId="39" fillId="0" borderId="66" xfId="1" applyFont="1" applyBorder="1" applyAlignment="1">
      <alignment horizontal="center"/>
    </xf>
    <xf numFmtId="0" fontId="37" fillId="5" borderId="75" xfId="1" applyFont="1" applyFill="1" applyBorder="1" applyAlignment="1">
      <alignment horizontal="left"/>
    </xf>
    <xf numFmtId="0" fontId="37" fillId="5" borderId="68" xfId="1" applyFont="1" applyFill="1" applyBorder="1" applyAlignment="1">
      <alignment horizontal="left"/>
    </xf>
    <xf numFmtId="0" fontId="37" fillId="5" borderId="69" xfId="1" applyFont="1" applyFill="1" applyBorder="1" applyAlignment="1">
      <alignment horizontal="left"/>
    </xf>
    <xf numFmtId="0" fontId="39" fillId="0" borderId="65" xfId="1" applyFont="1" applyBorder="1" applyAlignment="1">
      <alignment horizontal="center"/>
    </xf>
    <xf numFmtId="169" fontId="39" fillId="5" borderId="65" xfId="1" applyNumberFormat="1" applyFont="1" applyFill="1" applyBorder="1" applyAlignment="1">
      <alignment horizontal="center"/>
    </xf>
    <xf numFmtId="169" fontId="39" fillId="5" borderId="66" xfId="1" applyNumberFormat="1" applyFont="1" applyFill="1" applyBorder="1" applyAlignment="1">
      <alignment horizontal="center"/>
    </xf>
    <xf numFmtId="1" fontId="39" fillId="5" borderId="65" xfId="1" quotePrefix="1" applyNumberFormat="1" applyFont="1" applyFill="1" applyBorder="1" applyAlignment="1">
      <alignment horizontal="center"/>
    </xf>
    <xf numFmtId="1" fontId="39" fillId="5" borderId="66" xfId="1" applyNumberFormat="1" applyFont="1" applyFill="1" applyBorder="1" applyAlignment="1">
      <alignment horizontal="center"/>
    </xf>
    <xf numFmtId="1" fontId="39" fillId="5" borderId="100" xfId="1" applyNumberFormat="1" applyFont="1" applyFill="1" applyBorder="1" applyAlignment="1">
      <alignment horizontal="center"/>
    </xf>
    <xf numFmtId="1" fontId="39" fillId="5" borderId="101" xfId="1" applyNumberFormat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0" fontId="37" fillId="0" borderId="75" xfId="1" applyFont="1" applyBorder="1" applyAlignment="1">
      <alignment horizontal="left"/>
    </xf>
    <xf numFmtId="0" fontId="37" fillId="0" borderId="68" xfId="1" applyFont="1" applyBorder="1" applyAlignment="1">
      <alignment horizontal="left"/>
    </xf>
    <xf numFmtId="0" fontId="37" fillId="0" borderId="69" xfId="1" applyFont="1" applyBorder="1" applyAlignment="1">
      <alignment horizontal="left"/>
    </xf>
    <xf numFmtId="1" fontId="39" fillId="5" borderId="65" xfId="1" applyNumberFormat="1" applyFont="1" applyFill="1" applyBorder="1" applyAlignment="1">
      <alignment horizontal="center"/>
    </xf>
    <xf numFmtId="167" fontId="39" fillId="0" borderId="65" xfId="1" applyNumberFormat="1" applyFont="1" applyBorder="1" applyAlignment="1">
      <alignment horizontal="center"/>
    </xf>
    <xf numFmtId="167" fontId="39" fillId="0" borderId="66" xfId="1" applyNumberFormat="1" applyFont="1" applyBorder="1" applyAlignment="1">
      <alignment horizontal="center"/>
    </xf>
    <xf numFmtId="0" fontId="37" fillId="0" borderId="63" xfId="1" applyFont="1" applyBorder="1" applyAlignment="1">
      <alignment horizontal="left"/>
    </xf>
    <xf numFmtId="0" fontId="37" fillId="0" borderId="64" xfId="1" applyFont="1" applyBorder="1" applyAlignment="1">
      <alignment horizontal="left"/>
    </xf>
    <xf numFmtId="2" fontId="39" fillId="0" borderId="65" xfId="1" applyNumberFormat="1" applyFont="1" applyBorder="1" applyAlignment="1">
      <alignment horizontal="center"/>
    </xf>
    <xf numFmtId="2" fontId="39" fillId="0" borderId="66" xfId="1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7" fillId="0" borderId="58" xfId="1" applyFont="1" applyBorder="1" applyAlignment="1">
      <alignment horizontal="left"/>
    </xf>
    <xf numFmtId="0" fontId="37" fillId="0" borderId="59" xfId="1" applyFont="1" applyBorder="1" applyAlignment="1">
      <alignment horizontal="left"/>
    </xf>
    <xf numFmtId="0" fontId="38" fillId="5" borderId="60" xfId="1" applyFont="1" applyFill="1" applyBorder="1" applyAlignment="1">
      <alignment horizontal="center"/>
    </xf>
    <xf numFmtId="0" fontId="38" fillId="5" borderId="56" xfId="1" applyFont="1" applyFill="1" applyBorder="1" applyAlignment="1">
      <alignment horizontal="center"/>
    </xf>
    <xf numFmtId="0" fontId="54" fillId="0" borderId="17" xfId="3" applyBorder="1" applyAlignment="1">
      <alignment horizontal="left"/>
    </xf>
    <xf numFmtId="0" fontId="54" fillId="0" borderId="129" xfId="3" applyBorder="1" applyAlignment="1">
      <alignment horizontal="left"/>
    </xf>
    <xf numFmtId="170" fontId="54" fillId="0" borderId="17" xfId="3" applyNumberFormat="1" applyBorder="1" applyAlignment="1">
      <alignment horizontal="center"/>
    </xf>
    <xf numFmtId="170" fontId="54" fillId="0" borderId="129" xfId="3" applyNumberFormat="1" applyBorder="1" applyAlignment="1">
      <alignment horizontal="center"/>
    </xf>
    <xf numFmtId="170" fontId="54" fillId="0" borderId="130" xfId="3" applyNumberFormat="1" applyBorder="1" applyAlignment="1">
      <alignment horizontal="center"/>
    </xf>
    <xf numFmtId="49" fontId="54" fillId="0" borderId="17" xfId="3" applyNumberFormat="1" applyBorder="1" applyAlignment="1">
      <alignment horizontal="center"/>
    </xf>
    <xf numFmtId="49" fontId="54" fillId="0" borderId="129" xfId="3" applyNumberFormat="1" applyBorder="1" applyAlignment="1">
      <alignment horizontal="center"/>
    </xf>
    <xf numFmtId="49" fontId="54" fillId="0" borderId="16" xfId="3" applyNumberFormat="1" applyBorder="1" applyAlignment="1">
      <alignment horizontal="center"/>
    </xf>
    <xf numFmtId="0" fontId="54" fillId="0" borderId="31" xfId="3" applyBorder="1" applyAlignment="1">
      <alignment horizontal="left"/>
    </xf>
    <xf numFmtId="0" fontId="54" fillId="0" borderId="51" xfId="3" applyBorder="1" applyAlignment="1">
      <alignment horizontal="left"/>
    </xf>
    <xf numFmtId="170" fontId="54" fillId="0" borderId="31" xfId="3" applyNumberFormat="1" applyBorder="1" applyAlignment="1">
      <alignment horizontal="center"/>
    </xf>
    <xf numFmtId="170" fontId="54" fillId="0" borderId="51" xfId="3" applyNumberFormat="1" applyBorder="1" applyAlignment="1">
      <alignment horizontal="center"/>
    </xf>
    <xf numFmtId="170" fontId="54" fillId="0" borderId="131" xfId="3" applyNumberFormat="1" applyBorder="1" applyAlignment="1">
      <alignment horizontal="center"/>
    </xf>
    <xf numFmtId="49" fontId="54" fillId="0" borderId="31" xfId="3" applyNumberFormat="1" applyBorder="1" applyAlignment="1">
      <alignment horizontal="center"/>
    </xf>
    <xf numFmtId="49" fontId="54" fillId="0" borderId="51" xfId="3" applyNumberFormat="1" applyBorder="1" applyAlignment="1">
      <alignment horizontal="center"/>
    </xf>
    <xf numFmtId="49" fontId="54" fillId="0" borderId="32" xfId="3" applyNumberFormat="1" applyBorder="1" applyAlignment="1">
      <alignment horizontal="center"/>
    </xf>
    <xf numFmtId="0" fontId="54" fillId="0" borderId="50" xfId="3" applyBorder="1" applyAlignment="1">
      <alignment horizontal="left"/>
    </xf>
    <xf numFmtId="0" fontId="54" fillId="0" borderId="13" xfId="3" applyBorder="1" applyAlignment="1">
      <alignment horizontal="left"/>
    </xf>
    <xf numFmtId="170" fontId="54" fillId="0" borderId="50" xfId="3" applyNumberFormat="1" applyBorder="1" applyAlignment="1">
      <alignment horizontal="center"/>
    </xf>
    <xf numFmtId="170" fontId="54" fillId="0" borderId="13" xfId="3" applyNumberFormat="1" applyBorder="1" applyAlignment="1">
      <alignment horizontal="center"/>
    </xf>
    <xf numFmtId="170" fontId="54" fillId="0" borderId="55" xfId="3" applyNumberFormat="1" applyBorder="1" applyAlignment="1">
      <alignment horizontal="center"/>
    </xf>
    <xf numFmtId="49" fontId="54" fillId="0" borderId="50" xfId="3" applyNumberFormat="1" applyBorder="1" applyAlignment="1">
      <alignment horizontal="center"/>
    </xf>
    <xf numFmtId="49" fontId="54" fillId="0" borderId="13" xfId="3" applyNumberFormat="1" applyBorder="1" applyAlignment="1">
      <alignment horizontal="center"/>
    </xf>
    <xf numFmtId="49" fontId="54" fillId="0" borderId="14" xfId="3" applyNumberFormat="1" applyBorder="1" applyAlignment="1">
      <alignment horizontal="center"/>
    </xf>
    <xf numFmtId="0" fontId="56" fillId="0" borderId="45" xfId="3" applyFont="1" applyBorder="1" applyAlignment="1">
      <alignment horizontal="center"/>
    </xf>
    <xf numFmtId="0" fontId="56" fillId="0" borderId="0" xfId="3" applyFont="1" applyAlignment="1">
      <alignment horizontal="center"/>
    </xf>
    <xf numFmtId="0" fontId="56" fillId="0" borderId="53" xfId="3" applyFont="1" applyBorder="1" applyAlignment="1">
      <alignment horizontal="center"/>
    </xf>
    <xf numFmtId="0" fontId="55" fillId="0" borderId="15" xfId="3" applyFont="1" applyBorder="1" applyAlignment="1">
      <alignment horizontal="center"/>
    </xf>
    <xf numFmtId="0" fontId="55" fillId="0" borderId="7" xfId="3" applyFont="1" applyBorder="1" applyAlignment="1">
      <alignment horizontal="center"/>
    </xf>
    <xf numFmtId="0" fontId="55" fillId="0" borderId="128" xfId="3" applyFont="1" applyBorder="1" applyAlignment="1">
      <alignment horizontal="center"/>
    </xf>
    <xf numFmtId="0" fontId="55" fillId="0" borderId="8" xfId="3" applyFont="1" applyBorder="1" applyAlignment="1">
      <alignment horizontal="center"/>
    </xf>
    <xf numFmtId="0" fontId="58" fillId="0" borderId="17" xfId="4" applyFont="1" applyBorder="1" applyAlignment="1">
      <alignment horizontal="right"/>
    </xf>
    <xf numFmtId="0" fontId="58" fillId="0" borderId="129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9" fillId="0" borderId="0" xfId="4" applyFont="1" applyAlignment="1">
      <alignment horizontal="right"/>
    </xf>
    <xf numFmtId="0" fontId="58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32" fillId="0" borderId="129" xfId="4" applyFont="1" applyBorder="1" applyAlignment="1">
      <alignment horizontal="center"/>
    </xf>
    <xf numFmtId="0" fontId="32" fillId="0" borderId="130" xfId="4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7" fillId="0" borderId="0" xfId="4" applyFont="1" applyAlignment="1">
      <alignment horizontal="center"/>
    </xf>
    <xf numFmtId="0" fontId="60" fillId="0" borderId="17" xfId="4" applyFont="1" applyBorder="1" applyAlignment="1">
      <alignment horizontal="center"/>
    </xf>
    <xf numFmtId="0" fontId="61" fillId="0" borderId="17" xfId="4" applyFont="1" applyBorder="1" applyAlignment="1">
      <alignment horizontal="center"/>
    </xf>
    <xf numFmtId="0" fontId="61" fillId="0" borderId="129" xfId="4" applyFont="1" applyBorder="1" applyAlignment="1">
      <alignment horizontal="center"/>
    </xf>
    <xf numFmtId="0" fontId="61" fillId="0" borderId="130" xfId="4" applyFont="1" applyBorder="1" applyAlignment="1">
      <alignment horizontal="center"/>
    </xf>
    <xf numFmtId="0" fontId="63" fillId="0" borderId="83" xfId="4" applyFont="1" applyBorder="1" applyAlignment="1">
      <alignment horizontal="center"/>
    </xf>
    <xf numFmtId="0" fontId="63" fillId="0" borderId="0" xfId="4" applyFont="1" applyAlignment="1">
      <alignment horizontal="center"/>
    </xf>
    <xf numFmtId="0" fontId="63" fillId="0" borderId="108" xfId="4" applyFont="1" applyBorder="1" applyAlignment="1">
      <alignment horizontal="center"/>
    </xf>
    <xf numFmtId="0" fontId="65" fillId="0" borderId="83" xfId="4" applyFont="1" applyBorder="1" applyAlignment="1">
      <alignment horizontal="center"/>
    </xf>
    <xf numFmtId="0" fontId="65" fillId="0" borderId="0" xfId="4" applyFont="1" applyAlignment="1">
      <alignment horizontal="center"/>
    </xf>
    <xf numFmtId="0" fontId="65" fillId="0" borderId="108" xfId="4" applyFont="1" applyBorder="1" applyAlignment="1">
      <alignment horizontal="center"/>
    </xf>
    <xf numFmtId="0" fontId="65" fillId="0" borderId="83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5" fillId="0" borderId="108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172" fontId="24" fillId="0" borderId="0" xfId="12" applyNumberFormat="1" applyFont="1" applyAlignment="1">
      <alignment horizontal="center" wrapText="1"/>
    </xf>
    <xf numFmtId="172" fontId="24" fillId="0" borderId="0" xfId="12" applyNumberFormat="1" applyFont="1" applyAlignment="1">
      <alignment horizontal="center"/>
    </xf>
    <xf numFmtId="172" fontId="89" fillId="0" borderId="0" xfId="12" applyNumberFormat="1" applyFont="1" applyAlignment="1">
      <alignment horizontal="center"/>
    </xf>
    <xf numFmtId="172" fontId="86" fillId="0" borderId="147" xfId="7" applyNumberFormat="1" applyFont="1" applyBorder="1" applyAlignment="1">
      <alignment horizontal="right"/>
    </xf>
    <xf numFmtId="172" fontId="86" fillId="0" borderId="129" xfId="7" applyNumberFormat="1" applyFont="1" applyBorder="1" applyAlignment="1">
      <alignment horizontal="right"/>
    </xf>
    <xf numFmtId="184" fontId="24" fillId="0" borderId="129" xfId="7" applyNumberFormat="1" applyFont="1" applyBorder="1" applyAlignment="1">
      <alignment horizontal="center"/>
    </xf>
    <xf numFmtId="184" fontId="24" fillId="0" borderId="16" xfId="7" applyNumberFormat="1" applyFont="1" applyBorder="1" applyAlignment="1">
      <alignment horizontal="center"/>
    </xf>
    <xf numFmtId="174" fontId="24" fillId="0" borderId="129" xfId="7" applyNumberFormat="1" applyFont="1" applyBorder="1" applyAlignment="1">
      <alignment horizontal="center"/>
    </xf>
    <xf numFmtId="174" fontId="24" fillId="0" borderId="16" xfId="7" applyNumberFormat="1" applyFont="1" applyBorder="1" applyAlignment="1">
      <alignment horizontal="center"/>
    </xf>
    <xf numFmtId="172" fontId="86" fillId="0" borderId="148" xfId="7" applyNumberFormat="1" applyFont="1" applyBorder="1" applyAlignment="1">
      <alignment horizontal="right"/>
    </xf>
    <xf numFmtId="172" fontId="86" fillId="0" borderId="51" xfId="7" applyNumberFormat="1" applyFont="1" applyBorder="1" applyAlignment="1">
      <alignment horizontal="right"/>
    </xf>
    <xf numFmtId="174" fontId="24" fillId="0" borderId="51" xfId="7" applyNumberFormat="1" applyFont="1" applyBorder="1" applyAlignment="1">
      <alignment horizontal="center"/>
    </xf>
    <xf numFmtId="174" fontId="24" fillId="0" borderId="32" xfId="7" applyNumberFormat="1" applyFont="1" applyBorder="1" applyAlignment="1">
      <alignment horizontal="center"/>
    </xf>
    <xf numFmtId="183" fontId="24" fillId="0" borderId="129" xfId="7" applyNumberFormat="1" applyFont="1" applyBorder="1" applyAlignment="1">
      <alignment horizontal="center"/>
    </xf>
    <xf numFmtId="183" fontId="24" fillId="0" borderId="16" xfId="7" applyNumberFormat="1" applyFont="1" applyBorder="1" applyAlignment="1">
      <alignment horizontal="center"/>
    </xf>
    <xf numFmtId="173" fontId="71" fillId="0" borderId="17" xfId="7" quotePrefix="1" applyNumberFormat="1" applyFont="1" applyBorder="1" applyAlignment="1">
      <alignment horizontal="center"/>
    </xf>
    <xf numFmtId="173" fontId="71" fillId="0" borderId="16" xfId="7" quotePrefix="1" applyNumberFormat="1" applyFont="1" applyBorder="1" applyAlignment="1">
      <alignment horizontal="center"/>
    </xf>
    <xf numFmtId="172" fontId="24" fillId="0" borderId="45" xfId="7" applyNumberFormat="1" applyFont="1" applyBorder="1" applyAlignment="1">
      <alignment horizontal="center"/>
    </xf>
    <xf numFmtId="172" fontId="83" fillId="0" borderId="0" xfId="7" applyNumberFormat="1" applyFont="1" applyAlignment="1">
      <alignment horizontal="center"/>
    </xf>
    <xf numFmtId="172" fontId="83" fillId="0" borderId="21" xfId="7" applyNumberFormat="1" applyFont="1" applyBorder="1" applyAlignment="1">
      <alignment horizontal="center"/>
    </xf>
    <xf numFmtId="172" fontId="24" fillId="0" borderId="0" xfId="7" applyNumberFormat="1" applyFont="1" applyAlignment="1">
      <alignment horizontal="center"/>
    </xf>
    <xf numFmtId="172" fontId="24" fillId="0" borderId="21" xfId="7" applyNumberFormat="1" applyFont="1" applyBorder="1" applyAlignment="1">
      <alignment horizontal="center"/>
    </xf>
    <xf numFmtId="172" fontId="86" fillId="0" borderId="12" xfId="7" applyNumberFormat="1" applyFont="1" applyBorder="1" applyAlignment="1">
      <alignment horizontal="right"/>
    </xf>
    <xf numFmtId="172" fontId="86" fillId="0" borderId="13" xfId="7" applyNumberFormat="1" applyFont="1" applyBorder="1" applyAlignment="1">
      <alignment horizontal="right"/>
    </xf>
    <xf numFmtId="183" fontId="24" fillId="0" borderId="13" xfId="7" applyNumberFormat="1" applyFont="1" applyBorder="1" applyAlignment="1">
      <alignment horizontal="center"/>
    </xf>
    <xf numFmtId="183" fontId="24" fillId="0" borderId="14" xfId="7" applyNumberFormat="1" applyFont="1" applyBorder="1" applyAlignment="1">
      <alignment horizontal="center"/>
    </xf>
    <xf numFmtId="0" fontId="81" fillId="0" borderId="146" xfId="10" applyFont="1" applyBorder="1" applyAlignment="1" applyProtection="1">
      <alignment horizontal="center"/>
      <protection locked="0"/>
    </xf>
    <xf numFmtId="14" fontId="24" fillId="0" borderId="146" xfId="10" quotePrefix="1" applyNumberFormat="1" applyBorder="1" applyAlignment="1" applyProtection="1">
      <alignment horizontal="center"/>
      <protection locked="0"/>
    </xf>
    <xf numFmtId="172" fontId="92" fillId="0" borderId="12" xfId="13" applyNumberFormat="1" applyFont="1" applyBorder="1" applyAlignment="1">
      <alignment horizontal="right"/>
    </xf>
    <xf numFmtId="172" fontId="92" fillId="0" borderId="13" xfId="13" applyNumberFormat="1" applyFont="1" applyBorder="1" applyAlignment="1">
      <alignment horizontal="right"/>
    </xf>
    <xf numFmtId="172" fontId="92" fillId="0" borderId="14" xfId="13" applyNumberFormat="1" applyFont="1" applyBorder="1" applyAlignment="1">
      <alignment horizontal="right"/>
    </xf>
    <xf numFmtId="172" fontId="92" fillId="0" borderId="147" xfId="13" applyNumberFormat="1" applyFont="1" applyBorder="1" applyAlignment="1">
      <alignment horizontal="right"/>
    </xf>
    <xf numFmtId="172" fontId="92" fillId="0" borderId="129" xfId="13" applyNumberFormat="1" applyFont="1" applyBorder="1" applyAlignment="1">
      <alignment horizontal="right"/>
    </xf>
    <xf numFmtId="172" fontId="92" fillId="0" borderId="16" xfId="13" applyNumberFormat="1" applyFont="1" applyBorder="1" applyAlignment="1">
      <alignment horizontal="right"/>
    </xf>
    <xf numFmtId="172" fontId="93" fillId="0" borderId="148" xfId="13" applyNumberFormat="1" applyFont="1" applyBorder="1" applyAlignment="1">
      <alignment horizontal="right"/>
    </xf>
    <xf numFmtId="172" fontId="93" fillId="0" borderId="51" xfId="13" applyNumberFormat="1" applyFont="1" applyBorder="1" applyAlignment="1">
      <alignment horizontal="right"/>
    </xf>
    <xf numFmtId="172" fontId="93" fillId="0" borderId="32" xfId="13" applyNumberFormat="1" applyFont="1" applyBorder="1" applyAlignment="1">
      <alignment horizontal="right"/>
    </xf>
    <xf numFmtId="172" fontId="96" fillId="0" borderId="0" xfId="13" applyNumberFormat="1" applyFont="1" applyAlignment="1">
      <alignment horizontal="center"/>
    </xf>
    <xf numFmtId="172" fontId="69" fillId="0" borderId="46" xfId="13" applyNumberFormat="1" applyBorder="1" applyAlignment="1">
      <alignment horizontal="center"/>
    </xf>
    <xf numFmtId="172" fontId="69" fillId="0" borderId="23" xfId="13" applyNumberFormat="1" applyBorder="1" applyAlignment="1">
      <alignment horizontal="center"/>
    </xf>
    <xf numFmtId="172" fontId="69" fillId="0" borderId="24" xfId="13" applyNumberFormat="1" applyBorder="1" applyAlignment="1">
      <alignment horizontal="center"/>
    </xf>
    <xf numFmtId="0" fontId="94" fillId="0" borderId="0" xfId="13" applyFont="1" applyAlignment="1">
      <alignment horizontal="left"/>
    </xf>
    <xf numFmtId="0" fontId="94" fillId="0" borderId="108" xfId="13" applyFont="1" applyBorder="1" applyAlignment="1">
      <alignment horizontal="left"/>
    </xf>
    <xf numFmtId="0" fontId="94" fillId="0" borderId="21" xfId="13" applyFont="1" applyBorder="1" applyAlignment="1">
      <alignment horizontal="left"/>
    </xf>
    <xf numFmtId="0" fontId="94" fillId="0" borderId="23" xfId="13" applyFont="1" applyBorder="1" applyAlignment="1">
      <alignment horizontal="left"/>
    </xf>
    <xf numFmtId="0" fontId="94" fillId="0" borderId="48" xfId="13" applyFont="1" applyBorder="1" applyAlignment="1">
      <alignment horizontal="left"/>
    </xf>
    <xf numFmtId="0" fontId="94" fillId="0" borderId="24" xfId="13" applyFont="1" applyBorder="1" applyAlignment="1">
      <alignment horizontal="left"/>
    </xf>
    <xf numFmtId="172" fontId="69" fillId="0" borderId="139" xfId="13" applyNumberFormat="1" applyBorder="1" applyAlignment="1">
      <alignment horizontal="center"/>
    </xf>
    <xf numFmtId="172" fontId="69" fillId="0" borderId="140" xfId="13" applyNumberFormat="1" applyBorder="1" applyAlignment="1">
      <alignment horizontal="center"/>
    </xf>
    <xf numFmtId="172" fontId="69" fillId="0" borderId="142" xfId="13" applyNumberFormat="1" applyBorder="1" applyAlignment="1">
      <alignment horizontal="center"/>
    </xf>
    <xf numFmtId="49" fontId="92" fillId="0" borderId="150" xfId="13" applyNumberFormat="1" applyFont="1" applyBorder="1" applyAlignment="1">
      <alignment horizontal="left"/>
    </xf>
    <xf numFmtId="182" fontId="92" fillId="0" borderId="150" xfId="13" applyNumberFormat="1" applyFont="1" applyBorder="1" applyAlignment="1">
      <alignment horizontal="left"/>
    </xf>
    <xf numFmtId="182" fontId="92" fillId="0" borderId="151" xfId="13" applyNumberFormat="1" applyFont="1" applyBorder="1" applyAlignment="1">
      <alignment horizontal="left"/>
    </xf>
    <xf numFmtId="0" fontId="92" fillId="0" borderId="23" xfId="13" applyFont="1" applyBorder="1" applyAlignment="1">
      <alignment horizontal="left"/>
    </xf>
    <xf numFmtId="0" fontId="92" fillId="0" borderId="24" xfId="13" applyFont="1" applyBorder="1" applyAlignment="1">
      <alignment horizontal="left"/>
    </xf>
    <xf numFmtId="172" fontId="92" fillId="0" borderId="23" xfId="13" applyNumberFormat="1" applyFont="1" applyBorder="1" applyAlignment="1">
      <alignment horizontal="center"/>
    </xf>
    <xf numFmtId="172" fontId="92" fillId="0" borderId="24" xfId="13" applyNumberFormat="1" applyFont="1" applyBorder="1" applyAlignment="1">
      <alignment horizontal="center"/>
    </xf>
    <xf numFmtId="172" fontId="91" fillId="0" borderId="155" xfId="13" applyNumberFormat="1" applyFont="1" applyBorder="1" applyAlignment="1">
      <alignment horizontal="center"/>
    </xf>
    <xf numFmtId="172" fontId="91" fillId="0" borderId="153" xfId="13" applyNumberFormat="1" applyFont="1" applyBorder="1" applyAlignment="1">
      <alignment horizontal="center"/>
    </xf>
    <xf numFmtId="172" fontId="91" fillId="0" borderId="156" xfId="13" applyNumberFormat="1" applyFont="1" applyBorder="1" applyAlignment="1">
      <alignment horizontal="center"/>
    </xf>
    <xf numFmtId="172" fontId="91" fillId="0" borderId="152" xfId="13" applyNumberFormat="1" applyFont="1" applyBorder="1" applyAlignment="1">
      <alignment horizontal="center"/>
    </xf>
    <xf numFmtId="172" fontId="91" fillId="0" borderId="154" xfId="13" applyNumberFormat="1" applyFont="1" applyBorder="1" applyAlignment="1">
      <alignment horizontal="center"/>
    </xf>
    <xf numFmtId="0" fontId="94" fillId="0" borderId="62" xfId="13" applyFont="1" applyBorder="1" applyAlignment="1">
      <alignment horizontal="left"/>
    </xf>
    <xf numFmtId="0" fontId="94" fillId="0" borderId="38" xfId="13" applyFont="1" applyBorder="1" applyAlignment="1">
      <alignment horizontal="left"/>
    </xf>
    <xf numFmtId="0" fontId="94" fillId="0" borderId="27" xfId="13" applyFont="1" applyBorder="1" applyAlignment="1">
      <alignment horizontal="left"/>
    </xf>
    <xf numFmtId="0" fontId="92" fillId="0" borderId="152" xfId="13" applyFont="1" applyBorder="1" applyAlignment="1">
      <alignment horizontal="center"/>
    </xf>
    <xf numFmtId="0" fontId="92" fillId="0" borderId="153" xfId="13" applyFont="1" applyBorder="1" applyAlignment="1">
      <alignment horizontal="center"/>
    </xf>
    <xf numFmtId="0" fontId="92" fillId="0" borderId="154" xfId="13" applyFont="1" applyBorder="1" applyAlignment="1">
      <alignment horizontal="center"/>
    </xf>
    <xf numFmtId="172" fontId="71" fillId="0" borderId="50" xfId="13" applyNumberFormat="1" applyFont="1" applyBorder="1" applyAlignment="1">
      <alignment horizontal="center"/>
    </xf>
    <xf numFmtId="172" fontId="71" fillId="0" borderId="14" xfId="13" applyNumberFormat="1" applyFont="1" applyBorder="1" applyAlignment="1">
      <alignment horizontal="center"/>
    </xf>
    <xf numFmtId="172" fontId="71" fillId="0" borderId="17" xfId="13" quotePrefix="1" applyNumberFormat="1" applyFont="1" applyBorder="1" applyAlignment="1">
      <alignment horizontal="center"/>
    </xf>
    <xf numFmtId="172" fontId="69" fillId="0" borderId="16" xfId="13" applyNumberFormat="1" applyBorder="1" applyAlignment="1">
      <alignment horizontal="center"/>
    </xf>
    <xf numFmtId="172" fontId="71" fillId="0" borderId="17" xfId="13" applyNumberFormat="1" applyFont="1" applyBorder="1" applyAlignment="1">
      <alignment horizontal="center"/>
    </xf>
    <xf numFmtId="172" fontId="71" fillId="0" borderId="16" xfId="13" quotePrefix="1" applyNumberFormat="1" applyFont="1" applyBorder="1" applyAlignment="1">
      <alignment horizontal="center"/>
    </xf>
    <xf numFmtId="172" fontId="71" fillId="0" borderId="16" xfId="13" applyNumberFormat="1" applyFont="1" applyBorder="1" applyAlignment="1">
      <alignment horizontal="center"/>
    </xf>
    <xf numFmtId="172" fontId="91" fillId="0" borderId="31" xfId="13" applyNumberFormat="1" applyFont="1" applyBorder="1" applyAlignment="1">
      <alignment horizontal="center"/>
    </xf>
    <xf numFmtId="172" fontId="91" fillId="0" borderId="32" xfId="13" applyNumberFormat="1" applyFont="1" applyBorder="1" applyAlignment="1">
      <alignment horizontal="center"/>
    </xf>
    <xf numFmtId="172" fontId="86" fillId="0" borderId="139" xfId="13" applyNumberFormat="1" applyFont="1" applyBorder="1" applyAlignment="1">
      <alignment horizontal="center"/>
    </xf>
    <xf numFmtId="172" fontId="86" fillId="0" borderId="140" xfId="13" applyNumberFormat="1" applyFont="1" applyBorder="1" applyAlignment="1">
      <alignment horizontal="center"/>
    </xf>
    <xf numFmtId="172" fontId="86" fillId="0" borderId="142" xfId="13" applyNumberFormat="1" applyFont="1" applyBorder="1" applyAlignment="1">
      <alignment horizontal="center"/>
    </xf>
    <xf numFmtId="172" fontId="81" fillId="0" borderId="146" xfId="9" applyFont="1" applyBorder="1" applyAlignment="1" applyProtection="1">
      <alignment horizontal="center"/>
      <protection locked="0"/>
    </xf>
    <xf numFmtId="14" fontId="24" fillId="0" borderId="146" xfId="9" quotePrefix="1" applyNumberFormat="1" applyFont="1" applyBorder="1" applyAlignment="1" applyProtection="1">
      <alignment horizontal="center"/>
      <protection locked="0"/>
    </xf>
    <xf numFmtId="0" fontId="61" fillId="0" borderId="17" xfId="14" applyFont="1" applyBorder="1" applyAlignment="1">
      <alignment horizontal="center"/>
    </xf>
    <xf numFmtId="0" fontId="61" fillId="0" borderId="129" xfId="14" applyFont="1" applyBorder="1" applyAlignment="1">
      <alignment horizontal="center"/>
    </xf>
    <xf numFmtId="0" fontId="61" fillId="0" borderId="130" xfId="14" applyFont="1" applyBorder="1" applyAlignment="1">
      <alignment horizontal="center"/>
    </xf>
    <xf numFmtId="0" fontId="63" fillId="0" borderId="83" xfId="14" applyFont="1" applyBorder="1" applyAlignment="1">
      <alignment horizontal="center"/>
    </xf>
    <xf numFmtId="0" fontId="63" fillId="0" borderId="0" xfId="14" applyFont="1" applyAlignment="1">
      <alignment horizontal="center"/>
    </xf>
    <xf numFmtId="0" fontId="63" fillId="0" borderId="108" xfId="14" applyFont="1" applyBorder="1" applyAlignment="1">
      <alignment horizontal="center"/>
    </xf>
    <xf numFmtId="0" fontId="65" fillId="0" borderId="83" xfId="14" applyFont="1" applyBorder="1" applyAlignment="1">
      <alignment horizontal="center"/>
    </xf>
    <xf numFmtId="0" fontId="65" fillId="0" borderId="0" xfId="14" applyFont="1" applyAlignment="1">
      <alignment horizontal="center"/>
    </xf>
    <xf numFmtId="0" fontId="65" fillId="0" borderId="108" xfId="14" applyFont="1" applyBorder="1" applyAlignment="1">
      <alignment horizontal="center"/>
    </xf>
  </cellXfs>
  <cellStyles count="16">
    <cellStyle name="Normal" xfId="0" builtinId="0"/>
    <cellStyle name="Normal 2" xfId="1" xr:uid="{00000000-0005-0000-0000-000001000000}"/>
    <cellStyle name="Normal 2 2" xfId="14" xr:uid="{00000000-0005-0000-0000-000002000000}"/>
    <cellStyle name="Normal 2 3" xfId="6" xr:uid="{00000000-0005-0000-0000-000003000000}"/>
    <cellStyle name="Normal 3" xfId="4" xr:uid="{00000000-0005-0000-0000-000004000000}"/>
    <cellStyle name="Normal 3 2 2" xfId="9" xr:uid="{00000000-0005-0000-0000-000005000000}"/>
    <cellStyle name="Normal 4" xfId="5" xr:uid="{00000000-0005-0000-0000-000006000000}"/>
    <cellStyle name="Normal 4 2" xfId="10" xr:uid="{00000000-0005-0000-0000-000007000000}"/>
    <cellStyle name="Normal 5" xfId="11" xr:uid="{00000000-0005-0000-0000-000008000000}"/>
    <cellStyle name="Normal 5 2" xfId="15" xr:uid="{00000000-0005-0000-0000-000009000000}"/>
    <cellStyle name="Normal_MPCF1082" xfId="8" xr:uid="{00000000-0005-0000-0000-00000A000000}"/>
    <cellStyle name="Normal_MPCF1082 2" xfId="13" xr:uid="{00000000-0005-0000-0000-00000B000000}"/>
    <cellStyle name="Normal_MPCF1109" xfId="7" xr:uid="{00000000-0005-0000-0000-00000C000000}"/>
    <cellStyle name="Normal_OPTEST" xfId="2" xr:uid="{00000000-0005-0000-0000-00000D000000}"/>
    <cellStyle name="Normal_PROJ_REV_HIST" xfId="3" xr:uid="{00000000-0005-0000-0000-00000E000000}"/>
    <cellStyle name="Normal_Rev. 1" xfId="12" xr:uid="{00000000-0005-0000-0000-00000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95.37401906005644</c:v>
                </c:pt>
                <c:pt idx="2">
                  <c:v>215</c:v>
                </c:pt>
                <c:pt idx="3">
                  <c:v>162.97667616936872</c:v>
                </c:pt>
                <c:pt idx="4">
                  <c:v>144.54088749176213</c:v>
                </c:pt>
                <c:pt idx="5">
                  <c:v>138.02467682919826</c:v>
                </c:pt>
                <c:pt idx="6">
                  <c:v>135.27364496286651</c:v>
                </c:pt>
                <c:pt idx="7">
                  <c:v>135.01294963017835</c:v>
                </c:pt>
                <c:pt idx="8">
                  <c:v>135.00926973468671</c:v>
                </c:pt>
                <c:pt idx="9">
                  <c:v>135.00564684497107</c:v>
                </c:pt>
                <c:pt idx="10">
                  <c:v>135.00386558384696</c:v>
                </c:pt>
                <c:pt idx="11">
                  <c:v>135.00287468206244</c:v>
                </c:pt>
                <c:pt idx="12">
                  <c:v>135.00183285179392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61-40F7-8082-885618C52DD9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99.599998474121094</c:v>
                </c:pt>
                <c:pt idx="2">
                  <c:v>98</c:v>
                </c:pt>
                <c:pt idx="3">
                  <c:v>83.852630615234375</c:v>
                </c:pt>
                <c:pt idx="4">
                  <c:v>70.305259704589844</c:v>
                </c:pt>
                <c:pt idx="5">
                  <c:v>57.410526275634766</c:v>
                </c:pt>
                <c:pt idx="6">
                  <c:v>38.010524749755859</c:v>
                </c:pt>
                <c:pt idx="7">
                  <c:v>24.778947830200195</c:v>
                </c:pt>
                <c:pt idx="8">
                  <c:v>15.684209823608398</c:v>
                </c:pt>
                <c:pt idx="9">
                  <c:v>9.0105257034301758</c:v>
                </c:pt>
                <c:pt idx="10">
                  <c:v>6.2526321411132813</c:v>
                </c:pt>
                <c:pt idx="11">
                  <c:v>7.8315787315368652</c:v>
                </c:pt>
                <c:pt idx="12">
                  <c:v>14.70526123046875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61-40F7-8082-885618C52DD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DesignSheet!$B$100:$B$113</c:f>
              <c:numCache>
                <c:formatCode>0.0</c:formatCode>
                <c:ptCount val="14"/>
                <c:pt idx="0">
                  <c:v>0</c:v>
                </c:pt>
                <c:pt idx="1">
                  <c:v>61.039371936302501</c:v>
                </c:pt>
                <c:pt idx="2">
                  <c:v>137.60000410079959</c:v>
                </c:pt>
                <c:pt idx="3">
                  <c:v>104.30507146790829</c:v>
                </c:pt>
                <c:pt idx="4">
                  <c:v>92.506174631898773</c:v>
                </c:pt>
                <c:pt idx="5">
                  <c:v>88.335793648236745</c:v>
                </c:pt>
                <c:pt idx="6">
                  <c:v>86.57513929889015</c:v>
                </c:pt>
                <c:pt idx="7">
                  <c:v>86.408293590792766</c:v>
                </c:pt>
                <c:pt idx="8">
                  <c:v>86.405940075097618</c:v>
                </c:pt>
                <c:pt idx="9">
                  <c:v>86.403615856278364</c:v>
                </c:pt>
                <c:pt idx="10">
                  <c:v>86.402473278119302</c:v>
                </c:pt>
                <c:pt idx="11">
                  <c:v>86.401838512475393</c:v>
                </c:pt>
                <c:pt idx="12">
                  <c:v>86.401174449955604</c:v>
                </c:pt>
                <c:pt idx="13">
                  <c:v>86.400002574920677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61-40F7-8082-885618C52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396160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0.24948799610137939</c:v>
                </c:pt>
                <c:pt idx="1">
                  <c:v>141.25151062011719</c:v>
                </c:pt>
                <c:pt idx="2">
                  <c:v>457.14865112304688</c:v>
                </c:pt>
                <c:pt idx="3">
                  <c:v>555.70513916015625</c:v>
                </c:pt>
                <c:pt idx="4">
                  <c:v>583.35394287109375</c:v>
                </c:pt>
                <c:pt idx="5">
                  <c:v>594.72662353515625</c:v>
                </c:pt>
                <c:pt idx="6">
                  <c:v>604.9908447265625</c:v>
                </c:pt>
                <c:pt idx="7">
                  <c:v>611.02557373046875</c:v>
                </c:pt>
                <c:pt idx="8">
                  <c:v>615.9384765625</c:v>
                </c:pt>
                <c:pt idx="9">
                  <c:v>620.2142333984375</c:v>
                </c:pt>
                <c:pt idx="10">
                  <c:v>623.93670654296875</c:v>
                </c:pt>
                <c:pt idx="11">
                  <c:v>627.16009521484375</c:v>
                </c:pt>
                <c:pt idx="12">
                  <c:v>629.95172119140625</c:v>
                </c:pt>
                <c:pt idx="13">
                  <c:v>632.244873046875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61-40F7-8082-885618C52DD9}"/>
            </c:ext>
          </c:extLst>
        </c:ser>
        <c:ser>
          <c:idx val="4"/>
          <c:order val="4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DesignSheet!$C$100:$C$113</c:f>
              <c:numCache>
                <c:formatCode>0.0</c:formatCode>
                <c:ptCount val="14"/>
                <c:pt idx="0">
                  <c:v>48.899646759033203</c:v>
                </c:pt>
                <c:pt idx="1">
                  <c:v>113.00121307373047</c:v>
                </c:pt>
                <c:pt idx="2">
                  <c:v>365.71893310546875</c:v>
                </c:pt>
                <c:pt idx="3">
                  <c:v>444.56411743164063</c:v>
                </c:pt>
                <c:pt idx="4">
                  <c:v>466.68316650390625</c:v>
                </c:pt>
                <c:pt idx="5">
                  <c:v>475.78131103515625</c:v>
                </c:pt>
                <c:pt idx="6">
                  <c:v>483.99267578125</c:v>
                </c:pt>
                <c:pt idx="7">
                  <c:v>488.82046508789063</c:v>
                </c:pt>
                <c:pt idx="8">
                  <c:v>492.75079345703125</c:v>
                </c:pt>
                <c:pt idx="9">
                  <c:v>496.17138671875</c:v>
                </c:pt>
                <c:pt idx="10">
                  <c:v>499.14938354492188</c:v>
                </c:pt>
                <c:pt idx="11">
                  <c:v>501.72808837890625</c:v>
                </c:pt>
                <c:pt idx="12">
                  <c:v>503.96139526367188</c:v>
                </c:pt>
                <c:pt idx="13">
                  <c:v>505.7958984375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61-40F7-8082-885618C52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50439616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4396160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'STCurve 2000HP'!$A$54:$A$67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'STCurve 2000HP'!$B$54:$B$67</c:f>
              <c:numCache>
                <c:formatCode>0.0</c:formatCode>
                <c:ptCount val="14"/>
                <c:pt idx="0">
                  <c:v>0</c:v>
                </c:pt>
                <c:pt idx="1">
                  <c:v>95.37401906005644</c:v>
                </c:pt>
                <c:pt idx="2">
                  <c:v>215</c:v>
                </c:pt>
                <c:pt idx="3">
                  <c:v>162.97667616936872</c:v>
                </c:pt>
                <c:pt idx="4">
                  <c:v>144.54088749176213</c:v>
                </c:pt>
                <c:pt idx="5">
                  <c:v>138.02467682919826</c:v>
                </c:pt>
                <c:pt idx="6">
                  <c:v>135.27364496286651</c:v>
                </c:pt>
                <c:pt idx="7">
                  <c:v>135.01294963017835</c:v>
                </c:pt>
                <c:pt idx="8">
                  <c:v>135.00926973468671</c:v>
                </c:pt>
                <c:pt idx="9">
                  <c:v>135.00564684497107</c:v>
                </c:pt>
                <c:pt idx="10">
                  <c:v>135.00386558384696</c:v>
                </c:pt>
                <c:pt idx="11">
                  <c:v>135.00287468206244</c:v>
                </c:pt>
                <c:pt idx="12">
                  <c:v>135.00183285179392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6-4265-90A0-9F586D1CE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77408"/>
        <c:axId val="1"/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69577408"/>
        <c:axId val="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Load (Fan / Pump)</c:v>
                </c:tx>
                <c:spPr>
                  <a:ln w="25400">
                    <a:solidFill>
                      <a:srgbClr val="000000"/>
                    </a:solidFill>
                    <a:prstDash val="sysDash"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'STCurve 2000HP'!$A$54:$A$67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100</c:v>
                      </c:pt>
                      <c:pt idx="1">
                        <c:v>99.799999967217445</c:v>
                      </c:pt>
                      <c:pt idx="2">
                        <c:v>98.999999836087227</c:v>
                      </c:pt>
                      <c:pt idx="3">
                        <c:v>93.789473548531532</c:v>
                      </c:pt>
                      <c:pt idx="4">
                        <c:v>88.578946888446808</c:v>
                      </c:pt>
                      <c:pt idx="5">
                        <c:v>83.368420600891113</c:v>
                      </c:pt>
                      <c:pt idx="6">
                        <c:v>72.947368025779724</c:v>
                      </c:pt>
                      <c:pt idx="7">
                        <c:v>62.526315450668335</c:v>
                      </c:pt>
                      <c:pt idx="8">
                        <c:v>52.105262875556946</c:v>
                      </c:pt>
                      <c:pt idx="9">
                        <c:v>41.684210300445557</c:v>
                      </c:pt>
                      <c:pt idx="10">
                        <c:v>31.263160705566406</c:v>
                      </c:pt>
                      <c:pt idx="11">
                        <c:v>20.842105150222778</c:v>
                      </c:pt>
                      <c:pt idx="12">
                        <c:v>10.421055555343628</c:v>
                      </c:pt>
                      <c:pt idx="13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'STCurve 2000HP'!$D$54:$D$67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100</c:v>
                      </c:pt>
                      <c:pt idx="1">
                        <c:v>99.599998474121094</c:v>
                      </c:pt>
                      <c:pt idx="2">
                        <c:v>98</c:v>
                      </c:pt>
                      <c:pt idx="3">
                        <c:v>83.852630615234375</c:v>
                      </c:pt>
                      <c:pt idx="4">
                        <c:v>70.305259704589844</c:v>
                      </c:pt>
                      <c:pt idx="5">
                        <c:v>57.410526275634766</c:v>
                      </c:pt>
                      <c:pt idx="6">
                        <c:v>38.010524749755859</c:v>
                      </c:pt>
                      <c:pt idx="7">
                        <c:v>24.778947830200195</c:v>
                      </c:pt>
                      <c:pt idx="8">
                        <c:v>15.684209823608398</c:v>
                      </c:pt>
                      <c:pt idx="9">
                        <c:v>9.0105257034301758</c:v>
                      </c:pt>
                      <c:pt idx="10">
                        <c:v>6.2526321411132813</c:v>
                      </c:pt>
                      <c:pt idx="11">
                        <c:v>7.8315787315368652</c:v>
                      </c:pt>
                      <c:pt idx="12">
                        <c:v>14.70526123046875</c:v>
                      </c:pt>
                      <c:pt idx="13">
                        <c:v>30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9D6-4265-90A0-9F586D1CE31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Torque (FV / 0.80)</c:v>
                </c:tx>
                <c:spPr>
                  <a:ln w="25400">
                    <a:solidFill>
                      <a:srgbClr val="000000"/>
                    </a:solidFill>
                    <a:prstDash val="solid"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'STCurve 2000HP'!$A$54:$A$67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100</c:v>
                      </c:pt>
                      <c:pt idx="1">
                        <c:v>99.799999967217445</c:v>
                      </c:pt>
                      <c:pt idx="2">
                        <c:v>98.999999836087227</c:v>
                      </c:pt>
                      <c:pt idx="3">
                        <c:v>93.789473548531532</c:v>
                      </c:pt>
                      <c:pt idx="4">
                        <c:v>88.578946888446808</c:v>
                      </c:pt>
                      <c:pt idx="5">
                        <c:v>83.368420600891113</c:v>
                      </c:pt>
                      <c:pt idx="6">
                        <c:v>72.947368025779724</c:v>
                      </c:pt>
                      <c:pt idx="7">
                        <c:v>62.526315450668335</c:v>
                      </c:pt>
                      <c:pt idx="8">
                        <c:v>52.105262875556946</c:v>
                      </c:pt>
                      <c:pt idx="9">
                        <c:v>41.684210300445557</c:v>
                      </c:pt>
                      <c:pt idx="10">
                        <c:v>31.263160705566406</c:v>
                      </c:pt>
                      <c:pt idx="11">
                        <c:v>20.842105150222778</c:v>
                      </c:pt>
                      <c:pt idx="12">
                        <c:v>10.421055555343628</c:v>
                      </c:pt>
                      <c:pt idx="13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'STCurve 2000HP'!$E$54:$E$67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0</c:v>
                      </c:pt>
                      <c:pt idx="1">
                        <c:v>61.039371936302501</c:v>
                      </c:pt>
                      <c:pt idx="2">
                        <c:v>137.60000410079959</c:v>
                      </c:pt>
                      <c:pt idx="3">
                        <c:v>104.30507146790829</c:v>
                      </c:pt>
                      <c:pt idx="4">
                        <c:v>92.506174631898773</c:v>
                      </c:pt>
                      <c:pt idx="5">
                        <c:v>88.335793648236745</c:v>
                      </c:pt>
                      <c:pt idx="6">
                        <c:v>86.57513929889015</c:v>
                      </c:pt>
                      <c:pt idx="7">
                        <c:v>86.408293590792766</c:v>
                      </c:pt>
                      <c:pt idx="8">
                        <c:v>86.405940075097618</c:v>
                      </c:pt>
                      <c:pt idx="9">
                        <c:v>86.403615856278364</c:v>
                      </c:pt>
                      <c:pt idx="10">
                        <c:v>86.402473278119302</c:v>
                      </c:pt>
                      <c:pt idx="11">
                        <c:v>86.401838512475393</c:v>
                      </c:pt>
                      <c:pt idx="12">
                        <c:v>86.401174449955604</c:v>
                      </c:pt>
                      <c:pt idx="13">
                        <c:v>86.400002574920677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9D6-4265-90A0-9F586D1CE311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'STCurve 2000HP'!$A$54:$A$67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'STCurve 2000HP'!$C$54:$C$67</c:f>
              <c:numCache>
                <c:formatCode>0.0</c:formatCode>
                <c:ptCount val="14"/>
                <c:pt idx="0">
                  <c:v>0.24948799610137939</c:v>
                </c:pt>
                <c:pt idx="1">
                  <c:v>141.25151062011719</c:v>
                </c:pt>
                <c:pt idx="2">
                  <c:v>457.14865112304688</c:v>
                </c:pt>
                <c:pt idx="3">
                  <c:v>555.70513916015625</c:v>
                </c:pt>
                <c:pt idx="4">
                  <c:v>583.35394287109375</c:v>
                </c:pt>
                <c:pt idx="5">
                  <c:v>594.72662353515625</c:v>
                </c:pt>
                <c:pt idx="6">
                  <c:v>604.9908447265625</c:v>
                </c:pt>
                <c:pt idx="7">
                  <c:v>611.02557373046875</c:v>
                </c:pt>
                <c:pt idx="8">
                  <c:v>615.9384765625</c:v>
                </c:pt>
                <c:pt idx="9">
                  <c:v>620.2142333984375</c:v>
                </c:pt>
                <c:pt idx="10">
                  <c:v>623.93670654296875</c:v>
                </c:pt>
                <c:pt idx="11">
                  <c:v>627.16009521484375</c:v>
                </c:pt>
                <c:pt idx="12">
                  <c:v>629.95172119140625</c:v>
                </c:pt>
                <c:pt idx="13">
                  <c:v>632.244873046875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D6-4265-90A0-9F586D1CE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Current (FV / 0.80)</c:v>
                </c:tx>
                <c:spPr>
                  <a:ln w="25400">
                    <a:solidFill>
                      <a:srgbClr val="000000"/>
                    </a:solidFill>
                    <a:prstDash val="lgDash"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'STCurve 2000HP'!$A$54:$A$67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100</c:v>
                      </c:pt>
                      <c:pt idx="1">
                        <c:v>99.799999967217445</c:v>
                      </c:pt>
                      <c:pt idx="2">
                        <c:v>98.999999836087227</c:v>
                      </c:pt>
                      <c:pt idx="3">
                        <c:v>93.789473548531532</c:v>
                      </c:pt>
                      <c:pt idx="4">
                        <c:v>88.578946888446808</c:v>
                      </c:pt>
                      <c:pt idx="5">
                        <c:v>83.368420600891113</c:v>
                      </c:pt>
                      <c:pt idx="6">
                        <c:v>72.947368025779724</c:v>
                      </c:pt>
                      <c:pt idx="7">
                        <c:v>62.526315450668335</c:v>
                      </c:pt>
                      <c:pt idx="8">
                        <c:v>52.105262875556946</c:v>
                      </c:pt>
                      <c:pt idx="9">
                        <c:v>41.684210300445557</c:v>
                      </c:pt>
                      <c:pt idx="10">
                        <c:v>31.263160705566406</c:v>
                      </c:pt>
                      <c:pt idx="11">
                        <c:v>20.842105150222778</c:v>
                      </c:pt>
                      <c:pt idx="12">
                        <c:v>10.421055555343628</c:v>
                      </c:pt>
                      <c:pt idx="13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'STCurve 2000HP'!$F$54:$F$67</c15:sqref>
                        </c15:formulaRef>
                      </c:ext>
                    </c:extLst>
                    <c:numCache>
                      <c:formatCode>0.0</c:formatCode>
                      <c:ptCount val="14"/>
                      <c:pt idx="0">
                        <c:v>48.899646759033203</c:v>
                      </c:pt>
                      <c:pt idx="1">
                        <c:v>113.00121307373047</c:v>
                      </c:pt>
                      <c:pt idx="2">
                        <c:v>365.71893310546875</c:v>
                      </c:pt>
                      <c:pt idx="3">
                        <c:v>444.56411743164063</c:v>
                      </c:pt>
                      <c:pt idx="4">
                        <c:v>466.68316650390625</c:v>
                      </c:pt>
                      <c:pt idx="5">
                        <c:v>475.78131103515625</c:v>
                      </c:pt>
                      <c:pt idx="6">
                        <c:v>483.99267578125</c:v>
                      </c:pt>
                      <c:pt idx="7">
                        <c:v>488.82046508789063</c:v>
                      </c:pt>
                      <c:pt idx="8">
                        <c:v>492.75079345703125</c:v>
                      </c:pt>
                      <c:pt idx="9">
                        <c:v>496.17138671875</c:v>
                      </c:pt>
                      <c:pt idx="10">
                        <c:v>499.14938354492188</c:v>
                      </c:pt>
                      <c:pt idx="11">
                        <c:v>501.72808837890625</c:v>
                      </c:pt>
                      <c:pt idx="12">
                        <c:v>503.96139526367188</c:v>
                      </c:pt>
                      <c:pt idx="13">
                        <c:v>505.7958984375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59D6-4265-90A0-9F586D1CE311}"/>
                  </c:ext>
                </c:extLst>
              </c15:ser>
            </c15:filteredScatterSeries>
          </c:ext>
        </c:extLst>
      </c:scatterChart>
      <c:valAx>
        <c:axId val="66957740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69577408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8783349799906186"/>
          <c:w val="0.25508864023576"/>
          <c:h val="0.11216650200093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'Thermdam 2000HP'!$A$68:$A$71</c:f>
              <c:numCache>
                <c:formatCode>0</c:formatCode>
                <c:ptCount val="4"/>
                <c:pt idx="0">
                  <c:v>632.24489795918362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'Thermdam 2000HP'!$B$68:$B$71</c:f>
              <c:numCache>
                <c:formatCode>0.00</c:formatCode>
                <c:ptCount val="4"/>
                <c:pt idx="0">
                  <c:v>14.235666819981168</c:v>
                </c:pt>
                <c:pt idx="1">
                  <c:v>15.806873619107607</c:v>
                </c:pt>
                <c:pt idx="2">
                  <c:v>22.761898011514951</c:v>
                </c:pt>
                <c:pt idx="3">
                  <c:v>35.565465642992116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76-4A59-8976-74C3999ABAF6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'Thermdam 2000HP'!$A$68:$A$71</c:f>
              <c:numCache>
                <c:formatCode>0</c:formatCode>
                <c:ptCount val="4"/>
                <c:pt idx="0">
                  <c:v>632.24489795918362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'Thermdam 2000HP'!$C$68:$C$71</c:f>
              <c:numCache>
                <c:formatCode>0.00</c:formatCode>
                <c:ptCount val="4"/>
                <c:pt idx="0">
                  <c:v>7.4286678859165738</c:v>
                </c:pt>
                <c:pt idx="1">
                  <c:v>8.2485784414531498</c:v>
                </c:pt>
                <c:pt idx="2">
                  <c:v>11.877952955692534</c:v>
                </c:pt>
                <c:pt idx="3">
                  <c:v>18.559301493269587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76-4A59-8976-74C3999ABAF6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'Thermdam 2000HP'!$A$72:$A$79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215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'Thermdam 2000HP'!$C$72:$C$79</c:f>
              <c:numCache>
                <c:formatCode>0.00</c:formatCode>
                <c:ptCount val="8"/>
                <c:pt idx="2">
                  <c:v>64.23987536880766</c:v>
                </c:pt>
                <c:pt idx="3">
                  <c:v>91.650871571701671</c:v>
                </c:pt>
                <c:pt idx="4">
                  <c:v>141.23606368243207</c:v>
                </c:pt>
                <c:pt idx="5" formatCode="0">
                  <c:v>300</c:v>
                </c:pt>
                <c:pt idx="6" formatCode="0">
                  <c:v>600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76-4A59-8976-74C3999ABAF6}"/>
            </c:ext>
          </c:extLst>
        </c:ser>
        <c:ser>
          <c:idx val="3"/>
          <c:order val="3"/>
          <c:tx>
            <c:v>Acceleration Curve @FV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'Thermdam 2000HP'!$E$68:$E$81</c:f>
              <c:numCache>
                <c:formatCode>0</c:formatCode>
                <c:ptCount val="14"/>
                <c:pt idx="0">
                  <c:v>632.24489795918362</c:v>
                </c:pt>
                <c:pt idx="1">
                  <c:v>631.10204081632651</c:v>
                </c:pt>
                <c:pt idx="2">
                  <c:v>628.69387755102036</c:v>
                </c:pt>
                <c:pt idx="3">
                  <c:v>625.9591836734694</c:v>
                </c:pt>
                <c:pt idx="4">
                  <c:v>622.81632653061229</c:v>
                </c:pt>
                <c:pt idx="5">
                  <c:v>619.30612244897964</c:v>
                </c:pt>
                <c:pt idx="6">
                  <c:v>615.38775510204084</c:v>
                </c:pt>
                <c:pt idx="7">
                  <c:v>611.0612244897959</c:v>
                </c:pt>
                <c:pt idx="8">
                  <c:v>605.22448979591832</c:v>
                </c:pt>
                <c:pt idx="9">
                  <c:v>597.83673469387759</c:v>
                </c:pt>
                <c:pt idx="10">
                  <c:v>584.36734693877554</c:v>
                </c:pt>
                <c:pt idx="11">
                  <c:v>536.85714285714289</c:v>
                </c:pt>
                <c:pt idx="12">
                  <c:v>336.24489795918367</c:v>
                </c:pt>
                <c:pt idx="13">
                  <c:v>120</c:v>
                </c:pt>
              </c:numCache>
            </c:numRef>
          </c:xVal>
          <c:yVal>
            <c:numRef>
              <c:f>'Thermdam 2000HP'!$F$68:$F$81</c:f>
              <c:numCache>
                <c:formatCode>0.00</c:formatCode>
                <c:ptCount val="14"/>
                <c:pt idx="0">
                  <c:v>1E-4</c:v>
                </c:pt>
                <c:pt idx="1">
                  <c:v>0.19062500214204192</c:v>
                </c:pt>
                <c:pt idx="2">
                  <c:v>0.36250001285225153</c:v>
                </c:pt>
                <c:pt idx="3">
                  <c:v>0.52968752570450306</c:v>
                </c:pt>
                <c:pt idx="4">
                  <c:v>0.69687501527369022</c:v>
                </c:pt>
                <c:pt idx="5">
                  <c:v>0.86874999105930328</c:v>
                </c:pt>
                <c:pt idx="6">
                  <c:v>1.0515624657273293</c:v>
                </c:pt>
                <c:pt idx="7">
                  <c:v>1.256249938160181</c:v>
                </c:pt>
                <c:pt idx="8">
                  <c:v>1.4921874739229679</c:v>
                </c:pt>
                <c:pt idx="9">
                  <c:v>1.6265625134110451</c:v>
                </c:pt>
                <c:pt idx="10">
                  <c:v>1.7609374597668648</c:v>
                </c:pt>
                <c:pt idx="11">
                  <c:v>1.8656250089406967</c:v>
                </c:pt>
                <c:pt idx="12">
                  <c:v>1.9578125327825546</c:v>
                </c:pt>
                <c:pt idx="13">
                  <c:v>2.0031251013278961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76-4A59-8976-74C3999ABAF6}"/>
            </c:ext>
          </c:extLst>
        </c:ser>
        <c:ser>
          <c:idx val="4"/>
          <c:order val="4"/>
          <c:tx>
            <c:v>Acceleration Curve @0.80V</c:v>
          </c:tx>
          <c:marker>
            <c:symbol val="none"/>
          </c:marker>
          <c:xVal>
            <c:numRef>
              <c:f>'Thermdam 2000HP'!$G$68:$G$81</c:f>
              <c:numCache>
                <c:formatCode>General</c:formatCode>
                <c:ptCount val="14"/>
                <c:pt idx="0">
                  <c:v>505.79591836734693</c:v>
                </c:pt>
                <c:pt idx="1">
                  <c:v>504.88163265306122</c:v>
                </c:pt>
                <c:pt idx="2">
                  <c:v>502.95510204081631</c:v>
                </c:pt>
                <c:pt idx="3">
                  <c:v>500.76734693877552</c:v>
                </c:pt>
                <c:pt idx="4">
                  <c:v>498.25306122448984</c:v>
                </c:pt>
                <c:pt idx="5">
                  <c:v>495.44489795918372</c:v>
                </c:pt>
                <c:pt idx="6">
                  <c:v>492.31020408163272</c:v>
                </c:pt>
                <c:pt idx="7">
                  <c:v>488.84897959183672</c:v>
                </c:pt>
                <c:pt idx="8">
                  <c:v>484.17959183673469</c:v>
                </c:pt>
                <c:pt idx="9">
                  <c:v>478.26938775510212</c:v>
                </c:pt>
                <c:pt idx="10">
                  <c:v>467.49387755102043</c:v>
                </c:pt>
                <c:pt idx="11">
                  <c:v>429.48571428571432</c:v>
                </c:pt>
                <c:pt idx="12">
                  <c:v>268.99591836734697</c:v>
                </c:pt>
                <c:pt idx="13">
                  <c:v>120</c:v>
                </c:pt>
              </c:numCache>
            </c:numRef>
          </c:xVal>
          <c:yVal>
            <c:numRef>
              <c:f>'Thermdam 2000HP'!$H$68:$H$81</c:f>
              <c:numCache>
                <c:formatCode>General</c:formatCode>
                <c:ptCount val="14"/>
                <c:pt idx="0" formatCode="0.00">
                  <c:v>1E-4</c:v>
                </c:pt>
                <c:pt idx="1">
                  <c:v>0.38065430115238996</c:v>
                </c:pt>
                <c:pt idx="2">
                  <c:v>0.72386721316433977</c:v>
                </c:pt>
                <c:pt idx="3">
                  <c:v>1.0577197778911795</c:v>
                </c:pt>
                <c:pt idx="4">
                  <c:v>1.3915722961246502</c:v>
                </c:pt>
                <c:pt idx="5">
                  <c:v>1.7347851383965462</c:v>
                </c:pt>
                <c:pt idx="6">
                  <c:v>2.0998387987492606</c:v>
                </c:pt>
                <c:pt idx="7">
                  <c:v>2.5085740952636115</c:v>
                </c:pt>
                <c:pt idx="8">
                  <c:v>2.9797118619899265</c:v>
                </c:pt>
                <c:pt idx="9">
                  <c:v>3.2480420189676806</c:v>
                </c:pt>
                <c:pt idx="10">
                  <c:v>3.5163719899719581</c:v>
                </c:pt>
                <c:pt idx="11">
                  <c:v>3.7254199397284538</c:v>
                </c:pt>
                <c:pt idx="12">
                  <c:v>3.9095069014001638</c:v>
                </c:pt>
                <c:pt idx="13">
                  <c:v>3.9999904367141426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76-4A59-8976-74C3999AB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173456"/>
        <c:axId val="1"/>
      </c:scatterChart>
      <c:valAx>
        <c:axId val="80317345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317345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 2000HP'!$A$54:$A$59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 2000HP'!$B$54:$B$59</c:f>
              <c:numCache>
                <c:formatCode>0.0</c:formatCode>
                <c:ptCount val="6"/>
                <c:pt idx="1">
                  <c:v>92.900001525878906</c:v>
                </c:pt>
                <c:pt idx="2">
                  <c:v>95.599998474121094</c:v>
                </c:pt>
                <c:pt idx="3">
                  <c:v>96.300003051757813</c:v>
                </c:pt>
                <c:pt idx="4">
                  <c:v>96.5</c:v>
                </c:pt>
                <c:pt idx="5">
                  <c:v>96.5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90-4DD6-B0B0-96EFB68B6A4C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 2000HP'!$A$55:$A$59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 2000HP'!$C$55:$C$59</c:f>
              <c:numCache>
                <c:formatCode>0.0</c:formatCode>
                <c:ptCount val="5"/>
                <c:pt idx="0">
                  <c:v>65.599998474121094</c:v>
                </c:pt>
                <c:pt idx="1">
                  <c:v>84</c:v>
                </c:pt>
                <c:pt idx="2">
                  <c:v>89.400001525878906</c:v>
                </c:pt>
                <c:pt idx="3">
                  <c:v>91.099998474121094</c:v>
                </c:pt>
                <c:pt idx="4">
                  <c:v>91.5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90-4DD6-B0B0-96EFB68B6A4C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 2000HP'!$A$54:$A$59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 2000HP'!$E$54:$E$59</c:f>
              <c:numCache>
                <c:formatCode>0.0</c:formatCode>
                <c:ptCount val="6"/>
                <c:pt idx="0">
                  <c:v>100</c:v>
                </c:pt>
                <c:pt idx="1">
                  <c:v>88.796169999999393</c:v>
                </c:pt>
                <c:pt idx="2">
                  <c:v>77.763610000000654</c:v>
                </c:pt>
                <c:pt idx="3">
                  <c:v>66.560904999998911</c:v>
                </c:pt>
                <c:pt idx="4">
                  <c:v>55.000000000000007</c:v>
                </c:pt>
                <c:pt idx="5">
                  <c:v>43.617299500000399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90-4DD6-B0B0-96EFB68B6A4C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 2000HP'!$A$54:$A$59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 2000HP'!$F$54:$F$59</c:f>
              <c:numCache>
                <c:formatCode>0.0</c:formatCode>
                <c:ptCount val="6"/>
                <c:pt idx="0">
                  <c:v>0.4425</c:v>
                </c:pt>
                <c:pt idx="1">
                  <c:v>10.0340075</c:v>
                </c:pt>
                <c:pt idx="2">
                  <c:v>19.501782500000001</c:v>
                </c:pt>
                <c:pt idx="3">
                  <c:v>29.052074999999999</c:v>
                </c:pt>
                <c:pt idx="4">
                  <c:v>38.641150000000003</c:v>
                </c:pt>
                <c:pt idx="5">
                  <c:v>48.329299999999996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90-4DD6-B0B0-96EFB68B6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45242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 2000HP'!$A$54:$A$59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 2000HP'!$D$54:$D$59</c:f>
              <c:numCache>
                <c:formatCode>0.0</c:formatCode>
                <c:ptCount val="6"/>
                <c:pt idx="0">
                  <c:v>55</c:v>
                </c:pt>
                <c:pt idx="1">
                  <c:v>88.30999755859375</c:v>
                </c:pt>
                <c:pt idx="2">
                  <c:v>134.03999328613281</c:v>
                </c:pt>
                <c:pt idx="3">
                  <c:v>187.6199951171875</c:v>
                </c:pt>
                <c:pt idx="4">
                  <c:v>244.88999938964844</c:v>
                </c:pt>
                <c:pt idx="5">
                  <c:v>304.95001220703125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90-4DD6-B0B0-96EFB68B6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0845242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45242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 2000HP'!$A$54:$A$59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 2000HP'!$B$54:$B$59</c:f>
              <c:numCache>
                <c:formatCode>0.0</c:formatCode>
                <c:ptCount val="6"/>
                <c:pt idx="1">
                  <c:v>92.900001525878906</c:v>
                </c:pt>
                <c:pt idx="2">
                  <c:v>95.599998474121094</c:v>
                </c:pt>
                <c:pt idx="3">
                  <c:v>96.300003051757813</c:v>
                </c:pt>
                <c:pt idx="4">
                  <c:v>96.5</c:v>
                </c:pt>
                <c:pt idx="5">
                  <c:v>96.5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AB-457D-A4AA-4B3A9808920D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 2000HP'!$A$55:$A$59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 2000HP'!$C$55:$C$59</c:f>
              <c:numCache>
                <c:formatCode>0.0</c:formatCode>
                <c:ptCount val="5"/>
                <c:pt idx="0">
                  <c:v>65.599998474121094</c:v>
                </c:pt>
                <c:pt idx="1">
                  <c:v>84</c:v>
                </c:pt>
                <c:pt idx="2">
                  <c:v>89.400001525878906</c:v>
                </c:pt>
                <c:pt idx="3">
                  <c:v>91.099998474121094</c:v>
                </c:pt>
                <c:pt idx="4">
                  <c:v>91.5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AB-457D-A4AA-4B3A9808920D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 2000HP'!$A$54:$A$59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 2000HP'!$E$54:$E$59</c:f>
              <c:numCache>
                <c:formatCode>0.0</c:formatCode>
                <c:ptCount val="6"/>
                <c:pt idx="0">
                  <c:v>100</c:v>
                </c:pt>
                <c:pt idx="1">
                  <c:v>88.796169999999393</c:v>
                </c:pt>
                <c:pt idx="2">
                  <c:v>77.763610000000654</c:v>
                </c:pt>
                <c:pt idx="3">
                  <c:v>66.560904999998911</c:v>
                </c:pt>
                <c:pt idx="4">
                  <c:v>55.000000000000007</c:v>
                </c:pt>
                <c:pt idx="5">
                  <c:v>43.617299500000399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AB-457D-A4AA-4B3A9808920D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 2000HP'!$A$54:$A$59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 2000HP'!$F$54:$F$59</c:f>
              <c:numCache>
                <c:formatCode>0.0</c:formatCode>
                <c:ptCount val="6"/>
                <c:pt idx="0">
                  <c:v>0.4425</c:v>
                </c:pt>
                <c:pt idx="1">
                  <c:v>10.0340075</c:v>
                </c:pt>
                <c:pt idx="2">
                  <c:v>19.501782500000001</c:v>
                </c:pt>
                <c:pt idx="3">
                  <c:v>29.052074999999999</c:v>
                </c:pt>
                <c:pt idx="4">
                  <c:v>38.641150000000003</c:v>
                </c:pt>
                <c:pt idx="5">
                  <c:v>48.329299999999996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AB-457D-A4AA-4B3A98089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45242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 2000HP'!$A$54:$A$59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 2000HP'!$D$54:$D$59</c:f>
              <c:numCache>
                <c:formatCode>0.0</c:formatCode>
                <c:ptCount val="6"/>
                <c:pt idx="0">
                  <c:v>95.262794416288244</c:v>
                </c:pt>
                <c:pt idx="1">
                  <c:v>152.95740258776789</c:v>
                </c:pt>
                <c:pt idx="2">
                  <c:v>232.16407861777321</c:v>
                </c:pt>
                <c:pt idx="3">
                  <c:v>324.96736405879341</c:v>
                </c:pt>
                <c:pt idx="4">
                  <c:v>424</c:v>
                </c:pt>
                <c:pt idx="5">
                  <c:v>528.1889149113274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AB-457D-A4AA-4B3A98089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0845242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45242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6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6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 / 0.80)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'STCurve 1750HP'!$A$54:$A$67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'STCurve 1750HP'!$B$54:$B$67</c:f>
              <c:numCache>
                <c:formatCode>0.0</c:formatCode>
                <c:ptCount val="14"/>
                <c:pt idx="0">
                  <c:v>0</c:v>
                </c:pt>
                <c:pt idx="1">
                  <c:v>108.68202188324292</c:v>
                </c:pt>
                <c:pt idx="2">
                  <c:v>245</c:v>
                </c:pt>
                <c:pt idx="3">
                  <c:v>196.89107676110152</c:v>
                </c:pt>
                <c:pt idx="4">
                  <c:v>169.10424901518877</c:v>
                </c:pt>
                <c:pt idx="5">
                  <c:v>159.35078675248914</c:v>
                </c:pt>
                <c:pt idx="6">
                  <c:v>155.3094191801346</c:v>
                </c:pt>
                <c:pt idx="7">
                  <c:v>155</c:v>
                </c:pt>
                <c:pt idx="8">
                  <c:v>155.00000801696234</c:v>
                </c:pt>
                <c:pt idx="9">
                  <c:v>155.00182156104688</c:v>
                </c:pt>
                <c:pt idx="10">
                  <c:v>155.00253548479404</c:v>
                </c:pt>
                <c:pt idx="11">
                  <c:v>155.00583384361761</c:v>
                </c:pt>
                <c:pt idx="12">
                  <c:v>155.00825453125555</c:v>
                </c:pt>
                <c:pt idx="13">
                  <c:v>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5E-4107-A592-95F9BF1E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458032"/>
        <c:axId val="1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FF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'STCurve 1750HP'!$A$54:$A$67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'STCurve 1750HP'!$D$54:$D$67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5E-4107-A592-95F9BF1ED1F4}"/>
            </c:ext>
          </c:extLst>
        </c:ser>
        <c:ser>
          <c:idx val="3"/>
          <c:order val="3"/>
          <c:spPr>
            <a:ln w="254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'STCurve 1750HP'!$A$54:$A$67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'STCurve 1750HP'!$E$54:$E$67</c:f>
              <c:numCache>
                <c:formatCode>0.0</c:formatCode>
                <c:ptCount val="14"/>
                <c:pt idx="0">
                  <c:v>0</c:v>
                </c:pt>
                <c:pt idx="1">
                  <c:v>69.556496213570071</c:v>
                </c:pt>
                <c:pt idx="2">
                  <c:v>156.8000046730042</c:v>
                </c:pt>
                <c:pt idx="3">
                  <c:v>126.0102967241494</c:v>
                </c:pt>
                <c:pt idx="4">
                  <c:v>108.22672197540759</c:v>
                </c:pt>
                <c:pt idx="5">
                  <c:v>101.98450499250004</c:v>
                </c:pt>
                <c:pt idx="6">
                  <c:v>99.398030306042074</c:v>
                </c:pt>
                <c:pt idx="7">
                  <c:v>99.200002956390406</c:v>
                </c:pt>
                <c:pt idx="8">
                  <c:v>99.2000127220157</c:v>
                </c:pt>
                <c:pt idx="9">
                  <c:v>99.201165065800041</c:v>
                </c:pt>
                <c:pt idx="10">
                  <c:v>99.201624050188713</c:v>
                </c:pt>
                <c:pt idx="11">
                  <c:v>99.203733425251585</c:v>
                </c:pt>
                <c:pt idx="12">
                  <c:v>99.205286159672852</c:v>
                </c:pt>
                <c:pt idx="13">
                  <c:v>99.200002956390406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5E-4107-A592-95F9BF1E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458032"/>
        <c:axId val="1"/>
      </c:scatterChart>
      <c:scatterChart>
        <c:scatterStyle val="lineMarker"/>
        <c:varyColors val="0"/>
        <c:ser>
          <c:idx val="1"/>
          <c:order val="1"/>
          <c:tx>
            <c:v>Current (FV / 0.80)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'STCurve 1750HP'!$A$54:$A$67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'STCurve 1750HP'!$C$54:$C$67</c:f>
              <c:numCache>
                <c:formatCode>0.0</c:formatCode>
                <c:ptCount val="14"/>
                <c:pt idx="0">
                  <c:v>0.28430026769638062</c:v>
                </c:pt>
                <c:pt idx="1">
                  <c:v>160.96101379394531</c:v>
                </c:pt>
                <c:pt idx="2">
                  <c:v>520.93682861328125</c:v>
                </c:pt>
                <c:pt idx="3">
                  <c:v>633.24542236328125</c:v>
                </c:pt>
                <c:pt idx="4">
                  <c:v>664.752197265625</c:v>
                </c:pt>
                <c:pt idx="5">
                  <c:v>677.7117919921875</c:v>
                </c:pt>
                <c:pt idx="6">
                  <c:v>689.40814208984375</c:v>
                </c:pt>
                <c:pt idx="7">
                  <c:v>696.28497314453125</c:v>
                </c:pt>
                <c:pt idx="8">
                  <c:v>701.88336181640625</c:v>
                </c:pt>
                <c:pt idx="9">
                  <c:v>706.75579833984375</c:v>
                </c:pt>
                <c:pt idx="10">
                  <c:v>710.99761962890625</c:v>
                </c:pt>
                <c:pt idx="11">
                  <c:v>714.67083740234375</c:v>
                </c:pt>
                <c:pt idx="12">
                  <c:v>717.85198974609375</c:v>
                </c:pt>
                <c:pt idx="13">
                  <c:v>720.465087890625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5E-4107-A592-95F9BF1ED1F4}"/>
            </c:ext>
          </c:extLst>
        </c:ser>
        <c:ser>
          <c:idx val="4"/>
          <c:order val="4"/>
          <c:spPr>
            <a:ln w="2540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Ref>
              <c:f>'STCurve 1750HP'!$A$54:$A$67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'STCurve 1750HP'!$F$54:$F$67</c:f>
              <c:numCache>
                <c:formatCode>0.0</c:formatCode>
                <c:ptCount val="14"/>
                <c:pt idx="0">
                  <c:v>48.899646759033203</c:v>
                </c:pt>
                <c:pt idx="1">
                  <c:v>128.76881408691406</c:v>
                </c:pt>
                <c:pt idx="2">
                  <c:v>416.74948120117188</c:v>
                </c:pt>
                <c:pt idx="3">
                  <c:v>506.59634399414063</c:v>
                </c:pt>
                <c:pt idx="4">
                  <c:v>531.8017578125</c:v>
                </c:pt>
                <c:pt idx="5">
                  <c:v>542.16943359375</c:v>
                </c:pt>
                <c:pt idx="6">
                  <c:v>551.52655029296875</c:v>
                </c:pt>
                <c:pt idx="7">
                  <c:v>557.02801513671875</c:v>
                </c:pt>
                <c:pt idx="8">
                  <c:v>561.5067138671875</c:v>
                </c:pt>
                <c:pt idx="9">
                  <c:v>565.4046630859375</c:v>
                </c:pt>
                <c:pt idx="10">
                  <c:v>568.798095703125</c:v>
                </c:pt>
                <c:pt idx="11">
                  <c:v>571.7366943359375</c:v>
                </c:pt>
                <c:pt idx="12">
                  <c:v>574.2816162109375</c:v>
                </c:pt>
                <c:pt idx="13">
                  <c:v>576.3720703125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5E-4107-A592-95F9BF1E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37445803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74458032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146204356034443"/>
          <c:y val="0.89733920142111512"/>
          <c:w val="0.69761532440023932"/>
          <c:h val="5.703342215302935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'Thermdam 1750HP'!$A$68:$A$71</c:f>
              <c:numCache>
                <c:formatCode>0</c:formatCode>
                <c:ptCount val="4"/>
                <c:pt idx="0">
                  <c:v>720.46511627906978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</c:numCache>
            </c:numRef>
          </c:xVal>
          <c:yVal>
            <c:numRef>
              <c:f>'Thermdam 1750HP'!$B$68:$B$71</c:f>
              <c:numCache>
                <c:formatCode>0.00</c:formatCode>
                <c:ptCount val="4"/>
                <c:pt idx="0">
                  <c:v>14.318896702357701</c:v>
                </c:pt>
                <c:pt idx="1">
                  <c:v>15.168386691773282</c:v>
                </c:pt>
                <c:pt idx="2">
                  <c:v>20.645859663802522</c:v>
                </c:pt>
                <c:pt idx="3">
                  <c:v>29.730037915875624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84-4251-BDB8-2A3BB6C75E6F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'Thermdam 1750HP'!$A$68:$A$71</c:f>
              <c:numCache>
                <c:formatCode>0</c:formatCode>
                <c:ptCount val="4"/>
                <c:pt idx="0">
                  <c:v>720.46511627906978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</c:numCache>
            </c:numRef>
          </c:xVal>
          <c:yVal>
            <c:numRef>
              <c:f>'Thermdam 1750HP'!$C$68:$C$71</c:f>
              <c:numCache>
                <c:formatCode>0.00</c:formatCode>
                <c:ptCount val="4"/>
                <c:pt idx="0">
                  <c:v>9.2553765433175226</c:v>
                </c:pt>
                <c:pt idx="1">
                  <c:v>9.804465616676465</c:v>
                </c:pt>
                <c:pt idx="2">
                  <c:v>13.344967089365188</c:v>
                </c:pt>
                <c:pt idx="3">
                  <c:v>19.216752608685866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84-4251-BDB8-2A3BB6C75E6F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'Thermdam 1750HP'!$A$72:$A$79</c:f>
              <c:numCache>
                <c:formatCode>0</c:formatCode>
                <c:ptCount val="8"/>
                <c:pt idx="0">
                  <c:v>400</c:v>
                </c:pt>
                <c:pt idx="1">
                  <c:v>300</c:v>
                </c:pt>
                <c:pt idx="2">
                  <c:v>245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'Thermdam 1750HP'!$C$72:$C$79</c:f>
              <c:numCache>
                <c:formatCode>0.00</c:formatCode>
                <c:ptCount val="8"/>
                <c:pt idx="2">
                  <c:v>80.036454013685429</c:v>
                </c:pt>
                <c:pt idx="3">
                  <c:v>148.27741210405767</c:v>
                </c:pt>
                <c:pt idx="4">
                  <c:v>228.49884195821485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84-4251-BDB8-2A3BB6C75E6F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'Thermdam 1750HP'!$E$68:$E$81</c:f>
              <c:numCache>
                <c:formatCode>0</c:formatCode>
                <c:ptCount val="14"/>
                <c:pt idx="0">
                  <c:v>720.46511627906978</c:v>
                </c:pt>
                <c:pt idx="1">
                  <c:v>719.16279069767438</c:v>
                </c:pt>
                <c:pt idx="2">
                  <c:v>716.27906976744191</c:v>
                </c:pt>
                <c:pt idx="3">
                  <c:v>712.83720930232562</c:v>
                </c:pt>
                <c:pt idx="4">
                  <c:v>708.88372093023258</c:v>
                </c:pt>
                <c:pt idx="5">
                  <c:v>704.32558139534888</c:v>
                </c:pt>
                <c:pt idx="6">
                  <c:v>699.06976744186045</c:v>
                </c:pt>
                <c:pt idx="7">
                  <c:v>692.83720930232562</c:v>
                </c:pt>
                <c:pt idx="8">
                  <c:v>683.58139534883719</c:v>
                </c:pt>
                <c:pt idx="9">
                  <c:v>671.20930232558135</c:v>
                </c:pt>
                <c:pt idx="10">
                  <c:v>648.97674418604652</c:v>
                </c:pt>
                <c:pt idx="11">
                  <c:v>577.06976744186045</c:v>
                </c:pt>
                <c:pt idx="12">
                  <c:v>340.93023255813955</c:v>
                </c:pt>
                <c:pt idx="13">
                  <c:v>120</c:v>
                </c:pt>
              </c:numCache>
            </c:numRef>
          </c:xVal>
          <c:yVal>
            <c:numRef>
              <c:f>'Thermdam 1750HP'!$F$68:$F$81</c:f>
              <c:numCache>
                <c:formatCode>0.00</c:formatCode>
                <c:ptCount val="14"/>
                <c:pt idx="0">
                  <c:v>1E-4</c:v>
                </c:pt>
                <c:pt idx="1">
                  <c:v>0.19799999892711639</c:v>
                </c:pt>
                <c:pt idx="2">
                  <c:v>0.38100001215934753</c:v>
                </c:pt>
                <c:pt idx="3">
                  <c:v>0.55800002813339233</c:v>
                </c:pt>
                <c:pt idx="4">
                  <c:v>0.73500001430511475</c:v>
                </c:pt>
                <c:pt idx="5">
                  <c:v>0.91699999570846558</c:v>
                </c:pt>
                <c:pt idx="6">
                  <c:v>1.1089999675750732</c:v>
                </c:pt>
                <c:pt idx="7">
                  <c:v>1.3209999799728394</c:v>
                </c:pt>
                <c:pt idx="8">
                  <c:v>1.5559999942779541</c:v>
                </c:pt>
                <c:pt idx="9">
                  <c:v>1.6820000410079956</c:v>
                </c:pt>
                <c:pt idx="10">
                  <c:v>1.8009999990463257</c:v>
                </c:pt>
                <c:pt idx="11">
                  <c:v>1.8990000486373901</c:v>
                </c:pt>
                <c:pt idx="12">
                  <c:v>2</c:v>
                </c:pt>
                <c:pt idx="1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84-4251-BDB8-2A3BB6C75E6F}"/>
            </c:ext>
          </c:extLst>
        </c:ser>
        <c:ser>
          <c:idx val="4"/>
          <c:order val="4"/>
          <c:marker>
            <c:symbol val="none"/>
          </c:marker>
          <c:xVal>
            <c:numRef>
              <c:f>'Thermdam 1750HP'!$G$68:$G$81</c:f>
              <c:numCache>
                <c:formatCode>General</c:formatCode>
                <c:ptCount val="14"/>
                <c:pt idx="0">
                  <c:v>576.37209302325584</c:v>
                </c:pt>
                <c:pt idx="1">
                  <c:v>575.33023255813953</c:v>
                </c:pt>
                <c:pt idx="2">
                  <c:v>573.0232558139536</c:v>
                </c:pt>
                <c:pt idx="3">
                  <c:v>570.26976744186049</c:v>
                </c:pt>
                <c:pt idx="4">
                  <c:v>567.10697674418611</c:v>
                </c:pt>
                <c:pt idx="5">
                  <c:v>563.46046511627912</c:v>
                </c:pt>
                <c:pt idx="6">
                  <c:v>559.25581395348843</c:v>
                </c:pt>
                <c:pt idx="7">
                  <c:v>554.26976744186049</c:v>
                </c:pt>
                <c:pt idx="8">
                  <c:v>546.86511627906975</c:v>
                </c:pt>
                <c:pt idx="9">
                  <c:v>536.9674418604651</c:v>
                </c:pt>
                <c:pt idx="10">
                  <c:v>519.18139534883721</c:v>
                </c:pt>
                <c:pt idx="11">
                  <c:v>461.6558139534884</c:v>
                </c:pt>
                <c:pt idx="12">
                  <c:v>272.74418604651163</c:v>
                </c:pt>
                <c:pt idx="13">
                  <c:v>120</c:v>
                </c:pt>
              </c:numCache>
            </c:numRef>
          </c:xVal>
          <c:yVal>
            <c:numRef>
              <c:f>'Thermdam 1750HP'!$H$68:$H$81</c:f>
              <c:numCache>
                <c:formatCode>General</c:formatCode>
                <c:ptCount val="14"/>
                <c:pt idx="0" formatCode="0.00">
                  <c:v>1E-4</c:v>
                </c:pt>
                <c:pt idx="1">
                  <c:v>0.39599999785423279</c:v>
                </c:pt>
                <c:pt idx="2">
                  <c:v>0.76200002431869507</c:v>
                </c:pt>
                <c:pt idx="3">
                  <c:v>1.1160000562667847</c:v>
                </c:pt>
                <c:pt idx="4">
                  <c:v>1.4700000286102295</c:v>
                </c:pt>
                <c:pt idx="5">
                  <c:v>1.8339999914169312</c:v>
                </c:pt>
                <c:pt idx="6">
                  <c:v>2.2179999351501465</c:v>
                </c:pt>
                <c:pt idx="7">
                  <c:v>2.6419999599456787</c:v>
                </c:pt>
                <c:pt idx="8">
                  <c:v>3.1119999885559082</c:v>
                </c:pt>
                <c:pt idx="9">
                  <c:v>3.3640000820159912</c:v>
                </c:pt>
                <c:pt idx="10">
                  <c:v>3.6019999980926514</c:v>
                </c:pt>
                <c:pt idx="11">
                  <c:v>3.7980000972747803</c:v>
                </c:pt>
                <c:pt idx="12">
                  <c:v>4</c:v>
                </c:pt>
                <c:pt idx="1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84-4251-BDB8-2A3BB6C75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514552"/>
        <c:axId val="1"/>
      </c:scatterChart>
      <c:valAx>
        <c:axId val="137451455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451455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 1750HP'!$A$54:$A$59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 1750HP'!$B$54:$B$59</c:f>
              <c:numCache>
                <c:formatCode>0.0</c:formatCode>
                <c:ptCount val="6"/>
                <c:pt idx="1">
                  <c:v>92.355903625488281</c:v>
                </c:pt>
                <c:pt idx="2">
                  <c:v>95.485092163085938</c:v>
                </c:pt>
                <c:pt idx="3">
                  <c:v>96.395591735839844</c:v>
                </c:pt>
                <c:pt idx="4">
                  <c:v>96.701774597167969</c:v>
                </c:pt>
                <c:pt idx="5">
                  <c:v>96.75909423828125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8A-4315-B512-DD4A34838665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 1750HP'!$A$55:$A$59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 1750HP'!$C$55:$C$59</c:f>
              <c:numCache>
                <c:formatCode>0.0</c:formatCode>
                <c:ptCount val="5"/>
                <c:pt idx="0">
                  <c:v>68.734039306640625</c:v>
                </c:pt>
                <c:pt idx="1">
                  <c:v>81.401321411132813</c:v>
                </c:pt>
                <c:pt idx="2">
                  <c:v>88.027297973632813</c:v>
                </c:pt>
                <c:pt idx="3">
                  <c:v>90.503379821777344</c:v>
                </c:pt>
                <c:pt idx="4">
                  <c:v>91.380302429199219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8A-4315-B512-DD4A34838665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 1750HP'!$A$54:$A$59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 1750HP'!$E$54:$E$59</c:f>
              <c:numCache>
                <c:formatCode>0.0</c:formatCode>
                <c:ptCount val="6"/>
                <c:pt idx="0">
                  <c:v>100</c:v>
                </c:pt>
                <c:pt idx="1">
                  <c:v>100.90450663143876</c:v>
                </c:pt>
                <c:pt idx="2">
                  <c:v>87.436669169810315</c:v>
                </c:pt>
                <c:pt idx="3">
                  <c:v>69.115226788834548</c:v>
                </c:pt>
                <c:pt idx="4">
                  <c:v>50.49648000314879</c:v>
                </c:pt>
                <c:pt idx="5">
                  <c:v>31.893701882533286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8A-4315-B512-DD4A34838665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 1750HP'!$A$54:$A$59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 1750HP'!$F$54:$F$59</c:f>
              <c:numCache>
                <c:formatCode>0.0</c:formatCode>
                <c:ptCount val="6"/>
                <c:pt idx="0">
                  <c:v>0.4425</c:v>
                </c:pt>
                <c:pt idx="1">
                  <c:v>8.8216045959160034</c:v>
                </c:pt>
                <c:pt idx="2">
                  <c:v>17.065015427475529</c:v>
                </c:pt>
                <c:pt idx="3">
                  <c:v>25.355743762193306</c:v>
                </c:pt>
                <c:pt idx="4">
                  <c:v>33.700613870593777</c:v>
                </c:pt>
                <c:pt idx="5">
                  <c:v>42.100815804720419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8A-4315-B512-DD4A34838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449752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 1750HP'!$A$54:$A$59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 1750HP'!$D$54:$D$59</c:f>
              <c:numCache>
                <c:formatCode>0.0</c:formatCode>
                <c:ptCount val="6"/>
                <c:pt idx="0">
                  <c:v>61.369053406455556</c:v>
                </c:pt>
                <c:pt idx="1">
                  <c:v>74.101638793945313</c:v>
                </c:pt>
                <c:pt idx="2">
                  <c:v>121.03955841064453</c:v>
                </c:pt>
                <c:pt idx="3">
                  <c:v>166.30722045898438</c:v>
                </c:pt>
                <c:pt idx="4">
                  <c:v>214.993408203125</c:v>
                </c:pt>
                <c:pt idx="5">
                  <c:v>266.005126953125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8A-4315-B512-DD4A34838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37444975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4449752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 1750HP'!$A$54:$A$59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 1750HP'!$B$54:$B$59</c:f>
              <c:numCache>
                <c:formatCode>0.0</c:formatCode>
                <c:ptCount val="6"/>
                <c:pt idx="1">
                  <c:v>92.355903625488281</c:v>
                </c:pt>
                <c:pt idx="2">
                  <c:v>95.485092163085938</c:v>
                </c:pt>
                <c:pt idx="3">
                  <c:v>96.395591735839844</c:v>
                </c:pt>
                <c:pt idx="4">
                  <c:v>96.701774597167969</c:v>
                </c:pt>
                <c:pt idx="5">
                  <c:v>96.75909423828125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B3-4F35-8247-43DD181D1375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 1750HP'!$A$55:$A$59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 1750HP'!$C$55:$C$59</c:f>
              <c:numCache>
                <c:formatCode>0.0</c:formatCode>
                <c:ptCount val="5"/>
                <c:pt idx="0">
                  <c:v>68.734039306640625</c:v>
                </c:pt>
                <c:pt idx="1">
                  <c:v>81.401321411132813</c:v>
                </c:pt>
                <c:pt idx="2">
                  <c:v>88.027297973632813</c:v>
                </c:pt>
                <c:pt idx="3">
                  <c:v>90.503379821777344</c:v>
                </c:pt>
                <c:pt idx="4">
                  <c:v>91.380302429199219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B3-4F35-8247-43DD181D1375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 1750HP'!$A$54:$A$59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 1750HP'!$E$54:$E$59</c:f>
              <c:numCache>
                <c:formatCode>0.0</c:formatCode>
                <c:ptCount val="6"/>
                <c:pt idx="0">
                  <c:v>100</c:v>
                </c:pt>
                <c:pt idx="1">
                  <c:v>100.90450663143876</c:v>
                </c:pt>
                <c:pt idx="2">
                  <c:v>87.436669169810315</c:v>
                </c:pt>
                <c:pt idx="3">
                  <c:v>69.115226788834548</c:v>
                </c:pt>
                <c:pt idx="4">
                  <c:v>50.49648000314879</c:v>
                </c:pt>
                <c:pt idx="5">
                  <c:v>31.893701882533286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B3-4F35-8247-43DD181D1375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 1750HP'!$A$54:$A$59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 1750HP'!$F$54:$F$59</c:f>
              <c:numCache>
                <c:formatCode>0.0</c:formatCode>
                <c:ptCount val="6"/>
                <c:pt idx="0">
                  <c:v>0.4425</c:v>
                </c:pt>
                <c:pt idx="1">
                  <c:v>8.8216045959160034</c:v>
                </c:pt>
                <c:pt idx="2">
                  <c:v>17.065015427475529</c:v>
                </c:pt>
                <c:pt idx="3">
                  <c:v>25.355743762193306</c:v>
                </c:pt>
                <c:pt idx="4">
                  <c:v>33.700613870593777</c:v>
                </c:pt>
                <c:pt idx="5">
                  <c:v>42.100815804720419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B3-4F35-8247-43DD181D1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449752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 1750HP'!$A$54:$A$59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 1750HP'!$D$54:$D$59</c:f>
              <c:numCache>
                <c:formatCode>0.0</c:formatCode>
                <c:ptCount val="6"/>
                <c:pt idx="0">
                  <c:v>61.369053406455556</c:v>
                </c:pt>
                <c:pt idx="1">
                  <c:v>74.101638793945313</c:v>
                </c:pt>
                <c:pt idx="2">
                  <c:v>121.03955841064453</c:v>
                </c:pt>
                <c:pt idx="3">
                  <c:v>166.30722045898438</c:v>
                </c:pt>
                <c:pt idx="4">
                  <c:v>214.993408203125</c:v>
                </c:pt>
                <c:pt idx="5">
                  <c:v>266.005126953125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B3-4F35-8247-43DD181D1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37444975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4449752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cid:image001.gif@01D423EE.51B2ADC0" TargetMode="External"/><Relationship Id="rId1" Type="http://schemas.openxmlformats.org/officeDocument/2006/relationships/image" Target="../media/image3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114300</xdr:colOff>
      <xdr:row>42</xdr:row>
      <xdr:rowOff>141817</xdr:rowOff>
    </xdr:from>
    <xdr:to>
      <xdr:col>3</xdr:col>
      <xdr:colOff>409575</xdr:colOff>
      <xdr:row>43</xdr:row>
      <xdr:rowOff>37042</xdr:rowOff>
    </xdr:to>
    <xdr:sp macro="" textlink="">
      <xdr:nvSpPr>
        <xdr:cNvPr id="7" name="Radiu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09750" y="9809692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284.0</a:t>
          </a:r>
        </a:p>
      </xdr:txBody>
    </xdr:sp>
    <xdr:clientData/>
  </xdr:twoCellAnchor>
  <xdr:twoCellAnchor>
    <xdr:from>
      <xdr:col>3</xdr:col>
      <xdr:colOff>258384</xdr:colOff>
      <xdr:row>40</xdr:row>
      <xdr:rowOff>145294</xdr:rowOff>
    </xdr:from>
    <xdr:to>
      <xdr:col>3</xdr:col>
      <xdr:colOff>545494</xdr:colOff>
      <xdr:row>41</xdr:row>
      <xdr:rowOff>9222</xdr:rowOff>
    </xdr:to>
    <xdr:sp macro="" textlink="">
      <xdr:nvSpPr>
        <xdr:cNvPr id="8" name="Heigh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953834" y="9355969"/>
          <a:ext cx="287110" cy="92528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42.0</a:t>
          </a: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9" name="Cle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45.0</a:t>
          </a:r>
        </a:p>
      </xdr:txBody>
    </xdr:sp>
    <xdr:clientData/>
  </xdr:twoCellAnchor>
  <xdr:twoCellAnchor>
    <xdr:from>
      <xdr:col>2</xdr:col>
      <xdr:colOff>368753</xdr:colOff>
      <xdr:row>42</xdr:row>
      <xdr:rowOff>51557</xdr:rowOff>
    </xdr:from>
    <xdr:to>
      <xdr:col>3</xdr:col>
      <xdr:colOff>64709</xdr:colOff>
      <xdr:row>42</xdr:row>
      <xdr:rowOff>156332</xdr:rowOff>
    </xdr:to>
    <xdr:sp macro="" textlink="">
      <xdr:nvSpPr>
        <xdr:cNvPr id="10" name="Thicknes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68903" y="9719432"/>
          <a:ext cx="191256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44.0</a:t>
          </a:r>
        </a:p>
      </xdr:txBody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11" name="Depth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12" name="Tip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13" name="Openi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14" name="Width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15" name="Width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16" name="Group 190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>
          <a:grpSpLocks/>
        </xdr:cNvGrpSpPr>
      </xdr:nvGrpSpPr>
      <xdr:grpSpPr bwMode="auto">
        <a:xfrm>
          <a:off x="1181100" y="7791450"/>
          <a:ext cx="866775" cy="952500"/>
          <a:chOff x="120" y="793"/>
          <a:chExt cx="91" cy="100"/>
        </a:xfrm>
      </xdr:grpSpPr>
      <xdr:sp macro="" textlink="">
        <xdr:nvSpPr>
          <xdr:cNvPr id="17" name="Line 10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49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50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51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52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15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5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5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5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60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61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62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63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64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65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66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6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6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7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7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7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7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75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76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77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78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9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80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81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82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83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84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85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51" name="Depth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52" name="Tip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53" name="Width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54" name="Group 25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>
          <a:grpSpLocks/>
        </xdr:cNvGrpSpPr>
      </xdr:nvGrpSpPr>
      <xdr:grpSpPr bwMode="auto">
        <a:xfrm>
          <a:off x="1123950" y="6305550"/>
          <a:ext cx="942975" cy="1076325"/>
          <a:chOff x="118" y="637"/>
          <a:chExt cx="99" cy="113"/>
        </a:xfrm>
      </xdr:grpSpPr>
      <xdr:sp macro="" textlink="">
        <xdr:nvSpPr>
          <xdr:cNvPr id="55" name="Line 229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30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31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232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33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34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35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236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3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23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23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240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241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242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243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4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5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6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47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48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9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50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51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52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53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0" name="Rectangle 25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1" name="Rectangle 256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2" name="Rectangle 257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3" name="Rectangle 258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4" name="Rectangle 259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133350</xdr:colOff>
      <xdr:row>39</xdr:row>
      <xdr:rowOff>180975</xdr:rowOff>
    </xdr:from>
    <xdr:to>
      <xdr:col>3</xdr:col>
      <xdr:colOff>342900</xdr:colOff>
      <xdr:row>43</xdr:row>
      <xdr:rowOff>0</xdr:rowOff>
    </xdr:to>
    <xdr:grpSp>
      <xdr:nvGrpSpPr>
        <xdr:cNvPr id="85" name="Group 3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>
          <a:grpSpLocks/>
        </xdr:cNvGrpSpPr>
      </xdr:nvGrpSpPr>
      <xdr:grpSpPr bwMode="auto">
        <a:xfrm>
          <a:off x="923925" y="9172575"/>
          <a:ext cx="1114425" cy="733425"/>
          <a:chOff x="921807" y="9129183"/>
          <a:chExt cx="1110192" cy="729192"/>
        </a:xfrm>
      </xdr:grpSpPr>
      <xdr:grpSp>
        <xdr:nvGrpSpPr>
          <xdr:cNvPr id="86" name="Group 11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7" name="Group 113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9" name="Line 114">
                <a:extLst>
                  <a:ext uri="{FF2B5EF4-FFF2-40B4-BE49-F238E27FC236}">
                    <a16:creationId xmlns:a16="http://schemas.microsoft.com/office/drawing/2014/main" id="{00000000-0008-0000-0100-00006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0" name="Line 115">
                <a:extLst>
                  <a:ext uri="{FF2B5EF4-FFF2-40B4-BE49-F238E27FC236}">
                    <a16:creationId xmlns:a16="http://schemas.microsoft.com/office/drawing/2014/main" id="{00000000-0008-0000-0100-00006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1" name="Line 116">
                <a:extLst>
                  <a:ext uri="{FF2B5EF4-FFF2-40B4-BE49-F238E27FC236}">
                    <a16:creationId xmlns:a16="http://schemas.microsoft.com/office/drawing/2014/main" id="{00000000-0008-0000-0100-00006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2" name="Line 117">
                <a:extLst>
                  <a:ext uri="{FF2B5EF4-FFF2-40B4-BE49-F238E27FC236}">
                    <a16:creationId xmlns:a16="http://schemas.microsoft.com/office/drawing/2014/main" id="{00000000-0008-0000-0100-00006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3" name="Line 118">
                <a:extLst>
                  <a:ext uri="{FF2B5EF4-FFF2-40B4-BE49-F238E27FC236}">
                    <a16:creationId xmlns:a16="http://schemas.microsoft.com/office/drawing/2014/main" id="{00000000-0008-0000-0100-00006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" name="Line 119">
                <a:extLst>
                  <a:ext uri="{FF2B5EF4-FFF2-40B4-BE49-F238E27FC236}">
                    <a16:creationId xmlns:a16="http://schemas.microsoft.com/office/drawing/2014/main" id="{00000000-0008-0000-0100-00006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8" name="Line 120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7" name="Group 2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8" name="Line 121">
              <a:extLst>
                <a:ext uri="{FF2B5EF4-FFF2-40B4-BE49-F238E27FC236}">
                  <a16:creationId xmlns:a16="http://schemas.microsoft.com/office/drawing/2014/main" id="{00000000-0008-0000-0100-00005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9" name="Group 1">
              <a:extLst>
                <a:ext uri="{FF2B5EF4-FFF2-40B4-BE49-F238E27FC236}">
                  <a16:creationId xmlns:a16="http://schemas.microsoft.com/office/drawing/2014/main" id="{00000000-0008-0000-0100-00005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90" name="Line 102">
                <a:extLst>
                  <a:ext uri="{FF2B5EF4-FFF2-40B4-BE49-F238E27FC236}">
                    <a16:creationId xmlns:a16="http://schemas.microsoft.com/office/drawing/2014/main" id="{00000000-0008-0000-0100-00005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1" name="Line 103">
                <a:extLst>
                  <a:ext uri="{FF2B5EF4-FFF2-40B4-BE49-F238E27FC236}">
                    <a16:creationId xmlns:a16="http://schemas.microsoft.com/office/drawing/2014/main" id="{00000000-0008-0000-0100-00005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2" name="Line 104">
                <a:extLst>
                  <a:ext uri="{FF2B5EF4-FFF2-40B4-BE49-F238E27FC236}">
                    <a16:creationId xmlns:a16="http://schemas.microsoft.com/office/drawing/2014/main" id="{00000000-0008-0000-0100-00005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05">
                <a:extLst>
                  <a:ext uri="{FF2B5EF4-FFF2-40B4-BE49-F238E27FC236}">
                    <a16:creationId xmlns:a16="http://schemas.microsoft.com/office/drawing/2014/main" id="{00000000-0008-0000-0100-00005D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06">
                <a:extLst>
                  <a:ext uri="{FF2B5EF4-FFF2-40B4-BE49-F238E27FC236}">
                    <a16:creationId xmlns:a16="http://schemas.microsoft.com/office/drawing/2014/main" id="{00000000-0008-0000-0100-00005E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07">
                <a:extLst>
                  <a:ext uri="{FF2B5EF4-FFF2-40B4-BE49-F238E27FC236}">
                    <a16:creationId xmlns:a16="http://schemas.microsoft.com/office/drawing/2014/main" id="{00000000-0008-0000-0100-00005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02">
                <a:extLst>
                  <a:ext uri="{FF2B5EF4-FFF2-40B4-BE49-F238E27FC236}">
                    <a16:creationId xmlns:a16="http://schemas.microsoft.com/office/drawing/2014/main" id="{00000000-0008-0000-0100-00006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3</xdr:col>
      <xdr:colOff>628650</xdr:colOff>
      <xdr:row>29</xdr:row>
      <xdr:rowOff>0</xdr:rowOff>
    </xdr:from>
    <xdr:to>
      <xdr:col>4</xdr:col>
      <xdr:colOff>693523</xdr:colOff>
      <xdr:row>29</xdr:row>
      <xdr:rowOff>161925</xdr:rowOff>
    </xdr:to>
    <xdr:sp macro="" textlink="">
      <xdr:nvSpPr>
        <xdr:cNvPr id="149" name="Text 219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2324100" y="66960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628650</xdr:colOff>
      <xdr:row>35</xdr:row>
      <xdr:rowOff>9525</xdr:rowOff>
    </xdr:from>
    <xdr:to>
      <xdr:col>4</xdr:col>
      <xdr:colOff>693523</xdr:colOff>
      <xdr:row>35</xdr:row>
      <xdr:rowOff>171450</xdr:rowOff>
    </xdr:to>
    <xdr:sp macro="" textlink="">
      <xdr:nvSpPr>
        <xdr:cNvPr id="150" name="Text 21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324100" y="80772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628650</xdr:colOff>
      <xdr:row>40</xdr:row>
      <xdr:rowOff>180975</xdr:rowOff>
    </xdr:from>
    <xdr:to>
      <xdr:col>4</xdr:col>
      <xdr:colOff>693523</xdr:colOff>
      <xdr:row>41</xdr:row>
      <xdr:rowOff>114300</xdr:rowOff>
    </xdr:to>
    <xdr:sp macro="" textlink="">
      <xdr:nvSpPr>
        <xdr:cNvPr id="151" name="Text 219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2324100" y="93916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57" name="Rectangle 255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158" name="Rectangle 256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59" name="Rectangle 257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60" name="Rectangle 258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61" name="Rectangle 259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67" name="Rectangle 255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168" name="Rectangle 256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69" name="Rectangle 257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70" name="Rectangle 258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71" name="Rectangle 259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342900</xdr:colOff>
      <xdr:row>32</xdr:row>
      <xdr:rowOff>19050</xdr:rowOff>
    </xdr:from>
    <xdr:to>
      <xdr:col>27</xdr:col>
      <xdr:colOff>322633</xdr:colOff>
      <xdr:row>45</xdr:row>
      <xdr:rowOff>37731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6625" y="7400925"/>
          <a:ext cx="9733333" cy="29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0.6958</cdr:x>
      <cdr:y>0.68945</cdr:y>
    </cdr:from>
    <cdr:to>
      <cdr:x>0.93165</cdr:x>
      <cdr:y>0.71014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69309" y="44393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0.68115</cdr:x>
      <cdr:y>0.63408</cdr:y>
    </cdr:from>
    <cdr:to>
      <cdr:x>0.96397</cdr:x>
      <cdr:y>0.65921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83584" y="40827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0.20145</cdr:x>
      <cdr:y>0.84171</cdr:y>
    </cdr:from>
    <cdr:to>
      <cdr:x>0.49444</cdr:x>
      <cdr:y>0.86848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06916" y="5376402"/>
          <a:ext cx="1755359" cy="1709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 100%V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  <cdr:relSizeAnchor xmlns:cdr="http://schemas.openxmlformats.org/drawingml/2006/chartDrawing">
    <cdr:from>
      <cdr:x>0.23101</cdr:x>
      <cdr:y>0.72857</cdr:y>
    </cdr:from>
    <cdr:to>
      <cdr:x>0.524</cdr:x>
      <cdr:y>0.75533</cdr:y>
    </cdr:to>
    <cdr:sp macro="" textlink="">
      <cdr:nvSpPr>
        <cdr:cNvPr id="7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51023" y="4691198"/>
          <a:ext cx="1713508" cy="1723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 80%V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6B93697-8256-417E-80C8-B3C71F3EB5E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578D72A-6F3C-44FE-8EBC-261CB4D9BCB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3596</a:t>
          </a:fld>
          <a:endParaRPr lang="en-US"/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89190EC-4776-4B5A-968D-D0E067885F9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3592</a:t>
          </a:fld>
          <a:endParaRPr lang="en-US"/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57430A0-8AA3-49F2-A081-1561522E414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3588</a:t>
          </a:fld>
          <a:endParaRPr lang="en-US"/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7866D39-42DB-4840-82EC-1568F606A35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3584</a:t>
          </a:fld>
          <a:endParaRPr lang="en-US"/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7D62778-5B3C-4CAF-AA5D-F657B5A5A65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3580</a:t>
          </a:fld>
          <a:endParaRPr lang="en-US"/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6F4A0EB-AF91-4493-8A96-3E9319115BD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3576</a:t>
          </a:fld>
          <a:endParaRPr lang="en-US"/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C97A2FE-03CB-42CB-8ED5-069B1CA5EA1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3572</a:t>
          </a:fld>
          <a:endParaRPr lang="en-US"/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ECF1A56-DF15-4238-AD89-1AEFF12A57C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3568</a:t>
          </a:fld>
          <a:endParaRPr lang="en-US"/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C0D2AA3-1858-426C-9EA3-531151D0E8F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3564</a:t>
          </a:fld>
          <a:endParaRPr lang="en-US"/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7303638-3575-4F65-80B3-704CA69AC78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85725</xdr:rowOff>
    </xdr:from>
    <xdr:to>
      <xdr:col>5</xdr:col>
      <xdr:colOff>847725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5924548" y="3981450"/>
          <a:ext cx="4953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0D91C9E-09B1-4385-9E07-B6178BCEA5D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FEEEEFE-D3B6-476F-89D8-BE584C3CD06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371473</xdr:colOff>
      <xdr:row>26</xdr:row>
      <xdr:rowOff>180975</xdr:rowOff>
    </xdr:from>
    <xdr:to>
      <xdr:col>5</xdr:col>
      <xdr:colOff>866775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5943598" y="6457950"/>
          <a:ext cx="4953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54A4CF5-C7FF-4D95-A633-CFBC2EF6A4A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380998</xdr:colOff>
      <xdr:row>28</xdr:row>
      <xdr:rowOff>114300</xdr:rowOff>
    </xdr:from>
    <xdr:to>
      <xdr:col>5</xdr:col>
      <xdr:colOff>876300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5953123" y="6867525"/>
          <a:ext cx="4953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AD06E31-12C0-44E5-BEF3-85C5090F5D2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25C9595-5F74-421A-AD9E-AA069109A13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BA91E09-BEE9-42D2-B9A6-6B7F177F503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371473</xdr:colOff>
      <xdr:row>23</xdr:row>
      <xdr:rowOff>66675</xdr:rowOff>
    </xdr:from>
    <xdr:to>
      <xdr:col>5</xdr:col>
      <xdr:colOff>866775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5943598" y="5629275"/>
          <a:ext cx="4953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7D661D3-670C-4F3C-B82C-38C4CA2B197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2400</a:t>
          </a:fld>
          <a:endParaRPr lang="en-US"/>
        </a:p>
      </xdr:txBody>
    </xdr:sp>
    <xdr:clientData/>
  </xdr:twoCellAnchor>
  <xdr:twoCellAnchor>
    <xdr:from>
      <xdr:col>5</xdr:col>
      <xdr:colOff>371473</xdr:colOff>
      <xdr:row>21</xdr:row>
      <xdr:rowOff>133350</xdr:rowOff>
    </xdr:from>
    <xdr:to>
      <xdr:col>5</xdr:col>
      <xdr:colOff>866775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5943598" y="5219700"/>
          <a:ext cx="4953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A3B2399-B36B-46EB-AC18-597A8B65025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2800</a:t>
          </a:fld>
          <a:endParaRPr lang="en-US"/>
        </a:p>
      </xdr:txBody>
    </xdr:sp>
    <xdr:clientData/>
  </xdr:twoCellAnchor>
  <xdr:twoCellAnchor>
    <xdr:from>
      <xdr:col>5</xdr:col>
      <xdr:colOff>361948</xdr:colOff>
      <xdr:row>19</xdr:row>
      <xdr:rowOff>200025</xdr:rowOff>
    </xdr:from>
    <xdr:to>
      <xdr:col>5</xdr:col>
      <xdr:colOff>857250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5934073" y="4810125"/>
          <a:ext cx="4953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DC27425-AB43-46CE-9C30-B72EEC827FF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3200</a:t>
          </a:fld>
          <a:endParaRPr lang="en-US"/>
        </a:p>
      </xdr:txBody>
    </xdr:sp>
    <xdr:clientData/>
  </xdr:twoCellAnchor>
  <xdr:twoCellAnchor>
    <xdr:from>
      <xdr:col>5</xdr:col>
      <xdr:colOff>361948</xdr:colOff>
      <xdr:row>18</xdr:row>
      <xdr:rowOff>28575</xdr:rowOff>
    </xdr:from>
    <xdr:to>
      <xdr:col>5</xdr:col>
      <xdr:colOff>857250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5934073" y="4400550"/>
          <a:ext cx="4953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A95EFF2-07FB-4E6E-9D18-BBEC52DD1A9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2</xdr:col>
      <xdr:colOff>885825</xdr:colOff>
      <xdr:row>17</xdr:row>
      <xdr:rowOff>190500</xdr:rowOff>
    </xdr:from>
    <xdr:to>
      <xdr:col>3</xdr:col>
      <xdr:colOff>114300</xdr:colOff>
      <xdr:row>18</xdr:row>
      <xdr:rowOff>95250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114675" y="43243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933450</xdr:colOff>
      <xdr:row>18</xdr:row>
      <xdr:rowOff>171450</xdr:rowOff>
    </xdr:from>
    <xdr:to>
      <xdr:col>4</xdr:col>
      <xdr:colOff>152400</xdr:colOff>
      <xdr:row>19</xdr:row>
      <xdr:rowOff>104775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276725" y="45434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228600</xdr:colOff>
      <xdr:row>21</xdr:row>
      <xdr:rowOff>38100</xdr:rowOff>
    </xdr:from>
    <xdr:to>
      <xdr:col>3</xdr:col>
      <xdr:colOff>571500</xdr:colOff>
      <xdr:row>21</xdr:row>
      <xdr:rowOff>180975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3571875" y="51244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971550</xdr:colOff>
      <xdr:row>31</xdr:row>
      <xdr:rowOff>180975</xdr:rowOff>
    </xdr:from>
    <xdr:to>
      <xdr:col>3</xdr:col>
      <xdr:colOff>361950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3200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3FCE276-9713-4786-B5BD-C2E7CAC661A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</a:t>
          </a:fld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3A69B-85E5-41A0-A5E6-51B54B22A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5783A1DA-C4C9-4719-A8F2-D4F7523D0AAB}"/>
            </a:ext>
          </a:extLst>
        </xdr:cNvPr>
        <xdr:cNvSpPr txBox="1">
          <a:spLocks noChangeArrowheads="1"/>
        </xdr:cNvSpPr>
      </xdr:nvSpPr>
      <xdr:spPr bwMode="auto">
        <a:xfrm>
          <a:off x="628650" y="393763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6B93697-8256-417E-80C8-B3C71F3EB5E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7661D516-C81A-4744-A8B4-7C8FD1B0FF7A}"/>
            </a:ext>
          </a:extLst>
        </xdr:cNvPr>
        <xdr:cNvSpPr txBox="1">
          <a:spLocks noChangeArrowheads="1"/>
        </xdr:cNvSpPr>
      </xdr:nvSpPr>
      <xdr:spPr bwMode="auto">
        <a:xfrm>
          <a:off x="619125" y="43529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578D72A-6F3C-44FE-8EBC-261CB4D9BCB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3596</a:t>
          </a:fld>
          <a:endParaRPr lang="en-US"/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A5D70952-188D-40E6-8337-D7CE2544BE01}"/>
            </a:ext>
          </a:extLst>
        </xdr:cNvPr>
        <xdr:cNvSpPr txBox="1">
          <a:spLocks noChangeArrowheads="1"/>
        </xdr:cNvSpPr>
      </xdr:nvSpPr>
      <xdr:spPr bwMode="auto">
        <a:xfrm>
          <a:off x="609600" y="476059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89190EC-4776-4B5A-968D-D0E067885F9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3592</a:t>
          </a:fld>
          <a:endParaRPr lang="en-US"/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95822DAB-C7FA-491A-9070-214756391BE1}"/>
            </a:ext>
          </a:extLst>
        </xdr:cNvPr>
        <xdr:cNvSpPr txBox="1">
          <a:spLocks noChangeArrowheads="1"/>
        </xdr:cNvSpPr>
      </xdr:nvSpPr>
      <xdr:spPr bwMode="auto">
        <a:xfrm>
          <a:off x="609600" y="516636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57430A0-8AA3-49F2-A081-1561522E414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3588</a:t>
          </a:fld>
          <a:endParaRPr lang="en-US"/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A28791A8-41F0-4D87-9EA3-A305D55C70BA}"/>
            </a:ext>
          </a:extLst>
        </xdr:cNvPr>
        <xdr:cNvSpPr txBox="1">
          <a:spLocks noChangeArrowheads="1"/>
        </xdr:cNvSpPr>
      </xdr:nvSpPr>
      <xdr:spPr bwMode="auto">
        <a:xfrm>
          <a:off x="619125" y="55721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7866D39-42DB-4840-82EC-1568F606A35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3584</a:t>
          </a:fld>
          <a:endParaRPr lang="en-US"/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17BC8C3B-EF10-48BB-AC46-75987A01C4A0}"/>
            </a:ext>
          </a:extLst>
        </xdr:cNvPr>
        <xdr:cNvSpPr txBox="1">
          <a:spLocks noChangeArrowheads="1"/>
        </xdr:cNvSpPr>
      </xdr:nvSpPr>
      <xdr:spPr bwMode="auto">
        <a:xfrm>
          <a:off x="619125" y="597979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7D62778-5B3C-4CAF-AA5D-F657B5A5A65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3580</a:t>
          </a:fld>
          <a:endParaRPr lang="en-US"/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DD41CFFA-2F04-46A4-99A0-A9835911429C}"/>
            </a:ext>
          </a:extLst>
        </xdr:cNvPr>
        <xdr:cNvSpPr txBox="1">
          <a:spLocks noChangeArrowheads="1"/>
        </xdr:cNvSpPr>
      </xdr:nvSpPr>
      <xdr:spPr bwMode="auto">
        <a:xfrm>
          <a:off x="609600" y="638556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6F4A0EB-AF91-4493-8A96-3E9319115BD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3576</a:t>
          </a:fld>
          <a:endParaRPr lang="en-US"/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D379588A-5342-4BBD-BF42-A11B6B8164C4}"/>
            </a:ext>
          </a:extLst>
        </xdr:cNvPr>
        <xdr:cNvSpPr txBox="1">
          <a:spLocks noChangeArrowheads="1"/>
        </xdr:cNvSpPr>
      </xdr:nvSpPr>
      <xdr:spPr bwMode="auto">
        <a:xfrm>
          <a:off x="600075" y="679132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C97A2FE-03CB-42CB-8ED5-069B1CA5EA1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3572</a:t>
          </a:fld>
          <a:endParaRPr lang="en-US"/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ECB0CED8-D90D-4FBE-8E85-FEEC984A7010}"/>
            </a:ext>
          </a:extLst>
        </xdr:cNvPr>
        <xdr:cNvSpPr txBox="1">
          <a:spLocks noChangeArrowheads="1"/>
        </xdr:cNvSpPr>
      </xdr:nvSpPr>
      <xdr:spPr bwMode="auto">
        <a:xfrm>
          <a:off x="600075" y="720661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ECF1A56-DF15-4238-AD89-1AEFF12A57C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3568</a:t>
          </a:fld>
          <a:endParaRPr lang="en-US"/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26A898BF-CF96-4357-BBCF-54DC6673775D}"/>
            </a:ext>
          </a:extLst>
        </xdr:cNvPr>
        <xdr:cNvSpPr txBox="1">
          <a:spLocks noChangeArrowheads="1"/>
        </xdr:cNvSpPr>
      </xdr:nvSpPr>
      <xdr:spPr bwMode="auto">
        <a:xfrm>
          <a:off x="600075" y="761428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C0D2AA3-1858-426C-9EA3-531151D0E8F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3564</a:t>
          </a:fld>
          <a:endParaRPr lang="en-US"/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339B85EE-AF6E-4826-BB32-FE33E0BD507D}"/>
            </a:ext>
          </a:extLst>
        </xdr:cNvPr>
        <xdr:cNvSpPr txBox="1">
          <a:spLocks noChangeArrowheads="1"/>
        </xdr:cNvSpPr>
      </xdr:nvSpPr>
      <xdr:spPr bwMode="auto">
        <a:xfrm>
          <a:off x="609600" y="802005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7303638-3575-4F65-80B3-704CA69AC78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3560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5BE50124-BD1E-4102-8269-4821640BDC8A}"/>
            </a:ext>
          </a:extLst>
        </xdr:cNvPr>
        <xdr:cNvSpPr txBox="1">
          <a:spLocks noChangeArrowheads="1"/>
        </xdr:cNvSpPr>
      </xdr:nvSpPr>
      <xdr:spPr bwMode="auto">
        <a:xfrm>
          <a:off x="390525" y="5865495"/>
          <a:ext cx="209550" cy="5772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85725</xdr:rowOff>
    </xdr:from>
    <xdr:to>
      <xdr:col>5</xdr:col>
      <xdr:colOff>847725</xdr:colOff>
      <xdr:row>17</xdr:row>
      <xdr:rowOff>38100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C259E3C5-DE1A-4F91-BBB4-AA56684473BF}"/>
            </a:ext>
          </a:extLst>
        </xdr:cNvPr>
        <xdr:cNvSpPr txBox="1">
          <a:spLocks noChangeArrowheads="1"/>
        </xdr:cNvSpPr>
      </xdr:nvSpPr>
      <xdr:spPr bwMode="auto">
        <a:xfrm>
          <a:off x="6067423" y="3956685"/>
          <a:ext cx="49530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0D91C9E-09B1-4385-9E07-B6178BCEA5D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D49199C9-04CD-4E55-9DB6-11F3177CD648}"/>
            </a:ext>
          </a:extLst>
        </xdr:cNvPr>
        <xdr:cNvSpPr txBox="1">
          <a:spLocks noChangeArrowheads="1"/>
        </xdr:cNvSpPr>
      </xdr:nvSpPr>
      <xdr:spPr bwMode="auto">
        <a:xfrm>
          <a:off x="6096000" y="599694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FEEEEFE-D3B6-476F-89D8-BE584C3CD06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2000</a:t>
          </a:fld>
          <a:endParaRPr lang="en-US"/>
        </a:p>
      </xdr:txBody>
    </xdr:sp>
    <xdr:clientData/>
  </xdr:twoCellAnchor>
  <xdr:twoCellAnchor>
    <xdr:from>
      <xdr:col>5</xdr:col>
      <xdr:colOff>371473</xdr:colOff>
      <xdr:row>26</xdr:row>
      <xdr:rowOff>180975</xdr:rowOff>
    </xdr:from>
    <xdr:to>
      <xdr:col>5</xdr:col>
      <xdr:colOff>866775</xdr:colOff>
      <xdr:row>27</xdr:row>
      <xdr:rowOff>133350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B4233543-EE9A-4430-93CC-E8B30847CBD1}"/>
            </a:ext>
          </a:extLst>
        </xdr:cNvPr>
        <xdr:cNvSpPr txBox="1">
          <a:spLocks noChangeArrowheads="1"/>
        </xdr:cNvSpPr>
      </xdr:nvSpPr>
      <xdr:spPr bwMode="auto">
        <a:xfrm>
          <a:off x="6086473" y="6414135"/>
          <a:ext cx="49530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54A4CF5-C7FF-4D95-A633-CFBC2EF6A4A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1600</a:t>
          </a:fld>
          <a:endParaRPr lang="en-US"/>
        </a:p>
      </xdr:txBody>
    </xdr:sp>
    <xdr:clientData/>
  </xdr:twoCellAnchor>
  <xdr:twoCellAnchor>
    <xdr:from>
      <xdr:col>5</xdr:col>
      <xdr:colOff>380998</xdr:colOff>
      <xdr:row>28</xdr:row>
      <xdr:rowOff>114300</xdr:rowOff>
    </xdr:from>
    <xdr:to>
      <xdr:col>5</xdr:col>
      <xdr:colOff>876300</xdr:colOff>
      <xdr:row>29</xdr:row>
      <xdr:rowOff>66675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C6504784-A964-4190-9EA7-3C8357889AA0}"/>
            </a:ext>
          </a:extLst>
        </xdr:cNvPr>
        <xdr:cNvSpPr txBox="1">
          <a:spLocks noChangeArrowheads="1"/>
        </xdr:cNvSpPr>
      </xdr:nvSpPr>
      <xdr:spPr bwMode="auto">
        <a:xfrm>
          <a:off x="6095998" y="6819900"/>
          <a:ext cx="49530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AD06E31-12C0-44E5-BEF3-85C5090F5D2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1200</a:t>
          </a:fld>
          <a:endParaRPr lang="en-US"/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CC2D4CDD-7B4F-4FFE-A7A3-3794C104CAA5}"/>
            </a:ext>
          </a:extLst>
        </xdr:cNvPr>
        <xdr:cNvSpPr txBox="1">
          <a:spLocks noChangeArrowheads="1"/>
        </xdr:cNvSpPr>
      </xdr:nvSpPr>
      <xdr:spPr bwMode="auto">
        <a:xfrm>
          <a:off x="6086474" y="721614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25C9595-5F74-421A-AD9E-AA069109A13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78548AC0-2694-4451-A693-955C65E69CAB}"/>
            </a:ext>
          </a:extLst>
        </xdr:cNvPr>
        <xdr:cNvSpPr txBox="1">
          <a:spLocks noChangeArrowheads="1"/>
        </xdr:cNvSpPr>
      </xdr:nvSpPr>
      <xdr:spPr bwMode="auto">
        <a:xfrm>
          <a:off x="6086474" y="763333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BA91E09-BEE9-42D2-B9A6-6B7F177F503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862C3FC6-9EC2-4552-BE76-397DF666AC6A}"/>
            </a:ext>
          </a:extLst>
        </xdr:cNvPr>
        <xdr:cNvSpPr txBox="1">
          <a:spLocks noChangeArrowheads="1"/>
        </xdr:cNvSpPr>
      </xdr:nvSpPr>
      <xdr:spPr bwMode="auto">
        <a:xfrm>
          <a:off x="6448425" y="5534025"/>
          <a:ext cx="219075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371473</xdr:colOff>
      <xdr:row>23</xdr:row>
      <xdr:rowOff>66675</xdr:rowOff>
    </xdr:from>
    <xdr:to>
      <xdr:col>5</xdr:col>
      <xdr:colOff>866775</xdr:colOff>
      <xdr:row>24</xdr:row>
      <xdr:rowOff>19050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19F44256-470C-465C-8DE5-A4C52B3726FF}"/>
            </a:ext>
          </a:extLst>
        </xdr:cNvPr>
        <xdr:cNvSpPr txBox="1">
          <a:spLocks noChangeArrowheads="1"/>
        </xdr:cNvSpPr>
      </xdr:nvSpPr>
      <xdr:spPr bwMode="auto">
        <a:xfrm>
          <a:off x="6086473" y="5591175"/>
          <a:ext cx="49530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7D661D3-670C-4F3C-B82C-38C4CA2B197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2400</a:t>
          </a:fld>
          <a:endParaRPr lang="en-US"/>
        </a:p>
      </xdr:txBody>
    </xdr:sp>
    <xdr:clientData/>
  </xdr:twoCellAnchor>
  <xdr:twoCellAnchor>
    <xdr:from>
      <xdr:col>5</xdr:col>
      <xdr:colOff>371473</xdr:colOff>
      <xdr:row>21</xdr:row>
      <xdr:rowOff>133350</xdr:rowOff>
    </xdr:from>
    <xdr:to>
      <xdr:col>5</xdr:col>
      <xdr:colOff>866775</xdr:colOff>
      <xdr:row>22</xdr:row>
      <xdr:rowOff>85725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17DB8B5C-0767-4467-B7A2-61959607B361}"/>
            </a:ext>
          </a:extLst>
        </xdr:cNvPr>
        <xdr:cNvSpPr txBox="1">
          <a:spLocks noChangeArrowheads="1"/>
        </xdr:cNvSpPr>
      </xdr:nvSpPr>
      <xdr:spPr bwMode="auto">
        <a:xfrm>
          <a:off x="6086473" y="5185410"/>
          <a:ext cx="49530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A3B2399-B36B-46EB-AC18-597A8B65025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2800</a:t>
          </a:fld>
          <a:endParaRPr lang="en-US"/>
        </a:p>
      </xdr:txBody>
    </xdr:sp>
    <xdr:clientData/>
  </xdr:twoCellAnchor>
  <xdr:twoCellAnchor>
    <xdr:from>
      <xdr:col>5</xdr:col>
      <xdr:colOff>361948</xdr:colOff>
      <xdr:row>19</xdr:row>
      <xdr:rowOff>200025</xdr:rowOff>
    </xdr:from>
    <xdr:to>
      <xdr:col>5</xdr:col>
      <xdr:colOff>857250</xdr:colOff>
      <xdr:row>20</xdr:row>
      <xdr:rowOff>152400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50491DFC-4B93-4450-BC78-06534D5242B5}"/>
            </a:ext>
          </a:extLst>
        </xdr:cNvPr>
        <xdr:cNvSpPr txBox="1">
          <a:spLocks noChangeArrowheads="1"/>
        </xdr:cNvSpPr>
      </xdr:nvSpPr>
      <xdr:spPr bwMode="auto">
        <a:xfrm>
          <a:off x="6076948" y="4779645"/>
          <a:ext cx="49530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DC27425-AB43-46CE-9C30-B72EEC827FF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3200</a:t>
          </a:fld>
          <a:endParaRPr lang="en-US"/>
        </a:p>
      </xdr:txBody>
    </xdr:sp>
    <xdr:clientData/>
  </xdr:twoCellAnchor>
  <xdr:twoCellAnchor>
    <xdr:from>
      <xdr:col>5</xdr:col>
      <xdr:colOff>361948</xdr:colOff>
      <xdr:row>18</xdr:row>
      <xdr:rowOff>28575</xdr:rowOff>
    </xdr:from>
    <xdr:to>
      <xdr:col>5</xdr:col>
      <xdr:colOff>857250</xdr:colOff>
      <xdr:row>18</xdr:row>
      <xdr:rowOff>219075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458B5ACD-3D38-465C-A403-9CE183FB7308}"/>
            </a:ext>
          </a:extLst>
        </xdr:cNvPr>
        <xdr:cNvSpPr txBox="1">
          <a:spLocks noChangeArrowheads="1"/>
        </xdr:cNvSpPr>
      </xdr:nvSpPr>
      <xdr:spPr bwMode="auto">
        <a:xfrm>
          <a:off x="6076948" y="4371975"/>
          <a:ext cx="495302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A95EFF2-07FB-4E6E-9D18-BBEC52DD1A9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3600</a:t>
          </a:fld>
          <a:endParaRPr lang="en-US"/>
        </a:p>
      </xdr:txBody>
    </xdr:sp>
    <xdr:clientData/>
  </xdr:twoCellAnchor>
  <xdr:twoCellAnchor>
    <xdr:from>
      <xdr:col>2</xdr:col>
      <xdr:colOff>885825</xdr:colOff>
      <xdr:row>17</xdr:row>
      <xdr:rowOff>190500</xdr:rowOff>
    </xdr:from>
    <xdr:to>
      <xdr:col>3</xdr:col>
      <xdr:colOff>114300</xdr:colOff>
      <xdr:row>18</xdr:row>
      <xdr:rowOff>95250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9B97C7B7-B866-4BBB-8BBD-5B44A4B63926}"/>
            </a:ext>
          </a:extLst>
        </xdr:cNvPr>
        <xdr:cNvSpPr txBox="1">
          <a:spLocks noChangeArrowheads="1"/>
        </xdr:cNvSpPr>
      </xdr:nvSpPr>
      <xdr:spPr bwMode="auto">
        <a:xfrm>
          <a:off x="3171825" y="4297680"/>
          <a:ext cx="371475" cy="140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933450</xdr:colOff>
      <xdr:row>18</xdr:row>
      <xdr:rowOff>171450</xdr:rowOff>
    </xdr:from>
    <xdr:to>
      <xdr:col>4</xdr:col>
      <xdr:colOff>152400</xdr:colOff>
      <xdr:row>19</xdr:row>
      <xdr:rowOff>104775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610CB589-B90D-42FB-A1CD-287E86A489A6}"/>
            </a:ext>
          </a:extLst>
        </xdr:cNvPr>
        <xdr:cNvSpPr txBox="1">
          <a:spLocks noChangeArrowheads="1"/>
        </xdr:cNvSpPr>
      </xdr:nvSpPr>
      <xdr:spPr bwMode="auto">
        <a:xfrm>
          <a:off x="4362450" y="4514850"/>
          <a:ext cx="361950" cy="16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228600</xdr:colOff>
      <xdr:row>21</xdr:row>
      <xdr:rowOff>38100</xdr:rowOff>
    </xdr:from>
    <xdr:to>
      <xdr:col>3</xdr:col>
      <xdr:colOff>571500</xdr:colOff>
      <xdr:row>21</xdr:row>
      <xdr:rowOff>180975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2CAB0A6C-FE14-42DA-9947-9D18471F8D0A}"/>
            </a:ext>
          </a:extLst>
        </xdr:cNvPr>
        <xdr:cNvSpPr txBox="1">
          <a:spLocks noChangeArrowheads="1"/>
        </xdr:cNvSpPr>
      </xdr:nvSpPr>
      <xdr:spPr bwMode="auto">
        <a:xfrm>
          <a:off x="3657600" y="509016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931545</xdr:colOff>
      <xdr:row>28</xdr:row>
      <xdr:rowOff>135255</xdr:rowOff>
    </xdr:from>
    <xdr:to>
      <xdr:col>2</xdr:col>
      <xdr:colOff>255270</xdr:colOff>
      <xdr:row>29</xdr:row>
      <xdr:rowOff>51435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F2C0BDE2-03D3-4448-B200-E7CFF4B7D48D}"/>
            </a:ext>
          </a:extLst>
        </xdr:cNvPr>
        <xdr:cNvSpPr txBox="1">
          <a:spLocks noChangeArrowheads="1"/>
        </xdr:cNvSpPr>
      </xdr:nvSpPr>
      <xdr:spPr bwMode="auto">
        <a:xfrm>
          <a:off x="2074545" y="6840855"/>
          <a:ext cx="4667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971550</xdr:colOff>
      <xdr:row>31</xdr:row>
      <xdr:rowOff>180975</xdr:rowOff>
    </xdr:from>
    <xdr:to>
      <xdr:col>3</xdr:col>
      <xdr:colOff>361950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15A84E67-0F0E-4FD2-A7A0-68582635F77C}"/>
            </a:ext>
          </a:extLst>
        </xdr:cNvPr>
        <xdr:cNvSpPr txBox="1">
          <a:spLocks noChangeArrowheads="1"/>
        </xdr:cNvSpPr>
      </xdr:nvSpPr>
      <xdr:spPr bwMode="auto">
        <a:xfrm>
          <a:off x="3257550" y="7595235"/>
          <a:ext cx="533400" cy="15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93C0A9DC-4644-4869-AD12-C735895BD87E}"/>
            </a:ext>
          </a:extLst>
        </xdr:cNvPr>
        <xdr:cNvSpPr txBox="1">
          <a:spLocks noChangeArrowheads="1"/>
        </xdr:cNvSpPr>
      </xdr:nvSpPr>
      <xdr:spPr bwMode="auto">
        <a:xfrm>
          <a:off x="6076949" y="8029575"/>
          <a:ext cx="438149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3FCE276-9713-4786-B5BD-C2E7CAC661A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</a:t>
          </a:fld>
          <a:endParaRPr 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536505</xdr:colOff>
      <xdr:row>3</xdr:row>
      <xdr:rowOff>114300</xdr:rowOff>
    </xdr:from>
    <xdr:to>
      <xdr:col>28</xdr:col>
      <xdr:colOff>142875</xdr:colOff>
      <xdr:row>10</xdr:row>
      <xdr:rowOff>9525</xdr:rowOff>
    </xdr:to>
    <xdr:pic>
      <xdr:nvPicPr>
        <xdr:cNvPr id="2" name="Picture 1" descr="Image result for motor equivalent circui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7505" y="708660"/>
          <a:ext cx="3584010" cy="128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752475</xdr:colOff>
      <xdr:row>4</xdr:row>
      <xdr:rowOff>142875</xdr:rowOff>
    </xdr:from>
    <xdr:to>
      <xdr:col>21</xdr:col>
      <xdr:colOff>609600</xdr:colOff>
      <xdr:row>8</xdr:row>
      <xdr:rowOff>66675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965835"/>
          <a:ext cx="1579245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C28F1-6359-4F4D-8138-225FD2DCA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FE59D-3454-47A1-BBAA-C9BC1E51E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0.59271</cdr:x>
      <cdr:y>0.67392</cdr:y>
    </cdr:from>
    <cdr:to>
      <cdr:x>0.82831</cdr:x>
      <cdr:y>0.69437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66368" y="4339290"/>
          <a:ext cx="1377871" cy="1316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0.63994</cdr:x>
      <cdr:y>0.54311</cdr:y>
    </cdr:from>
    <cdr:to>
      <cdr:x>0.92227</cdr:x>
      <cdr:y>0.56823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0.22449</cdr:x>
      <cdr:y>0.84269</cdr:y>
    </cdr:from>
    <cdr:to>
      <cdr:x>0.46968</cdr:x>
      <cdr:y>0.86758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2915" y="5425998"/>
          <a:ext cx="1433957" cy="1602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0.29956</cdr:x>
      <cdr:y>0.36108</cdr:y>
    </cdr:from>
    <cdr:to>
      <cdr:x>0.6237</cdr:x>
      <cdr:y>0.38818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0.62346</cdr:x>
      <cdr:y>0.19384</cdr:y>
    </cdr:from>
    <cdr:to>
      <cdr:x>0.94834</cdr:x>
      <cdr:y>0.22242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  <cdr:relSizeAnchor xmlns:cdr="http://schemas.openxmlformats.org/drawingml/2006/chartDrawing">
    <cdr:from>
      <cdr:x>0.24241</cdr:x>
      <cdr:y>0.71893</cdr:y>
    </cdr:from>
    <cdr:to>
      <cdr:x>0.56026</cdr:x>
      <cdr:y>0.74776</cdr:y>
    </cdr:to>
    <cdr:sp macro="" textlink="">
      <cdr:nvSpPr>
        <cdr:cNvPr id="2" name="Acceleration">
          <a:extLst xmlns:a="http://schemas.openxmlformats.org/drawingml/2006/main">
            <a:ext uri="{FF2B5EF4-FFF2-40B4-BE49-F238E27FC236}">
              <a16:creationId xmlns:a16="http://schemas.microsoft.com/office/drawing/2014/main" id="{87AA825C-8092-340B-98B4-CA6A3EA4F22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17690" y="4629150"/>
          <a:ext cx="1858910" cy="1855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 80%V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97C417-4830-4BE1-9419-67792F67F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46E850B3-3775-4B1B-B62D-1464212A7C03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51B38948-F487-4947-B6E9-C37FA260D4EF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3597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536896BC-DACC-4333-8F57-B8CA7C6338AC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3594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4450C7B0-8321-4F0E-80E2-45462020D82B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3591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C37F43E7-0495-4391-8B61-8384F06159C3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1CC7AAE1-53CF-42AB-83D5-91426F22FDA1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F6919472-37B4-47CD-96FE-9E6D47887CF9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3582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BCA4B6D7-952B-48EB-9E89-3823D9A89BC8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3579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82ADF03-6B81-41D0-B423-6ADA0288CFCE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6B1F40A2-FBCB-42E8-92E7-7F4A2EB6C78C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3573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778A9326-0EBD-4047-B5E4-2921448DC633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9B863A40-DE73-4DD1-ADB7-EC1DFD76B8CF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541E50-49C0-45A0-948F-0FB04EFCBEA6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AD104615-47E5-4140-9699-6CD6EA72F8ED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DD6BE13C-6D68-4718-A199-A7C88318AF92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3C5A4145-0260-4CC5-835F-208F81D16545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B36973ED-4D6E-46BE-96D7-FA69C7C65659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CD7CA5D-9700-4231-9E84-C693E93692C9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BF18BA0C-C105-4D7E-BC34-97C36E82F558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6301094F-B720-45FD-959F-0C28944497F8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6B9AA129-23E5-4B56-95CA-08824220DDFD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5E69517F-4BBE-44B7-B6F0-65826C072FD9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BD6F2516-691F-49E4-BB61-7512ECC4342F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1053465</xdr:colOff>
      <xdr:row>16</xdr:row>
      <xdr:rowOff>182880</xdr:rowOff>
    </xdr:from>
    <xdr:to>
      <xdr:col>3</xdr:col>
      <xdr:colOff>283777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33E4A996-3F9C-4B94-86BF-1F4475F49807}"/>
            </a:ext>
          </a:extLst>
        </xdr:cNvPr>
        <xdr:cNvSpPr txBox="1">
          <a:spLocks noChangeArrowheads="1"/>
        </xdr:cNvSpPr>
      </xdr:nvSpPr>
      <xdr:spPr bwMode="auto">
        <a:xfrm>
          <a:off x="3282315" y="4078605"/>
          <a:ext cx="344737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946785</xdr:colOff>
      <xdr:row>18</xdr:row>
      <xdr:rowOff>192405</xdr:rowOff>
    </xdr:from>
    <xdr:to>
      <xdr:col>4</xdr:col>
      <xdr:colOff>169604</xdr:colOff>
      <xdr:row>19</xdr:row>
      <xdr:rowOff>133437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756CDADA-D696-4C22-B8D2-D28BE7FBFB70}"/>
            </a:ext>
          </a:extLst>
        </xdr:cNvPr>
        <xdr:cNvSpPr txBox="1">
          <a:spLocks noChangeArrowheads="1"/>
        </xdr:cNvSpPr>
      </xdr:nvSpPr>
      <xdr:spPr bwMode="auto">
        <a:xfrm>
          <a:off x="4290060" y="4564380"/>
          <a:ext cx="337244" cy="17915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1055421</xdr:colOff>
      <xdr:row>22</xdr:row>
      <xdr:rowOff>103287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FC3B8D7E-967C-4143-9934-CA0E9A154AEE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1046" cy="14138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782955</xdr:colOff>
      <xdr:row>28</xdr:row>
      <xdr:rowOff>200025</xdr:rowOff>
    </xdr:from>
    <xdr:to>
      <xdr:col>2</xdr:col>
      <xdr:colOff>102986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A8860848-B497-4725-BAA7-331F9E5A47E8}"/>
            </a:ext>
          </a:extLst>
        </xdr:cNvPr>
        <xdr:cNvSpPr txBox="1">
          <a:spLocks noChangeArrowheads="1"/>
        </xdr:cNvSpPr>
      </xdr:nvSpPr>
      <xdr:spPr bwMode="auto">
        <a:xfrm>
          <a:off x="1897380" y="6953250"/>
          <a:ext cx="434456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</xdr:colOff>
      <xdr:row>32</xdr:row>
      <xdr:rowOff>144780</xdr:rowOff>
    </xdr:from>
    <xdr:to>
      <xdr:col>2</xdr:col>
      <xdr:colOff>565979</xdr:colOff>
      <xdr:row>33</xdr:row>
      <xdr:rowOff>66976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3437F43D-9F26-4EC8-93B1-B3CC9021C67A}"/>
            </a:ext>
          </a:extLst>
        </xdr:cNvPr>
        <xdr:cNvSpPr txBox="1">
          <a:spLocks noChangeArrowheads="1"/>
        </xdr:cNvSpPr>
      </xdr:nvSpPr>
      <xdr:spPr bwMode="auto">
        <a:xfrm>
          <a:off x="2293620" y="7850505"/>
          <a:ext cx="501209" cy="16032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AA550F10-97AF-4715-BE34-6803FF17E9A4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E9E59-2769-49B0-B074-6A0C07C08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5FE8468E-DDD4-489C-8AFE-B2705E577C6C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E0877CBF-EDAE-4E02-A6B8-4632457AB9ED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3597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25804F6F-444D-48E1-853C-DF053CFA2424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3594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3BAB7218-ADF6-4358-8C9C-189E53464B51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3591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B0FC46F8-557A-4BE9-A3B8-DF50A1E85880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6A181B4B-D2C1-44BB-B424-B9B6E3BDDB62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50FC695F-A34F-44DD-94EE-75FF166E90BC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3582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501B7720-DFF5-4401-B8E6-CBC3B827E78B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3579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CB750796-DB02-4B13-85E0-0041DA21BD27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4752D1FE-5368-44BA-98FA-72EEA98FAD49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3573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D6FC1BFB-2145-49B5-8981-99157ECFE6AA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B22DA726-448C-4603-86E4-2231BF1B2281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54D21DBC-DFF2-46FB-837F-ADBD06DBF09E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69B5154C-C8E2-4393-8EBD-175594D108E5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17712F78-4578-44F4-AEF4-B6FB5FC1FCB1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B811F4DD-3B3C-4BAE-BB9C-61898BE2B5A8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7344579-8567-4821-A62A-F5E1D2A7E616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4071F52B-ACD2-414E-9A0C-A37D0E98AD19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B1E8F0DE-BDAD-448B-A8B4-72AAE843CB3D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A424F1A0-25F5-493D-8900-23709B5A88E5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F548AC77-7C9D-47CA-98F7-0341C717F8DE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BA4244C-F037-4146-AB04-73C16F2B62DD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4E1E3168-C801-42D3-A452-CFF788C55762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1053465</xdr:colOff>
      <xdr:row>16</xdr:row>
      <xdr:rowOff>182880</xdr:rowOff>
    </xdr:from>
    <xdr:to>
      <xdr:col>3</xdr:col>
      <xdr:colOff>283777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7DA350F9-EE23-440C-8FE2-F1C7F4CBD0D4}"/>
            </a:ext>
          </a:extLst>
        </xdr:cNvPr>
        <xdr:cNvSpPr txBox="1">
          <a:spLocks noChangeArrowheads="1"/>
        </xdr:cNvSpPr>
      </xdr:nvSpPr>
      <xdr:spPr bwMode="auto">
        <a:xfrm>
          <a:off x="3282315" y="4078605"/>
          <a:ext cx="344737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946785</xdr:colOff>
      <xdr:row>18</xdr:row>
      <xdr:rowOff>192405</xdr:rowOff>
    </xdr:from>
    <xdr:to>
      <xdr:col>4</xdr:col>
      <xdr:colOff>169604</xdr:colOff>
      <xdr:row>19</xdr:row>
      <xdr:rowOff>133437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CB632EE3-46DA-4264-B85F-13404A9A263D}"/>
            </a:ext>
          </a:extLst>
        </xdr:cNvPr>
        <xdr:cNvSpPr txBox="1">
          <a:spLocks noChangeArrowheads="1"/>
        </xdr:cNvSpPr>
      </xdr:nvSpPr>
      <xdr:spPr bwMode="auto">
        <a:xfrm>
          <a:off x="4290060" y="4564380"/>
          <a:ext cx="337244" cy="17915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1055421</xdr:colOff>
      <xdr:row>22</xdr:row>
      <xdr:rowOff>103287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D1E3A59A-3E70-42E8-8B02-9C665B8AC2F6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1046" cy="14138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782955</xdr:colOff>
      <xdr:row>28</xdr:row>
      <xdr:rowOff>200025</xdr:rowOff>
    </xdr:from>
    <xdr:to>
      <xdr:col>2</xdr:col>
      <xdr:colOff>102986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A19FD4D0-995F-4F76-9777-662AF3912ECB}"/>
            </a:ext>
          </a:extLst>
        </xdr:cNvPr>
        <xdr:cNvSpPr txBox="1">
          <a:spLocks noChangeArrowheads="1"/>
        </xdr:cNvSpPr>
      </xdr:nvSpPr>
      <xdr:spPr bwMode="auto">
        <a:xfrm>
          <a:off x="1897380" y="6953250"/>
          <a:ext cx="434456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</xdr:colOff>
      <xdr:row>32</xdr:row>
      <xdr:rowOff>144780</xdr:rowOff>
    </xdr:from>
    <xdr:to>
      <xdr:col>2</xdr:col>
      <xdr:colOff>565979</xdr:colOff>
      <xdr:row>33</xdr:row>
      <xdr:rowOff>66976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374662AD-B509-4649-9268-F8A022522D95}"/>
            </a:ext>
          </a:extLst>
        </xdr:cNvPr>
        <xdr:cNvSpPr txBox="1">
          <a:spLocks noChangeArrowheads="1"/>
        </xdr:cNvSpPr>
      </xdr:nvSpPr>
      <xdr:spPr bwMode="auto">
        <a:xfrm>
          <a:off x="2293620" y="7850505"/>
          <a:ext cx="501209" cy="16032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8A9D8CB1-CD42-4776-9FF9-673DC43232E1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zoomScale="95" zoomScaleNormal="95" workbookViewId="0">
      <selection activeCell="I50" sqref="I50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167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218</v>
      </c>
    </row>
    <row r="2" spans="1:10" ht="18.75">
      <c r="A2" s="32" t="s">
        <v>173</v>
      </c>
      <c r="B2" s="2"/>
      <c r="C2" s="2"/>
      <c r="D2" s="2"/>
      <c r="E2" s="2"/>
      <c r="F2" s="2"/>
      <c r="G2" s="2"/>
      <c r="H2" s="2"/>
      <c r="I2" s="2"/>
      <c r="J2" s="128" t="s">
        <v>219</v>
      </c>
    </row>
    <row r="3" spans="1:10" ht="15" customHeight="1" thickBot="1">
      <c r="A3" s="47" t="s">
        <v>1</v>
      </c>
      <c r="B3" s="94" t="s">
        <v>217</v>
      </c>
      <c r="C3" s="1"/>
      <c r="D3" s="47"/>
      <c r="E3" s="1"/>
      <c r="F3" s="1"/>
      <c r="G3" s="47" t="s">
        <v>2</v>
      </c>
      <c r="H3" s="169">
        <v>43872</v>
      </c>
      <c r="I3" s="47" t="s">
        <v>3</v>
      </c>
      <c r="J3" s="170">
        <v>0.66429398148148155</v>
      </c>
    </row>
    <row r="4" spans="1:10" ht="15" customHeight="1" thickBot="1">
      <c r="A4" s="11" t="s">
        <v>4</v>
      </c>
      <c r="B4" s="11" t="s">
        <v>171</v>
      </c>
      <c r="C4" s="11" t="s">
        <v>5</v>
      </c>
      <c r="D4" s="11" t="s">
        <v>172</v>
      </c>
      <c r="E4" s="155" t="s">
        <v>6</v>
      </c>
      <c r="F4" s="11" t="s">
        <v>7</v>
      </c>
      <c r="G4" s="11" t="s">
        <v>175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2000</v>
      </c>
      <c r="C5" s="138">
        <v>3600</v>
      </c>
      <c r="D5" s="48" t="s">
        <v>192</v>
      </c>
      <c r="E5" s="156">
        <v>4000</v>
      </c>
      <c r="F5" s="138">
        <v>60</v>
      </c>
      <c r="G5" s="48">
        <v>105</v>
      </c>
      <c r="H5" s="76" t="s">
        <v>252</v>
      </c>
      <c r="I5" s="75" t="s">
        <v>257</v>
      </c>
      <c r="J5" s="48" t="s">
        <v>193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24.543671874999998</v>
      </c>
      <c r="J7" s="104" t="s">
        <v>19</v>
      </c>
    </row>
    <row r="8" spans="1:10" ht="15" customHeight="1">
      <c r="A8" s="9" t="s">
        <v>20</v>
      </c>
      <c r="B8" s="67">
        <v>3.2999999523162842</v>
      </c>
      <c r="C8" s="50"/>
      <c r="D8" s="5"/>
      <c r="E8" s="49"/>
      <c r="F8" s="3"/>
      <c r="G8" s="15"/>
      <c r="H8" s="9" t="s">
        <v>21</v>
      </c>
      <c r="I8" s="66">
        <v>30.456888323673823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201</v>
      </c>
      <c r="F9" s="105" t="s">
        <v>25</v>
      </c>
      <c r="G9" s="29"/>
      <c r="H9" s="9" t="s">
        <v>26</v>
      </c>
      <c r="I9" s="67">
        <v>27.500280099336912</v>
      </c>
      <c r="J9" s="102">
        <v>689.32754258021271</v>
      </c>
    </row>
    <row r="10" spans="1:10" ht="15" customHeight="1">
      <c r="A10" s="9" t="s">
        <v>27</v>
      </c>
      <c r="B10" s="67">
        <v>630</v>
      </c>
      <c r="C10" s="71">
        <v>630</v>
      </c>
      <c r="D10" s="5"/>
      <c r="E10" s="49"/>
      <c r="F10" s="114" t="s">
        <v>213</v>
      </c>
      <c r="G10" s="112" t="s">
        <v>214</v>
      </c>
      <c r="H10" s="9" t="s">
        <v>28</v>
      </c>
      <c r="I10" s="66">
        <v>14.338922976528664</v>
      </c>
      <c r="J10" s="101" t="s">
        <v>29</v>
      </c>
    </row>
    <row r="11" spans="1:10" ht="15" customHeight="1" thickBot="1">
      <c r="A11" s="9" t="s">
        <v>30</v>
      </c>
      <c r="B11" s="67">
        <v>670</v>
      </c>
      <c r="C11" s="71">
        <v>368.40000009536743</v>
      </c>
      <c r="D11" s="9" t="s">
        <v>31</v>
      </c>
      <c r="E11" s="66">
        <v>0.66659999999999997</v>
      </c>
      <c r="F11" s="115"/>
      <c r="G11" s="111"/>
      <c r="H11" s="9" t="s">
        <v>32</v>
      </c>
      <c r="I11" s="66">
        <v>30.038756689833033</v>
      </c>
      <c r="J11" s="102">
        <v>64148.412559699304</v>
      </c>
    </row>
    <row r="12" spans="1:10" ht="15" customHeight="1">
      <c r="A12" s="9" t="s">
        <v>33</v>
      </c>
      <c r="B12" s="67">
        <v>375</v>
      </c>
      <c r="C12" s="71">
        <v>185</v>
      </c>
      <c r="D12" s="9" t="s">
        <v>34</v>
      </c>
      <c r="E12" s="151" t="s">
        <v>174</v>
      </c>
      <c r="F12" s="121" t="s">
        <v>207</v>
      </c>
      <c r="G12" s="113" t="s">
        <v>206</v>
      </c>
      <c r="H12" s="9" t="s">
        <v>35</v>
      </c>
      <c r="I12" s="66">
        <v>1.1789163438632333</v>
      </c>
      <c r="J12" s="101" t="s">
        <v>36</v>
      </c>
    </row>
    <row r="13" spans="1:10" ht="15" customHeight="1" thickBot="1">
      <c r="A13" s="9" t="s">
        <v>37</v>
      </c>
      <c r="B13" s="67">
        <v>85</v>
      </c>
      <c r="C13" s="71">
        <v>55.290000200271606</v>
      </c>
      <c r="D13" s="9" t="s">
        <v>38</v>
      </c>
      <c r="E13" s="68">
        <v>16</v>
      </c>
      <c r="F13" s="121"/>
      <c r="G13" s="113" t="s">
        <v>208</v>
      </c>
      <c r="H13" s="9" t="s">
        <v>40</v>
      </c>
      <c r="I13" s="66">
        <v>1.0139197383619514</v>
      </c>
      <c r="J13" s="102">
        <v>242.89895629882813</v>
      </c>
    </row>
    <row r="14" spans="1:10" ht="15" customHeight="1" thickBot="1">
      <c r="A14" s="160" t="s">
        <v>41</v>
      </c>
      <c r="B14" s="131">
        <v>507.77999877929688</v>
      </c>
      <c r="C14" s="132">
        <v>513.3599853515625</v>
      </c>
      <c r="D14" s="9" t="s">
        <v>42</v>
      </c>
      <c r="E14" s="49" t="s">
        <v>202</v>
      </c>
      <c r="F14" s="49"/>
      <c r="G14" s="113" t="s">
        <v>209</v>
      </c>
      <c r="H14" s="47" t="s">
        <v>43</v>
      </c>
      <c r="I14" s="66">
        <v>1.1953265509204378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174</v>
      </c>
      <c r="F15" s="49"/>
      <c r="G15" s="113"/>
      <c r="H15" s="9" t="s">
        <v>47</v>
      </c>
      <c r="I15" s="66">
        <v>0.86597259685717354</v>
      </c>
      <c r="J15" s="102">
        <v>36.08544921875</v>
      </c>
    </row>
    <row r="16" spans="1:10" ht="15" customHeight="1">
      <c r="A16" s="9" t="s">
        <v>48</v>
      </c>
      <c r="B16" s="49">
        <v>48</v>
      </c>
      <c r="C16" s="50">
        <v>38</v>
      </c>
      <c r="D16" s="9" t="s">
        <v>49</v>
      </c>
      <c r="E16" s="49">
        <v>2</v>
      </c>
      <c r="F16" s="49"/>
      <c r="G16" s="113"/>
      <c r="H16" s="9" t="s">
        <v>50</v>
      </c>
      <c r="I16" s="66">
        <v>0.9554364713800827</v>
      </c>
      <c r="J16" s="103" t="s">
        <v>51</v>
      </c>
    </row>
    <row r="17" spans="1:14" ht="15" customHeight="1" thickBot="1">
      <c r="A17" s="9" t="s">
        <v>52</v>
      </c>
      <c r="B17" s="49" t="s">
        <v>194</v>
      </c>
      <c r="C17" s="50" t="s">
        <v>195</v>
      </c>
      <c r="D17" s="47" t="s">
        <v>53</v>
      </c>
      <c r="E17" s="49" t="s">
        <v>203</v>
      </c>
      <c r="F17" s="49"/>
      <c r="G17" s="113"/>
      <c r="H17" s="9" t="s">
        <v>54</v>
      </c>
      <c r="I17" s="66">
        <v>0.82738180225306479</v>
      </c>
      <c r="J17" s="102">
        <v>791.72817347266835</v>
      </c>
    </row>
    <row r="18" spans="1:14" ht="15" customHeight="1">
      <c r="A18" s="9" t="s">
        <v>55</v>
      </c>
      <c r="B18" s="49" t="s">
        <v>174</v>
      </c>
      <c r="C18" s="71">
        <v>0</v>
      </c>
      <c r="D18" s="9" t="s">
        <v>56</v>
      </c>
      <c r="E18" s="135">
        <v>1360</v>
      </c>
      <c r="F18" s="68">
        <v>764</v>
      </c>
      <c r="G18" s="72"/>
      <c r="H18" s="12" t="s">
        <v>57</v>
      </c>
      <c r="I18" s="129" t="s">
        <v>215</v>
      </c>
      <c r="J18" s="130"/>
    </row>
    <row r="19" spans="1:14" ht="15" customHeight="1">
      <c r="A19" s="9" t="s">
        <v>58</v>
      </c>
      <c r="B19" s="67">
        <v>62.5</v>
      </c>
      <c r="C19" s="71">
        <v>36.409999847412109</v>
      </c>
      <c r="D19" s="9" t="s">
        <v>59</v>
      </c>
      <c r="E19" s="68">
        <v>128</v>
      </c>
      <c r="F19" s="49"/>
      <c r="G19" s="50"/>
      <c r="H19" s="141"/>
      <c r="I19" s="3" t="s">
        <v>60</v>
      </c>
      <c r="J19" s="30" t="s">
        <v>61</v>
      </c>
    </row>
    <row r="20" spans="1:14" ht="15" customHeight="1">
      <c r="A20" s="9" t="s">
        <v>62</v>
      </c>
      <c r="B20" s="67" t="s">
        <v>196</v>
      </c>
      <c r="C20" s="71"/>
      <c r="D20" s="9" t="s">
        <v>166</v>
      </c>
      <c r="E20" s="159">
        <v>5.2448755138748228E-2</v>
      </c>
      <c r="F20" s="49"/>
      <c r="G20" s="50"/>
      <c r="H20" s="9" t="s">
        <v>63</v>
      </c>
      <c r="I20" s="66">
        <v>18.533136367797852</v>
      </c>
      <c r="J20" s="70">
        <v>18.533136367797852</v>
      </c>
    </row>
    <row r="21" spans="1:14" ht="15" customHeight="1">
      <c r="A21" s="9" t="s">
        <v>64</v>
      </c>
      <c r="B21" s="67">
        <v>14.5</v>
      </c>
      <c r="C21" s="71">
        <v>3</v>
      </c>
      <c r="D21" s="9" t="s">
        <v>204</v>
      </c>
      <c r="E21" s="65">
        <v>6.9966021098644485E-2</v>
      </c>
      <c r="F21" s="65">
        <v>5.2670937031507492E-2</v>
      </c>
      <c r="G21" s="69">
        <v>2.030813033271358E-2</v>
      </c>
      <c r="H21" s="9" t="s">
        <v>65</v>
      </c>
      <c r="I21" s="66">
        <v>16.804136276245117</v>
      </c>
      <c r="J21" s="70">
        <v>14.80540657043457</v>
      </c>
    </row>
    <row r="22" spans="1:14" ht="15" customHeight="1">
      <c r="A22" s="9" t="s">
        <v>66</v>
      </c>
      <c r="B22" s="67">
        <v>2.8299999237060547</v>
      </c>
      <c r="C22" s="71">
        <v>3</v>
      </c>
      <c r="D22" s="9" t="s">
        <v>67</v>
      </c>
      <c r="E22" s="49" t="s">
        <v>205</v>
      </c>
      <c r="F22" s="49" t="s">
        <v>205</v>
      </c>
      <c r="G22" s="50" t="s">
        <v>205</v>
      </c>
      <c r="H22" s="9" t="s">
        <v>68</v>
      </c>
      <c r="I22" s="66">
        <v>4.1274876594543457</v>
      </c>
      <c r="J22" s="70">
        <v>3.6161513328552246</v>
      </c>
    </row>
    <row r="23" spans="1:14" ht="15" customHeight="1">
      <c r="A23" s="9" t="s">
        <v>69</v>
      </c>
      <c r="B23" s="67">
        <v>10.043671607971191</v>
      </c>
      <c r="C23" s="71">
        <v>10.316610336303711</v>
      </c>
      <c r="D23" s="9" t="s">
        <v>70</v>
      </c>
      <c r="E23" s="66">
        <v>1.7419999837875366</v>
      </c>
      <c r="F23" s="66">
        <v>1.7419999837875366</v>
      </c>
      <c r="G23" s="70">
        <v>1.7419999837875366</v>
      </c>
      <c r="H23" s="9" t="s">
        <v>71</v>
      </c>
      <c r="I23" s="66">
        <v>20.264388819118917</v>
      </c>
      <c r="J23" s="15" t="s">
        <v>216</v>
      </c>
    </row>
    <row r="24" spans="1:14" ht="15" customHeight="1">
      <c r="A24" s="9" t="s">
        <v>72</v>
      </c>
      <c r="B24" s="67">
        <v>0</v>
      </c>
      <c r="C24" s="71">
        <v>0.80000001192092896</v>
      </c>
      <c r="D24" s="9" t="s">
        <v>73</v>
      </c>
      <c r="E24" s="66">
        <v>8.8900003433227539</v>
      </c>
      <c r="F24" s="66">
        <v>8.8900003433227539</v>
      </c>
      <c r="G24" s="70">
        <v>8.8900003433227539</v>
      </c>
      <c r="H24" s="9" t="s">
        <v>74</v>
      </c>
      <c r="I24" s="66">
        <v>7.1922226603197199</v>
      </c>
      <c r="J24" s="70">
        <v>6.2915985041993938</v>
      </c>
    </row>
    <row r="25" spans="1:14" ht="15" customHeight="1">
      <c r="A25" s="9" t="s">
        <v>75</v>
      </c>
      <c r="B25" s="49" t="s">
        <v>174</v>
      </c>
      <c r="C25" s="71">
        <v>4.7199997901916504</v>
      </c>
      <c r="D25" s="107" t="s">
        <v>76</v>
      </c>
      <c r="E25" s="51"/>
      <c r="F25" s="51"/>
      <c r="G25" s="58"/>
      <c r="H25" s="9" t="s">
        <v>77</v>
      </c>
      <c r="I25" s="66">
        <v>0.14294509589672089</v>
      </c>
      <c r="J25" s="70">
        <v>0.36242100596427917</v>
      </c>
    </row>
    <row r="26" spans="1:14" ht="15" customHeight="1">
      <c r="A26" s="9" t="s">
        <v>78</v>
      </c>
      <c r="B26" s="51" t="s">
        <v>197</v>
      </c>
      <c r="C26" s="58" t="s">
        <v>198</v>
      </c>
      <c r="D26" s="9" t="s">
        <v>79</v>
      </c>
      <c r="E26" s="67">
        <v>268.4316682026078</v>
      </c>
      <c r="F26" s="67">
        <v>82.979405444580081</v>
      </c>
      <c r="G26" s="71">
        <v>33.959864112879536</v>
      </c>
      <c r="H26" s="9" t="s">
        <v>80</v>
      </c>
      <c r="I26" s="66">
        <v>1.6834957599639893</v>
      </c>
      <c r="J26" s="70">
        <v>1.5979371070861816</v>
      </c>
    </row>
    <row r="27" spans="1:14" ht="15" customHeight="1" thickBot="1">
      <c r="A27" s="9" t="s">
        <v>81</v>
      </c>
      <c r="B27" s="49" t="s">
        <v>199</v>
      </c>
      <c r="C27" s="50" t="s">
        <v>200</v>
      </c>
      <c r="D27" s="10" t="s">
        <v>82</v>
      </c>
      <c r="E27" s="78" t="s">
        <v>174</v>
      </c>
      <c r="F27" s="78" t="s">
        <v>174</v>
      </c>
      <c r="G27" s="80" t="s">
        <v>174</v>
      </c>
      <c r="H27" s="10" t="s">
        <v>83</v>
      </c>
      <c r="I27" s="77">
        <v>1.6895536184310913</v>
      </c>
      <c r="J27" s="79">
        <v>1.6385213136672974</v>
      </c>
    </row>
    <row r="28" spans="1:14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</row>
    <row r="29" spans="1:14" ht="15" customHeight="1">
      <c r="A29" s="6"/>
      <c r="B29" s="33" t="s">
        <v>87</v>
      </c>
      <c r="C29" s="73">
        <v>33.371993281235319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50" t="str">
        <f>RIGHT(F$41,SEARCH("/",F$41,1)-1)</f>
        <v xml:space="preserve"> 3575.5</v>
      </c>
      <c r="N29" t="s">
        <v>186</v>
      </c>
    </row>
    <row r="30" spans="1:14" ht="15" customHeight="1" thickBot="1">
      <c r="A30" s="7"/>
      <c r="B30" s="61" t="s">
        <v>94</v>
      </c>
      <c r="C30" s="74">
        <v>33.399128783152655</v>
      </c>
      <c r="D30" s="9" t="s">
        <v>95</v>
      </c>
      <c r="E30" s="163">
        <v>52.621632500000004</v>
      </c>
      <c r="F30" s="163">
        <v>863.22599792480469</v>
      </c>
      <c r="G30" s="163">
        <v>18.965636362979161</v>
      </c>
      <c r="H30" s="164">
        <v>1262.6243594855084</v>
      </c>
      <c r="I30" s="68">
        <v>79323.13826250218</v>
      </c>
      <c r="J30" s="72">
        <v>7937.2680127977565</v>
      </c>
      <c r="M30" s="150" t="str">
        <f>RIGHT(E$41,SEARCH("/",E$41,1)-1)</f>
        <v xml:space="preserve"> 3582.0</v>
      </c>
      <c r="N30" t="s">
        <v>187</v>
      </c>
    </row>
    <row r="31" spans="1:14" ht="15" customHeight="1">
      <c r="A31" s="22" t="s">
        <v>96</v>
      </c>
      <c r="B31" s="142"/>
      <c r="C31" s="26"/>
      <c r="D31" s="9" t="s">
        <v>97</v>
      </c>
      <c r="E31" s="163">
        <v>6.25</v>
      </c>
      <c r="F31" s="163">
        <v>1223.994133640465</v>
      </c>
      <c r="G31" s="163">
        <v>13.375579119009602</v>
      </c>
      <c r="H31" s="164">
        <v>35.603220062375428</v>
      </c>
      <c r="I31" s="68">
        <v>15299.926670505813</v>
      </c>
      <c r="J31" s="72">
        <v>869.52022975033287</v>
      </c>
      <c r="M31" s="150" t="str">
        <f>RIGHT(D$41,SEARCH("/",D$41,1)-1)</f>
        <v xml:space="preserve"> 3588.4</v>
      </c>
      <c r="N31" t="s">
        <v>188</v>
      </c>
    </row>
    <row r="32" spans="1:14" ht="15" customHeight="1">
      <c r="A32" s="5" t="s">
        <v>98</v>
      </c>
      <c r="B32" s="66" t="s">
        <v>259</v>
      </c>
      <c r="C32" s="108"/>
      <c r="D32" s="9" t="s">
        <v>99</v>
      </c>
      <c r="E32" s="163">
        <v>23.214779336458562</v>
      </c>
      <c r="F32" s="163">
        <v>884.24546482478331</v>
      </c>
      <c r="G32" s="163">
        <v>18.514802763456359</v>
      </c>
      <c r="H32" s="164">
        <v>506.45273571807206</v>
      </c>
      <c r="I32" s="8" t="s">
        <v>100</v>
      </c>
      <c r="J32" s="72">
        <v>8806.7882425480893</v>
      </c>
      <c r="M32" s="150" t="str">
        <f>RIGHT(C$41,SEARCH("/",C$41,1)-1)</f>
        <v xml:space="preserve"> 3594.8</v>
      </c>
      <c r="N32" t="s">
        <v>189</v>
      </c>
    </row>
    <row r="33" spans="1:15" ht="15" customHeight="1">
      <c r="A33" s="5" t="s">
        <v>101</v>
      </c>
      <c r="B33" s="66" t="s">
        <v>260</v>
      </c>
      <c r="C33" s="109" t="s">
        <v>102</v>
      </c>
      <c r="D33" s="9" t="s">
        <v>97</v>
      </c>
      <c r="E33" s="163">
        <v>3.6409999847412111</v>
      </c>
      <c r="F33" s="163">
        <v>1006.2656369133038</v>
      </c>
      <c r="G33" s="163">
        <v>16.269690402954872</v>
      </c>
      <c r="H33" s="164">
        <v>46.616904425410354</v>
      </c>
      <c r="I33" s="8" t="s">
        <v>103</v>
      </c>
      <c r="J33" s="71" t="s">
        <v>227</v>
      </c>
      <c r="M33" s="150" t="str">
        <f>RIGHT(B$41,SEARCH("/",B$41,1)-1)</f>
        <v xml:space="preserve"> 3601.0</v>
      </c>
      <c r="N33" t="s">
        <v>190</v>
      </c>
    </row>
    <row r="34" spans="1:15" ht="15" customHeight="1" thickBot="1">
      <c r="A34" s="16" t="s">
        <v>104</v>
      </c>
      <c r="B34" s="77" t="s">
        <v>261</v>
      </c>
      <c r="C34" s="158">
        <v>16.37163037571165</v>
      </c>
      <c r="D34" s="10" t="s">
        <v>20</v>
      </c>
      <c r="E34" s="165">
        <v>0.32999999523162843</v>
      </c>
      <c r="F34" s="166">
        <v>2705.4315858372079</v>
      </c>
      <c r="G34" s="166">
        <v>6.0513932273934685</v>
      </c>
      <c r="H34" s="167">
        <v>1589.1314081281719</v>
      </c>
      <c r="I34" s="8" t="s">
        <v>105</v>
      </c>
      <c r="J34" s="71">
        <v>6.0500001907348633</v>
      </c>
    </row>
    <row r="35" spans="1:15" ht="15" customHeight="1">
      <c r="A35" s="12" t="s">
        <v>106</v>
      </c>
      <c r="B35" s="13"/>
      <c r="C35" s="13"/>
      <c r="D35" s="133" t="s">
        <v>229</v>
      </c>
      <c r="E35" s="143" t="s">
        <v>228</v>
      </c>
      <c r="F35" s="14"/>
      <c r="G35" s="25" t="s">
        <v>107</v>
      </c>
      <c r="H35" s="83" t="s">
        <v>222</v>
      </c>
      <c r="I35" s="9" t="s">
        <v>108</v>
      </c>
      <c r="J35" s="72" t="s">
        <v>226</v>
      </c>
    </row>
    <row r="36" spans="1:15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220</v>
      </c>
      <c r="I36" s="9" t="s">
        <v>111</v>
      </c>
      <c r="J36" s="72" t="s">
        <v>225</v>
      </c>
    </row>
    <row r="37" spans="1:15" ht="15" customHeight="1" thickBot="1">
      <c r="A37" s="9" t="s">
        <v>112</v>
      </c>
      <c r="B37" s="171" t="s">
        <v>241</v>
      </c>
      <c r="C37" s="171" t="s">
        <v>242</v>
      </c>
      <c r="D37" s="171" t="s">
        <v>243</v>
      </c>
      <c r="E37" s="171" t="s">
        <v>244</v>
      </c>
      <c r="F37" s="172" t="s">
        <v>245</v>
      </c>
      <c r="G37" s="9" t="s">
        <v>113</v>
      </c>
      <c r="H37" s="72" t="s">
        <v>221</v>
      </c>
      <c r="I37" s="10" t="s">
        <v>114</v>
      </c>
      <c r="J37" s="81" t="s">
        <v>224</v>
      </c>
      <c r="O37" s="148"/>
    </row>
    <row r="38" spans="1:15" ht="15" customHeight="1" thickBot="1">
      <c r="A38" s="9" t="s">
        <v>115</v>
      </c>
      <c r="B38" s="173" t="s">
        <v>231</v>
      </c>
      <c r="C38" s="173" t="s">
        <v>232</v>
      </c>
      <c r="D38" s="173" t="s">
        <v>233</v>
      </c>
      <c r="E38" s="173" t="s">
        <v>234</v>
      </c>
      <c r="F38" s="174" t="s">
        <v>235</v>
      </c>
      <c r="G38" s="16" t="s">
        <v>116</v>
      </c>
      <c r="H38" s="81" t="s">
        <v>223</v>
      </c>
      <c r="I38" s="134" t="s">
        <v>230</v>
      </c>
      <c r="J38" s="82">
        <v>17904</v>
      </c>
      <c r="L38" t="str">
        <f>LEFT(E38,SEARCH("/",E38,1)-1)</f>
        <v xml:space="preserve">0.970 </v>
      </c>
      <c r="M38" t="str">
        <f>RIGHT(E38,SEARCH("/",E38,1)-1)</f>
        <v xml:space="preserve"> 0.965</v>
      </c>
      <c r="N38" s="149">
        <f>M38/L38</f>
        <v>0.99484536082474229</v>
      </c>
      <c r="O38" s="148" t="s">
        <v>177</v>
      </c>
    </row>
    <row r="39" spans="1:15" ht="15" customHeight="1">
      <c r="A39" s="9" t="s">
        <v>117</v>
      </c>
      <c r="B39" s="173" t="s">
        <v>236</v>
      </c>
      <c r="C39" s="173" t="s">
        <v>237</v>
      </c>
      <c r="D39" s="173" t="s">
        <v>238</v>
      </c>
      <c r="E39" s="173" t="s">
        <v>239</v>
      </c>
      <c r="F39" s="174" t="s">
        <v>240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0.914 </v>
      </c>
      <c r="M39" t="str">
        <f>RIGHT(E39,SEARCH("/",E39,1)-1)</f>
        <v xml:space="preserve"> 0.911</v>
      </c>
      <c r="N39" s="149">
        <f>M39/L39</f>
        <v>0.99671772428884031</v>
      </c>
      <c r="O39" s="148" t="s">
        <v>178</v>
      </c>
    </row>
    <row r="40" spans="1:15" ht="15" customHeight="1">
      <c r="A40" s="9" t="s">
        <v>119</v>
      </c>
      <c r="B40" s="175" t="s">
        <v>254</v>
      </c>
      <c r="C40" s="175" t="s">
        <v>255</v>
      </c>
      <c r="D40" s="175" t="s">
        <v>256</v>
      </c>
      <c r="E40" s="175" t="s">
        <v>257</v>
      </c>
      <c r="F40" s="176" t="s">
        <v>258</v>
      </c>
      <c r="G40" s="34" t="s">
        <v>121</v>
      </c>
      <c r="H40" s="89" t="s">
        <v>262</v>
      </c>
      <c r="I40" s="53"/>
      <c r="J40" s="54"/>
      <c r="L40" t="str">
        <f>LEFT(E37,SEARCH("/",E37,1)-1)</f>
        <v xml:space="preserve">242.90 </v>
      </c>
      <c r="M40" t="str">
        <f>RIGHT(E37,SEARCH("/",E37,1)-1)</f>
        <v xml:space="preserve"> 244.89</v>
      </c>
      <c r="N40" s="149">
        <f>M40/L40</f>
        <v>1.0081926718814327</v>
      </c>
      <c r="O40" s="148" t="s">
        <v>176</v>
      </c>
    </row>
    <row r="41" spans="1:15" ht="15" customHeight="1">
      <c r="A41" s="9" t="s">
        <v>5</v>
      </c>
      <c r="B41" s="177" t="s">
        <v>249</v>
      </c>
      <c r="C41" s="177" t="s">
        <v>250</v>
      </c>
      <c r="D41" s="177" t="s">
        <v>251</v>
      </c>
      <c r="E41" s="177" t="s">
        <v>252</v>
      </c>
      <c r="F41" s="178" t="s">
        <v>253</v>
      </c>
      <c r="G41" s="35" t="s">
        <v>122</v>
      </c>
      <c r="H41" s="90" t="s">
        <v>263</v>
      </c>
      <c r="I41" s="55"/>
      <c r="J41" s="56"/>
      <c r="L41" t="str">
        <f>LEFT(E41,SEARCH("/",E41,1)-1)</f>
        <v xml:space="preserve">3574.7 </v>
      </c>
      <c r="M41" t="str">
        <f>RIGHT(E41,SEARCH("/",E41,1)-1)</f>
        <v xml:space="preserve"> 3582.0</v>
      </c>
      <c r="N41" s="149">
        <f>M41/L41</f>
        <v>1.002042129409461</v>
      </c>
      <c r="O41" s="148" t="s">
        <v>5</v>
      </c>
    </row>
    <row r="42" spans="1:15" ht="15" customHeight="1">
      <c r="A42" s="9" t="s">
        <v>123</v>
      </c>
      <c r="B42" s="173">
        <v>3.9099563773493888</v>
      </c>
      <c r="C42" s="173">
        <v>3.9099563773493888</v>
      </c>
      <c r="D42" s="173">
        <v>3.9099563773493888</v>
      </c>
      <c r="E42" s="173">
        <v>3.9099563773493888</v>
      </c>
      <c r="F42" s="174">
        <v>3.9099563773493888</v>
      </c>
      <c r="G42" s="34" t="s">
        <v>124</v>
      </c>
      <c r="H42" s="89" t="s">
        <v>264</v>
      </c>
      <c r="I42" s="53"/>
      <c r="J42" s="95">
        <v>0.22119444123734042</v>
      </c>
    </row>
    <row r="43" spans="1:15" ht="15" customHeight="1" thickBot="1">
      <c r="A43" s="10" t="s">
        <v>125</v>
      </c>
      <c r="B43" s="179">
        <v>3.9099563773493888</v>
      </c>
      <c r="C43" s="180"/>
      <c r="D43" s="181" t="s">
        <v>267</v>
      </c>
      <c r="E43" s="181"/>
      <c r="F43" s="182"/>
      <c r="G43" s="35" t="s">
        <v>122</v>
      </c>
      <c r="H43" s="90" t="s">
        <v>265</v>
      </c>
      <c r="I43" s="55"/>
      <c r="J43" s="56"/>
    </row>
    <row r="44" spans="1:15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4358.1897755332584</v>
      </c>
      <c r="I44" s="88">
        <v>4.3312329097535497E-2</v>
      </c>
      <c r="J44" s="95">
        <v>0.63367610938568009</v>
      </c>
    </row>
    <row r="45" spans="1:15" ht="15" customHeight="1">
      <c r="A45" s="9" t="s">
        <v>129</v>
      </c>
      <c r="B45" s="66">
        <v>0.27510765194892883</v>
      </c>
      <c r="C45" s="161" t="s">
        <v>130</v>
      </c>
      <c r="D45" s="70">
        <v>7.323424331843853E-3</v>
      </c>
      <c r="E45" s="9" t="s">
        <v>131</v>
      </c>
      <c r="F45" s="72">
        <v>523.44736435428581</v>
      </c>
      <c r="G45" s="36" t="s">
        <v>122</v>
      </c>
      <c r="H45" s="84" t="s">
        <v>266</v>
      </c>
      <c r="I45" s="57"/>
      <c r="J45" s="58"/>
    </row>
    <row r="46" spans="1:15" ht="15" customHeight="1">
      <c r="A46" s="9" t="s">
        <v>132</v>
      </c>
      <c r="B46" s="66">
        <v>0.16182728111743927</v>
      </c>
      <c r="C46" s="161" t="s">
        <v>133</v>
      </c>
      <c r="D46" s="70">
        <v>7.0151672698557377E-3</v>
      </c>
      <c r="E46" s="9" t="s">
        <v>134</v>
      </c>
      <c r="F46" s="72">
        <v>971.43868079782021</v>
      </c>
      <c r="G46" s="35" t="s">
        <v>135</v>
      </c>
      <c r="H46" s="92">
        <v>949.67637883565908</v>
      </c>
      <c r="I46" s="55"/>
      <c r="J46" s="56"/>
      <c r="L46" s="144" t="s">
        <v>179</v>
      </c>
      <c r="M46" s="146">
        <f>B5^0.95</f>
        <v>1367.6611040916687</v>
      </c>
    </row>
    <row r="47" spans="1:15" ht="15" customHeight="1">
      <c r="A47" s="9" t="s">
        <v>136</v>
      </c>
      <c r="B47" s="66">
        <v>0.4369349479675293</v>
      </c>
      <c r="C47" s="161" t="s">
        <v>137</v>
      </c>
      <c r="D47" s="70">
        <v>4.879356361925602E-3</v>
      </c>
      <c r="E47" s="9" t="s">
        <v>138</v>
      </c>
      <c r="F47" s="72">
        <v>414.41049352029722</v>
      </c>
      <c r="G47" s="62" t="s">
        <v>139</v>
      </c>
      <c r="H47" s="91">
        <v>4173.674437482543</v>
      </c>
      <c r="I47" s="88">
        <v>4.1405795901216944E-2</v>
      </c>
      <c r="J47" s="93">
        <v>0.64907663164729512</v>
      </c>
      <c r="L47" s="144" t="s">
        <v>180</v>
      </c>
      <c r="M47" s="146">
        <f>B5^1.5</f>
        <v>89442.719099991489</v>
      </c>
    </row>
    <row r="48" spans="1:15" ht="15" customHeight="1">
      <c r="A48" s="9" t="s">
        <v>140</v>
      </c>
      <c r="B48" s="66">
        <v>1.0309379547834396E-2</v>
      </c>
      <c r="C48" s="161" t="s">
        <v>100</v>
      </c>
      <c r="D48" s="70">
        <v>2.9527327045798302E-2</v>
      </c>
      <c r="E48" s="9" t="s">
        <v>141</v>
      </c>
      <c r="F48" s="72">
        <v>164.98386683270502</v>
      </c>
      <c r="G48" s="63" t="s">
        <v>122</v>
      </c>
      <c r="H48" s="84">
        <v>279.73689259266376</v>
      </c>
      <c r="I48" s="57"/>
      <c r="J48" s="58"/>
      <c r="L48" s="144" t="s">
        <v>181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2" t="s">
        <v>142</v>
      </c>
      <c r="D49" s="79">
        <v>0.97047269344329834</v>
      </c>
      <c r="E49" s="10" t="s">
        <v>143</v>
      </c>
      <c r="F49" s="81">
        <v>414.74395727168599</v>
      </c>
      <c r="G49" s="64" t="s">
        <v>135</v>
      </c>
      <c r="H49" s="92">
        <v>928.08819985732123</v>
      </c>
      <c r="I49" s="55"/>
      <c r="J49" s="59"/>
      <c r="L49" s="144" t="s">
        <v>182</v>
      </c>
      <c r="M49" s="145">
        <f>IF(A5="",0,(7200/(1000*A5))^1.8)</f>
        <v>10.031006258647469</v>
      </c>
    </row>
    <row r="50" spans="1:13" ht="15" customHeight="1">
      <c r="A50" s="12" t="s">
        <v>212</v>
      </c>
      <c r="B50" s="13"/>
      <c r="C50" s="13"/>
      <c r="D50" s="13"/>
      <c r="E50" s="13"/>
      <c r="F50" s="14"/>
      <c r="G50" s="12" t="s">
        <v>144</v>
      </c>
      <c r="H50" s="13"/>
      <c r="I50" s="40"/>
      <c r="J50" s="26"/>
      <c r="L50" s="144" t="s">
        <v>183</v>
      </c>
      <c r="M50" s="147">
        <f>IF(A5=2,27,24)</f>
        <v>27</v>
      </c>
    </row>
    <row r="51" spans="1:13" ht="15" customHeight="1">
      <c r="A51" s="9" t="s">
        <v>145</v>
      </c>
      <c r="B51" s="49">
        <v>38</v>
      </c>
      <c r="C51" s="8" t="s">
        <v>146</v>
      </c>
      <c r="D51" s="67" t="s">
        <v>174</v>
      </c>
      <c r="E51" s="8" t="s">
        <v>147</v>
      </c>
      <c r="F51" s="71" t="s">
        <v>174</v>
      </c>
      <c r="G51" s="8" t="s">
        <v>148</v>
      </c>
      <c r="H51" s="65">
        <v>0.12033295475942972</v>
      </c>
      <c r="I51" s="43" t="s">
        <v>149</v>
      </c>
      <c r="J51" s="37"/>
      <c r="L51" s="144" t="s">
        <v>184</v>
      </c>
      <c r="M51" s="147">
        <v>6.8500000000000005E-2</v>
      </c>
    </row>
    <row r="52" spans="1:13" ht="15" customHeight="1">
      <c r="A52" s="9" t="s">
        <v>58</v>
      </c>
      <c r="B52" s="67">
        <v>36.409999847412109</v>
      </c>
      <c r="C52" s="8" t="s">
        <v>150</v>
      </c>
      <c r="D52" s="67" t="s">
        <v>174</v>
      </c>
      <c r="E52" s="8" t="s">
        <v>151</v>
      </c>
      <c r="F52" s="71" t="s">
        <v>174</v>
      </c>
      <c r="G52" s="8" t="s">
        <v>168</v>
      </c>
      <c r="H52" s="67">
        <v>74916.645158787229</v>
      </c>
      <c r="I52" s="96" t="s">
        <v>246</v>
      </c>
      <c r="J52" s="60"/>
      <c r="L52" s="144" t="s">
        <v>191</v>
      </c>
      <c r="M52" s="168">
        <f>F5</f>
        <v>60</v>
      </c>
    </row>
    <row r="53" spans="1:13" ht="15" customHeight="1">
      <c r="A53" s="9" t="s">
        <v>64</v>
      </c>
      <c r="B53" s="67">
        <v>3</v>
      </c>
      <c r="C53" s="8" t="s">
        <v>152</v>
      </c>
      <c r="D53" s="67" t="s">
        <v>174</v>
      </c>
      <c r="E53" s="8" t="s">
        <v>153</v>
      </c>
      <c r="F53" s="71" t="s">
        <v>174</v>
      </c>
      <c r="G53" s="8" t="s">
        <v>169</v>
      </c>
      <c r="H53" s="66">
        <v>40.670316824982883</v>
      </c>
      <c r="I53" s="42" t="s">
        <v>154</v>
      </c>
      <c r="J53" s="37"/>
      <c r="L53" s="144" t="s">
        <v>185</v>
      </c>
      <c r="M53" s="150">
        <f>IF(F5=60,M50*M46/M48-M51*M47/M49,IF(F5&lt;&gt;60,(60/M52)^2*(M50*M46/M48-M51*M47/M49),0))</f>
        <v>1096.1433509461635</v>
      </c>
    </row>
    <row r="54" spans="1:13" ht="15" customHeight="1">
      <c r="A54" s="9" t="s">
        <v>66</v>
      </c>
      <c r="B54" s="67">
        <v>3</v>
      </c>
      <c r="C54" s="8" t="s">
        <v>155</v>
      </c>
      <c r="D54" s="67" t="s">
        <v>174</v>
      </c>
      <c r="E54" s="8" t="s">
        <v>153</v>
      </c>
      <c r="F54" s="71" t="s">
        <v>174</v>
      </c>
      <c r="G54" s="8" t="s">
        <v>170</v>
      </c>
      <c r="H54" s="68">
        <v>245099.4</v>
      </c>
      <c r="I54" s="97" t="s">
        <v>247</v>
      </c>
      <c r="J54" s="98" t="s">
        <v>210</v>
      </c>
    </row>
    <row r="55" spans="1:13" ht="15" customHeight="1">
      <c r="A55" s="9" t="s">
        <v>156</v>
      </c>
      <c r="B55" s="67">
        <v>14.119999885559082</v>
      </c>
      <c r="C55" s="8" t="s">
        <v>157</v>
      </c>
      <c r="D55" s="67" t="s">
        <v>174</v>
      </c>
      <c r="E55" s="8" t="s">
        <v>158</v>
      </c>
      <c r="F55" s="71" t="s">
        <v>174</v>
      </c>
      <c r="G55" s="8" t="s">
        <v>159</v>
      </c>
      <c r="H55" s="67">
        <v>1</v>
      </c>
      <c r="I55" s="42" t="s">
        <v>160</v>
      </c>
      <c r="J55" s="37"/>
      <c r="M55" s="685"/>
    </row>
    <row r="56" spans="1:13" ht="15" customHeight="1" thickBot="1">
      <c r="A56" s="10" t="s">
        <v>161</v>
      </c>
      <c r="B56" s="78" t="s">
        <v>174</v>
      </c>
      <c r="C56" s="20" t="s">
        <v>162</v>
      </c>
      <c r="D56" s="78" t="s">
        <v>174</v>
      </c>
      <c r="E56" s="20" t="s">
        <v>163</v>
      </c>
      <c r="F56" s="80" t="s">
        <v>174</v>
      </c>
      <c r="G56" s="20" t="s">
        <v>164</v>
      </c>
      <c r="H56" s="77">
        <v>0.74990000000000001</v>
      </c>
      <c r="I56" s="99" t="s">
        <v>248</v>
      </c>
      <c r="J56" s="59" t="s">
        <v>211</v>
      </c>
      <c r="M56">
        <f>0.3333*1096.1</f>
        <v>365.33012999999994</v>
      </c>
    </row>
    <row r="57" spans="1:13" ht="15" customHeight="1">
      <c r="A57" s="22" t="s">
        <v>391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165</v>
      </c>
      <c r="C58" s="15" t="s">
        <v>392</v>
      </c>
      <c r="D58" s="3" t="s">
        <v>119</v>
      </c>
      <c r="E58" s="3" t="s">
        <v>165</v>
      </c>
      <c r="F58" s="15" t="s">
        <v>393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0.24948799610137939</v>
      </c>
      <c r="D59" s="125">
        <v>0.68736839294433594</v>
      </c>
      <c r="E59" s="84">
        <v>135.00386558384696</v>
      </c>
      <c r="F59" s="85">
        <v>623.93670654296875</v>
      </c>
      <c r="G59" s="119"/>
      <c r="H59" s="31"/>
      <c r="I59" s="31"/>
      <c r="J59" s="44"/>
    </row>
    <row r="60" spans="1:13" ht="15" customHeight="1">
      <c r="A60" s="127">
        <v>2.0000003278255463E-3</v>
      </c>
      <c r="B60" s="84">
        <v>95.37401906005644</v>
      </c>
      <c r="C60" s="85">
        <v>141.25151062011719</v>
      </c>
      <c r="D60" s="125">
        <v>0.79157894849777222</v>
      </c>
      <c r="E60" s="84">
        <v>135.00287468206244</v>
      </c>
      <c r="F60" s="85">
        <v>627.16009521484375</v>
      </c>
      <c r="G60" s="119"/>
      <c r="H60" s="31"/>
      <c r="I60" s="31"/>
      <c r="J60" s="44"/>
    </row>
    <row r="61" spans="1:13" ht="15" customHeight="1">
      <c r="A61" s="127">
        <v>1.0000001639127731E-2</v>
      </c>
      <c r="B61" s="84">
        <v>215</v>
      </c>
      <c r="C61" s="85">
        <v>457.14865112304688</v>
      </c>
      <c r="D61" s="125">
        <v>0.89578944444656372</v>
      </c>
      <c r="E61" s="84">
        <v>135.00183285179392</v>
      </c>
      <c r="F61" s="85">
        <v>629.95172119140625</v>
      </c>
      <c r="G61" s="119"/>
      <c r="H61" s="31"/>
      <c r="I61" s="31"/>
      <c r="J61" s="44"/>
    </row>
    <row r="62" spans="1:13" ht="15" customHeight="1">
      <c r="A62" s="123">
        <v>6.2105264514684677E-2</v>
      </c>
      <c r="B62" s="84">
        <v>162.97667616936872</v>
      </c>
      <c r="C62" s="85">
        <v>555.70513916015625</v>
      </c>
      <c r="D62" s="126">
        <v>1</v>
      </c>
      <c r="E62" s="84">
        <v>135</v>
      </c>
      <c r="F62" s="85">
        <v>632.244873046875</v>
      </c>
      <c r="G62" s="119"/>
      <c r="H62" s="31"/>
      <c r="I62" s="31"/>
      <c r="J62" s="44"/>
    </row>
    <row r="63" spans="1:13" ht="15" customHeight="1" thickBot="1">
      <c r="A63" s="123">
        <v>0.11421053111553192</v>
      </c>
      <c r="B63" s="84">
        <v>144.54088749176213</v>
      </c>
      <c r="C63" s="85">
        <v>583.35394287109375</v>
      </c>
      <c r="D63" s="371"/>
      <c r="E63" s="86"/>
      <c r="F63" s="372"/>
      <c r="G63" s="119"/>
      <c r="H63" s="31"/>
      <c r="I63" s="31"/>
      <c r="J63" s="44"/>
    </row>
    <row r="64" spans="1:13" ht="15" customHeight="1">
      <c r="A64" s="123">
        <v>0.16631579399108887</v>
      </c>
      <c r="B64" s="84">
        <v>138.02467682919826</v>
      </c>
      <c r="C64" s="85">
        <v>594.72662353515625</v>
      </c>
      <c r="D64" s="373" t="s">
        <v>582</v>
      </c>
      <c r="E64" s="374"/>
      <c r="F64" s="374"/>
      <c r="G64" s="119"/>
      <c r="H64" s="31"/>
      <c r="I64" s="31"/>
      <c r="J64" s="44"/>
    </row>
    <row r="65" spans="1:10" ht="15" customHeight="1">
      <c r="A65" s="123">
        <v>0.27052631974220276</v>
      </c>
      <c r="B65" s="84">
        <v>135.27364496286651</v>
      </c>
      <c r="C65" s="85">
        <v>604.9908447265625</v>
      </c>
      <c r="D65" s="375" t="s">
        <v>395</v>
      </c>
      <c r="E65" s="377" t="s">
        <v>399</v>
      </c>
      <c r="F65" s="377"/>
      <c r="G65" s="119"/>
      <c r="H65" s="31"/>
      <c r="I65" s="31"/>
      <c r="J65" s="44"/>
    </row>
    <row r="66" spans="1:10" ht="15" customHeight="1">
      <c r="A66" s="123">
        <v>0.37473684549331665</v>
      </c>
      <c r="B66" s="84">
        <v>135.01294963017835</v>
      </c>
      <c r="C66" s="85">
        <v>611.02557373046875</v>
      </c>
      <c r="D66" s="375" t="s">
        <v>396</v>
      </c>
      <c r="E66" s="377" t="s">
        <v>400</v>
      </c>
      <c r="F66" s="377"/>
      <c r="G66" s="119"/>
      <c r="H66" s="31"/>
      <c r="I66" s="31"/>
      <c r="J66" s="44"/>
    </row>
    <row r="67" spans="1:10" ht="15" customHeight="1">
      <c r="A67" s="123">
        <v>0.47894737124443054</v>
      </c>
      <c r="B67" s="84">
        <v>135.00926973468671</v>
      </c>
      <c r="C67" s="85">
        <v>615.9384765625</v>
      </c>
      <c r="D67" s="375" t="s">
        <v>397</v>
      </c>
      <c r="E67" s="377" t="s">
        <v>583</v>
      </c>
      <c r="F67" s="377"/>
      <c r="G67" s="119"/>
      <c r="H67" s="31"/>
      <c r="I67" s="31"/>
      <c r="J67" s="44"/>
    </row>
    <row r="68" spans="1:10" ht="15" customHeight="1" thickBot="1">
      <c r="A68" s="124">
        <v>0.58315789699554443</v>
      </c>
      <c r="B68" s="86">
        <v>135.00564684497107</v>
      </c>
      <c r="C68" s="87">
        <v>620.2142333984375</v>
      </c>
      <c r="D68" s="376" t="s">
        <v>398</v>
      </c>
      <c r="E68" s="378" t="s">
        <v>401</v>
      </c>
      <c r="F68" s="378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0" t="s">
        <v>394</v>
      </c>
      <c r="B99" s="370" t="s">
        <v>580</v>
      </c>
      <c r="C99" s="370" t="s">
        <v>581</v>
      </c>
      <c r="D99" s="370"/>
      <c r="E99" s="370"/>
      <c r="F99" s="370"/>
      <c r="G99" s="370"/>
      <c r="H99" s="370"/>
      <c r="I99" s="370"/>
    </row>
    <row r="100" spans="1:9">
      <c r="A100" s="370">
        <v>100</v>
      </c>
      <c r="B100" s="370">
        <v>0</v>
      </c>
      <c r="C100" s="370">
        <v>48.899646759033203</v>
      </c>
      <c r="D100" s="370"/>
      <c r="E100" s="370"/>
      <c r="F100" s="370"/>
      <c r="G100" s="370"/>
      <c r="H100" s="370"/>
      <c r="I100" s="370"/>
    </row>
    <row r="101" spans="1:9">
      <c r="A101" s="370">
        <v>99.599998474121094</v>
      </c>
      <c r="B101" s="370">
        <v>61.039371936302501</v>
      </c>
      <c r="C101" s="370">
        <v>113.00121307373047</v>
      </c>
      <c r="D101" s="370"/>
      <c r="E101" s="370"/>
      <c r="F101" s="370"/>
      <c r="G101" s="370"/>
      <c r="H101" s="370"/>
      <c r="I101" s="370"/>
    </row>
    <row r="102" spans="1:9">
      <c r="A102" s="370">
        <v>98</v>
      </c>
      <c r="B102" s="370">
        <v>137.60000410079959</v>
      </c>
      <c r="C102" s="370">
        <v>365.71893310546875</v>
      </c>
      <c r="D102" s="370"/>
      <c r="E102" s="370"/>
      <c r="F102" s="370"/>
      <c r="G102" s="370"/>
      <c r="H102" s="370"/>
      <c r="I102" s="370"/>
    </row>
    <row r="103" spans="1:9">
      <c r="A103" s="370">
        <v>83.852630615234375</v>
      </c>
      <c r="B103" s="370">
        <v>104.30507146790829</v>
      </c>
      <c r="C103" s="370">
        <v>444.56411743164063</v>
      </c>
      <c r="D103" s="370"/>
      <c r="E103" s="370"/>
      <c r="F103" s="370"/>
      <c r="G103" s="370"/>
      <c r="H103" s="370"/>
      <c r="I103" s="370"/>
    </row>
    <row r="104" spans="1:9">
      <c r="A104" s="370">
        <v>70.305259704589844</v>
      </c>
      <c r="B104" s="370">
        <v>92.506174631898773</v>
      </c>
      <c r="C104" s="370">
        <v>466.68316650390625</v>
      </c>
      <c r="D104" s="370"/>
      <c r="E104" s="370"/>
      <c r="F104" s="370"/>
      <c r="G104" s="370"/>
      <c r="H104" s="370"/>
      <c r="I104" s="370"/>
    </row>
    <row r="105" spans="1:9">
      <c r="A105" s="370">
        <v>57.410526275634766</v>
      </c>
      <c r="B105" s="370">
        <v>88.335793648236745</v>
      </c>
      <c r="C105" s="370">
        <v>475.78131103515625</v>
      </c>
      <c r="D105" s="370"/>
      <c r="E105" s="370"/>
      <c r="F105" s="370"/>
      <c r="G105" s="370"/>
      <c r="H105" s="370"/>
      <c r="I105" s="370"/>
    </row>
    <row r="106" spans="1:9">
      <c r="A106" s="370">
        <v>38.010524749755859</v>
      </c>
      <c r="B106" s="370">
        <v>86.57513929889015</v>
      </c>
      <c r="C106" s="370">
        <v>483.99267578125</v>
      </c>
      <c r="D106" s="370"/>
      <c r="E106" s="370"/>
      <c r="F106" s="370"/>
      <c r="G106" s="370"/>
      <c r="H106" s="370"/>
      <c r="I106" s="370"/>
    </row>
    <row r="107" spans="1:9">
      <c r="A107" s="370">
        <v>24.778947830200195</v>
      </c>
      <c r="B107" s="370">
        <v>86.408293590792766</v>
      </c>
      <c r="C107" s="370">
        <v>488.82046508789063</v>
      </c>
      <c r="D107" s="370"/>
      <c r="E107" s="370"/>
      <c r="F107" s="370"/>
      <c r="G107" s="370"/>
      <c r="H107" s="370"/>
      <c r="I107" s="370"/>
    </row>
    <row r="108" spans="1:9">
      <c r="A108" s="370">
        <v>15.684209823608398</v>
      </c>
      <c r="B108" s="370">
        <v>86.405940075097618</v>
      </c>
      <c r="C108" s="370">
        <v>492.75079345703125</v>
      </c>
      <c r="D108" s="370"/>
      <c r="E108" s="370"/>
      <c r="F108" s="370"/>
      <c r="G108" s="370"/>
      <c r="H108" s="370"/>
      <c r="I108" s="370"/>
    </row>
    <row r="109" spans="1:9">
      <c r="A109" s="370">
        <v>9.0105257034301758</v>
      </c>
      <c r="B109" s="370">
        <v>86.403615856278364</v>
      </c>
      <c r="C109" s="370">
        <v>496.17138671875</v>
      </c>
      <c r="D109" s="370"/>
      <c r="E109" s="370"/>
      <c r="F109" s="370"/>
      <c r="G109" s="370"/>
      <c r="H109" s="370"/>
      <c r="I109" s="370"/>
    </row>
    <row r="110" spans="1:9">
      <c r="A110" s="370">
        <v>6.2526321411132813</v>
      </c>
      <c r="B110" s="370">
        <v>86.402473278119302</v>
      </c>
      <c r="C110" s="370">
        <v>499.14938354492188</v>
      </c>
      <c r="D110" s="370"/>
      <c r="E110" s="370"/>
      <c r="F110" s="370"/>
      <c r="G110" s="370"/>
      <c r="H110" s="370"/>
      <c r="I110" s="370"/>
    </row>
    <row r="111" spans="1:9">
      <c r="A111" s="370">
        <v>7.8315787315368652</v>
      </c>
      <c r="B111" s="370">
        <v>86.401838512475393</v>
      </c>
      <c r="C111" s="370">
        <v>501.72808837890625</v>
      </c>
      <c r="D111" s="370"/>
      <c r="E111" s="370"/>
      <c r="F111" s="370"/>
      <c r="G111" s="370"/>
      <c r="H111" s="370"/>
      <c r="I111" s="370"/>
    </row>
    <row r="112" spans="1:9">
      <c r="A112" s="370">
        <v>14.70526123046875</v>
      </c>
      <c r="B112" s="370">
        <v>86.401174449955604</v>
      </c>
      <c r="C112" s="370">
        <v>503.96139526367188</v>
      </c>
      <c r="D112" s="370"/>
      <c r="E112" s="370"/>
      <c r="F112" s="370"/>
      <c r="G112" s="370"/>
      <c r="H112" s="370"/>
      <c r="I112" s="370"/>
    </row>
    <row r="113" spans="1:9">
      <c r="A113" s="370">
        <v>30</v>
      </c>
      <c r="B113" s="370">
        <v>86.400002574920677</v>
      </c>
      <c r="C113" s="370">
        <v>505.7958984375</v>
      </c>
      <c r="D113" s="370"/>
      <c r="E113" s="370"/>
      <c r="F113" s="370"/>
      <c r="G113" s="370"/>
      <c r="H113" s="370"/>
      <c r="I113" s="370"/>
    </row>
  </sheetData>
  <phoneticPr fontId="9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zoomScaleNormal="100" workbookViewId="0">
      <selection activeCell="F7" sqref="F7"/>
    </sheetView>
  </sheetViews>
  <sheetFormatPr defaultColWidth="9.140625" defaultRowHeight="15.75"/>
  <cols>
    <col min="1" max="1" width="11.85546875" style="321" customWidth="1"/>
    <col min="2" max="2" width="6.140625" style="321" customWidth="1"/>
    <col min="3" max="3" width="7.42578125" style="321" customWidth="1"/>
    <col min="4" max="5" width="12.5703125" style="321" customWidth="1"/>
    <col min="6" max="6" width="9.42578125" style="321" customWidth="1"/>
    <col min="7" max="7" width="5.7109375" style="321" customWidth="1"/>
    <col min="8" max="8" width="7.85546875" style="321" customWidth="1"/>
    <col min="9" max="9" width="6.5703125" style="321" customWidth="1"/>
    <col min="10" max="11" width="12" style="321" customWidth="1"/>
    <col min="12" max="26" width="9.140625" style="183"/>
    <col min="27" max="16384" width="9.140625" style="184"/>
  </cols>
  <sheetData>
    <row r="1" spans="1:26" ht="20.25" customHeight="1">
      <c r="A1" s="884" t="s">
        <v>268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</row>
    <row r="2" spans="1:26" ht="20.25" customHeight="1">
      <c r="A2" s="885" t="s">
        <v>269</v>
      </c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816" t="s">
        <v>821</v>
      </c>
    </row>
    <row r="3" spans="1:26" ht="18.75" customHeight="1" thickBot="1">
      <c r="A3" s="185" t="s">
        <v>1</v>
      </c>
      <c r="B3" s="186" t="s">
        <v>379</v>
      </c>
      <c r="C3" s="187"/>
      <c r="D3" s="187"/>
      <c r="E3" s="187"/>
      <c r="F3" s="188"/>
      <c r="G3" s="187"/>
      <c r="H3" s="187"/>
      <c r="I3" s="185" t="s">
        <v>270</v>
      </c>
      <c r="J3" s="886"/>
      <c r="K3" s="886"/>
      <c r="L3" s="816" t="s">
        <v>822</v>
      </c>
    </row>
    <row r="4" spans="1:26" s="197" customFormat="1" ht="18.399999999999999" customHeight="1" thickBot="1">
      <c r="A4" s="189" t="s">
        <v>793</v>
      </c>
      <c r="B4" s="190"/>
      <c r="C4" s="191"/>
      <c r="D4" s="191"/>
      <c r="E4" s="191"/>
      <c r="F4" s="191"/>
      <c r="G4" s="191"/>
      <c r="H4" s="191"/>
      <c r="I4" s="191"/>
      <c r="J4" s="191"/>
      <c r="K4" s="192"/>
      <c r="L4" s="193"/>
      <c r="M4" s="193"/>
      <c r="N4" s="193"/>
      <c r="O4" s="193"/>
      <c r="P4" s="193"/>
      <c r="Q4" s="194" t="s">
        <v>271</v>
      </c>
      <c r="R4" s="195"/>
      <c r="S4" s="193"/>
      <c r="T4" s="194" t="s">
        <v>272</v>
      </c>
      <c r="U4" s="196"/>
      <c r="V4" s="193"/>
      <c r="W4" s="193"/>
      <c r="X4" s="193"/>
      <c r="Y4" s="193"/>
      <c r="Z4" s="193"/>
    </row>
    <row r="5" spans="1:26" s="197" customFormat="1" ht="18.399999999999999" customHeight="1">
      <c r="A5" s="887" t="s">
        <v>273</v>
      </c>
      <c r="B5" s="888"/>
      <c r="C5" s="888"/>
      <c r="D5" s="198"/>
      <c r="E5" s="199"/>
      <c r="F5" s="200" t="s">
        <v>274</v>
      </c>
      <c r="G5" s="187"/>
      <c r="H5" s="187"/>
      <c r="I5" s="201"/>
      <c r="J5" s="202" t="s">
        <v>275</v>
      </c>
      <c r="K5" s="203" t="s">
        <v>276</v>
      </c>
      <c r="L5" s="193"/>
      <c r="M5" s="193"/>
      <c r="N5" s="193"/>
      <c r="O5" s="193"/>
      <c r="P5" s="193"/>
      <c r="Q5" s="204" t="s">
        <v>277</v>
      </c>
      <c r="R5" s="205"/>
      <c r="S5" s="193"/>
      <c r="T5" s="204" t="s">
        <v>278</v>
      </c>
      <c r="U5" s="206"/>
      <c r="V5" s="193"/>
      <c r="W5" s="193"/>
      <c r="X5" s="193"/>
      <c r="Y5" s="193"/>
      <c r="Z5" s="193"/>
    </row>
    <row r="6" spans="1:26" s="197" customFormat="1" ht="18.399999999999999" customHeight="1">
      <c r="A6" s="889" t="s">
        <v>67</v>
      </c>
      <c r="B6" s="890"/>
      <c r="C6" s="890"/>
      <c r="D6" s="891" t="s">
        <v>278</v>
      </c>
      <c r="E6" s="892"/>
      <c r="F6" s="821" t="s">
        <v>823</v>
      </c>
      <c r="G6" s="822"/>
      <c r="H6" s="822"/>
      <c r="I6" s="822"/>
      <c r="J6" s="822"/>
      <c r="K6" s="823"/>
      <c r="L6" s="193"/>
      <c r="M6" s="193"/>
      <c r="N6" s="193"/>
      <c r="O6" s="193"/>
      <c r="P6" s="193"/>
      <c r="Q6" s="204" t="s">
        <v>280</v>
      </c>
      <c r="R6" s="205"/>
      <c r="S6" s="193"/>
      <c r="T6" s="204" t="s">
        <v>281</v>
      </c>
      <c r="U6" s="206"/>
      <c r="V6" s="193"/>
      <c r="W6" s="193"/>
      <c r="X6" s="193"/>
      <c r="Y6" s="193"/>
      <c r="Z6" s="193"/>
    </row>
    <row r="7" spans="1:26" s="197" customFormat="1" ht="18.399999999999999" customHeight="1">
      <c r="A7" s="880" t="s">
        <v>20</v>
      </c>
      <c r="B7" s="881"/>
      <c r="C7" s="881"/>
      <c r="D7" s="882">
        <v>3.2999999523162802</v>
      </c>
      <c r="E7" s="883"/>
      <c r="F7" s="207" t="s">
        <v>282</v>
      </c>
      <c r="G7" s="208"/>
      <c r="H7" s="209"/>
      <c r="I7" s="210"/>
      <c r="J7" s="211">
        <v>55</v>
      </c>
      <c r="K7" s="212">
        <v>95</v>
      </c>
      <c r="L7" s="193"/>
      <c r="M7" s="193">
        <v>97</v>
      </c>
      <c r="N7" s="193"/>
      <c r="O7" s="193"/>
      <c r="P7" s="193"/>
      <c r="Q7" s="204" t="s">
        <v>283</v>
      </c>
      <c r="R7" s="205"/>
      <c r="S7" s="193"/>
      <c r="T7" s="204" t="s">
        <v>279</v>
      </c>
      <c r="U7" s="206"/>
      <c r="V7" s="193"/>
      <c r="W7" s="193"/>
      <c r="X7" s="193"/>
      <c r="Y7" s="193"/>
      <c r="Z7" s="193"/>
    </row>
    <row r="8" spans="1:26" s="197" customFormat="1" ht="18.399999999999999" customHeight="1">
      <c r="A8" s="880" t="s">
        <v>284</v>
      </c>
      <c r="B8" s="881"/>
      <c r="C8" s="881"/>
      <c r="D8" s="865">
        <v>630</v>
      </c>
      <c r="E8" s="861"/>
      <c r="F8" s="213" t="s">
        <v>285</v>
      </c>
      <c r="G8" s="214"/>
      <c r="H8" s="215"/>
      <c r="I8" s="216"/>
      <c r="J8" s="217">
        <v>17700</v>
      </c>
      <c r="K8" s="218">
        <v>17700</v>
      </c>
      <c r="L8" s="193"/>
      <c r="M8" s="193">
        <v>19100</v>
      </c>
      <c r="N8" s="193"/>
      <c r="O8" s="193"/>
      <c r="P8" s="193"/>
      <c r="Q8" s="204" t="s">
        <v>286</v>
      </c>
      <c r="R8" s="205"/>
      <c r="S8" s="193"/>
      <c r="T8" s="204" t="s">
        <v>287</v>
      </c>
      <c r="U8" s="206"/>
      <c r="V8" s="193"/>
      <c r="W8" s="193"/>
      <c r="X8" s="193"/>
      <c r="Y8" s="193"/>
      <c r="Z8" s="193"/>
    </row>
    <row r="9" spans="1:26" s="197" customFormat="1" ht="18.399999999999999" customHeight="1">
      <c r="A9" s="874" t="s">
        <v>288</v>
      </c>
      <c r="B9" s="875"/>
      <c r="C9" s="876"/>
      <c r="D9" s="865">
        <v>8</v>
      </c>
      <c r="E9" s="861"/>
      <c r="F9" s="207" t="s">
        <v>289</v>
      </c>
      <c r="G9" s="208"/>
      <c r="H9" s="219">
        <v>3</v>
      </c>
      <c r="I9" s="220" t="s">
        <v>290</v>
      </c>
      <c r="J9" s="221">
        <v>405</v>
      </c>
      <c r="K9" s="218">
        <v>423</v>
      </c>
      <c r="L9" s="193"/>
      <c r="M9" s="193">
        <v>445</v>
      </c>
      <c r="N9" s="193"/>
      <c r="O9" s="193"/>
      <c r="P9" s="193"/>
      <c r="Q9" s="204" t="s">
        <v>291</v>
      </c>
      <c r="R9" s="205"/>
      <c r="S9" s="193"/>
      <c r="T9" s="204" t="s">
        <v>292</v>
      </c>
      <c r="U9" s="206"/>
      <c r="V9" s="193"/>
      <c r="W9" s="193"/>
      <c r="X9" s="193"/>
      <c r="Y9" s="193"/>
      <c r="Z9" s="193"/>
    </row>
    <row r="10" spans="1:26" s="197" customFormat="1" ht="18.399999999999999" customHeight="1" thickBot="1">
      <c r="A10" s="874" t="s">
        <v>293</v>
      </c>
      <c r="B10" s="875"/>
      <c r="C10" s="876"/>
      <c r="D10" s="848" t="s">
        <v>202</v>
      </c>
      <c r="E10" s="849"/>
      <c r="F10" s="207" t="s">
        <v>294</v>
      </c>
      <c r="G10" s="208"/>
      <c r="H10" s="219">
        <v>3</v>
      </c>
      <c r="I10" s="220" t="s">
        <v>290</v>
      </c>
      <c r="J10" s="221">
        <v>1150</v>
      </c>
      <c r="K10" s="218">
        <v>460</v>
      </c>
      <c r="L10" s="193"/>
      <c r="M10" s="193"/>
      <c r="N10" s="193"/>
      <c r="O10" s="193"/>
      <c r="P10" s="193"/>
      <c r="Q10" s="204" t="s">
        <v>295</v>
      </c>
      <c r="R10" s="205"/>
      <c r="S10" s="193"/>
      <c r="T10" s="222" t="s">
        <v>296</v>
      </c>
      <c r="U10" s="223"/>
      <c r="V10" s="193"/>
      <c r="W10" s="193"/>
      <c r="X10" s="193"/>
      <c r="Y10" s="193"/>
      <c r="Z10" s="193"/>
    </row>
    <row r="11" spans="1:26" s="197" customFormat="1" ht="18.399999999999999" customHeight="1" thickBot="1">
      <c r="A11" s="874" t="s">
        <v>297</v>
      </c>
      <c r="B11" s="875"/>
      <c r="C11" s="876"/>
      <c r="D11" s="843" t="s">
        <v>174</v>
      </c>
      <c r="E11" s="844"/>
      <c r="F11" s="224" t="s">
        <v>298</v>
      </c>
      <c r="G11" s="225"/>
      <c r="H11" s="226">
        <v>3</v>
      </c>
      <c r="I11" s="220" t="s">
        <v>290</v>
      </c>
      <c r="J11" s="227">
        <v>64148</v>
      </c>
      <c r="K11" s="228">
        <v>64148</v>
      </c>
      <c r="L11" s="193"/>
      <c r="M11" s="193">
        <v>57903</v>
      </c>
      <c r="N11" s="193"/>
      <c r="O11" s="193"/>
      <c r="P11" s="193"/>
      <c r="Q11" s="204" t="s">
        <v>299</v>
      </c>
      <c r="R11" s="205"/>
      <c r="S11" s="193"/>
      <c r="T11" s="194" t="s">
        <v>300</v>
      </c>
      <c r="U11" s="196"/>
      <c r="V11" s="193"/>
      <c r="W11" s="193"/>
      <c r="X11" s="193"/>
      <c r="Y11" s="193"/>
      <c r="Z11" s="193"/>
    </row>
    <row r="12" spans="1:26" s="197" customFormat="1" ht="18.399999999999999" customHeight="1" thickBot="1">
      <c r="A12" s="229" t="s">
        <v>301</v>
      </c>
      <c r="C12" s="230"/>
      <c r="D12" s="878" t="s">
        <v>174</v>
      </c>
      <c r="E12" s="879"/>
      <c r="F12" s="845" t="s">
        <v>302</v>
      </c>
      <c r="G12" s="846"/>
      <c r="H12" s="846"/>
      <c r="I12" s="846"/>
      <c r="J12" s="846"/>
      <c r="K12" s="847"/>
      <c r="L12" s="193"/>
      <c r="M12" s="193"/>
      <c r="N12" s="193"/>
      <c r="O12" s="193"/>
      <c r="P12" s="193"/>
      <c r="Q12" s="222" t="s">
        <v>303</v>
      </c>
      <c r="R12" s="231"/>
      <c r="S12" s="193"/>
      <c r="T12" s="193"/>
      <c r="U12" s="193"/>
      <c r="V12" s="193"/>
      <c r="W12" s="193"/>
      <c r="X12" s="193"/>
      <c r="Y12" s="193"/>
      <c r="Z12" s="193"/>
    </row>
    <row r="13" spans="1:26" s="197" customFormat="1" ht="18.399999999999999" customHeight="1">
      <c r="A13" s="874" t="s">
        <v>53</v>
      </c>
      <c r="B13" s="875"/>
      <c r="C13" s="876"/>
      <c r="D13" s="877" t="s">
        <v>794</v>
      </c>
      <c r="E13" s="869"/>
      <c r="F13" s="232"/>
      <c r="G13" s="233" t="s">
        <v>304</v>
      </c>
      <c r="H13" s="234"/>
      <c r="I13" s="235" t="s">
        <v>305</v>
      </c>
      <c r="J13" s="236" t="s">
        <v>384</v>
      </c>
      <c r="K13" s="237" t="s">
        <v>174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s="197" customFormat="1" ht="18.399999999999999" customHeight="1">
      <c r="A14" s="874" t="s">
        <v>56</v>
      </c>
      <c r="B14" s="875"/>
      <c r="C14" s="876"/>
      <c r="D14" s="878">
        <v>1360</v>
      </c>
      <c r="E14" s="879"/>
      <c r="F14" s="232"/>
      <c r="G14" s="238" t="s">
        <v>10</v>
      </c>
      <c r="H14" s="239"/>
      <c r="I14" s="239"/>
      <c r="J14" s="221" t="s">
        <v>174</v>
      </c>
      <c r="K14" s="218" t="s">
        <v>174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6" s="197" customFormat="1" ht="18.399999999999999" customHeight="1">
      <c r="A15" s="862" t="s">
        <v>306</v>
      </c>
      <c r="B15" s="863"/>
      <c r="C15" s="864"/>
      <c r="D15" s="841">
        <v>10.140399932861328</v>
      </c>
      <c r="E15" s="842"/>
      <c r="F15" s="232"/>
      <c r="G15" s="238" t="s">
        <v>307</v>
      </c>
      <c r="H15" s="239"/>
      <c r="I15" s="239"/>
      <c r="J15" s="221" t="s">
        <v>174</v>
      </c>
      <c r="K15" s="218" t="s">
        <v>174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s="197" customFormat="1" ht="18.399999999999999" customHeight="1">
      <c r="A16" s="838" t="s">
        <v>308</v>
      </c>
      <c r="B16" s="839"/>
      <c r="C16" s="840"/>
      <c r="D16" s="841">
        <v>3.736799955368042</v>
      </c>
      <c r="E16" s="842"/>
      <c r="F16" s="240"/>
      <c r="G16" s="241" t="s">
        <v>17</v>
      </c>
      <c r="H16" s="242"/>
      <c r="I16" s="242"/>
      <c r="J16" s="227" t="s">
        <v>174</v>
      </c>
      <c r="K16" s="228" t="s">
        <v>174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s="197" customFormat="1" ht="18.399999999999999" customHeight="1">
      <c r="A17" s="243" t="s">
        <v>309</v>
      </c>
      <c r="B17" s="244"/>
      <c r="C17" s="245"/>
      <c r="D17" s="843" t="s">
        <v>380</v>
      </c>
      <c r="E17" s="844"/>
      <c r="F17" s="845" t="s">
        <v>310</v>
      </c>
      <c r="G17" s="846"/>
      <c r="H17" s="846"/>
      <c r="I17" s="846"/>
      <c r="J17" s="846"/>
      <c r="K17" s="847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s="197" customFormat="1" ht="18.399999999999999" customHeight="1">
      <c r="A18" s="246" t="s">
        <v>311</v>
      </c>
      <c r="B18" s="247"/>
      <c r="C18" s="245"/>
      <c r="D18" s="848" t="s">
        <v>174</v>
      </c>
      <c r="E18" s="849"/>
      <c r="F18" s="850"/>
      <c r="G18" s="851"/>
      <c r="H18" s="248" t="s">
        <v>312</v>
      </c>
      <c r="I18" s="249"/>
      <c r="J18" s="217" t="s">
        <v>792</v>
      </c>
      <c r="K18" s="218"/>
      <c r="L18" s="193"/>
      <c r="M18" s="193" t="e">
        <f>J18*6.5</f>
        <v>#VALUE!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s="197" customFormat="1" ht="18.399999999999999" customHeight="1">
      <c r="A19" s="856" t="s">
        <v>313</v>
      </c>
      <c r="B19" s="857"/>
      <c r="C19" s="858"/>
      <c r="D19" s="859" t="s">
        <v>174</v>
      </c>
      <c r="E19" s="844"/>
      <c r="F19" s="852"/>
      <c r="G19" s="853"/>
      <c r="H19" s="248" t="s">
        <v>5</v>
      </c>
      <c r="I19" s="210"/>
      <c r="J19" s="217">
        <v>3582</v>
      </c>
      <c r="K19" s="218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s="197" customFormat="1" ht="18.75" customHeight="1" thickBot="1">
      <c r="A20" s="250" t="s">
        <v>314</v>
      </c>
      <c r="C20" s="251"/>
      <c r="D20" s="860" t="s">
        <v>201</v>
      </c>
      <c r="E20" s="861"/>
      <c r="F20" s="852"/>
      <c r="G20" s="853"/>
      <c r="H20" s="248" t="s">
        <v>315</v>
      </c>
      <c r="I20" s="210"/>
      <c r="J20" s="221" t="s">
        <v>363</v>
      </c>
      <c r="K20" s="218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s="197" customFormat="1" ht="18.399999999999999" customHeight="1" thickBot="1">
      <c r="A21" s="862" t="s">
        <v>316</v>
      </c>
      <c r="B21" s="863"/>
      <c r="C21" s="864"/>
      <c r="D21" s="865" t="s">
        <v>174</v>
      </c>
      <c r="E21" s="861"/>
      <c r="F21" s="852"/>
      <c r="G21" s="853"/>
      <c r="H21" s="252" t="s">
        <v>317</v>
      </c>
      <c r="I21" s="210"/>
      <c r="J21" s="221">
        <v>1.1499999999999999</v>
      </c>
      <c r="K21" s="218"/>
      <c r="L21" s="193"/>
      <c r="M21" s="193"/>
      <c r="N21" s="193"/>
      <c r="O21" s="193"/>
      <c r="P21" s="193"/>
      <c r="Q21" s="194" t="s">
        <v>318</v>
      </c>
      <c r="R21" s="196"/>
      <c r="S21" s="193"/>
      <c r="T21" s="193"/>
      <c r="U21" s="193"/>
      <c r="V21" s="193"/>
      <c r="W21" s="193"/>
      <c r="X21" s="193"/>
      <c r="Y21" s="193"/>
      <c r="Z21" s="193"/>
    </row>
    <row r="22" spans="1:26" s="197" customFormat="1" ht="18.399999999999999" customHeight="1">
      <c r="A22" s="246" t="s">
        <v>319</v>
      </c>
      <c r="B22" s="253"/>
      <c r="C22" s="253"/>
      <c r="D22" s="866">
        <v>5.1900000000000002E-2</v>
      </c>
      <c r="E22" s="867"/>
      <c r="F22" s="852"/>
      <c r="G22" s="853"/>
      <c r="H22" s="248" t="s">
        <v>275</v>
      </c>
      <c r="I22" s="210"/>
      <c r="J22" s="221" t="s">
        <v>174</v>
      </c>
      <c r="K22" s="218"/>
      <c r="L22" s="193"/>
      <c r="M22" s="193"/>
      <c r="N22" s="193"/>
      <c r="O22" s="193"/>
      <c r="P22" s="193"/>
      <c r="Q22" s="204" t="s">
        <v>321</v>
      </c>
      <c r="R22" s="206"/>
      <c r="S22" s="193"/>
      <c r="T22" s="193"/>
      <c r="U22" s="193"/>
      <c r="V22" s="193"/>
      <c r="W22" s="193"/>
      <c r="X22" s="193"/>
      <c r="Y22" s="193"/>
      <c r="Z22" s="193"/>
    </row>
    <row r="23" spans="1:26" s="197" customFormat="1" ht="18.399999999999999" customHeight="1">
      <c r="A23" s="254" t="s">
        <v>322</v>
      </c>
      <c r="B23" s="255" t="s">
        <v>323</v>
      </c>
      <c r="C23" s="256"/>
      <c r="D23" s="868" t="s">
        <v>800</v>
      </c>
      <c r="E23" s="869"/>
      <c r="F23" s="852"/>
      <c r="G23" s="853"/>
      <c r="H23" s="257" t="s">
        <v>324</v>
      </c>
      <c r="I23" s="258"/>
      <c r="J23" s="259" t="s">
        <v>174</v>
      </c>
      <c r="K23" s="260"/>
      <c r="L23" s="193"/>
      <c r="Q23" s="204" t="s">
        <v>325</v>
      </c>
      <c r="R23" s="206"/>
      <c r="S23" s="193"/>
      <c r="T23" s="193"/>
      <c r="U23" s="193"/>
      <c r="V23" s="193"/>
      <c r="W23" s="193"/>
      <c r="X23" s="193"/>
      <c r="Y23" s="193"/>
      <c r="Z23" s="193"/>
    </row>
    <row r="24" spans="1:26" s="197" customFormat="1" ht="18.399999999999999" customHeight="1" thickBot="1">
      <c r="A24" s="261" t="s">
        <v>326</v>
      </c>
      <c r="B24" s="262" t="s">
        <v>327</v>
      </c>
      <c r="C24" s="263"/>
      <c r="D24" s="870" t="s">
        <v>174</v>
      </c>
      <c r="E24" s="871"/>
      <c r="F24" s="852"/>
      <c r="G24" s="853"/>
      <c r="H24" s="248" t="s">
        <v>328</v>
      </c>
      <c r="I24" s="230"/>
      <c r="J24" s="264" t="s">
        <v>174</v>
      </c>
      <c r="K24" s="265"/>
      <c r="Q24" s="266" t="s">
        <v>174</v>
      </c>
      <c r="R24" s="267"/>
      <c r="S24" s="193"/>
      <c r="T24" s="193"/>
      <c r="U24" s="193"/>
      <c r="V24" s="193"/>
      <c r="W24" s="193"/>
      <c r="X24" s="193"/>
      <c r="Y24" s="193"/>
      <c r="Z24" s="193"/>
    </row>
    <row r="25" spans="1:26" s="197" customFormat="1" ht="18.399999999999999" customHeight="1">
      <c r="A25" s="268" t="s">
        <v>329</v>
      </c>
      <c r="B25" s="269"/>
      <c r="C25" s="269"/>
      <c r="D25" s="270"/>
      <c r="E25" s="270" t="s">
        <v>330</v>
      </c>
      <c r="F25" s="852"/>
      <c r="G25" s="853"/>
      <c r="H25" s="248" t="s">
        <v>331</v>
      </c>
      <c r="I25" s="230"/>
      <c r="J25" s="271" t="s">
        <v>174</v>
      </c>
      <c r="K25" s="265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s="197" customFormat="1" ht="18.399999999999999" customHeight="1">
      <c r="A26" s="272" t="s">
        <v>332</v>
      </c>
      <c r="B26" s="273"/>
      <c r="C26" s="274"/>
      <c r="D26" s="275" t="s">
        <v>382</v>
      </c>
      <c r="E26" s="275" t="s">
        <v>383</v>
      </c>
      <c r="F26" s="854"/>
      <c r="G26" s="855"/>
      <c r="H26" s="872"/>
      <c r="I26" s="873"/>
      <c r="J26" s="276"/>
      <c r="K26" s="277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s="197" customFormat="1" ht="18.399999999999999" customHeight="1">
      <c r="A27" s="819" t="s">
        <v>333</v>
      </c>
      <c r="B27" s="820"/>
      <c r="C27" s="820"/>
      <c r="D27" s="820"/>
      <c r="E27" s="820"/>
      <c r="F27" s="821" t="s">
        <v>334</v>
      </c>
      <c r="G27" s="822"/>
      <c r="H27" s="822"/>
      <c r="I27" s="822"/>
      <c r="J27" s="822"/>
      <c r="K27" s="823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s="197" customFormat="1" ht="18.399999999999999" customHeight="1">
      <c r="A28" s="826"/>
      <c r="B28" s="827"/>
      <c r="C28" s="827"/>
      <c r="D28" s="827"/>
      <c r="E28" s="828"/>
      <c r="F28" s="278"/>
      <c r="G28" s="279"/>
      <c r="H28" s="238" t="s">
        <v>335</v>
      </c>
      <c r="I28" s="280" t="s">
        <v>381</v>
      </c>
      <c r="J28" s="217" t="s">
        <v>791</v>
      </c>
      <c r="K28" s="281" t="s">
        <v>174</v>
      </c>
      <c r="M28" s="197" t="e">
        <f>(J28/J18)*100</f>
        <v>#VALUE!</v>
      </c>
      <c r="N28" s="282"/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s="197" customFormat="1" ht="18.399999999999999" customHeight="1">
      <c r="A29" s="826"/>
      <c r="B29" s="827"/>
      <c r="C29" s="827"/>
      <c r="D29" s="827"/>
      <c r="E29" s="828"/>
      <c r="F29" s="283"/>
      <c r="G29" s="284"/>
      <c r="H29" s="238" t="s">
        <v>336</v>
      </c>
      <c r="I29" s="285">
        <v>60</v>
      </c>
      <c r="J29" s="217">
        <v>139</v>
      </c>
      <c r="K29" s="212" t="s">
        <v>174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s="197" customFormat="1" ht="18.399999999999999" customHeight="1">
      <c r="A30" s="826"/>
      <c r="B30" s="827"/>
      <c r="C30" s="827"/>
      <c r="D30" s="827"/>
      <c r="E30" s="828"/>
      <c r="F30" s="283"/>
      <c r="G30" s="284"/>
      <c r="H30" s="238" t="s">
        <v>337</v>
      </c>
      <c r="I30" s="285">
        <v>175</v>
      </c>
      <c r="J30" s="217">
        <v>216</v>
      </c>
      <c r="K30" s="212" t="s">
        <v>174</v>
      </c>
      <c r="L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s="197" customFormat="1" ht="18.399999999999999" customHeight="1">
      <c r="A31" s="826"/>
      <c r="B31" s="827"/>
      <c r="C31" s="827"/>
      <c r="D31" s="827"/>
      <c r="E31" s="828"/>
      <c r="F31" s="283"/>
      <c r="G31" s="284"/>
      <c r="H31" s="238" t="s">
        <v>338</v>
      </c>
      <c r="I31" s="239"/>
      <c r="J31" s="286">
        <v>0.5</v>
      </c>
      <c r="K31" s="212" t="s">
        <v>174</v>
      </c>
      <c r="L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s="197" customFormat="1" ht="18.399999999999999" customHeight="1">
      <c r="A32" s="829"/>
      <c r="B32" s="830"/>
      <c r="C32" s="830"/>
      <c r="D32" s="830"/>
      <c r="E32" s="831"/>
      <c r="F32" s="283"/>
      <c r="G32" s="287" t="s">
        <v>339</v>
      </c>
      <c r="H32" s="238" t="s">
        <v>340</v>
      </c>
      <c r="I32" s="288"/>
      <c r="J32" s="211">
        <v>96.5</v>
      </c>
      <c r="K32" s="212" t="s">
        <v>174</v>
      </c>
      <c r="L32" s="193"/>
      <c r="N32" s="289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s="197" customFormat="1" ht="18.399999999999999" customHeight="1">
      <c r="A33" s="819" t="s">
        <v>341</v>
      </c>
      <c r="B33" s="820"/>
      <c r="C33" s="820"/>
      <c r="D33" s="820"/>
      <c r="E33" s="832"/>
      <c r="F33" s="290"/>
      <c r="G33" s="291"/>
      <c r="H33" s="292" t="s">
        <v>342</v>
      </c>
      <c r="I33" s="293"/>
      <c r="J33" s="294">
        <v>91.1</v>
      </c>
      <c r="K33" s="281" t="s">
        <v>174</v>
      </c>
      <c r="L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s="197" customFormat="1" ht="18.399999999999999" customHeight="1">
      <c r="A34" s="826"/>
      <c r="B34" s="827"/>
      <c r="C34" s="827"/>
      <c r="D34" s="827"/>
      <c r="E34" s="828"/>
      <c r="F34" s="213" t="s">
        <v>343</v>
      </c>
      <c r="G34" s="295"/>
      <c r="H34" s="296" t="s">
        <v>14</v>
      </c>
      <c r="I34" s="297"/>
      <c r="J34" s="298">
        <v>11262</v>
      </c>
      <c r="K34" s="281" t="s">
        <v>174</v>
      </c>
      <c r="L34" s="299"/>
      <c r="M34" s="300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s="197" customFormat="1" ht="18.399999999999999" customHeight="1">
      <c r="A35" s="826"/>
      <c r="B35" s="827"/>
      <c r="C35" s="827"/>
      <c r="D35" s="827"/>
      <c r="E35" s="828"/>
      <c r="F35" s="232"/>
      <c r="G35" s="301"/>
      <c r="H35" s="302" t="s">
        <v>15</v>
      </c>
      <c r="I35" s="303"/>
      <c r="J35" s="217">
        <v>8317</v>
      </c>
      <c r="K35" s="281" t="s">
        <v>174</v>
      </c>
      <c r="M35" s="300"/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s="197" customFormat="1" ht="18.399999999999999" customHeight="1">
      <c r="A36" s="826"/>
      <c r="B36" s="827"/>
      <c r="C36" s="827"/>
      <c r="D36" s="827"/>
      <c r="E36" s="828"/>
      <c r="F36" s="232"/>
      <c r="G36" s="301"/>
      <c r="H36" s="302" t="s">
        <v>344</v>
      </c>
      <c r="I36" s="303"/>
      <c r="J36" s="217">
        <v>10296</v>
      </c>
      <c r="K36" s="281" t="s">
        <v>174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s="197" customFormat="1" ht="18.399999999999999" customHeight="1">
      <c r="A37" s="826"/>
      <c r="B37" s="827"/>
      <c r="C37" s="827"/>
      <c r="D37" s="827"/>
      <c r="E37" s="828"/>
      <c r="F37" s="283"/>
      <c r="G37" s="301"/>
      <c r="H37" s="302" t="s">
        <v>345</v>
      </c>
      <c r="I37" s="303"/>
      <c r="J37" s="217">
        <v>6042</v>
      </c>
      <c r="K37" s="304" t="s">
        <v>174</v>
      </c>
      <c r="M37" s="305"/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s="197" customFormat="1" ht="18.399999999999999" customHeight="1">
      <c r="A38" s="829"/>
      <c r="B38" s="830"/>
      <c r="C38" s="830"/>
      <c r="D38" s="830"/>
      <c r="E38" s="831"/>
      <c r="F38" s="240"/>
      <c r="G38" s="306"/>
      <c r="H38" s="307" t="s">
        <v>346</v>
      </c>
      <c r="I38" s="308"/>
      <c r="J38" s="309">
        <v>17904</v>
      </c>
      <c r="K38" s="281" t="s">
        <v>174</v>
      </c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s="197" customFormat="1" ht="18.399999999999999" customHeight="1">
      <c r="A39" s="819" t="s">
        <v>347</v>
      </c>
      <c r="B39" s="820"/>
      <c r="C39" s="820"/>
      <c r="D39" s="820"/>
      <c r="E39" s="820"/>
      <c r="F39" s="310" t="s">
        <v>348</v>
      </c>
      <c r="G39" s="311" t="s">
        <v>385</v>
      </c>
      <c r="H39" s="311"/>
      <c r="I39" s="311"/>
      <c r="J39" s="311"/>
      <c r="K39" s="312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s="197" customFormat="1" ht="18.399999999999999" customHeight="1">
      <c r="A40" s="826"/>
      <c r="B40" s="827"/>
      <c r="C40" s="827"/>
      <c r="D40" s="827"/>
      <c r="E40" s="828"/>
      <c r="F40" s="313" t="s">
        <v>386</v>
      </c>
      <c r="G40" s="360" t="s">
        <v>387</v>
      </c>
      <c r="H40" s="360"/>
      <c r="I40" s="360"/>
      <c r="J40" s="360"/>
      <c r="K40" s="361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s="197" customFormat="1" ht="18.399999999999999" customHeight="1">
      <c r="A41" s="826"/>
      <c r="B41" s="827"/>
      <c r="C41" s="827"/>
      <c r="D41" s="827"/>
      <c r="E41" s="828"/>
      <c r="F41" s="362"/>
      <c r="G41" s="363" t="s">
        <v>388</v>
      </c>
      <c r="H41" s="363"/>
      <c r="I41" s="363"/>
      <c r="J41" s="363"/>
      <c r="K41" s="364"/>
      <c r="L41" s="314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s="197" customFormat="1" ht="18.399999999999999" customHeight="1">
      <c r="A42" s="826"/>
      <c r="B42" s="827"/>
      <c r="C42" s="827"/>
      <c r="D42" s="827"/>
      <c r="E42" s="828"/>
      <c r="F42" s="362"/>
      <c r="G42" s="363" t="s">
        <v>785</v>
      </c>
      <c r="H42" s="363"/>
      <c r="I42" s="363"/>
      <c r="J42" s="363"/>
      <c r="K42" s="364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s="197" customFormat="1" ht="18.399999999999999" customHeight="1">
      <c r="A43" s="826"/>
      <c r="B43" s="827"/>
      <c r="C43" s="827"/>
      <c r="D43" s="827"/>
      <c r="E43" s="828"/>
      <c r="F43" s="362"/>
      <c r="G43" s="363" t="s">
        <v>786</v>
      </c>
      <c r="H43" s="363"/>
      <c r="I43" s="363"/>
      <c r="J43" s="363"/>
      <c r="K43" s="364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s="197" customFormat="1" ht="17.100000000000001" customHeight="1" thickBot="1">
      <c r="A44" s="833"/>
      <c r="B44" s="834"/>
      <c r="C44" s="834"/>
      <c r="D44" s="834"/>
      <c r="E44" s="835"/>
      <c r="F44" s="362"/>
      <c r="G44" s="363" t="s">
        <v>703</v>
      </c>
      <c r="H44" s="363"/>
      <c r="I44" s="363"/>
      <c r="J44" s="363"/>
      <c r="K44" s="364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s="197" customFormat="1" ht="17.100000000000001" customHeight="1">
      <c r="A45" s="315" t="s">
        <v>349</v>
      </c>
      <c r="B45" s="836"/>
      <c r="C45" s="837"/>
      <c r="D45" s="316" t="s">
        <v>350</v>
      </c>
      <c r="E45" s="317" t="s">
        <v>787</v>
      </c>
      <c r="F45" s="365"/>
      <c r="G45" s="363" t="s">
        <v>389</v>
      </c>
      <c r="H45" s="363"/>
      <c r="I45" s="363"/>
      <c r="J45" s="363"/>
      <c r="K45" s="364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s="197" customFormat="1" ht="17.100000000000001" customHeight="1" thickBot="1">
      <c r="A46" s="318" t="s">
        <v>351</v>
      </c>
      <c r="B46" s="824"/>
      <c r="C46" s="825"/>
      <c r="D46" s="319" t="s">
        <v>351</v>
      </c>
      <c r="E46" s="320">
        <v>40592</v>
      </c>
      <c r="F46" s="366"/>
      <c r="G46" s="367" t="s">
        <v>390</v>
      </c>
      <c r="H46" s="368"/>
      <c r="I46" s="368"/>
      <c r="J46" s="368"/>
      <c r="K46" s="369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s="197" customFormat="1" ht="17.100000000000001" customHeight="1">
      <c r="F47" s="321"/>
      <c r="G47" s="193" t="s">
        <v>795</v>
      </c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</row>
    <row r="48" spans="1:26" s="197" customFormat="1" ht="17.100000000000001" customHeight="1">
      <c r="F48" s="193"/>
      <c r="G48" s="193" t="s">
        <v>796</v>
      </c>
      <c r="H48" s="193"/>
      <c r="I48" s="193"/>
      <c r="J48" s="193"/>
      <c r="K48" s="193"/>
    </row>
    <row r="49" spans="2:26" ht="17.100000000000001" customHeight="1">
      <c r="F49" s="183"/>
      <c r="G49" s="183" t="s">
        <v>797</v>
      </c>
      <c r="H49" s="183"/>
      <c r="I49" s="183"/>
      <c r="J49" s="183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2:26">
      <c r="F50" s="183"/>
      <c r="G50" s="183"/>
      <c r="H50" s="183"/>
      <c r="I50" s="183"/>
      <c r="J50" s="183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2:26">
      <c r="F51" s="183"/>
      <c r="G51" s="183"/>
      <c r="H51" s="183"/>
      <c r="I51" s="183"/>
      <c r="J51" s="183"/>
      <c r="K51" s="183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2:26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2:26">
      <c r="F53" s="183"/>
      <c r="G53" s="183"/>
      <c r="H53" s="183"/>
      <c r="I53" s="183"/>
      <c r="J53" s="183"/>
      <c r="K53" s="183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ErrorMessage="1" error="Choose from list!" sqref="D21" xr:uid="{00000000-0002-0000-0100-000000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1000000}">
      <formula1>$Q$5:$Q$12</formula1>
    </dataValidation>
    <dataValidation type="list" allowBlank="1" showInputMessage="1" sqref="D6:E6" xr:uid="{00000000-0002-0000-0100-000002000000}">
      <formula1>$T$5:$T$10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327" customWidth="1"/>
    <col min="2" max="2" width="18.140625" style="327" customWidth="1"/>
    <col min="3" max="3" width="21.5703125" style="327" customWidth="1"/>
    <col min="4" max="4" width="21.28515625" style="327" bestFit="1" customWidth="1"/>
    <col min="5" max="5" width="6.85546875" style="327" bestFit="1" customWidth="1"/>
    <col min="6" max="6" width="29.85546875" style="327" customWidth="1"/>
    <col min="7" max="7" width="43.7109375" style="327" customWidth="1"/>
    <col min="8" max="8" width="17.140625" style="327" customWidth="1"/>
    <col min="9" max="9" width="7.85546875" style="327" customWidth="1"/>
    <col min="10" max="10" width="2.28515625" style="327" bestFit="1" customWidth="1"/>
    <col min="11" max="12" width="2.28515625" style="327" customWidth="1"/>
    <col min="13" max="13" width="2.5703125" style="327" bestFit="1" customWidth="1"/>
    <col min="14" max="14" width="2.28515625" style="327" bestFit="1" customWidth="1"/>
    <col min="15" max="16384" width="9.140625" style="327"/>
  </cols>
  <sheetData>
    <row r="1" spans="2:14" ht="12.75" customHeight="1">
      <c r="B1" s="322"/>
      <c r="C1" s="323"/>
      <c r="D1" s="323"/>
      <c r="E1" s="323"/>
      <c r="F1" s="323"/>
      <c r="G1" s="323"/>
      <c r="H1" s="324"/>
      <c r="I1" s="325"/>
      <c r="J1" s="326" t="s">
        <v>352</v>
      </c>
      <c r="K1" s="326" t="s">
        <v>353</v>
      </c>
      <c r="L1" s="326" t="s">
        <v>354</v>
      </c>
      <c r="M1" s="326" t="s">
        <v>353</v>
      </c>
      <c r="N1" s="326"/>
    </row>
    <row r="2" spans="2:14" ht="12.75" customHeight="1">
      <c r="B2" s="917" t="s">
        <v>355</v>
      </c>
      <c r="C2" s="918"/>
      <c r="D2" s="918"/>
      <c r="E2" s="918"/>
      <c r="F2" s="918"/>
      <c r="G2" s="918"/>
      <c r="H2" s="328"/>
      <c r="I2" s="329"/>
      <c r="J2" s="330" t="s">
        <v>356</v>
      </c>
      <c r="K2" s="330" t="s">
        <v>357</v>
      </c>
      <c r="L2" s="330" t="s">
        <v>358</v>
      </c>
      <c r="M2" s="330" t="s">
        <v>359</v>
      </c>
      <c r="N2" s="330" t="s">
        <v>360</v>
      </c>
    </row>
    <row r="3" spans="2:14" ht="12.75" customHeight="1">
      <c r="B3" s="917"/>
      <c r="C3" s="918"/>
      <c r="D3" s="918"/>
      <c r="E3" s="918"/>
      <c r="F3" s="918"/>
      <c r="G3" s="918"/>
      <c r="H3" s="328"/>
      <c r="I3" s="329"/>
      <c r="J3" s="330" t="s">
        <v>361</v>
      </c>
      <c r="K3" s="330"/>
      <c r="L3" s="330" t="s">
        <v>362</v>
      </c>
      <c r="M3" s="330" t="s">
        <v>352</v>
      </c>
      <c r="N3" s="330"/>
    </row>
    <row r="4" spans="2:14" ht="12.75" customHeight="1">
      <c r="B4" s="917"/>
      <c r="C4" s="918"/>
      <c r="D4" s="918"/>
      <c r="E4" s="918"/>
      <c r="F4" s="918"/>
      <c r="G4" s="918"/>
      <c r="H4" s="328"/>
      <c r="I4" s="329"/>
      <c r="J4" s="330" t="s">
        <v>363</v>
      </c>
      <c r="K4" s="330"/>
      <c r="L4" s="330" t="s">
        <v>358</v>
      </c>
      <c r="M4" s="330" t="s">
        <v>356</v>
      </c>
      <c r="N4" s="330"/>
    </row>
    <row r="5" spans="2:14" ht="12.75" customHeight="1">
      <c r="B5" s="331"/>
      <c r="C5" s="332"/>
      <c r="D5" s="332"/>
      <c r="E5" s="332"/>
      <c r="F5" s="332"/>
      <c r="G5" s="332"/>
      <c r="H5" s="328"/>
      <c r="I5" s="329"/>
      <c r="J5" s="330"/>
      <c r="K5" s="330" t="s">
        <v>364</v>
      </c>
      <c r="L5" s="330" t="s">
        <v>353</v>
      </c>
      <c r="M5" s="330"/>
      <c r="N5" s="330" t="s">
        <v>358</v>
      </c>
    </row>
    <row r="6" spans="2:14" ht="12" customHeight="1">
      <c r="B6" s="333"/>
      <c r="C6" s="334"/>
      <c r="D6" s="334"/>
      <c r="F6" s="334"/>
      <c r="H6" s="335"/>
      <c r="I6" s="329"/>
      <c r="J6" s="330" t="s">
        <v>357</v>
      </c>
      <c r="K6" s="330" t="s">
        <v>365</v>
      </c>
      <c r="L6" s="330"/>
      <c r="M6" s="330" t="s">
        <v>353</v>
      </c>
      <c r="N6" s="330" t="s">
        <v>366</v>
      </c>
    </row>
    <row r="7" spans="2:14" ht="12.75" customHeight="1">
      <c r="B7" s="333"/>
      <c r="D7" s="336"/>
      <c r="H7" s="335"/>
      <c r="I7" s="329"/>
      <c r="J7" s="330" t="s">
        <v>183</v>
      </c>
      <c r="K7" s="330" t="s">
        <v>361</v>
      </c>
      <c r="L7" s="330" t="s">
        <v>361</v>
      </c>
      <c r="M7" s="330" t="s">
        <v>356</v>
      </c>
      <c r="N7" s="330" t="s">
        <v>367</v>
      </c>
    </row>
    <row r="8" spans="2:14" ht="12.75" customHeight="1">
      <c r="B8" s="333"/>
      <c r="G8" s="336"/>
      <c r="H8" s="337"/>
      <c r="I8" s="330" t="s">
        <v>367</v>
      </c>
      <c r="J8" s="330" t="s">
        <v>353</v>
      </c>
      <c r="K8" s="330" t="s">
        <v>368</v>
      </c>
      <c r="L8" s="330" t="s">
        <v>356</v>
      </c>
      <c r="M8" s="330" t="s">
        <v>367</v>
      </c>
      <c r="N8" s="330" t="s">
        <v>365</v>
      </c>
    </row>
    <row r="9" spans="2:14">
      <c r="B9" s="330" t="s">
        <v>369</v>
      </c>
      <c r="C9" s="337" t="s">
        <v>370</v>
      </c>
      <c r="D9" s="337" t="s">
        <v>371</v>
      </c>
      <c r="E9" s="337" t="s">
        <v>372</v>
      </c>
      <c r="F9" s="330" t="s">
        <v>373</v>
      </c>
      <c r="G9" s="330" t="s">
        <v>374</v>
      </c>
      <c r="H9" s="330" t="s">
        <v>375</v>
      </c>
      <c r="I9" s="330" t="s">
        <v>363</v>
      </c>
      <c r="J9" s="330" t="s">
        <v>183</v>
      </c>
      <c r="K9" s="330" t="s">
        <v>356</v>
      </c>
      <c r="L9" s="330" t="s">
        <v>368</v>
      </c>
      <c r="M9" s="330" t="s">
        <v>353</v>
      </c>
      <c r="N9" s="330" t="s">
        <v>354</v>
      </c>
    </row>
    <row r="10" spans="2:14" ht="15" customHeight="1">
      <c r="B10" s="338"/>
      <c r="C10" s="339"/>
      <c r="D10" s="339"/>
      <c r="E10" s="339"/>
      <c r="F10" s="340"/>
      <c r="G10" s="341"/>
      <c r="H10" s="341"/>
      <c r="I10" s="342"/>
      <c r="J10" s="343"/>
      <c r="K10" s="343"/>
      <c r="L10" s="343"/>
      <c r="M10" s="343"/>
      <c r="N10" s="344"/>
    </row>
    <row r="11" spans="2:14" ht="15" customHeight="1">
      <c r="B11" s="338"/>
      <c r="C11" s="340"/>
      <c r="D11" s="340"/>
      <c r="E11" s="340"/>
      <c r="F11" s="340"/>
      <c r="G11" s="340"/>
      <c r="H11" s="340"/>
      <c r="I11" s="345"/>
      <c r="J11" s="343"/>
      <c r="K11" s="343"/>
      <c r="L11" s="343"/>
      <c r="M11" s="343"/>
      <c r="N11" s="344"/>
    </row>
    <row r="12" spans="2:14" ht="15" customHeight="1">
      <c r="B12" s="338"/>
      <c r="C12" s="340"/>
      <c r="D12" s="340"/>
      <c r="E12" s="340"/>
      <c r="F12" s="340"/>
      <c r="G12" s="340"/>
      <c r="H12" s="340"/>
      <c r="I12" s="345"/>
      <c r="J12" s="346"/>
      <c r="K12" s="343"/>
      <c r="L12" s="343"/>
      <c r="M12" s="343"/>
      <c r="N12" s="344"/>
    </row>
    <row r="13" spans="2:14" ht="15" customHeight="1">
      <c r="B13" s="338"/>
      <c r="C13" s="340"/>
      <c r="D13" s="340"/>
      <c r="E13" s="340"/>
      <c r="F13" s="340"/>
      <c r="G13" s="340"/>
      <c r="H13" s="340"/>
      <c r="I13" s="345"/>
      <c r="J13" s="343"/>
      <c r="K13" s="343"/>
      <c r="L13" s="343"/>
      <c r="M13" s="343"/>
      <c r="N13" s="344"/>
    </row>
    <row r="14" spans="2:14" ht="15" customHeight="1">
      <c r="B14" s="338"/>
      <c r="C14" s="340"/>
      <c r="D14" s="340"/>
      <c r="E14" s="340"/>
      <c r="F14" s="340"/>
      <c r="G14" s="340"/>
      <c r="H14" s="340"/>
      <c r="I14" s="345"/>
      <c r="J14" s="343"/>
      <c r="K14" s="343"/>
      <c r="L14" s="343"/>
      <c r="M14" s="343"/>
      <c r="N14" s="344"/>
    </row>
    <row r="15" spans="2:14" ht="15" customHeight="1">
      <c r="B15" s="338"/>
      <c r="C15" s="340"/>
      <c r="D15" s="340"/>
      <c r="E15" s="340"/>
      <c r="F15" s="340"/>
      <c r="G15" s="340"/>
      <c r="H15" s="340"/>
      <c r="I15" s="345"/>
      <c r="J15" s="343"/>
      <c r="K15" s="343"/>
      <c r="L15" s="343"/>
      <c r="M15" s="343"/>
      <c r="N15" s="344"/>
    </row>
    <row r="16" spans="2:14" ht="15" customHeight="1">
      <c r="B16" s="338"/>
      <c r="C16" s="340"/>
      <c r="D16" s="340"/>
      <c r="E16" s="340"/>
      <c r="F16" s="340"/>
      <c r="G16" s="340"/>
      <c r="H16" s="340"/>
      <c r="I16" s="345"/>
      <c r="J16" s="343"/>
      <c r="K16" s="343"/>
      <c r="L16" s="343"/>
      <c r="M16" s="343"/>
      <c r="N16" s="344"/>
    </row>
    <row r="17" spans="2:14" ht="15" customHeight="1">
      <c r="B17" s="338"/>
      <c r="C17" s="340"/>
      <c r="D17" s="340"/>
      <c r="E17" s="340"/>
      <c r="F17" s="340"/>
      <c r="G17" s="340"/>
      <c r="H17" s="340"/>
      <c r="I17" s="345"/>
      <c r="J17" s="343"/>
      <c r="K17" s="343"/>
      <c r="L17" s="343"/>
      <c r="M17" s="343"/>
      <c r="N17" s="344"/>
    </row>
    <row r="18" spans="2:14" ht="15" customHeight="1">
      <c r="B18" s="338"/>
      <c r="C18" s="340"/>
      <c r="D18" s="340"/>
      <c r="E18" s="340"/>
      <c r="F18" s="340"/>
      <c r="G18" s="340"/>
      <c r="H18" s="340"/>
      <c r="I18" s="345"/>
      <c r="J18" s="343"/>
      <c r="K18" s="343"/>
      <c r="L18" s="343"/>
      <c r="M18" s="343"/>
      <c r="N18" s="344"/>
    </row>
    <row r="19" spans="2:14" ht="15" customHeight="1">
      <c r="B19" s="338"/>
      <c r="C19" s="340"/>
      <c r="D19" s="340"/>
      <c r="E19" s="340"/>
      <c r="F19" s="340"/>
      <c r="G19" s="340"/>
      <c r="H19" s="340"/>
      <c r="I19" s="345"/>
      <c r="J19" s="343"/>
      <c r="K19" s="343"/>
      <c r="L19" s="343"/>
      <c r="M19" s="343"/>
      <c r="N19" s="344"/>
    </row>
    <row r="20" spans="2:14" ht="15" customHeight="1">
      <c r="B20" s="338"/>
      <c r="C20" s="340"/>
      <c r="D20" s="340"/>
      <c r="E20" s="340"/>
      <c r="F20" s="340"/>
      <c r="G20" s="340"/>
      <c r="H20" s="340"/>
      <c r="I20" s="345"/>
      <c r="J20" s="343"/>
      <c r="K20" s="343"/>
      <c r="L20" s="343"/>
      <c r="M20" s="343"/>
      <c r="N20" s="344"/>
    </row>
    <row r="21" spans="2:14" ht="15" customHeight="1">
      <c r="B21" s="338"/>
      <c r="C21" s="340"/>
      <c r="D21" s="340"/>
      <c r="E21" s="340"/>
      <c r="F21" s="340"/>
      <c r="G21" s="340"/>
      <c r="H21" s="340"/>
      <c r="I21" s="345"/>
      <c r="J21" s="343"/>
      <c r="K21" s="343"/>
      <c r="L21" s="343"/>
      <c r="M21" s="343"/>
      <c r="N21" s="344"/>
    </row>
    <row r="22" spans="2:14" ht="15" customHeight="1">
      <c r="B22" s="338"/>
      <c r="C22" s="340"/>
      <c r="D22" s="340"/>
      <c r="E22" s="340"/>
      <c r="F22" s="340"/>
      <c r="G22" s="340"/>
      <c r="H22" s="340"/>
      <c r="I22" s="345"/>
      <c r="J22" s="343"/>
      <c r="K22" s="343"/>
      <c r="L22" s="343"/>
      <c r="M22" s="343"/>
      <c r="N22" s="344"/>
    </row>
    <row r="23" spans="2:14" ht="15" customHeight="1">
      <c r="B23" s="338"/>
      <c r="C23" s="340"/>
      <c r="D23" s="340"/>
      <c r="E23" s="340"/>
      <c r="F23" s="340"/>
      <c r="G23" s="340"/>
      <c r="H23" s="340"/>
      <c r="I23" s="345"/>
      <c r="J23" s="343"/>
      <c r="K23" s="343"/>
      <c r="L23" s="343"/>
      <c r="M23" s="343"/>
      <c r="N23" s="344"/>
    </row>
    <row r="24" spans="2:14" ht="15" customHeight="1">
      <c r="B24" s="338"/>
      <c r="C24" s="340"/>
      <c r="D24" s="340"/>
      <c r="E24" s="340"/>
      <c r="F24" s="340"/>
      <c r="G24" s="340"/>
      <c r="H24" s="340"/>
      <c r="I24" s="345"/>
      <c r="J24" s="343"/>
      <c r="K24" s="343"/>
      <c r="L24" s="343"/>
      <c r="M24" s="343"/>
      <c r="N24" s="344"/>
    </row>
    <row r="25" spans="2:14" ht="15" customHeight="1">
      <c r="B25" s="338"/>
      <c r="C25" s="340"/>
      <c r="D25" s="340"/>
      <c r="E25" s="340"/>
      <c r="F25" s="340"/>
      <c r="G25" s="340"/>
      <c r="H25" s="340"/>
      <c r="I25" s="345"/>
      <c r="J25" s="343"/>
      <c r="K25" s="343"/>
      <c r="L25" s="343"/>
      <c r="M25" s="343"/>
      <c r="N25" s="344"/>
    </row>
    <row r="26" spans="2:14" ht="15" customHeight="1">
      <c r="B26" s="338"/>
      <c r="C26" s="340"/>
      <c r="D26" s="340"/>
      <c r="E26" s="340"/>
      <c r="F26" s="340"/>
      <c r="G26" s="340"/>
      <c r="H26" s="340"/>
      <c r="I26" s="345"/>
      <c r="J26" s="343"/>
      <c r="K26" s="343"/>
      <c r="L26" s="343"/>
      <c r="M26" s="343"/>
      <c r="N26" s="344"/>
    </row>
    <row r="27" spans="2:14" ht="15" customHeight="1">
      <c r="B27" s="338"/>
      <c r="C27" s="340"/>
      <c r="D27" s="340"/>
      <c r="E27" s="340"/>
      <c r="F27" s="340"/>
      <c r="G27" s="340"/>
      <c r="H27" s="340"/>
      <c r="I27" s="345"/>
      <c r="J27" s="343"/>
      <c r="K27" s="343"/>
      <c r="L27" s="343"/>
      <c r="M27" s="343"/>
      <c r="N27" s="344"/>
    </row>
    <row r="28" spans="2:14" ht="15" customHeight="1">
      <c r="B28" s="338"/>
      <c r="C28" s="340"/>
      <c r="D28" s="340"/>
      <c r="E28" s="340"/>
      <c r="F28" s="340"/>
      <c r="G28" s="340"/>
      <c r="H28" s="340"/>
      <c r="I28" s="345"/>
      <c r="J28" s="343"/>
      <c r="K28" s="343"/>
      <c r="L28" s="343"/>
      <c r="M28" s="343"/>
      <c r="N28" s="344"/>
    </row>
    <row r="29" spans="2:14" ht="15" customHeight="1">
      <c r="B29" s="338"/>
      <c r="C29" s="340"/>
      <c r="D29" s="340"/>
      <c r="E29" s="340"/>
      <c r="F29" s="340"/>
      <c r="G29" s="340"/>
      <c r="H29" s="340"/>
      <c r="I29" s="345"/>
      <c r="J29" s="343"/>
      <c r="K29" s="343"/>
      <c r="L29" s="343"/>
      <c r="M29" s="343"/>
      <c r="N29" s="344"/>
    </row>
    <row r="30" spans="2:14" ht="15" customHeight="1">
      <c r="B30" s="338"/>
      <c r="C30" s="340"/>
      <c r="D30" s="340"/>
      <c r="E30" s="340"/>
      <c r="F30" s="340"/>
      <c r="G30" s="340"/>
      <c r="H30" s="340"/>
      <c r="I30" s="345"/>
      <c r="J30" s="343"/>
      <c r="K30" s="343"/>
      <c r="L30" s="343"/>
      <c r="M30" s="343"/>
      <c r="N30" s="344"/>
    </row>
    <row r="31" spans="2:14" ht="15" customHeight="1">
      <c r="B31" s="338"/>
      <c r="C31" s="340"/>
      <c r="D31" s="340"/>
      <c r="E31" s="340"/>
      <c r="F31" s="340"/>
      <c r="G31" s="340"/>
      <c r="H31" s="340"/>
      <c r="I31" s="345"/>
      <c r="J31" s="343"/>
      <c r="K31" s="343"/>
      <c r="L31" s="343"/>
      <c r="M31" s="343"/>
      <c r="N31" s="344"/>
    </row>
    <row r="32" spans="2:14" ht="15" customHeight="1">
      <c r="B32" s="338"/>
      <c r="C32" s="340"/>
      <c r="D32" s="340"/>
      <c r="E32" s="340"/>
      <c r="F32" s="340"/>
      <c r="G32" s="340"/>
      <c r="H32" s="340"/>
      <c r="I32" s="345"/>
      <c r="J32" s="343"/>
      <c r="K32" s="343"/>
      <c r="L32" s="343"/>
      <c r="M32" s="343"/>
      <c r="N32" s="344"/>
    </row>
    <row r="33" spans="2:14" ht="15" customHeight="1">
      <c r="B33" s="338"/>
      <c r="C33" s="340"/>
      <c r="D33" s="340"/>
      <c r="E33" s="340"/>
      <c r="F33" s="340"/>
      <c r="G33" s="340"/>
      <c r="H33" s="340"/>
      <c r="I33" s="345"/>
      <c r="J33" s="343"/>
      <c r="K33" s="343"/>
      <c r="L33" s="343"/>
      <c r="M33" s="343"/>
      <c r="N33" s="344"/>
    </row>
    <row r="34" spans="2:14" ht="15" customHeight="1">
      <c r="B34" s="338"/>
      <c r="C34" s="340"/>
      <c r="D34" s="340"/>
      <c r="E34" s="340"/>
      <c r="F34" s="340"/>
      <c r="G34" s="340"/>
      <c r="H34" s="340"/>
      <c r="I34" s="345"/>
      <c r="J34" s="343"/>
      <c r="K34" s="343"/>
      <c r="L34" s="343"/>
      <c r="M34" s="343"/>
      <c r="N34" s="344"/>
    </row>
    <row r="35" spans="2:14" ht="15" customHeight="1">
      <c r="B35" s="338"/>
      <c r="C35" s="340"/>
      <c r="D35" s="340"/>
      <c r="E35" s="340"/>
      <c r="F35" s="340"/>
      <c r="G35" s="340"/>
      <c r="H35" s="340"/>
      <c r="I35" s="345"/>
      <c r="J35" s="343"/>
      <c r="K35" s="343"/>
      <c r="L35" s="343"/>
      <c r="M35" s="343"/>
      <c r="N35" s="344"/>
    </row>
    <row r="36" spans="2:14" ht="15" customHeight="1">
      <c r="B36" s="338"/>
      <c r="C36" s="340"/>
      <c r="D36" s="340"/>
      <c r="E36" s="340"/>
      <c r="F36" s="340"/>
      <c r="G36" s="340"/>
      <c r="H36" s="340"/>
      <c r="I36" s="345"/>
      <c r="J36" s="343"/>
      <c r="K36" s="343"/>
      <c r="L36" s="343"/>
      <c r="M36" s="343"/>
      <c r="N36" s="344"/>
    </row>
    <row r="37" spans="2:14" ht="15" customHeight="1">
      <c r="B37" s="338"/>
      <c r="C37" s="340"/>
      <c r="D37" s="340"/>
      <c r="E37" s="340"/>
      <c r="F37" s="340"/>
      <c r="G37" s="340"/>
      <c r="H37" s="340"/>
      <c r="I37" s="345"/>
      <c r="J37" s="343"/>
      <c r="K37" s="343"/>
      <c r="L37" s="343"/>
      <c r="M37" s="343"/>
      <c r="N37" s="344"/>
    </row>
    <row r="38" spans="2:14" ht="15" customHeight="1">
      <c r="B38" s="338"/>
      <c r="C38" s="340"/>
      <c r="D38" s="340"/>
      <c r="E38" s="340"/>
      <c r="F38" s="340"/>
      <c r="G38" s="340"/>
      <c r="H38" s="340"/>
      <c r="I38" s="345"/>
      <c r="J38" s="343"/>
      <c r="K38" s="343"/>
      <c r="L38" s="343"/>
      <c r="M38" s="343"/>
      <c r="N38" s="344"/>
    </row>
    <row r="39" spans="2:14" ht="15" customHeight="1">
      <c r="B39" s="338"/>
      <c r="C39" s="340"/>
      <c r="D39" s="340"/>
      <c r="E39" s="340"/>
      <c r="F39" s="340"/>
      <c r="G39" s="340"/>
      <c r="H39" s="340"/>
      <c r="I39" s="345"/>
      <c r="J39" s="343"/>
      <c r="K39" s="343"/>
      <c r="L39" s="343"/>
      <c r="M39" s="343"/>
      <c r="N39" s="344"/>
    </row>
    <row r="40" spans="2:14" ht="15" customHeight="1">
      <c r="B40" s="338"/>
      <c r="C40" s="340"/>
      <c r="D40" s="340"/>
      <c r="E40" s="340"/>
      <c r="F40" s="340"/>
      <c r="G40" s="340"/>
      <c r="H40" s="340"/>
      <c r="I40" s="345"/>
      <c r="J40" s="343"/>
      <c r="K40" s="343"/>
      <c r="L40" s="343"/>
      <c r="M40" s="343"/>
      <c r="N40" s="344"/>
    </row>
    <row r="41" spans="2:14" ht="15" customHeight="1">
      <c r="B41" s="338"/>
      <c r="C41" s="340"/>
      <c r="D41" s="340"/>
      <c r="E41" s="340"/>
      <c r="F41" s="340"/>
      <c r="G41" s="340"/>
      <c r="H41" s="340"/>
      <c r="I41" s="345"/>
      <c r="J41" s="343"/>
      <c r="K41" s="343"/>
      <c r="L41" s="343"/>
      <c r="M41" s="343"/>
      <c r="N41" s="344"/>
    </row>
    <row r="42" spans="2:14" ht="15" customHeight="1">
      <c r="B42" s="338"/>
      <c r="C42" s="340"/>
      <c r="D42" s="340"/>
      <c r="E42" s="340"/>
      <c r="F42" s="340"/>
      <c r="G42" s="340"/>
      <c r="H42" s="340"/>
      <c r="I42" s="345"/>
      <c r="J42" s="343"/>
      <c r="K42" s="343"/>
      <c r="L42" s="343"/>
      <c r="M42" s="343"/>
      <c r="N42" s="344"/>
    </row>
    <row r="43" spans="2:14" ht="15" customHeight="1">
      <c r="B43" s="338"/>
      <c r="C43" s="340"/>
      <c r="D43" s="340"/>
      <c r="E43" s="340"/>
      <c r="F43" s="340"/>
      <c r="G43" s="340"/>
      <c r="H43" s="340"/>
      <c r="I43" s="345"/>
      <c r="J43" s="343"/>
      <c r="K43" s="343"/>
      <c r="L43" s="343"/>
      <c r="M43" s="343"/>
      <c r="N43" s="344"/>
    </row>
    <row r="44" spans="2:14" ht="15" customHeight="1">
      <c r="B44" s="338"/>
      <c r="C44" s="340"/>
      <c r="D44" s="340"/>
      <c r="E44" s="340"/>
      <c r="F44" s="340"/>
      <c r="G44" s="340"/>
      <c r="H44" s="340"/>
      <c r="I44" s="345"/>
      <c r="J44" s="343"/>
      <c r="K44" s="343"/>
      <c r="L44" s="343"/>
      <c r="M44" s="343"/>
      <c r="N44" s="344"/>
    </row>
    <row r="45" spans="2:14" ht="15" customHeight="1">
      <c r="B45" s="338"/>
      <c r="C45" s="340"/>
      <c r="D45" s="340"/>
      <c r="E45" s="340"/>
      <c r="F45" s="340"/>
      <c r="G45" s="340"/>
      <c r="H45" s="340"/>
      <c r="I45" s="345"/>
      <c r="J45" s="343"/>
      <c r="K45" s="343"/>
      <c r="L45" s="343"/>
      <c r="M45" s="343"/>
      <c r="N45" s="344"/>
    </row>
    <row r="46" spans="2:14" ht="15" customHeight="1">
      <c r="B46" s="338"/>
      <c r="C46" s="340"/>
      <c r="D46" s="340"/>
      <c r="E46" s="340"/>
      <c r="F46" s="340"/>
      <c r="G46" s="340"/>
      <c r="H46" s="340"/>
      <c r="I46" s="345"/>
      <c r="J46" s="343"/>
      <c r="K46" s="343"/>
      <c r="L46" s="343"/>
      <c r="M46" s="343"/>
      <c r="N46" s="344"/>
    </row>
    <row r="47" spans="2:14" ht="15" customHeight="1">
      <c r="B47" s="338"/>
      <c r="C47" s="340"/>
      <c r="D47" s="340"/>
      <c r="E47" s="340"/>
      <c r="F47" s="340"/>
      <c r="G47" s="340"/>
      <c r="H47" s="340"/>
      <c r="I47" s="345"/>
      <c r="J47" s="343"/>
      <c r="K47" s="343"/>
      <c r="L47" s="343"/>
      <c r="M47" s="343"/>
      <c r="N47" s="344"/>
    </row>
    <row r="48" spans="2:14" ht="15" customHeight="1">
      <c r="B48" s="338"/>
      <c r="C48" s="340"/>
      <c r="D48" s="340"/>
      <c r="E48" s="340"/>
      <c r="F48" s="340"/>
      <c r="G48" s="340"/>
      <c r="H48" s="340"/>
      <c r="I48" s="345"/>
      <c r="J48" s="343"/>
      <c r="K48" s="343"/>
      <c r="L48" s="343"/>
      <c r="M48" s="343"/>
      <c r="N48" s="344"/>
    </row>
    <row r="49" spans="2:14" ht="15" customHeight="1">
      <c r="B49" s="338"/>
      <c r="C49" s="340"/>
      <c r="D49" s="340"/>
      <c r="E49" s="340"/>
      <c r="F49" s="340"/>
      <c r="G49" s="340"/>
      <c r="H49" s="340"/>
      <c r="I49" s="345"/>
      <c r="J49" s="343"/>
      <c r="K49" s="343"/>
      <c r="L49" s="343"/>
      <c r="M49" s="343"/>
      <c r="N49" s="344"/>
    </row>
    <row r="50" spans="2:14" ht="15" customHeight="1">
      <c r="B50" s="338"/>
      <c r="C50" s="340"/>
      <c r="D50" s="340"/>
      <c r="E50" s="340"/>
      <c r="F50" s="340"/>
      <c r="G50" s="340"/>
      <c r="H50" s="340"/>
      <c r="I50" s="345"/>
      <c r="J50" s="343"/>
      <c r="K50" s="343"/>
      <c r="L50" s="343"/>
      <c r="M50" s="343"/>
      <c r="N50" s="344"/>
    </row>
    <row r="51" spans="2:14" ht="15" customHeight="1">
      <c r="B51" s="338"/>
      <c r="C51" s="340"/>
      <c r="D51" s="340"/>
      <c r="E51" s="340"/>
      <c r="F51" s="340"/>
      <c r="G51" s="340"/>
      <c r="H51" s="340"/>
      <c r="I51" s="345"/>
      <c r="J51" s="343"/>
      <c r="K51" s="343"/>
      <c r="L51" s="343"/>
      <c r="M51" s="343"/>
      <c r="N51" s="344"/>
    </row>
    <row r="52" spans="2:14" ht="15" customHeight="1" thickBot="1">
      <c r="B52" s="347"/>
      <c r="C52" s="348"/>
      <c r="D52" s="348"/>
      <c r="E52" s="348"/>
      <c r="F52" s="348"/>
      <c r="G52" s="348"/>
      <c r="H52" s="348"/>
      <c r="I52" s="349"/>
      <c r="J52" s="350"/>
      <c r="K52" s="350"/>
      <c r="L52" s="350"/>
      <c r="M52" s="350"/>
      <c r="N52" s="351"/>
    </row>
    <row r="53" spans="2:14" ht="20.25" customHeight="1" thickBot="1">
      <c r="B53" s="919" t="s">
        <v>376</v>
      </c>
      <c r="C53" s="919"/>
      <c r="D53" s="919"/>
      <c r="E53" s="919"/>
      <c r="F53" s="919"/>
      <c r="G53" s="919"/>
      <c r="H53" s="919"/>
      <c r="I53" s="919"/>
      <c r="J53" s="919"/>
      <c r="K53" s="919"/>
      <c r="L53" s="919"/>
      <c r="M53" s="919"/>
      <c r="N53" s="919"/>
    </row>
    <row r="54" spans="2:14" ht="15" customHeight="1" thickBot="1">
      <c r="B54" s="352" t="s">
        <v>377</v>
      </c>
      <c r="C54" s="920" t="s">
        <v>374</v>
      </c>
      <c r="D54" s="921"/>
      <c r="E54" s="921"/>
      <c r="F54" s="921"/>
      <c r="G54" s="921"/>
      <c r="H54" s="353"/>
      <c r="I54" s="920" t="s">
        <v>369</v>
      </c>
      <c r="J54" s="921"/>
      <c r="K54" s="922"/>
      <c r="L54" s="920" t="s">
        <v>378</v>
      </c>
      <c r="M54" s="921"/>
      <c r="N54" s="923"/>
    </row>
    <row r="55" spans="2:14" ht="15" customHeight="1">
      <c r="B55" s="354"/>
      <c r="C55" s="909"/>
      <c r="D55" s="910"/>
      <c r="E55" s="910"/>
      <c r="F55" s="910"/>
      <c r="G55" s="910"/>
      <c r="H55" s="355"/>
      <c r="I55" s="911"/>
      <c r="J55" s="912"/>
      <c r="K55" s="913"/>
      <c r="L55" s="914"/>
      <c r="M55" s="915"/>
      <c r="N55" s="916"/>
    </row>
    <row r="56" spans="2:14" ht="15" customHeight="1">
      <c r="B56" s="356"/>
      <c r="C56" s="893"/>
      <c r="D56" s="894"/>
      <c r="E56" s="894"/>
      <c r="F56" s="894"/>
      <c r="G56" s="894"/>
      <c r="H56" s="357"/>
      <c r="I56" s="895"/>
      <c r="J56" s="896"/>
      <c r="K56" s="897"/>
      <c r="L56" s="898"/>
      <c r="M56" s="899"/>
      <c r="N56" s="900"/>
    </row>
    <row r="57" spans="2:14" ht="15" customHeight="1">
      <c r="B57" s="356"/>
      <c r="C57" s="893"/>
      <c r="D57" s="894"/>
      <c r="E57" s="894"/>
      <c r="F57" s="894"/>
      <c r="G57" s="894"/>
      <c r="H57" s="357"/>
      <c r="I57" s="895"/>
      <c r="J57" s="896"/>
      <c r="K57" s="897"/>
      <c r="L57" s="898"/>
      <c r="M57" s="899"/>
      <c r="N57" s="900"/>
    </row>
    <row r="58" spans="2:14" ht="15" customHeight="1">
      <c r="B58" s="356"/>
      <c r="C58" s="893"/>
      <c r="D58" s="894"/>
      <c r="E58" s="894"/>
      <c r="F58" s="894"/>
      <c r="G58" s="894"/>
      <c r="H58" s="357"/>
      <c r="I58" s="895"/>
      <c r="J58" s="896"/>
      <c r="K58" s="897"/>
      <c r="L58" s="898"/>
      <c r="M58" s="899"/>
      <c r="N58" s="900"/>
    </row>
    <row r="59" spans="2:14" ht="15" customHeight="1">
      <c r="B59" s="356"/>
      <c r="C59" s="893"/>
      <c r="D59" s="894"/>
      <c r="E59" s="894"/>
      <c r="F59" s="894"/>
      <c r="G59" s="894"/>
      <c r="H59" s="357"/>
      <c r="I59" s="895"/>
      <c r="J59" s="896"/>
      <c r="K59" s="897"/>
      <c r="L59" s="898"/>
      <c r="M59" s="899"/>
      <c r="N59" s="900"/>
    </row>
    <row r="60" spans="2:14" ht="15" customHeight="1">
      <c r="B60" s="356"/>
      <c r="C60" s="893"/>
      <c r="D60" s="894"/>
      <c r="E60" s="894"/>
      <c r="F60" s="894"/>
      <c r="G60" s="894"/>
      <c r="H60" s="357"/>
      <c r="I60" s="895"/>
      <c r="J60" s="896"/>
      <c r="K60" s="897"/>
      <c r="L60" s="898"/>
      <c r="M60" s="899"/>
      <c r="N60" s="900"/>
    </row>
    <row r="61" spans="2:14" ht="15" customHeight="1">
      <c r="B61" s="356"/>
      <c r="C61" s="893"/>
      <c r="D61" s="894"/>
      <c r="E61" s="894"/>
      <c r="F61" s="894"/>
      <c r="G61" s="894"/>
      <c r="H61" s="357"/>
      <c r="I61" s="895"/>
      <c r="J61" s="896"/>
      <c r="K61" s="897"/>
      <c r="L61" s="898"/>
      <c r="M61" s="899"/>
      <c r="N61" s="900"/>
    </row>
    <row r="62" spans="2:14" ht="15" customHeight="1">
      <c r="B62" s="356"/>
      <c r="C62" s="893"/>
      <c r="D62" s="894"/>
      <c r="E62" s="894"/>
      <c r="F62" s="894"/>
      <c r="G62" s="894"/>
      <c r="H62" s="357"/>
      <c r="I62" s="895"/>
      <c r="J62" s="896"/>
      <c r="K62" s="897"/>
      <c r="L62" s="898"/>
      <c r="M62" s="899"/>
      <c r="N62" s="900"/>
    </row>
    <row r="63" spans="2:14" ht="15" customHeight="1">
      <c r="B63" s="356"/>
      <c r="C63" s="893"/>
      <c r="D63" s="894"/>
      <c r="E63" s="894"/>
      <c r="F63" s="894"/>
      <c r="G63" s="894"/>
      <c r="H63" s="357"/>
      <c r="I63" s="895"/>
      <c r="J63" s="896"/>
      <c r="K63" s="897"/>
      <c r="L63" s="898"/>
      <c r="M63" s="899"/>
      <c r="N63" s="900"/>
    </row>
    <row r="64" spans="2:14" ht="15" customHeight="1">
      <c r="B64" s="356"/>
      <c r="C64" s="893"/>
      <c r="D64" s="894"/>
      <c r="E64" s="894"/>
      <c r="F64" s="894"/>
      <c r="G64" s="894"/>
      <c r="H64" s="357"/>
      <c r="I64" s="895"/>
      <c r="J64" s="896"/>
      <c r="K64" s="897"/>
      <c r="L64" s="898"/>
      <c r="M64" s="899"/>
      <c r="N64" s="900"/>
    </row>
    <row r="65" spans="2:14" ht="15" customHeight="1">
      <c r="B65" s="356"/>
      <c r="C65" s="893"/>
      <c r="D65" s="894"/>
      <c r="E65" s="894"/>
      <c r="F65" s="894"/>
      <c r="G65" s="894"/>
      <c r="H65" s="357"/>
      <c r="I65" s="895"/>
      <c r="J65" s="896"/>
      <c r="K65" s="897"/>
      <c r="L65" s="898"/>
      <c r="M65" s="899"/>
      <c r="N65" s="900"/>
    </row>
    <row r="66" spans="2:14" ht="15" customHeight="1">
      <c r="B66" s="356"/>
      <c r="C66" s="893"/>
      <c r="D66" s="894"/>
      <c r="E66" s="894"/>
      <c r="F66" s="894"/>
      <c r="G66" s="894"/>
      <c r="H66" s="357"/>
      <c r="I66" s="895"/>
      <c r="J66" s="896"/>
      <c r="K66" s="897"/>
      <c r="L66" s="898"/>
      <c r="M66" s="899"/>
      <c r="N66" s="900"/>
    </row>
    <row r="67" spans="2:14" ht="15" customHeight="1">
      <c r="B67" s="356"/>
      <c r="C67" s="893"/>
      <c r="D67" s="894"/>
      <c r="E67" s="894"/>
      <c r="F67" s="894"/>
      <c r="G67" s="894"/>
      <c r="H67" s="357"/>
      <c r="I67" s="895"/>
      <c r="J67" s="896"/>
      <c r="K67" s="897"/>
      <c r="L67" s="898"/>
      <c r="M67" s="899"/>
      <c r="N67" s="900"/>
    </row>
    <row r="68" spans="2:14" ht="15" customHeight="1">
      <c r="B68" s="356"/>
      <c r="C68" s="893"/>
      <c r="D68" s="894"/>
      <c r="E68" s="894"/>
      <c r="F68" s="894"/>
      <c r="G68" s="894"/>
      <c r="H68" s="357"/>
      <c r="I68" s="895"/>
      <c r="J68" s="896"/>
      <c r="K68" s="897"/>
      <c r="L68" s="898"/>
      <c r="M68" s="899"/>
      <c r="N68" s="900"/>
    </row>
    <row r="69" spans="2:14" ht="15" customHeight="1">
      <c r="B69" s="356"/>
      <c r="C69" s="893"/>
      <c r="D69" s="894"/>
      <c r="E69" s="894"/>
      <c r="F69" s="894"/>
      <c r="G69" s="894"/>
      <c r="H69" s="357"/>
      <c r="I69" s="895"/>
      <c r="J69" s="896"/>
      <c r="K69" s="897"/>
      <c r="L69" s="898"/>
      <c r="M69" s="899"/>
      <c r="N69" s="900"/>
    </row>
    <row r="70" spans="2:14" ht="15" customHeight="1">
      <c r="B70" s="356"/>
      <c r="C70" s="893"/>
      <c r="D70" s="894"/>
      <c r="E70" s="894"/>
      <c r="F70" s="894"/>
      <c r="G70" s="894"/>
      <c r="H70" s="357"/>
      <c r="I70" s="895"/>
      <c r="J70" s="896"/>
      <c r="K70" s="897"/>
      <c r="L70" s="898"/>
      <c r="M70" s="899"/>
      <c r="N70" s="900"/>
    </row>
    <row r="71" spans="2:14" ht="15" customHeight="1">
      <c r="B71" s="356"/>
      <c r="C71" s="893"/>
      <c r="D71" s="894"/>
      <c r="E71" s="894"/>
      <c r="F71" s="894"/>
      <c r="G71" s="894"/>
      <c r="H71" s="357"/>
      <c r="I71" s="895"/>
      <c r="J71" s="896"/>
      <c r="K71" s="897"/>
      <c r="L71" s="898"/>
      <c r="M71" s="899"/>
      <c r="N71" s="900"/>
    </row>
    <row r="72" spans="2:14">
      <c r="B72" s="356"/>
      <c r="C72" s="893"/>
      <c r="D72" s="894"/>
      <c r="E72" s="894"/>
      <c r="F72" s="894"/>
      <c r="G72" s="894"/>
      <c r="H72" s="357"/>
      <c r="I72" s="895"/>
      <c r="J72" s="896"/>
      <c r="K72" s="897"/>
      <c r="L72" s="898"/>
      <c r="M72" s="899"/>
      <c r="N72" s="900"/>
    </row>
    <row r="73" spans="2:14">
      <c r="B73" s="356"/>
      <c r="C73" s="893"/>
      <c r="D73" s="894"/>
      <c r="E73" s="894"/>
      <c r="F73" s="894"/>
      <c r="G73" s="894"/>
      <c r="H73" s="357"/>
      <c r="I73" s="895"/>
      <c r="J73" s="896"/>
      <c r="K73" s="897"/>
      <c r="L73" s="898"/>
      <c r="M73" s="899"/>
      <c r="N73" s="900"/>
    </row>
    <row r="74" spans="2:14">
      <c r="B74" s="356"/>
      <c r="C74" s="893"/>
      <c r="D74" s="894"/>
      <c r="E74" s="894"/>
      <c r="F74" s="894"/>
      <c r="G74" s="894"/>
      <c r="H74" s="357"/>
      <c r="I74" s="895"/>
      <c r="J74" s="896"/>
      <c r="K74" s="897"/>
      <c r="L74" s="898"/>
      <c r="M74" s="899"/>
      <c r="N74" s="900"/>
    </row>
    <row r="75" spans="2:14">
      <c r="B75" s="356"/>
      <c r="C75" s="893"/>
      <c r="D75" s="894"/>
      <c r="E75" s="894"/>
      <c r="F75" s="894"/>
      <c r="G75" s="894"/>
      <c r="H75" s="357"/>
      <c r="I75" s="895"/>
      <c r="J75" s="896"/>
      <c r="K75" s="897"/>
      <c r="L75" s="898"/>
      <c r="M75" s="899"/>
      <c r="N75" s="900"/>
    </row>
    <row r="76" spans="2:14">
      <c r="B76" s="356"/>
      <c r="C76" s="893"/>
      <c r="D76" s="894"/>
      <c r="E76" s="894"/>
      <c r="F76" s="894"/>
      <c r="G76" s="894"/>
      <c r="H76" s="357"/>
      <c r="I76" s="895"/>
      <c r="J76" s="896"/>
      <c r="K76" s="897"/>
      <c r="L76" s="898"/>
      <c r="M76" s="899"/>
      <c r="N76" s="900"/>
    </row>
    <row r="77" spans="2:14">
      <c r="B77" s="356"/>
      <c r="C77" s="893"/>
      <c r="D77" s="894"/>
      <c r="E77" s="894"/>
      <c r="F77" s="894"/>
      <c r="G77" s="894"/>
      <c r="H77" s="357"/>
      <c r="I77" s="895"/>
      <c r="J77" s="896"/>
      <c r="K77" s="897"/>
      <c r="L77" s="898"/>
      <c r="M77" s="899"/>
      <c r="N77" s="900"/>
    </row>
    <row r="78" spans="2:14">
      <c r="B78" s="356"/>
      <c r="C78" s="893"/>
      <c r="D78" s="894"/>
      <c r="E78" s="894"/>
      <c r="F78" s="894"/>
      <c r="G78" s="894"/>
      <c r="H78" s="357"/>
      <c r="I78" s="895"/>
      <c r="J78" s="896"/>
      <c r="K78" s="897"/>
      <c r="L78" s="898"/>
      <c r="M78" s="899"/>
      <c r="N78" s="900"/>
    </row>
    <row r="79" spans="2:14" ht="13.5" thickBot="1">
      <c r="B79" s="358"/>
      <c r="C79" s="901"/>
      <c r="D79" s="902"/>
      <c r="E79" s="902"/>
      <c r="F79" s="902"/>
      <c r="G79" s="902"/>
      <c r="H79" s="359"/>
      <c r="I79" s="903"/>
      <c r="J79" s="904"/>
      <c r="K79" s="905"/>
      <c r="L79" s="906"/>
      <c r="M79" s="907"/>
      <c r="N79" s="908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topLeftCell="A10" workbookViewId="0">
      <selection activeCell="J35" sqref="J35"/>
    </sheetView>
  </sheetViews>
  <sheetFormatPr defaultColWidth="9.140625" defaultRowHeight="12.75"/>
  <cols>
    <col min="1" max="1" width="19.7109375" style="380" customWidth="1"/>
    <col min="2" max="7" width="10.7109375" style="380" customWidth="1"/>
    <col min="8" max="16384" width="9.140625" style="380"/>
  </cols>
  <sheetData>
    <row r="1" spans="1:12" ht="21" customHeight="1">
      <c r="A1" s="379" t="s">
        <v>402</v>
      </c>
      <c r="B1" s="933" t="s">
        <v>441</v>
      </c>
      <c r="C1" s="933"/>
      <c r="D1" s="933"/>
      <c r="E1" s="933"/>
      <c r="F1" s="933"/>
      <c r="G1" s="933"/>
    </row>
    <row r="2" spans="1:12" ht="15" customHeight="1"/>
    <row r="3" spans="1:12" ht="20.25">
      <c r="A3" s="381" t="s">
        <v>403</v>
      </c>
    </row>
    <row r="4" spans="1:12" ht="12" customHeight="1">
      <c r="A4" s="382"/>
      <c r="B4" s="382"/>
      <c r="C4" s="382"/>
      <c r="D4" s="382" t="s">
        <v>455</v>
      </c>
      <c r="E4" s="382"/>
      <c r="F4" s="382"/>
      <c r="G4" s="382"/>
      <c r="H4" s="382"/>
      <c r="I4" s="382"/>
      <c r="J4" s="382"/>
      <c r="K4" s="382"/>
      <c r="L4" s="382"/>
    </row>
    <row r="5" spans="1:12" ht="15.6" customHeight="1">
      <c r="A5" s="383" t="s">
        <v>5</v>
      </c>
      <c r="B5" s="383" t="s">
        <v>404</v>
      </c>
      <c r="C5" s="383" t="s">
        <v>405</v>
      </c>
      <c r="D5" s="383" t="s">
        <v>406</v>
      </c>
      <c r="E5" s="383" t="s">
        <v>407</v>
      </c>
      <c r="F5" s="383" t="s">
        <v>408</v>
      </c>
      <c r="G5" s="383" t="s">
        <v>409</v>
      </c>
      <c r="H5" s="382"/>
      <c r="I5" s="382"/>
      <c r="J5" s="382"/>
      <c r="K5" s="382"/>
      <c r="L5" s="382"/>
    </row>
    <row r="6" spans="1:12" ht="15.6" customHeight="1">
      <c r="A6" s="384" t="s">
        <v>410</v>
      </c>
      <c r="B6" s="384" t="s">
        <v>165</v>
      </c>
      <c r="C6" s="384" t="s">
        <v>165</v>
      </c>
      <c r="D6" s="384" t="s">
        <v>411</v>
      </c>
      <c r="E6" s="384" t="s">
        <v>135</v>
      </c>
      <c r="F6" s="384" t="s">
        <v>412</v>
      </c>
      <c r="G6" s="384" t="s">
        <v>412</v>
      </c>
      <c r="H6" s="382"/>
      <c r="I6" s="382"/>
      <c r="J6" s="382"/>
      <c r="K6" s="382"/>
      <c r="L6" s="382"/>
    </row>
    <row r="7" spans="1:12" ht="15.95" customHeight="1">
      <c r="A7" s="385" t="s">
        <v>442</v>
      </c>
      <c r="B7" s="385" t="s">
        <v>456</v>
      </c>
      <c r="C7" s="385" t="s">
        <v>463</v>
      </c>
      <c r="D7" s="385" t="s">
        <v>475</v>
      </c>
      <c r="E7" s="385" t="s">
        <v>487</v>
      </c>
      <c r="F7" s="385" t="s">
        <v>499</v>
      </c>
      <c r="G7" s="385" t="s">
        <v>511</v>
      </c>
      <c r="H7" s="382"/>
      <c r="I7" s="382"/>
      <c r="J7" s="382"/>
      <c r="K7" s="382"/>
      <c r="L7" s="382"/>
    </row>
    <row r="8" spans="1:12" ht="15.95" customHeight="1">
      <c r="A8" s="385" t="s">
        <v>443</v>
      </c>
      <c r="B8" s="385" t="s">
        <v>456</v>
      </c>
      <c r="C8" s="385" t="s">
        <v>464</v>
      </c>
      <c r="D8" s="385" t="s">
        <v>476</v>
      </c>
      <c r="E8" s="385" t="s">
        <v>488</v>
      </c>
      <c r="F8" s="385" t="s">
        <v>500</v>
      </c>
      <c r="G8" s="385" t="s">
        <v>512</v>
      </c>
      <c r="H8" s="382"/>
      <c r="I8" s="382"/>
      <c r="J8" s="382"/>
      <c r="K8" s="382"/>
      <c r="L8" s="382"/>
    </row>
    <row r="9" spans="1:12" ht="15.95" customHeight="1">
      <c r="A9" s="385" t="s">
        <v>444</v>
      </c>
      <c r="B9" s="385" t="s">
        <v>456</v>
      </c>
      <c r="C9" s="385" t="s">
        <v>465</v>
      </c>
      <c r="D9" s="385" t="s">
        <v>477</v>
      </c>
      <c r="E9" s="385" t="s">
        <v>489</v>
      </c>
      <c r="F9" s="385" t="s">
        <v>501</v>
      </c>
      <c r="G9" s="385" t="s">
        <v>513</v>
      </c>
      <c r="H9" s="382"/>
      <c r="I9" s="382"/>
      <c r="J9" s="382"/>
      <c r="K9" s="382"/>
      <c r="L9" s="382"/>
    </row>
    <row r="10" spans="1:12" ht="15.95" customHeight="1">
      <c r="A10" s="385" t="s">
        <v>445</v>
      </c>
      <c r="B10" s="385" t="s">
        <v>456</v>
      </c>
      <c r="C10" s="385" t="s">
        <v>466</v>
      </c>
      <c r="D10" s="385" t="s">
        <v>478</v>
      </c>
      <c r="E10" s="385" t="s">
        <v>490</v>
      </c>
      <c r="F10" s="385" t="s">
        <v>502</v>
      </c>
      <c r="G10" s="385" t="s">
        <v>514</v>
      </c>
      <c r="H10" s="382"/>
      <c r="I10" s="382"/>
      <c r="J10" s="382"/>
      <c r="K10" s="382"/>
      <c r="L10" s="382"/>
    </row>
    <row r="11" spans="1:12" ht="15.95" customHeight="1">
      <c r="A11" s="385" t="s">
        <v>446</v>
      </c>
      <c r="B11" s="385" t="s">
        <v>456</v>
      </c>
      <c r="C11" s="385" t="s">
        <v>467</v>
      </c>
      <c r="D11" s="385" t="s">
        <v>479</v>
      </c>
      <c r="E11" s="385" t="s">
        <v>491</v>
      </c>
      <c r="F11" s="385" t="s">
        <v>503</v>
      </c>
      <c r="G11" s="385" t="s">
        <v>515</v>
      </c>
      <c r="H11" s="382"/>
      <c r="I11" s="382"/>
      <c r="J11" s="382"/>
      <c r="K11" s="382"/>
      <c r="L11" s="382"/>
    </row>
    <row r="12" spans="1:12" ht="15.95" customHeight="1">
      <c r="A12" s="385" t="s">
        <v>447</v>
      </c>
      <c r="B12" s="385" t="s">
        <v>456</v>
      </c>
      <c r="C12" s="385" t="s">
        <v>468</v>
      </c>
      <c r="D12" s="385" t="s">
        <v>480</v>
      </c>
      <c r="E12" s="385" t="s">
        <v>492</v>
      </c>
      <c r="F12" s="385" t="s">
        <v>504</v>
      </c>
      <c r="G12" s="385" t="s">
        <v>516</v>
      </c>
      <c r="H12" s="382"/>
      <c r="I12" s="382"/>
      <c r="J12" s="382"/>
      <c r="K12" s="382"/>
      <c r="L12" s="382"/>
    </row>
    <row r="13" spans="1:12" ht="15.95" customHeight="1">
      <c r="A13" s="385" t="s">
        <v>448</v>
      </c>
      <c r="B13" s="385" t="s">
        <v>457</v>
      </c>
      <c r="C13" s="385" t="s">
        <v>469</v>
      </c>
      <c r="D13" s="385" t="s">
        <v>481</v>
      </c>
      <c r="E13" s="385" t="s">
        <v>493</v>
      </c>
      <c r="F13" s="385" t="s">
        <v>505</v>
      </c>
      <c r="G13" s="385" t="s">
        <v>517</v>
      </c>
      <c r="H13" s="382"/>
      <c r="I13" s="382"/>
      <c r="J13" s="382"/>
      <c r="K13" s="382"/>
      <c r="L13" s="382"/>
    </row>
    <row r="14" spans="1:12" ht="15.95" customHeight="1">
      <c r="A14" s="385" t="s">
        <v>449</v>
      </c>
      <c r="B14" s="385" t="s">
        <v>458</v>
      </c>
      <c r="C14" s="385" t="s">
        <v>470</v>
      </c>
      <c r="D14" s="385" t="s">
        <v>482</v>
      </c>
      <c r="E14" s="385" t="s">
        <v>494</v>
      </c>
      <c r="F14" s="385" t="s">
        <v>506</v>
      </c>
      <c r="G14" s="385" t="s">
        <v>518</v>
      </c>
      <c r="H14" s="382"/>
      <c r="I14" s="382"/>
      <c r="J14" s="382"/>
      <c r="K14" s="382"/>
      <c r="L14" s="382"/>
    </row>
    <row r="15" spans="1:12" ht="15.95" customHeight="1">
      <c r="A15" s="385" t="s">
        <v>450</v>
      </c>
      <c r="B15" s="385" t="s">
        <v>459</v>
      </c>
      <c r="C15" s="385" t="s">
        <v>471</v>
      </c>
      <c r="D15" s="385" t="s">
        <v>483</v>
      </c>
      <c r="E15" s="385" t="s">
        <v>495</v>
      </c>
      <c r="F15" s="385" t="s">
        <v>507</v>
      </c>
      <c r="G15" s="385" t="s">
        <v>519</v>
      </c>
      <c r="H15" s="382"/>
      <c r="I15" s="382"/>
      <c r="J15" s="382"/>
      <c r="K15" s="382"/>
      <c r="L15" s="382"/>
    </row>
    <row r="16" spans="1:12" ht="15.95" customHeight="1">
      <c r="A16" s="385" t="s">
        <v>451</v>
      </c>
      <c r="B16" s="385" t="s">
        <v>460</v>
      </c>
      <c r="C16" s="385" t="s">
        <v>472</v>
      </c>
      <c r="D16" s="385" t="s">
        <v>484</v>
      </c>
      <c r="E16" s="385" t="s">
        <v>496</v>
      </c>
      <c r="F16" s="385" t="s">
        <v>508</v>
      </c>
      <c r="G16" s="385" t="s">
        <v>520</v>
      </c>
      <c r="H16" s="382"/>
      <c r="I16" s="382"/>
      <c r="J16" s="382"/>
      <c r="K16" s="382"/>
      <c r="L16" s="382"/>
    </row>
    <row r="17" spans="1:12" ht="15.95" customHeight="1">
      <c r="A17" s="385" t="s">
        <v>452</v>
      </c>
      <c r="B17" s="385" t="s">
        <v>461</v>
      </c>
      <c r="C17" s="385" t="s">
        <v>473</v>
      </c>
      <c r="D17" s="385" t="s">
        <v>485</v>
      </c>
      <c r="E17" s="385" t="s">
        <v>497</v>
      </c>
      <c r="F17" s="385" t="s">
        <v>509</v>
      </c>
      <c r="G17" s="385" t="s">
        <v>521</v>
      </c>
      <c r="H17" s="382"/>
      <c r="I17" s="382"/>
      <c r="J17" s="382"/>
      <c r="K17" s="382"/>
      <c r="L17" s="382"/>
    </row>
    <row r="18" spans="1:12" ht="15.95" customHeight="1">
      <c r="A18" s="385" t="s">
        <v>453</v>
      </c>
      <c r="B18" s="385" t="s">
        <v>462</v>
      </c>
      <c r="C18" s="385" t="s">
        <v>474</v>
      </c>
      <c r="D18" s="385" t="s">
        <v>486</v>
      </c>
      <c r="E18" s="385" t="s">
        <v>498</v>
      </c>
      <c r="F18" s="385" t="s">
        <v>510</v>
      </c>
      <c r="G18" s="385" t="s">
        <v>522</v>
      </c>
      <c r="H18" s="382"/>
      <c r="I18" s="382"/>
      <c r="J18" s="382"/>
      <c r="K18" s="382"/>
      <c r="L18" s="382"/>
    </row>
    <row r="19" spans="1:12" ht="15.95" customHeight="1">
      <c r="A19" s="392" t="s">
        <v>454</v>
      </c>
      <c r="B19" s="392" t="s">
        <v>454</v>
      </c>
      <c r="C19" s="392" t="s">
        <v>454</v>
      </c>
      <c r="D19" s="392" t="s">
        <v>454</v>
      </c>
      <c r="E19" s="392" t="s">
        <v>454</v>
      </c>
      <c r="F19" s="392" t="s">
        <v>454</v>
      </c>
      <c r="G19" s="392" t="s">
        <v>454</v>
      </c>
      <c r="H19" s="382"/>
      <c r="I19" s="382"/>
      <c r="J19" s="382"/>
      <c r="K19" s="382"/>
      <c r="L19" s="382"/>
    </row>
    <row r="20" spans="1:12" ht="15.75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</row>
    <row r="21" spans="1:12" ht="15.75">
      <c r="A21" s="382"/>
      <c r="B21" s="382"/>
      <c r="C21" s="382"/>
      <c r="D21" s="934" t="s">
        <v>532</v>
      </c>
      <c r="E21" s="930"/>
      <c r="F21" s="930"/>
      <c r="G21" s="931"/>
      <c r="H21" s="382"/>
      <c r="I21" s="382"/>
      <c r="J21" s="382"/>
      <c r="K21" s="382"/>
      <c r="L21" s="382"/>
    </row>
    <row r="22" spans="1:12" ht="17.25" customHeight="1">
      <c r="A22" s="382"/>
      <c r="B22" s="932" t="s">
        <v>413</v>
      </c>
      <c r="C22" s="932"/>
      <c r="D22" s="932" t="s">
        <v>414</v>
      </c>
      <c r="E22" s="932"/>
      <c r="F22" s="932" t="s">
        <v>415</v>
      </c>
      <c r="G22" s="932"/>
      <c r="H22" s="382"/>
      <c r="I22" s="382"/>
      <c r="J22" s="382"/>
      <c r="K22" s="382"/>
      <c r="L22" s="382"/>
    </row>
    <row r="23" spans="1:12" ht="15.75">
      <c r="A23" s="386" t="s">
        <v>416</v>
      </c>
      <c r="B23" s="928" t="s">
        <v>523</v>
      </c>
      <c r="C23" s="928"/>
      <c r="D23" s="928" t="s">
        <v>526</v>
      </c>
      <c r="E23" s="928"/>
      <c r="F23" s="928" t="s">
        <v>529</v>
      </c>
      <c r="G23" s="928"/>
      <c r="H23" s="382"/>
      <c r="I23" s="382"/>
      <c r="J23" s="382"/>
      <c r="K23" s="382"/>
      <c r="L23" s="382"/>
    </row>
    <row r="24" spans="1:12" ht="18" customHeight="1">
      <c r="A24" s="386" t="s">
        <v>417</v>
      </c>
      <c r="B24" s="928" t="s">
        <v>524</v>
      </c>
      <c r="C24" s="928"/>
      <c r="D24" s="928" t="s">
        <v>527</v>
      </c>
      <c r="E24" s="928"/>
      <c r="F24" s="928" t="s">
        <v>530</v>
      </c>
      <c r="G24" s="928"/>
      <c r="H24" s="382"/>
      <c r="I24" s="382"/>
      <c r="J24" s="382"/>
      <c r="K24" s="382"/>
      <c r="L24" s="382"/>
    </row>
    <row r="25" spans="1:12" ht="15.75">
      <c r="A25" s="386" t="s">
        <v>418</v>
      </c>
      <c r="B25" s="928" t="s">
        <v>525</v>
      </c>
      <c r="C25" s="928"/>
      <c r="D25" s="928" t="s">
        <v>528</v>
      </c>
      <c r="E25" s="928"/>
      <c r="F25" s="928" t="s">
        <v>531</v>
      </c>
      <c r="G25" s="928"/>
      <c r="H25" s="382"/>
      <c r="I25" s="382"/>
      <c r="J25" s="382"/>
      <c r="K25" s="382"/>
      <c r="L25" s="382"/>
    </row>
    <row r="26" spans="1:12" ht="15.75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382"/>
    </row>
    <row r="27" spans="1:12" ht="20.25">
      <c r="A27" s="381" t="s">
        <v>419</v>
      </c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382"/>
    </row>
    <row r="28" spans="1:12" ht="15.75">
      <c r="A28" s="382"/>
      <c r="B28" s="382"/>
      <c r="C28" s="382"/>
      <c r="D28" s="382"/>
      <c r="E28" s="929" t="s">
        <v>420</v>
      </c>
      <c r="F28" s="930"/>
      <c r="G28" s="931"/>
      <c r="H28" s="382"/>
      <c r="I28" s="382"/>
      <c r="J28" s="382"/>
      <c r="K28" s="382"/>
      <c r="L28" s="382"/>
    </row>
    <row r="29" spans="1:12" ht="15.75">
      <c r="A29" s="382"/>
      <c r="B29" s="932" t="s">
        <v>421</v>
      </c>
      <c r="C29" s="932"/>
      <c r="D29" s="387" t="s">
        <v>422</v>
      </c>
      <c r="E29" s="387" t="s">
        <v>423</v>
      </c>
      <c r="F29" s="932" t="s">
        <v>424</v>
      </c>
      <c r="G29" s="932"/>
      <c r="H29" s="382"/>
      <c r="I29" s="382"/>
      <c r="J29" s="382"/>
      <c r="K29" s="382"/>
      <c r="L29" s="382"/>
    </row>
    <row r="30" spans="1:12" ht="15.75">
      <c r="A30" s="386" t="s">
        <v>425</v>
      </c>
      <c r="B30" s="928" t="s">
        <v>568</v>
      </c>
      <c r="C30" s="928"/>
      <c r="D30" s="385" t="s">
        <v>569</v>
      </c>
      <c r="E30" s="385" t="s">
        <v>426</v>
      </c>
      <c r="F30" s="928" t="s">
        <v>570</v>
      </c>
      <c r="G30" s="928"/>
      <c r="H30" s="382"/>
      <c r="I30" s="382"/>
      <c r="J30" s="382"/>
      <c r="K30" s="382"/>
      <c r="L30" s="382"/>
    </row>
    <row r="31" spans="1:12" ht="15.75">
      <c r="A31" s="386" t="s">
        <v>427</v>
      </c>
      <c r="B31" s="928" t="s">
        <v>533</v>
      </c>
      <c r="C31" s="928"/>
      <c r="D31" s="385" t="s">
        <v>535</v>
      </c>
      <c r="E31" s="385" t="s">
        <v>428</v>
      </c>
      <c r="F31" s="928" t="s">
        <v>537</v>
      </c>
      <c r="G31" s="928"/>
      <c r="H31" s="382"/>
      <c r="I31" s="382"/>
      <c r="J31" s="382"/>
      <c r="K31" s="382"/>
      <c r="L31" s="382"/>
    </row>
    <row r="32" spans="1:12" ht="15.75">
      <c r="A32" s="386" t="s">
        <v>429</v>
      </c>
      <c r="B32" s="928" t="s">
        <v>534</v>
      </c>
      <c r="C32" s="928"/>
      <c r="D32" s="385" t="s">
        <v>536</v>
      </c>
      <c r="E32" s="385" t="s">
        <v>430</v>
      </c>
      <c r="F32" s="928" t="s">
        <v>538</v>
      </c>
      <c r="G32" s="928"/>
      <c r="H32" s="382"/>
      <c r="I32" s="382"/>
      <c r="J32" s="382"/>
      <c r="K32" s="382"/>
      <c r="L32" s="382"/>
    </row>
    <row r="33" spans="1:12" ht="15.75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382"/>
    </row>
    <row r="34" spans="1:12" ht="15.75">
      <c r="A34" s="382"/>
      <c r="B34" s="382"/>
      <c r="C34" s="382"/>
      <c r="D34" s="382"/>
      <c r="E34" s="929" t="s">
        <v>431</v>
      </c>
      <c r="F34" s="930"/>
      <c r="G34" s="931"/>
      <c r="H34" s="382"/>
      <c r="I34" s="382"/>
      <c r="J34" s="382"/>
      <c r="K34" s="382"/>
      <c r="L34" s="382"/>
    </row>
    <row r="35" spans="1:12" ht="15.75">
      <c r="A35" s="382"/>
      <c r="B35" s="932" t="s">
        <v>432</v>
      </c>
      <c r="C35" s="932"/>
      <c r="D35" s="387" t="s">
        <v>423</v>
      </c>
      <c r="E35" s="387" t="s">
        <v>433</v>
      </c>
      <c r="F35" s="387" t="s">
        <v>100</v>
      </c>
      <c r="G35" s="387" t="s">
        <v>434</v>
      </c>
      <c r="H35" s="382"/>
      <c r="I35" s="382"/>
      <c r="J35" s="382"/>
      <c r="K35" s="382"/>
      <c r="L35" s="382"/>
    </row>
    <row r="36" spans="1:12" ht="15.75">
      <c r="A36" s="386" t="s">
        <v>425</v>
      </c>
      <c r="B36" s="924" t="s">
        <v>571</v>
      </c>
      <c r="C36" s="925"/>
      <c r="D36" s="388" t="s">
        <v>573</v>
      </c>
      <c r="E36" s="388" t="s">
        <v>435</v>
      </c>
      <c r="F36" s="389" t="s">
        <v>436</v>
      </c>
      <c r="G36" s="385" t="s">
        <v>576</v>
      </c>
      <c r="H36" s="382"/>
      <c r="I36" s="382"/>
      <c r="J36" s="382"/>
      <c r="K36" s="382"/>
      <c r="L36" s="382"/>
    </row>
    <row r="37" spans="1:12" ht="15.75">
      <c r="A37" s="386" t="s">
        <v>427</v>
      </c>
      <c r="B37" s="924" t="s">
        <v>572</v>
      </c>
      <c r="C37" s="925"/>
      <c r="D37" s="388" t="s">
        <v>574</v>
      </c>
      <c r="E37" s="388" t="s">
        <v>435</v>
      </c>
      <c r="F37" s="389" t="s">
        <v>437</v>
      </c>
      <c r="G37" s="390" t="s">
        <v>577</v>
      </c>
      <c r="H37" s="382"/>
      <c r="I37" s="382"/>
      <c r="J37" s="382"/>
      <c r="K37" s="382"/>
      <c r="L37" s="382"/>
    </row>
    <row r="38" spans="1:12" ht="15.75">
      <c r="A38" s="386" t="s">
        <v>429</v>
      </c>
      <c r="B38" s="924" t="s">
        <v>572</v>
      </c>
      <c r="C38" s="925"/>
      <c r="D38" s="388" t="s">
        <v>575</v>
      </c>
      <c r="E38" s="388" t="s">
        <v>435</v>
      </c>
      <c r="F38" s="389" t="s">
        <v>438</v>
      </c>
      <c r="G38" s="385" t="s">
        <v>578</v>
      </c>
      <c r="H38" s="382"/>
      <c r="I38" s="382"/>
      <c r="J38" s="382"/>
      <c r="K38" s="382"/>
      <c r="L38" s="382"/>
    </row>
    <row r="39" spans="1:12" ht="15.75">
      <c r="A39" s="382"/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</row>
    <row r="40" spans="1:12" ht="15.75">
      <c r="A40" s="391" t="s">
        <v>439</v>
      </c>
      <c r="B40" s="926" t="s">
        <v>539</v>
      </c>
      <c r="C40" s="926"/>
      <c r="D40" s="927" t="s">
        <v>440</v>
      </c>
      <c r="E40" s="927"/>
      <c r="F40" s="926" t="s">
        <v>579</v>
      </c>
      <c r="G40" s="926"/>
      <c r="H40" s="382"/>
      <c r="I40" s="382"/>
      <c r="J40" s="382"/>
      <c r="K40" s="382"/>
      <c r="L40" s="382"/>
    </row>
    <row r="41" spans="1:12" ht="15.75">
      <c r="A41" s="382"/>
      <c r="B41" s="382"/>
      <c r="C41" s="382"/>
      <c r="D41" s="382"/>
      <c r="E41" s="382"/>
      <c r="F41" s="382"/>
      <c r="G41" s="382"/>
      <c r="H41" s="382"/>
      <c r="I41" s="382"/>
      <c r="J41" s="382"/>
      <c r="K41" s="382"/>
      <c r="L41" s="382"/>
    </row>
    <row r="42" spans="1:12" ht="15.75">
      <c r="A42" s="382"/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</row>
    <row r="43" spans="1:12" ht="15.75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2"/>
    </row>
    <row r="44" spans="1:12" ht="15.75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</row>
    <row r="45" spans="1:12" ht="15.75">
      <c r="A45" s="382"/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2"/>
    </row>
    <row r="46" spans="1:12" ht="15.75">
      <c r="A46" s="382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</row>
    <row r="47" spans="1:12" ht="15.75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2"/>
    </row>
    <row r="48" spans="1:12" ht="15.75">
      <c r="A48" s="382"/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</row>
    <row r="49" spans="1:12" ht="15.75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</row>
    <row r="50" spans="1:12" ht="15.75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2"/>
    </row>
    <row r="51" spans="1:12" ht="15.75">
      <c r="A51" s="382"/>
      <c r="B51" s="382"/>
      <c r="C51" s="382"/>
      <c r="D51" s="382"/>
      <c r="E51" s="382"/>
      <c r="F51" s="382"/>
      <c r="G51" s="382"/>
      <c r="H51" s="382"/>
      <c r="I51" s="382"/>
      <c r="J51" s="382"/>
      <c r="K51" s="382"/>
      <c r="L51" s="382"/>
    </row>
    <row r="52" spans="1:12" ht="15.75">
      <c r="A52" s="382"/>
      <c r="B52" s="382"/>
      <c r="C52" s="382"/>
      <c r="D52" s="382"/>
      <c r="E52" s="382"/>
      <c r="F52" s="382"/>
      <c r="G52" s="382"/>
      <c r="H52" s="382"/>
      <c r="I52" s="382"/>
      <c r="J52" s="382"/>
      <c r="K52" s="382"/>
      <c r="L52" s="382"/>
    </row>
    <row r="53" spans="1:12" ht="15.75">
      <c r="A53" s="382"/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2"/>
    </row>
    <row r="54" spans="1:12" ht="15.75">
      <c r="A54" s="382"/>
      <c r="B54" s="382"/>
      <c r="C54" s="382"/>
      <c r="D54" s="382"/>
      <c r="E54" s="382"/>
      <c r="F54" s="382"/>
      <c r="G54" s="382"/>
      <c r="H54" s="382"/>
      <c r="I54" s="382"/>
      <c r="J54" s="382"/>
      <c r="K54" s="382"/>
      <c r="L54" s="382"/>
    </row>
    <row r="55" spans="1:12" ht="15.75">
      <c r="A55" s="382"/>
      <c r="B55" s="382"/>
      <c r="C55" s="382"/>
      <c r="D55" s="382"/>
      <c r="E55" s="382"/>
      <c r="F55" s="382"/>
      <c r="G55" s="382"/>
      <c r="H55" s="382"/>
      <c r="I55" s="382"/>
      <c r="J55" s="382"/>
      <c r="K55" s="382"/>
      <c r="L55" s="382"/>
    </row>
    <row r="56" spans="1:12" ht="15.75">
      <c r="A56" s="382"/>
      <c r="B56" s="382"/>
      <c r="C56" s="382"/>
      <c r="D56" s="382"/>
      <c r="E56" s="382"/>
      <c r="F56" s="382"/>
      <c r="G56" s="382"/>
      <c r="H56" s="382"/>
      <c r="I56" s="382"/>
      <c r="J56" s="382"/>
      <c r="K56" s="382"/>
      <c r="L56" s="382"/>
    </row>
    <row r="57" spans="1:12" ht="15.75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</row>
    <row r="60" spans="1:12" ht="15.75">
      <c r="A60" s="382"/>
      <c r="B60" s="382"/>
      <c r="C60" s="382"/>
      <c r="D60" s="382"/>
      <c r="E60" s="382"/>
      <c r="F60" s="382"/>
      <c r="G60" s="382"/>
      <c r="H60" s="382"/>
      <c r="I60" s="382"/>
      <c r="J60" s="382"/>
      <c r="K60" s="382"/>
      <c r="L60" s="382"/>
    </row>
    <row r="61" spans="1:12" ht="15.75">
      <c r="A61" s="382"/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3" transitionEvaluation="1"/>
  <dimension ref="A1:N120"/>
  <sheetViews>
    <sheetView showGridLines="0" topLeftCell="A3" zoomScaleNormal="100" workbookViewId="0">
      <selection activeCell="D22" sqref="D22"/>
    </sheetView>
  </sheetViews>
  <sheetFormatPr defaultColWidth="12.5703125" defaultRowHeight="15.75"/>
  <cols>
    <col min="1" max="3" width="7" style="453" customWidth="1"/>
    <col min="4" max="4" width="9.7109375" style="453" customWidth="1"/>
    <col min="5" max="5" width="7" style="453" customWidth="1"/>
    <col min="6" max="6" width="8.5703125" style="453" customWidth="1"/>
    <col min="7" max="13" width="7" style="453" customWidth="1"/>
    <col min="14" max="14" width="7.140625" style="453" customWidth="1"/>
    <col min="15" max="16384" width="12.5703125" style="453"/>
  </cols>
  <sheetData>
    <row r="1" spans="1:14" ht="17.100000000000001" customHeight="1">
      <c r="A1" s="446" t="s">
        <v>268</v>
      </c>
      <c r="B1" s="447"/>
      <c r="C1" s="447"/>
      <c r="D1" s="447"/>
      <c r="E1" s="447"/>
      <c r="F1" s="447"/>
      <c r="G1" s="447"/>
      <c r="H1" s="447"/>
      <c r="I1" s="447"/>
      <c r="J1" s="448" t="s">
        <v>587</v>
      </c>
      <c r="K1" s="449"/>
      <c r="L1" s="450" t="s">
        <v>588</v>
      </c>
      <c r="M1" s="451"/>
      <c r="N1" s="452"/>
    </row>
    <row r="2" spans="1:14" ht="17.100000000000001" customHeight="1">
      <c r="A2" s="454" t="s">
        <v>589</v>
      </c>
      <c r="B2" s="455"/>
      <c r="C2" s="455"/>
      <c r="D2" s="455"/>
      <c r="E2" s="455"/>
      <c r="F2" s="455"/>
      <c r="G2" s="455"/>
      <c r="H2" s="455"/>
      <c r="I2" s="455"/>
      <c r="J2" s="456" t="s">
        <v>590</v>
      </c>
      <c r="K2" s="457"/>
      <c r="L2" s="458" t="s">
        <v>591</v>
      </c>
      <c r="M2" s="459"/>
      <c r="N2" s="452"/>
    </row>
    <row r="3" spans="1:14" ht="15.95" customHeight="1">
      <c r="A3" s="460"/>
      <c r="B3" s="461"/>
      <c r="C3" s="461"/>
      <c r="D3" s="461"/>
      <c r="E3" s="461"/>
      <c r="F3" s="461"/>
      <c r="G3" s="461"/>
      <c r="H3" s="461"/>
      <c r="I3" s="461"/>
      <c r="J3" s="456" t="s">
        <v>592</v>
      </c>
      <c r="K3" s="457"/>
      <c r="L3" s="462" t="s">
        <v>593</v>
      </c>
      <c r="M3" s="459"/>
      <c r="N3" s="452"/>
    </row>
    <row r="4" spans="1:14" ht="15.95" customHeight="1">
      <c r="A4" s="463"/>
      <c r="B4" s="461"/>
      <c r="C4" s="461"/>
      <c r="D4" s="461"/>
      <c r="E4" s="461"/>
      <c r="F4" s="461"/>
      <c r="G4" s="461"/>
      <c r="H4" s="461"/>
      <c r="I4" s="461"/>
      <c r="J4" s="456" t="s">
        <v>594</v>
      </c>
      <c r="K4" s="457"/>
      <c r="L4" s="462" t="s">
        <v>595</v>
      </c>
      <c r="M4" s="459"/>
      <c r="N4" s="452"/>
    </row>
    <row r="5" spans="1:14" ht="15.95" customHeight="1">
      <c r="A5" s="460"/>
      <c r="B5" s="461"/>
      <c r="C5" s="461"/>
      <c r="D5" s="461"/>
      <c r="E5" s="461"/>
      <c r="F5" s="461"/>
      <c r="G5" s="461"/>
      <c r="H5" s="461"/>
      <c r="I5" s="461"/>
      <c r="J5" s="456" t="s">
        <v>596</v>
      </c>
      <c r="K5" s="457"/>
      <c r="L5" s="458">
        <v>2</v>
      </c>
      <c r="M5" s="459"/>
      <c r="N5" s="452"/>
    </row>
    <row r="6" spans="1:14" ht="15.95" customHeight="1">
      <c r="A6" s="464" t="s">
        <v>597</v>
      </c>
      <c r="B6" s="461"/>
      <c r="C6" s="461"/>
      <c r="D6" s="461"/>
      <c r="E6" s="461"/>
      <c r="F6" s="461"/>
      <c r="G6" s="461"/>
      <c r="H6" s="461"/>
      <c r="I6" s="461"/>
      <c r="J6" s="456" t="s">
        <v>598</v>
      </c>
      <c r="K6" s="457"/>
      <c r="L6" s="458" t="s">
        <v>599</v>
      </c>
      <c r="M6" s="459"/>
      <c r="N6" s="452"/>
    </row>
    <row r="7" spans="1:14" ht="15.95" customHeight="1" thickBot="1">
      <c r="A7" s="465" t="s">
        <v>600</v>
      </c>
      <c r="B7" s="466"/>
      <c r="C7" s="466"/>
      <c r="D7" s="466"/>
      <c r="E7" s="466"/>
      <c r="F7" s="466"/>
      <c r="G7" s="466"/>
      <c r="H7" s="466"/>
      <c r="I7" s="466"/>
      <c r="J7" s="467" t="s">
        <v>601</v>
      </c>
      <c r="K7" s="468"/>
      <c r="L7" s="469" t="s">
        <v>602</v>
      </c>
      <c r="M7" s="470"/>
      <c r="N7" s="452"/>
    </row>
    <row r="8" spans="1:14" ht="15.95" customHeight="1">
      <c r="A8" s="471"/>
      <c r="B8" s="461"/>
      <c r="C8" s="461"/>
      <c r="D8" s="461"/>
      <c r="E8" s="461"/>
      <c r="F8" s="461"/>
      <c r="G8" s="461"/>
      <c r="H8" s="461"/>
      <c r="I8" s="461"/>
      <c r="J8" s="461"/>
      <c r="K8" s="472"/>
      <c r="L8" s="473"/>
      <c r="M8" s="474"/>
      <c r="N8" s="461"/>
    </row>
    <row r="9" spans="1:14" ht="12" customHeight="1">
      <c r="A9" s="475"/>
      <c r="B9" s="476" t="s">
        <v>603</v>
      </c>
      <c r="C9" s="477" t="s">
        <v>803</v>
      </c>
      <c r="D9" s="478"/>
      <c r="E9" s="478"/>
      <c r="F9" s="478"/>
      <c r="G9" s="478"/>
      <c r="H9" s="478"/>
      <c r="I9" s="478"/>
      <c r="J9" s="478"/>
      <c r="K9" s="479"/>
      <c r="L9" s="475"/>
      <c r="M9" s="478"/>
      <c r="N9" s="461"/>
    </row>
    <row r="10" spans="1:14" ht="12" customHeight="1">
      <c r="A10" s="475"/>
      <c r="B10" s="476" t="s">
        <v>604</v>
      </c>
      <c r="C10" s="480" t="s">
        <v>804</v>
      </c>
      <c r="D10" s="475"/>
      <c r="E10" s="475"/>
      <c r="F10" s="475"/>
      <c r="G10" s="475"/>
      <c r="H10" s="475"/>
      <c r="I10" s="475"/>
      <c r="J10" s="475"/>
      <c r="K10" s="475"/>
      <c r="L10" s="475"/>
      <c r="M10" s="475"/>
      <c r="N10" s="473"/>
    </row>
    <row r="11" spans="1:14" ht="16.5" thickBot="1">
      <c r="A11" s="473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</row>
    <row r="12" spans="1:14" ht="20.100000000000001" customHeight="1" thickBot="1">
      <c r="A12" s="481" t="s">
        <v>605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52"/>
    </row>
    <row r="13" spans="1:14" ht="12.95" customHeight="1" thickTop="1">
      <c r="A13" s="484"/>
      <c r="B13" s="476" t="s">
        <v>606</v>
      </c>
      <c r="C13" s="536">
        <v>2000</v>
      </c>
      <c r="D13" s="475"/>
      <c r="E13" s="476" t="s">
        <v>607</v>
      </c>
      <c r="F13" s="485">
        <v>4000</v>
      </c>
      <c r="G13" s="475"/>
      <c r="H13" s="476" t="s">
        <v>608</v>
      </c>
      <c r="I13" s="485" t="s">
        <v>692</v>
      </c>
      <c r="J13" s="475"/>
      <c r="K13" s="475"/>
      <c r="L13" s="476" t="s">
        <v>609</v>
      </c>
      <c r="M13" s="486">
        <v>3600</v>
      </c>
      <c r="N13" s="452"/>
    </row>
    <row r="14" spans="1:14" ht="12.95" customHeight="1">
      <c r="A14" s="484"/>
      <c r="B14" s="476" t="s">
        <v>610</v>
      </c>
      <c r="C14" s="537" t="s">
        <v>805</v>
      </c>
      <c r="D14" s="475"/>
      <c r="E14" s="476" t="s">
        <v>611</v>
      </c>
      <c r="F14" s="539" t="s">
        <v>693</v>
      </c>
      <c r="G14" s="475"/>
      <c r="H14" s="476" t="s">
        <v>612</v>
      </c>
      <c r="I14" s="485">
        <v>245</v>
      </c>
      <c r="J14" s="475"/>
      <c r="K14" s="475"/>
      <c r="L14" s="476" t="s">
        <v>552</v>
      </c>
      <c r="M14" s="486">
        <v>3582</v>
      </c>
      <c r="N14" s="452"/>
    </row>
    <row r="15" spans="1:14" ht="12.95" customHeight="1">
      <c r="A15" s="484"/>
      <c r="B15" s="476" t="s">
        <v>613</v>
      </c>
      <c r="C15" s="536" t="s">
        <v>806</v>
      </c>
      <c r="D15" s="475"/>
      <c r="E15" s="476" t="s">
        <v>614</v>
      </c>
      <c r="F15" s="540" t="s">
        <v>799</v>
      </c>
      <c r="G15" s="475"/>
      <c r="H15" s="476" t="s">
        <v>615</v>
      </c>
      <c r="I15" s="487" t="s">
        <v>174</v>
      </c>
      <c r="J15" s="475"/>
      <c r="K15" s="475"/>
      <c r="L15" s="476" t="s">
        <v>616</v>
      </c>
      <c r="M15" s="486" t="s">
        <v>363</v>
      </c>
      <c r="N15" s="452"/>
    </row>
    <row r="16" spans="1:14" ht="12.95" customHeight="1">
      <c r="A16" s="484"/>
      <c r="B16" s="476" t="s">
        <v>617</v>
      </c>
      <c r="C16" s="536" t="s">
        <v>691</v>
      </c>
      <c r="D16" s="475"/>
      <c r="E16" s="476" t="s">
        <v>618</v>
      </c>
      <c r="F16" s="485" t="s">
        <v>435</v>
      </c>
      <c r="G16" s="475"/>
      <c r="H16" s="488" t="s">
        <v>619</v>
      </c>
      <c r="I16" s="489" t="s">
        <v>363</v>
      </c>
      <c r="J16" s="475"/>
      <c r="K16" s="475"/>
      <c r="L16" s="476" t="s">
        <v>620</v>
      </c>
      <c r="M16" s="486" t="s">
        <v>621</v>
      </c>
      <c r="N16" s="452"/>
    </row>
    <row r="17" spans="1:14" ht="12.95" customHeight="1">
      <c r="A17" s="484"/>
      <c r="B17" s="476" t="s">
        <v>622</v>
      </c>
      <c r="C17" s="537" t="s">
        <v>821</v>
      </c>
      <c r="D17" s="475"/>
      <c r="E17" s="476"/>
      <c r="F17" s="487"/>
      <c r="G17" s="475"/>
      <c r="H17" s="476" t="s">
        <v>623</v>
      </c>
      <c r="I17" s="489" t="s">
        <v>174</v>
      </c>
      <c r="J17" s="475"/>
      <c r="K17" s="475"/>
      <c r="L17" s="476"/>
      <c r="M17" s="490"/>
      <c r="N17" s="452"/>
    </row>
    <row r="18" spans="1:14" ht="12.95" customHeight="1" thickBot="1">
      <c r="A18" s="491"/>
      <c r="B18" s="492" t="s">
        <v>624</v>
      </c>
      <c r="C18" s="538" t="s">
        <v>174</v>
      </c>
      <c r="D18" s="494"/>
      <c r="E18" s="492" t="s">
        <v>625</v>
      </c>
      <c r="F18" s="493" t="s">
        <v>174</v>
      </c>
      <c r="G18" s="495"/>
      <c r="H18" s="492" t="s">
        <v>626</v>
      </c>
      <c r="I18" s="493" t="s">
        <v>174</v>
      </c>
      <c r="J18" s="494"/>
      <c r="K18" s="494"/>
      <c r="L18" s="494"/>
      <c r="M18" s="496"/>
      <c r="N18" s="452"/>
    </row>
    <row r="19" spans="1:14" ht="16.5" thickBot="1">
      <c r="A19" s="452"/>
      <c r="B19" s="452"/>
      <c r="C19" s="452"/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</row>
    <row r="20" spans="1:14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14" ht="15.95" customHeight="1" thickTop="1">
      <c r="A21" s="497" t="s">
        <v>627</v>
      </c>
      <c r="B21" s="498"/>
      <c r="C21" s="473"/>
      <c r="D21" s="499"/>
      <c r="E21" s="500" t="s">
        <v>628</v>
      </c>
      <c r="F21" s="501"/>
      <c r="G21" s="501"/>
      <c r="H21" s="502"/>
      <c r="I21" s="503" t="s">
        <v>629</v>
      </c>
      <c r="J21" s="501"/>
      <c r="K21" s="501"/>
      <c r="L21" s="473"/>
      <c r="M21" s="504"/>
    </row>
    <row r="22" spans="1:14" ht="15.95" customHeight="1">
      <c r="A22" s="505"/>
      <c r="B22" s="475"/>
      <c r="C22" s="476" t="s">
        <v>630</v>
      </c>
      <c r="D22" s="506">
        <v>1549</v>
      </c>
      <c r="E22" s="476"/>
      <c r="G22" s="488" t="s">
        <v>631</v>
      </c>
      <c r="H22" s="507">
        <v>2932</v>
      </c>
      <c r="I22" s="476"/>
      <c r="J22" s="475"/>
      <c r="K22" s="476" t="s">
        <v>632</v>
      </c>
      <c r="L22" s="475" t="s">
        <v>633</v>
      </c>
      <c r="M22" s="490"/>
    </row>
    <row r="23" spans="1:14" ht="15.95" customHeight="1">
      <c r="A23" s="505"/>
      <c r="B23" s="476"/>
      <c r="C23" s="479"/>
      <c r="D23" s="508"/>
      <c r="E23" s="476"/>
      <c r="G23" s="476" t="s">
        <v>634</v>
      </c>
      <c r="H23" s="506">
        <v>135</v>
      </c>
      <c r="I23" s="475"/>
      <c r="J23" s="475"/>
      <c r="K23" s="476" t="s">
        <v>635</v>
      </c>
      <c r="L23" s="475" t="s">
        <v>633</v>
      </c>
      <c r="M23" s="490"/>
    </row>
    <row r="24" spans="1:14" ht="15.95" customHeight="1">
      <c r="A24" s="484"/>
      <c r="B24" s="476"/>
      <c r="C24" s="475"/>
      <c r="D24" s="508"/>
      <c r="E24" s="476"/>
      <c r="G24" s="488" t="s">
        <v>636</v>
      </c>
      <c r="H24" s="506">
        <v>215</v>
      </c>
      <c r="I24" s="475"/>
      <c r="J24" s="476"/>
      <c r="K24" s="475"/>
      <c r="L24" s="475"/>
      <c r="M24" s="490"/>
    </row>
    <row r="25" spans="1:14" ht="15.95" customHeight="1" thickBot="1">
      <c r="A25" s="491"/>
      <c r="B25" s="492"/>
      <c r="C25" s="494"/>
      <c r="D25" s="509"/>
      <c r="E25" s="492"/>
      <c r="F25" s="492"/>
      <c r="G25" s="492"/>
      <c r="H25" s="510"/>
      <c r="I25" s="494"/>
      <c r="J25" s="492"/>
      <c r="K25" s="494"/>
      <c r="L25" s="494"/>
      <c r="M25" s="496"/>
    </row>
    <row r="26" spans="1:14" ht="18.95" customHeight="1" thickBot="1">
      <c r="A26" s="471"/>
      <c r="B26" s="471"/>
      <c r="C26" s="471"/>
      <c r="D26" s="452"/>
      <c r="E26" s="452"/>
      <c r="F26" s="452"/>
      <c r="G26" s="452"/>
      <c r="H26" s="452"/>
      <c r="I26" s="452"/>
      <c r="J26" s="452"/>
      <c r="K26" s="452"/>
      <c r="L26" s="452"/>
      <c r="M26" s="452"/>
      <c r="N26" s="452"/>
    </row>
    <row r="27" spans="1:14" ht="20.100000000000001" customHeight="1" thickBot="1">
      <c r="A27" s="511"/>
      <c r="B27" s="512"/>
      <c r="C27" s="512"/>
      <c r="D27" s="512"/>
      <c r="E27" s="512"/>
      <c r="F27" s="512"/>
      <c r="G27" s="513"/>
      <c r="H27" s="512"/>
      <c r="I27" s="512"/>
      <c r="J27" s="512"/>
      <c r="K27" s="512"/>
      <c r="L27" s="512"/>
      <c r="M27" s="514"/>
    </row>
    <row r="28" spans="1:14" ht="15.95" customHeight="1" thickTop="1">
      <c r="A28" s="515" t="s">
        <v>637</v>
      </c>
      <c r="B28" s="498"/>
      <c r="C28" s="473"/>
      <c r="D28" s="473"/>
      <c r="E28" s="501"/>
      <c r="F28" s="501"/>
      <c r="G28" s="516"/>
      <c r="H28" s="500" t="s">
        <v>638</v>
      </c>
      <c r="I28" s="501"/>
      <c r="J28" s="501"/>
      <c r="K28" s="500"/>
      <c r="L28" s="501"/>
      <c r="M28" s="504"/>
    </row>
    <row r="29" spans="1:14" ht="15.95" customHeight="1">
      <c r="A29" s="484"/>
      <c r="B29" s="476"/>
      <c r="C29" s="476" t="s">
        <v>639</v>
      </c>
      <c r="D29" s="517">
        <v>96.5</v>
      </c>
      <c r="E29" s="476"/>
      <c r="F29" s="476"/>
      <c r="G29" s="516"/>
      <c r="H29" s="488"/>
      <c r="I29" s="476"/>
      <c r="J29" s="476" t="s">
        <v>639</v>
      </c>
      <c r="K29" s="517">
        <v>91.1</v>
      </c>
      <c r="L29" s="475"/>
      <c r="M29" s="490"/>
    </row>
    <row r="30" spans="1:14" ht="15.95" customHeight="1">
      <c r="A30" s="518"/>
      <c r="B30" s="475"/>
      <c r="C30" s="476" t="s">
        <v>640</v>
      </c>
      <c r="D30" s="517">
        <v>96.3</v>
      </c>
      <c r="E30" s="476"/>
      <c r="F30" s="476"/>
      <c r="G30" s="516"/>
      <c r="H30" s="476"/>
      <c r="I30" s="475"/>
      <c r="J30" s="476" t="s">
        <v>640</v>
      </c>
      <c r="K30" s="517">
        <v>89.4</v>
      </c>
      <c r="L30" s="475"/>
      <c r="M30" s="490"/>
    </row>
    <row r="31" spans="1:14" ht="15.95" customHeight="1">
      <c r="A31" s="484"/>
      <c r="B31" s="476"/>
      <c r="C31" s="476" t="s">
        <v>641</v>
      </c>
      <c r="D31" s="517">
        <v>95.6</v>
      </c>
      <c r="E31" s="476"/>
      <c r="F31" s="476"/>
      <c r="G31" s="516"/>
      <c r="H31" s="476"/>
      <c r="I31" s="475"/>
      <c r="J31" s="476" t="s">
        <v>641</v>
      </c>
      <c r="K31" s="517">
        <v>84</v>
      </c>
      <c r="L31" s="476"/>
      <c r="M31" s="490"/>
    </row>
    <row r="32" spans="1:14" ht="15.95" customHeight="1" thickBot="1">
      <c r="A32" s="491"/>
      <c r="B32" s="492"/>
      <c r="C32" s="494"/>
      <c r="D32" s="494"/>
      <c r="E32" s="492"/>
      <c r="F32" s="492"/>
      <c r="G32" s="519"/>
      <c r="H32" s="492"/>
      <c r="I32" s="494"/>
      <c r="J32" s="492"/>
      <c r="K32" s="494"/>
      <c r="L32" s="492"/>
      <c r="M32" s="496"/>
    </row>
    <row r="33" spans="1:14" ht="20.100000000000001" customHeight="1" thickBot="1">
      <c r="A33" s="520"/>
      <c r="B33" s="520"/>
      <c r="C33" s="520"/>
      <c r="D33" s="520"/>
      <c r="E33" s="520"/>
      <c r="F33" s="520"/>
      <c r="G33" s="520"/>
      <c r="H33" s="520"/>
      <c r="I33" s="520"/>
      <c r="J33" s="520"/>
      <c r="K33" s="520"/>
      <c r="L33" s="520"/>
      <c r="M33" s="520"/>
      <c r="N33" s="520"/>
    </row>
    <row r="34" spans="1:14" ht="20.100000000000001" customHeight="1" thickBot="1">
      <c r="A34" s="521"/>
      <c r="B34" s="522"/>
      <c r="C34" s="522"/>
      <c r="D34" s="522"/>
      <c r="E34" s="522"/>
      <c r="F34" s="522"/>
      <c r="G34" s="522"/>
      <c r="H34" s="522"/>
      <c r="I34" s="522"/>
      <c r="J34" s="522"/>
      <c r="K34" s="522"/>
      <c r="L34" s="522"/>
      <c r="M34" s="523"/>
    </row>
    <row r="35" spans="1:14" ht="15.95" customHeight="1" thickTop="1">
      <c r="A35" s="524" t="s">
        <v>642</v>
      </c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525"/>
    </row>
    <row r="36" spans="1:14" ht="15.95" customHeight="1">
      <c r="A36" s="518" t="s">
        <v>643</v>
      </c>
      <c r="B36" s="479"/>
      <c r="C36" s="479"/>
      <c r="D36" s="479"/>
      <c r="E36" s="479"/>
      <c r="F36" s="479"/>
      <c r="G36" s="479"/>
      <c r="H36" s="479"/>
      <c r="I36" s="479"/>
      <c r="J36" s="479"/>
      <c r="K36" s="479"/>
      <c r="L36" s="479"/>
      <c r="M36" s="525"/>
    </row>
    <row r="37" spans="1:14" ht="15.95" customHeight="1">
      <c r="A37" s="526" t="s">
        <v>644</v>
      </c>
      <c r="B37" s="479"/>
      <c r="C37" s="479"/>
      <c r="D37" s="479"/>
      <c r="E37" s="527"/>
      <c r="F37" s="479"/>
      <c r="G37" s="479"/>
      <c r="H37" s="479"/>
      <c r="I37" s="479"/>
      <c r="J37" s="479"/>
      <c r="K37" s="479"/>
      <c r="L37" s="479"/>
      <c r="M37" s="525"/>
    </row>
    <row r="38" spans="1:14" ht="15.95" customHeight="1">
      <c r="A38" s="528" t="s">
        <v>645</v>
      </c>
      <c r="B38" s="479"/>
      <c r="C38" s="479"/>
      <c r="D38" s="479"/>
      <c r="E38" s="479"/>
      <c r="F38" s="479"/>
      <c r="G38" s="479"/>
      <c r="H38" s="479"/>
      <c r="I38" s="479"/>
      <c r="J38" s="479"/>
      <c r="K38" s="479"/>
      <c r="L38" s="479"/>
      <c r="M38" s="525"/>
    </row>
    <row r="39" spans="1:14" ht="15.95" customHeight="1">
      <c r="A39" s="529" t="s">
        <v>646</v>
      </c>
      <c r="B39" s="479"/>
      <c r="C39" s="479"/>
      <c r="D39" s="479"/>
      <c r="E39" s="479"/>
      <c r="F39" s="479"/>
      <c r="G39" s="479"/>
      <c r="H39" s="479"/>
      <c r="I39" s="479"/>
      <c r="J39" s="479"/>
      <c r="K39" s="479"/>
      <c r="L39" s="479"/>
      <c r="M39" s="525"/>
    </row>
    <row r="40" spans="1:14" ht="15.95" customHeight="1" thickBot="1">
      <c r="A40" s="530" t="s">
        <v>647</v>
      </c>
      <c r="B40" s="531"/>
      <c r="C40" s="531"/>
      <c r="D40" s="531"/>
      <c r="E40" s="531"/>
      <c r="F40" s="531"/>
      <c r="G40" s="531"/>
      <c r="H40" s="531"/>
      <c r="I40" s="531"/>
      <c r="J40" s="531"/>
      <c r="K40" s="531"/>
      <c r="L40" s="531"/>
      <c r="M40" s="532"/>
    </row>
    <row r="41" spans="1:14" ht="15.95" customHeight="1"/>
    <row r="42" spans="1:14" ht="18">
      <c r="A42" s="533"/>
      <c r="B42" s="533"/>
      <c r="C42" s="533"/>
      <c r="D42" s="533"/>
      <c r="E42" s="533"/>
      <c r="F42" s="533"/>
      <c r="G42" s="533"/>
      <c r="H42" s="452"/>
      <c r="I42" s="452"/>
      <c r="J42" s="534" t="s">
        <v>648</v>
      </c>
      <c r="K42" s="817" t="s">
        <v>773</v>
      </c>
      <c r="L42" s="817"/>
      <c r="M42" s="817"/>
      <c r="N42" s="533"/>
    </row>
    <row r="43" spans="1:14" ht="7.5" customHeight="1">
      <c r="H43" s="452"/>
      <c r="I43" s="452"/>
      <c r="J43" s="452"/>
      <c r="K43" s="452"/>
      <c r="L43" s="452"/>
      <c r="M43" s="452"/>
    </row>
    <row r="44" spans="1:14" ht="16.5">
      <c r="H44" s="452"/>
      <c r="I44" s="452"/>
      <c r="J44" s="534" t="s">
        <v>649</v>
      </c>
      <c r="K44" s="818">
        <v>45321</v>
      </c>
      <c r="L44" s="818"/>
      <c r="M44" s="818"/>
    </row>
    <row r="59" spans="1:5">
      <c r="A59" s="453" t="s">
        <v>174</v>
      </c>
      <c r="B59" s="453" t="s">
        <v>650</v>
      </c>
      <c r="D59" s="453">
        <v>1</v>
      </c>
      <c r="E59" s="535" t="s">
        <v>174</v>
      </c>
    </row>
    <row r="60" spans="1:5">
      <c r="A60" s="453" t="s">
        <v>651</v>
      </c>
      <c r="B60" s="453" t="s">
        <v>652</v>
      </c>
      <c r="D60" s="453">
        <v>1.1499999999999999</v>
      </c>
      <c r="E60" s="535" t="s">
        <v>183</v>
      </c>
    </row>
    <row r="61" spans="1:5">
      <c r="A61" s="453" t="s">
        <v>653</v>
      </c>
      <c r="B61" s="453" t="s">
        <v>654</v>
      </c>
      <c r="E61" s="535" t="s">
        <v>320</v>
      </c>
    </row>
    <row r="62" spans="1:5">
      <c r="B62" s="453" t="s">
        <v>655</v>
      </c>
    </row>
    <row r="63" spans="1:5">
      <c r="B63" s="453" t="s">
        <v>656</v>
      </c>
    </row>
    <row r="64" spans="1:5">
      <c r="B64" s="453" t="s">
        <v>657</v>
      </c>
    </row>
    <row r="65" spans="2:2">
      <c r="B65" s="453" t="s">
        <v>658</v>
      </c>
    </row>
    <row r="66" spans="2:2">
      <c r="B66" s="453" t="s">
        <v>659</v>
      </c>
    </row>
    <row r="67" spans="2:2">
      <c r="B67" s="453" t="s">
        <v>660</v>
      </c>
    </row>
    <row r="68" spans="2:2">
      <c r="B68" s="453" t="s">
        <v>661</v>
      </c>
    </row>
    <row r="69" spans="2:2">
      <c r="B69" s="453" t="s">
        <v>662</v>
      </c>
    </row>
    <row r="70" spans="2:2">
      <c r="B70" s="453" t="s">
        <v>663</v>
      </c>
    </row>
    <row r="71" spans="2:2">
      <c r="B71" s="453" t="s">
        <v>664</v>
      </c>
    </row>
    <row r="72" spans="2:2">
      <c r="B72" s="453" t="s">
        <v>665</v>
      </c>
    </row>
    <row r="73" spans="2:2">
      <c r="B73" s="453" t="s">
        <v>666</v>
      </c>
    </row>
    <row r="74" spans="2:2">
      <c r="B74" s="453" t="s">
        <v>667</v>
      </c>
    </row>
    <row r="75" spans="2:2">
      <c r="B75" s="453" t="s">
        <v>668</v>
      </c>
    </row>
    <row r="76" spans="2:2">
      <c r="B76" s="453" t="s">
        <v>669</v>
      </c>
    </row>
    <row r="77" spans="2:2">
      <c r="B77" s="453" t="s">
        <v>670</v>
      </c>
    </row>
    <row r="78" spans="2:2">
      <c r="B78" s="453" t="s">
        <v>671</v>
      </c>
    </row>
    <row r="79" spans="2:2">
      <c r="B79" s="453" t="s">
        <v>672</v>
      </c>
    </row>
    <row r="80" spans="2:2">
      <c r="B80" s="453">
        <v>6312</v>
      </c>
    </row>
    <row r="81" spans="2:2">
      <c r="B81" s="453" t="s">
        <v>673</v>
      </c>
    </row>
    <row r="82" spans="2:2">
      <c r="B82" s="453" t="s">
        <v>674</v>
      </c>
    </row>
    <row r="83" spans="2:2">
      <c r="B83" s="453" t="s">
        <v>675</v>
      </c>
    </row>
    <row r="84" spans="2:2">
      <c r="B84" s="453" t="s">
        <v>676</v>
      </c>
    </row>
    <row r="85" spans="2:2">
      <c r="B85" s="453">
        <v>6313</v>
      </c>
    </row>
    <row r="86" spans="2:2">
      <c r="B86" s="453" t="s">
        <v>677</v>
      </c>
    </row>
    <row r="87" spans="2:2">
      <c r="B87" s="453" t="s">
        <v>678</v>
      </c>
    </row>
    <row r="88" spans="2:2">
      <c r="B88" s="453" t="s">
        <v>679</v>
      </c>
    </row>
    <row r="89" spans="2:2">
      <c r="B89" s="453">
        <v>6314</v>
      </c>
    </row>
    <row r="90" spans="2:2">
      <c r="B90" s="453" t="s">
        <v>680</v>
      </c>
    </row>
    <row r="91" spans="2:2">
      <c r="B91" s="453">
        <v>6317</v>
      </c>
    </row>
    <row r="92" spans="2:2">
      <c r="B92" s="453" t="s">
        <v>681</v>
      </c>
    </row>
    <row r="93" spans="2:2">
      <c r="B93" s="453">
        <v>6318</v>
      </c>
    </row>
    <row r="94" spans="2:2">
      <c r="B94" s="453" t="s">
        <v>682</v>
      </c>
    </row>
    <row r="95" spans="2:2">
      <c r="B95" s="453" t="s">
        <v>683</v>
      </c>
    </row>
    <row r="96" spans="2:2">
      <c r="B96" s="453" t="s">
        <v>684</v>
      </c>
    </row>
    <row r="97" spans="2:2">
      <c r="B97" s="453">
        <v>6320</v>
      </c>
    </row>
    <row r="98" spans="2:2">
      <c r="B98" s="453" t="s">
        <v>685</v>
      </c>
    </row>
    <row r="99" spans="2:2">
      <c r="B99" s="453" t="s">
        <v>686</v>
      </c>
    </row>
    <row r="100" spans="2:2">
      <c r="B100" s="453" t="s">
        <v>687</v>
      </c>
    </row>
    <row r="101" spans="2:2">
      <c r="B101" s="453" t="s">
        <v>688</v>
      </c>
    </row>
    <row r="102" spans="2:2">
      <c r="B102" s="453" t="s">
        <v>688</v>
      </c>
    </row>
    <row r="118" spans="2:2">
      <c r="B118" s="453" t="s">
        <v>689</v>
      </c>
    </row>
    <row r="120" spans="2:2">
      <c r="B120" s="453" t="s">
        <v>690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workbookViewId="0">
      <selection activeCell="A6" sqref="A6:F15"/>
    </sheetView>
  </sheetViews>
  <sheetFormatPr defaultColWidth="9.140625" defaultRowHeight="12.75"/>
  <cols>
    <col min="1" max="6" width="16.7109375" style="380" customWidth="1"/>
    <col min="7" max="16384" width="9.140625" style="380"/>
  </cols>
  <sheetData>
    <row r="1" spans="1:6" ht="18.95" customHeight="1">
      <c r="A1" s="393"/>
      <c r="B1" s="394"/>
      <c r="C1" s="394"/>
      <c r="D1" s="394"/>
      <c r="E1" s="394"/>
      <c r="F1" s="395"/>
    </row>
    <row r="2" spans="1:6" ht="26.1" customHeight="1">
      <c r="A2" s="396" t="s">
        <v>268</v>
      </c>
      <c r="B2" s="397"/>
      <c r="C2" s="397"/>
      <c r="D2" s="397"/>
      <c r="E2" s="397"/>
      <c r="F2" s="398"/>
    </row>
    <row r="3" spans="1:6" ht="18.95" customHeight="1">
      <c r="A3" s="399" t="s">
        <v>540</v>
      </c>
      <c r="B3" s="397"/>
      <c r="C3" s="397"/>
      <c r="D3" s="397"/>
      <c r="E3" s="397"/>
      <c r="F3" s="398"/>
    </row>
    <row r="4" spans="1:6" ht="18.95" customHeight="1">
      <c r="A4" s="400"/>
      <c r="B4" s="401"/>
      <c r="C4" s="401"/>
      <c r="D4" s="401"/>
      <c r="E4" s="401"/>
      <c r="F4" s="402"/>
    </row>
    <row r="5" spans="1:6" ht="18.95" customHeight="1">
      <c r="A5" s="400"/>
      <c r="B5" s="401"/>
      <c r="C5" s="401"/>
      <c r="D5" s="401"/>
      <c r="E5" s="401"/>
      <c r="F5" s="402"/>
    </row>
    <row r="6" spans="1:6" ht="18.95" customHeight="1">
      <c r="A6" s="403" t="s">
        <v>541</v>
      </c>
      <c r="B6" s="935" t="str">
        <f>'Performance Data Sheet 2000HP'!C17</f>
        <v>M401WTAL11E-CH</v>
      </c>
      <c r="C6" s="936"/>
      <c r="D6" s="937"/>
      <c r="E6" s="403" t="s">
        <v>542</v>
      </c>
      <c r="F6" s="404">
        <f>'Performance Data Sheet 2000HP'!I14</f>
        <v>245</v>
      </c>
    </row>
    <row r="7" spans="1:6" ht="18.95" customHeight="1">
      <c r="A7" s="403" t="s">
        <v>543</v>
      </c>
      <c r="B7" s="404" t="str">
        <f>'Performance Data Sheet 2000HP'!F14</f>
        <v>WP-II</v>
      </c>
      <c r="C7" s="403" t="s">
        <v>544</v>
      </c>
      <c r="D7" s="404" t="str">
        <f>'Performance Data Sheet 2000HP'!F13 &amp; " V"</f>
        <v>4000 V</v>
      </c>
      <c r="E7" s="403" t="s">
        <v>545</v>
      </c>
      <c r="F7" s="404" t="str">
        <f>'Performance Data Sheet 2000HP'!C14</f>
        <v>5812USS</v>
      </c>
    </row>
    <row r="8" spans="1:6" ht="18.95" customHeight="1">
      <c r="A8" s="403" t="s">
        <v>546</v>
      </c>
      <c r="B8" s="404">
        <v>2</v>
      </c>
      <c r="C8" s="403" t="s">
        <v>547</v>
      </c>
      <c r="D8" s="404" t="s">
        <v>548</v>
      </c>
      <c r="E8" s="403" t="s">
        <v>549</v>
      </c>
      <c r="F8" s="404" t="str">
        <f>'Performance Data Sheet 2000HP'!M15</f>
        <v>F</v>
      </c>
    </row>
    <row r="9" spans="1:6" ht="18.95" customHeight="1">
      <c r="A9" s="403" t="s">
        <v>550</v>
      </c>
      <c r="B9" s="404">
        <f>'Performance Data Sheet 2000HP'!C13</f>
        <v>2000</v>
      </c>
      <c r="C9" s="403" t="s">
        <v>551</v>
      </c>
      <c r="D9" s="404" t="s">
        <v>561</v>
      </c>
      <c r="E9" s="403" t="s">
        <v>2</v>
      </c>
      <c r="F9" s="405">
        <f>'Performance Data Sheet 2000HP'!K44</f>
        <v>45321</v>
      </c>
    </row>
    <row r="10" spans="1:6" ht="18.95" customHeight="1">
      <c r="A10" s="403" t="s">
        <v>552</v>
      </c>
      <c r="B10" s="404">
        <f>'Performance Data Sheet 2000HP'!M14</f>
        <v>3582</v>
      </c>
      <c r="C10" s="403" t="s">
        <v>396</v>
      </c>
      <c r="D10" s="404" t="s">
        <v>798</v>
      </c>
      <c r="E10" s="403" t="s">
        <v>1</v>
      </c>
      <c r="F10" s="404" t="s">
        <v>702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 t="s">
        <v>553</v>
      </c>
      <c r="C12" s="407" t="str">
        <f>'Performance Data Sheet 2000HP'!D22 &amp; " A"</f>
        <v>1549 A</v>
      </c>
      <c r="D12" s="406" t="s">
        <v>395</v>
      </c>
      <c r="E12" s="407" t="s">
        <v>399</v>
      </c>
      <c r="F12" s="402"/>
    </row>
    <row r="13" spans="1:6" ht="18.95" customHeight="1">
      <c r="A13" s="400"/>
      <c r="B13" s="406" t="s">
        <v>554</v>
      </c>
      <c r="C13" s="408">
        <f>'Performance Data Sheet 2000HP'!H23/100</f>
        <v>1.35</v>
      </c>
      <c r="D13" s="406" t="s">
        <v>555</v>
      </c>
      <c r="E13" s="407" t="s">
        <v>584</v>
      </c>
      <c r="F13" s="402"/>
    </row>
    <row r="14" spans="1:6" ht="18.95" customHeight="1">
      <c r="A14" s="400"/>
      <c r="B14" s="406" t="s">
        <v>556</v>
      </c>
      <c r="C14" s="408">
        <v>2.15</v>
      </c>
      <c r="D14" s="406" t="s">
        <v>397</v>
      </c>
      <c r="E14" s="407" t="s">
        <v>807</v>
      </c>
      <c r="F14" s="402"/>
    </row>
    <row r="15" spans="1:6" ht="18.95" customHeight="1">
      <c r="A15" s="400"/>
      <c r="B15" s="406" t="s">
        <v>398</v>
      </c>
      <c r="C15" s="407" t="str">
        <f>'Performance Data Sheet 2000HP'!H22 &amp; " lb-ft"</f>
        <v>2932 lb-ft</v>
      </c>
      <c r="D15" s="401"/>
      <c r="E15" s="401"/>
      <c r="F15" s="402"/>
    </row>
    <row r="16" spans="1:6" ht="18.95" customHeight="1">
      <c r="A16" s="400"/>
      <c r="B16" s="401"/>
      <c r="C16" s="401"/>
      <c r="D16" s="401"/>
      <c r="E16" s="401"/>
      <c r="F16" s="402"/>
    </row>
    <row r="17" spans="1:6" ht="18.95" customHeight="1">
      <c r="A17" s="400"/>
      <c r="B17" s="401"/>
      <c r="C17" s="401"/>
      <c r="D17" s="401"/>
      <c r="E17" s="401"/>
      <c r="F17" s="402"/>
    </row>
    <row r="18" spans="1:6" ht="18.95" customHeight="1">
      <c r="A18" s="400"/>
      <c r="B18" s="401"/>
      <c r="C18" s="401"/>
      <c r="D18" s="401"/>
      <c r="E18" s="401"/>
      <c r="F18" s="402"/>
    </row>
    <row r="19" spans="1:6" ht="18.95" customHeight="1">
      <c r="A19" s="400"/>
      <c r="B19" s="401"/>
      <c r="C19" s="401"/>
      <c r="D19" s="401"/>
      <c r="E19" s="401"/>
      <c r="F19" s="402"/>
    </row>
    <row r="20" spans="1:6" ht="18.95" customHeight="1">
      <c r="A20" s="400"/>
      <c r="B20" s="401"/>
      <c r="C20" s="401"/>
      <c r="D20" s="401"/>
      <c r="E20" s="401"/>
      <c r="F20" s="402"/>
    </row>
    <row r="21" spans="1:6" ht="18.95" customHeight="1">
      <c r="A21" s="400"/>
      <c r="B21" s="401"/>
      <c r="C21" s="401"/>
      <c r="D21" s="401"/>
      <c r="E21" s="401"/>
      <c r="F21" s="402"/>
    </row>
    <row r="22" spans="1:6" ht="18.95" customHeight="1">
      <c r="A22" s="400"/>
      <c r="B22" s="401"/>
      <c r="C22" s="401"/>
      <c r="D22" s="401"/>
      <c r="E22" s="401"/>
      <c r="F22" s="402"/>
    </row>
    <row r="23" spans="1:6" ht="18.95" customHeight="1">
      <c r="A23" s="400"/>
      <c r="B23" s="401"/>
      <c r="C23" s="401"/>
      <c r="D23" s="401"/>
      <c r="E23" s="401"/>
      <c r="F23" s="402"/>
    </row>
    <row r="24" spans="1:6" ht="18.95" customHeight="1">
      <c r="A24" s="400"/>
      <c r="B24" s="401"/>
      <c r="C24" s="401"/>
      <c r="D24" s="401"/>
      <c r="E24" s="401"/>
      <c r="F24" s="402"/>
    </row>
    <row r="25" spans="1:6" ht="18.95" customHeight="1">
      <c r="A25" s="400"/>
      <c r="B25" s="401"/>
      <c r="C25" s="401"/>
      <c r="D25" s="401"/>
      <c r="E25" s="401"/>
      <c r="F25" s="402"/>
    </row>
    <row r="26" spans="1:6" ht="18.95" customHeight="1">
      <c r="A26" s="400"/>
      <c r="B26" s="401"/>
      <c r="C26" s="401"/>
      <c r="D26" s="401"/>
      <c r="E26" s="401"/>
      <c r="F26" s="402"/>
    </row>
    <row r="27" spans="1:6" ht="18.95" customHeight="1">
      <c r="A27" s="400"/>
      <c r="B27" s="401"/>
      <c r="C27" s="401"/>
      <c r="D27" s="401"/>
      <c r="E27" s="401"/>
      <c r="F27" s="402"/>
    </row>
    <row r="28" spans="1:6" ht="18.95" customHeight="1">
      <c r="A28" s="400"/>
      <c r="B28" s="401"/>
      <c r="C28" s="401"/>
      <c r="D28" s="401"/>
      <c r="E28" s="401"/>
      <c r="F28" s="402"/>
    </row>
    <row r="29" spans="1:6" ht="18.95" customHeight="1">
      <c r="A29" s="400"/>
      <c r="B29" s="401"/>
      <c r="C29" s="401"/>
      <c r="D29" s="401"/>
      <c r="E29" s="401"/>
      <c r="F29" s="402"/>
    </row>
    <row r="30" spans="1:6" ht="18.95" customHeight="1">
      <c r="A30" s="400"/>
      <c r="B30" s="401"/>
      <c r="C30" s="401"/>
      <c r="D30" s="401"/>
      <c r="E30" s="401"/>
      <c r="F30" s="402"/>
    </row>
    <row r="31" spans="1:6" ht="18.95" customHeight="1">
      <c r="A31" s="400"/>
      <c r="B31" s="401"/>
      <c r="C31" s="401"/>
      <c r="D31" s="401"/>
      <c r="E31" s="401"/>
      <c r="F31" s="402"/>
    </row>
    <row r="32" spans="1:6" ht="18.95" customHeight="1">
      <c r="A32" s="400"/>
      <c r="B32" s="401"/>
      <c r="C32" s="401"/>
      <c r="D32" s="401"/>
      <c r="E32" s="401"/>
      <c r="F32" s="402"/>
    </row>
    <row r="33" spans="1:6" ht="18.95" customHeight="1">
      <c r="A33" s="400"/>
      <c r="B33" s="401"/>
      <c r="C33" s="401"/>
      <c r="D33" s="401"/>
      <c r="E33" s="401"/>
      <c r="F33" s="402"/>
    </row>
    <row r="34" spans="1:6" ht="18.95" customHeight="1">
      <c r="A34" s="400"/>
      <c r="B34" s="401"/>
      <c r="C34" s="401"/>
      <c r="D34" s="401"/>
      <c r="E34" s="401"/>
      <c r="F34" s="402"/>
    </row>
    <row r="35" spans="1:6" ht="18.95" customHeight="1">
      <c r="A35" s="400"/>
      <c r="B35" s="401"/>
      <c r="C35" s="401"/>
      <c r="D35" s="401"/>
      <c r="E35" s="401"/>
      <c r="F35" s="402"/>
    </row>
    <row r="36" spans="1:6" ht="18.95" customHeight="1">
      <c r="A36" s="400"/>
      <c r="B36" s="401"/>
      <c r="C36" s="401"/>
      <c r="D36" s="401"/>
      <c r="E36" s="401"/>
      <c r="F36" s="402"/>
    </row>
    <row r="37" spans="1:6" ht="18.95" customHeight="1">
      <c r="A37" s="400"/>
      <c r="B37" s="401"/>
      <c r="C37" s="401"/>
      <c r="D37" s="401"/>
      <c r="E37" s="401"/>
      <c r="F37" s="402"/>
    </row>
    <row r="38" spans="1:6" ht="18.95" customHeight="1">
      <c r="A38" s="400"/>
      <c r="B38" s="401"/>
      <c r="C38" s="401"/>
      <c r="D38" s="401"/>
      <c r="E38" s="401"/>
      <c r="F38" s="402"/>
    </row>
    <row r="39" spans="1:6" ht="18.95" customHeight="1">
      <c r="A39" s="409" t="s">
        <v>557</v>
      </c>
      <c r="B39" s="410" t="s">
        <v>370</v>
      </c>
      <c r="C39" s="541" t="str">
        <f>'Performance Data Sheet 2000HP'!C10</f>
        <v>2374928.4</v>
      </c>
      <c r="D39" s="401"/>
      <c r="E39" s="406" t="s">
        <v>558</v>
      </c>
      <c r="F39" s="411" t="str">
        <f>F10</f>
        <v>DT2M40U</v>
      </c>
    </row>
    <row r="40" spans="1:6" ht="18.95" customHeight="1">
      <c r="A40" s="400"/>
      <c r="B40" s="410"/>
      <c r="C40" s="410"/>
      <c r="D40" s="401"/>
      <c r="E40" s="401"/>
      <c r="F40" s="402"/>
    </row>
    <row r="41" spans="1:6" ht="18.95" customHeight="1">
      <c r="A41" s="400"/>
      <c r="B41" s="410"/>
      <c r="C41" s="410"/>
      <c r="D41" s="401"/>
      <c r="E41" s="401"/>
      <c r="F41" s="402"/>
    </row>
    <row r="42" spans="1:6" ht="18.95" customHeight="1">
      <c r="A42" s="400"/>
      <c r="B42" s="401"/>
      <c r="C42" s="401"/>
      <c r="D42" s="401"/>
      <c r="E42" s="401"/>
      <c r="F42" s="402"/>
    </row>
    <row r="43" spans="1:6" ht="18.95" customHeight="1">
      <c r="A43" s="412"/>
      <c r="B43" s="410"/>
      <c r="C43" s="413" t="s">
        <v>559</v>
      </c>
      <c r="D43" s="414" t="str">
        <f>'Performance Data Sheet 2000HP'!K42</f>
        <v>JERRY R</v>
      </c>
      <c r="E43" s="413" t="s">
        <v>560</v>
      </c>
      <c r="F43" s="41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0" t="s">
        <v>394</v>
      </c>
      <c r="E53" s="370" t="s">
        <v>580</v>
      </c>
      <c r="F53" s="370" t="s">
        <v>581</v>
      </c>
      <c r="G53" s="370"/>
      <c r="H53" s="370"/>
      <c r="I53" s="370"/>
      <c r="J53" s="370"/>
      <c r="K53" s="370"/>
      <c r="L53" s="370"/>
    </row>
    <row r="54" spans="1:12" ht="15" customHeight="1">
      <c r="A54" s="415">
        <v>100</v>
      </c>
      <c r="B54" s="370">
        <v>0</v>
      </c>
      <c r="C54" s="370">
        <v>0.24948799610137939</v>
      </c>
      <c r="D54" s="370">
        <v>100</v>
      </c>
      <c r="E54" s="370">
        <v>0</v>
      </c>
      <c r="F54" s="370">
        <v>48.899646759033203</v>
      </c>
      <c r="G54" s="370"/>
      <c r="H54" s="370"/>
      <c r="I54" s="370"/>
      <c r="J54" s="370"/>
      <c r="K54" s="370"/>
      <c r="L54" s="370"/>
    </row>
    <row r="55" spans="1:12" ht="15" customHeight="1">
      <c r="A55" s="415">
        <v>99.799999967217445</v>
      </c>
      <c r="B55" s="370">
        <v>95.37401906005644</v>
      </c>
      <c r="C55" s="370">
        <v>141.25151062011719</v>
      </c>
      <c r="D55" s="370">
        <v>99.599998474121094</v>
      </c>
      <c r="E55" s="370">
        <v>61.039371936302501</v>
      </c>
      <c r="F55" s="370">
        <v>113.00121307373047</v>
      </c>
      <c r="G55" s="370"/>
      <c r="H55" s="370"/>
      <c r="I55" s="370"/>
      <c r="J55" s="370"/>
      <c r="K55" s="370"/>
      <c r="L55" s="370"/>
    </row>
    <row r="56" spans="1:12" ht="15" customHeight="1">
      <c r="A56" s="415">
        <v>98.999999836087227</v>
      </c>
      <c r="B56" s="370">
        <v>215</v>
      </c>
      <c r="C56" s="370">
        <v>457.14865112304688</v>
      </c>
      <c r="D56" s="370">
        <v>98</v>
      </c>
      <c r="E56" s="370">
        <v>137.60000410079959</v>
      </c>
      <c r="F56" s="370">
        <v>365.71893310546875</v>
      </c>
      <c r="G56" s="370"/>
      <c r="H56" s="370"/>
      <c r="I56" s="370"/>
      <c r="J56" s="370"/>
      <c r="K56" s="370"/>
      <c r="L56" s="370"/>
    </row>
    <row r="57" spans="1:12">
      <c r="A57" s="415">
        <v>93.789473548531532</v>
      </c>
      <c r="B57" s="370">
        <v>162.97667616936872</v>
      </c>
      <c r="C57" s="370">
        <v>555.70513916015625</v>
      </c>
      <c r="D57" s="370">
        <v>83.852630615234375</v>
      </c>
      <c r="E57" s="370">
        <v>104.30507146790829</v>
      </c>
      <c r="F57" s="370">
        <v>444.56411743164063</v>
      </c>
      <c r="G57" s="370"/>
      <c r="H57" s="370"/>
      <c r="I57" s="370"/>
      <c r="J57" s="370"/>
      <c r="K57" s="370"/>
      <c r="L57" s="370"/>
    </row>
    <row r="58" spans="1:12">
      <c r="A58" s="415">
        <v>88.578946888446808</v>
      </c>
      <c r="B58" s="370">
        <v>144.54088749176213</v>
      </c>
      <c r="C58" s="370">
        <v>583.35394287109375</v>
      </c>
      <c r="D58" s="370">
        <v>70.305259704589844</v>
      </c>
      <c r="E58" s="370">
        <v>92.506174631898773</v>
      </c>
      <c r="F58" s="370">
        <v>466.68316650390625</v>
      </c>
      <c r="G58" s="370"/>
      <c r="H58" s="370"/>
      <c r="I58" s="370"/>
      <c r="J58" s="370"/>
      <c r="K58" s="370"/>
      <c r="L58" s="370"/>
    </row>
    <row r="59" spans="1:12">
      <c r="A59" s="415">
        <v>83.368420600891113</v>
      </c>
      <c r="B59" s="370">
        <v>138.02467682919826</v>
      </c>
      <c r="C59" s="370">
        <v>594.72662353515625</v>
      </c>
      <c r="D59" s="370">
        <v>57.410526275634766</v>
      </c>
      <c r="E59" s="370">
        <v>88.335793648236745</v>
      </c>
      <c r="F59" s="370">
        <v>475.78131103515625</v>
      </c>
      <c r="G59" s="370"/>
      <c r="H59" s="370"/>
      <c r="I59" s="370"/>
      <c r="J59" s="370"/>
      <c r="K59" s="370"/>
      <c r="L59" s="370"/>
    </row>
    <row r="60" spans="1:12">
      <c r="A60" s="415">
        <v>72.947368025779724</v>
      </c>
      <c r="B60" s="370">
        <v>135.27364496286651</v>
      </c>
      <c r="C60" s="370">
        <v>604.9908447265625</v>
      </c>
      <c r="D60" s="370">
        <v>38.010524749755859</v>
      </c>
      <c r="E60" s="370">
        <v>86.57513929889015</v>
      </c>
      <c r="F60" s="370">
        <v>483.99267578125</v>
      </c>
      <c r="G60" s="370"/>
      <c r="H60" s="370"/>
      <c r="I60" s="370"/>
      <c r="J60" s="370"/>
      <c r="K60" s="370"/>
      <c r="L60" s="370"/>
    </row>
    <row r="61" spans="1:12">
      <c r="A61" s="415">
        <v>62.526315450668335</v>
      </c>
      <c r="B61" s="370">
        <v>135.01294963017835</v>
      </c>
      <c r="C61" s="370">
        <v>611.02557373046875</v>
      </c>
      <c r="D61" s="370">
        <v>24.778947830200195</v>
      </c>
      <c r="E61" s="370">
        <v>86.408293590792766</v>
      </c>
      <c r="F61" s="370">
        <v>488.82046508789063</v>
      </c>
      <c r="G61" s="370"/>
      <c r="H61" s="370"/>
      <c r="I61" s="370"/>
      <c r="J61" s="370"/>
      <c r="K61" s="370"/>
      <c r="L61" s="370"/>
    </row>
    <row r="62" spans="1:12">
      <c r="A62" s="415">
        <v>52.105262875556946</v>
      </c>
      <c r="B62" s="370">
        <v>135.00926973468671</v>
      </c>
      <c r="C62" s="370">
        <v>615.9384765625</v>
      </c>
      <c r="D62" s="370">
        <v>15.684209823608398</v>
      </c>
      <c r="E62" s="370">
        <v>86.405940075097618</v>
      </c>
      <c r="F62" s="370">
        <v>492.75079345703125</v>
      </c>
      <c r="G62" s="370"/>
      <c r="H62" s="370"/>
      <c r="I62" s="370"/>
      <c r="J62" s="370"/>
      <c r="K62" s="370"/>
      <c r="L62" s="370"/>
    </row>
    <row r="63" spans="1:12">
      <c r="A63" s="415">
        <v>41.684210300445557</v>
      </c>
      <c r="B63" s="370">
        <v>135.00564684497107</v>
      </c>
      <c r="C63" s="370">
        <v>620.2142333984375</v>
      </c>
      <c r="D63" s="370">
        <v>9.0105257034301758</v>
      </c>
      <c r="E63" s="370">
        <v>86.403615856278364</v>
      </c>
      <c r="F63" s="370">
        <v>496.17138671875</v>
      </c>
      <c r="G63" s="370"/>
      <c r="H63" s="370"/>
      <c r="I63" s="370"/>
      <c r="J63" s="370"/>
      <c r="K63" s="370"/>
      <c r="L63" s="370"/>
    </row>
    <row r="64" spans="1:12">
      <c r="A64" s="415">
        <v>31.263160705566406</v>
      </c>
      <c r="B64" s="370">
        <v>135.00386558384696</v>
      </c>
      <c r="C64" s="370">
        <v>623.93670654296875</v>
      </c>
      <c r="D64" s="370">
        <v>6.2526321411132813</v>
      </c>
      <c r="E64" s="370">
        <v>86.402473278119302</v>
      </c>
      <c r="F64" s="370">
        <v>499.14938354492188</v>
      </c>
      <c r="G64" s="370"/>
      <c r="H64" s="370"/>
      <c r="I64" s="370"/>
      <c r="J64" s="370"/>
      <c r="K64" s="370"/>
      <c r="L64" s="370"/>
    </row>
    <row r="65" spans="1:12">
      <c r="A65" s="415">
        <v>20.842105150222778</v>
      </c>
      <c r="B65" s="370">
        <v>135.00287468206244</v>
      </c>
      <c r="C65" s="370">
        <v>627.16009521484375</v>
      </c>
      <c r="D65" s="370">
        <v>7.8315787315368652</v>
      </c>
      <c r="E65" s="370">
        <v>86.401838512475393</v>
      </c>
      <c r="F65" s="370">
        <v>501.72808837890625</v>
      </c>
      <c r="G65" s="370"/>
      <c r="H65" s="370"/>
      <c r="I65" s="370"/>
      <c r="J65" s="370"/>
      <c r="K65" s="370"/>
      <c r="L65" s="370"/>
    </row>
    <row r="66" spans="1:12">
      <c r="A66" s="415">
        <v>10.421055555343628</v>
      </c>
      <c r="B66" s="370">
        <v>135.00183285179392</v>
      </c>
      <c r="C66" s="370">
        <v>629.95172119140625</v>
      </c>
      <c r="D66" s="370">
        <v>14.70526123046875</v>
      </c>
      <c r="E66" s="370">
        <v>86.401174449955604</v>
      </c>
      <c r="F66" s="370">
        <v>503.96139526367188</v>
      </c>
      <c r="G66" s="370"/>
      <c r="H66" s="370"/>
      <c r="I66" s="370"/>
      <c r="J66" s="370"/>
      <c r="K66" s="370"/>
      <c r="L66" s="370"/>
    </row>
    <row r="67" spans="1:12">
      <c r="A67" s="416">
        <v>0</v>
      </c>
      <c r="B67" s="370">
        <v>135</v>
      </c>
      <c r="C67" s="370">
        <v>632.244873046875</v>
      </c>
      <c r="D67" s="370">
        <v>30</v>
      </c>
      <c r="E67" s="370">
        <v>86.400002574920677</v>
      </c>
      <c r="F67" s="370">
        <v>505.7958984375</v>
      </c>
      <c r="G67" s="370"/>
      <c r="H67" s="370"/>
      <c r="I67" s="370"/>
      <c r="J67" s="370"/>
      <c r="K67" s="370"/>
      <c r="L67" s="370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81"/>
  <sheetViews>
    <sheetView topLeftCell="A22" workbookViewId="0">
      <selection activeCell="I28" sqref="I28"/>
    </sheetView>
  </sheetViews>
  <sheetFormatPr defaultColWidth="9.140625" defaultRowHeight="12.75"/>
  <cols>
    <col min="1" max="6" width="16.7109375" style="380" customWidth="1"/>
    <col min="7" max="8" width="9.140625" style="380"/>
    <col min="9" max="10" width="16.7109375" style="380" customWidth="1"/>
    <col min="11" max="16384" width="9.140625" style="380"/>
  </cols>
  <sheetData>
    <row r="1" spans="1:6" ht="18.95" customHeight="1">
      <c r="A1" s="393"/>
      <c r="B1" s="394"/>
      <c r="C1" s="394"/>
      <c r="D1" s="394"/>
      <c r="E1" s="394"/>
      <c r="F1" s="395"/>
    </row>
    <row r="2" spans="1:6" ht="26.1" customHeight="1">
      <c r="A2" s="396" t="s">
        <v>268</v>
      </c>
      <c r="B2" s="397"/>
      <c r="C2" s="397"/>
      <c r="D2" s="397"/>
      <c r="E2" s="397"/>
      <c r="F2" s="398"/>
    </row>
    <row r="3" spans="1:6" ht="18.95" customHeight="1">
      <c r="A3" s="938" t="s">
        <v>562</v>
      </c>
      <c r="B3" s="939"/>
      <c r="C3" s="939"/>
      <c r="D3" s="939"/>
      <c r="E3" s="939"/>
      <c r="F3" s="940"/>
    </row>
    <row r="4" spans="1:6" ht="18.95" customHeight="1">
      <c r="A4" s="941" t="s">
        <v>563</v>
      </c>
      <c r="B4" s="942"/>
      <c r="C4" s="942"/>
      <c r="D4" s="942"/>
      <c r="E4" s="942"/>
      <c r="F4" s="943"/>
    </row>
    <row r="5" spans="1:6" ht="18.95" customHeight="1">
      <c r="A5" s="400"/>
      <c r="B5" s="401"/>
      <c r="C5" s="401"/>
      <c r="D5" s="401"/>
      <c r="E5" s="401"/>
      <c r="F5" s="402"/>
    </row>
    <row r="6" spans="1:6" ht="18.95" customHeight="1">
      <c r="A6" s="403" t="s">
        <v>541</v>
      </c>
      <c r="B6" s="935" t="str">
        <f>'Performance Data Sheet 2000HP'!C17</f>
        <v>M401WTAL11E-CH</v>
      </c>
      <c r="C6" s="936"/>
      <c r="D6" s="937"/>
      <c r="E6" s="403" t="s">
        <v>542</v>
      </c>
      <c r="F6" s="404">
        <f>'Performance Data Sheet 2000HP'!I14</f>
        <v>245</v>
      </c>
    </row>
    <row r="7" spans="1:6" ht="18.95" customHeight="1">
      <c r="A7" s="403" t="s">
        <v>543</v>
      </c>
      <c r="B7" s="404" t="str">
        <f>'Performance Data Sheet 2000HP'!F14</f>
        <v>WP-II</v>
      </c>
      <c r="C7" s="403" t="s">
        <v>544</v>
      </c>
      <c r="D7" s="404" t="str">
        <f>'Performance Data Sheet 2000HP'!F13 &amp; " V"</f>
        <v>4000 V</v>
      </c>
      <c r="E7" s="403" t="s">
        <v>545</v>
      </c>
      <c r="F7" s="404" t="str">
        <f>'Performance Data Sheet 2000HP'!C14</f>
        <v>5812USS</v>
      </c>
    </row>
    <row r="8" spans="1:6" ht="18.95" customHeight="1">
      <c r="A8" s="403" t="s">
        <v>546</v>
      </c>
      <c r="B8" s="404">
        <v>2</v>
      </c>
      <c r="C8" s="403" t="s">
        <v>547</v>
      </c>
      <c r="D8" s="404" t="s">
        <v>548</v>
      </c>
      <c r="E8" s="403" t="s">
        <v>549</v>
      </c>
      <c r="F8" s="404" t="str">
        <f>'Performance Data Sheet 2000HP'!M15</f>
        <v>F</v>
      </c>
    </row>
    <row r="9" spans="1:6" ht="18.95" customHeight="1">
      <c r="A9" s="403" t="s">
        <v>550</v>
      </c>
      <c r="B9" s="404">
        <f>'Performance Data Sheet 2000HP'!C13</f>
        <v>2000</v>
      </c>
      <c r="C9" s="403" t="s">
        <v>551</v>
      </c>
      <c r="D9" s="404" t="s">
        <v>561</v>
      </c>
      <c r="E9" s="403" t="s">
        <v>2</v>
      </c>
      <c r="F9" s="405">
        <f>'Performance Data Sheet 2000HP'!K44</f>
        <v>45321</v>
      </c>
    </row>
    <row r="10" spans="1:6" ht="18.95" customHeight="1">
      <c r="A10" s="403" t="s">
        <v>552</v>
      </c>
      <c r="B10" s="404">
        <f>'Performance Data Sheet 2000HP'!M14</f>
        <v>3582</v>
      </c>
      <c r="C10" s="403" t="s">
        <v>396</v>
      </c>
      <c r="D10" s="404" t="s">
        <v>798</v>
      </c>
      <c r="E10" s="403" t="s">
        <v>1</v>
      </c>
      <c r="F10" s="404" t="s">
        <v>702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/>
      <c r="C12" s="407" t="str">
        <f>'Performance Data Sheet 2000HP'!D22 &amp; " A"</f>
        <v>1549 A</v>
      </c>
      <c r="D12" s="406"/>
      <c r="E12" s="407"/>
      <c r="F12" s="402"/>
    </row>
    <row r="13" spans="1:6" ht="18.95" customHeight="1">
      <c r="A13" s="400"/>
      <c r="B13" s="406"/>
      <c r="C13" s="408">
        <f>'Performance Data Sheet 2000HP'!H23/100</f>
        <v>1.35</v>
      </c>
      <c r="D13" s="406"/>
      <c r="E13" s="407"/>
      <c r="F13" s="402"/>
    </row>
    <row r="14" spans="1:6" ht="18.95" customHeight="1">
      <c r="A14" s="400"/>
      <c r="B14" s="406"/>
      <c r="C14" s="408"/>
      <c r="D14" s="406"/>
      <c r="E14" s="407"/>
      <c r="F14" s="402"/>
    </row>
    <row r="15" spans="1:6" ht="18.95" customHeight="1">
      <c r="A15" s="400"/>
      <c r="B15" s="406"/>
      <c r="C15" s="407" t="str">
        <f>'Performance Data Sheet 2000HP'!H22 &amp; " lb-ft"</f>
        <v>2932 lb-ft</v>
      </c>
      <c r="D15" s="401"/>
      <c r="E15" s="401"/>
      <c r="F15" s="402"/>
    </row>
    <row r="16" spans="1:6" ht="18.95" customHeight="1">
      <c r="A16" s="400"/>
      <c r="B16" s="401"/>
      <c r="C16" s="401"/>
      <c r="D16" s="401"/>
      <c r="E16" s="401"/>
      <c r="F16" s="402"/>
    </row>
    <row r="17" spans="1:6" ht="18.95" customHeight="1">
      <c r="A17" s="400"/>
      <c r="B17" s="401"/>
      <c r="C17" s="401"/>
      <c r="D17" s="401"/>
      <c r="E17" s="401"/>
      <c r="F17" s="402"/>
    </row>
    <row r="18" spans="1:6" ht="18.95" customHeight="1">
      <c r="A18" s="400"/>
      <c r="B18" s="401"/>
      <c r="C18" s="401"/>
      <c r="D18" s="401"/>
      <c r="E18" s="401"/>
      <c r="F18" s="402"/>
    </row>
    <row r="19" spans="1:6" ht="18.95" customHeight="1">
      <c r="A19" s="400"/>
      <c r="B19" s="401"/>
      <c r="C19" s="401"/>
      <c r="D19" s="401"/>
      <c r="E19" s="401"/>
      <c r="F19" s="402"/>
    </row>
    <row r="20" spans="1:6" ht="18.95" customHeight="1">
      <c r="A20" s="400"/>
      <c r="B20" s="401"/>
      <c r="C20" s="401"/>
      <c r="D20" s="401"/>
      <c r="E20" s="401"/>
      <c r="F20" s="402"/>
    </row>
    <row r="21" spans="1:6" ht="18.95" customHeight="1">
      <c r="A21" s="400"/>
      <c r="B21" s="401"/>
      <c r="C21" s="401"/>
      <c r="D21" s="401"/>
      <c r="E21" s="401"/>
      <c r="F21" s="402"/>
    </row>
    <row r="22" spans="1:6" ht="18.95" customHeight="1">
      <c r="A22" s="400"/>
      <c r="B22" s="401"/>
      <c r="C22" s="401"/>
      <c r="D22" s="401"/>
      <c r="E22" s="401"/>
      <c r="F22" s="402"/>
    </row>
    <row r="23" spans="1:6" ht="18.95" customHeight="1">
      <c r="A23" s="400"/>
      <c r="B23" s="401"/>
      <c r="C23" s="401"/>
      <c r="D23" s="401"/>
      <c r="E23" s="401"/>
      <c r="F23" s="402"/>
    </row>
    <row r="24" spans="1:6" ht="18.95" customHeight="1">
      <c r="A24" s="400"/>
      <c r="B24" s="401"/>
      <c r="C24" s="401"/>
      <c r="D24" s="401"/>
      <c r="E24" s="401"/>
      <c r="F24" s="402"/>
    </row>
    <row r="25" spans="1:6" ht="18.95" customHeight="1">
      <c r="A25" s="400"/>
      <c r="B25" s="401"/>
      <c r="C25" s="401"/>
      <c r="D25" s="401"/>
      <c r="E25" s="401"/>
      <c r="F25" s="402"/>
    </row>
    <row r="26" spans="1:6" ht="18.95" customHeight="1">
      <c r="A26" s="400"/>
      <c r="B26" s="401"/>
      <c r="C26" s="401"/>
      <c r="D26" s="401"/>
      <c r="E26" s="401"/>
      <c r="F26" s="402"/>
    </row>
    <row r="27" spans="1:6" ht="18.95" customHeight="1">
      <c r="A27" s="400"/>
      <c r="B27" s="401"/>
      <c r="C27" s="401"/>
      <c r="D27" s="401"/>
      <c r="E27" s="401"/>
      <c r="F27" s="402"/>
    </row>
    <row r="28" spans="1:6" ht="18.95" customHeight="1">
      <c r="A28" s="400"/>
      <c r="B28" s="401"/>
      <c r="C28" s="401"/>
      <c r="D28" s="401"/>
      <c r="E28" s="401"/>
      <c r="F28" s="402"/>
    </row>
    <row r="29" spans="1:6" ht="18.95" customHeight="1">
      <c r="A29" s="400"/>
      <c r="B29" s="401"/>
      <c r="C29" s="401"/>
      <c r="D29" s="401"/>
      <c r="E29" s="401"/>
      <c r="F29" s="402"/>
    </row>
    <row r="30" spans="1:6" ht="18.95" customHeight="1">
      <c r="A30" s="400"/>
      <c r="B30" s="401"/>
      <c r="C30" s="401"/>
      <c r="D30" s="401"/>
      <c r="E30" s="401"/>
      <c r="F30" s="402"/>
    </row>
    <row r="31" spans="1:6" ht="18.95" customHeight="1">
      <c r="A31" s="400"/>
      <c r="B31" s="401"/>
      <c r="C31" s="401"/>
      <c r="D31" s="401"/>
      <c r="E31" s="401"/>
      <c r="F31" s="402"/>
    </row>
    <row r="32" spans="1:6" ht="18.95" customHeight="1">
      <c r="A32" s="400"/>
      <c r="B32" s="401"/>
      <c r="C32" s="401"/>
      <c r="D32" s="401"/>
      <c r="E32" s="401"/>
      <c r="F32" s="402"/>
    </row>
    <row r="33" spans="1:6" ht="18.95" customHeight="1">
      <c r="A33" s="400"/>
      <c r="B33" s="401"/>
      <c r="C33" s="401"/>
      <c r="D33" s="401"/>
      <c r="E33" s="401"/>
      <c r="F33" s="402"/>
    </row>
    <row r="34" spans="1:6" ht="18.95" customHeight="1">
      <c r="A34" s="400"/>
      <c r="B34" s="401"/>
      <c r="C34" s="401"/>
      <c r="D34" s="401"/>
      <c r="E34" s="401"/>
      <c r="F34" s="402"/>
    </row>
    <row r="35" spans="1:6" ht="18.95" customHeight="1">
      <c r="A35" s="400"/>
      <c r="B35" s="401"/>
      <c r="C35" s="401"/>
      <c r="D35" s="401"/>
      <c r="E35" s="401"/>
      <c r="F35" s="402"/>
    </row>
    <row r="36" spans="1:6" ht="18.95" customHeight="1">
      <c r="A36" s="400"/>
      <c r="B36" s="401"/>
      <c r="C36" s="401"/>
      <c r="D36" s="401"/>
      <c r="E36" s="401"/>
      <c r="F36" s="402"/>
    </row>
    <row r="37" spans="1:6" ht="18.95" customHeight="1">
      <c r="A37" s="400"/>
      <c r="B37" s="401"/>
      <c r="C37" s="401"/>
      <c r="D37" s="401"/>
      <c r="E37" s="401"/>
      <c r="F37" s="402"/>
    </row>
    <row r="38" spans="1:6" ht="18.95" customHeight="1">
      <c r="A38" s="400"/>
      <c r="B38" s="401"/>
      <c r="C38" s="401"/>
      <c r="D38" s="401"/>
      <c r="E38" s="401"/>
      <c r="F38" s="402"/>
    </row>
    <row r="39" spans="1:6" ht="18.95" customHeight="1">
      <c r="A39" s="409" t="s">
        <v>557</v>
      </c>
      <c r="B39" s="410" t="s">
        <v>370</v>
      </c>
      <c r="C39" s="541" t="str">
        <f>'Performance Data Sheet 2000HP'!C10</f>
        <v>2374928.4</v>
      </c>
      <c r="D39" s="401"/>
      <c r="E39" s="406" t="s">
        <v>558</v>
      </c>
      <c r="F39" s="411" t="str">
        <f>F10</f>
        <v>DT2M40U</v>
      </c>
    </row>
    <row r="40" spans="1:6" ht="18.95" customHeight="1">
      <c r="A40" s="400"/>
      <c r="B40" s="410"/>
      <c r="C40" s="410"/>
      <c r="D40" s="401"/>
      <c r="E40" s="401"/>
      <c r="F40" s="402"/>
    </row>
    <row r="41" spans="1:6" ht="18.95" customHeight="1">
      <c r="A41" s="400"/>
      <c r="B41" s="410"/>
      <c r="C41" s="410"/>
      <c r="D41" s="401"/>
      <c r="E41" s="401"/>
      <c r="F41" s="402"/>
    </row>
    <row r="42" spans="1:6" ht="18.95" customHeight="1">
      <c r="A42" s="400"/>
      <c r="B42" s="401"/>
      <c r="C42" s="401"/>
      <c r="D42" s="401"/>
      <c r="E42" s="401"/>
      <c r="F42" s="402"/>
    </row>
    <row r="43" spans="1:6" ht="18.95" customHeight="1">
      <c r="A43" s="412"/>
      <c r="B43" s="410"/>
      <c r="C43" s="413" t="s">
        <v>559</v>
      </c>
      <c r="D43" s="414" t="str">
        <f>'Performance Data Sheet 2000HP'!K42</f>
        <v>JERRY R</v>
      </c>
      <c r="E43" s="413" t="s">
        <v>560</v>
      </c>
      <c r="F43" s="41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7" t="e">
        <f>5252.1*B50/D53</f>
        <v>#DIV/0!</v>
      </c>
      <c r="G50" s="417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8"/>
    </row>
    <row r="63" spans="6:9">
      <c r="I63" s="380" t="s">
        <v>39</v>
      </c>
    </row>
    <row r="66" spans="1:11">
      <c r="D66" s="417" t="e">
        <f>D65/D64</f>
        <v>#DIV/0!</v>
      </c>
    </row>
    <row r="67" spans="1:11">
      <c r="A67" s="680" t="s">
        <v>392</v>
      </c>
      <c r="B67" s="680" t="s">
        <v>564</v>
      </c>
      <c r="C67" s="680" t="s">
        <v>565</v>
      </c>
      <c r="D67"/>
      <c r="E67" s="680" t="s">
        <v>566</v>
      </c>
      <c r="F67" s="680" t="s">
        <v>567</v>
      </c>
      <c r="G67"/>
      <c r="H67"/>
      <c r="I67"/>
      <c r="J67"/>
      <c r="K67"/>
    </row>
    <row r="68" spans="1:11">
      <c r="A68" s="681">
        <v>632.24489795918362</v>
      </c>
      <c r="B68" s="682">
        <v>14.235666819981168</v>
      </c>
      <c r="C68" s="682">
        <v>7.4286678859165738</v>
      </c>
      <c r="D68"/>
      <c r="E68" s="681">
        <v>632.24489795918362</v>
      </c>
      <c r="F68" s="682">
        <v>1E-4</v>
      </c>
      <c r="G68" s="664">
        <f>0.8*E68</f>
        <v>505.79591836734693</v>
      </c>
      <c r="H68" s="684">
        <v>1E-4</v>
      </c>
      <c r="I68"/>
      <c r="J68"/>
      <c r="K68"/>
    </row>
    <row r="69" spans="1:11">
      <c r="A69" s="681">
        <v>600</v>
      </c>
      <c r="B69" s="682">
        <v>15.806873619107607</v>
      </c>
      <c r="C69" s="682">
        <v>8.2485784414531498</v>
      </c>
      <c r="D69"/>
      <c r="E69" s="681">
        <v>631.10204081632651</v>
      </c>
      <c r="F69" s="682">
        <v>0.19062500214204192</v>
      </c>
      <c r="G69" s="664">
        <f t="shared" ref="G69:G80" si="0">0.8*E69</f>
        <v>504.88163265306122</v>
      </c>
      <c r="H69" s="664">
        <v>0.38065430115238996</v>
      </c>
      <c r="I69"/>
      <c r="J69"/>
      <c r="K69"/>
    </row>
    <row r="70" spans="1:11">
      <c r="A70" s="681">
        <v>500</v>
      </c>
      <c r="B70" s="682">
        <v>22.761898011514951</v>
      </c>
      <c r="C70" s="682">
        <v>11.877952955692534</v>
      </c>
      <c r="D70"/>
      <c r="E70" s="681">
        <v>628.69387755102036</v>
      </c>
      <c r="F70" s="682">
        <v>0.36250001285225153</v>
      </c>
      <c r="G70" s="664">
        <f t="shared" si="0"/>
        <v>502.95510204081631</v>
      </c>
      <c r="H70" s="664">
        <v>0.72386721316433977</v>
      </c>
      <c r="I70"/>
      <c r="J70"/>
      <c r="K70"/>
    </row>
    <row r="71" spans="1:11">
      <c r="A71" s="681">
        <v>400</v>
      </c>
      <c r="B71" s="682">
        <v>35.565465642992116</v>
      </c>
      <c r="C71" s="682">
        <v>18.559301493269587</v>
      </c>
      <c r="D71"/>
      <c r="E71" s="681">
        <v>625.9591836734694</v>
      </c>
      <c r="F71" s="682">
        <v>0.52968752570450306</v>
      </c>
      <c r="G71" s="664">
        <f t="shared" si="0"/>
        <v>500.76734693877552</v>
      </c>
      <c r="H71" s="664">
        <v>1.0577197778911795</v>
      </c>
      <c r="I71"/>
      <c r="J71"/>
      <c r="K71"/>
    </row>
    <row r="72" spans="1:11">
      <c r="A72" s="681">
        <v>300</v>
      </c>
      <c r="B72" s="682">
        <v>63.227494476430429</v>
      </c>
      <c r="C72" s="682"/>
      <c r="D72"/>
      <c r="E72" s="681">
        <v>622.81632653061229</v>
      </c>
      <c r="F72" s="682">
        <v>0.69687501527369022</v>
      </c>
      <c r="G72" s="664">
        <f t="shared" si="0"/>
        <v>498.25306122448984</v>
      </c>
      <c r="H72" s="664">
        <v>1.3915722961246502</v>
      </c>
      <c r="I72"/>
      <c r="J72"/>
      <c r="K72"/>
    </row>
    <row r="73" spans="1:11">
      <c r="A73" s="681">
        <v>200</v>
      </c>
      <c r="B73" s="682">
        <v>142.26186257196846</v>
      </c>
      <c r="C73" s="682"/>
      <c r="D73"/>
      <c r="E73" s="681">
        <v>619.30612244897964</v>
      </c>
      <c r="F73" s="682">
        <v>0.86874999105930328</v>
      </c>
      <c r="G73" s="664">
        <f t="shared" si="0"/>
        <v>495.44489795918372</v>
      </c>
      <c r="H73" s="664">
        <v>1.7347851383965462</v>
      </c>
      <c r="I73"/>
      <c r="J73"/>
      <c r="K73"/>
    </row>
    <row r="74" spans="1:11">
      <c r="A74" s="681">
        <v>215</v>
      </c>
      <c r="B74" s="682">
        <v>123.10382915908575</v>
      </c>
      <c r="C74" s="682">
        <v>64.23987536880766</v>
      </c>
      <c r="D74"/>
      <c r="E74" s="681">
        <v>615.38775510204084</v>
      </c>
      <c r="F74" s="682">
        <v>1.0515624657273293</v>
      </c>
      <c r="G74" s="664">
        <f t="shared" si="0"/>
        <v>492.31020408163272</v>
      </c>
      <c r="H74" s="664">
        <v>2.0998387987492606</v>
      </c>
      <c r="I74"/>
      <c r="J74"/>
      <c r="K74"/>
    </row>
    <row r="75" spans="1:11">
      <c r="A75" s="683">
        <v>180</v>
      </c>
      <c r="B75" s="682">
        <v>195.01662562697851</v>
      </c>
      <c r="C75" s="682">
        <v>91.650871571701671</v>
      </c>
      <c r="D75"/>
      <c r="E75" s="681">
        <v>611.0612244897959</v>
      </c>
      <c r="F75" s="682">
        <v>1.256249938160181</v>
      </c>
      <c r="G75" s="664">
        <f t="shared" si="0"/>
        <v>488.84897959183672</v>
      </c>
      <c r="H75" s="664">
        <v>2.5085740952636115</v>
      </c>
      <c r="I75"/>
      <c r="J75"/>
      <c r="K75"/>
    </row>
    <row r="76" spans="1:11">
      <c r="A76" s="683">
        <v>145</v>
      </c>
      <c r="B76" s="682">
        <v>270.65277064821589</v>
      </c>
      <c r="C76" s="682">
        <v>141.23606368243207</v>
      </c>
      <c r="D76"/>
      <c r="E76" s="681">
        <v>605.22448979591832</v>
      </c>
      <c r="F76" s="682">
        <v>1.4921874739229679</v>
      </c>
      <c r="G76" s="664">
        <f t="shared" si="0"/>
        <v>484.17959183673469</v>
      </c>
      <c r="H76" s="664">
        <v>2.9797118619899265</v>
      </c>
      <c r="I76"/>
      <c r="J76"/>
      <c r="K76"/>
    </row>
    <row r="77" spans="1:11">
      <c r="A77" s="683">
        <v>125</v>
      </c>
      <c r="B77" s="682"/>
      <c r="C77" s="681">
        <v>300</v>
      </c>
      <c r="D77"/>
      <c r="E77" s="681">
        <v>597.83673469387759</v>
      </c>
      <c r="F77" s="682">
        <v>1.6265625134110451</v>
      </c>
      <c r="G77" s="664">
        <f t="shared" si="0"/>
        <v>478.26938775510212</v>
      </c>
      <c r="H77" s="664">
        <v>3.2480420189676806</v>
      </c>
      <c r="I77"/>
      <c r="J77"/>
      <c r="K77"/>
    </row>
    <row r="78" spans="1:11">
      <c r="A78" s="683">
        <v>125</v>
      </c>
      <c r="B78" s="682"/>
      <c r="C78" s="681">
        <v>600</v>
      </c>
      <c r="D78"/>
      <c r="E78" s="681">
        <v>584.36734693877554</v>
      </c>
      <c r="F78" s="682">
        <v>1.7609374597668648</v>
      </c>
      <c r="G78" s="664">
        <f t="shared" si="0"/>
        <v>467.49387755102043</v>
      </c>
      <c r="H78" s="664">
        <v>3.5163719899719581</v>
      </c>
      <c r="I78"/>
      <c r="J78"/>
      <c r="K78"/>
    </row>
    <row r="79" spans="1:11">
      <c r="A79" s="683">
        <v>125</v>
      </c>
      <c r="B79" s="683"/>
      <c r="C79" s="683">
        <v>10000</v>
      </c>
      <c r="D79"/>
      <c r="E79" s="681">
        <v>536.85714285714289</v>
      </c>
      <c r="F79" s="682">
        <v>1.8656250089406967</v>
      </c>
      <c r="G79" s="664">
        <f t="shared" si="0"/>
        <v>429.48571428571432</v>
      </c>
      <c r="H79" s="664">
        <v>3.7254199397284538</v>
      </c>
      <c r="I79"/>
      <c r="J79"/>
      <c r="K79"/>
    </row>
    <row r="80" spans="1:11">
      <c r="A80"/>
      <c r="B80"/>
      <c r="C80"/>
      <c r="D80"/>
      <c r="E80" s="681">
        <v>336.24489795918367</v>
      </c>
      <c r="F80" s="682">
        <v>1.9578125327825546</v>
      </c>
      <c r="G80" s="664">
        <f t="shared" si="0"/>
        <v>268.99591836734697</v>
      </c>
      <c r="H80" s="664">
        <v>3.9095069014001638</v>
      </c>
      <c r="I80"/>
      <c r="J80"/>
      <c r="K80"/>
    </row>
    <row r="81" spans="5:11">
      <c r="E81" s="681">
        <v>120</v>
      </c>
      <c r="F81" s="682">
        <v>2.0031251013278961</v>
      </c>
      <c r="G81" s="664">
        <v>120</v>
      </c>
      <c r="H81" s="664">
        <v>3.9999904367141426</v>
      </c>
      <c r="I81"/>
      <c r="J81"/>
      <c r="K81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69"/>
  <sheetViews>
    <sheetView topLeftCell="A10" workbookViewId="0">
      <selection activeCell="C12" sqref="C12"/>
    </sheetView>
  </sheetViews>
  <sheetFormatPr defaultRowHeight="12.75"/>
  <cols>
    <col min="1" max="6" width="16.7109375" customWidth="1"/>
  </cols>
  <sheetData>
    <row r="1" spans="1:6" ht="18.95" customHeight="1">
      <c r="A1" s="419"/>
      <c r="B1" s="420"/>
      <c r="C1" s="420"/>
      <c r="D1" s="420"/>
      <c r="E1" s="420"/>
      <c r="F1" s="421"/>
    </row>
    <row r="2" spans="1:6" ht="26.1" customHeight="1">
      <c r="A2" s="422" t="s">
        <v>268</v>
      </c>
      <c r="B2" s="423"/>
      <c r="C2" s="423"/>
      <c r="D2" s="423"/>
      <c r="E2" s="423"/>
      <c r="F2" s="424"/>
    </row>
    <row r="3" spans="1:6" ht="18.95" customHeight="1">
      <c r="A3" s="425" t="s">
        <v>585</v>
      </c>
      <c r="B3" s="423"/>
      <c r="C3" s="423"/>
      <c r="D3" s="423"/>
      <c r="E3" s="423"/>
      <c r="F3" s="424"/>
    </row>
    <row r="4" spans="1:6" ht="18.95" customHeight="1">
      <c r="A4" s="944" t="s">
        <v>563</v>
      </c>
      <c r="B4" s="945"/>
      <c r="C4" s="945"/>
      <c r="D4" s="945"/>
      <c r="E4" s="945"/>
      <c r="F4" s="946"/>
    </row>
    <row r="5" spans="1:6" ht="18.95" customHeight="1">
      <c r="A5" s="426"/>
      <c r="B5" s="427"/>
      <c r="C5" s="427"/>
      <c r="D5" s="427"/>
      <c r="E5" s="427"/>
      <c r="F5" s="428"/>
    </row>
    <row r="6" spans="1:6" ht="18.95" customHeight="1">
      <c r="A6" s="403" t="s">
        <v>541</v>
      </c>
      <c r="B6" s="935" t="str">
        <f>'Performance Data Sheet 2000HP'!C17</f>
        <v>M401WTAL11E-CH</v>
      </c>
      <c r="C6" s="936"/>
      <c r="D6" s="937"/>
      <c r="E6" s="403" t="s">
        <v>542</v>
      </c>
      <c r="F6" s="404" t="s">
        <v>809</v>
      </c>
    </row>
    <row r="7" spans="1:6" ht="18.95" customHeight="1">
      <c r="A7" s="403" t="s">
        <v>543</v>
      </c>
      <c r="B7" s="404" t="str">
        <f>'Performance Data Sheet 2000HP'!F14</f>
        <v>WP-II</v>
      </c>
      <c r="C7" s="403" t="s">
        <v>544</v>
      </c>
      <c r="D7" s="404" t="s">
        <v>810</v>
      </c>
      <c r="E7" s="403" t="s">
        <v>545</v>
      </c>
      <c r="F7" s="404" t="str">
        <f>'Performance Data Sheet 2000HP'!C14</f>
        <v>5812USS</v>
      </c>
    </row>
    <row r="8" spans="1:6" ht="18.95" customHeight="1">
      <c r="A8" s="403" t="s">
        <v>546</v>
      </c>
      <c r="B8" s="404">
        <v>2</v>
      </c>
      <c r="C8" s="403" t="s">
        <v>547</v>
      </c>
      <c r="D8" s="404" t="s">
        <v>548</v>
      </c>
      <c r="E8" s="403" t="s">
        <v>549</v>
      </c>
      <c r="F8" s="404" t="str">
        <f>'Performance Data Sheet 2000HP'!M15</f>
        <v>F</v>
      </c>
    </row>
    <row r="9" spans="1:6" ht="18.95" customHeight="1">
      <c r="A9" s="403" t="s">
        <v>550</v>
      </c>
      <c r="B9" s="404">
        <f>'Performance Data Sheet 2000HP'!C13</f>
        <v>2000</v>
      </c>
      <c r="C9" s="403" t="s">
        <v>551</v>
      </c>
      <c r="D9" s="404" t="s">
        <v>561</v>
      </c>
      <c r="E9" s="403" t="s">
        <v>2</v>
      </c>
      <c r="F9" s="405">
        <f>'Performance Data Sheet 2000HP'!K44</f>
        <v>45321</v>
      </c>
    </row>
    <row r="10" spans="1:6" ht="18.95" customHeight="1">
      <c r="A10" s="403" t="s">
        <v>552</v>
      </c>
      <c r="B10" s="404">
        <f>'Performance Data Sheet 2000HP'!M14</f>
        <v>3582</v>
      </c>
      <c r="C10" s="403" t="s">
        <v>396</v>
      </c>
      <c r="D10" s="404" t="s">
        <v>798</v>
      </c>
      <c r="E10" s="403" t="s">
        <v>1</v>
      </c>
      <c r="F10" s="404" t="s">
        <v>702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 t="s">
        <v>553</v>
      </c>
      <c r="C12" s="407" t="s">
        <v>808</v>
      </c>
      <c r="D12" s="406" t="s">
        <v>395</v>
      </c>
      <c r="E12" s="407" t="s">
        <v>399</v>
      </c>
      <c r="F12" s="402"/>
    </row>
    <row r="13" spans="1:6" ht="18.95" customHeight="1">
      <c r="A13" s="400"/>
      <c r="B13" s="406" t="s">
        <v>554</v>
      </c>
      <c r="C13" s="408">
        <f>'Performance Data Sheet 2000HP'!H23/100</f>
        <v>1.35</v>
      </c>
      <c r="D13" s="406" t="s">
        <v>555</v>
      </c>
      <c r="E13" s="407" t="s">
        <v>584</v>
      </c>
      <c r="F13" s="402"/>
    </row>
    <row r="14" spans="1:6" ht="18.95" customHeight="1">
      <c r="A14" s="400"/>
      <c r="B14" s="406" t="s">
        <v>556</v>
      </c>
      <c r="C14" s="408">
        <v>2.15</v>
      </c>
      <c r="D14" s="406" t="s">
        <v>397</v>
      </c>
      <c r="E14" s="407" t="s">
        <v>807</v>
      </c>
      <c r="F14" s="402"/>
    </row>
    <row r="15" spans="1:6" ht="18.95" customHeight="1">
      <c r="A15" s="400"/>
      <c r="B15" s="406" t="s">
        <v>398</v>
      </c>
      <c r="C15" s="407" t="str">
        <f>'Performance Data Sheet 2000HP'!H22 &amp; " lb-ft"</f>
        <v>2932 lb-ft</v>
      </c>
      <c r="D15" s="401"/>
      <c r="E15" s="401"/>
      <c r="F15" s="402"/>
    </row>
    <row r="16" spans="1:6" ht="18.95" customHeight="1">
      <c r="A16" s="426"/>
      <c r="B16" s="427"/>
      <c r="C16" s="427"/>
      <c r="D16" s="427"/>
      <c r="E16" s="427"/>
      <c r="F16" s="428"/>
    </row>
    <row r="17" spans="1:8" ht="18.95" customHeight="1">
      <c r="A17" s="426"/>
      <c r="B17" s="427"/>
      <c r="C17" s="427"/>
      <c r="D17" s="427"/>
      <c r="E17" s="427"/>
      <c r="F17" s="428"/>
    </row>
    <row r="18" spans="1:8" ht="18.95" customHeight="1">
      <c r="A18" s="426"/>
      <c r="B18" s="427"/>
      <c r="C18" s="427"/>
      <c r="D18" s="427"/>
      <c r="E18" s="427"/>
      <c r="F18" s="428"/>
    </row>
    <row r="19" spans="1:8" ht="18.95" customHeight="1">
      <c r="A19" s="426"/>
      <c r="B19" s="427"/>
      <c r="C19" s="427"/>
      <c r="D19" s="427"/>
      <c r="E19" s="427"/>
      <c r="F19" s="428"/>
    </row>
    <row r="20" spans="1:8" ht="18.95" customHeight="1">
      <c r="A20" s="426"/>
      <c r="B20" s="427"/>
      <c r="C20" s="427"/>
      <c r="D20" s="427"/>
      <c r="E20" s="427"/>
      <c r="F20" s="428"/>
    </row>
    <row r="21" spans="1:8" ht="18.95" customHeight="1">
      <c r="A21" s="426"/>
      <c r="B21" s="427"/>
      <c r="C21" s="427"/>
      <c r="D21" s="427"/>
      <c r="E21" s="427"/>
      <c r="F21" s="428"/>
    </row>
    <row r="22" spans="1:8" ht="18.95" customHeight="1">
      <c r="A22" s="426"/>
      <c r="B22" s="427"/>
      <c r="C22" s="427"/>
      <c r="D22" s="427"/>
      <c r="E22" s="427"/>
      <c r="F22" s="428"/>
    </row>
    <row r="23" spans="1:8" ht="18.95" customHeight="1">
      <c r="A23" s="426"/>
      <c r="B23" s="427"/>
      <c r="C23" s="427"/>
      <c r="D23" s="427"/>
      <c r="E23" s="427"/>
      <c r="F23" s="428"/>
    </row>
    <row r="24" spans="1:8" ht="18.95" customHeight="1">
      <c r="A24" s="426"/>
      <c r="B24" s="427"/>
      <c r="C24" s="427"/>
      <c r="D24" s="427"/>
      <c r="E24" s="427"/>
      <c r="F24" s="428"/>
      <c r="H24" s="430"/>
    </row>
    <row r="25" spans="1:8" ht="18.95" customHeight="1">
      <c r="A25" s="426"/>
      <c r="B25" s="427"/>
      <c r="C25" s="427"/>
      <c r="D25" s="427"/>
      <c r="E25" s="427"/>
      <c r="F25" s="428"/>
    </row>
    <row r="26" spans="1:8" ht="18.95" customHeight="1">
      <c r="A26" s="426"/>
      <c r="B26" s="427"/>
      <c r="C26" s="427"/>
      <c r="D26" s="427"/>
      <c r="E26" s="427"/>
      <c r="F26" s="428"/>
    </row>
    <row r="27" spans="1:8" ht="18.95" customHeight="1">
      <c r="A27" s="426"/>
      <c r="B27" s="427"/>
      <c r="C27" s="427"/>
      <c r="D27" s="427"/>
      <c r="E27" s="427"/>
      <c r="F27" s="428"/>
    </row>
    <row r="28" spans="1:8" ht="18.95" customHeight="1">
      <c r="A28" s="426"/>
      <c r="B28" s="427"/>
      <c r="C28" s="427"/>
      <c r="D28" s="427"/>
      <c r="E28" s="427"/>
      <c r="F28" s="428"/>
    </row>
    <row r="29" spans="1:8" ht="18.95" customHeight="1">
      <c r="A29" s="426"/>
      <c r="B29" s="427"/>
      <c r="C29" s="427"/>
      <c r="D29" s="427"/>
      <c r="E29" s="427"/>
      <c r="F29" s="428"/>
    </row>
    <row r="30" spans="1:8" ht="18.95" customHeight="1">
      <c r="A30" s="426"/>
      <c r="B30" s="427"/>
      <c r="C30" s="427"/>
      <c r="D30" s="427"/>
      <c r="E30" s="427"/>
      <c r="F30" s="428"/>
    </row>
    <row r="31" spans="1:8" ht="18.95" customHeight="1">
      <c r="A31" s="426"/>
      <c r="B31" s="427"/>
      <c r="C31" s="427"/>
      <c r="D31" s="427"/>
      <c r="E31" s="427"/>
      <c r="F31" s="428"/>
    </row>
    <row r="32" spans="1:8" ht="18.95" customHeight="1">
      <c r="A32" s="426"/>
      <c r="B32" s="427"/>
      <c r="C32" s="427"/>
      <c r="D32" s="427"/>
      <c r="E32" s="427"/>
      <c r="F32" s="428"/>
    </row>
    <row r="33" spans="1:15" ht="18.95" customHeight="1">
      <c r="A33" s="426"/>
      <c r="B33" s="427"/>
      <c r="C33" s="427"/>
      <c r="D33" s="427"/>
      <c r="E33" s="427"/>
      <c r="F33" s="428"/>
    </row>
    <row r="34" spans="1:15" ht="18.95" customHeight="1">
      <c r="A34" s="426"/>
      <c r="B34" s="427"/>
      <c r="C34" s="427"/>
      <c r="D34" s="427"/>
      <c r="E34" s="427"/>
      <c r="F34" s="428"/>
    </row>
    <row r="35" spans="1:15" ht="18.95" customHeight="1">
      <c r="A35" s="426"/>
      <c r="B35" s="427"/>
      <c r="C35" s="427"/>
      <c r="D35" s="427"/>
      <c r="E35" s="427"/>
      <c r="F35" s="428"/>
    </row>
    <row r="36" spans="1:15" ht="18.95" customHeight="1">
      <c r="A36" s="426"/>
      <c r="B36" s="427"/>
      <c r="C36" s="427"/>
      <c r="D36" s="427"/>
      <c r="E36" s="427"/>
      <c r="F36" s="428"/>
      <c r="N36" s="543" t="s">
        <v>700</v>
      </c>
      <c r="O36" s="543" t="s">
        <v>701</v>
      </c>
    </row>
    <row r="37" spans="1:15" ht="18.95" customHeight="1">
      <c r="A37" s="426"/>
      <c r="B37" s="427"/>
      <c r="C37" s="427"/>
      <c r="D37" s="427"/>
      <c r="E37" s="427"/>
      <c r="F37" s="428"/>
      <c r="N37" s="543">
        <f xml:space="preserve"> L43 - (L43-L44) / 10 * 0</f>
        <v>3600</v>
      </c>
      <c r="O37" s="543">
        <f xml:space="preserve"> L45 / 10 * 10</f>
        <v>4000</v>
      </c>
    </row>
    <row r="38" spans="1:15" ht="18.95" customHeight="1">
      <c r="A38" s="426"/>
      <c r="B38" s="427"/>
      <c r="C38" s="427"/>
      <c r="D38" s="427"/>
      <c r="E38" s="427"/>
      <c r="F38" s="428"/>
      <c r="N38" s="543">
        <f xml:space="preserve"> L43 - (L43-L44) / 10 * 1</f>
        <v>3596</v>
      </c>
      <c r="O38" s="543">
        <f xml:space="preserve"> L45 / 10 * 9</f>
        <v>3600</v>
      </c>
    </row>
    <row r="39" spans="1:15" ht="18.95" customHeight="1">
      <c r="A39" s="431" t="s">
        <v>557</v>
      </c>
      <c r="B39" s="432" t="s">
        <v>370</v>
      </c>
      <c r="C39" s="542" t="str">
        <f>'Performance Data Sheet 2000HP'!C10</f>
        <v>2374928.4</v>
      </c>
      <c r="D39" s="427"/>
      <c r="E39" s="429" t="s">
        <v>558</v>
      </c>
      <c r="F39" s="433" t="str">
        <f>F10</f>
        <v>DT2M40U</v>
      </c>
      <c r="N39" s="543">
        <f xml:space="preserve"> L43 - (L43-L44) / 10 * 2</f>
        <v>3592</v>
      </c>
      <c r="O39" s="543">
        <f xml:space="preserve"> L45 / 10 * 8</f>
        <v>3200</v>
      </c>
    </row>
    <row r="40" spans="1:15" ht="18.95" customHeight="1">
      <c r="A40" s="426"/>
      <c r="B40" s="432"/>
      <c r="C40" s="432"/>
      <c r="D40" s="427"/>
      <c r="E40" s="427"/>
      <c r="F40" s="428"/>
      <c r="N40" s="543">
        <f xml:space="preserve"> L43 - (L43-L44) / 10 * 3</f>
        <v>3588</v>
      </c>
      <c r="O40" s="543">
        <f xml:space="preserve"> L45 / 10 * 7</f>
        <v>2800</v>
      </c>
    </row>
    <row r="41" spans="1:15" ht="18.95" customHeight="1">
      <c r="A41" s="426"/>
      <c r="B41" s="432"/>
      <c r="C41" s="432"/>
      <c r="D41" s="427"/>
      <c r="E41" s="427"/>
      <c r="F41" s="428"/>
      <c r="N41" s="543">
        <f xml:space="preserve"> L43 - (L43-L44) / 10 * 4</f>
        <v>3584</v>
      </c>
      <c r="O41" s="543">
        <f xml:space="preserve"> L45 / 10 * 6</f>
        <v>2400</v>
      </c>
    </row>
    <row r="42" spans="1:15" ht="18.95" customHeight="1">
      <c r="A42" s="426"/>
      <c r="B42" s="427"/>
      <c r="C42" s="427"/>
      <c r="D42" s="427"/>
      <c r="E42" s="427"/>
      <c r="F42" s="428"/>
      <c r="N42" s="543">
        <f xml:space="preserve"> L43 - (L43-L44) / 10 * 5</f>
        <v>3580</v>
      </c>
      <c r="O42" s="543">
        <f xml:space="preserve"> L45 / 10 * 5</f>
        <v>2000</v>
      </c>
    </row>
    <row r="43" spans="1:15" ht="18.95" customHeight="1">
      <c r="A43" s="434"/>
      <c r="B43" s="432"/>
      <c r="C43" s="435" t="s">
        <v>559</v>
      </c>
      <c r="D43" s="436" t="str">
        <f>'Performance Data Sheet 2000HP'!K42</f>
        <v>JERRY R</v>
      </c>
      <c r="E43" s="435" t="s">
        <v>560</v>
      </c>
      <c r="F43" s="436"/>
      <c r="K43" s="144" t="s">
        <v>697</v>
      </c>
      <c r="L43" s="545">
        <v>3600</v>
      </c>
      <c r="N43" s="543">
        <f xml:space="preserve"> L43 - (L43-L44) / 10 * 6</f>
        <v>3576</v>
      </c>
      <c r="O43" s="543">
        <f xml:space="preserve"> L45 / 10 * 4</f>
        <v>1600</v>
      </c>
    </row>
    <row r="44" spans="1:15" ht="15" customHeight="1">
      <c r="K44" s="144" t="s">
        <v>698</v>
      </c>
      <c r="L44" s="546">
        <v>3560</v>
      </c>
      <c r="N44" s="543">
        <f xml:space="preserve"> L43 - (L43-L44) / 10 * 7</f>
        <v>3572</v>
      </c>
      <c r="O44" s="543">
        <f xml:space="preserve"> L45 / 10 * 3</f>
        <v>1200</v>
      </c>
    </row>
    <row r="45" spans="1:15" ht="15" customHeight="1">
      <c r="K45" s="144" t="s">
        <v>699</v>
      </c>
      <c r="L45" s="546">
        <v>4000</v>
      </c>
      <c r="N45" s="543">
        <f xml:space="preserve"> L43 - (L43-L44) / 10 * 8</f>
        <v>3568</v>
      </c>
      <c r="O45" s="543">
        <f xml:space="preserve"> L45 / 10 * 2</f>
        <v>800</v>
      </c>
    </row>
    <row r="46" spans="1:15" ht="15" customHeight="1">
      <c r="N46" s="543">
        <f xml:space="preserve"> L43 - (L43-L44) / 10 * 9</f>
        <v>3564</v>
      </c>
      <c r="O46" s="543">
        <f xml:space="preserve"> L45 / 10 * 1</f>
        <v>400</v>
      </c>
    </row>
    <row r="47" spans="1:15" ht="15" customHeight="1">
      <c r="N47" s="543">
        <f xml:space="preserve"> L43 - (L43-L44) / 10 * 10</f>
        <v>3560</v>
      </c>
      <c r="O47" s="543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947" t="s">
        <v>695</v>
      </c>
      <c r="B52" s="948"/>
      <c r="C52" s="948"/>
      <c r="D52" s="948"/>
      <c r="E52" s="948"/>
      <c r="F52" s="949"/>
    </row>
    <row r="53" spans="1:6" ht="15" customHeight="1" thickBot="1">
      <c r="A53" s="544" t="s">
        <v>394</v>
      </c>
      <c r="B53" s="544" t="s">
        <v>142</v>
      </c>
      <c r="C53" s="544" t="s">
        <v>120</v>
      </c>
      <c r="D53" s="544" t="s">
        <v>135</v>
      </c>
      <c r="E53" s="544" t="s">
        <v>5</v>
      </c>
      <c r="F53" s="59" t="s">
        <v>586</v>
      </c>
    </row>
    <row r="54" spans="1:6" ht="15" customHeight="1">
      <c r="A54" s="437">
        <v>0</v>
      </c>
      <c r="B54" s="90"/>
      <c r="C54" s="438"/>
      <c r="D54" s="438">
        <v>55</v>
      </c>
      <c r="E54" s="438">
        <v>100</v>
      </c>
      <c r="F54" s="439">
        <f>17700/(L45*1000) * 100</f>
        <v>0.4425</v>
      </c>
    </row>
    <row r="55" spans="1:6" ht="15" customHeight="1">
      <c r="A55" s="440">
        <v>25</v>
      </c>
      <c r="B55" s="441">
        <v>92.900001525878906</v>
      </c>
      <c r="C55" s="68">
        <v>65.599998474121094</v>
      </c>
      <c r="D55" s="68">
        <v>88.30999755859375</v>
      </c>
      <c r="E55" s="68">
        <f xml:space="preserve"> (1.003774*B10-L44)/(L43-L44)*100</f>
        <v>88.796169999999393</v>
      </c>
      <c r="F55" s="72">
        <f xml:space="preserve"> 401360.3/(L45*1000)*100</f>
        <v>10.0340075</v>
      </c>
    </row>
    <row r="56" spans="1:6" ht="15" customHeight="1">
      <c r="A56" s="440">
        <v>50</v>
      </c>
      <c r="B56" s="441">
        <v>95.599998474121094</v>
      </c>
      <c r="C56" s="68">
        <v>84</v>
      </c>
      <c r="D56" s="68">
        <v>134.03999328613281</v>
      </c>
      <c r="E56" s="68">
        <f xml:space="preserve"> (1.002542*B10-L44)/(L43-L44)*100</f>
        <v>77.763610000000654</v>
      </c>
      <c r="F56" s="72">
        <f xml:space="preserve"> 780071.3/(L45*1000)*100</f>
        <v>19.501782500000001</v>
      </c>
    </row>
    <row r="57" spans="1:6">
      <c r="A57" s="440">
        <v>75</v>
      </c>
      <c r="B57" s="441">
        <v>96.300003051757813</v>
      </c>
      <c r="C57" s="68">
        <v>89.400001525878906</v>
      </c>
      <c r="D57" s="68">
        <v>187.6199951171875</v>
      </c>
      <c r="E57" s="68">
        <f xml:space="preserve"> (1.001291*B10-L44)/(L43-L44)*100</f>
        <v>66.560904999998911</v>
      </c>
      <c r="F57" s="72">
        <f xml:space="preserve"> 1162083/(L45*1000)*100</f>
        <v>29.052074999999999</v>
      </c>
    </row>
    <row r="58" spans="1:6">
      <c r="A58" s="440">
        <v>100</v>
      </c>
      <c r="B58" s="441">
        <v>96.5</v>
      </c>
      <c r="C58" s="68">
        <v>91.099998474121094</v>
      </c>
      <c r="D58" s="68">
        <v>244.88999938964844</v>
      </c>
      <c r="E58" s="68">
        <f xml:space="preserve"> (1*B10-L44)/(L43-L44)*100</f>
        <v>55.000000000000007</v>
      </c>
      <c r="F58" s="72">
        <f xml:space="preserve"> 1545646/(L45*1000)*100</f>
        <v>38.641150000000003</v>
      </c>
    </row>
    <row r="59" spans="1:6" ht="13.5" thickBot="1">
      <c r="A59" s="442">
        <v>125</v>
      </c>
      <c r="B59" s="443">
        <v>96.5</v>
      </c>
      <c r="C59" s="444">
        <v>91.5</v>
      </c>
      <c r="D59" s="444">
        <v>304.95001220703125</v>
      </c>
      <c r="E59" s="444">
        <f xml:space="preserve"> (0.9987289*B10-L44)/(L43-L44)*100</f>
        <v>43.617299500000399</v>
      </c>
      <c r="F59" s="81">
        <f xml:space="preserve"> 1933172/(L45*1000)*100</f>
        <v>48.329299999999996</v>
      </c>
    </row>
    <row r="60" spans="1:6">
      <c r="A60" s="445"/>
      <c r="B60" s="370"/>
      <c r="C60" s="370"/>
    </row>
    <row r="61" spans="1:6" ht="13.5" thickBot="1">
      <c r="A61" s="445"/>
      <c r="B61" s="370"/>
      <c r="C61" s="370"/>
    </row>
    <row r="62" spans="1:6" ht="13.5" thickBot="1">
      <c r="A62" s="947" t="s">
        <v>696</v>
      </c>
      <c r="B62" s="948"/>
      <c r="C62" s="948"/>
      <c r="D62" s="948"/>
      <c r="E62" s="948"/>
      <c r="F62" s="949"/>
    </row>
    <row r="63" spans="1:6" ht="13.5" thickBot="1">
      <c r="A63" s="544" t="s">
        <v>394</v>
      </c>
      <c r="B63" s="544" t="s">
        <v>142</v>
      </c>
      <c r="C63" s="544" t="s">
        <v>120</v>
      </c>
      <c r="D63" s="544" t="s">
        <v>135</v>
      </c>
      <c r="E63" s="544" t="s">
        <v>5</v>
      </c>
      <c r="F63" s="59" t="s">
        <v>586</v>
      </c>
    </row>
    <row r="64" spans="1:6">
      <c r="A64" s="437">
        <v>0</v>
      </c>
      <c r="B64" s="90"/>
      <c r="C64" s="438"/>
      <c r="D64" s="438">
        <v>61.625782718794788</v>
      </c>
      <c r="E64" s="438">
        <v>100</v>
      </c>
      <c r="F64" s="439">
        <v>25.273271281831786</v>
      </c>
    </row>
    <row r="65" spans="1:6">
      <c r="A65" s="440">
        <v>25</v>
      </c>
      <c r="B65" s="441">
        <v>92.819419860839844</v>
      </c>
      <c r="C65" s="68">
        <v>65.655029296875</v>
      </c>
      <c r="D65" s="68">
        <v>88.310279846191406</v>
      </c>
      <c r="E65" s="68">
        <v>84.221276827156544</v>
      </c>
      <c r="F65" s="72">
        <v>10.042159634672775</v>
      </c>
    </row>
    <row r="66" spans="1:6">
      <c r="A66" s="440">
        <v>50</v>
      </c>
      <c r="B66" s="441">
        <v>95.555931091308594</v>
      </c>
      <c r="C66" s="68">
        <v>84.036895751953125</v>
      </c>
      <c r="D66" s="68">
        <v>134.03569030761719</v>
      </c>
      <c r="E66" s="68">
        <v>68.732290901243687</v>
      </c>
      <c r="F66" s="72">
        <v>19.509148406053114</v>
      </c>
    </row>
    <row r="67" spans="1:6">
      <c r="A67" s="440">
        <v>75</v>
      </c>
      <c r="B67" s="441">
        <v>96.271759033203125</v>
      </c>
      <c r="C67" s="68">
        <v>89.385169982910156</v>
      </c>
      <c r="D67" s="68">
        <v>187.61820983886719</v>
      </c>
      <c r="E67" s="68">
        <v>52.94123375788331</v>
      </c>
      <c r="F67" s="72">
        <v>29.046133879302275</v>
      </c>
    </row>
    <row r="68" spans="1:6">
      <c r="A68" s="440">
        <v>100</v>
      </c>
      <c r="B68" s="441">
        <v>96.452888488769531</v>
      </c>
      <c r="C68" s="68">
        <v>91.1361083984375</v>
      </c>
      <c r="D68" s="68">
        <v>244.8907470703125</v>
      </c>
      <c r="E68" s="68">
        <v>36.863494571298361</v>
      </c>
      <c r="F68" s="72">
        <v>38.655448926042446</v>
      </c>
    </row>
    <row r="69" spans="1:6" ht="13.5" thickBot="1">
      <c r="A69" s="442">
        <v>125</v>
      </c>
      <c r="B69" s="443">
        <v>96.414482116699219</v>
      </c>
      <c r="C69" s="444">
        <v>91.520805358886719</v>
      </c>
      <c r="D69" s="444">
        <v>304.94815063476563</v>
      </c>
      <c r="E69" s="444">
        <v>20.733087696135044</v>
      </c>
      <c r="F69" s="81">
        <v>48.338559795618998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0AC0-11D4-4DE7-822B-26E6CC08B293}">
  <sheetPr>
    <pageSetUpPr fitToPage="1"/>
  </sheetPr>
  <dimension ref="A1:O69"/>
  <sheetViews>
    <sheetView topLeftCell="A6" workbookViewId="0">
      <selection activeCell="G11" sqref="G11"/>
    </sheetView>
  </sheetViews>
  <sheetFormatPr defaultRowHeight="12.75"/>
  <cols>
    <col min="1" max="6" width="16.7109375" customWidth="1"/>
  </cols>
  <sheetData>
    <row r="1" spans="1:6" ht="18.95" customHeight="1">
      <c r="A1" s="419"/>
      <c r="B1" s="420"/>
      <c r="C1" s="420"/>
      <c r="D1" s="420"/>
      <c r="E1" s="420"/>
      <c r="F1" s="421"/>
    </row>
    <row r="2" spans="1:6" ht="26.1" customHeight="1">
      <c r="A2" s="422" t="s">
        <v>268</v>
      </c>
      <c r="B2" s="423"/>
      <c r="C2" s="423"/>
      <c r="D2" s="423"/>
      <c r="E2" s="423"/>
      <c r="F2" s="424"/>
    </row>
    <row r="3" spans="1:6" ht="18.95" customHeight="1">
      <c r="A3" s="425" t="s">
        <v>585</v>
      </c>
      <c r="B3" s="423"/>
      <c r="C3" s="423"/>
      <c r="D3" s="423"/>
      <c r="E3" s="423"/>
      <c r="F3" s="424"/>
    </row>
    <row r="4" spans="1:6" ht="18.95" customHeight="1">
      <c r="A4" s="944" t="s">
        <v>563</v>
      </c>
      <c r="B4" s="945"/>
      <c r="C4" s="945"/>
      <c r="D4" s="945"/>
      <c r="E4" s="945"/>
      <c r="F4" s="946"/>
    </row>
    <row r="5" spans="1:6" ht="18.95" customHeight="1">
      <c r="A5" s="426"/>
      <c r="B5" s="427"/>
      <c r="C5" s="427"/>
      <c r="D5" s="427"/>
      <c r="E5" s="427"/>
      <c r="F5" s="428"/>
    </row>
    <row r="6" spans="1:6" ht="18.95" customHeight="1">
      <c r="A6" s="403" t="s">
        <v>541</v>
      </c>
      <c r="B6" s="935" t="str">
        <f>'Performance Data Sheet 2000HP'!C17</f>
        <v>M401WTAL11E-CH</v>
      </c>
      <c r="C6" s="936"/>
      <c r="D6" s="937"/>
      <c r="E6" s="403" t="s">
        <v>542</v>
      </c>
      <c r="F6" s="404" t="s">
        <v>789</v>
      </c>
    </row>
    <row r="7" spans="1:6" ht="18.95" customHeight="1">
      <c r="A7" s="403" t="s">
        <v>543</v>
      </c>
      <c r="B7" s="404" t="str">
        <f>'Performance Data Sheet 2000HP'!F14</f>
        <v>WP-II</v>
      </c>
      <c r="C7" s="403" t="s">
        <v>544</v>
      </c>
      <c r="D7" s="404" t="s">
        <v>788</v>
      </c>
      <c r="E7" s="403" t="s">
        <v>545</v>
      </c>
      <c r="F7" s="404" t="str">
        <f>'Performance Data Sheet 2000HP'!C14</f>
        <v>5812USS</v>
      </c>
    </row>
    <row r="8" spans="1:6" ht="18.95" customHeight="1">
      <c r="A8" s="403" t="s">
        <v>546</v>
      </c>
      <c r="B8" s="404">
        <v>2</v>
      </c>
      <c r="C8" s="403" t="s">
        <v>547</v>
      </c>
      <c r="D8" s="404" t="s">
        <v>548</v>
      </c>
      <c r="E8" s="403" t="s">
        <v>549</v>
      </c>
      <c r="F8" s="404" t="str">
        <f>'Performance Data Sheet 2000HP'!M15</f>
        <v>F</v>
      </c>
    </row>
    <row r="9" spans="1:6" ht="18.95" customHeight="1">
      <c r="A9" s="403" t="s">
        <v>550</v>
      </c>
      <c r="B9" s="404">
        <f>'Performance Data Sheet 2000HP'!C13</f>
        <v>2000</v>
      </c>
      <c r="C9" s="403" t="s">
        <v>551</v>
      </c>
      <c r="D9" s="404" t="s">
        <v>561</v>
      </c>
      <c r="E9" s="403" t="s">
        <v>2</v>
      </c>
      <c r="F9" s="405">
        <f>'Performance Data Sheet 2000HP'!K44</f>
        <v>45321</v>
      </c>
    </row>
    <row r="10" spans="1:6" ht="18.95" customHeight="1">
      <c r="A10" s="403" t="s">
        <v>552</v>
      </c>
      <c r="B10" s="404">
        <f>'Performance Data Sheet 2000HP'!M14</f>
        <v>3582</v>
      </c>
      <c r="C10" s="403" t="s">
        <v>396</v>
      </c>
      <c r="D10" s="404" t="s">
        <v>798</v>
      </c>
      <c r="E10" s="403" t="s">
        <v>1</v>
      </c>
      <c r="F10" s="404" t="s">
        <v>702</v>
      </c>
    </row>
    <row r="11" spans="1:6" ht="18.95" customHeight="1">
      <c r="A11" s="400"/>
      <c r="B11" s="401"/>
      <c r="C11" s="401"/>
      <c r="D11" s="401"/>
      <c r="E11" s="401"/>
      <c r="F11" s="402"/>
    </row>
    <row r="12" spans="1:6" ht="18.95" customHeight="1">
      <c r="A12" s="400"/>
      <c r="B12" s="406" t="s">
        <v>553</v>
      </c>
      <c r="C12" s="407" t="s">
        <v>790</v>
      </c>
      <c r="D12" s="406" t="s">
        <v>395</v>
      </c>
      <c r="E12" s="407" t="s">
        <v>399</v>
      </c>
      <c r="F12" s="402"/>
    </row>
    <row r="13" spans="1:6" ht="18.95" customHeight="1">
      <c r="A13" s="400"/>
      <c r="B13" s="406" t="s">
        <v>554</v>
      </c>
      <c r="C13" s="408">
        <f>'Performance Data Sheet 2000HP'!H23/100</f>
        <v>1.35</v>
      </c>
      <c r="D13" s="406" t="s">
        <v>555</v>
      </c>
      <c r="E13" s="407" t="s">
        <v>584</v>
      </c>
      <c r="F13" s="402"/>
    </row>
    <row r="14" spans="1:6" ht="18.95" customHeight="1">
      <c r="A14" s="400"/>
      <c r="B14" s="406" t="s">
        <v>556</v>
      </c>
      <c r="C14" s="408">
        <v>2.15</v>
      </c>
      <c r="D14" s="406" t="s">
        <v>397</v>
      </c>
      <c r="E14" s="407" t="s">
        <v>807</v>
      </c>
      <c r="F14" s="402"/>
    </row>
    <row r="15" spans="1:6" ht="18.95" customHeight="1">
      <c r="A15" s="400"/>
      <c r="B15" s="406" t="s">
        <v>398</v>
      </c>
      <c r="C15" s="407" t="str">
        <f>'Performance Data Sheet 2000HP'!H22 &amp; " lb-ft"</f>
        <v>2932 lb-ft</v>
      </c>
      <c r="D15" s="401"/>
      <c r="E15" s="401"/>
      <c r="F15" s="402"/>
    </row>
    <row r="16" spans="1:6" ht="18.95" customHeight="1">
      <c r="A16" s="426"/>
      <c r="B16" s="427"/>
      <c r="C16" s="427"/>
      <c r="D16" s="427"/>
      <c r="E16" s="427"/>
      <c r="F16" s="428"/>
    </row>
    <row r="17" spans="1:8" ht="18.95" customHeight="1">
      <c r="A17" s="426"/>
      <c r="B17" s="427"/>
      <c r="C17" s="427"/>
      <c r="D17" s="427"/>
      <c r="E17" s="427"/>
      <c r="F17" s="428"/>
    </row>
    <row r="18" spans="1:8" ht="18.95" customHeight="1">
      <c r="A18" s="426"/>
      <c r="B18" s="427"/>
      <c r="C18" s="427"/>
      <c r="D18" s="427"/>
      <c r="E18" s="427"/>
      <c r="F18" s="428"/>
    </row>
    <row r="19" spans="1:8" ht="18.95" customHeight="1">
      <c r="A19" s="426"/>
      <c r="B19" s="427"/>
      <c r="C19" s="427"/>
      <c r="D19" s="427"/>
      <c r="E19" s="427"/>
      <c r="F19" s="428"/>
    </row>
    <row r="20" spans="1:8" ht="18.95" customHeight="1">
      <c r="A20" s="426"/>
      <c r="B20" s="427"/>
      <c r="C20" s="427"/>
      <c r="D20" s="427"/>
      <c r="E20" s="427"/>
      <c r="F20" s="428"/>
    </row>
    <row r="21" spans="1:8" ht="18.95" customHeight="1">
      <c r="A21" s="426"/>
      <c r="B21" s="427"/>
      <c r="C21" s="427"/>
      <c r="D21" s="427"/>
      <c r="E21" s="427"/>
      <c r="F21" s="428"/>
    </row>
    <row r="22" spans="1:8" ht="18.95" customHeight="1">
      <c r="A22" s="426"/>
      <c r="B22" s="427"/>
      <c r="C22" s="427"/>
      <c r="D22" s="427"/>
      <c r="E22" s="427"/>
      <c r="F22" s="428"/>
    </row>
    <row r="23" spans="1:8" ht="18.95" customHeight="1">
      <c r="A23" s="426"/>
      <c r="B23" s="427"/>
      <c r="C23" s="427"/>
      <c r="D23" s="427"/>
      <c r="E23" s="427"/>
      <c r="F23" s="428"/>
    </row>
    <row r="24" spans="1:8" ht="18.95" customHeight="1">
      <c r="A24" s="426"/>
      <c r="B24" s="427"/>
      <c r="C24" s="427"/>
      <c r="D24" s="427"/>
      <c r="E24" s="427"/>
      <c r="F24" s="428"/>
      <c r="H24" s="430"/>
    </row>
    <row r="25" spans="1:8" ht="18.95" customHeight="1">
      <c r="A25" s="426"/>
      <c r="B25" s="427"/>
      <c r="C25" s="427"/>
      <c r="D25" s="427"/>
      <c r="E25" s="427"/>
      <c r="F25" s="428"/>
    </row>
    <row r="26" spans="1:8" ht="18.95" customHeight="1">
      <c r="A26" s="426"/>
      <c r="B26" s="427"/>
      <c r="C26" s="427"/>
      <c r="D26" s="427"/>
      <c r="E26" s="427"/>
      <c r="F26" s="428"/>
    </row>
    <row r="27" spans="1:8" ht="18.95" customHeight="1">
      <c r="A27" s="426"/>
      <c r="B27" s="427"/>
      <c r="C27" s="427"/>
      <c r="D27" s="427"/>
      <c r="E27" s="427"/>
      <c r="F27" s="428"/>
    </row>
    <row r="28" spans="1:8" ht="18.95" customHeight="1">
      <c r="A28" s="426"/>
      <c r="B28" s="427"/>
      <c r="C28" s="427"/>
      <c r="D28" s="427"/>
      <c r="E28" s="427"/>
      <c r="F28" s="428"/>
    </row>
    <row r="29" spans="1:8" ht="18.95" customHeight="1">
      <c r="A29" s="426"/>
      <c r="B29" s="427"/>
      <c r="C29" s="427"/>
      <c r="D29" s="427"/>
      <c r="E29" s="427"/>
      <c r="F29" s="428"/>
    </row>
    <row r="30" spans="1:8" ht="18.95" customHeight="1">
      <c r="A30" s="426"/>
      <c r="B30" s="427"/>
      <c r="C30" s="427"/>
      <c r="D30" s="427"/>
      <c r="E30" s="427"/>
      <c r="F30" s="428"/>
    </row>
    <row r="31" spans="1:8" ht="18.95" customHeight="1">
      <c r="A31" s="426"/>
      <c r="B31" s="427"/>
      <c r="C31" s="427"/>
      <c r="D31" s="427"/>
      <c r="E31" s="427"/>
      <c r="F31" s="428"/>
    </row>
    <row r="32" spans="1:8" ht="18.95" customHeight="1">
      <c r="A32" s="426"/>
      <c r="B32" s="427"/>
      <c r="C32" s="427"/>
      <c r="D32" s="427"/>
      <c r="E32" s="427"/>
      <c r="F32" s="428"/>
    </row>
    <row r="33" spans="1:15" ht="18.95" customHeight="1">
      <c r="A33" s="426"/>
      <c r="B33" s="427"/>
      <c r="C33" s="427"/>
      <c r="D33" s="427"/>
      <c r="E33" s="427"/>
      <c r="F33" s="428"/>
    </row>
    <row r="34" spans="1:15" ht="18.95" customHeight="1">
      <c r="A34" s="426"/>
      <c r="B34" s="427"/>
      <c r="C34" s="427"/>
      <c r="D34" s="427"/>
      <c r="E34" s="427"/>
      <c r="F34" s="428"/>
    </row>
    <row r="35" spans="1:15" ht="18.95" customHeight="1">
      <c r="A35" s="426"/>
      <c r="B35" s="427"/>
      <c r="C35" s="427"/>
      <c r="D35" s="427"/>
      <c r="E35" s="427"/>
      <c r="F35" s="428"/>
    </row>
    <row r="36" spans="1:15" ht="18.95" customHeight="1">
      <c r="A36" s="426"/>
      <c r="B36" s="427"/>
      <c r="C36" s="427"/>
      <c r="D36" s="427"/>
      <c r="E36" s="427"/>
      <c r="F36" s="428"/>
      <c r="N36" s="543" t="s">
        <v>700</v>
      </c>
      <c r="O36" s="543" t="s">
        <v>701</v>
      </c>
    </row>
    <row r="37" spans="1:15" ht="18.95" customHeight="1">
      <c r="A37" s="426"/>
      <c r="B37" s="427"/>
      <c r="C37" s="427"/>
      <c r="D37" s="427"/>
      <c r="E37" s="427"/>
      <c r="F37" s="428"/>
      <c r="N37" s="543">
        <f xml:space="preserve"> L43 - (L43-L44) / 10 * 0</f>
        <v>3600</v>
      </c>
      <c r="O37" s="543">
        <f xml:space="preserve"> L45 / 10 * 10</f>
        <v>4000</v>
      </c>
    </row>
    <row r="38" spans="1:15" ht="18.95" customHeight="1">
      <c r="A38" s="426"/>
      <c r="B38" s="427"/>
      <c r="C38" s="427"/>
      <c r="D38" s="427"/>
      <c r="E38" s="427"/>
      <c r="F38" s="428"/>
      <c r="N38" s="543">
        <f xml:space="preserve"> L43 - (L43-L44) / 10 * 1</f>
        <v>3596</v>
      </c>
      <c r="O38" s="543">
        <f xml:space="preserve"> L45 / 10 * 9</f>
        <v>3600</v>
      </c>
    </row>
    <row r="39" spans="1:15" ht="18.95" customHeight="1">
      <c r="A39" s="431" t="s">
        <v>557</v>
      </c>
      <c r="B39" s="432" t="s">
        <v>370</v>
      </c>
      <c r="C39" s="542" t="str">
        <f>'Performance Data Sheet 2000HP'!C10</f>
        <v>2374928.4</v>
      </c>
      <c r="D39" s="427"/>
      <c r="E39" s="429" t="s">
        <v>558</v>
      </c>
      <c r="F39" s="433" t="str">
        <f>F10</f>
        <v>DT2M40U</v>
      </c>
      <c r="N39" s="543">
        <f xml:space="preserve"> L43 - (L43-L44) / 10 * 2</f>
        <v>3592</v>
      </c>
      <c r="O39" s="543">
        <f xml:space="preserve"> L45 / 10 * 8</f>
        <v>3200</v>
      </c>
    </row>
    <row r="40" spans="1:15" ht="18.95" customHeight="1">
      <c r="A40" s="426"/>
      <c r="B40" s="432"/>
      <c r="C40" s="432"/>
      <c r="D40" s="427"/>
      <c r="E40" s="427"/>
      <c r="F40" s="428"/>
      <c r="N40" s="543">
        <f xml:space="preserve"> L43 - (L43-L44) / 10 * 3</f>
        <v>3588</v>
      </c>
      <c r="O40" s="543">
        <f xml:space="preserve"> L45 / 10 * 7</f>
        <v>2800</v>
      </c>
    </row>
    <row r="41" spans="1:15" ht="18.95" customHeight="1">
      <c r="A41" s="426"/>
      <c r="B41" s="432"/>
      <c r="C41" s="432"/>
      <c r="D41" s="427"/>
      <c r="E41" s="427"/>
      <c r="F41" s="428"/>
      <c r="N41" s="543">
        <f xml:space="preserve"> L43 - (L43-L44) / 10 * 4</f>
        <v>3584</v>
      </c>
      <c r="O41" s="543">
        <f xml:space="preserve"> L45 / 10 * 6</f>
        <v>2400</v>
      </c>
    </row>
    <row r="42" spans="1:15" ht="18.95" customHeight="1">
      <c r="A42" s="426"/>
      <c r="B42" s="427"/>
      <c r="C42" s="427"/>
      <c r="D42" s="427"/>
      <c r="E42" s="427"/>
      <c r="F42" s="428"/>
      <c r="N42" s="543">
        <f xml:space="preserve"> L43 - (L43-L44) / 10 * 5</f>
        <v>3580</v>
      </c>
      <c r="O42" s="543">
        <f xml:space="preserve"> L45 / 10 * 5</f>
        <v>2000</v>
      </c>
    </row>
    <row r="43" spans="1:15" ht="18.95" customHeight="1">
      <c r="A43" s="434"/>
      <c r="B43" s="432"/>
      <c r="C43" s="435" t="s">
        <v>559</v>
      </c>
      <c r="D43" s="436" t="str">
        <f>'Performance Data Sheet 2000HP'!K42</f>
        <v>JERRY R</v>
      </c>
      <c r="E43" s="435" t="s">
        <v>560</v>
      </c>
      <c r="F43" s="436"/>
      <c r="K43" s="144" t="s">
        <v>697</v>
      </c>
      <c r="L43" s="545">
        <v>3600</v>
      </c>
      <c r="N43" s="543">
        <f xml:space="preserve"> L43 - (L43-L44) / 10 * 6</f>
        <v>3576</v>
      </c>
      <c r="O43" s="543">
        <f xml:space="preserve"> L45 / 10 * 4</f>
        <v>1600</v>
      </c>
    </row>
    <row r="44" spans="1:15" ht="15" customHeight="1">
      <c r="K44" s="144" t="s">
        <v>698</v>
      </c>
      <c r="L44" s="546">
        <v>3560</v>
      </c>
      <c r="N44" s="543">
        <f xml:space="preserve"> L43 - (L43-L44) / 10 * 7</f>
        <v>3572</v>
      </c>
      <c r="O44" s="543">
        <f xml:space="preserve"> L45 / 10 * 3</f>
        <v>1200</v>
      </c>
    </row>
    <row r="45" spans="1:15" ht="15" customHeight="1">
      <c r="K45" s="144" t="s">
        <v>699</v>
      </c>
      <c r="L45" s="546">
        <v>4000</v>
      </c>
      <c r="N45" s="543">
        <f xml:space="preserve"> L43 - (L43-L44) / 10 * 8</f>
        <v>3568</v>
      </c>
      <c r="O45" s="543">
        <f xml:space="preserve"> L45 / 10 * 2</f>
        <v>800</v>
      </c>
    </row>
    <row r="46" spans="1:15" ht="15" customHeight="1">
      <c r="N46" s="543">
        <f xml:space="preserve"> L43 - (L43-L44) / 10 * 9</f>
        <v>3564</v>
      </c>
      <c r="O46" s="543">
        <f xml:space="preserve"> L45 / 10 * 1</f>
        <v>400</v>
      </c>
    </row>
    <row r="47" spans="1:15" ht="15" customHeight="1">
      <c r="N47" s="543">
        <f xml:space="preserve"> L43 - (L43-L44) / 10 * 10</f>
        <v>3560</v>
      </c>
      <c r="O47" s="543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947" t="s">
        <v>695</v>
      </c>
      <c r="B52" s="948"/>
      <c r="C52" s="948"/>
      <c r="D52" s="948"/>
      <c r="E52" s="948"/>
      <c r="F52" s="949"/>
    </row>
    <row r="53" spans="1:6" ht="15" customHeight="1" thickBot="1">
      <c r="A53" s="544" t="s">
        <v>394</v>
      </c>
      <c r="B53" s="544" t="s">
        <v>142</v>
      </c>
      <c r="C53" s="544" t="s">
        <v>120</v>
      </c>
      <c r="D53" s="544" t="s">
        <v>135</v>
      </c>
      <c r="E53" s="544" t="s">
        <v>5</v>
      </c>
      <c r="F53" s="59" t="s">
        <v>586</v>
      </c>
    </row>
    <row r="54" spans="1:6" ht="15" customHeight="1">
      <c r="A54" s="437">
        <v>0</v>
      </c>
      <c r="B54" s="90"/>
      <c r="C54" s="438"/>
      <c r="D54" s="438">
        <v>95.262794416288244</v>
      </c>
      <c r="E54" s="438">
        <v>100</v>
      </c>
      <c r="F54" s="439">
        <f>17700/(L45*1000) * 100</f>
        <v>0.4425</v>
      </c>
    </row>
    <row r="55" spans="1:6" ht="15" customHeight="1">
      <c r="A55" s="440">
        <v>25</v>
      </c>
      <c r="B55" s="441">
        <v>92.900001525878906</v>
      </c>
      <c r="C55" s="68">
        <v>65.599998474121094</v>
      </c>
      <c r="D55" s="68">
        <v>152.95740258776789</v>
      </c>
      <c r="E55" s="68">
        <f xml:space="preserve"> (1.003774*B10-L44)/(L43-L44)*100</f>
        <v>88.796169999999393</v>
      </c>
      <c r="F55" s="72">
        <f xml:space="preserve"> 401360.3/(L45*1000)*100</f>
        <v>10.0340075</v>
      </c>
    </row>
    <row r="56" spans="1:6" ht="15" customHeight="1">
      <c r="A56" s="440">
        <v>50</v>
      </c>
      <c r="B56" s="441">
        <v>95.599998474121094</v>
      </c>
      <c r="C56" s="68">
        <v>84</v>
      </c>
      <c r="D56" s="68">
        <v>232.16407861777321</v>
      </c>
      <c r="E56" s="68">
        <f xml:space="preserve"> (1.002542*B10-L44)/(L43-L44)*100</f>
        <v>77.763610000000654</v>
      </c>
      <c r="F56" s="72">
        <f xml:space="preserve"> 780071.3/(L45*1000)*100</f>
        <v>19.501782500000001</v>
      </c>
    </row>
    <row r="57" spans="1:6">
      <c r="A57" s="440">
        <v>75</v>
      </c>
      <c r="B57" s="441">
        <v>96.300003051757813</v>
      </c>
      <c r="C57" s="68">
        <v>89.400001525878906</v>
      </c>
      <c r="D57" s="68">
        <v>324.96736405879341</v>
      </c>
      <c r="E57" s="68">
        <f xml:space="preserve"> (1.001291*B10-L44)/(L43-L44)*100</f>
        <v>66.560904999998911</v>
      </c>
      <c r="F57" s="72">
        <f xml:space="preserve"> 1162083/(L45*1000)*100</f>
        <v>29.052074999999999</v>
      </c>
    </row>
    <row r="58" spans="1:6">
      <c r="A58" s="440">
        <v>100</v>
      </c>
      <c r="B58" s="441">
        <v>96.5</v>
      </c>
      <c r="C58" s="68">
        <v>91.099998474121094</v>
      </c>
      <c r="D58" s="68">
        <v>424</v>
      </c>
      <c r="E58" s="68">
        <f xml:space="preserve"> (1*B10-L44)/(L43-L44)*100</f>
        <v>55.000000000000007</v>
      </c>
      <c r="F58" s="72">
        <f xml:space="preserve"> 1545646/(L45*1000)*100</f>
        <v>38.641150000000003</v>
      </c>
    </row>
    <row r="59" spans="1:6" ht="13.5" thickBot="1">
      <c r="A59" s="442">
        <v>125</v>
      </c>
      <c r="B59" s="443">
        <v>96.5</v>
      </c>
      <c r="C59" s="444">
        <v>91.5</v>
      </c>
      <c r="D59" s="444">
        <v>528.1889149113274</v>
      </c>
      <c r="E59" s="444">
        <f xml:space="preserve"> (0.9987289*B10-L44)/(L43-L44)*100</f>
        <v>43.617299500000399</v>
      </c>
      <c r="F59" s="81">
        <f xml:space="preserve"> 1933172/(L45*1000)*100</f>
        <v>48.329299999999996</v>
      </c>
    </row>
    <row r="60" spans="1:6">
      <c r="A60" s="445"/>
      <c r="B60" s="370"/>
      <c r="C60" s="370"/>
    </row>
    <row r="61" spans="1:6" ht="13.5" thickBot="1">
      <c r="A61" s="445"/>
      <c r="B61" s="370"/>
      <c r="C61" s="370"/>
    </row>
    <row r="62" spans="1:6" ht="13.5" thickBot="1">
      <c r="A62" s="947" t="s">
        <v>696</v>
      </c>
      <c r="B62" s="948"/>
      <c r="C62" s="948"/>
      <c r="D62" s="948"/>
      <c r="E62" s="948"/>
      <c r="F62" s="949"/>
    </row>
    <row r="63" spans="1:6" ht="13.5" thickBot="1">
      <c r="A63" s="544" t="s">
        <v>394</v>
      </c>
      <c r="B63" s="544" t="s">
        <v>142</v>
      </c>
      <c r="C63" s="544" t="s">
        <v>120</v>
      </c>
      <c r="D63" s="544" t="s">
        <v>135</v>
      </c>
      <c r="E63" s="544" t="s">
        <v>5</v>
      </c>
      <c r="F63" s="59" t="s">
        <v>586</v>
      </c>
    </row>
    <row r="64" spans="1:6">
      <c r="A64" s="437">
        <v>0</v>
      </c>
      <c r="B64" s="90"/>
      <c r="C64" s="438"/>
      <c r="D64" s="438">
        <v>61.625782718794788</v>
      </c>
      <c r="E64" s="438">
        <v>100</v>
      </c>
      <c r="F64" s="439">
        <v>25.273271281831786</v>
      </c>
    </row>
    <row r="65" spans="1:6">
      <c r="A65" s="440">
        <v>25</v>
      </c>
      <c r="B65" s="441">
        <v>92.819419860839844</v>
      </c>
      <c r="C65" s="68">
        <v>65.655029296875</v>
      </c>
      <c r="D65" s="68">
        <v>88.310279846191406</v>
      </c>
      <c r="E65" s="68">
        <v>84.221276827156544</v>
      </c>
      <c r="F65" s="72">
        <v>10.042159634672775</v>
      </c>
    </row>
    <row r="66" spans="1:6">
      <c r="A66" s="440">
        <v>50</v>
      </c>
      <c r="B66" s="441">
        <v>95.555931091308594</v>
      </c>
      <c r="C66" s="68">
        <v>84.036895751953125</v>
      </c>
      <c r="D66" s="68">
        <v>134.03569030761719</v>
      </c>
      <c r="E66" s="68">
        <v>68.732290901243687</v>
      </c>
      <c r="F66" s="72">
        <v>19.509148406053114</v>
      </c>
    </row>
    <row r="67" spans="1:6">
      <c r="A67" s="440">
        <v>75</v>
      </c>
      <c r="B67" s="441">
        <v>96.271759033203125</v>
      </c>
      <c r="C67" s="68">
        <v>89.385169982910156</v>
      </c>
      <c r="D67" s="68">
        <v>187.61820983886719</v>
      </c>
      <c r="E67" s="68">
        <v>52.94123375788331</v>
      </c>
      <c r="F67" s="72">
        <v>29.046133879302275</v>
      </c>
    </row>
    <row r="68" spans="1:6">
      <c r="A68" s="440">
        <v>100</v>
      </c>
      <c r="B68" s="441">
        <v>96.452888488769531</v>
      </c>
      <c r="C68" s="68">
        <v>91.1361083984375</v>
      </c>
      <c r="D68" s="68">
        <v>244.8907470703125</v>
      </c>
      <c r="E68" s="68">
        <v>36.863494571298361</v>
      </c>
      <c r="F68" s="72">
        <v>38.655448926042446</v>
      </c>
    </row>
    <row r="69" spans="1:6" ht="13.5" thickBot="1">
      <c r="A69" s="442">
        <v>125</v>
      </c>
      <c r="B69" s="443">
        <v>96.414482116699219</v>
      </c>
      <c r="C69" s="444">
        <v>91.520805358886719</v>
      </c>
      <c r="D69" s="444">
        <v>304.94815063476563</v>
      </c>
      <c r="E69" s="444">
        <v>20.733087696135044</v>
      </c>
      <c r="F69" s="81">
        <v>48.338559795618998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syncVertical="1" syncRef="A14" transitionEvaluation="1"/>
  <dimension ref="A1:AB43"/>
  <sheetViews>
    <sheetView showGridLines="0" topLeftCell="A14" zoomScaleNormal="100" workbookViewId="0">
      <selection activeCell="N27" sqref="N27"/>
    </sheetView>
  </sheetViews>
  <sheetFormatPr defaultColWidth="9.7109375" defaultRowHeight="12.75"/>
  <cols>
    <col min="1" max="13" width="6.5703125" style="553" customWidth="1"/>
    <col min="14" max="14" width="6.42578125" style="553" customWidth="1"/>
    <col min="15" max="16" width="9.7109375" style="553"/>
    <col min="17" max="17" width="12.85546875" style="553" bestFit="1" customWidth="1"/>
    <col min="18" max="16384" width="9.7109375" style="553"/>
  </cols>
  <sheetData>
    <row r="1" spans="1:17" ht="15.75" customHeight="1">
      <c r="A1" s="547" t="s">
        <v>268</v>
      </c>
      <c r="B1" s="548"/>
      <c r="C1" s="548"/>
      <c r="D1" s="548"/>
      <c r="E1" s="548"/>
      <c r="F1" s="548"/>
      <c r="G1" s="548"/>
      <c r="H1" s="548"/>
      <c r="I1" s="548"/>
      <c r="J1" s="549" t="s">
        <v>587</v>
      </c>
      <c r="K1" s="550"/>
      <c r="L1" s="551" t="s">
        <v>704</v>
      </c>
      <c r="M1" s="552"/>
    </row>
    <row r="2" spans="1:17" ht="15.75" customHeight="1">
      <c r="A2" s="554" t="s">
        <v>589</v>
      </c>
      <c r="B2" s="555"/>
      <c r="C2" s="555"/>
      <c r="D2" s="555"/>
      <c r="E2" s="555"/>
      <c r="F2" s="555"/>
      <c r="G2" s="555"/>
      <c r="H2" s="555"/>
      <c r="I2" s="555"/>
      <c r="J2" s="556" t="s">
        <v>590</v>
      </c>
      <c r="K2" s="557"/>
      <c r="L2" s="558" t="s">
        <v>591</v>
      </c>
      <c r="M2" s="559"/>
    </row>
    <row r="3" spans="1:17" ht="15.75" customHeight="1">
      <c r="A3" s="560"/>
      <c r="B3" s="561"/>
      <c r="C3" s="561"/>
      <c r="D3" s="561"/>
      <c r="E3" s="561"/>
      <c r="F3" s="561"/>
      <c r="G3" s="561"/>
      <c r="H3" s="561"/>
      <c r="I3" s="561"/>
      <c r="J3" s="556" t="s">
        <v>592</v>
      </c>
      <c r="K3" s="557"/>
      <c r="L3" s="965">
        <v>38309</v>
      </c>
      <c r="M3" s="966"/>
    </row>
    <row r="4" spans="1:17" ht="15.75" customHeight="1">
      <c r="A4" s="967" t="s">
        <v>705</v>
      </c>
      <c r="B4" s="968"/>
      <c r="C4" s="968"/>
      <c r="D4" s="968"/>
      <c r="E4" s="968"/>
      <c r="F4" s="968"/>
      <c r="G4" s="968"/>
      <c r="H4" s="968"/>
      <c r="I4" s="969"/>
      <c r="J4" s="556" t="s">
        <v>594</v>
      </c>
      <c r="K4" s="557"/>
      <c r="L4" s="558" t="s">
        <v>706</v>
      </c>
      <c r="M4" s="559"/>
    </row>
    <row r="5" spans="1:17" ht="15.75" customHeight="1">
      <c r="A5" s="967"/>
      <c r="B5" s="970"/>
      <c r="C5" s="970"/>
      <c r="D5" s="970"/>
      <c r="E5" s="970"/>
      <c r="F5" s="970"/>
      <c r="G5" s="970"/>
      <c r="H5" s="970"/>
      <c r="I5" s="971"/>
      <c r="J5" s="556" t="s">
        <v>596</v>
      </c>
      <c r="K5" s="557"/>
      <c r="L5" s="558" t="s">
        <v>707</v>
      </c>
      <c r="M5" s="559"/>
    </row>
    <row r="6" spans="1:17" ht="15.75" customHeight="1">
      <c r="A6" s="562"/>
      <c r="B6" s="561"/>
      <c r="C6" s="561"/>
      <c r="D6" s="561"/>
      <c r="E6" s="561"/>
      <c r="F6" s="561"/>
      <c r="G6" s="561"/>
      <c r="H6" s="561"/>
      <c r="I6" s="561"/>
      <c r="J6" s="556" t="s">
        <v>598</v>
      </c>
      <c r="K6" s="557"/>
      <c r="L6" s="558" t="s">
        <v>599</v>
      </c>
      <c r="M6" s="559"/>
    </row>
    <row r="7" spans="1:17" ht="15.75" customHeight="1" thickBot="1">
      <c r="A7" s="563" t="s">
        <v>708</v>
      </c>
      <c r="B7" s="564"/>
      <c r="C7" s="564"/>
      <c r="D7" s="564"/>
      <c r="E7" s="564"/>
      <c r="F7" s="564"/>
      <c r="G7" s="564"/>
      <c r="H7" s="564"/>
      <c r="I7" s="564"/>
      <c r="J7" s="565" t="s">
        <v>601</v>
      </c>
      <c r="K7" s="566"/>
      <c r="L7" s="567" t="s">
        <v>709</v>
      </c>
      <c r="M7" s="568"/>
    </row>
    <row r="8" spans="1:17" ht="15.75" customHeight="1">
      <c r="A8" s="569"/>
      <c r="B8" s="570"/>
      <c r="C8" s="570"/>
      <c r="D8" s="570"/>
      <c r="E8" s="570"/>
      <c r="F8" s="570"/>
      <c r="G8" s="570"/>
      <c r="H8" s="570"/>
      <c r="I8" s="570"/>
      <c r="J8" s="570"/>
      <c r="K8" s="571"/>
      <c r="L8" s="572"/>
      <c r="M8" s="573"/>
      <c r="N8" s="574"/>
    </row>
    <row r="9" spans="1:17" ht="15.75" customHeight="1">
      <c r="A9" s="475"/>
      <c r="B9" s="476" t="s">
        <v>603</v>
      </c>
      <c r="C9" s="477" t="s">
        <v>768</v>
      </c>
      <c r="D9" s="478"/>
      <c r="E9" s="478"/>
      <c r="F9" s="478"/>
      <c r="G9" s="478"/>
      <c r="H9" s="478"/>
      <c r="I9" s="478"/>
      <c r="J9" s="478"/>
      <c r="K9" s="479"/>
      <c r="L9" s="475"/>
      <c r="M9" s="478"/>
      <c r="N9" s="574"/>
    </row>
    <row r="10" spans="1:17" ht="15.75" customHeight="1">
      <c r="A10" s="475"/>
      <c r="B10" s="476" t="s">
        <v>604</v>
      </c>
      <c r="C10" s="480" t="s">
        <v>769</v>
      </c>
      <c r="D10" s="475"/>
      <c r="E10" s="475"/>
      <c r="F10" s="475"/>
      <c r="G10" s="475"/>
      <c r="H10" s="475"/>
      <c r="I10" s="475"/>
      <c r="J10" s="475"/>
      <c r="K10" s="475"/>
      <c r="L10" s="475"/>
      <c r="M10" s="475"/>
      <c r="N10" s="574"/>
    </row>
    <row r="11" spans="1:17" ht="15.75" customHeight="1" thickBot="1">
      <c r="A11" s="473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574"/>
    </row>
    <row r="12" spans="1:17" ht="15.75" customHeight="1" thickBot="1">
      <c r="A12" s="481" t="s">
        <v>605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</row>
    <row r="13" spans="1:17" ht="14.1" customHeight="1" thickTop="1">
      <c r="A13" s="484"/>
      <c r="B13" s="476" t="s">
        <v>606</v>
      </c>
      <c r="C13" s="536">
        <v>2000</v>
      </c>
      <c r="D13" s="475"/>
      <c r="E13" s="476" t="s">
        <v>607</v>
      </c>
      <c r="F13" s="485">
        <v>4000</v>
      </c>
      <c r="G13" s="475"/>
      <c r="H13" s="476" t="s">
        <v>608</v>
      </c>
      <c r="I13" s="485" t="s">
        <v>692</v>
      </c>
      <c r="J13" s="475"/>
      <c r="K13" s="475"/>
      <c r="L13" s="476" t="s">
        <v>609</v>
      </c>
      <c r="M13" s="486">
        <v>3600</v>
      </c>
    </row>
    <row r="14" spans="1:17" ht="14.1" customHeight="1">
      <c r="A14" s="484"/>
      <c r="B14" s="476" t="s">
        <v>610</v>
      </c>
      <c r="C14" s="537" t="s">
        <v>770</v>
      </c>
      <c r="D14" s="475"/>
      <c r="E14" s="476" t="s">
        <v>611</v>
      </c>
      <c r="F14" s="539" t="s">
        <v>693</v>
      </c>
      <c r="G14" s="475"/>
      <c r="H14" s="476" t="s">
        <v>612</v>
      </c>
      <c r="I14" s="485">
        <v>245</v>
      </c>
      <c r="J14" s="475"/>
      <c r="K14" s="475"/>
      <c r="L14" s="476" t="s">
        <v>552</v>
      </c>
      <c r="M14" s="486">
        <v>3582</v>
      </c>
    </row>
    <row r="15" spans="1:17" ht="14.1" customHeight="1">
      <c r="A15" s="484"/>
      <c r="B15" s="476" t="s">
        <v>613</v>
      </c>
      <c r="C15" s="536" t="s">
        <v>771</v>
      </c>
      <c r="D15" s="475"/>
      <c r="E15" s="476" t="s">
        <v>614</v>
      </c>
      <c r="F15" s="540" t="s">
        <v>694</v>
      </c>
      <c r="G15" s="475"/>
      <c r="H15" s="476" t="s">
        <v>615</v>
      </c>
      <c r="I15" s="487" t="s">
        <v>174</v>
      </c>
      <c r="J15" s="475"/>
      <c r="K15" s="475"/>
      <c r="L15" s="476" t="s">
        <v>616</v>
      </c>
      <c r="M15" s="486" t="s">
        <v>363</v>
      </c>
      <c r="Q15" s="575"/>
    </row>
    <row r="16" spans="1:17" ht="14.1" customHeight="1">
      <c r="A16" s="484"/>
      <c r="B16" s="476" t="s">
        <v>617</v>
      </c>
      <c r="C16" s="536" t="s">
        <v>691</v>
      </c>
      <c r="D16" s="475"/>
      <c r="E16" s="476" t="s">
        <v>618</v>
      </c>
      <c r="F16" s="485" t="s">
        <v>435</v>
      </c>
      <c r="G16" s="475"/>
      <c r="H16" s="488" t="s">
        <v>619</v>
      </c>
      <c r="I16" s="489" t="s">
        <v>363</v>
      </c>
      <c r="J16" s="475"/>
      <c r="K16" s="475"/>
      <c r="L16" s="476" t="s">
        <v>620</v>
      </c>
      <c r="M16" s="486" t="s">
        <v>621</v>
      </c>
    </row>
    <row r="17" spans="1:19" ht="14.1" customHeight="1">
      <c r="A17" s="484"/>
      <c r="B17" s="476" t="s">
        <v>622</v>
      </c>
      <c r="C17" s="537" t="s">
        <v>772</v>
      </c>
      <c r="D17" s="475"/>
      <c r="E17" s="476"/>
      <c r="F17" s="487"/>
      <c r="G17" s="475"/>
      <c r="H17" s="476" t="s">
        <v>623</v>
      </c>
      <c r="I17" s="489" t="s">
        <v>174</v>
      </c>
      <c r="J17" s="475"/>
      <c r="K17" s="475"/>
      <c r="L17" s="476"/>
      <c r="M17" s="490"/>
    </row>
    <row r="18" spans="1:19" ht="14.1" customHeight="1" thickBot="1">
      <c r="A18" s="491"/>
      <c r="B18" s="492" t="s">
        <v>624</v>
      </c>
      <c r="C18" s="538">
        <v>96.2</v>
      </c>
      <c r="D18" s="494"/>
      <c r="E18" s="492" t="s">
        <v>625</v>
      </c>
      <c r="F18" s="493" t="s">
        <v>174</v>
      </c>
      <c r="G18" s="495"/>
      <c r="H18" s="492" t="s">
        <v>626</v>
      </c>
      <c r="I18" s="493">
        <v>91</v>
      </c>
      <c r="J18" s="494"/>
      <c r="K18" s="494"/>
      <c r="L18" s="494"/>
      <c r="M18" s="496"/>
    </row>
    <row r="19" spans="1:19" ht="15.75" customHeight="1">
      <c r="A19" s="574"/>
      <c r="B19" s="574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74"/>
    </row>
    <row r="20" spans="1:19" ht="15.75" customHeight="1" thickBot="1">
      <c r="A20" s="576"/>
      <c r="B20" s="576"/>
      <c r="C20" s="576"/>
      <c r="D20" s="576"/>
      <c r="E20" s="576"/>
      <c r="F20" s="576"/>
      <c r="G20" s="576"/>
      <c r="H20" s="576"/>
      <c r="I20" s="576"/>
      <c r="J20" s="576"/>
      <c r="K20" s="576"/>
      <c r="L20" s="576"/>
      <c r="M20" s="576"/>
    </row>
    <row r="21" spans="1:19" ht="15.75" customHeight="1">
      <c r="A21" s="972" t="s">
        <v>710</v>
      </c>
      <c r="B21" s="973"/>
      <c r="C21" s="973"/>
      <c r="D21" s="973"/>
      <c r="E21" s="973"/>
      <c r="F21" s="973"/>
      <c r="G21" s="974">
        <v>6.9900000000000004E-2</v>
      </c>
      <c r="H21" s="974"/>
      <c r="I21" s="974"/>
      <c r="J21" s="975"/>
      <c r="K21" s="577"/>
      <c r="L21" s="577"/>
      <c r="M21" s="577"/>
    </row>
    <row r="22" spans="1:19" ht="15.75" customHeight="1">
      <c r="A22" s="953" t="s">
        <v>711</v>
      </c>
      <c r="B22" s="954"/>
      <c r="C22" s="954"/>
      <c r="D22" s="954"/>
      <c r="E22" s="954"/>
      <c r="F22" s="954"/>
      <c r="G22" s="963">
        <v>7.2900000000000006E-2</v>
      </c>
      <c r="H22" s="963"/>
      <c r="I22" s="963"/>
      <c r="J22" s="964"/>
      <c r="K22" s="578"/>
      <c r="L22" s="578"/>
      <c r="M22" s="578"/>
    </row>
    <row r="23" spans="1:19" ht="15.75" customHeight="1">
      <c r="A23" s="953" t="s">
        <v>712</v>
      </c>
      <c r="B23" s="954"/>
      <c r="C23" s="954"/>
      <c r="D23" s="954"/>
      <c r="E23" s="954"/>
      <c r="F23" s="954"/>
      <c r="G23" s="963">
        <v>2.92E-2</v>
      </c>
      <c r="H23" s="963"/>
      <c r="I23" s="963"/>
      <c r="J23" s="964"/>
      <c r="K23" s="579"/>
      <c r="L23" s="579"/>
      <c r="M23" s="579"/>
      <c r="Q23" s="580"/>
    </row>
    <row r="24" spans="1:19" ht="15.75" customHeight="1">
      <c r="A24" s="953"/>
      <c r="B24" s="954"/>
      <c r="C24" s="954"/>
      <c r="D24" s="954"/>
      <c r="E24" s="954"/>
      <c r="F24" s="954"/>
      <c r="G24" s="957"/>
      <c r="H24" s="957"/>
      <c r="I24" s="957"/>
      <c r="J24" s="958"/>
      <c r="K24" s="581"/>
      <c r="L24" s="581"/>
      <c r="M24" s="582"/>
      <c r="N24" s="574"/>
      <c r="P24" s="583"/>
      <c r="S24" s="583"/>
    </row>
    <row r="25" spans="1:19" ht="15.75" customHeight="1">
      <c r="A25" s="953" t="s">
        <v>713</v>
      </c>
      <c r="B25" s="954"/>
      <c r="C25" s="954"/>
      <c r="D25" s="954"/>
      <c r="E25" s="954"/>
      <c r="F25" s="954"/>
      <c r="G25" s="957">
        <v>1.0309999999999999</v>
      </c>
      <c r="H25" s="957"/>
      <c r="I25" s="957"/>
      <c r="J25" s="958"/>
      <c r="K25" s="584"/>
      <c r="L25" s="584"/>
      <c r="M25" s="577"/>
      <c r="N25" s="574"/>
      <c r="Q25" s="585"/>
    </row>
    <row r="26" spans="1:19" ht="15.75" customHeight="1">
      <c r="A26" s="953" t="s">
        <v>714</v>
      </c>
      <c r="B26" s="954"/>
      <c r="C26" s="954"/>
      <c r="D26" s="954"/>
      <c r="E26" s="954"/>
      <c r="F26" s="954"/>
      <c r="G26" s="957">
        <v>1.0149999999999999</v>
      </c>
      <c r="H26" s="957"/>
      <c r="I26" s="957"/>
      <c r="J26" s="958"/>
      <c r="K26" s="586"/>
      <c r="L26" s="586"/>
      <c r="M26" s="577"/>
      <c r="N26" s="574"/>
      <c r="P26" s="587"/>
    </row>
    <row r="27" spans="1:19" ht="15.75" customHeight="1">
      <c r="A27" s="953" t="s">
        <v>715</v>
      </c>
      <c r="B27" s="954"/>
      <c r="C27" s="954"/>
      <c r="D27" s="954"/>
      <c r="E27" s="954"/>
      <c r="F27" s="954"/>
      <c r="G27" s="957">
        <v>0.65200000000000002</v>
      </c>
      <c r="H27" s="957"/>
      <c r="I27" s="957"/>
      <c r="J27" s="958"/>
      <c r="K27" s="588"/>
      <c r="L27" s="588"/>
      <c r="M27" s="577"/>
      <c r="N27" s="574"/>
    </row>
    <row r="28" spans="1:19" ht="15.75" customHeight="1">
      <c r="A28" s="953"/>
      <c r="B28" s="954"/>
      <c r="C28" s="954"/>
      <c r="D28" s="954"/>
      <c r="E28" s="954"/>
      <c r="F28" s="954"/>
      <c r="G28" s="957"/>
      <c r="H28" s="957"/>
      <c r="I28" s="957"/>
      <c r="J28" s="958"/>
      <c r="K28" s="588"/>
      <c r="L28" s="577"/>
      <c r="M28" s="577"/>
      <c r="N28" s="574"/>
    </row>
    <row r="29" spans="1:19" ht="15.75" customHeight="1">
      <c r="A29" s="953" t="s">
        <v>716</v>
      </c>
      <c r="B29" s="954"/>
      <c r="C29" s="954"/>
      <c r="D29" s="954"/>
      <c r="E29" s="954"/>
      <c r="F29" s="954"/>
      <c r="G29" s="955">
        <v>41.9</v>
      </c>
      <c r="H29" s="955"/>
      <c r="I29" s="955"/>
      <c r="J29" s="956"/>
      <c r="K29" s="577"/>
      <c r="L29" s="577"/>
      <c r="M29" s="589"/>
      <c r="N29" s="574"/>
      <c r="P29" s="590"/>
    </row>
    <row r="30" spans="1:19" ht="15.75" customHeight="1">
      <c r="A30" s="953"/>
      <c r="B30" s="954"/>
      <c r="C30" s="954"/>
      <c r="D30" s="954"/>
      <c r="E30" s="954"/>
      <c r="F30" s="954"/>
      <c r="G30" s="955"/>
      <c r="H30" s="955"/>
      <c r="I30" s="955"/>
      <c r="J30" s="956"/>
      <c r="K30" s="584"/>
      <c r="L30" s="584"/>
      <c r="M30" s="582"/>
      <c r="N30" s="574"/>
    </row>
    <row r="31" spans="1:19" ht="15.75" customHeight="1">
      <c r="A31" s="953" t="s">
        <v>717</v>
      </c>
      <c r="B31" s="954"/>
      <c r="C31" s="954"/>
      <c r="D31" s="954"/>
      <c r="E31" s="954"/>
      <c r="F31" s="954"/>
      <c r="G31" s="955">
        <v>2.2999999999999998</v>
      </c>
      <c r="H31" s="955"/>
      <c r="I31" s="955"/>
      <c r="J31" s="956"/>
      <c r="K31" s="577"/>
      <c r="L31" s="577"/>
      <c r="M31" s="582"/>
      <c r="N31" s="574"/>
      <c r="P31" s="591"/>
    </row>
    <row r="32" spans="1:19" ht="15.75" customHeight="1">
      <c r="A32" s="953" t="s">
        <v>718</v>
      </c>
      <c r="B32" s="954"/>
      <c r="C32" s="954"/>
      <c r="D32" s="954"/>
      <c r="E32" s="954"/>
      <c r="F32" s="954"/>
      <c r="G32" s="955">
        <v>1.7</v>
      </c>
      <c r="H32" s="955"/>
      <c r="I32" s="955"/>
      <c r="J32" s="956"/>
      <c r="K32" s="577"/>
      <c r="L32" s="577"/>
      <c r="M32" s="582"/>
      <c r="N32" s="574"/>
    </row>
    <row r="33" spans="1:28" ht="15.75" customHeight="1">
      <c r="A33" s="953" t="s">
        <v>719</v>
      </c>
      <c r="B33" s="954"/>
      <c r="C33" s="954"/>
      <c r="D33" s="954"/>
      <c r="E33" s="954"/>
      <c r="F33" s="954"/>
      <c r="G33" s="955">
        <v>1.0509999999999999</v>
      </c>
      <c r="H33" s="955"/>
      <c r="I33" s="955"/>
      <c r="J33" s="956"/>
      <c r="K33" s="582"/>
      <c r="L33" s="582"/>
      <c r="M33" s="582"/>
      <c r="N33" s="574"/>
      <c r="P33" s="591"/>
    </row>
    <row r="34" spans="1:28" ht="15.75" customHeight="1">
      <c r="A34" s="953" t="s">
        <v>720</v>
      </c>
      <c r="B34" s="954"/>
      <c r="C34" s="954"/>
      <c r="D34" s="954"/>
      <c r="E34" s="954"/>
      <c r="F34" s="954"/>
      <c r="G34" s="957">
        <v>1.0999999999999999E-2</v>
      </c>
      <c r="H34" s="957"/>
      <c r="I34" s="957"/>
      <c r="J34" s="958"/>
      <c r="M34" s="582"/>
      <c r="N34" s="574"/>
    </row>
    <row r="35" spans="1:28" ht="15.75" customHeight="1" thickBot="1">
      <c r="A35" s="959" t="s">
        <v>721</v>
      </c>
      <c r="B35" s="960"/>
      <c r="C35" s="960"/>
      <c r="D35" s="960"/>
      <c r="E35" s="960"/>
      <c r="F35" s="960"/>
      <c r="G35" s="961">
        <v>1.56</v>
      </c>
      <c r="H35" s="961"/>
      <c r="I35" s="961"/>
      <c r="J35" s="962"/>
      <c r="M35" s="582"/>
      <c r="N35" s="574"/>
      <c r="T35" s="592"/>
      <c r="U35" s="592"/>
      <c r="V35" s="593"/>
      <c r="W35" s="593"/>
      <c r="X35" s="593"/>
      <c r="Y35" s="593"/>
      <c r="Z35" s="594"/>
      <c r="AA35" s="595"/>
      <c r="AB35" s="596"/>
    </row>
    <row r="36" spans="1:28" ht="15.75" customHeight="1">
      <c r="A36" s="597"/>
      <c r="E36" s="588"/>
      <c r="F36" s="588"/>
      <c r="G36" s="588"/>
      <c r="H36" s="577"/>
      <c r="I36" s="577"/>
      <c r="M36" s="582"/>
      <c r="N36" s="574"/>
      <c r="T36" s="593"/>
      <c r="U36" s="593"/>
      <c r="V36" s="593"/>
      <c r="W36" s="593"/>
      <c r="X36" s="596"/>
      <c r="Y36" s="593"/>
      <c r="Z36" s="951"/>
      <c r="AA36" s="951"/>
      <c r="AB36" s="950"/>
    </row>
    <row r="37" spans="1:28" ht="15.75" customHeight="1">
      <c r="A37" s="597"/>
      <c r="E37" s="598"/>
      <c r="F37" s="598"/>
      <c r="G37" s="598"/>
      <c r="H37" s="589"/>
      <c r="I37" s="589"/>
      <c r="M37" s="582"/>
      <c r="N37" s="574"/>
      <c r="T37" s="593"/>
      <c r="U37" s="593"/>
      <c r="V37" s="593"/>
      <c r="W37" s="593"/>
      <c r="X37" s="593"/>
      <c r="Y37" s="593"/>
      <c r="Z37" s="951"/>
      <c r="AA37" s="951"/>
      <c r="AB37" s="950"/>
    </row>
    <row r="38" spans="1:28" ht="15.75" customHeight="1">
      <c r="A38" s="597"/>
      <c r="B38" s="582"/>
      <c r="C38" s="582"/>
      <c r="D38" s="599"/>
      <c r="E38" s="598"/>
      <c r="F38" s="598"/>
      <c r="G38" s="598"/>
      <c r="H38" s="589"/>
      <c r="I38" s="589"/>
      <c r="J38" s="582"/>
      <c r="K38" s="582"/>
      <c r="L38" s="582"/>
      <c r="M38" s="582"/>
      <c r="N38" s="574"/>
      <c r="T38" s="600"/>
      <c r="U38" s="600"/>
      <c r="V38" s="600"/>
      <c r="W38" s="600"/>
      <c r="X38" s="600"/>
      <c r="Y38" s="600"/>
      <c r="Z38" s="952"/>
      <c r="AA38" s="952"/>
      <c r="AB38" s="601"/>
    </row>
    <row r="39" spans="1:28" ht="15.75" customHeight="1">
      <c r="A39" s="574"/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61"/>
    </row>
    <row r="40" spans="1:28" ht="15.75" customHeight="1">
      <c r="A40" s="602"/>
      <c r="B40" s="574"/>
      <c r="C40" s="603"/>
      <c r="D40" s="604"/>
      <c r="E40" s="574"/>
      <c r="F40" s="574"/>
      <c r="G40" s="574"/>
      <c r="H40" s="561"/>
      <c r="I40" s="605" t="s">
        <v>648</v>
      </c>
      <c r="J40" s="606" t="s">
        <v>773</v>
      </c>
      <c r="K40" s="607"/>
      <c r="L40" s="607"/>
      <c r="M40" s="607"/>
      <c r="N40" s="574"/>
    </row>
    <row r="41" spans="1:28" ht="15.75" customHeight="1">
      <c r="A41" s="574"/>
      <c r="B41" s="574"/>
      <c r="C41" s="574"/>
      <c r="D41" s="574"/>
      <c r="E41" s="574"/>
      <c r="F41" s="574"/>
      <c r="G41" s="574"/>
      <c r="H41" s="574"/>
      <c r="I41" s="574"/>
      <c r="J41" s="561"/>
      <c r="K41" s="561"/>
      <c r="L41" s="561"/>
      <c r="M41" s="561"/>
    </row>
    <row r="42" spans="1:28" ht="15.75" customHeight="1">
      <c r="A42" s="574"/>
      <c r="B42" s="574"/>
      <c r="C42" s="574"/>
      <c r="D42" s="574"/>
      <c r="E42" s="574"/>
      <c r="F42" s="574"/>
      <c r="G42" s="574"/>
      <c r="H42" s="561"/>
      <c r="I42" s="605" t="s">
        <v>649</v>
      </c>
      <c r="J42" s="608">
        <v>43977</v>
      </c>
      <c r="K42" s="608"/>
      <c r="L42" s="608"/>
      <c r="M42" s="608"/>
    </row>
    <row r="43" spans="1:28" ht="15.95" customHeight="1"/>
  </sheetData>
  <mergeCells count="37">
    <mergeCell ref="A22:F22"/>
    <mergeCell ref="G22:J22"/>
    <mergeCell ref="L3:M3"/>
    <mergeCell ref="A4:I4"/>
    <mergeCell ref="A5:I5"/>
    <mergeCell ref="A21:F21"/>
    <mergeCell ref="G21:J21"/>
    <mergeCell ref="A23:F23"/>
    <mergeCell ref="G23:J23"/>
    <mergeCell ref="A24:F24"/>
    <mergeCell ref="G24:J24"/>
    <mergeCell ref="A25:F25"/>
    <mergeCell ref="G25:J25"/>
    <mergeCell ref="A26:F26"/>
    <mergeCell ref="G26:J26"/>
    <mergeCell ref="A27:F27"/>
    <mergeCell ref="G27:J27"/>
    <mergeCell ref="A28:F28"/>
    <mergeCell ref="G28:J28"/>
    <mergeCell ref="A29:F29"/>
    <mergeCell ref="G29:J29"/>
    <mergeCell ref="A30:F30"/>
    <mergeCell ref="G30:J30"/>
    <mergeCell ref="A31:F31"/>
    <mergeCell ref="G31:J31"/>
    <mergeCell ref="AB36:AB37"/>
    <mergeCell ref="Z37:AA37"/>
    <mergeCell ref="Z38:AA38"/>
    <mergeCell ref="A32:F32"/>
    <mergeCell ref="G32:J32"/>
    <mergeCell ref="A33:F33"/>
    <mergeCell ref="G33:J33"/>
    <mergeCell ref="A34:F34"/>
    <mergeCell ref="G34:J34"/>
    <mergeCell ref="A35:F35"/>
    <mergeCell ref="G35:J35"/>
    <mergeCell ref="Z36:AA36"/>
  </mergeCells>
  <dataValidations count="3">
    <dataValidation type="list" errorStyle="warning" allowBlank="1" showInputMessage="1" showErrorMessage="1" error="You should choose from the list!" prompt="Choose Enclosure Type" sqref="F14" xr:uid="{00000000-0002-0000-0800-000000000000}">
      <formula1>$A$60:$A$62</formula1>
    </dataValidation>
    <dataValidation type="list" allowBlank="1" showInputMessage="1" showErrorMessage="1" prompt="Pick from list" sqref="F15" xr:uid="{00000000-0002-0000-0800-000001000000}">
      <formula1>$D$60:$D$61</formula1>
    </dataValidation>
    <dataValidation type="list" allowBlank="1" showInputMessage="1" showErrorMessage="1" prompt="Pick one!" sqref="I15" xr:uid="{00000000-0002-0000-0800-000002000000}">
      <formula1>$E$60:$E$62</formula1>
    </dataValidation>
  </dataValidations>
  <printOptions horizontalCentered="1" gridLinesSet="0"/>
  <pageMargins left="0.5" right="0.5" top="0.5" bottom="0.5" header="0.5" footer="0.5"/>
  <pageSetup scale="94" orientation="portrait" horizontalDpi="4294967292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syncVertical="1" syncRef="A23" transitionEvaluation="1"/>
  <dimension ref="A1:U54"/>
  <sheetViews>
    <sheetView showGridLines="0" topLeftCell="A23" zoomScaleNormal="100" workbookViewId="0">
      <selection activeCell="A46" sqref="A46:M46"/>
    </sheetView>
  </sheetViews>
  <sheetFormatPr defaultColWidth="12.5703125" defaultRowHeight="15.75"/>
  <cols>
    <col min="1" max="3" width="7" style="614" customWidth="1"/>
    <col min="4" max="4" width="8.28515625" style="614" customWidth="1"/>
    <col min="5" max="5" width="7" style="614" customWidth="1"/>
    <col min="6" max="6" width="7.5703125" style="614" customWidth="1"/>
    <col min="7" max="13" width="7" style="614" customWidth="1"/>
    <col min="14" max="14" width="7.140625" style="614" customWidth="1"/>
    <col min="15" max="16384" width="12.5703125" style="614"/>
  </cols>
  <sheetData>
    <row r="1" spans="1:17" ht="17.100000000000001" customHeight="1">
      <c r="A1" s="609" t="s">
        <v>268</v>
      </c>
      <c r="B1" s="610"/>
      <c r="C1" s="610"/>
      <c r="D1" s="610"/>
      <c r="E1" s="610"/>
      <c r="F1" s="610"/>
      <c r="G1" s="610"/>
      <c r="H1" s="610"/>
      <c r="I1" s="610"/>
      <c r="J1" s="611" t="s">
        <v>587</v>
      </c>
      <c r="K1" s="612"/>
      <c r="L1" s="1018" t="s">
        <v>722</v>
      </c>
      <c r="M1" s="1019"/>
      <c r="N1" s="613"/>
    </row>
    <row r="2" spans="1:17" ht="17.100000000000001" customHeight="1">
      <c r="A2" s="615" t="s">
        <v>589</v>
      </c>
      <c r="B2" s="616"/>
      <c r="C2" s="616"/>
      <c r="D2" s="616"/>
      <c r="E2" s="616"/>
      <c r="F2" s="616"/>
      <c r="G2" s="616"/>
      <c r="H2" s="616"/>
      <c r="I2" s="616"/>
      <c r="J2" s="617" t="s">
        <v>590</v>
      </c>
      <c r="K2" s="618"/>
      <c r="L2" s="619" t="s">
        <v>591</v>
      </c>
      <c r="M2" s="620"/>
      <c r="N2" s="613"/>
    </row>
    <row r="3" spans="1:17" ht="15.95" customHeight="1">
      <c r="A3" s="621"/>
      <c r="B3" s="622"/>
      <c r="C3" s="622"/>
      <c r="D3" s="622"/>
      <c r="E3" s="622"/>
      <c r="F3" s="622"/>
      <c r="G3" s="622"/>
      <c r="H3" s="622"/>
      <c r="I3" s="622"/>
      <c r="J3" s="617" t="s">
        <v>592</v>
      </c>
      <c r="K3" s="618"/>
      <c r="L3" s="1020" t="s">
        <v>723</v>
      </c>
      <c r="M3" s="1021"/>
      <c r="N3" s="613"/>
    </row>
    <row r="4" spans="1:17" ht="15.95" customHeight="1">
      <c r="A4" s="623"/>
      <c r="B4" s="622"/>
      <c r="C4" s="622"/>
      <c r="D4" s="622"/>
      <c r="E4" s="622"/>
      <c r="F4" s="622"/>
      <c r="G4" s="622"/>
      <c r="H4" s="622"/>
      <c r="I4" s="622"/>
      <c r="J4" s="617" t="s">
        <v>594</v>
      </c>
      <c r="K4" s="618"/>
      <c r="L4" s="1022" t="s">
        <v>706</v>
      </c>
      <c r="M4" s="1023"/>
      <c r="N4" s="613"/>
    </row>
    <row r="5" spans="1:17" ht="15.95" customHeight="1">
      <c r="A5" s="621"/>
      <c r="B5" s="622"/>
      <c r="C5" s="622"/>
      <c r="D5" s="622"/>
      <c r="E5" s="622"/>
      <c r="F5" s="622"/>
      <c r="G5" s="622"/>
      <c r="H5" s="622"/>
      <c r="I5" s="622"/>
      <c r="J5" s="617" t="s">
        <v>596</v>
      </c>
      <c r="K5" s="618"/>
      <c r="L5" s="1022">
        <v>0</v>
      </c>
      <c r="M5" s="1024"/>
      <c r="N5" s="613"/>
    </row>
    <row r="6" spans="1:17" ht="15.95" customHeight="1">
      <c r="A6" s="624" t="s">
        <v>597</v>
      </c>
      <c r="B6" s="622"/>
      <c r="C6" s="622"/>
      <c r="D6" s="622"/>
      <c r="E6" s="622"/>
      <c r="F6" s="622"/>
      <c r="G6" s="622"/>
      <c r="H6" s="622"/>
      <c r="I6" s="622"/>
      <c r="J6" s="617" t="s">
        <v>598</v>
      </c>
      <c r="K6" s="618"/>
      <c r="L6" s="1022" t="s">
        <v>724</v>
      </c>
      <c r="M6" s="1024"/>
      <c r="N6" s="613"/>
    </row>
    <row r="7" spans="1:17" ht="15.95" customHeight="1" thickBot="1">
      <c r="A7" s="625" t="s">
        <v>725</v>
      </c>
      <c r="B7" s="626"/>
      <c r="C7" s="626"/>
      <c r="D7" s="626"/>
      <c r="E7" s="626"/>
      <c r="F7" s="626"/>
      <c r="G7" s="626"/>
      <c r="H7" s="626"/>
      <c r="I7" s="626"/>
      <c r="J7" s="627" t="s">
        <v>601</v>
      </c>
      <c r="K7" s="628"/>
      <c r="L7" s="1025" t="s">
        <v>726</v>
      </c>
      <c r="M7" s="1026"/>
      <c r="N7" s="613"/>
    </row>
    <row r="8" spans="1:17" ht="6.75" customHeight="1">
      <c r="A8" s="629"/>
      <c r="B8" s="622"/>
      <c r="C8" s="622"/>
      <c r="D8" s="622"/>
      <c r="E8" s="622"/>
      <c r="F8" s="622"/>
      <c r="G8" s="622"/>
      <c r="H8" s="622"/>
      <c r="I8" s="622"/>
      <c r="J8" s="622"/>
      <c r="K8" s="630"/>
      <c r="L8" s="631"/>
      <c r="M8" s="632"/>
      <c r="N8" s="622"/>
    </row>
    <row r="9" spans="1:17" ht="12" customHeight="1">
      <c r="A9" s="475"/>
      <c r="B9" s="476" t="s">
        <v>603</v>
      </c>
      <c r="C9" s="477" t="s">
        <v>768</v>
      </c>
      <c r="D9" s="478"/>
      <c r="E9" s="478"/>
      <c r="F9" s="478"/>
      <c r="G9" s="478"/>
      <c r="H9" s="478"/>
      <c r="I9" s="478"/>
      <c r="J9" s="478"/>
      <c r="K9" s="479"/>
      <c r="L9" s="475"/>
      <c r="M9" s="478"/>
      <c r="N9" s="622"/>
    </row>
    <row r="10" spans="1:17" ht="12" customHeight="1">
      <c r="A10" s="475"/>
      <c r="B10" s="476" t="s">
        <v>604</v>
      </c>
      <c r="C10" s="480" t="s">
        <v>769</v>
      </c>
      <c r="D10" s="475"/>
      <c r="E10" s="475"/>
      <c r="F10" s="475"/>
      <c r="G10" s="475"/>
      <c r="H10" s="475"/>
      <c r="I10" s="475"/>
      <c r="J10" s="475"/>
      <c r="K10" s="475"/>
      <c r="L10" s="475"/>
      <c r="M10" s="475"/>
      <c r="N10" s="631"/>
    </row>
    <row r="11" spans="1:17" ht="6.75" customHeight="1" thickBot="1">
      <c r="A11" s="473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631"/>
    </row>
    <row r="12" spans="1:17" ht="20.100000000000001" customHeight="1" thickBot="1">
      <c r="A12" s="481" t="s">
        <v>605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613"/>
    </row>
    <row r="13" spans="1:17" ht="12.95" customHeight="1" thickTop="1">
      <c r="A13" s="484"/>
      <c r="B13" s="476" t="s">
        <v>606</v>
      </c>
      <c r="C13" s="536">
        <v>2000</v>
      </c>
      <c r="D13" s="475"/>
      <c r="E13" s="476" t="s">
        <v>607</v>
      </c>
      <c r="F13" s="485">
        <v>4000</v>
      </c>
      <c r="G13" s="475"/>
      <c r="H13" s="476" t="s">
        <v>608</v>
      </c>
      <c r="I13" s="485" t="s">
        <v>692</v>
      </c>
      <c r="J13" s="475"/>
      <c r="K13" s="475"/>
      <c r="L13" s="476" t="s">
        <v>609</v>
      </c>
      <c r="M13" s="486">
        <v>3600</v>
      </c>
      <c r="N13" s="613"/>
    </row>
    <row r="14" spans="1:17" ht="12.95" customHeight="1">
      <c r="A14" s="484"/>
      <c r="B14" s="476" t="s">
        <v>610</v>
      </c>
      <c r="C14" s="537" t="s">
        <v>770</v>
      </c>
      <c r="D14" s="475"/>
      <c r="E14" s="476" t="s">
        <v>611</v>
      </c>
      <c r="F14" s="539" t="s">
        <v>693</v>
      </c>
      <c r="G14" s="475"/>
      <c r="H14" s="476" t="s">
        <v>612</v>
      </c>
      <c r="I14" s="485">
        <v>245</v>
      </c>
      <c r="J14" s="475"/>
      <c r="K14" s="475"/>
      <c r="L14" s="476" t="s">
        <v>552</v>
      </c>
      <c r="M14" s="486">
        <v>3582</v>
      </c>
      <c r="N14" s="613"/>
    </row>
    <row r="15" spans="1:17" ht="12.95" customHeight="1">
      <c r="A15" s="484"/>
      <c r="B15" s="476" t="s">
        <v>613</v>
      </c>
      <c r="C15" s="536" t="s">
        <v>771</v>
      </c>
      <c r="D15" s="475"/>
      <c r="E15" s="476" t="s">
        <v>614</v>
      </c>
      <c r="F15" s="540" t="s">
        <v>694</v>
      </c>
      <c r="G15" s="475"/>
      <c r="H15" s="476" t="s">
        <v>615</v>
      </c>
      <c r="I15" s="487" t="s">
        <v>174</v>
      </c>
      <c r="J15" s="475"/>
      <c r="K15" s="475"/>
      <c r="L15" s="476" t="s">
        <v>616</v>
      </c>
      <c r="M15" s="486" t="s">
        <v>363</v>
      </c>
      <c r="N15" s="613"/>
      <c r="Q15" s="575"/>
    </row>
    <row r="16" spans="1:17" ht="12.95" customHeight="1">
      <c r="A16" s="484"/>
      <c r="B16" s="476" t="s">
        <v>617</v>
      </c>
      <c r="C16" s="536" t="s">
        <v>691</v>
      </c>
      <c r="D16" s="475"/>
      <c r="E16" s="476" t="s">
        <v>618</v>
      </c>
      <c r="F16" s="485" t="s">
        <v>435</v>
      </c>
      <c r="G16" s="475"/>
      <c r="H16" s="488" t="s">
        <v>619</v>
      </c>
      <c r="I16" s="489" t="s">
        <v>363</v>
      </c>
      <c r="J16" s="475"/>
      <c r="K16" s="475"/>
      <c r="L16" s="476" t="s">
        <v>620</v>
      </c>
      <c r="M16" s="486" t="s">
        <v>621</v>
      </c>
      <c r="N16" s="613"/>
    </row>
    <row r="17" spans="1:14" ht="12.95" customHeight="1">
      <c r="A17" s="484"/>
      <c r="B17" s="476" t="s">
        <v>622</v>
      </c>
      <c r="C17" s="537" t="s">
        <v>772</v>
      </c>
      <c r="D17" s="475"/>
      <c r="E17" s="476"/>
      <c r="F17" s="487"/>
      <c r="G17" s="475"/>
      <c r="H17" s="476" t="s">
        <v>623</v>
      </c>
      <c r="I17" s="489" t="s">
        <v>174</v>
      </c>
      <c r="J17" s="475"/>
      <c r="K17" s="475"/>
      <c r="L17" s="476"/>
      <c r="M17" s="490"/>
      <c r="N17" s="613"/>
    </row>
    <row r="18" spans="1:14" ht="12.95" customHeight="1" thickBot="1">
      <c r="A18" s="491"/>
      <c r="B18" s="492" t="s">
        <v>624</v>
      </c>
      <c r="C18" s="538">
        <v>96.2</v>
      </c>
      <c r="D18" s="494"/>
      <c r="E18" s="492" t="s">
        <v>625</v>
      </c>
      <c r="F18" s="493" t="s">
        <v>174</v>
      </c>
      <c r="G18" s="495"/>
      <c r="H18" s="492" t="s">
        <v>626</v>
      </c>
      <c r="I18" s="493">
        <v>91</v>
      </c>
      <c r="J18" s="494"/>
      <c r="K18" s="494"/>
      <c r="L18" s="494"/>
      <c r="M18" s="496"/>
      <c r="N18" s="613"/>
    </row>
    <row r="19" spans="1:14" ht="16.5" thickBot="1"/>
    <row r="20" spans="1:14" ht="16.5" thickBot="1">
      <c r="A20" s="1027" t="s">
        <v>727</v>
      </c>
      <c r="B20" s="1028"/>
      <c r="C20" s="1028"/>
      <c r="D20" s="1028"/>
      <c r="E20" s="1028"/>
      <c r="F20" s="1028"/>
      <c r="G20" s="1028"/>
      <c r="H20" s="1028"/>
      <c r="I20" s="1028"/>
      <c r="J20" s="1028"/>
      <c r="K20" s="1028"/>
      <c r="L20" s="1028"/>
      <c r="M20" s="1029"/>
    </row>
    <row r="21" spans="1:14" ht="16.5" thickTop="1">
      <c r="A21" s="633"/>
      <c r="B21" s="634"/>
      <c r="C21" s="635"/>
      <c r="D21" s="636" t="s">
        <v>728</v>
      </c>
      <c r="E21" s="637" t="s">
        <v>781</v>
      </c>
      <c r="F21" s="638"/>
      <c r="G21" s="635"/>
      <c r="H21" s="635"/>
      <c r="I21" s="636" t="s">
        <v>729</v>
      </c>
      <c r="J21" s="639">
        <v>0.223</v>
      </c>
      <c r="K21" s="638"/>
      <c r="L21" s="638"/>
      <c r="M21" s="640"/>
    </row>
    <row r="22" spans="1:14" ht="16.5" thickBot="1">
      <c r="A22" s="641"/>
      <c r="B22" s="642"/>
      <c r="C22" s="642"/>
      <c r="D22" s="643" t="s">
        <v>730</v>
      </c>
      <c r="E22" s="644" t="s">
        <v>782</v>
      </c>
      <c r="F22" s="645"/>
      <c r="G22" s="642"/>
      <c r="H22" s="642"/>
      <c r="I22" s="642"/>
      <c r="J22" s="642"/>
      <c r="K22" s="642"/>
      <c r="L22" s="642"/>
      <c r="M22" s="646"/>
    </row>
    <row r="23" spans="1:14" ht="16.5" thickBot="1"/>
    <row r="24" spans="1:14" ht="16.5" thickBot="1">
      <c r="A24" s="1027" t="s">
        <v>731</v>
      </c>
      <c r="B24" s="1028"/>
      <c r="C24" s="1028"/>
      <c r="D24" s="1028"/>
      <c r="E24" s="1028"/>
      <c r="F24" s="1029"/>
      <c r="G24" s="647"/>
      <c r="H24" s="1027" t="s">
        <v>732</v>
      </c>
      <c r="I24" s="1028"/>
      <c r="J24" s="1028"/>
      <c r="K24" s="1028"/>
      <c r="L24" s="1028"/>
      <c r="M24" s="1029"/>
    </row>
    <row r="25" spans="1:14" ht="17.25" thickTop="1" thickBot="1">
      <c r="A25" s="648"/>
      <c r="B25" s="635"/>
      <c r="C25" s="636"/>
      <c r="D25" s="636"/>
      <c r="E25" s="636" t="s">
        <v>733</v>
      </c>
      <c r="F25" s="649">
        <v>1549</v>
      </c>
      <c r="G25" s="650"/>
      <c r="H25" s="635"/>
      <c r="I25" s="635"/>
      <c r="J25" s="651" t="s">
        <v>734</v>
      </c>
      <c r="K25" s="1015" t="s">
        <v>780</v>
      </c>
      <c r="L25" s="1016"/>
      <c r="M25" s="1017"/>
    </row>
    <row r="26" spans="1:14" ht="17.25" thickTop="1" thickBot="1">
      <c r="A26" s="652"/>
      <c r="D26" s="653"/>
      <c r="E26" s="653" t="s">
        <v>735</v>
      </c>
      <c r="F26" s="654">
        <v>135</v>
      </c>
      <c r="G26" s="655"/>
      <c r="J26" s="656" t="s">
        <v>736</v>
      </c>
      <c r="K26" s="1015" t="s">
        <v>780</v>
      </c>
      <c r="L26" s="1016"/>
      <c r="M26" s="1017"/>
    </row>
    <row r="27" spans="1:14" ht="16.5" thickTop="1">
      <c r="A27" s="652"/>
      <c r="D27" s="653"/>
      <c r="E27" s="653" t="s">
        <v>737</v>
      </c>
      <c r="F27" s="654">
        <v>135</v>
      </c>
      <c r="G27" s="655"/>
      <c r="J27" s="656" t="s">
        <v>738</v>
      </c>
      <c r="K27" s="1015" t="s">
        <v>780</v>
      </c>
      <c r="L27" s="1016"/>
      <c r="M27" s="1017"/>
    </row>
    <row r="28" spans="1:14" ht="16.5" thickBot="1">
      <c r="A28" s="641"/>
      <c r="B28" s="642"/>
      <c r="C28" s="642"/>
      <c r="D28" s="643"/>
      <c r="E28" s="643" t="s">
        <v>739</v>
      </c>
      <c r="F28" s="657">
        <v>215</v>
      </c>
      <c r="G28" s="655"/>
      <c r="H28" s="642"/>
      <c r="I28" s="642"/>
      <c r="J28" s="658"/>
      <c r="K28" s="1005"/>
      <c r="L28" s="1005"/>
      <c r="M28" s="1006"/>
    </row>
    <row r="29" spans="1:14" ht="16.5" thickBot="1"/>
    <row r="30" spans="1:14" ht="16.5" thickBot="1">
      <c r="A30" s="997" t="s">
        <v>740</v>
      </c>
      <c r="B30" s="998"/>
      <c r="C30" s="998"/>
      <c r="D30" s="998"/>
      <c r="E30" s="998"/>
      <c r="F30" s="998"/>
      <c r="G30" s="998"/>
      <c r="H30" s="998"/>
      <c r="I30" s="998"/>
      <c r="J30" s="998"/>
      <c r="K30" s="998"/>
      <c r="L30" s="998"/>
      <c r="M30" s="999"/>
    </row>
    <row r="31" spans="1:14" ht="16.5" thickTop="1">
      <c r="A31" s="1007" t="s">
        <v>741</v>
      </c>
      <c r="B31" s="1008"/>
      <c r="C31" s="1008"/>
      <c r="D31" s="1008"/>
      <c r="E31" s="1008"/>
      <c r="F31" s="1009"/>
      <c r="G31" s="659"/>
      <c r="H31" s="1010" t="s">
        <v>742</v>
      </c>
      <c r="I31" s="1008"/>
      <c r="J31" s="1008"/>
      <c r="K31" s="1008"/>
      <c r="L31" s="1008"/>
      <c r="M31" s="1011"/>
    </row>
    <row r="32" spans="1:14">
      <c r="A32" s="652"/>
      <c r="B32" s="660"/>
      <c r="C32" s="653" t="s">
        <v>743</v>
      </c>
      <c r="D32" s="1012" t="s">
        <v>775</v>
      </c>
      <c r="E32" s="1012"/>
      <c r="F32" s="1013"/>
      <c r="G32" s="661"/>
      <c r="J32" s="653" t="s">
        <v>743</v>
      </c>
      <c r="K32" s="1012" t="s">
        <v>774</v>
      </c>
      <c r="L32" s="1012"/>
      <c r="M32" s="1014"/>
    </row>
    <row r="33" spans="1:21">
      <c r="A33" s="652"/>
      <c r="B33" s="660"/>
      <c r="C33" s="653" t="s">
        <v>746</v>
      </c>
      <c r="D33" s="991" t="s">
        <v>776</v>
      </c>
      <c r="E33" s="991"/>
      <c r="F33" s="992"/>
      <c r="G33" s="661"/>
      <c r="J33" s="653" t="s">
        <v>746</v>
      </c>
      <c r="K33" s="991" t="s">
        <v>745</v>
      </c>
      <c r="L33" s="991"/>
      <c r="M33" s="993"/>
      <c r="O33"/>
      <c r="P33"/>
      <c r="Q33"/>
      <c r="R33"/>
      <c r="S33"/>
      <c r="T33"/>
      <c r="U33"/>
    </row>
    <row r="34" spans="1:21">
      <c r="A34" s="652"/>
      <c r="B34" s="660"/>
      <c r="C34" s="653" t="s">
        <v>747</v>
      </c>
      <c r="D34" s="991" t="s">
        <v>777</v>
      </c>
      <c r="E34" s="991"/>
      <c r="F34" s="992"/>
      <c r="G34" s="661"/>
      <c r="J34" s="653" t="s">
        <v>747</v>
      </c>
      <c r="K34" s="991" t="s">
        <v>779</v>
      </c>
      <c r="L34" s="991"/>
      <c r="M34" s="993"/>
      <c r="O34"/>
      <c r="P34"/>
      <c r="Q34"/>
      <c r="R34"/>
      <c r="S34"/>
      <c r="T34"/>
      <c r="U34"/>
    </row>
    <row r="35" spans="1:21" ht="16.5" thickBot="1">
      <c r="A35" s="641"/>
      <c r="B35" s="662"/>
      <c r="C35" s="643" t="s">
        <v>748</v>
      </c>
      <c r="D35" s="994" t="s">
        <v>778</v>
      </c>
      <c r="E35" s="994"/>
      <c r="F35" s="995"/>
      <c r="G35" s="661"/>
      <c r="H35" s="642"/>
      <c r="I35" s="642"/>
      <c r="J35" s="643" t="s">
        <v>748</v>
      </c>
      <c r="K35" s="994" t="s">
        <v>744</v>
      </c>
      <c r="L35" s="994"/>
      <c r="M35" s="996"/>
      <c r="O35"/>
      <c r="P35"/>
      <c r="Q35"/>
      <c r="R35"/>
      <c r="S35"/>
      <c r="T35"/>
      <c r="U35"/>
    </row>
    <row r="36" spans="1:21" ht="16.5" thickBot="1">
      <c r="O36"/>
      <c r="P36"/>
      <c r="Q36"/>
      <c r="R36"/>
      <c r="S36"/>
      <c r="T36"/>
      <c r="U36"/>
    </row>
    <row r="37" spans="1:21" ht="16.5" thickBot="1">
      <c r="A37" s="997" t="s">
        <v>749</v>
      </c>
      <c r="B37" s="998"/>
      <c r="C37" s="998"/>
      <c r="D37" s="998"/>
      <c r="E37" s="998"/>
      <c r="F37" s="998"/>
      <c r="G37" s="998"/>
      <c r="H37" s="998"/>
      <c r="I37" s="998"/>
      <c r="J37" s="998"/>
      <c r="K37" s="998"/>
      <c r="L37" s="998"/>
      <c r="M37" s="999"/>
      <c r="O37"/>
      <c r="P37"/>
      <c r="Q37"/>
      <c r="R37"/>
      <c r="S37"/>
      <c r="T37"/>
      <c r="U37"/>
    </row>
    <row r="38" spans="1:21" ht="16.5" thickTop="1">
      <c r="A38" s="648"/>
      <c r="B38" s="649"/>
      <c r="C38" s="651" t="s">
        <v>750</v>
      </c>
      <c r="D38" s="1000" t="s">
        <v>751</v>
      </c>
      <c r="E38" s="1000"/>
      <c r="F38" s="1000"/>
      <c r="G38" s="1000"/>
      <c r="H38" s="635"/>
      <c r="I38" s="635"/>
      <c r="J38" s="636" t="s">
        <v>752</v>
      </c>
      <c r="K38" s="1001" t="s">
        <v>783</v>
      </c>
      <c r="L38" s="1001"/>
      <c r="M38" s="1002"/>
      <c r="O38"/>
      <c r="P38"/>
      <c r="Q38"/>
      <c r="R38"/>
      <c r="S38"/>
      <c r="T38"/>
      <c r="U38"/>
    </row>
    <row r="39" spans="1:21" ht="16.5" thickBot="1">
      <c r="A39" s="641"/>
      <c r="B39" s="642"/>
      <c r="C39" s="657" t="s">
        <v>753</v>
      </c>
      <c r="D39" s="1003" t="s">
        <v>754</v>
      </c>
      <c r="E39" s="1003"/>
      <c r="F39" s="1003"/>
      <c r="G39" s="1003"/>
      <c r="H39" s="642"/>
      <c r="I39" s="642"/>
      <c r="J39" s="643" t="s">
        <v>755</v>
      </c>
      <c r="K39" s="1003" t="s">
        <v>784</v>
      </c>
      <c r="L39" s="1003"/>
      <c r="M39" s="1004"/>
      <c r="O39"/>
      <c r="P39"/>
      <c r="Q39"/>
      <c r="R39"/>
      <c r="S39"/>
      <c r="T39"/>
      <c r="U39"/>
    </row>
    <row r="40" spans="1:21" ht="16.5" thickBot="1">
      <c r="A40" s="663"/>
      <c r="B40" s="663"/>
      <c r="C40" s="663"/>
      <c r="D40" s="988" t="s">
        <v>756</v>
      </c>
      <c r="E40" s="989"/>
      <c r="F40" s="989"/>
      <c r="G40" s="989"/>
      <c r="H40" s="989"/>
      <c r="I40" s="989"/>
      <c r="J40" s="990"/>
      <c r="K40" s="663"/>
      <c r="L40" s="663"/>
      <c r="M40" s="663"/>
      <c r="O40"/>
      <c r="P40"/>
      <c r="Q40"/>
      <c r="R40"/>
      <c r="S40"/>
      <c r="T40"/>
      <c r="U40"/>
    </row>
    <row r="41" spans="1:21">
      <c r="D41" s="978" t="s">
        <v>757</v>
      </c>
      <c r="E41" s="979"/>
      <c r="F41" s="980"/>
      <c r="G41" s="665" t="s">
        <v>758</v>
      </c>
      <c r="H41" s="666" t="s">
        <v>759</v>
      </c>
      <c r="I41" s="667" t="s">
        <v>760</v>
      </c>
      <c r="J41" s="668" t="s">
        <v>761</v>
      </c>
      <c r="N41" s="664"/>
      <c r="O41"/>
      <c r="P41"/>
      <c r="Q41"/>
      <c r="R41"/>
      <c r="S41"/>
      <c r="T41"/>
      <c r="U41"/>
    </row>
    <row r="42" spans="1:21">
      <c r="D42" s="981" t="s">
        <v>762</v>
      </c>
      <c r="E42" s="982"/>
      <c r="F42" s="983"/>
      <c r="G42" s="669">
        <v>134</v>
      </c>
      <c r="H42" s="670">
        <v>188</v>
      </c>
      <c r="I42" s="670">
        <v>245</v>
      </c>
      <c r="J42" s="671" t="s">
        <v>174</v>
      </c>
      <c r="N42" s="664"/>
      <c r="O42"/>
      <c r="P42"/>
      <c r="Q42"/>
      <c r="R42"/>
      <c r="S42"/>
      <c r="T42"/>
      <c r="U42"/>
    </row>
    <row r="43" spans="1:21">
      <c r="D43" s="981" t="s">
        <v>763</v>
      </c>
      <c r="E43" s="982"/>
      <c r="F43" s="983"/>
      <c r="G43" s="669">
        <v>95.6</v>
      </c>
      <c r="H43" s="670">
        <v>96.3</v>
      </c>
      <c r="I43" s="670">
        <v>96.5</v>
      </c>
      <c r="J43" s="671" t="s">
        <v>174</v>
      </c>
      <c r="N43" s="664"/>
      <c r="O43"/>
      <c r="P43"/>
      <c r="Q43"/>
      <c r="R43"/>
      <c r="S43"/>
      <c r="T43"/>
      <c r="U43"/>
    </row>
    <row r="44" spans="1:21">
      <c r="D44" s="981" t="s">
        <v>764</v>
      </c>
      <c r="E44" s="982"/>
      <c r="F44" s="983"/>
      <c r="G44" s="669">
        <v>84</v>
      </c>
      <c r="H44" s="670">
        <v>89.4</v>
      </c>
      <c r="I44" s="670">
        <v>91.1</v>
      </c>
      <c r="J44" s="671" t="s">
        <v>174</v>
      </c>
      <c r="N44" s="664"/>
      <c r="O44" s="664"/>
      <c r="P44" s="664"/>
      <c r="Q44" s="664"/>
      <c r="R44" s="664"/>
      <c r="S44" s="380"/>
      <c r="T44" s="380"/>
      <c r="U44" s="380"/>
    </row>
    <row r="45" spans="1:21" ht="16.5" thickBot="1">
      <c r="D45" s="984" t="s">
        <v>765</v>
      </c>
      <c r="E45" s="985"/>
      <c r="F45" s="986"/>
      <c r="G45" s="672" t="s">
        <v>174</v>
      </c>
      <c r="H45" s="673" t="s">
        <v>174</v>
      </c>
      <c r="I45" s="673" t="s">
        <v>174</v>
      </c>
      <c r="J45" s="674" t="s">
        <v>174</v>
      </c>
      <c r="O45" s="380"/>
      <c r="P45" s="380"/>
      <c r="Q45" s="380"/>
      <c r="R45" s="380"/>
      <c r="S45" s="380"/>
      <c r="T45" s="380"/>
      <c r="U45" s="380"/>
    </row>
    <row r="46" spans="1:21">
      <c r="A46" s="987" t="s">
        <v>766</v>
      </c>
      <c r="B46" s="987"/>
      <c r="C46" s="987"/>
      <c r="D46" s="987"/>
      <c r="E46" s="987"/>
      <c r="F46" s="987"/>
      <c r="G46" s="987"/>
      <c r="H46" s="987"/>
      <c r="I46" s="987"/>
      <c r="J46" s="987"/>
      <c r="K46" s="987"/>
      <c r="L46" s="987"/>
      <c r="M46" s="987"/>
      <c r="P46" s="380"/>
      <c r="Q46" s="380"/>
      <c r="R46" s="380"/>
      <c r="S46" s="380"/>
      <c r="T46" s="380"/>
    </row>
    <row r="48" spans="1:21" ht="18">
      <c r="J48" s="675" t="s">
        <v>648</v>
      </c>
      <c r="K48" s="976" t="s">
        <v>773</v>
      </c>
      <c r="L48" s="976"/>
      <c r="M48" s="976"/>
    </row>
    <row r="49" spans="1:13">
      <c r="K49" s="676"/>
      <c r="L49" s="676"/>
      <c r="M49" s="676"/>
    </row>
    <row r="50" spans="1:13">
      <c r="J50" s="675" t="s">
        <v>649</v>
      </c>
      <c r="K50" s="977">
        <v>43977</v>
      </c>
      <c r="L50" s="977"/>
      <c r="M50" s="977"/>
    </row>
    <row r="52" spans="1:13">
      <c r="A52" s="677"/>
    </row>
    <row r="53" spans="1:13">
      <c r="A53" s="678" t="s">
        <v>767</v>
      </c>
    </row>
    <row r="54" spans="1:13">
      <c r="A54" s="679"/>
    </row>
  </sheetData>
  <mergeCells count="38">
    <mergeCell ref="K27:M27"/>
    <mergeCell ref="L1:M1"/>
    <mergeCell ref="L3:M3"/>
    <mergeCell ref="L4:M4"/>
    <mergeCell ref="L5:M5"/>
    <mergeCell ref="L6:M6"/>
    <mergeCell ref="L7:M7"/>
    <mergeCell ref="A20:M20"/>
    <mergeCell ref="A24:F24"/>
    <mergeCell ref="H24:M24"/>
    <mergeCell ref="K25:M25"/>
    <mergeCell ref="K26:M26"/>
    <mergeCell ref="K28:M28"/>
    <mergeCell ref="A30:M30"/>
    <mergeCell ref="A31:F31"/>
    <mergeCell ref="H31:M31"/>
    <mergeCell ref="D32:F32"/>
    <mergeCell ref="K32:M32"/>
    <mergeCell ref="D40:J40"/>
    <mergeCell ref="D33:F33"/>
    <mergeCell ref="K33:M33"/>
    <mergeCell ref="D34:F34"/>
    <mergeCell ref="K34:M34"/>
    <mergeCell ref="D35:F35"/>
    <mergeCell ref="K35:M35"/>
    <mergeCell ref="A37:M37"/>
    <mergeCell ref="D38:G38"/>
    <mergeCell ref="K38:M38"/>
    <mergeCell ref="D39:G39"/>
    <mergeCell ref="K39:M39"/>
    <mergeCell ref="K48:M48"/>
    <mergeCell ref="K50:M50"/>
    <mergeCell ref="D41:F41"/>
    <mergeCell ref="D42:F42"/>
    <mergeCell ref="D43:F43"/>
    <mergeCell ref="D44:F44"/>
    <mergeCell ref="D45:F45"/>
    <mergeCell ref="A46:M46"/>
  </mergeCells>
  <dataValidations count="3">
    <dataValidation type="list" errorStyle="warning" allowBlank="1" showInputMessage="1" showErrorMessage="1" error="You should choose from the list!" prompt="Choose Enclosure Type" sqref="F14" xr:uid="{00000000-0002-0000-0900-000000000000}">
      <formula1>$A$60:$A$62</formula1>
    </dataValidation>
    <dataValidation type="list" allowBlank="1" showInputMessage="1" showErrorMessage="1" prompt="Pick from list" sqref="F15" xr:uid="{00000000-0002-0000-0900-000001000000}">
      <formula1>$D$60:$D$61</formula1>
    </dataValidation>
    <dataValidation type="list" allowBlank="1" showInputMessage="1" showErrorMessage="1" prompt="Pick one!" sqref="I15" xr:uid="{00000000-0002-0000-0900-000002000000}">
      <formula1>$E$60:$E$62</formula1>
    </dataValidation>
  </dataValidations>
  <printOptions horizontalCentered="1" gridLinesSet="0"/>
  <pageMargins left="0.5" right="0.5" top="0.5" bottom="0.5" header="0.5" footer="0.5"/>
  <pageSetup scale="89" orientation="portrait" horizontalDpi="4294967292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6450-DE63-493A-85DF-6A2CCAB37F09}">
  <sheetPr syncVertical="1" syncRef="A1" transitionEvaluation="1"/>
  <dimension ref="A1:N120"/>
  <sheetViews>
    <sheetView showGridLines="0" zoomScaleNormal="100" workbookViewId="0">
      <selection activeCell="H18" sqref="H18"/>
    </sheetView>
  </sheetViews>
  <sheetFormatPr defaultColWidth="12.5703125" defaultRowHeight="15.75"/>
  <cols>
    <col min="1" max="3" width="7" style="693" customWidth="1"/>
    <col min="4" max="4" width="9.42578125" style="693" customWidth="1"/>
    <col min="5" max="5" width="7" style="693" customWidth="1"/>
    <col min="6" max="6" width="10.42578125" style="693" customWidth="1"/>
    <col min="7" max="13" width="7" style="693" customWidth="1"/>
    <col min="14" max="14" width="7.140625" style="693" customWidth="1"/>
    <col min="15" max="256" width="12.5703125" style="693"/>
    <col min="257" max="259" width="7" style="693" customWidth="1"/>
    <col min="260" max="260" width="9.42578125" style="693" customWidth="1"/>
    <col min="261" max="261" width="7" style="693" customWidth="1"/>
    <col min="262" max="262" width="10.42578125" style="693" customWidth="1"/>
    <col min="263" max="269" width="7" style="693" customWidth="1"/>
    <col min="270" max="270" width="7.140625" style="693" customWidth="1"/>
    <col min="271" max="512" width="12.5703125" style="693"/>
    <col min="513" max="515" width="7" style="693" customWidth="1"/>
    <col min="516" max="516" width="9.42578125" style="693" customWidth="1"/>
    <col min="517" max="517" width="7" style="693" customWidth="1"/>
    <col min="518" max="518" width="10.42578125" style="693" customWidth="1"/>
    <col min="519" max="525" width="7" style="693" customWidth="1"/>
    <col min="526" max="526" width="7.140625" style="693" customWidth="1"/>
    <col min="527" max="768" width="12.5703125" style="693"/>
    <col min="769" max="771" width="7" style="693" customWidth="1"/>
    <col min="772" max="772" width="9.42578125" style="693" customWidth="1"/>
    <col min="773" max="773" width="7" style="693" customWidth="1"/>
    <col min="774" max="774" width="10.42578125" style="693" customWidth="1"/>
    <col min="775" max="781" width="7" style="693" customWidth="1"/>
    <col min="782" max="782" width="7.140625" style="693" customWidth="1"/>
    <col min="783" max="1024" width="12.5703125" style="693"/>
    <col min="1025" max="1027" width="7" style="693" customWidth="1"/>
    <col min="1028" max="1028" width="9.42578125" style="693" customWidth="1"/>
    <col min="1029" max="1029" width="7" style="693" customWidth="1"/>
    <col min="1030" max="1030" width="10.42578125" style="693" customWidth="1"/>
    <col min="1031" max="1037" width="7" style="693" customWidth="1"/>
    <col min="1038" max="1038" width="7.140625" style="693" customWidth="1"/>
    <col min="1039" max="1280" width="12.5703125" style="693"/>
    <col min="1281" max="1283" width="7" style="693" customWidth="1"/>
    <col min="1284" max="1284" width="9.42578125" style="693" customWidth="1"/>
    <col min="1285" max="1285" width="7" style="693" customWidth="1"/>
    <col min="1286" max="1286" width="10.42578125" style="693" customWidth="1"/>
    <col min="1287" max="1293" width="7" style="693" customWidth="1"/>
    <col min="1294" max="1294" width="7.140625" style="693" customWidth="1"/>
    <col min="1295" max="1536" width="12.5703125" style="693"/>
    <col min="1537" max="1539" width="7" style="693" customWidth="1"/>
    <col min="1540" max="1540" width="9.42578125" style="693" customWidth="1"/>
    <col min="1541" max="1541" width="7" style="693" customWidth="1"/>
    <col min="1542" max="1542" width="10.42578125" style="693" customWidth="1"/>
    <col min="1543" max="1549" width="7" style="693" customWidth="1"/>
    <col min="1550" max="1550" width="7.140625" style="693" customWidth="1"/>
    <col min="1551" max="1792" width="12.5703125" style="693"/>
    <col min="1793" max="1795" width="7" style="693" customWidth="1"/>
    <col min="1796" max="1796" width="9.42578125" style="693" customWidth="1"/>
    <col min="1797" max="1797" width="7" style="693" customWidth="1"/>
    <col min="1798" max="1798" width="10.42578125" style="693" customWidth="1"/>
    <col min="1799" max="1805" width="7" style="693" customWidth="1"/>
    <col min="1806" max="1806" width="7.140625" style="693" customWidth="1"/>
    <col min="1807" max="2048" width="12.5703125" style="693"/>
    <col min="2049" max="2051" width="7" style="693" customWidth="1"/>
    <col min="2052" max="2052" width="9.42578125" style="693" customWidth="1"/>
    <col min="2053" max="2053" width="7" style="693" customWidth="1"/>
    <col min="2054" max="2054" width="10.42578125" style="693" customWidth="1"/>
    <col min="2055" max="2061" width="7" style="693" customWidth="1"/>
    <col min="2062" max="2062" width="7.140625" style="693" customWidth="1"/>
    <col min="2063" max="2304" width="12.5703125" style="693"/>
    <col min="2305" max="2307" width="7" style="693" customWidth="1"/>
    <col min="2308" max="2308" width="9.42578125" style="693" customWidth="1"/>
    <col min="2309" max="2309" width="7" style="693" customWidth="1"/>
    <col min="2310" max="2310" width="10.42578125" style="693" customWidth="1"/>
    <col min="2311" max="2317" width="7" style="693" customWidth="1"/>
    <col min="2318" max="2318" width="7.140625" style="693" customWidth="1"/>
    <col min="2319" max="2560" width="12.5703125" style="693"/>
    <col min="2561" max="2563" width="7" style="693" customWidth="1"/>
    <col min="2564" max="2564" width="9.42578125" style="693" customWidth="1"/>
    <col min="2565" max="2565" width="7" style="693" customWidth="1"/>
    <col min="2566" max="2566" width="10.42578125" style="693" customWidth="1"/>
    <col min="2567" max="2573" width="7" style="693" customWidth="1"/>
    <col min="2574" max="2574" width="7.140625" style="693" customWidth="1"/>
    <col min="2575" max="2816" width="12.5703125" style="693"/>
    <col min="2817" max="2819" width="7" style="693" customWidth="1"/>
    <col min="2820" max="2820" width="9.42578125" style="693" customWidth="1"/>
    <col min="2821" max="2821" width="7" style="693" customWidth="1"/>
    <col min="2822" max="2822" width="10.42578125" style="693" customWidth="1"/>
    <col min="2823" max="2829" width="7" style="693" customWidth="1"/>
    <col min="2830" max="2830" width="7.140625" style="693" customWidth="1"/>
    <col min="2831" max="3072" width="12.5703125" style="693"/>
    <col min="3073" max="3075" width="7" style="693" customWidth="1"/>
    <col min="3076" max="3076" width="9.42578125" style="693" customWidth="1"/>
    <col min="3077" max="3077" width="7" style="693" customWidth="1"/>
    <col min="3078" max="3078" width="10.42578125" style="693" customWidth="1"/>
    <col min="3079" max="3085" width="7" style="693" customWidth="1"/>
    <col min="3086" max="3086" width="7.140625" style="693" customWidth="1"/>
    <col min="3087" max="3328" width="12.5703125" style="693"/>
    <col min="3329" max="3331" width="7" style="693" customWidth="1"/>
    <col min="3332" max="3332" width="9.42578125" style="693" customWidth="1"/>
    <col min="3333" max="3333" width="7" style="693" customWidth="1"/>
    <col min="3334" max="3334" width="10.42578125" style="693" customWidth="1"/>
    <col min="3335" max="3341" width="7" style="693" customWidth="1"/>
    <col min="3342" max="3342" width="7.140625" style="693" customWidth="1"/>
    <col min="3343" max="3584" width="12.5703125" style="693"/>
    <col min="3585" max="3587" width="7" style="693" customWidth="1"/>
    <col min="3588" max="3588" width="9.42578125" style="693" customWidth="1"/>
    <col min="3589" max="3589" width="7" style="693" customWidth="1"/>
    <col min="3590" max="3590" width="10.42578125" style="693" customWidth="1"/>
    <col min="3591" max="3597" width="7" style="693" customWidth="1"/>
    <col min="3598" max="3598" width="7.140625" style="693" customWidth="1"/>
    <col min="3599" max="3840" width="12.5703125" style="693"/>
    <col min="3841" max="3843" width="7" style="693" customWidth="1"/>
    <col min="3844" max="3844" width="9.42578125" style="693" customWidth="1"/>
    <col min="3845" max="3845" width="7" style="693" customWidth="1"/>
    <col min="3846" max="3846" width="10.42578125" style="693" customWidth="1"/>
    <col min="3847" max="3853" width="7" style="693" customWidth="1"/>
    <col min="3854" max="3854" width="7.140625" style="693" customWidth="1"/>
    <col min="3855" max="4096" width="12.5703125" style="693"/>
    <col min="4097" max="4099" width="7" style="693" customWidth="1"/>
    <col min="4100" max="4100" width="9.42578125" style="693" customWidth="1"/>
    <col min="4101" max="4101" width="7" style="693" customWidth="1"/>
    <col min="4102" max="4102" width="10.42578125" style="693" customWidth="1"/>
    <col min="4103" max="4109" width="7" style="693" customWidth="1"/>
    <col min="4110" max="4110" width="7.140625" style="693" customWidth="1"/>
    <col min="4111" max="4352" width="12.5703125" style="693"/>
    <col min="4353" max="4355" width="7" style="693" customWidth="1"/>
    <col min="4356" max="4356" width="9.42578125" style="693" customWidth="1"/>
    <col min="4357" max="4357" width="7" style="693" customWidth="1"/>
    <col min="4358" max="4358" width="10.42578125" style="693" customWidth="1"/>
    <col min="4359" max="4365" width="7" style="693" customWidth="1"/>
    <col min="4366" max="4366" width="7.140625" style="693" customWidth="1"/>
    <col min="4367" max="4608" width="12.5703125" style="693"/>
    <col min="4609" max="4611" width="7" style="693" customWidth="1"/>
    <col min="4612" max="4612" width="9.42578125" style="693" customWidth="1"/>
    <col min="4613" max="4613" width="7" style="693" customWidth="1"/>
    <col min="4614" max="4614" width="10.42578125" style="693" customWidth="1"/>
    <col min="4615" max="4621" width="7" style="693" customWidth="1"/>
    <col min="4622" max="4622" width="7.140625" style="693" customWidth="1"/>
    <col min="4623" max="4864" width="12.5703125" style="693"/>
    <col min="4865" max="4867" width="7" style="693" customWidth="1"/>
    <col min="4868" max="4868" width="9.42578125" style="693" customWidth="1"/>
    <col min="4869" max="4869" width="7" style="693" customWidth="1"/>
    <col min="4870" max="4870" width="10.42578125" style="693" customWidth="1"/>
    <col min="4871" max="4877" width="7" style="693" customWidth="1"/>
    <col min="4878" max="4878" width="7.140625" style="693" customWidth="1"/>
    <col min="4879" max="5120" width="12.5703125" style="693"/>
    <col min="5121" max="5123" width="7" style="693" customWidth="1"/>
    <col min="5124" max="5124" width="9.42578125" style="693" customWidth="1"/>
    <col min="5125" max="5125" width="7" style="693" customWidth="1"/>
    <col min="5126" max="5126" width="10.42578125" style="693" customWidth="1"/>
    <col min="5127" max="5133" width="7" style="693" customWidth="1"/>
    <col min="5134" max="5134" width="7.140625" style="693" customWidth="1"/>
    <col min="5135" max="5376" width="12.5703125" style="693"/>
    <col min="5377" max="5379" width="7" style="693" customWidth="1"/>
    <col min="5380" max="5380" width="9.42578125" style="693" customWidth="1"/>
    <col min="5381" max="5381" width="7" style="693" customWidth="1"/>
    <col min="5382" max="5382" width="10.42578125" style="693" customWidth="1"/>
    <col min="5383" max="5389" width="7" style="693" customWidth="1"/>
    <col min="5390" max="5390" width="7.140625" style="693" customWidth="1"/>
    <col min="5391" max="5632" width="12.5703125" style="693"/>
    <col min="5633" max="5635" width="7" style="693" customWidth="1"/>
    <col min="5636" max="5636" width="9.42578125" style="693" customWidth="1"/>
    <col min="5637" max="5637" width="7" style="693" customWidth="1"/>
    <col min="5638" max="5638" width="10.42578125" style="693" customWidth="1"/>
    <col min="5639" max="5645" width="7" style="693" customWidth="1"/>
    <col min="5646" max="5646" width="7.140625" style="693" customWidth="1"/>
    <col min="5647" max="5888" width="12.5703125" style="693"/>
    <col min="5889" max="5891" width="7" style="693" customWidth="1"/>
    <col min="5892" max="5892" width="9.42578125" style="693" customWidth="1"/>
    <col min="5893" max="5893" width="7" style="693" customWidth="1"/>
    <col min="5894" max="5894" width="10.42578125" style="693" customWidth="1"/>
    <col min="5895" max="5901" width="7" style="693" customWidth="1"/>
    <col min="5902" max="5902" width="7.140625" style="693" customWidth="1"/>
    <col min="5903" max="6144" width="12.5703125" style="693"/>
    <col min="6145" max="6147" width="7" style="693" customWidth="1"/>
    <col min="6148" max="6148" width="9.42578125" style="693" customWidth="1"/>
    <col min="6149" max="6149" width="7" style="693" customWidth="1"/>
    <col min="6150" max="6150" width="10.42578125" style="693" customWidth="1"/>
    <col min="6151" max="6157" width="7" style="693" customWidth="1"/>
    <col min="6158" max="6158" width="7.140625" style="693" customWidth="1"/>
    <col min="6159" max="6400" width="12.5703125" style="693"/>
    <col min="6401" max="6403" width="7" style="693" customWidth="1"/>
    <col min="6404" max="6404" width="9.42578125" style="693" customWidth="1"/>
    <col min="6405" max="6405" width="7" style="693" customWidth="1"/>
    <col min="6406" max="6406" width="10.42578125" style="693" customWidth="1"/>
    <col min="6407" max="6413" width="7" style="693" customWidth="1"/>
    <col min="6414" max="6414" width="7.140625" style="693" customWidth="1"/>
    <col min="6415" max="6656" width="12.5703125" style="693"/>
    <col min="6657" max="6659" width="7" style="693" customWidth="1"/>
    <col min="6660" max="6660" width="9.42578125" style="693" customWidth="1"/>
    <col min="6661" max="6661" width="7" style="693" customWidth="1"/>
    <col min="6662" max="6662" width="10.42578125" style="693" customWidth="1"/>
    <col min="6663" max="6669" width="7" style="693" customWidth="1"/>
    <col min="6670" max="6670" width="7.140625" style="693" customWidth="1"/>
    <col min="6671" max="6912" width="12.5703125" style="693"/>
    <col min="6913" max="6915" width="7" style="693" customWidth="1"/>
    <col min="6916" max="6916" width="9.42578125" style="693" customWidth="1"/>
    <col min="6917" max="6917" width="7" style="693" customWidth="1"/>
    <col min="6918" max="6918" width="10.42578125" style="693" customWidth="1"/>
    <col min="6919" max="6925" width="7" style="693" customWidth="1"/>
    <col min="6926" max="6926" width="7.140625" style="693" customWidth="1"/>
    <col min="6927" max="7168" width="12.5703125" style="693"/>
    <col min="7169" max="7171" width="7" style="693" customWidth="1"/>
    <col min="7172" max="7172" width="9.42578125" style="693" customWidth="1"/>
    <col min="7173" max="7173" width="7" style="693" customWidth="1"/>
    <col min="7174" max="7174" width="10.42578125" style="693" customWidth="1"/>
    <col min="7175" max="7181" width="7" style="693" customWidth="1"/>
    <col min="7182" max="7182" width="7.140625" style="693" customWidth="1"/>
    <col min="7183" max="7424" width="12.5703125" style="693"/>
    <col min="7425" max="7427" width="7" style="693" customWidth="1"/>
    <col min="7428" max="7428" width="9.42578125" style="693" customWidth="1"/>
    <col min="7429" max="7429" width="7" style="693" customWidth="1"/>
    <col min="7430" max="7430" width="10.42578125" style="693" customWidth="1"/>
    <col min="7431" max="7437" width="7" style="693" customWidth="1"/>
    <col min="7438" max="7438" width="7.140625" style="693" customWidth="1"/>
    <col min="7439" max="7680" width="12.5703125" style="693"/>
    <col min="7681" max="7683" width="7" style="693" customWidth="1"/>
    <col min="7684" max="7684" width="9.42578125" style="693" customWidth="1"/>
    <col min="7685" max="7685" width="7" style="693" customWidth="1"/>
    <col min="7686" max="7686" width="10.42578125" style="693" customWidth="1"/>
    <col min="7687" max="7693" width="7" style="693" customWidth="1"/>
    <col min="7694" max="7694" width="7.140625" style="693" customWidth="1"/>
    <col min="7695" max="7936" width="12.5703125" style="693"/>
    <col min="7937" max="7939" width="7" style="693" customWidth="1"/>
    <col min="7940" max="7940" width="9.42578125" style="693" customWidth="1"/>
    <col min="7941" max="7941" width="7" style="693" customWidth="1"/>
    <col min="7942" max="7942" width="10.42578125" style="693" customWidth="1"/>
    <col min="7943" max="7949" width="7" style="693" customWidth="1"/>
    <col min="7950" max="7950" width="7.140625" style="693" customWidth="1"/>
    <col min="7951" max="8192" width="12.5703125" style="693"/>
    <col min="8193" max="8195" width="7" style="693" customWidth="1"/>
    <col min="8196" max="8196" width="9.42578125" style="693" customWidth="1"/>
    <col min="8197" max="8197" width="7" style="693" customWidth="1"/>
    <col min="8198" max="8198" width="10.42578125" style="693" customWidth="1"/>
    <col min="8199" max="8205" width="7" style="693" customWidth="1"/>
    <col min="8206" max="8206" width="7.140625" style="693" customWidth="1"/>
    <col min="8207" max="8448" width="12.5703125" style="693"/>
    <col min="8449" max="8451" width="7" style="693" customWidth="1"/>
    <col min="8452" max="8452" width="9.42578125" style="693" customWidth="1"/>
    <col min="8453" max="8453" width="7" style="693" customWidth="1"/>
    <col min="8454" max="8454" width="10.42578125" style="693" customWidth="1"/>
    <col min="8455" max="8461" width="7" style="693" customWidth="1"/>
    <col min="8462" max="8462" width="7.140625" style="693" customWidth="1"/>
    <col min="8463" max="8704" width="12.5703125" style="693"/>
    <col min="8705" max="8707" width="7" style="693" customWidth="1"/>
    <col min="8708" max="8708" width="9.42578125" style="693" customWidth="1"/>
    <col min="8709" max="8709" width="7" style="693" customWidth="1"/>
    <col min="8710" max="8710" width="10.42578125" style="693" customWidth="1"/>
    <col min="8711" max="8717" width="7" style="693" customWidth="1"/>
    <col min="8718" max="8718" width="7.140625" style="693" customWidth="1"/>
    <col min="8719" max="8960" width="12.5703125" style="693"/>
    <col min="8961" max="8963" width="7" style="693" customWidth="1"/>
    <col min="8964" max="8964" width="9.42578125" style="693" customWidth="1"/>
    <col min="8965" max="8965" width="7" style="693" customWidth="1"/>
    <col min="8966" max="8966" width="10.42578125" style="693" customWidth="1"/>
    <col min="8967" max="8973" width="7" style="693" customWidth="1"/>
    <col min="8974" max="8974" width="7.140625" style="693" customWidth="1"/>
    <col min="8975" max="9216" width="12.5703125" style="693"/>
    <col min="9217" max="9219" width="7" style="693" customWidth="1"/>
    <col min="9220" max="9220" width="9.42578125" style="693" customWidth="1"/>
    <col min="9221" max="9221" width="7" style="693" customWidth="1"/>
    <col min="9222" max="9222" width="10.42578125" style="693" customWidth="1"/>
    <col min="9223" max="9229" width="7" style="693" customWidth="1"/>
    <col min="9230" max="9230" width="7.140625" style="693" customWidth="1"/>
    <col min="9231" max="9472" width="12.5703125" style="693"/>
    <col min="9473" max="9475" width="7" style="693" customWidth="1"/>
    <col min="9476" max="9476" width="9.42578125" style="693" customWidth="1"/>
    <col min="9477" max="9477" width="7" style="693" customWidth="1"/>
    <col min="9478" max="9478" width="10.42578125" style="693" customWidth="1"/>
    <col min="9479" max="9485" width="7" style="693" customWidth="1"/>
    <col min="9486" max="9486" width="7.140625" style="693" customWidth="1"/>
    <col min="9487" max="9728" width="12.5703125" style="693"/>
    <col min="9729" max="9731" width="7" style="693" customWidth="1"/>
    <col min="9732" max="9732" width="9.42578125" style="693" customWidth="1"/>
    <col min="9733" max="9733" width="7" style="693" customWidth="1"/>
    <col min="9734" max="9734" width="10.42578125" style="693" customWidth="1"/>
    <col min="9735" max="9741" width="7" style="693" customWidth="1"/>
    <col min="9742" max="9742" width="7.140625" style="693" customWidth="1"/>
    <col min="9743" max="9984" width="12.5703125" style="693"/>
    <col min="9985" max="9987" width="7" style="693" customWidth="1"/>
    <col min="9988" max="9988" width="9.42578125" style="693" customWidth="1"/>
    <col min="9989" max="9989" width="7" style="693" customWidth="1"/>
    <col min="9990" max="9990" width="10.42578125" style="693" customWidth="1"/>
    <col min="9991" max="9997" width="7" style="693" customWidth="1"/>
    <col min="9998" max="9998" width="7.140625" style="693" customWidth="1"/>
    <col min="9999" max="10240" width="12.5703125" style="693"/>
    <col min="10241" max="10243" width="7" style="693" customWidth="1"/>
    <col min="10244" max="10244" width="9.42578125" style="693" customWidth="1"/>
    <col min="10245" max="10245" width="7" style="693" customWidth="1"/>
    <col min="10246" max="10246" width="10.42578125" style="693" customWidth="1"/>
    <col min="10247" max="10253" width="7" style="693" customWidth="1"/>
    <col min="10254" max="10254" width="7.140625" style="693" customWidth="1"/>
    <col min="10255" max="10496" width="12.5703125" style="693"/>
    <col min="10497" max="10499" width="7" style="693" customWidth="1"/>
    <col min="10500" max="10500" width="9.42578125" style="693" customWidth="1"/>
    <col min="10501" max="10501" width="7" style="693" customWidth="1"/>
    <col min="10502" max="10502" width="10.42578125" style="693" customWidth="1"/>
    <col min="10503" max="10509" width="7" style="693" customWidth="1"/>
    <col min="10510" max="10510" width="7.140625" style="693" customWidth="1"/>
    <col min="10511" max="10752" width="12.5703125" style="693"/>
    <col min="10753" max="10755" width="7" style="693" customWidth="1"/>
    <col min="10756" max="10756" width="9.42578125" style="693" customWidth="1"/>
    <col min="10757" max="10757" width="7" style="693" customWidth="1"/>
    <col min="10758" max="10758" width="10.42578125" style="693" customWidth="1"/>
    <col min="10759" max="10765" width="7" style="693" customWidth="1"/>
    <col min="10766" max="10766" width="7.140625" style="693" customWidth="1"/>
    <col min="10767" max="11008" width="12.5703125" style="693"/>
    <col min="11009" max="11011" width="7" style="693" customWidth="1"/>
    <col min="11012" max="11012" width="9.42578125" style="693" customWidth="1"/>
    <col min="11013" max="11013" width="7" style="693" customWidth="1"/>
    <col min="11014" max="11014" width="10.42578125" style="693" customWidth="1"/>
    <col min="11015" max="11021" width="7" style="693" customWidth="1"/>
    <col min="11022" max="11022" width="7.140625" style="693" customWidth="1"/>
    <col min="11023" max="11264" width="12.5703125" style="693"/>
    <col min="11265" max="11267" width="7" style="693" customWidth="1"/>
    <col min="11268" max="11268" width="9.42578125" style="693" customWidth="1"/>
    <col min="11269" max="11269" width="7" style="693" customWidth="1"/>
    <col min="11270" max="11270" width="10.42578125" style="693" customWidth="1"/>
    <col min="11271" max="11277" width="7" style="693" customWidth="1"/>
    <col min="11278" max="11278" width="7.140625" style="693" customWidth="1"/>
    <col min="11279" max="11520" width="12.5703125" style="693"/>
    <col min="11521" max="11523" width="7" style="693" customWidth="1"/>
    <col min="11524" max="11524" width="9.42578125" style="693" customWidth="1"/>
    <col min="11525" max="11525" width="7" style="693" customWidth="1"/>
    <col min="11526" max="11526" width="10.42578125" style="693" customWidth="1"/>
    <col min="11527" max="11533" width="7" style="693" customWidth="1"/>
    <col min="11534" max="11534" width="7.140625" style="693" customWidth="1"/>
    <col min="11535" max="11776" width="12.5703125" style="693"/>
    <col min="11777" max="11779" width="7" style="693" customWidth="1"/>
    <col min="11780" max="11780" width="9.42578125" style="693" customWidth="1"/>
    <col min="11781" max="11781" width="7" style="693" customWidth="1"/>
    <col min="11782" max="11782" width="10.42578125" style="693" customWidth="1"/>
    <col min="11783" max="11789" width="7" style="693" customWidth="1"/>
    <col min="11790" max="11790" width="7.140625" style="693" customWidth="1"/>
    <col min="11791" max="12032" width="12.5703125" style="693"/>
    <col min="12033" max="12035" width="7" style="693" customWidth="1"/>
    <col min="12036" max="12036" width="9.42578125" style="693" customWidth="1"/>
    <col min="12037" max="12037" width="7" style="693" customWidth="1"/>
    <col min="12038" max="12038" width="10.42578125" style="693" customWidth="1"/>
    <col min="12039" max="12045" width="7" style="693" customWidth="1"/>
    <col min="12046" max="12046" width="7.140625" style="693" customWidth="1"/>
    <col min="12047" max="12288" width="12.5703125" style="693"/>
    <col min="12289" max="12291" width="7" style="693" customWidth="1"/>
    <col min="12292" max="12292" width="9.42578125" style="693" customWidth="1"/>
    <col min="12293" max="12293" width="7" style="693" customWidth="1"/>
    <col min="12294" max="12294" width="10.42578125" style="693" customWidth="1"/>
    <col min="12295" max="12301" width="7" style="693" customWidth="1"/>
    <col min="12302" max="12302" width="7.140625" style="693" customWidth="1"/>
    <col min="12303" max="12544" width="12.5703125" style="693"/>
    <col min="12545" max="12547" width="7" style="693" customWidth="1"/>
    <col min="12548" max="12548" width="9.42578125" style="693" customWidth="1"/>
    <col min="12549" max="12549" width="7" style="693" customWidth="1"/>
    <col min="12550" max="12550" width="10.42578125" style="693" customWidth="1"/>
    <col min="12551" max="12557" width="7" style="693" customWidth="1"/>
    <col min="12558" max="12558" width="7.140625" style="693" customWidth="1"/>
    <col min="12559" max="12800" width="12.5703125" style="693"/>
    <col min="12801" max="12803" width="7" style="693" customWidth="1"/>
    <col min="12804" max="12804" width="9.42578125" style="693" customWidth="1"/>
    <col min="12805" max="12805" width="7" style="693" customWidth="1"/>
    <col min="12806" max="12806" width="10.42578125" style="693" customWidth="1"/>
    <col min="12807" max="12813" width="7" style="693" customWidth="1"/>
    <col min="12814" max="12814" width="7.140625" style="693" customWidth="1"/>
    <col min="12815" max="13056" width="12.5703125" style="693"/>
    <col min="13057" max="13059" width="7" style="693" customWidth="1"/>
    <col min="13060" max="13060" width="9.42578125" style="693" customWidth="1"/>
    <col min="13061" max="13061" width="7" style="693" customWidth="1"/>
    <col min="13062" max="13062" width="10.42578125" style="693" customWidth="1"/>
    <col min="13063" max="13069" width="7" style="693" customWidth="1"/>
    <col min="13070" max="13070" width="7.140625" style="693" customWidth="1"/>
    <col min="13071" max="13312" width="12.5703125" style="693"/>
    <col min="13313" max="13315" width="7" style="693" customWidth="1"/>
    <col min="13316" max="13316" width="9.42578125" style="693" customWidth="1"/>
    <col min="13317" max="13317" width="7" style="693" customWidth="1"/>
    <col min="13318" max="13318" width="10.42578125" style="693" customWidth="1"/>
    <col min="13319" max="13325" width="7" style="693" customWidth="1"/>
    <col min="13326" max="13326" width="7.140625" style="693" customWidth="1"/>
    <col min="13327" max="13568" width="12.5703125" style="693"/>
    <col min="13569" max="13571" width="7" style="693" customWidth="1"/>
    <col min="13572" max="13572" width="9.42578125" style="693" customWidth="1"/>
    <col min="13573" max="13573" width="7" style="693" customWidth="1"/>
    <col min="13574" max="13574" width="10.42578125" style="693" customWidth="1"/>
    <col min="13575" max="13581" width="7" style="693" customWidth="1"/>
    <col min="13582" max="13582" width="7.140625" style="693" customWidth="1"/>
    <col min="13583" max="13824" width="12.5703125" style="693"/>
    <col min="13825" max="13827" width="7" style="693" customWidth="1"/>
    <col min="13828" max="13828" width="9.42578125" style="693" customWidth="1"/>
    <col min="13829" max="13829" width="7" style="693" customWidth="1"/>
    <col min="13830" max="13830" width="10.42578125" style="693" customWidth="1"/>
    <col min="13831" max="13837" width="7" style="693" customWidth="1"/>
    <col min="13838" max="13838" width="7.140625" style="693" customWidth="1"/>
    <col min="13839" max="14080" width="12.5703125" style="693"/>
    <col min="14081" max="14083" width="7" style="693" customWidth="1"/>
    <col min="14084" max="14084" width="9.42578125" style="693" customWidth="1"/>
    <col min="14085" max="14085" width="7" style="693" customWidth="1"/>
    <col min="14086" max="14086" width="10.42578125" style="693" customWidth="1"/>
    <col min="14087" max="14093" width="7" style="693" customWidth="1"/>
    <col min="14094" max="14094" width="7.140625" style="693" customWidth="1"/>
    <col min="14095" max="14336" width="12.5703125" style="693"/>
    <col min="14337" max="14339" width="7" style="693" customWidth="1"/>
    <col min="14340" max="14340" width="9.42578125" style="693" customWidth="1"/>
    <col min="14341" max="14341" width="7" style="693" customWidth="1"/>
    <col min="14342" max="14342" width="10.42578125" style="693" customWidth="1"/>
    <col min="14343" max="14349" width="7" style="693" customWidth="1"/>
    <col min="14350" max="14350" width="7.140625" style="693" customWidth="1"/>
    <col min="14351" max="14592" width="12.5703125" style="693"/>
    <col min="14593" max="14595" width="7" style="693" customWidth="1"/>
    <col min="14596" max="14596" width="9.42578125" style="693" customWidth="1"/>
    <col min="14597" max="14597" width="7" style="693" customWidth="1"/>
    <col min="14598" max="14598" width="10.42578125" style="693" customWidth="1"/>
    <col min="14599" max="14605" width="7" style="693" customWidth="1"/>
    <col min="14606" max="14606" width="7.140625" style="693" customWidth="1"/>
    <col min="14607" max="14848" width="12.5703125" style="693"/>
    <col min="14849" max="14851" width="7" style="693" customWidth="1"/>
    <col min="14852" max="14852" width="9.42578125" style="693" customWidth="1"/>
    <col min="14853" max="14853" width="7" style="693" customWidth="1"/>
    <col min="14854" max="14854" width="10.42578125" style="693" customWidth="1"/>
    <col min="14855" max="14861" width="7" style="693" customWidth="1"/>
    <col min="14862" max="14862" width="7.140625" style="693" customWidth="1"/>
    <col min="14863" max="15104" width="12.5703125" style="693"/>
    <col min="15105" max="15107" width="7" style="693" customWidth="1"/>
    <col min="15108" max="15108" width="9.42578125" style="693" customWidth="1"/>
    <col min="15109" max="15109" width="7" style="693" customWidth="1"/>
    <col min="15110" max="15110" width="10.42578125" style="693" customWidth="1"/>
    <col min="15111" max="15117" width="7" style="693" customWidth="1"/>
    <col min="15118" max="15118" width="7.140625" style="693" customWidth="1"/>
    <col min="15119" max="15360" width="12.5703125" style="693"/>
    <col min="15361" max="15363" width="7" style="693" customWidth="1"/>
    <col min="15364" max="15364" width="9.42578125" style="693" customWidth="1"/>
    <col min="15365" max="15365" width="7" style="693" customWidth="1"/>
    <col min="15366" max="15366" width="10.42578125" style="693" customWidth="1"/>
    <col min="15367" max="15373" width="7" style="693" customWidth="1"/>
    <col min="15374" max="15374" width="7.140625" style="693" customWidth="1"/>
    <col min="15375" max="15616" width="12.5703125" style="693"/>
    <col min="15617" max="15619" width="7" style="693" customWidth="1"/>
    <col min="15620" max="15620" width="9.42578125" style="693" customWidth="1"/>
    <col min="15621" max="15621" width="7" style="693" customWidth="1"/>
    <col min="15622" max="15622" width="10.42578125" style="693" customWidth="1"/>
    <col min="15623" max="15629" width="7" style="693" customWidth="1"/>
    <col min="15630" max="15630" width="7.140625" style="693" customWidth="1"/>
    <col min="15631" max="15872" width="12.5703125" style="693"/>
    <col min="15873" max="15875" width="7" style="693" customWidth="1"/>
    <col min="15876" max="15876" width="9.42578125" style="693" customWidth="1"/>
    <col min="15877" max="15877" width="7" style="693" customWidth="1"/>
    <col min="15878" max="15878" width="10.42578125" style="693" customWidth="1"/>
    <col min="15879" max="15885" width="7" style="693" customWidth="1"/>
    <col min="15886" max="15886" width="7.140625" style="693" customWidth="1"/>
    <col min="15887" max="16128" width="12.5703125" style="693"/>
    <col min="16129" max="16131" width="7" style="693" customWidth="1"/>
    <col min="16132" max="16132" width="9.42578125" style="693" customWidth="1"/>
    <col min="16133" max="16133" width="7" style="693" customWidth="1"/>
    <col min="16134" max="16134" width="10.42578125" style="693" customWidth="1"/>
    <col min="16135" max="16141" width="7" style="693" customWidth="1"/>
    <col min="16142" max="16142" width="7.140625" style="693" customWidth="1"/>
    <col min="16143" max="16384" width="12.5703125" style="693"/>
  </cols>
  <sheetData>
    <row r="1" spans="1:14" ht="17.100000000000001" customHeight="1">
      <c r="A1" s="686" t="s">
        <v>268</v>
      </c>
      <c r="B1" s="687"/>
      <c r="C1" s="687"/>
      <c r="D1" s="687"/>
      <c r="E1" s="687"/>
      <c r="F1" s="687"/>
      <c r="G1" s="687"/>
      <c r="H1" s="687"/>
      <c r="I1" s="687"/>
      <c r="J1" s="688" t="s">
        <v>587</v>
      </c>
      <c r="K1" s="689"/>
      <c r="L1" s="690" t="s">
        <v>588</v>
      </c>
      <c r="M1" s="691"/>
      <c r="N1" s="692"/>
    </row>
    <row r="2" spans="1:14" ht="17.100000000000001" customHeight="1">
      <c r="A2" s="694" t="s">
        <v>589</v>
      </c>
      <c r="B2" s="695"/>
      <c r="C2" s="695"/>
      <c r="D2" s="695"/>
      <c r="E2" s="695"/>
      <c r="F2" s="695"/>
      <c r="G2" s="695"/>
      <c r="H2" s="695"/>
      <c r="I2" s="695"/>
      <c r="J2" s="696" t="s">
        <v>590</v>
      </c>
      <c r="K2" s="697"/>
      <c r="L2" s="698" t="s">
        <v>591</v>
      </c>
      <c r="M2" s="699"/>
      <c r="N2" s="692"/>
    </row>
    <row r="3" spans="1:14" ht="15.95" customHeight="1">
      <c r="A3" s="700"/>
      <c r="B3" s="701"/>
      <c r="C3" s="701"/>
      <c r="D3" s="701"/>
      <c r="E3" s="701"/>
      <c r="F3" s="701"/>
      <c r="G3" s="701"/>
      <c r="H3" s="701"/>
      <c r="I3" s="701"/>
      <c r="J3" s="696" t="s">
        <v>592</v>
      </c>
      <c r="K3" s="697"/>
      <c r="L3" s="702" t="s">
        <v>593</v>
      </c>
      <c r="M3" s="699"/>
      <c r="N3" s="692"/>
    </row>
    <row r="4" spans="1:14" ht="15.95" customHeight="1">
      <c r="A4" s="703"/>
      <c r="B4" s="701"/>
      <c r="C4" s="701"/>
      <c r="D4" s="701"/>
      <c r="E4" s="701"/>
      <c r="F4" s="701"/>
      <c r="G4" s="701"/>
      <c r="H4" s="701"/>
      <c r="I4" s="701"/>
      <c r="J4" s="696" t="s">
        <v>594</v>
      </c>
      <c r="K4" s="697"/>
      <c r="L4" s="702" t="s">
        <v>595</v>
      </c>
      <c r="M4" s="699"/>
      <c r="N4" s="692"/>
    </row>
    <row r="5" spans="1:14" ht="15.95" customHeight="1">
      <c r="A5" s="700"/>
      <c r="B5" s="701"/>
      <c r="C5" s="701"/>
      <c r="D5" s="701"/>
      <c r="E5" s="701"/>
      <c r="F5" s="701"/>
      <c r="G5" s="701"/>
      <c r="H5" s="701"/>
      <c r="I5" s="701"/>
      <c r="J5" s="696" t="s">
        <v>596</v>
      </c>
      <c r="K5" s="697"/>
      <c r="L5" s="698">
        <v>2</v>
      </c>
      <c r="M5" s="699"/>
      <c r="N5" s="692"/>
    </row>
    <row r="6" spans="1:14" ht="15.95" customHeight="1">
      <c r="A6" s="704" t="s">
        <v>597</v>
      </c>
      <c r="B6" s="701"/>
      <c r="C6" s="701"/>
      <c r="D6" s="701"/>
      <c r="E6" s="701"/>
      <c r="F6" s="701"/>
      <c r="G6" s="701"/>
      <c r="H6" s="701"/>
      <c r="I6" s="701"/>
      <c r="J6" s="696" t="s">
        <v>598</v>
      </c>
      <c r="K6" s="697"/>
      <c r="L6" s="698" t="s">
        <v>599</v>
      </c>
      <c r="M6" s="699"/>
      <c r="N6" s="692"/>
    </row>
    <row r="7" spans="1:14" ht="15.95" customHeight="1" thickBot="1">
      <c r="A7" s="705" t="s">
        <v>600</v>
      </c>
      <c r="B7" s="706"/>
      <c r="C7" s="706"/>
      <c r="D7" s="706"/>
      <c r="E7" s="706"/>
      <c r="F7" s="706"/>
      <c r="G7" s="706"/>
      <c r="H7" s="706"/>
      <c r="I7" s="706"/>
      <c r="J7" s="707" t="s">
        <v>601</v>
      </c>
      <c r="K7" s="708"/>
      <c r="L7" s="709" t="s">
        <v>602</v>
      </c>
      <c r="M7" s="710"/>
      <c r="N7" s="692"/>
    </row>
    <row r="8" spans="1:14" ht="15.95" customHeight="1">
      <c r="A8" s="711"/>
      <c r="B8" s="701"/>
      <c r="C8" s="701"/>
      <c r="D8" s="701"/>
      <c r="E8" s="701"/>
      <c r="F8" s="701"/>
      <c r="G8" s="701"/>
      <c r="H8" s="701"/>
      <c r="I8" s="701"/>
      <c r="J8" s="701"/>
      <c r="K8" s="712"/>
      <c r="L8" s="713"/>
      <c r="M8" s="714"/>
      <c r="N8" s="701"/>
    </row>
    <row r="9" spans="1:14" ht="12" customHeight="1">
      <c r="A9" s="715"/>
      <c r="B9" s="716" t="s">
        <v>603</v>
      </c>
      <c r="C9" s="717" t="s">
        <v>803</v>
      </c>
      <c r="D9" s="718"/>
      <c r="E9" s="718"/>
      <c r="F9" s="718"/>
      <c r="G9" s="718"/>
      <c r="H9" s="718"/>
      <c r="I9" s="718"/>
      <c r="J9" s="718"/>
      <c r="K9" s="719"/>
      <c r="L9" s="715"/>
      <c r="M9" s="718"/>
      <c r="N9" s="701"/>
    </row>
    <row r="10" spans="1:14" ht="12" customHeight="1">
      <c r="A10" s="715"/>
      <c r="B10" s="716" t="s">
        <v>604</v>
      </c>
      <c r="C10" s="720" t="s">
        <v>804</v>
      </c>
      <c r="D10" s="715"/>
      <c r="E10" s="715"/>
      <c r="F10" s="715"/>
      <c r="G10" s="715"/>
      <c r="H10" s="715"/>
      <c r="I10" s="715"/>
      <c r="J10" s="715"/>
      <c r="K10" s="715"/>
      <c r="L10" s="715"/>
      <c r="M10" s="715"/>
      <c r="N10" s="713"/>
    </row>
    <row r="11" spans="1:14" ht="16.5" thickBot="1">
      <c r="A11" s="713"/>
      <c r="B11" s="713"/>
      <c r="C11" s="713"/>
      <c r="D11" s="713"/>
      <c r="E11" s="713"/>
      <c r="F11" s="713"/>
      <c r="G11" s="713"/>
      <c r="H11" s="713"/>
      <c r="I11" s="713"/>
      <c r="J11" s="713"/>
      <c r="K11" s="713"/>
      <c r="L11" s="713"/>
      <c r="M11" s="713"/>
      <c r="N11" s="713"/>
    </row>
    <row r="12" spans="1:14" ht="20.100000000000001" customHeight="1" thickBot="1">
      <c r="A12" s="721" t="s">
        <v>605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92"/>
    </row>
    <row r="13" spans="1:14" ht="12.95" customHeight="1" thickTop="1">
      <c r="A13" s="724"/>
      <c r="B13" s="716" t="s">
        <v>606</v>
      </c>
      <c r="C13" s="725">
        <v>1750</v>
      </c>
      <c r="D13" s="715"/>
      <c r="E13" s="716" t="s">
        <v>607</v>
      </c>
      <c r="F13" s="725" t="s">
        <v>801</v>
      </c>
      <c r="G13" s="715"/>
      <c r="H13" s="716" t="s">
        <v>608</v>
      </c>
      <c r="I13" s="725" t="s">
        <v>692</v>
      </c>
      <c r="J13" s="715"/>
      <c r="K13" s="715"/>
      <c r="L13" s="716" t="s">
        <v>609</v>
      </c>
      <c r="M13" s="726">
        <v>3600</v>
      </c>
      <c r="N13" s="692"/>
    </row>
    <row r="14" spans="1:14" ht="12.95" customHeight="1">
      <c r="A14" s="724"/>
      <c r="B14" s="716" t="s">
        <v>610</v>
      </c>
      <c r="C14" s="725" t="s">
        <v>805</v>
      </c>
      <c r="D14" s="715"/>
      <c r="E14" s="716" t="s">
        <v>611</v>
      </c>
      <c r="F14" s="727" t="s">
        <v>693</v>
      </c>
      <c r="G14" s="715"/>
      <c r="H14" s="716" t="s">
        <v>612</v>
      </c>
      <c r="I14" s="725" t="s">
        <v>811</v>
      </c>
      <c r="J14" s="715"/>
      <c r="K14" s="715"/>
      <c r="L14" s="716" t="s">
        <v>552</v>
      </c>
      <c r="M14" s="726">
        <v>3585</v>
      </c>
      <c r="N14" s="692"/>
    </row>
    <row r="15" spans="1:14" ht="12.95" customHeight="1">
      <c r="A15" s="724"/>
      <c r="B15" s="716" t="s">
        <v>613</v>
      </c>
      <c r="C15" s="725" t="s">
        <v>812</v>
      </c>
      <c r="D15" s="715"/>
      <c r="E15" s="716" t="s">
        <v>614</v>
      </c>
      <c r="F15" s="728" t="s">
        <v>799</v>
      </c>
      <c r="G15" s="715"/>
      <c r="H15" s="716" t="s">
        <v>615</v>
      </c>
      <c r="I15" s="727" t="s">
        <v>174</v>
      </c>
      <c r="J15" s="715"/>
      <c r="K15" s="715"/>
      <c r="L15" s="716" t="s">
        <v>616</v>
      </c>
      <c r="M15" s="726" t="s">
        <v>363</v>
      </c>
      <c r="N15" s="692"/>
    </row>
    <row r="16" spans="1:14" ht="12.95" customHeight="1">
      <c r="A16" s="724"/>
      <c r="B16" s="716" t="s">
        <v>617</v>
      </c>
      <c r="C16" s="725" t="s">
        <v>691</v>
      </c>
      <c r="D16" s="715"/>
      <c r="E16" s="716" t="s">
        <v>618</v>
      </c>
      <c r="F16" s="729">
        <v>40</v>
      </c>
      <c r="G16" s="715"/>
      <c r="H16" s="730" t="s">
        <v>619</v>
      </c>
      <c r="I16" s="731" t="s">
        <v>813</v>
      </c>
      <c r="J16" s="715"/>
      <c r="K16" s="715"/>
      <c r="L16" s="716" t="s">
        <v>620</v>
      </c>
      <c r="M16" s="726" t="s">
        <v>621</v>
      </c>
      <c r="N16" s="692"/>
    </row>
    <row r="17" spans="1:14" ht="12.95" customHeight="1">
      <c r="A17" s="724"/>
      <c r="B17" s="716" t="s">
        <v>622</v>
      </c>
      <c r="C17" s="717" t="s">
        <v>814</v>
      </c>
      <c r="D17" s="715"/>
      <c r="E17" s="716"/>
      <c r="F17" s="727"/>
      <c r="G17" s="715"/>
      <c r="H17" s="716" t="s">
        <v>623</v>
      </c>
      <c r="I17" s="731" t="s">
        <v>174</v>
      </c>
      <c r="J17" s="715"/>
      <c r="K17" s="715"/>
      <c r="L17" s="716"/>
      <c r="M17" s="732"/>
      <c r="N17" s="692"/>
    </row>
    <row r="18" spans="1:14" ht="12.95" customHeight="1" thickBot="1">
      <c r="A18" s="733"/>
      <c r="B18" s="734" t="s">
        <v>624</v>
      </c>
      <c r="C18" s="735" t="s">
        <v>174</v>
      </c>
      <c r="D18" s="736"/>
      <c r="E18" s="734" t="s">
        <v>625</v>
      </c>
      <c r="F18" s="735" t="s">
        <v>174</v>
      </c>
      <c r="G18" s="737"/>
      <c r="H18" s="734" t="s">
        <v>626</v>
      </c>
      <c r="I18" s="735" t="s">
        <v>174</v>
      </c>
      <c r="J18" s="736"/>
      <c r="K18" s="736"/>
      <c r="L18" s="736"/>
      <c r="M18" s="738"/>
      <c r="N18" s="692"/>
    </row>
    <row r="19" spans="1:14" ht="16.5" thickBot="1">
      <c r="A19" s="692"/>
      <c r="B19" s="692"/>
      <c r="C19" s="692"/>
      <c r="D19" s="692"/>
      <c r="E19" s="692"/>
      <c r="F19" s="692"/>
      <c r="G19" s="692"/>
      <c r="H19" s="692"/>
      <c r="I19" s="692"/>
      <c r="J19" s="692"/>
      <c r="K19" s="692"/>
      <c r="L19" s="692"/>
      <c r="M19" s="692"/>
      <c r="N19" s="692"/>
    </row>
    <row r="20" spans="1:14" ht="20.100000000000001" customHeight="1" thickBot="1">
      <c r="A20" s="721"/>
      <c r="B20" s="722"/>
      <c r="C20" s="722"/>
      <c r="D20" s="722"/>
      <c r="E20" s="722"/>
      <c r="F20" s="722"/>
      <c r="G20" s="722"/>
      <c r="H20" s="722"/>
      <c r="I20" s="722"/>
      <c r="J20" s="722"/>
      <c r="K20" s="722"/>
      <c r="L20" s="722"/>
      <c r="M20" s="723"/>
    </row>
    <row r="21" spans="1:14" ht="15.95" customHeight="1" thickTop="1">
      <c r="A21" s="739" t="s">
        <v>627</v>
      </c>
      <c r="B21" s="740"/>
      <c r="C21" s="713"/>
      <c r="D21" s="741"/>
      <c r="E21" s="742" t="s">
        <v>628</v>
      </c>
      <c r="F21" s="743"/>
      <c r="G21" s="743"/>
      <c r="H21" s="744"/>
      <c r="I21" s="745" t="s">
        <v>629</v>
      </c>
      <c r="J21" s="743"/>
      <c r="K21" s="743"/>
      <c r="L21" s="713"/>
      <c r="M21" s="746"/>
    </row>
    <row r="22" spans="1:14" ht="15.95" customHeight="1">
      <c r="A22" s="747"/>
      <c r="B22" s="715"/>
      <c r="C22" s="716" t="s">
        <v>630</v>
      </c>
      <c r="D22" s="748" t="s">
        <v>802</v>
      </c>
      <c r="E22" s="716"/>
      <c r="G22" s="730" t="s">
        <v>631</v>
      </c>
      <c r="H22" s="749">
        <v>2564</v>
      </c>
      <c r="I22" s="716"/>
      <c r="J22" s="715"/>
      <c r="K22" s="716" t="s">
        <v>632</v>
      </c>
      <c r="L22" s="715"/>
      <c r="M22" s="732"/>
    </row>
    <row r="23" spans="1:14" ht="15.95" customHeight="1">
      <c r="A23" s="747"/>
      <c r="B23" s="716"/>
      <c r="C23" s="719"/>
      <c r="D23" s="750"/>
      <c r="E23" s="716"/>
      <c r="G23" s="716" t="s">
        <v>634</v>
      </c>
      <c r="H23" s="748">
        <v>155</v>
      </c>
      <c r="I23" s="715"/>
      <c r="J23" s="715"/>
      <c r="K23" s="716" t="s">
        <v>635</v>
      </c>
      <c r="L23" s="715"/>
      <c r="M23" s="732"/>
    </row>
    <row r="24" spans="1:14" ht="15.95" customHeight="1">
      <c r="A24" s="724"/>
      <c r="B24" s="716"/>
      <c r="C24" s="715"/>
      <c r="D24" s="750"/>
      <c r="E24" s="716"/>
      <c r="G24" s="730" t="s">
        <v>636</v>
      </c>
      <c r="H24" s="748">
        <v>245</v>
      </c>
      <c r="I24" s="715"/>
      <c r="J24" s="716"/>
      <c r="K24" s="715"/>
      <c r="L24" s="715"/>
      <c r="M24" s="732"/>
    </row>
    <row r="25" spans="1:14" ht="15.95" customHeight="1" thickBot="1">
      <c r="A25" s="733"/>
      <c r="B25" s="734"/>
      <c r="C25" s="736"/>
      <c r="D25" s="751"/>
      <c r="E25" s="734"/>
      <c r="F25" s="734"/>
      <c r="G25" s="734"/>
      <c r="H25" s="752"/>
      <c r="I25" s="736"/>
      <c r="J25" s="734"/>
      <c r="K25" s="736"/>
      <c r="L25" s="736"/>
      <c r="M25" s="738"/>
    </row>
    <row r="26" spans="1:14" ht="18.95" customHeight="1" thickBot="1">
      <c r="A26" s="711"/>
      <c r="B26" s="711"/>
      <c r="C26" s="711"/>
      <c r="D26" s="692"/>
      <c r="E26" s="692"/>
      <c r="F26" s="692"/>
      <c r="G26" s="692"/>
      <c r="H26" s="692"/>
      <c r="I26" s="692"/>
      <c r="J26" s="692"/>
      <c r="K26" s="692"/>
      <c r="L26" s="692"/>
      <c r="M26" s="692"/>
      <c r="N26" s="692"/>
    </row>
    <row r="27" spans="1:14" ht="20.100000000000001" customHeight="1" thickBot="1">
      <c r="A27" s="753"/>
      <c r="B27" s="754"/>
      <c r="C27" s="754"/>
      <c r="D27" s="754"/>
      <c r="E27" s="754"/>
      <c r="F27" s="754"/>
      <c r="G27" s="755"/>
      <c r="H27" s="754"/>
      <c r="I27" s="754"/>
      <c r="J27" s="754"/>
      <c r="K27" s="754"/>
      <c r="L27" s="754"/>
      <c r="M27" s="756"/>
    </row>
    <row r="28" spans="1:14" ht="15.95" customHeight="1" thickTop="1">
      <c r="A28" s="757" t="s">
        <v>637</v>
      </c>
      <c r="B28" s="740"/>
      <c r="C28" s="713"/>
      <c r="D28" s="713"/>
      <c r="E28" s="743"/>
      <c r="F28" s="743"/>
      <c r="G28" s="758"/>
      <c r="H28" s="742" t="s">
        <v>638</v>
      </c>
      <c r="I28" s="743"/>
      <c r="J28" s="743"/>
      <c r="K28" s="742"/>
      <c r="L28" s="743"/>
      <c r="M28" s="746"/>
    </row>
    <row r="29" spans="1:14" ht="15.95" customHeight="1">
      <c r="A29" s="724"/>
      <c r="B29" s="716"/>
      <c r="C29" s="716" t="s">
        <v>639</v>
      </c>
      <c r="D29" s="759">
        <v>96.7</v>
      </c>
      <c r="E29" s="716"/>
      <c r="F29" s="716"/>
      <c r="G29" s="758"/>
      <c r="H29" s="730"/>
      <c r="I29" s="716"/>
      <c r="J29" s="716" t="s">
        <v>639</v>
      </c>
      <c r="K29" s="759">
        <v>90.5</v>
      </c>
      <c r="L29" s="715"/>
      <c r="M29" s="732"/>
    </row>
    <row r="30" spans="1:14" ht="15.95" customHeight="1">
      <c r="A30" s="760"/>
      <c r="B30" s="715"/>
      <c r="C30" s="716" t="s">
        <v>640</v>
      </c>
      <c r="D30" s="759">
        <v>96.4</v>
      </c>
      <c r="E30" s="716"/>
      <c r="F30" s="716"/>
      <c r="G30" s="758"/>
      <c r="H30" s="716"/>
      <c r="I30" s="715"/>
      <c r="J30" s="716" t="s">
        <v>640</v>
      </c>
      <c r="K30" s="759">
        <v>88</v>
      </c>
      <c r="L30" s="715"/>
      <c r="M30" s="732"/>
    </row>
    <row r="31" spans="1:14" ht="15.95" customHeight="1">
      <c r="A31" s="724"/>
      <c r="B31" s="716"/>
      <c r="C31" s="716" t="s">
        <v>641</v>
      </c>
      <c r="D31" s="759">
        <v>95.5</v>
      </c>
      <c r="E31" s="716"/>
      <c r="F31" s="716"/>
      <c r="G31" s="758"/>
      <c r="H31" s="716"/>
      <c r="I31" s="715"/>
      <c r="J31" s="716" t="s">
        <v>641</v>
      </c>
      <c r="K31" s="759">
        <v>81.400000000000006</v>
      </c>
      <c r="L31" s="716"/>
      <c r="M31" s="732"/>
    </row>
    <row r="32" spans="1:14" ht="15.95" customHeight="1" thickBot="1">
      <c r="A32" s="733"/>
      <c r="B32" s="734"/>
      <c r="C32" s="736"/>
      <c r="D32" s="736"/>
      <c r="E32" s="734"/>
      <c r="F32" s="734"/>
      <c r="G32" s="761"/>
      <c r="H32" s="734"/>
      <c r="I32" s="736"/>
      <c r="J32" s="734"/>
      <c r="K32" s="736"/>
      <c r="L32" s="734"/>
      <c r="M32" s="738"/>
    </row>
    <row r="33" spans="1:14" ht="20.100000000000001" customHeight="1" thickBot="1">
      <c r="A33" s="762"/>
      <c r="B33" s="762"/>
      <c r="C33" s="762"/>
      <c r="D33" s="762"/>
      <c r="E33" s="762"/>
      <c r="F33" s="762"/>
      <c r="G33" s="762"/>
      <c r="H33" s="762"/>
      <c r="I33" s="762"/>
      <c r="J33" s="762"/>
      <c r="K33" s="762"/>
      <c r="L33" s="762"/>
      <c r="M33" s="762"/>
      <c r="N33" s="762"/>
    </row>
    <row r="34" spans="1:14" ht="20.100000000000001" customHeight="1" thickBot="1">
      <c r="A34" s="763"/>
      <c r="B34" s="764"/>
      <c r="C34" s="764"/>
      <c r="D34" s="764"/>
      <c r="E34" s="764"/>
      <c r="F34" s="764"/>
      <c r="G34" s="764"/>
      <c r="H34" s="764"/>
      <c r="I34" s="764"/>
      <c r="J34" s="764"/>
      <c r="K34" s="764"/>
      <c r="L34" s="764"/>
      <c r="M34" s="765"/>
    </row>
    <row r="35" spans="1:14" ht="15.95" customHeight="1" thickTop="1">
      <c r="A35" s="524" t="s">
        <v>642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66"/>
    </row>
    <row r="36" spans="1:14" ht="15.95" customHeight="1">
      <c r="A36" s="518" t="s">
        <v>643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66"/>
    </row>
    <row r="37" spans="1:14" ht="15.95" customHeight="1">
      <c r="A37" s="526" t="s">
        <v>644</v>
      </c>
      <c r="B37" s="719"/>
      <c r="C37" s="719"/>
      <c r="D37" s="719"/>
      <c r="E37" s="767"/>
      <c r="F37" s="719"/>
      <c r="G37" s="719"/>
      <c r="H37" s="719"/>
      <c r="I37" s="719"/>
      <c r="J37" s="719"/>
      <c r="K37" s="719"/>
      <c r="L37" s="719"/>
      <c r="M37" s="766"/>
    </row>
    <row r="38" spans="1:14" ht="15.95" customHeight="1">
      <c r="A38" s="528" t="s">
        <v>645</v>
      </c>
      <c r="B38" s="719"/>
      <c r="C38" s="719"/>
      <c r="D38" s="719"/>
      <c r="E38" s="719"/>
      <c r="F38" s="719"/>
      <c r="G38" s="719"/>
      <c r="H38" s="719"/>
      <c r="I38" s="719"/>
      <c r="J38" s="719"/>
      <c r="K38" s="719"/>
      <c r="L38" s="719"/>
      <c r="M38" s="766"/>
    </row>
    <row r="39" spans="1:14" ht="15.95" customHeight="1">
      <c r="A39" s="529" t="s">
        <v>646</v>
      </c>
      <c r="B39" s="719"/>
      <c r="C39" s="719"/>
      <c r="D39" s="719"/>
      <c r="E39" s="719"/>
      <c r="F39" s="719"/>
      <c r="G39" s="719"/>
      <c r="H39" s="719"/>
      <c r="I39" s="719"/>
      <c r="J39" s="719"/>
      <c r="K39" s="719"/>
      <c r="L39" s="719"/>
      <c r="M39" s="766"/>
    </row>
    <row r="40" spans="1:14" ht="15.95" customHeight="1" thickBot="1">
      <c r="A40" s="530" t="s">
        <v>647</v>
      </c>
      <c r="B40" s="768"/>
      <c r="C40" s="768"/>
      <c r="D40" s="768"/>
      <c r="E40" s="768"/>
      <c r="F40" s="768"/>
      <c r="G40" s="768"/>
      <c r="H40" s="768"/>
      <c r="I40" s="768"/>
      <c r="J40" s="768"/>
      <c r="K40" s="768"/>
      <c r="L40" s="768"/>
      <c r="M40" s="769"/>
    </row>
    <row r="41" spans="1:14" ht="15.95" customHeight="1"/>
    <row r="42" spans="1:14" ht="18">
      <c r="A42" s="770"/>
      <c r="B42" s="770"/>
      <c r="C42" s="770"/>
      <c r="D42" s="770"/>
      <c r="E42" s="770"/>
      <c r="F42" s="770"/>
      <c r="G42" s="770"/>
      <c r="H42" s="692"/>
      <c r="I42" s="692"/>
      <c r="J42" s="771" t="s">
        <v>648</v>
      </c>
      <c r="K42" s="1030" t="s">
        <v>815</v>
      </c>
      <c r="L42" s="1030"/>
      <c r="M42" s="1030"/>
      <c r="N42" s="770"/>
    </row>
    <row r="43" spans="1:14" ht="7.5" customHeight="1">
      <c r="H43" s="692"/>
      <c r="I43" s="692"/>
      <c r="J43" s="692"/>
      <c r="K43" s="692"/>
      <c r="L43" s="692"/>
      <c r="M43" s="692"/>
    </row>
    <row r="44" spans="1:14" ht="16.5">
      <c r="H44" s="692"/>
      <c r="I44" s="692"/>
      <c r="J44" s="771" t="s">
        <v>649</v>
      </c>
      <c r="K44" s="1031">
        <v>45897</v>
      </c>
      <c r="L44" s="1031"/>
      <c r="M44" s="1031"/>
    </row>
    <row r="59" spans="1:5">
      <c r="A59" s="693" t="s">
        <v>174</v>
      </c>
      <c r="B59" s="693" t="s">
        <v>650</v>
      </c>
      <c r="D59" s="693">
        <v>1</v>
      </c>
      <c r="E59" s="772" t="s">
        <v>174</v>
      </c>
    </row>
    <row r="60" spans="1:5">
      <c r="A60" s="693" t="s">
        <v>651</v>
      </c>
      <c r="B60" s="693" t="s">
        <v>652</v>
      </c>
      <c r="D60" s="693">
        <v>1.1499999999999999</v>
      </c>
      <c r="E60" s="772" t="s">
        <v>183</v>
      </c>
    </row>
    <row r="61" spans="1:5">
      <c r="A61" s="693" t="s">
        <v>653</v>
      </c>
      <c r="B61" s="693" t="s">
        <v>654</v>
      </c>
      <c r="E61" s="772" t="s">
        <v>320</v>
      </c>
    </row>
    <row r="62" spans="1:5">
      <c r="B62" s="693" t="s">
        <v>655</v>
      </c>
    </row>
    <row r="63" spans="1:5">
      <c r="B63" s="693" t="s">
        <v>656</v>
      </c>
    </row>
    <row r="64" spans="1:5">
      <c r="B64" s="693" t="s">
        <v>657</v>
      </c>
    </row>
    <row r="65" spans="2:2">
      <c r="B65" s="693" t="s">
        <v>658</v>
      </c>
    </row>
    <row r="66" spans="2:2">
      <c r="B66" s="693" t="s">
        <v>659</v>
      </c>
    </row>
    <row r="67" spans="2:2">
      <c r="B67" s="693" t="s">
        <v>660</v>
      </c>
    </row>
    <row r="68" spans="2:2">
      <c r="B68" s="693" t="s">
        <v>661</v>
      </c>
    </row>
    <row r="69" spans="2:2">
      <c r="B69" s="693" t="s">
        <v>662</v>
      </c>
    </row>
    <row r="70" spans="2:2">
      <c r="B70" s="693" t="s">
        <v>663</v>
      </c>
    </row>
    <row r="71" spans="2:2">
      <c r="B71" s="693" t="s">
        <v>664</v>
      </c>
    </row>
    <row r="72" spans="2:2">
      <c r="B72" s="693" t="s">
        <v>665</v>
      </c>
    </row>
    <row r="73" spans="2:2">
      <c r="B73" s="693" t="s">
        <v>666</v>
      </c>
    </row>
    <row r="74" spans="2:2">
      <c r="B74" s="693" t="s">
        <v>667</v>
      </c>
    </row>
    <row r="75" spans="2:2">
      <c r="B75" s="693" t="s">
        <v>668</v>
      </c>
    </row>
    <row r="76" spans="2:2">
      <c r="B76" s="693" t="s">
        <v>669</v>
      </c>
    </row>
    <row r="77" spans="2:2">
      <c r="B77" s="693" t="s">
        <v>670</v>
      </c>
    </row>
    <row r="78" spans="2:2">
      <c r="B78" s="693" t="s">
        <v>671</v>
      </c>
    </row>
    <row r="79" spans="2:2">
      <c r="B79" s="693" t="s">
        <v>672</v>
      </c>
    </row>
    <row r="80" spans="2:2">
      <c r="B80" s="693">
        <v>6312</v>
      </c>
    </row>
    <row r="81" spans="2:2">
      <c r="B81" s="693" t="s">
        <v>673</v>
      </c>
    </row>
    <row r="82" spans="2:2">
      <c r="B82" s="693" t="s">
        <v>674</v>
      </c>
    </row>
    <row r="83" spans="2:2">
      <c r="B83" s="693" t="s">
        <v>675</v>
      </c>
    </row>
    <row r="84" spans="2:2">
      <c r="B84" s="693" t="s">
        <v>676</v>
      </c>
    </row>
    <row r="85" spans="2:2">
      <c r="B85" s="693">
        <v>6313</v>
      </c>
    </row>
    <row r="86" spans="2:2">
      <c r="B86" s="693" t="s">
        <v>677</v>
      </c>
    </row>
    <row r="87" spans="2:2">
      <c r="B87" s="693" t="s">
        <v>678</v>
      </c>
    </row>
    <row r="88" spans="2:2">
      <c r="B88" s="693" t="s">
        <v>679</v>
      </c>
    </row>
    <row r="89" spans="2:2">
      <c r="B89" s="693">
        <v>6314</v>
      </c>
    </row>
    <row r="90" spans="2:2">
      <c r="B90" s="693" t="s">
        <v>680</v>
      </c>
    </row>
    <row r="91" spans="2:2">
      <c r="B91" s="693">
        <v>6317</v>
      </c>
    </row>
    <row r="92" spans="2:2">
      <c r="B92" s="693" t="s">
        <v>681</v>
      </c>
    </row>
    <row r="93" spans="2:2">
      <c r="B93" s="693">
        <v>6318</v>
      </c>
    </row>
    <row r="94" spans="2:2">
      <c r="B94" s="693" t="s">
        <v>682</v>
      </c>
    </row>
    <row r="95" spans="2:2">
      <c r="B95" s="693" t="s">
        <v>683</v>
      </c>
    </row>
    <row r="96" spans="2:2">
      <c r="B96" s="693" t="s">
        <v>684</v>
      </c>
    </row>
    <row r="97" spans="2:2">
      <c r="B97" s="693">
        <v>6320</v>
      </c>
    </row>
    <row r="98" spans="2:2">
      <c r="B98" s="693" t="s">
        <v>685</v>
      </c>
    </row>
    <row r="99" spans="2:2">
      <c r="B99" s="693" t="s">
        <v>686</v>
      </c>
    </row>
    <row r="100" spans="2:2">
      <c r="B100" s="693" t="s">
        <v>687</v>
      </c>
    </row>
    <row r="101" spans="2:2">
      <c r="B101" s="693" t="s">
        <v>688</v>
      </c>
    </row>
    <row r="102" spans="2:2">
      <c r="B102" s="693" t="s">
        <v>688</v>
      </c>
    </row>
    <row r="118" spans="2:2">
      <c r="B118" s="693" t="s">
        <v>689</v>
      </c>
    </row>
    <row r="120" spans="2:2">
      <c r="B120" s="693" t="s">
        <v>690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006F-C4F6-458A-AC49-E3D1FA366F43}">
  <sheetPr>
    <pageSetUpPr fitToPage="1"/>
  </sheetPr>
  <dimension ref="A1:L67"/>
  <sheetViews>
    <sheetView workbookViewId="0">
      <selection activeCell="H18" sqref="H18"/>
    </sheetView>
  </sheetViews>
  <sheetFormatPr defaultRowHeight="12.75"/>
  <cols>
    <col min="1" max="6" width="16.7109375" style="664" customWidth="1"/>
    <col min="7" max="256" width="9.140625" style="664"/>
    <col min="257" max="262" width="16.7109375" style="664" customWidth="1"/>
    <col min="263" max="512" width="9.140625" style="664"/>
    <col min="513" max="518" width="16.7109375" style="664" customWidth="1"/>
    <col min="519" max="768" width="9.140625" style="664"/>
    <col min="769" max="774" width="16.7109375" style="664" customWidth="1"/>
    <col min="775" max="1024" width="9.140625" style="664"/>
    <col min="1025" max="1030" width="16.7109375" style="664" customWidth="1"/>
    <col min="1031" max="1280" width="9.140625" style="664"/>
    <col min="1281" max="1286" width="16.7109375" style="664" customWidth="1"/>
    <col min="1287" max="1536" width="9.140625" style="664"/>
    <col min="1537" max="1542" width="16.7109375" style="664" customWidth="1"/>
    <col min="1543" max="1792" width="9.140625" style="664"/>
    <col min="1793" max="1798" width="16.7109375" style="664" customWidth="1"/>
    <col min="1799" max="2048" width="9.140625" style="664"/>
    <col min="2049" max="2054" width="16.7109375" style="664" customWidth="1"/>
    <col min="2055" max="2304" width="9.140625" style="664"/>
    <col min="2305" max="2310" width="16.7109375" style="664" customWidth="1"/>
    <col min="2311" max="2560" width="9.140625" style="664"/>
    <col min="2561" max="2566" width="16.7109375" style="664" customWidth="1"/>
    <col min="2567" max="2816" width="9.140625" style="664"/>
    <col min="2817" max="2822" width="16.7109375" style="664" customWidth="1"/>
    <col min="2823" max="3072" width="9.140625" style="664"/>
    <col min="3073" max="3078" width="16.7109375" style="664" customWidth="1"/>
    <col min="3079" max="3328" width="9.140625" style="664"/>
    <col min="3329" max="3334" width="16.7109375" style="664" customWidth="1"/>
    <col min="3335" max="3584" width="9.140625" style="664"/>
    <col min="3585" max="3590" width="16.7109375" style="664" customWidth="1"/>
    <col min="3591" max="3840" width="9.140625" style="664"/>
    <col min="3841" max="3846" width="16.7109375" style="664" customWidth="1"/>
    <col min="3847" max="4096" width="9.140625" style="664"/>
    <col min="4097" max="4102" width="16.7109375" style="664" customWidth="1"/>
    <col min="4103" max="4352" width="9.140625" style="664"/>
    <col min="4353" max="4358" width="16.7109375" style="664" customWidth="1"/>
    <col min="4359" max="4608" width="9.140625" style="664"/>
    <col min="4609" max="4614" width="16.7109375" style="664" customWidth="1"/>
    <col min="4615" max="4864" width="9.140625" style="664"/>
    <col min="4865" max="4870" width="16.7109375" style="664" customWidth="1"/>
    <col min="4871" max="5120" width="9.140625" style="664"/>
    <col min="5121" max="5126" width="16.7109375" style="664" customWidth="1"/>
    <col min="5127" max="5376" width="9.140625" style="664"/>
    <col min="5377" max="5382" width="16.7109375" style="664" customWidth="1"/>
    <col min="5383" max="5632" width="9.140625" style="664"/>
    <col min="5633" max="5638" width="16.7109375" style="664" customWidth="1"/>
    <col min="5639" max="5888" width="9.140625" style="664"/>
    <col min="5889" max="5894" width="16.7109375" style="664" customWidth="1"/>
    <col min="5895" max="6144" width="9.140625" style="664"/>
    <col min="6145" max="6150" width="16.7109375" style="664" customWidth="1"/>
    <col min="6151" max="6400" width="9.140625" style="664"/>
    <col min="6401" max="6406" width="16.7109375" style="664" customWidth="1"/>
    <col min="6407" max="6656" width="9.140625" style="664"/>
    <col min="6657" max="6662" width="16.7109375" style="664" customWidth="1"/>
    <col min="6663" max="6912" width="9.140625" style="664"/>
    <col min="6913" max="6918" width="16.7109375" style="664" customWidth="1"/>
    <col min="6919" max="7168" width="9.140625" style="664"/>
    <col min="7169" max="7174" width="16.7109375" style="664" customWidth="1"/>
    <col min="7175" max="7424" width="9.140625" style="664"/>
    <col min="7425" max="7430" width="16.7109375" style="664" customWidth="1"/>
    <col min="7431" max="7680" width="9.140625" style="664"/>
    <col min="7681" max="7686" width="16.7109375" style="664" customWidth="1"/>
    <col min="7687" max="7936" width="9.140625" style="664"/>
    <col min="7937" max="7942" width="16.7109375" style="664" customWidth="1"/>
    <col min="7943" max="8192" width="9.140625" style="664"/>
    <col min="8193" max="8198" width="16.7109375" style="664" customWidth="1"/>
    <col min="8199" max="8448" width="9.140625" style="664"/>
    <col min="8449" max="8454" width="16.7109375" style="664" customWidth="1"/>
    <col min="8455" max="8704" width="9.140625" style="664"/>
    <col min="8705" max="8710" width="16.7109375" style="664" customWidth="1"/>
    <col min="8711" max="8960" width="9.140625" style="664"/>
    <col min="8961" max="8966" width="16.7109375" style="664" customWidth="1"/>
    <col min="8967" max="9216" width="9.140625" style="664"/>
    <col min="9217" max="9222" width="16.7109375" style="664" customWidth="1"/>
    <col min="9223" max="9472" width="9.140625" style="664"/>
    <col min="9473" max="9478" width="16.7109375" style="664" customWidth="1"/>
    <col min="9479" max="9728" width="9.140625" style="664"/>
    <col min="9729" max="9734" width="16.7109375" style="664" customWidth="1"/>
    <col min="9735" max="9984" width="9.140625" style="664"/>
    <col min="9985" max="9990" width="16.7109375" style="664" customWidth="1"/>
    <col min="9991" max="10240" width="9.140625" style="664"/>
    <col min="10241" max="10246" width="16.7109375" style="664" customWidth="1"/>
    <col min="10247" max="10496" width="9.140625" style="664"/>
    <col min="10497" max="10502" width="16.7109375" style="664" customWidth="1"/>
    <col min="10503" max="10752" width="9.140625" style="664"/>
    <col min="10753" max="10758" width="16.7109375" style="664" customWidth="1"/>
    <col min="10759" max="11008" width="9.140625" style="664"/>
    <col min="11009" max="11014" width="16.7109375" style="664" customWidth="1"/>
    <col min="11015" max="11264" width="9.140625" style="664"/>
    <col min="11265" max="11270" width="16.7109375" style="664" customWidth="1"/>
    <col min="11271" max="11520" width="9.140625" style="664"/>
    <col min="11521" max="11526" width="16.7109375" style="664" customWidth="1"/>
    <col min="11527" max="11776" width="9.140625" style="664"/>
    <col min="11777" max="11782" width="16.7109375" style="664" customWidth="1"/>
    <col min="11783" max="12032" width="9.140625" style="664"/>
    <col min="12033" max="12038" width="16.7109375" style="664" customWidth="1"/>
    <col min="12039" max="12288" width="9.140625" style="664"/>
    <col min="12289" max="12294" width="16.7109375" style="664" customWidth="1"/>
    <col min="12295" max="12544" width="9.140625" style="664"/>
    <col min="12545" max="12550" width="16.7109375" style="664" customWidth="1"/>
    <col min="12551" max="12800" width="9.140625" style="664"/>
    <col min="12801" max="12806" width="16.7109375" style="664" customWidth="1"/>
    <col min="12807" max="13056" width="9.140625" style="664"/>
    <col min="13057" max="13062" width="16.7109375" style="664" customWidth="1"/>
    <col min="13063" max="13312" width="9.140625" style="664"/>
    <col min="13313" max="13318" width="16.7109375" style="664" customWidth="1"/>
    <col min="13319" max="13568" width="9.140625" style="664"/>
    <col min="13569" max="13574" width="16.7109375" style="664" customWidth="1"/>
    <col min="13575" max="13824" width="9.140625" style="664"/>
    <col min="13825" max="13830" width="16.7109375" style="664" customWidth="1"/>
    <col min="13831" max="14080" width="9.140625" style="664"/>
    <col min="14081" max="14086" width="16.7109375" style="664" customWidth="1"/>
    <col min="14087" max="14336" width="9.140625" style="664"/>
    <col min="14337" max="14342" width="16.7109375" style="664" customWidth="1"/>
    <col min="14343" max="14592" width="9.140625" style="664"/>
    <col min="14593" max="14598" width="16.7109375" style="664" customWidth="1"/>
    <col min="14599" max="14848" width="9.140625" style="664"/>
    <col min="14849" max="14854" width="16.7109375" style="664" customWidth="1"/>
    <col min="14855" max="15104" width="9.140625" style="664"/>
    <col min="15105" max="15110" width="16.7109375" style="664" customWidth="1"/>
    <col min="15111" max="15360" width="9.140625" style="664"/>
    <col min="15361" max="15366" width="16.7109375" style="664" customWidth="1"/>
    <col min="15367" max="15616" width="9.140625" style="664"/>
    <col min="15617" max="15622" width="16.7109375" style="664" customWidth="1"/>
    <col min="15623" max="15872" width="9.140625" style="664"/>
    <col min="15873" max="15878" width="16.7109375" style="664" customWidth="1"/>
    <col min="15879" max="16128" width="9.140625" style="664"/>
    <col min="16129" max="16134" width="16.7109375" style="664" customWidth="1"/>
    <col min="16135" max="16384" width="9.140625" style="664"/>
  </cols>
  <sheetData>
    <row r="1" spans="1:6" ht="18.95" customHeight="1">
      <c r="A1" s="773"/>
      <c r="B1" s="774"/>
      <c r="C1" s="774"/>
      <c r="D1" s="774"/>
      <c r="E1" s="774"/>
      <c r="F1" s="775"/>
    </row>
    <row r="2" spans="1:6" ht="26.1" customHeight="1">
      <c r="A2" s="776" t="s">
        <v>268</v>
      </c>
      <c r="B2" s="777"/>
      <c r="C2" s="777"/>
      <c r="D2" s="777"/>
      <c r="E2" s="777"/>
      <c r="F2" s="778"/>
    </row>
    <row r="3" spans="1:6" ht="18.95" customHeight="1">
      <c r="A3" s="779" t="s">
        <v>540</v>
      </c>
      <c r="B3" s="777"/>
      <c r="C3" s="777"/>
      <c r="D3" s="777"/>
      <c r="E3" s="777"/>
      <c r="F3" s="778"/>
    </row>
    <row r="4" spans="1:6" ht="18.95" customHeight="1">
      <c r="A4" s="780"/>
      <c r="B4" s="781"/>
      <c r="C4" s="781"/>
      <c r="D4" s="781"/>
      <c r="E4" s="781"/>
      <c r="F4" s="782"/>
    </row>
    <row r="5" spans="1:6" ht="18.95" customHeight="1">
      <c r="A5" s="780"/>
      <c r="B5" s="781"/>
      <c r="C5" s="781"/>
      <c r="D5" s="781"/>
      <c r="E5" s="781"/>
      <c r="F5" s="782"/>
    </row>
    <row r="6" spans="1:6" ht="18.95" customHeight="1">
      <c r="A6" s="783" t="s">
        <v>541</v>
      </c>
      <c r="B6" s="1032" t="str">
        <f>'Performance Data Sheet 1750HP'!C17</f>
        <v>3UKM40L1S50150</v>
      </c>
      <c r="C6" s="1033"/>
      <c r="D6" s="1034"/>
      <c r="E6" s="783" t="s">
        <v>542</v>
      </c>
      <c r="F6" s="784" t="str">
        <f>'Performance Data Sheet 1750HP'!I14 &amp; " A"</f>
        <v>372/215 A</v>
      </c>
    </row>
    <row r="7" spans="1:6" ht="18.95" customHeight="1">
      <c r="A7" s="783" t="s">
        <v>543</v>
      </c>
      <c r="B7" s="784" t="str">
        <f>'Performance Data Sheet 1750HP'!F14</f>
        <v>WP-II</v>
      </c>
      <c r="C7" s="783" t="s">
        <v>544</v>
      </c>
      <c r="D7" s="784" t="str">
        <f>'Performance Data Sheet 1750HP'!F13 &amp; " V"</f>
        <v>2300/4000 V</v>
      </c>
      <c r="E7" s="783" t="s">
        <v>545</v>
      </c>
      <c r="F7" s="784" t="str">
        <f>'Performance Data Sheet 1750HP'!C14</f>
        <v>5812USS</v>
      </c>
    </row>
    <row r="8" spans="1:6" ht="18.95" customHeight="1">
      <c r="A8" s="783" t="s">
        <v>546</v>
      </c>
      <c r="B8" s="784">
        <v>2</v>
      </c>
      <c r="C8" s="783" t="s">
        <v>547</v>
      </c>
      <c r="D8" s="784" t="s">
        <v>548</v>
      </c>
      <c r="E8" s="783" t="s">
        <v>549</v>
      </c>
      <c r="F8" s="784" t="s">
        <v>363</v>
      </c>
    </row>
    <row r="9" spans="1:6" ht="18.95" customHeight="1">
      <c r="A9" s="783" t="s">
        <v>550</v>
      </c>
      <c r="B9" s="784">
        <v>1750</v>
      </c>
      <c r="C9" s="783" t="s">
        <v>551</v>
      </c>
      <c r="D9" s="784" t="s">
        <v>561</v>
      </c>
      <c r="E9" s="783" t="s">
        <v>2</v>
      </c>
      <c r="F9" s="785">
        <f>'Performance Data Sheet 1750HP'!K44</f>
        <v>45897</v>
      </c>
    </row>
    <row r="10" spans="1:6" ht="18.95" customHeight="1">
      <c r="A10" s="783" t="s">
        <v>552</v>
      </c>
      <c r="B10" s="784">
        <v>3585</v>
      </c>
      <c r="C10" s="783" t="s">
        <v>396</v>
      </c>
      <c r="D10" s="784" t="s">
        <v>816</v>
      </c>
      <c r="E10" s="783" t="s">
        <v>1</v>
      </c>
      <c r="F10" s="784" t="s">
        <v>817</v>
      </c>
    </row>
    <row r="11" spans="1:6" ht="18.95" customHeight="1">
      <c r="A11" s="780"/>
      <c r="B11" s="781"/>
      <c r="C11" s="781"/>
      <c r="D11" s="781"/>
      <c r="E11" s="781"/>
      <c r="F11" s="782"/>
    </row>
    <row r="12" spans="1:6" ht="18.95" customHeight="1">
      <c r="A12" s="780"/>
      <c r="B12" s="786" t="s">
        <v>553</v>
      </c>
      <c r="C12" s="787" t="str">
        <f>'Performance Data Sheet 1750HP'!D22 &amp; " A"</f>
        <v>2683/1549 A</v>
      </c>
      <c r="D12" s="786" t="s">
        <v>395</v>
      </c>
      <c r="E12" s="787" t="s">
        <v>399</v>
      </c>
      <c r="F12" s="782"/>
    </row>
    <row r="13" spans="1:6" ht="18.95" customHeight="1">
      <c r="A13" s="780"/>
      <c r="B13" s="786" t="s">
        <v>554</v>
      </c>
      <c r="C13" s="788">
        <v>1.55</v>
      </c>
      <c r="D13" s="786" t="s">
        <v>555</v>
      </c>
      <c r="E13" s="787" t="s">
        <v>584</v>
      </c>
      <c r="F13" s="782"/>
    </row>
    <row r="14" spans="1:6" ht="18.95" customHeight="1">
      <c r="A14" s="780"/>
      <c r="B14" s="786" t="s">
        <v>556</v>
      </c>
      <c r="C14" s="788">
        <v>2.4500000000000002</v>
      </c>
      <c r="D14" s="786" t="s">
        <v>397</v>
      </c>
      <c r="E14" s="787" t="s">
        <v>807</v>
      </c>
      <c r="F14" s="782"/>
    </row>
    <row r="15" spans="1:6" ht="18.95" customHeight="1">
      <c r="A15" s="780"/>
      <c r="B15" s="786" t="s">
        <v>398</v>
      </c>
      <c r="C15" s="787" t="s">
        <v>818</v>
      </c>
      <c r="D15" s="781"/>
      <c r="E15" s="781"/>
      <c r="F15" s="782"/>
    </row>
    <row r="16" spans="1:6" ht="18.95" customHeight="1">
      <c r="A16" s="780"/>
      <c r="B16" s="781"/>
      <c r="C16" s="781"/>
      <c r="D16" s="781"/>
      <c r="E16" s="781"/>
      <c r="F16" s="782"/>
    </row>
    <row r="17" spans="1:6" ht="18.95" customHeight="1">
      <c r="A17" s="780"/>
      <c r="B17" s="781"/>
      <c r="C17" s="781"/>
      <c r="D17" s="781"/>
      <c r="E17" s="781"/>
      <c r="F17" s="782"/>
    </row>
    <row r="18" spans="1:6" ht="18.95" customHeight="1">
      <c r="A18" s="780"/>
      <c r="B18" s="781"/>
      <c r="C18" s="781"/>
      <c r="D18" s="781"/>
      <c r="E18" s="781"/>
      <c r="F18" s="782"/>
    </row>
    <row r="19" spans="1:6" ht="18.95" customHeight="1">
      <c r="A19" s="780"/>
      <c r="B19" s="781"/>
      <c r="C19" s="781"/>
      <c r="D19" s="781"/>
      <c r="E19" s="781"/>
      <c r="F19" s="782"/>
    </row>
    <row r="20" spans="1:6" ht="18.95" customHeight="1">
      <c r="A20" s="780"/>
      <c r="B20" s="781"/>
      <c r="C20" s="781"/>
      <c r="D20" s="781"/>
      <c r="E20" s="781"/>
      <c r="F20" s="782"/>
    </row>
    <row r="21" spans="1:6" ht="18.95" customHeight="1">
      <c r="A21" s="780"/>
      <c r="B21" s="781"/>
      <c r="C21" s="781"/>
      <c r="D21" s="781"/>
      <c r="E21" s="781"/>
      <c r="F21" s="782"/>
    </row>
    <row r="22" spans="1:6" ht="18.95" customHeight="1">
      <c r="A22" s="780"/>
      <c r="B22" s="781"/>
      <c r="C22" s="781"/>
      <c r="D22" s="781"/>
      <c r="E22" s="781"/>
      <c r="F22" s="782"/>
    </row>
    <row r="23" spans="1:6" ht="18.95" customHeight="1">
      <c r="A23" s="780"/>
      <c r="B23" s="781"/>
      <c r="C23" s="781"/>
      <c r="D23" s="781"/>
      <c r="E23" s="781"/>
      <c r="F23" s="782"/>
    </row>
    <row r="24" spans="1:6" ht="18.95" customHeight="1">
      <c r="A24" s="780"/>
      <c r="B24" s="781"/>
      <c r="C24" s="781"/>
      <c r="D24" s="781"/>
      <c r="E24" s="781"/>
      <c r="F24" s="782"/>
    </row>
    <row r="25" spans="1:6" ht="18.95" customHeight="1">
      <c r="A25" s="780"/>
      <c r="B25" s="781"/>
      <c r="C25" s="781"/>
      <c r="D25" s="781"/>
      <c r="E25" s="781"/>
      <c r="F25" s="782"/>
    </row>
    <row r="26" spans="1:6" ht="18.95" customHeight="1">
      <c r="A26" s="780"/>
      <c r="B26" s="781"/>
      <c r="C26" s="781"/>
      <c r="D26" s="781"/>
      <c r="E26" s="781"/>
      <c r="F26" s="782"/>
    </row>
    <row r="27" spans="1:6" ht="18.95" customHeight="1">
      <c r="A27" s="780"/>
      <c r="B27" s="781"/>
      <c r="C27" s="781"/>
      <c r="D27" s="781"/>
      <c r="E27" s="781"/>
      <c r="F27" s="782"/>
    </row>
    <row r="28" spans="1:6" ht="18.95" customHeight="1">
      <c r="A28" s="780"/>
      <c r="B28" s="781"/>
      <c r="C28" s="781"/>
      <c r="D28" s="781"/>
      <c r="E28" s="781"/>
      <c r="F28" s="782"/>
    </row>
    <row r="29" spans="1:6" ht="18.95" customHeight="1">
      <c r="A29" s="780"/>
      <c r="B29" s="781"/>
      <c r="C29" s="781"/>
      <c r="D29" s="781"/>
      <c r="E29" s="781"/>
      <c r="F29" s="782"/>
    </row>
    <row r="30" spans="1:6" ht="18.95" customHeight="1">
      <c r="A30" s="780"/>
      <c r="B30" s="781"/>
      <c r="C30" s="781"/>
      <c r="D30" s="781"/>
      <c r="E30" s="781"/>
      <c r="F30" s="782"/>
    </row>
    <row r="31" spans="1:6" ht="18.95" customHeight="1">
      <c r="A31" s="780"/>
      <c r="B31" s="781"/>
      <c r="C31" s="781"/>
      <c r="D31" s="781"/>
      <c r="E31" s="781"/>
      <c r="F31" s="782"/>
    </row>
    <row r="32" spans="1:6" ht="18.95" customHeight="1">
      <c r="A32" s="780"/>
      <c r="B32" s="781"/>
      <c r="C32" s="781"/>
      <c r="D32" s="781"/>
      <c r="E32" s="781"/>
      <c r="F32" s="782"/>
    </row>
    <row r="33" spans="1:6" ht="18.95" customHeight="1">
      <c r="A33" s="780"/>
      <c r="B33" s="781"/>
      <c r="C33" s="781"/>
      <c r="D33" s="781"/>
      <c r="E33" s="781"/>
      <c r="F33" s="782"/>
    </row>
    <row r="34" spans="1:6" ht="18.95" customHeight="1">
      <c r="A34" s="780"/>
      <c r="B34" s="781"/>
      <c r="C34" s="781"/>
      <c r="D34" s="781"/>
      <c r="E34" s="781"/>
      <c r="F34" s="782"/>
    </row>
    <row r="35" spans="1:6" ht="18.95" customHeight="1">
      <c r="A35" s="780"/>
      <c r="B35" s="781"/>
      <c r="C35" s="781"/>
      <c r="D35" s="781"/>
      <c r="E35" s="781"/>
      <c r="F35" s="782"/>
    </row>
    <row r="36" spans="1:6" ht="18.95" customHeight="1">
      <c r="A36" s="780"/>
      <c r="B36" s="781"/>
      <c r="C36" s="781"/>
      <c r="D36" s="781"/>
      <c r="E36" s="781"/>
      <c r="F36" s="782"/>
    </row>
    <row r="37" spans="1:6" ht="18.95" customHeight="1">
      <c r="A37" s="780"/>
      <c r="B37" s="781"/>
      <c r="C37" s="781"/>
      <c r="D37" s="781"/>
      <c r="E37" s="781"/>
      <c r="F37" s="782"/>
    </row>
    <row r="38" spans="1:6" ht="18.95" customHeight="1">
      <c r="A38" s="780"/>
      <c r="B38" s="781"/>
      <c r="C38" s="781"/>
      <c r="D38" s="781"/>
      <c r="E38" s="781"/>
      <c r="F38" s="782"/>
    </row>
    <row r="39" spans="1:6" ht="18.95" customHeight="1">
      <c r="A39" s="789" t="s">
        <v>557</v>
      </c>
      <c r="B39" s="790" t="s">
        <v>370</v>
      </c>
      <c r="C39" s="791" t="str">
        <f>'Performance Data Sheet 1750HP'!C10</f>
        <v>2374928.4</v>
      </c>
      <c r="D39" s="781"/>
      <c r="E39" s="786" t="s">
        <v>558</v>
      </c>
      <c r="F39" s="792" t="str">
        <f>F10</f>
        <v>H110345</v>
      </c>
    </row>
    <row r="40" spans="1:6" ht="18.95" customHeight="1">
      <c r="A40" s="780"/>
      <c r="B40" s="790"/>
      <c r="C40" s="790"/>
      <c r="D40" s="781"/>
      <c r="E40" s="781"/>
      <c r="F40" s="782"/>
    </row>
    <row r="41" spans="1:6" ht="18.95" customHeight="1">
      <c r="A41" s="780"/>
      <c r="B41" s="790"/>
      <c r="C41" s="790"/>
      <c r="D41" s="781"/>
      <c r="E41" s="781"/>
      <c r="F41" s="782"/>
    </row>
    <row r="42" spans="1:6" ht="18.95" customHeight="1">
      <c r="A42" s="780"/>
      <c r="B42" s="781"/>
      <c r="C42" s="781"/>
      <c r="D42" s="781"/>
      <c r="E42" s="781"/>
      <c r="F42" s="782"/>
    </row>
    <row r="43" spans="1:6" ht="18.95" customHeight="1">
      <c r="A43" s="793"/>
      <c r="B43" s="790"/>
      <c r="C43" s="794" t="s">
        <v>559</v>
      </c>
      <c r="D43" s="795" t="str">
        <f>'Performance Data Sheet 1750HP'!K42</f>
        <v>Jerry R</v>
      </c>
      <c r="E43" s="794" t="s">
        <v>560</v>
      </c>
      <c r="F43" s="79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796" t="s">
        <v>394</v>
      </c>
      <c r="E53" s="796" t="s">
        <v>580</v>
      </c>
      <c r="F53" s="796" t="s">
        <v>581</v>
      </c>
      <c r="G53" s="796"/>
      <c r="H53" s="796"/>
      <c r="I53" s="796"/>
      <c r="J53" s="796"/>
      <c r="K53" s="796"/>
      <c r="L53" s="796"/>
    </row>
    <row r="54" spans="1:12" ht="15" customHeight="1">
      <c r="A54" s="797">
        <v>100</v>
      </c>
      <c r="B54" s="796">
        <v>0</v>
      </c>
      <c r="C54" s="796">
        <v>0.28430026769638062</v>
      </c>
      <c r="D54" s="796">
        <v>100</v>
      </c>
      <c r="E54" s="796">
        <v>0</v>
      </c>
      <c r="F54" s="796">
        <v>48.899646759033203</v>
      </c>
      <c r="G54" s="796"/>
      <c r="H54" s="796"/>
      <c r="I54" s="796"/>
      <c r="J54" s="796"/>
      <c r="K54" s="796"/>
      <c r="L54" s="796"/>
    </row>
    <row r="55" spans="1:12" ht="15" customHeight="1">
      <c r="A55" s="797">
        <v>99.200000055134296</v>
      </c>
      <c r="B55" s="796">
        <v>108.68202188324292</v>
      </c>
      <c r="C55" s="796">
        <v>160.96101379394531</v>
      </c>
      <c r="D55" s="796">
        <v>98.400001525878906</v>
      </c>
      <c r="E55" s="796">
        <v>69.556496213570071</v>
      </c>
      <c r="F55" s="796">
        <v>128.76881408691406</v>
      </c>
      <c r="G55" s="796"/>
      <c r="H55" s="796"/>
      <c r="I55" s="796"/>
      <c r="J55" s="796"/>
      <c r="K55" s="796"/>
      <c r="L55" s="796"/>
    </row>
    <row r="56" spans="1:12" ht="15" customHeight="1">
      <c r="A56" s="797">
        <v>96.000000089406967</v>
      </c>
      <c r="B56" s="796">
        <v>245</v>
      </c>
      <c r="C56" s="796">
        <v>520.93682861328125</v>
      </c>
      <c r="D56" s="796">
        <v>89.75</v>
      </c>
      <c r="E56" s="796">
        <v>156.8000046730042</v>
      </c>
      <c r="F56" s="796">
        <v>416.74948120117188</v>
      </c>
      <c r="G56" s="796"/>
      <c r="H56" s="796"/>
      <c r="I56" s="796"/>
      <c r="J56" s="796"/>
      <c r="K56" s="796"/>
      <c r="L56" s="796"/>
    </row>
    <row r="57" spans="1:12">
      <c r="A57" s="797">
        <v>90.857142955064774</v>
      </c>
      <c r="B57" s="796">
        <v>196.89107676110152</v>
      </c>
      <c r="C57" s="796">
        <v>633.24542236328125</v>
      </c>
      <c r="D57" s="796">
        <v>76.228569030761719</v>
      </c>
      <c r="E57" s="796">
        <v>126.0102967241494</v>
      </c>
      <c r="F57" s="796">
        <v>506.59634399414063</v>
      </c>
      <c r="G57" s="796"/>
      <c r="H57" s="796"/>
      <c r="I57" s="796"/>
      <c r="J57" s="796"/>
      <c r="K57" s="796"/>
      <c r="L57" s="796"/>
    </row>
    <row r="58" spans="1:12">
      <c r="A58" s="797">
        <v>85.71428507566452</v>
      </c>
      <c r="B58" s="796">
        <v>169.10424901518877</v>
      </c>
      <c r="C58" s="796">
        <v>664.752197265625</v>
      </c>
      <c r="D58" s="796">
        <v>62.857139587402344</v>
      </c>
      <c r="E58" s="796">
        <v>108.22672197540759</v>
      </c>
      <c r="F58" s="796">
        <v>531.8017578125</v>
      </c>
      <c r="G58" s="796"/>
      <c r="H58" s="796"/>
      <c r="I58" s="796"/>
      <c r="J58" s="796"/>
      <c r="K58" s="796"/>
      <c r="L58" s="796"/>
    </row>
    <row r="59" spans="1:12">
      <c r="A59" s="797">
        <v>80.571427941322327</v>
      </c>
      <c r="B59" s="796">
        <v>159.35078675248914</v>
      </c>
      <c r="C59" s="796">
        <v>677.7117919921875</v>
      </c>
      <c r="D59" s="796">
        <v>51.25714111328125</v>
      </c>
      <c r="E59" s="796">
        <v>101.98450499250004</v>
      </c>
      <c r="F59" s="796">
        <v>542.16943359375</v>
      </c>
      <c r="G59" s="796"/>
      <c r="H59" s="796"/>
      <c r="I59" s="796"/>
      <c r="J59" s="796"/>
      <c r="K59" s="796"/>
      <c r="L59" s="796"/>
    </row>
    <row r="60" spans="1:12">
      <c r="A60" s="797">
        <v>70.285713672637939</v>
      </c>
      <c r="B60" s="796">
        <v>155.3094191801346</v>
      </c>
      <c r="C60" s="796">
        <v>689.40814208984375</v>
      </c>
      <c r="D60" s="796">
        <v>33.485713958740234</v>
      </c>
      <c r="E60" s="796">
        <v>99.398030306042074</v>
      </c>
      <c r="F60" s="796">
        <v>551.52655029296875</v>
      </c>
      <c r="G60" s="796"/>
      <c r="H60" s="796"/>
      <c r="I60" s="796"/>
      <c r="J60" s="796"/>
      <c r="K60" s="796"/>
      <c r="L60" s="796"/>
    </row>
    <row r="61" spans="1:12">
      <c r="A61" s="797">
        <v>59.999999403953552</v>
      </c>
      <c r="B61" s="796">
        <v>155</v>
      </c>
      <c r="C61" s="796">
        <v>696.28497314453125</v>
      </c>
      <c r="D61" s="796">
        <v>22</v>
      </c>
      <c r="E61" s="796">
        <v>99.200002956390406</v>
      </c>
      <c r="F61" s="796">
        <v>557.02801513671875</v>
      </c>
      <c r="G61" s="796"/>
      <c r="H61" s="796"/>
      <c r="I61" s="796"/>
      <c r="J61" s="796"/>
      <c r="K61" s="796"/>
      <c r="L61" s="796"/>
    </row>
    <row r="62" spans="1:12">
      <c r="A62" s="797">
        <v>50</v>
      </c>
      <c r="B62" s="796">
        <v>155.00000801696234</v>
      </c>
      <c r="C62" s="796">
        <v>701.88336181640625</v>
      </c>
      <c r="D62" s="796">
        <v>14</v>
      </c>
      <c r="E62" s="796">
        <v>99.2000127220157</v>
      </c>
      <c r="F62" s="796">
        <v>561.5067138671875</v>
      </c>
      <c r="G62" s="796"/>
      <c r="H62" s="796"/>
      <c r="I62" s="796"/>
      <c r="J62" s="796"/>
      <c r="K62" s="796"/>
      <c r="L62" s="796"/>
    </row>
    <row r="63" spans="1:12">
      <c r="A63" s="797">
        <v>39.999997615814209</v>
      </c>
      <c r="B63" s="796">
        <v>155.00182156104688</v>
      </c>
      <c r="C63" s="796">
        <v>706.75579833984375</v>
      </c>
      <c r="D63" s="796">
        <v>7.9999995231628418</v>
      </c>
      <c r="E63" s="796">
        <v>99.201165065800041</v>
      </c>
      <c r="F63" s="796">
        <v>565.4046630859375</v>
      </c>
      <c r="G63" s="796"/>
      <c r="H63" s="796"/>
      <c r="I63" s="796"/>
      <c r="J63" s="796"/>
      <c r="K63" s="796"/>
      <c r="L63" s="796"/>
    </row>
    <row r="64" spans="1:12">
      <c r="A64" s="797">
        <v>30.000001192092896</v>
      </c>
      <c r="B64" s="796">
        <v>155.00253548479404</v>
      </c>
      <c r="C64" s="796">
        <v>710.99761962890625</v>
      </c>
      <c r="D64" s="796">
        <v>5.9999995231628418</v>
      </c>
      <c r="E64" s="796">
        <v>99.201624050188713</v>
      </c>
      <c r="F64" s="796">
        <v>568.798095703125</v>
      </c>
      <c r="G64" s="796"/>
      <c r="H64" s="796"/>
      <c r="I64" s="796"/>
      <c r="J64" s="796"/>
      <c r="K64" s="796"/>
      <c r="L64" s="796"/>
    </row>
    <row r="65" spans="1:12">
      <c r="A65" s="797">
        <v>19.999998807907104</v>
      </c>
      <c r="B65" s="796">
        <v>155.00583384361761</v>
      </c>
      <c r="C65" s="796">
        <v>714.67083740234375</v>
      </c>
      <c r="D65" s="796">
        <v>8.0000009536743164</v>
      </c>
      <c r="E65" s="796">
        <v>99.203733425251585</v>
      </c>
      <c r="F65" s="796">
        <v>571.7366943359375</v>
      </c>
      <c r="G65" s="796"/>
      <c r="H65" s="796"/>
      <c r="I65" s="796"/>
      <c r="J65" s="796"/>
      <c r="K65" s="796"/>
      <c r="L65" s="796"/>
    </row>
    <row r="66" spans="1:12">
      <c r="A66" s="797">
        <v>10.000002384185791</v>
      </c>
      <c r="B66" s="796">
        <v>155.00825453125555</v>
      </c>
      <c r="C66" s="796">
        <v>717.85198974609375</v>
      </c>
      <c r="D66" s="796">
        <v>14.999996185302734</v>
      </c>
      <c r="E66" s="796">
        <v>99.205286159672852</v>
      </c>
      <c r="F66" s="796">
        <v>574.2816162109375</v>
      </c>
      <c r="G66" s="796"/>
      <c r="H66" s="796"/>
      <c r="I66" s="796"/>
      <c r="J66" s="796"/>
      <c r="K66" s="796"/>
      <c r="L66" s="796"/>
    </row>
    <row r="67" spans="1:12">
      <c r="A67" s="798">
        <v>0</v>
      </c>
      <c r="B67" s="796">
        <v>155</v>
      </c>
      <c r="C67" s="796">
        <v>720.465087890625</v>
      </c>
      <c r="D67" s="796">
        <v>30</v>
      </c>
      <c r="E67" s="796">
        <v>99.200002956390406</v>
      </c>
      <c r="F67" s="796">
        <v>576.3720703125</v>
      </c>
      <c r="G67" s="796"/>
      <c r="H67" s="796"/>
      <c r="I67" s="796"/>
      <c r="J67" s="796"/>
      <c r="K67" s="796"/>
      <c r="L67" s="796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A9AE-391A-4A1C-98DD-439DC9A29948}">
  <sheetPr>
    <pageSetUpPr fitToPage="1"/>
  </sheetPr>
  <dimension ref="A1:J81"/>
  <sheetViews>
    <sheetView topLeftCell="A16" workbookViewId="0">
      <selection activeCell="H18" sqref="H18"/>
    </sheetView>
  </sheetViews>
  <sheetFormatPr defaultRowHeight="12.75"/>
  <cols>
    <col min="1" max="6" width="16.7109375" style="664" customWidth="1"/>
    <col min="7" max="256" width="9.140625" style="664"/>
    <col min="257" max="262" width="16.7109375" style="664" customWidth="1"/>
    <col min="263" max="512" width="9.140625" style="664"/>
    <col min="513" max="518" width="16.7109375" style="664" customWidth="1"/>
    <col min="519" max="768" width="9.140625" style="664"/>
    <col min="769" max="774" width="16.7109375" style="664" customWidth="1"/>
    <col min="775" max="1024" width="9.140625" style="664"/>
    <col min="1025" max="1030" width="16.7109375" style="664" customWidth="1"/>
    <col min="1031" max="1280" width="9.140625" style="664"/>
    <col min="1281" max="1286" width="16.7109375" style="664" customWidth="1"/>
    <col min="1287" max="1536" width="9.140625" style="664"/>
    <col min="1537" max="1542" width="16.7109375" style="664" customWidth="1"/>
    <col min="1543" max="1792" width="9.140625" style="664"/>
    <col min="1793" max="1798" width="16.7109375" style="664" customWidth="1"/>
    <col min="1799" max="2048" width="9.140625" style="664"/>
    <col min="2049" max="2054" width="16.7109375" style="664" customWidth="1"/>
    <col min="2055" max="2304" width="9.140625" style="664"/>
    <col min="2305" max="2310" width="16.7109375" style="664" customWidth="1"/>
    <col min="2311" max="2560" width="9.140625" style="664"/>
    <col min="2561" max="2566" width="16.7109375" style="664" customWidth="1"/>
    <col min="2567" max="2816" width="9.140625" style="664"/>
    <col min="2817" max="2822" width="16.7109375" style="664" customWidth="1"/>
    <col min="2823" max="3072" width="9.140625" style="664"/>
    <col min="3073" max="3078" width="16.7109375" style="664" customWidth="1"/>
    <col min="3079" max="3328" width="9.140625" style="664"/>
    <col min="3329" max="3334" width="16.7109375" style="664" customWidth="1"/>
    <col min="3335" max="3584" width="9.140625" style="664"/>
    <col min="3585" max="3590" width="16.7109375" style="664" customWidth="1"/>
    <col min="3591" max="3840" width="9.140625" style="664"/>
    <col min="3841" max="3846" width="16.7109375" style="664" customWidth="1"/>
    <col min="3847" max="4096" width="9.140625" style="664"/>
    <col min="4097" max="4102" width="16.7109375" style="664" customWidth="1"/>
    <col min="4103" max="4352" width="9.140625" style="664"/>
    <col min="4353" max="4358" width="16.7109375" style="664" customWidth="1"/>
    <col min="4359" max="4608" width="9.140625" style="664"/>
    <col min="4609" max="4614" width="16.7109375" style="664" customWidth="1"/>
    <col min="4615" max="4864" width="9.140625" style="664"/>
    <col min="4865" max="4870" width="16.7109375" style="664" customWidth="1"/>
    <col min="4871" max="5120" width="9.140625" style="664"/>
    <col min="5121" max="5126" width="16.7109375" style="664" customWidth="1"/>
    <col min="5127" max="5376" width="9.140625" style="664"/>
    <col min="5377" max="5382" width="16.7109375" style="664" customWidth="1"/>
    <col min="5383" max="5632" width="9.140625" style="664"/>
    <col min="5633" max="5638" width="16.7109375" style="664" customWidth="1"/>
    <col min="5639" max="5888" width="9.140625" style="664"/>
    <col min="5889" max="5894" width="16.7109375" style="664" customWidth="1"/>
    <col min="5895" max="6144" width="9.140625" style="664"/>
    <col min="6145" max="6150" width="16.7109375" style="664" customWidth="1"/>
    <col min="6151" max="6400" width="9.140625" style="664"/>
    <col min="6401" max="6406" width="16.7109375" style="664" customWidth="1"/>
    <col min="6407" max="6656" width="9.140625" style="664"/>
    <col min="6657" max="6662" width="16.7109375" style="664" customWidth="1"/>
    <col min="6663" max="6912" width="9.140625" style="664"/>
    <col min="6913" max="6918" width="16.7109375" style="664" customWidth="1"/>
    <col min="6919" max="7168" width="9.140625" style="664"/>
    <col min="7169" max="7174" width="16.7109375" style="664" customWidth="1"/>
    <col min="7175" max="7424" width="9.140625" style="664"/>
    <col min="7425" max="7430" width="16.7109375" style="664" customWidth="1"/>
    <col min="7431" max="7680" width="9.140625" style="664"/>
    <col min="7681" max="7686" width="16.7109375" style="664" customWidth="1"/>
    <col min="7687" max="7936" width="9.140625" style="664"/>
    <col min="7937" max="7942" width="16.7109375" style="664" customWidth="1"/>
    <col min="7943" max="8192" width="9.140625" style="664"/>
    <col min="8193" max="8198" width="16.7109375" style="664" customWidth="1"/>
    <col min="8199" max="8448" width="9.140625" style="664"/>
    <col min="8449" max="8454" width="16.7109375" style="664" customWidth="1"/>
    <col min="8455" max="8704" width="9.140625" style="664"/>
    <col min="8705" max="8710" width="16.7109375" style="664" customWidth="1"/>
    <col min="8711" max="8960" width="9.140625" style="664"/>
    <col min="8961" max="8966" width="16.7109375" style="664" customWidth="1"/>
    <col min="8967" max="9216" width="9.140625" style="664"/>
    <col min="9217" max="9222" width="16.7109375" style="664" customWidth="1"/>
    <col min="9223" max="9472" width="9.140625" style="664"/>
    <col min="9473" max="9478" width="16.7109375" style="664" customWidth="1"/>
    <col min="9479" max="9728" width="9.140625" style="664"/>
    <col min="9729" max="9734" width="16.7109375" style="664" customWidth="1"/>
    <col min="9735" max="9984" width="9.140625" style="664"/>
    <col min="9985" max="9990" width="16.7109375" style="664" customWidth="1"/>
    <col min="9991" max="10240" width="9.140625" style="664"/>
    <col min="10241" max="10246" width="16.7109375" style="664" customWidth="1"/>
    <col min="10247" max="10496" width="9.140625" style="664"/>
    <col min="10497" max="10502" width="16.7109375" style="664" customWidth="1"/>
    <col min="10503" max="10752" width="9.140625" style="664"/>
    <col min="10753" max="10758" width="16.7109375" style="664" customWidth="1"/>
    <col min="10759" max="11008" width="9.140625" style="664"/>
    <col min="11009" max="11014" width="16.7109375" style="664" customWidth="1"/>
    <col min="11015" max="11264" width="9.140625" style="664"/>
    <col min="11265" max="11270" width="16.7109375" style="664" customWidth="1"/>
    <col min="11271" max="11520" width="9.140625" style="664"/>
    <col min="11521" max="11526" width="16.7109375" style="664" customWidth="1"/>
    <col min="11527" max="11776" width="9.140625" style="664"/>
    <col min="11777" max="11782" width="16.7109375" style="664" customWidth="1"/>
    <col min="11783" max="12032" width="9.140625" style="664"/>
    <col min="12033" max="12038" width="16.7109375" style="664" customWidth="1"/>
    <col min="12039" max="12288" width="9.140625" style="664"/>
    <col min="12289" max="12294" width="16.7109375" style="664" customWidth="1"/>
    <col min="12295" max="12544" width="9.140625" style="664"/>
    <col min="12545" max="12550" width="16.7109375" style="664" customWidth="1"/>
    <col min="12551" max="12800" width="9.140625" style="664"/>
    <col min="12801" max="12806" width="16.7109375" style="664" customWidth="1"/>
    <col min="12807" max="13056" width="9.140625" style="664"/>
    <col min="13057" max="13062" width="16.7109375" style="664" customWidth="1"/>
    <col min="13063" max="13312" width="9.140625" style="664"/>
    <col min="13313" max="13318" width="16.7109375" style="664" customWidth="1"/>
    <col min="13319" max="13568" width="9.140625" style="664"/>
    <col min="13569" max="13574" width="16.7109375" style="664" customWidth="1"/>
    <col min="13575" max="13824" width="9.140625" style="664"/>
    <col min="13825" max="13830" width="16.7109375" style="664" customWidth="1"/>
    <col min="13831" max="14080" width="9.140625" style="664"/>
    <col min="14081" max="14086" width="16.7109375" style="664" customWidth="1"/>
    <col min="14087" max="14336" width="9.140625" style="664"/>
    <col min="14337" max="14342" width="16.7109375" style="664" customWidth="1"/>
    <col min="14343" max="14592" width="9.140625" style="664"/>
    <col min="14593" max="14598" width="16.7109375" style="664" customWidth="1"/>
    <col min="14599" max="14848" width="9.140625" style="664"/>
    <col min="14849" max="14854" width="16.7109375" style="664" customWidth="1"/>
    <col min="14855" max="15104" width="9.140625" style="664"/>
    <col min="15105" max="15110" width="16.7109375" style="664" customWidth="1"/>
    <col min="15111" max="15360" width="9.140625" style="664"/>
    <col min="15361" max="15366" width="16.7109375" style="664" customWidth="1"/>
    <col min="15367" max="15616" width="9.140625" style="664"/>
    <col min="15617" max="15622" width="16.7109375" style="664" customWidth="1"/>
    <col min="15623" max="15872" width="9.140625" style="664"/>
    <col min="15873" max="15878" width="16.7109375" style="664" customWidth="1"/>
    <col min="15879" max="16128" width="9.140625" style="664"/>
    <col min="16129" max="16134" width="16.7109375" style="664" customWidth="1"/>
    <col min="16135" max="16384" width="9.140625" style="664"/>
  </cols>
  <sheetData>
    <row r="1" spans="1:6" ht="18.95" customHeight="1">
      <c r="A1" s="773"/>
      <c r="B1" s="774"/>
      <c r="C1" s="774"/>
      <c r="D1" s="774"/>
      <c r="E1" s="774"/>
      <c r="F1" s="775"/>
    </row>
    <row r="2" spans="1:6" ht="26.1" customHeight="1">
      <c r="A2" s="776" t="s">
        <v>268</v>
      </c>
      <c r="B2" s="777"/>
      <c r="C2" s="777"/>
      <c r="D2" s="777"/>
      <c r="E2" s="777"/>
      <c r="F2" s="778"/>
    </row>
    <row r="3" spans="1:6" ht="18.95" customHeight="1">
      <c r="A3" s="1035" t="s">
        <v>562</v>
      </c>
      <c r="B3" s="1036"/>
      <c r="C3" s="1036"/>
      <c r="D3" s="1036"/>
      <c r="E3" s="1036"/>
      <c r="F3" s="1037"/>
    </row>
    <row r="4" spans="1:6" ht="18.95" customHeight="1">
      <c r="A4" s="1038" t="s">
        <v>563</v>
      </c>
      <c r="B4" s="1039"/>
      <c r="C4" s="1039"/>
      <c r="D4" s="1039"/>
      <c r="E4" s="1039"/>
      <c r="F4" s="1040"/>
    </row>
    <row r="5" spans="1:6" ht="18.95" customHeight="1">
      <c r="A5" s="780"/>
      <c r="B5" s="781"/>
      <c r="C5" s="781"/>
      <c r="D5" s="781"/>
      <c r="E5" s="781"/>
      <c r="F5" s="782"/>
    </row>
    <row r="6" spans="1:6" ht="18.95" customHeight="1">
      <c r="A6" s="783" t="s">
        <v>541</v>
      </c>
      <c r="B6" s="1032" t="str">
        <f>'Performance Data Sheet 1750HP'!C17</f>
        <v>3UKM40L1S50150</v>
      </c>
      <c r="C6" s="1033"/>
      <c r="D6" s="1034"/>
      <c r="E6" s="783" t="s">
        <v>542</v>
      </c>
      <c r="F6" s="784" t="str">
        <f>'Performance Data Sheet 1750HP'!I14 &amp; " A"</f>
        <v>372/215 A</v>
      </c>
    </row>
    <row r="7" spans="1:6" ht="18.95" customHeight="1">
      <c r="A7" s="783" t="s">
        <v>543</v>
      </c>
      <c r="B7" s="784" t="str">
        <f>'Performance Data Sheet 1750HP'!F14</f>
        <v>WP-II</v>
      </c>
      <c r="C7" s="783" t="s">
        <v>544</v>
      </c>
      <c r="D7" s="784" t="str">
        <f>'Performance Data Sheet 1750HP'!F13 &amp; " V"</f>
        <v>2300/4000 V</v>
      </c>
      <c r="E7" s="783" t="s">
        <v>545</v>
      </c>
      <c r="F7" s="784" t="str">
        <f>'Performance Data Sheet 1750HP'!C14</f>
        <v>5812USS</v>
      </c>
    </row>
    <row r="8" spans="1:6" ht="18.95" customHeight="1">
      <c r="A8" s="783" t="s">
        <v>546</v>
      </c>
      <c r="B8" s="784">
        <v>2</v>
      </c>
      <c r="C8" s="783" t="s">
        <v>547</v>
      </c>
      <c r="D8" s="784" t="s">
        <v>548</v>
      </c>
      <c r="E8" s="783" t="s">
        <v>549</v>
      </c>
      <c r="F8" s="784" t="s">
        <v>363</v>
      </c>
    </row>
    <row r="9" spans="1:6" ht="18.95" customHeight="1">
      <c r="A9" s="783" t="s">
        <v>550</v>
      </c>
      <c r="B9" s="784">
        <v>1750</v>
      </c>
      <c r="C9" s="783" t="s">
        <v>551</v>
      </c>
      <c r="D9" s="784" t="s">
        <v>561</v>
      </c>
      <c r="E9" s="783" t="s">
        <v>2</v>
      </c>
      <c r="F9" s="785">
        <f>'Performance Data Sheet 1750HP'!K44</f>
        <v>45897</v>
      </c>
    </row>
    <row r="10" spans="1:6" ht="18.95" customHeight="1">
      <c r="A10" s="783" t="s">
        <v>552</v>
      </c>
      <c r="B10" s="784">
        <v>3585</v>
      </c>
      <c r="C10" s="783" t="s">
        <v>396</v>
      </c>
      <c r="D10" s="784" t="s">
        <v>816</v>
      </c>
      <c r="E10" s="783" t="s">
        <v>1</v>
      </c>
      <c r="F10" s="784" t="s">
        <v>817</v>
      </c>
    </row>
    <row r="11" spans="1:6" ht="18.95" customHeight="1">
      <c r="A11" s="780"/>
      <c r="B11" s="781"/>
      <c r="C11" s="781"/>
      <c r="D11" s="781"/>
      <c r="E11" s="781"/>
      <c r="F11" s="782"/>
    </row>
    <row r="12" spans="1:6" ht="18.95" customHeight="1">
      <c r="A12" s="780"/>
      <c r="B12" s="786"/>
      <c r="C12" s="787"/>
      <c r="D12" s="786"/>
      <c r="E12" s="787"/>
      <c r="F12" s="782"/>
    </row>
    <row r="13" spans="1:6" ht="18.95" customHeight="1">
      <c r="A13" s="780"/>
      <c r="B13" s="786"/>
      <c r="C13" s="788"/>
      <c r="D13" s="786"/>
      <c r="E13" s="787"/>
      <c r="F13" s="782"/>
    </row>
    <row r="14" spans="1:6" ht="18.95" customHeight="1">
      <c r="A14" s="780"/>
      <c r="B14" s="786"/>
      <c r="C14" s="788"/>
      <c r="D14" s="786"/>
      <c r="E14" s="787"/>
      <c r="F14" s="782"/>
    </row>
    <row r="15" spans="1:6" ht="18.95" customHeight="1">
      <c r="A15" s="780"/>
      <c r="B15" s="786"/>
      <c r="C15" s="787"/>
      <c r="D15" s="781"/>
      <c r="E15" s="781"/>
      <c r="F15" s="782"/>
    </row>
    <row r="16" spans="1:6" ht="18.95" customHeight="1">
      <c r="A16" s="780"/>
      <c r="B16" s="781"/>
      <c r="C16" s="781"/>
      <c r="D16" s="781"/>
      <c r="E16" s="781"/>
      <c r="F16" s="782"/>
    </row>
    <row r="17" spans="1:6" ht="18.95" customHeight="1">
      <c r="A17" s="780"/>
      <c r="B17" s="781"/>
      <c r="C17" s="781"/>
      <c r="D17" s="781"/>
      <c r="E17" s="781"/>
      <c r="F17" s="782"/>
    </row>
    <row r="18" spans="1:6" ht="18.95" customHeight="1">
      <c r="A18" s="780"/>
      <c r="B18" s="781"/>
      <c r="C18" s="781"/>
      <c r="D18" s="781"/>
      <c r="E18" s="781"/>
      <c r="F18" s="782"/>
    </row>
    <row r="19" spans="1:6" ht="18.95" customHeight="1">
      <c r="A19" s="780"/>
      <c r="B19" s="781"/>
      <c r="C19" s="781"/>
      <c r="D19" s="781"/>
      <c r="E19" s="781"/>
      <c r="F19" s="782"/>
    </row>
    <row r="20" spans="1:6" ht="18.95" customHeight="1">
      <c r="A20" s="780"/>
      <c r="B20" s="781"/>
      <c r="C20" s="781"/>
      <c r="D20" s="781"/>
      <c r="E20" s="781"/>
      <c r="F20" s="782"/>
    </row>
    <row r="21" spans="1:6" ht="18.95" customHeight="1">
      <c r="A21" s="780"/>
      <c r="B21" s="781"/>
      <c r="C21" s="781"/>
      <c r="D21" s="781"/>
      <c r="E21" s="781"/>
      <c r="F21" s="782"/>
    </row>
    <row r="22" spans="1:6" ht="18.95" customHeight="1">
      <c r="A22" s="780"/>
      <c r="B22" s="781"/>
      <c r="C22" s="781"/>
      <c r="D22" s="781"/>
      <c r="E22" s="781"/>
      <c r="F22" s="782"/>
    </row>
    <row r="23" spans="1:6" ht="18.95" customHeight="1">
      <c r="A23" s="780"/>
      <c r="B23" s="781"/>
      <c r="C23" s="781"/>
      <c r="D23" s="781"/>
      <c r="E23" s="781"/>
      <c r="F23" s="782"/>
    </row>
    <row r="24" spans="1:6" ht="18.95" customHeight="1">
      <c r="A24" s="780"/>
      <c r="B24" s="781"/>
      <c r="C24" s="781"/>
      <c r="D24" s="781"/>
      <c r="E24" s="781"/>
      <c r="F24" s="782"/>
    </row>
    <row r="25" spans="1:6" ht="18.95" customHeight="1">
      <c r="A25" s="780"/>
      <c r="B25" s="781"/>
      <c r="C25" s="781"/>
      <c r="D25" s="781"/>
      <c r="E25" s="781"/>
      <c r="F25" s="782"/>
    </row>
    <row r="26" spans="1:6" ht="18.95" customHeight="1">
      <c r="A26" s="780"/>
      <c r="B26" s="781"/>
      <c r="C26" s="781"/>
      <c r="D26" s="781"/>
      <c r="E26" s="781"/>
      <c r="F26" s="782"/>
    </row>
    <row r="27" spans="1:6" ht="18.95" customHeight="1">
      <c r="A27" s="780"/>
      <c r="B27" s="781"/>
      <c r="C27" s="781"/>
      <c r="D27" s="781"/>
      <c r="E27" s="781"/>
      <c r="F27" s="782"/>
    </row>
    <row r="28" spans="1:6" ht="18.95" customHeight="1">
      <c r="A28" s="780"/>
      <c r="B28" s="781"/>
      <c r="C28" s="781"/>
      <c r="D28" s="781"/>
      <c r="E28" s="781"/>
      <c r="F28" s="782"/>
    </row>
    <row r="29" spans="1:6" ht="18.95" customHeight="1">
      <c r="A29" s="780"/>
      <c r="B29" s="781"/>
      <c r="C29" s="781"/>
      <c r="D29" s="781"/>
      <c r="E29" s="781"/>
      <c r="F29" s="782"/>
    </row>
    <row r="30" spans="1:6" ht="18.95" customHeight="1">
      <c r="A30" s="780"/>
      <c r="B30" s="781"/>
      <c r="C30" s="781"/>
      <c r="D30" s="781"/>
      <c r="E30" s="781"/>
      <c r="F30" s="782"/>
    </row>
    <row r="31" spans="1:6" ht="18.95" customHeight="1">
      <c r="A31" s="780"/>
      <c r="B31" s="781"/>
      <c r="C31" s="781"/>
      <c r="D31" s="781"/>
      <c r="E31" s="781"/>
      <c r="F31" s="782"/>
    </row>
    <row r="32" spans="1:6" ht="18.95" customHeight="1">
      <c r="A32" s="780"/>
      <c r="B32" s="781"/>
      <c r="C32" s="781"/>
      <c r="D32" s="781"/>
      <c r="E32" s="781"/>
      <c r="F32" s="782"/>
    </row>
    <row r="33" spans="1:6" ht="18.95" customHeight="1">
      <c r="A33" s="780"/>
      <c r="B33" s="781"/>
      <c r="C33" s="781"/>
      <c r="D33" s="781"/>
      <c r="E33" s="781"/>
      <c r="F33" s="782"/>
    </row>
    <row r="34" spans="1:6" ht="18.95" customHeight="1">
      <c r="A34" s="780"/>
      <c r="B34" s="781"/>
      <c r="C34" s="781"/>
      <c r="D34" s="781"/>
      <c r="E34" s="781"/>
      <c r="F34" s="782"/>
    </row>
    <row r="35" spans="1:6" ht="18.95" customHeight="1">
      <c r="A35" s="780"/>
      <c r="B35" s="781"/>
      <c r="C35" s="781"/>
      <c r="D35" s="781"/>
      <c r="E35" s="781"/>
      <c r="F35" s="782"/>
    </row>
    <row r="36" spans="1:6" ht="18.95" customHeight="1">
      <c r="A36" s="780"/>
      <c r="B36" s="781"/>
      <c r="C36" s="781"/>
      <c r="D36" s="781"/>
      <c r="E36" s="781"/>
      <c r="F36" s="782"/>
    </row>
    <row r="37" spans="1:6" ht="18.95" customHeight="1">
      <c r="A37" s="780"/>
      <c r="B37" s="781"/>
      <c r="C37" s="781"/>
      <c r="D37" s="781"/>
      <c r="E37" s="781"/>
      <c r="F37" s="782"/>
    </row>
    <row r="38" spans="1:6" ht="18.95" customHeight="1">
      <c r="A38" s="780"/>
      <c r="B38" s="781"/>
      <c r="C38" s="781"/>
      <c r="D38" s="781"/>
      <c r="E38" s="781"/>
      <c r="F38" s="782"/>
    </row>
    <row r="39" spans="1:6" ht="18.95" customHeight="1">
      <c r="A39" s="789" t="s">
        <v>557</v>
      </c>
      <c r="B39" s="790" t="s">
        <v>370</v>
      </c>
      <c r="C39" s="791" t="str">
        <f>'Performance Data Sheet 1750HP'!C10</f>
        <v>2374928.4</v>
      </c>
      <c r="D39" s="781"/>
      <c r="E39" s="786" t="s">
        <v>558</v>
      </c>
      <c r="F39" s="792" t="str">
        <f>F10</f>
        <v>H110345</v>
      </c>
    </row>
    <row r="40" spans="1:6" ht="18.95" customHeight="1">
      <c r="A40" s="780"/>
      <c r="B40" s="790"/>
      <c r="C40" s="790"/>
      <c r="D40" s="781"/>
      <c r="E40" s="781"/>
      <c r="F40" s="782"/>
    </row>
    <row r="41" spans="1:6" ht="18.95" customHeight="1">
      <c r="A41" s="780"/>
      <c r="B41" s="790"/>
      <c r="C41" s="790"/>
      <c r="D41" s="781"/>
      <c r="E41" s="781"/>
      <c r="F41" s="782"/>
    </row>
    <row r="42" spans="1:6" ht="18.95" customHeight="1">
      <c r="A42" s="780"/>
      <c r="B42" s="781"/>
      <c r="C42" s="781"/>
      <c r="D42" s="781"/>
      <c r="E42" s="781"/>
      <c r="F42" s="782"/>
    </row>
    <row r="43" spans="1:6" ht="18.95" customHeight="1">
      <c r="A43" s="793"/>
      <c r="B43" s="790"/>
      <c r="C43" s="794" t="s">
        <v>559</v>
      </c>
      <c r="D43" s="795" t="str">
        <f>'Performance Data Sheet 1750HP'!K42</f>
        <v>Jerry R</v>
      </c>
      <c r="E43" s="794" t="s">
        <v>560</v>
      </c>
      <c r="F43" s="79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799" t="e">
        <f>5252.1*B50/D53</f>
        <v>#DIV/0!</v>
      </c>
      <c r="G50" s="799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800"/>
    </row>
    <row r="63" spans="6:9">
      <c r="I63" s="664" t="s">
        <v>39</v>
      </c>
    </row>
    <row r="66" spans="1:8">
      <c r="D66" s="799" t="e">
        <f>D65/D64</f>
        <v>#DIV/0!</v>
      </c>
    </row>
    <row r="67" spans="1:8">
      <c r="A67" s="680" t="s">
        <v>392</v>
      </c>
      <c r="B67" s="680" t="s">
        <v>564</v>
      </c>
      <c r="C67" s="680" t="s">
        <v>565</v>
      </c>
      <c r="E67" s="680" t="s">
        <v>566</v>
      </c>
      <c r="F67" s="680" t="s">
        <v>567</v>
      </c>
    </row>
    <row r="68" spans="1:8">
      <c r="A68" s="681">
        <v>720.46511627906978</v>
      </c>
      <c r="B68" s="682">
        <v>14.318896702357701</v>
      </c>
      <c r="C68" s="682">
        <v>9.2553765433175226</v>
      </c>
      <c r="E68" s="681">
        <f>A68</f>
        <v>720.46511627906978</v>
      </c>
      <c r="F68" s="682">
        <v>1E-4</v>
      </c>
      <c r="G68" s="664">
        <f>0.8*E68</f>
        <v>576.37209302325584</v>
      </c>
      <c r="H68" s="684">
        <f>F68</f>
        <v>1E-4</v>
      </c>
    </row>
    <row r="69" spans="1:8">
      <c r="A69" s="681">
        <f>FLOOR(A68,100)</f>
        <v>700</v>
      </c>
      <c r="B69" s="682">
        <f>((A68/A69)^2)*B68</f>
        <v>15.168386691773282</v>
      </c>
      <c r="C69" s="682">
        <f>((A68/A69)^2)*C68</f>
        <v>9.804465616676465</v>
      </c>
      <c r="E69" s="681">
        <v>719.16279069767438</v>
      </c>
      <c r="F69" s="682">
        <v>0.19799999892711639</v>
      </c>
      <c r="G69" s="664">
        <f t="shared" ref="G69:G80" si="0">0.8*E69</f>
        <v>575.33023255813953</v>
      </c>
      <c r="H69" s="664">
        <f t="shared" ref="H69:H80" si="1">2*F69</f>
        <v>0.39599999785423279</v>
      </c>
    </row>
    <row r="70" spans="1:8">
      <c r="A70" s="681">
        <f>A69-100</f>
        <v>600</v>
      </c>
      <c r="B70" s="682">
        <f>((A68/A70)^2)*B68</f>
        <v>20.645859663802522</v>
      </c>
      <c r="C70" s="682">
        <f>((A68/A70)^2)*C68</f>
        <v>13.344967089365188</v>
      </c>
      <c r="E70" s="681">
        <v>716.27906976744191</v>
      </c>
      <c r="F70" s="682">
        <v>0.38100001215934753</v>
      </c>
      <c r="G70" s="664">
        <f t="shared" si="0"/>
        <v>573.0232558139536</v>
      </c>
      <c r="H70" s="664">
        <f t="shared" si="1"/>
        <v>0.76200002431869507</v>
      </c>
    </row>
    <row r="71" spans="1:8">
      <c r="A71" s="681">
        <f>A70-100</f>
        <v>500</v>
      </c>
      <c r="B71" s="682">
        <f>((A68/A71)^2)*B68</f>
        <v>29.730037915875624</v>
      </c>
      <c r="C71" s="682">
        <f>((A68/A71)^2)*C68</f>
        <v>19.216752608685866</v>
      </c>
      <c r="E71" s="681">
        <v>712.83720930232562</v>
      </c>
      <c r="F71" s="682">
        <v>0.55800002813339233</v>
      </c>
      <c r="G71" s="664">
        <f t="shared" si="0"/>
        <v>570.26976744186049</v>
      </c>
      <c r="H71" s="664">
        <f t="shared" si="1"/>
        <v>1.1160000562667847</v>
      </c>
    </row>
    <row r="72" spans="1:8">
      <c r="A72" s="681">
        <f>A71-100</f>
        <v>400</v>
      </c>
      <c r="B72" s="682">
        <f>((A68/A72)^2)*B68</f>
        <v>46.453184243555668</v>
      </c>
      <c r="C72" s="682"/>
      <c r="E72" s="681">
        <v>708.88372093023258</v>
      </c>
      <c r="F72" s="682">
        <v>0.73500001430511475</v>
      </c>
      <c r="G72" s="664">
        <f t="shared" si="0"/>
        <v>567.10697674418611</v>
      </c>
      <c r="H72" s="664">
        <f t="shared" si="1"/>
        <v>1.4700000286102295</v>
      </c>
    </row>
    <row r="73" spans="1:8">
      <c r="A73" s="681">
        <f>A72-100</f>
        <v>300</v>
      </c>
      <c r="B73" s="682">
        <f>((A68/A73)^2)*B68</f>
        <v>82.583438655210088</v>
      </c>
      <c r="C73" s="682"/>
      <c r="E73" s="681">
        <v>704.32558139534888</v>
      </c>
      <c r="F73" s="682">
        <v>0.91699999570846558</v>
      </c>
      <c r="G73" s="664">
        <f t="shared" si="0"/>
        <v>563.46046511627912</v>
      </c>
      <c r="H73" s="664">
        <f t="shared" si="1"/>
        <v>1.8339999914169312</v>
      </c>
    </row>
    <row r="74" spans="1:8">
      <c r="A74" s="681">
        <v>245</v>
      </c>
      <c r="B74" s="682">
        <f>((A68/A74)^2)*B68</f>
        <v>123.82356483080228</v>
      </c>
      <c r="C74" s="682">
        <f>((A68/A74)^2)*C68</f>
        <v>80.036454013685429</v>
      </c>
      <c r="E74" s="681">
        <v>699.06976744186045</v>
      </c>
      <c r="F74" s="682">
        <v>1.1089999675750732</v>
      </c>
      <c r="G74" s="664">
        <f t="shared" si="0"/>
        <v>559.25581395348843</v>
      </c>
      <c r="H74" s="664">
        <f t="shared" si="1"/>
        <v>2.2179999351501465</v>
      </c>
    </row>
    <row r="75" spans="1:8">
      <c r="A75" s="683">
        <v>180</v>
      </c>
      <c r="B75" s="682">
        <f>((A68/A75)^2)*B69</f>
        <v>243.00784672814476</v>
      </c>
      <c r="C75" s="682">
        <f>((A68/A75)^2)*C68</f>
        <v>148.27741210405767</v>
      </c>
      <c r="E75" s="681">
        <v>692.83720930232562</v>
      </c>
      <c r="F75" s="682">
        <v>1.3209999799728394</v>
      </c>
      <c r="G75" s="664">
        <f t="shared" si="0"/>
        <v>554.26976744186049</v>
      </c>
      <c r="H75" s="664">
        <f t="shared" si="1"/>
        <v>2.6419999599456787</v>
      </c>
    </row>
    <row r="76" spans="1:8">
      <c r="A76" s="683">
        <v>145</v>
      </c>
      <c r="B76" s="682">
        <f>((A68/A76)^2)*B68</f>
        <v>353.50817973692779</v>
      </c>
      <c r="C76" s="682">
        <f>((A68/A76)^2)*C68</f>
        <v>228.49884195821485</v>
      </c>
      <c r="E76" s="681">
        <v>683.58139534883719</v>
      </c>
      <c r="F76" s="682">
        <v>1.5559999942779541</v>
      </c>
      <c r="G76" s="664">
        <f t="shared" si="0"/>
        <v>546.86511627906975</v>
      </c>
      <c r="H76" s="664">
        <f t="shared" si="1"/>
        <v>3.1119999885559082</v>
      </c>
    </row>
    <row r="77" spans="1:8">
      <c r="A77" s="683">
        <v>125</v>
      </c>
      <c r="B77" s="682"/>
      <c r="C77" s="681">
        <f>CEILING(C76*2,100)</f>
        <v>500</v>
      </c>
      <c r="E77" s="681">
        <v>671.20930232558135</v>
      </c>
      <c r="F77" s="682">
        <v>1.6820000410079956</v>
      </c>
      <c r="G77" s="664">
        <f t="shared" si="0"/>
        <v>536.9674418604651</v>
      </c>
      <c r="H77" s="664">
        <f t="shared" si="1"/>
        <v>3.3640000820159912</v>
      </c>
    </row>
    <row r="78" spans="1:8">
      <c r="A78" s="683">
        <v>125</v>
      </c>
      <c r="B78" s="682"/>
      <c r="C78" s="681">
        <f>2*C77</f>
        <v>1000</v>
      </c>
      <c r="E78" s="681">
        <v>648.97674418604652</v>
      </c>
      <c r="F78" s="682">
        <v>1.8009999990463257</v>
      </c>
      <c r="G78" s="664">
        <f t="shared" si="0"/>
        <v>519.18139534883721</v>
      </c>
      <c r="H78" s="664">
        <f t="shared" si="1"/>
        <v>3.6019999980926514</v>
      </c>
    </row>
    <row r="79" spans="1:8">
      <c r="A79" s="683">
        <v>125</v>
      </c>
      <c r="B79" s="683"/>
      <c r="C79" s="683">
        <v>10000</v>
      </c>
      <c r="E79" s="681">
        <v>577.06976744186045</v>
      </c>
      <c r="F79" s="682">
        <v>1.8990000486373901</v>
      </c>
      <c r="G79" s="664">
        <f t="shared" si="0"/>
        <v>461.6558139534884</v>
      </c>
      <c r="H79" s="664">
        <f t="shared" si="1"/>
        <v>3.7980000972747803</v>
      </c>
    </row>
    <row r="80" spans="1:8">
      <c r="E80" s="681">
        <v>340.93023255813955</v>
      </c>
      <c r="F80" s="682">
        <v>2</v>
      </c>
      <c r="G80" s="664">
        <f t="shared" si="0"/>
        <v>272.74418604651163</v>
      </c>
      <c r="H80" s="664">
        <f t="shared" si="1"/>
        <v>4</v>
      </c>
    </row>
    <row r="81" spans="5:10">
      <c r="E81" s="681">
        <v>120</v>
      </c>
      <c r="F81" s="682">
        <v>2</v>
      </c>
      <c r="G81" s="664">
        <v>120</v>
      </c>
      <c r="H81" s="664">
        <f>2*F81</f>
        <v>4</v>
      </c>
      <c r="J81" s="664">
        <f>2/2.1</f>
        <v>0.95238095238095233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AA6C-2B8C-451E-9AD5-06A5888A100D}">
  <sheetPr>
    <pageSetUpPr fitToPage="1"/>
  </sheetPr>
  <dimension ref="A1:H67"/>
  <sheetViews>
    <sheetView workbookViewId="0">
      <selection activeCell="H18" sqref="H18"/>
    </sheetView>
  </sheetViews>
  <sheetFormatPr defaultRowHeight="12.75"/>
  <cols>
    <col min="1" max="6" width="16.7109375" style="664" customWidth="1"/>
    <col min="7" max="256" width="9.140625" style="664"/>
    <col min="257" max="262" width="16.7109375" style="664" customWidth="1"/>
    <col min="263" max="512" width="9.140625" style="664"/>
    <col min="513" max="518" width="16.7109375" style="664" customWidth="1"/>
    <col min="519" max="768" width="9.140625" style="664"/>
    <col min="769" max="774" width="16.7109375" style="664" customWidth="1"/>
    <col min="775" max="1024" width="9.140625" style="664"/>
    <col min="1025" max="1030" width="16.7109375" style="664" customWidth="1"/>
    <col min="1031" max="1280" width="9.140625" style="664"/>
    <col min="1281" max="1286" width="16.7109375" style="664" customWidth="1"/>
    <col min="1287" max="1536" width="9.140625" style="664"/>
    <col min="1537" max="1542" width="16.7109375" style="664" customWidth="1"/>
    <col min="1543" max="1792" width="9.140625" style="664"/>
    <col min="1793" max="1798" width="16.7109375" style="664" customWidth="1"/>
    <col min="1799" max="2048" width="9.140625" style="664"/>
    <col min="2049" max="2054" width="16.7109375" style="664" customWidth="1"/>
    <col min="2055" max="2304" width="9.140625" style="664"/>
    <col min="2305" max="2310" width="16.7109375" style="664" customWidth="1"/>
    <col min="2311" max="2560" width="9.140625" style="664"/>
    <col min="2561" max="2566" width="16.7109375" style="664" customWidth="1"/>
    <col min="2567" max="2816" width="9.140625" style="664"/>
    <col min="2817" max="2822" width="16.7109375" style="664" customWidth="1"/>
    <col min="2823" max="3072" width="9.140625" style="664"/>
    <col min="3073" max="3078" width="16.7109375" style="664" customWidth="1"/>
    <col min="3079" max="3328" width="9.140625" style="664"/>
    <col min="3329" max="3334" width="16.7109375" style="664" customWidth="1"/>
    <col min="3335" max="3584" width="9.140625" style="664"/>
    <col min="3585" max="3590" width="16.7109375" style="664" customWidth="1"/>
    <col min="3591" max="3840" width="9.140625" style="664"/>
    <col min="3841" max="3846" width="16.7109375" style="664" customWidth="1"/>
    <col min="3847" max="4096" width="9.140625" style="664"/>
    <col min="4097" max="4102" width="16.7109375" style="664" customWidth="1"/>
    <col min="4103" max="4352" width="9.140625" style="664"/>
    <col min="4353" max="4358" width="16.7109375" style="664" customWidth="1"/>
    <col min="4359" max="4608" width="9.140625" style="664"/>
    <col min="4609" max="4614" width="16.7109375" style="664" customWidth="1"/>
    <col min="4615" max="4864" width="9.140625" style="664"/>
    <col min="4865" max="4870" width="16.7109375" style="664" customWidth="1"/>
    <col min="4871" max="5120" width="9.140625" style="664"/>
    <col min="5121" max="5126" width="16.7109375" style="664" customWidth="1"/>
    <col min="5127" max="5376" width="9.140625" style="664"/>
    <col min="5377" max="5382" width="16.7109375" style="664" customWidth="1"/>
    <col min="5383" max="5632" width="9.140625" style="664"/>
    <col min="5633" max="5638" width="16.7109375" style="664" customWidth="1"/>
    <col min="5639" max="5888" width="9.140625" style="664"/>
    <col min="5889" max="5894" width="16.7109375" style="664" customWidth="1"/>
    <col min="5895" max="6144" width="9.140625" style="664"/>
    <col min="6145" max="6150" width="16.7109375" style="664" customWidth="1"/>
    <col min="6151" max="6400" width="9.140625" style="664"/>
    <col min="6401" max="6406" width="16.7109375" style="664" customWidth="1"/>
    <col min="6407" max="6656" width="9.140625" style="664"/>
    <col min="6657" max="6662" width="16.7109375" style="664" customWidth="1"/>
    <col min="6663" max="6912" width="9.140625" style="664"/>
    <col min="6913" max="6918" width="16.7109375" style="664" customWidth="1"/>
    <col min="6919" max="7168" width="9.140625" style="664"/>
    <col min="7169" max="7174" width="16.7109375" style="664" customWidth="1"/>
    <col min="7175" max="7424" width="9.140625" style="664"/>
    <col min="7425" max="7430" width="16.7109375" style="664" customWidth="1"/>
    <col min="7431" max="7680" width="9.140625" style="664"/>
    <col min="7681" max="7686" width="16.7109375" style="664" customWidth="1"/>
    <col min="7687" max="7936" width="9.140625" style="664"/>
    <col min="7937" max="7942" width="16.7109375" style="664" customWidth="1"/>
    <col min="7943" max="8192" width="9.140625" style="664"/>
    <col min="8193" max="8198" width="16.7109375" style="664" customWidth="1"/>
    <col min="8199" max="8448" width="9.140625" style="664"/>
    <col min="8449" max="8454" width="16.7109375" style="664" customWidth="1"/>
    <col min="8455" max="8704" width="9.140625" style="664"/>
    <col min="8705" max="8710" width="16.7109375" style="664" customWidth="1"/>
    <col min="8711" max="8960" width="9.140625" style="664"/>
    <col min="8961" max="8966" width="16.7109375" style="664" customWidth="1"/>
    <col min="8967" max="9216" width="9.140625" style="664"/>
    <col min="9217" max="9222" width="16.7109375" style="664" customWidth="1"/>
    <col min="9223" max="9472" width="9.140625" style="664"/>
    <col min="9473" max="9478" width="16.7109375" style="664" customWidth="1"/>
    <col min="9479" max="9728" width="9.140625" style="664"/>
    <col min="9729" max="9734" width="16.7109375" style="664" customWidth="1"/>
    <col min="9735" max="9984" width="9.140625" style="664"/>
    <col min="9985" max="9990" width="16.7109375" style="664" customWidth="1"/>
    <col min="9991" max="10240" width="9.140625" style="664"/>
    <col min="10241" max="10246" width="16.7109375" style="664" customWidth="1"/>
    <col min="10247" max="10496" width="9.140625" style="664"/>
    <col min="10497" max="10502" width="16.7109375" style="664" customWidth="1"/>
    <col min="10503" max="10752" width="9.140625" style="664"/>
    <col min="10753" max="10758" width="16.7109375" style="664" customWidth="1"/>
    <col min="10759" max="11008" width="9.140625" style="664"/>
    <col min="11009" max="11014" width="16.7109375" style="664" customWidth="1"/>
    <col min="11015" max="11264" width="9.140625" style="664"/>
    <col min="11265" max="11270" width="16.7109375" style="664" customWidth="1"/>
    <col min="11271" max="11520" width="9.140625" style="664"/>
    <col min="11521" max="11526" width="16.7109375" style="664" customWidth="1"/>
    <col min="11527" max="11776" width="9.140625" style="664"/>
    <col min="11777" max="11782" width="16.7109375" style="664" customWidth="1"/>
    <col min="11783" max="12032" width="9.140625" style="664"/>
    <col min="12033" max="12038" width="16.7109375" style="664" customWidth="1"/>
    <col min="12039" max="12288" width="9.140625" style="664"/>
    <col min="12289" max="12294" width="16.7109375" style="664" customWidth="1"/>
    <col min="12295" max="12544" width="9.140625" style="664"/>
    <col min="12545" max="12550" width="16.7109375" style="664" customWidth="1"/>
    <col min="12551" max="12800" width="9.140625" style="664"/>
    <col min="12801" max="12806" width="16.7109375" style="664" customWidth="1"/>
    <col min="12807" max="13056" width="9.140625" style="664"/>
    <col min="13057" max="13062" width="16.7109375" style="664" customWidth="1"/>
    <col min="13063" max="13312" width="9.140625" style="664"/>
    <col min="13313" max="13318" width="16.7109375" style="664" customWidth="1"/>
    <col min="13319" max="13568" width="9.140625" style="664"/>
    <col min="13569" max="13574" width="16.7109375" style="664" customWidth="1"/>
    <col min="13575" max="13824" width="9.140625" style="664"/>
    <col min="13825" max="13830" width="16.7109375" style="664" customWidth="1"/>
    <col min="13831" max="14080" width="9.140625" style="664"/>
    <col min="14081" max="14086" width="16.7109375" style="664" customWidth="1"/>
    <col min="14087" max="14336" width="9.140625" style="664"/>
    <col min="14337" max="14342" width="16.7109375" style="664" customWidth="1"/>
    <col min="14343" max="14592" width="9.140625" style="664"/>
    <col min="14593" max="14598" width="16.7109375" style="664" customWidth="1"/>
    <col min="14599" max="14848" width="9.140625" style="664"/>
    <col min="14849" max="14854" width="16.7109375" style="664" customWidth="1"/>
    <col min="14855" max="15104" width="9.140625" style="664"/>
    <col min="15105" max="15110" width="16.7109375" style="664" customWidth="1"/>
    <col min="15111" max="15360" width="9.140625" style="664"/>
    <col min="15361" max="15366" width="16.7109375" style="664" customWidth="1"/>
    <col min="15367" max="15616" width="9.140625" style="664"/>
    <col min="15617" max="15622" width="16.7109375" style="664" customWidth="1"/>
    <col min="15623" max="15872" width="9.140625" style="664"/>
    <col min="15873" max="15878" width="16.7109375" style="664" customWidth="1"/>
    <col min="15879" max="16128" width="9.140625" style="664"/>
    <col min="16129" max="16134" width="16.7109375" style="664" customWidth="1"/>
    <col min="16135" max="16384" width="9.140625" style="664"/>
  </cols>
  <sheetData>
    <row r="1" spans="1:6" ht="18.95" customHeight="1">
      <c r="A1" s="773"/>
      <c r="B1" s="774"/>
      <c r="C1" s="774"/>
      <c r="D1" s="774"/>
      <c r="E1" s="774"/>
      <c r="F1" s="775"/>
    </row>
    <row r="2" spans="1:6" ht="26.1" customHeight="1">
      <c r="A2" s="776" t="s">
        <v>268</v>
      </c>
      <c r="B2" s="777"/>
      <c r="C2" s="777"/>
      <c r="D2" s="777"/>
      <c r="E2" s="777"/>
      <c r="F2" s="778"/>
    </row>
    <row r="3" spans="1:6" ht="18.95" customHeight="1">
      <c r="A3" s="779" t="s">
        <v>585</v>
      </c>
      <c r="B3" s="777"/>
      <c r="C3" s="777"/>
      <c r="D3" s="777"/>
      <c r="E3" s="777"/>
      <c r="F3" s="778"/>
    </row>
    <row r="4" spans="1:6" ht="18.95" customHeight="1">
      <c r="A4" s="1038" t="s">
        <v>563</v>
      </c>
      <c r="B4" s="1039"/>
      <c r="C4" s="1039"/>
      <c r="D4" s="1039"/>
      <c r="E4" s="1039"/>
      <c r="F4" s="1040"/>
    </row>
    <row r="5" spans="1:6" ht="18.95" customHeight="1">
      <c r="A5" s="780"/>
      <c r="B5" s="781"/>
      <c r="C5" s="781"/>
      <c r="D5" s="781"/>
      <c r="E5" s="781"/>
      <c r="F5" s="782"/>
    </row>
    <row r="6" spans="1:6" ht="18.95" customHeight="1">
      <c r="A6" s="783" t="s">
        <v>541</v>
      </c>
      <c r="B6" s="1032" t="str">
        <f>'Performance Data Sheet 1750HP'!C17</f>
        <v>3UKM40L1S50150</v>
      </c>
      <c r="C6" s="1033"/>
      <c r="D6" s="1034"/>
      <c r="E6" s="783" t="s">
        <v>542</v>
      </c>
      <c r="F6" s="784" t="s">
        <v>819</v>
      </c>
    </row>
    <row r="7" spans="1:6" ht="18.95" customHeight="1">
      <c r="A7" s="783" t="s">
        <v>543</v>
      </c>
      <c r="B7" s="784" t="str">
        <f>'Performance Data Sheet 1750HP'!F14</f>
        <v>WP-II</v>
      </c>
      <c r="C7" s="783" t="s">
        <v>544</v>
      </c>
      <c r="D7" s="784" t="s">
        <v>810</v>
      </c>
      <c r="E7" s="783" t="s">
        <v>545</v>
      </c>
      <c r="F7" s="784" t="str">
        <f>'Performance Data Sheet 1750HP'!C14</f>
        <v>5812USS</v>
      </c>
    </row>
    <row r="8" spans="1:6" ht="18.95" customHeight="1">
      <c r="A8" s="783" t="s">
        <v>546</v>
      </c>
      <c r="B8" s="784">
        <v>2</v>
      </c>
      <c r="C8" s="783" t="s">
        <v>547</v>
      </c>
      <c r="D8" s="784" t="s">
        <v>548</v>
      </c>
      <c r="E8" s="783" t="s">
        <v>549</v>
      </c>
      <c r="F8" s="784" t="s">
        <v>363</v>
      </c>
    </row>
    <row r="9" spans="1:6" ht="18.95" customHeight="1">
      <c r="A9" s="783" t="s">
        <v>550</v>
      </c>
      <c r="B9" s="784">
        <v>1750</v>
      </c>
      <c r="C9" s="783" t="s">
        <v>551</v>
      </c>
      <c r="D9" s="784" t="s">
        <v>561</v>
      </c>
      <c r="E9" s="783" t="s">
        <v>2</v>
      </c>
      <c r="F9" s="785">
        <f>'Performance Data Sheet 1750HP'!K44</f>
        <v>45897</v>
      </c>
    </row>
    <row r="10" spans="1:6" ht="18.95" customHeight="1">
      <c r="A10" s="783" t="s">
        <v>552</v>
      </c>
      <c r="B10" s="784">
        <v>3585</v>
      </c>
      <c r="C10" s="783" t="s">
        <v>396</v>
      </c>
      <c r="D10" s="784" t="s">
        <v>816</v>
      </c>
      <c r="E10" s="783" t="s">
        <v>1</v>
      </c>
      <c r="F10" s="784" t="s">
        <v>817</v>
      </c>
    </row>
    <row r="11" spans="1:6" ht="18.95" customHeight="1">
      <c r="A11" s="780"/>
      <c r="B11" s="781"/>
      <c r="C11" s="781"/>
      <c r="D11" s="781"/>
      <c r="E11" s="781"/>
      <c r="F11" s="782"/>
    </row>
    <row r="12" spans="1:6" ht="18.95" customHeight="1">
      <c r="A12" s="780"/>
      <c r="B12" s="786" t="s">
        <v>553</v>
      </c>
      <c r="C12" s="787" t="s">
        <v>808</v>
      </c>
      <c r="D12" s="786" t="s">
        <v>395</v>
      </c>
      <c r="E12" s="787" t="s">
        <v>399</v>
      </c>
      <c r="F12" s="782"/>
    </row>
    <row r="13" spans="1:6" ht="18.95" customHeight="1">
      <c r="A13" s="780"/>
      <c r="B13" s="786" t="s">
        <v>554</v>
      </c>
      <c r="C13" s="788">
        <v>1.55</v>
      </c>
      <c r="D13" s="786" t="s">
        <v>555</v>
      </c>
      <c r="E13" s="787" t="s">
        <v>584</v>
      </c>
      <c r="F13" s="782"/>
    </row>
    <row r="14" spans="1:6" ht="18.95" customHeight="1">
      <c r="A14" s="780"/>
      <c r="B14" s="786" t="s">
        <v>556</v>
      </c>
      <c r="C14" s="788">
        <v>2.4500000000000002</v>
      </c>
      <c r="D14" s="786" t="s">
        <v>397</v>
      </c>
      <c r="E14" s="787" t="s">
        <v>807</v>
      </c>
      <c r="F14" s="782"/>
    </row>
    <row r="15" spans="1:6" ht="18.95" customHeight="1">
      <c r="A15" s="780"/>
      <c r="B15" s="786" t="s">
        <v>398</v>
      </c>
      <c r="C15" s="787" t="s">
        <v>818</v>
      </c>
      <c r="D15" s="781"/>
      <c r="E15" s="781"/>
      <c r="F15" s="782"/>
    </row>
    <row r="16" spans="1:6" ht="18.95" customHeight="1">
      <c r="A16" s="780"/>
      <c r="B16" s="781"/>
      <c r="C16" s="781"/>
      <c r="D16" s="781"/>
      <c r="E16" s="781"/>
      <c r="F16" s="782"/>
    </row>
    <row r="17" spans="1:8" ht="18.95" customHeight="1">
      <c r="A17" s="780"/>
      <c r="B17" s="781"/>
      <c r="C17" s="781"/>
      <c r="D17" s="781"/>
      <c r="E17" s="781"/>
      <c r="F17" s="782"/>
    </row>
    <row r="18" spans="1:8" ht="18.95" customHeight="1">
      <c r="A18" s="780"/>
      <c r="B18" s="781"/>
      <c r="C18" s="781"/>
      <c r="D18" s="781"/>
      <c r="E18" s="781"/>
      <c r="F18" s="782"/>
    </row>
    <row r="19" spans="1:8" ht="18.95" customHeight="1">
      <c r="A19" s="780"/>
      <c r="B19" s="781"/>
      <c r="C19" s="781"/>
      <c r="D19" s="781"/>
      <c r="E19" s="781"/>
      <c r="F19" s="782"/>
    </row>
    <row r="20" spans="1:8" ht="18.95" customHeight="1">
      <c r="A20" s="780"/>
      <c r="B20" s="781"/>
      <c r="C20" s="781"/>
      <c r="D20" s="781"/>
      <c r="E20" s="781"/>
      <c r="F20" s="782"/>
    </row>
    <row r="21" spans="1:8" ht="18.95" customHeight="1">
      <c r="A21" s="780"/>
      <c r="B21" s="781"/>
      <c r="C21" s="781"/>
      <c r="D21" s="781"/>
      <c r="E21" s="781"/>
      <c r="F21" s="782"/>
    </row>
    <row r="22" spans="1:8" ht="18.95" customHeight="1">
      <c r="A22" s="780"/>
      <c r="B22" s="781"/>
      <c r="C22" s="781"/>
      <c r="D22" s="781"/>
      <c r="E22" s="781"/>
      <c r="F22" s="782"/>
    </row>
    <row r="23" spans="1:8" ht="18.95" customHeight="1">
      <c r="A23" s="780"/>
      <c r="B23" s="781"/>
      <c r="C23" s="781"/>
      <c r="D23" s="781"/>
      <c r="E23" s="781"/>
      <c r="F23" s="782"/>
    </row>
    <row r="24" spans="1:8" ht="18.95" customHeight="1">
      <c r="A24" s="780"/>
      <c r="B24" s="781"/>
      <c r="C24" s="781"/>
      <c r="D24" s="781"/>
      <c r="E24" s="781"/>
      <c r="F24" s="782"/>
      <c r="H24" s="801"/>
    </row>
    <row r="25" spans="1:8" ht="18.95" customHeight="1">
      <c r="A25" s="780"/>
      <c r="B25" s="781"/>
      <c r="C25" s="781"/>
      <c r="D25" s="781"/>
      <c r="E25" s="781"/>
      <c r="F25" s="782"/>
    </row>
    <row r="26" spans="1:8" ht="18.95" customHeight="1">
      <c r="A26" s="780"/>
      <c r="B26" s="781"/>
      <c r="C26" s="781"/>
      <c r="D26" s="781"/>
      <c r="E26" s="781"/>
      <c r="F26" s="782"/>
    </row>
    <row r="27" spans="1:8" ht="18.95" customHeight="1">
      <c r="A27" s="780"/>
      <c r="B27" s="781"/>
      <c r="C27" s="781"/>
      <c r="D27" s="781"/>
      <c r="E27" s="781"/>
      <c r="F27" s="782"/>
    </row>
    <row r="28" spans="1:8" ht="18.95" customHeight="1">
      <c r="A28" s="780"/>
      <c r="B28" s="781"/>
      <c r="C28" s="781"/>
      <c r="D28" s="781"/>
      <c r="E28" s="781"/>
      <c r="F28" s="782"/>
    </row>
    <row r="29" spans="1:8" ht="18.95" customHeight="1">
      <c r="A29" s="780"/>
      <c r="B29" s="781"/>
      <c r="C29" s="781"/>
      <c r="D29" s="781"/>
      <c r="E29" s="781"/>
      <c r="F29" s="782"/>
    </row>
    <row r="30" spans="1:8" ht="18.95" customHeight="1">
      <c r="A30" s="780"/>
      <c r="B30" s="781"/>
      <c r="C30" s="781"/>
      <c r="D30" s="781"/>
      <c r="E30" s="781"/>
      <c r="F30" s="782"/>
    </row>
    <row r="31" spans="1:8" ht="18.95" customHeight="1">
      <c r="A31" s="780"/>
      <c r="B31" s="781"/>
      <c r="C31" s="781"/>
      <c r="D31" s="781"/>
      <c r="E31" s="781"/>
      <c r="F31" s="782"/>
    </row>
    <row r="32" spans="1:8" ht="18.95" customHeight="1">
      <c r="A32" s="780"/>
      <c r="B32" s="781"/>
      <c r="C32" s="781"/>
      <c r="D32" s="781"/>
      <c r="E32" s="781"/>
      <c r="F32" s="782"/>
    </row>
    <row r="33" spans="1:6" ht="18.95" customHeight="1">
      <c r="A33" s="780"/>
      <c r="B33" s="781"/>
      <c r="C33" s="781"/>
      <c r="D33" s="781"/>
      <c r="E33" s="781"/>
      <c r="F33" s="782"/>
    </row>
    <row r="34" spans="1:6" ht="18.95" customHeight="1">
      <c r="A34" s="780"/>
      <c r="B34" s="781"/>
      <c r="C34" s="781"/>
      <c r="D34" s="781"/>
      <c r="E34" s="781"/>
      <c r="F34" s="782"/>
    </row>
    <row r="35" spans="1:6" ht="18.95" customHeight="1">
      <c r="A35" s="780"/>
      <c r="B35" s="781"/>
      <c r="C35" s="781"/>
      <c r="D35" s="781"/>
      <c r="E35" s="781"/>
      <c r="F35" s="782"/>
    </row>
    <row r="36" spans="1:6" ht="18.95" customHeight="1">
      <c r="A36" s="780"/>
      <c r="B36" s="781"/>
      <c r="C36" s="781"/>
      <c r="D36" s="781"/>
      <c r="E36" s="781"/>
      <c r="F36" s="782"/>
    </row>
    <row r="37" spans="1:6" ht="18.95" customHeight="1">
      <c r="A37" s="780"/>
      <c r="B37" s="781"/>
      <c r="C37" s="781"/>
      <c r="D37" s="781"/>
      <c r="E37" s="781"/>
      <c r="F37" s="782"/>
    </row>
    <row r="38" spans="1:6" ht="18.95" customHeight="1">
      <c r="A38" s="780"/>
      <c r="B38" s="781"/>
      <c r="C38" s="781"/>
      <c r="D38" s="781"/>
      <c r="E38" s="781"/>
      <c r="F38" s="782"/>
    </row>
    <row r="39" spans="1:6" ht="18.95" customHeight="1">
      <c r="A39" s="789" t="s">
        <v>557</v>
      </c>
      <c r="B39" s="790" t="s">
        <v>370</v>
      </c>
      <c r="C39" s="791" t="str">
        <f>'Performance Data Sheet 1750HP'!C10</f>
        <v>2374928.4</v>
      </c>
      <c r="D39" s="781"/>
      <c r="E39" s="786" t="s">
        <v>558</v>
      </c>
      <c r="F39" s="792" t="str">
        <f>F10</f>
        <v>H110345</v>
      </c>
    </row>
    <row r="40" spans="1:6" ht="18.95" customHeight="1">
      <c r="A40" s="780"/>
      <c r="B40" s="790"/>
      <c r="C40" s="790"/>
      <c r="D40" s="781"/>
      <c r="E40" s="781"/>
      <c r="F40" s="782"/>
    </row>
    <row r="41" spans="1:6" ht="18.95" customHeight="1">
      <c r="A41" s="780"/>
      <c r="B41" s="790"/>
      <c r="C41" s="790"/>
      <c r="D41" s="781"/>
      <c r="E41" s="781"/>
      <c r="F41" s="782"/>
    </row>
    <row r="42" spans="1:6" ht="18.95" customHeight="1">
      <c r="A42" s="780"/>
      <c r="B42" s="781"/>
      <c r="C42" s="781"/>
      <c r="D42" s="781"/>
      <c r="E42" s="781"/>
      <c r="F42" s="782"/>
    </row>
    <row r="43" spans="1:6" ht="18.95" customHeight="1">
      <c r="A43" s="793"/>
      <c r="B43" s="790"/>
      <c r="C43" s="794" t="s">
        <v>559</v>
      </c>
      <c r="D43" s="795" t="str">
        <f>'Performance Data Sheet 1750HP'!K42</f>
        <v>Jerry R</v>
      </c>
      <c r="E43" s="794" t="s">
        <v>560</v>
      </c>
      <c r="F43" s="79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802" t="s">
        <v>394</v>
      </c>
      <c r="B53" s="802" t="s">
        <v>142</v>
      </c>
      <c r="C53" s="802" t="s">
        <v>120</v>
      </c>
      <c r="D53" s="802" t="s">
        <v>135</v>
      </c>
      <c r="E53" s="802" t="s">
        <v>5</v>
      </c>
      <c r="F53" s="803" t="s">
        <v>586</v>
      </c>
    </row>
    <row r="54" spans="1:6" ht="15" customHeight="1">
      <c r="A54" s="804">
        <v>0</v>
      </c>
      <c r="B54" s="805"/>
      <c r="C54" s="806"/>
      <c r="D54" s="806">
        <v>61.369053406455556</v>
      </c>
      <c r="E54" s="806">
        <v>100</v>
      </c>
      <c r="F54" s="807">
        <v>0.4425</v>
      </c>
    </row>
    <row r="55" spans="1:6" ht="15" customHeight="1">
      <c r="A55" s="808">
        <v>25</v>
      </c>
      <c r="B55" s="809">
        <v>92.355903625488281</v>
      </c>
      <c r="C55" s="810">
        <v>68.734039306640625</v>
      </c>
      <c r="D55" s="810">
        <v>74.101638793945313</v>
      </c>
      <c r="E55" s="810">
        <v>100.90450663143876</v>
      </c>
      <c r="F55" s="811">
        <v>8.8216045959160034</v>
      </c>
    </row>
    <row r="56" spans="1:6" ht="15" customHeight="1">
      <c r="A56" s="808">
        <v>50</v>
      </c>
      <c r="B56" s="809">
        <v>95.485092163085938</v>
      </c>
      <c r="C56" s="810">
        <v>81.401321411132813</v>
      </c>
      <c r="D56" s="810">
        <v>121.03955841064453</v>
      </c>
      <c r="E56" s="810">
        <v>87.436669169810315</v>
      </c>
      <c r="F56" s="811">
        <v>17.065015427475529</v>
      </c>
    </row>
    <row r="57" spans="1:6">
      <c r="A57" s="808">
        <v>75</v>
      </c>
      <c r="B57" s="809">
        <v>96.395591735839844</v>
      </c>
      <c r="C57" s="810">
        <v>88.027297973632813</v>
      </c>
      <c r="D57" s="810">
        <v>166.30722045898438</v>
      </c>
      <c r="E57" s="810">
        <v>69.115226788834548</v>
      </c>
      <c r="F57" s="811">
        <v>25.355743762193306</v>
      </c>
    </row>
    <row r="58" spans="1:6">
      <c r="A58" s="808">
        <v>100</v>
      </c>
      <c r="B58" s="809">
        <v>96.701774597167969</v>
      </c>
      <c r="C58" s="810">
        <v>90.503379821777344</v>
      </c>
      <c r="D58" s="810">
        <v>214.993408203125</v>
      </c>
      <c r="E58" s="810">
        <v>50.49648000314879</v>
      </c>
      <c r="F58" s="811">
        <v>33.700613870593777</v>
      </c>
    </row>
    <row r="59" spans="1:6" ht="13.5" thickBot="1">
      <c r="A59" s="812">
        <v>125</v>
      </c>
      <c r="B59" s="813">
        <v>96.75909423828125</v>
      </c>
      <c r="C59" s="814">
        <v>91.380302429199219</v>
      </c>
      <c r="D59" s="814">
        <v>266.005126953125</v>
      </c>
      <c r="E59" s="814">
        <v>31.893701882533286</v>
      </c>
      <c r="F59" s="815">
        <v>42.100815804720419</v>
      </c>
    </row>
    <row r="60" spans="1:6">
      <c r="A60" s="797"/>
      <c r="B60" s="796"/>
      <c r="C60" s="796"/>
    </row>
    <row r="61" spans="1:6">
      <c r="A61" s="797"/>
      <c r="B61" s="796"/>
      <c r="C61" s="796"/>
    </row>
    <row r="62" spans="1:6">
      <c r="A62" s="797"/>
      <c r="B62" s="796"/>
      <c r="C62" s="796"/>
    </row>
    <row r="63" spans="1:6">
      <c r="A63" s="797"/>
      <c r="B63" s="796"/>
      <c r="C63" s="796"/>
    </row>
    <row r="64" spans="1:6">
      <c r="A64" s="797"/>
      <c r="B64" s="796"/>
      <c r="C64" s="796"/>
    </row>
    <row r="65" spans="1:3">
      <c r="A65" s="797"/>
      <c r="B65" s="796"/>
      <c r="C65" s="796"/>
    </row>
    <row r="66" spans="1:3">
      <c r="A66" s="797"/>
      <c r="B66" s="796"/>
      <c r="C66" s="796"/>
    </row>
    <row r="67" spans="1:3">
      <c r="A67" s="798"/>
      <c r="B67" s="796"/>
      <c r="C67" s="79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EE61-7C34-4794-B610-366B8448E164}">
  <sheetPr>
    <pageSetUpPr fitToPage="1"/>
  </sheetPr>
  <dimension ref="A1:H67"/>
  <sheetViews>
    <sheetView workbookViewId="0">
      <selection activeCell="H18" sqref="H18"/>
    </sheetView>
  </sheetViews>
  <sheetFormatPr defaultRowHeight="12.75"/>
  <cols>
    <col min="1" max="6" width="16.7109375" style="664" customWidth="1"/>
    <col min="7" max="256" width="9.140625" style="664"/>
    <col min="257" max="262" width="16.7109375" style="664" customWidth="1"/>
    <col min="263" max="512" width="9.140625" style="664"/>
    <col min="513" max="518" width="16.7109375" style="664" customWidth="1"/>
    <col min="519" max="768" width="9.140625" style="664"/>
    <col min="769" max="774" width="16.7109375" style="664" customWidth="1"/>
    <col min="775" max="1024" width="9.140625" style="664"/>
    <col min="1025" max="1030" width="16.7109375" style="664" customWidth="1"/>
    <col min="1031" max="1280" width="9.140625" style="664"/>
    <col min="1281" max="1286" width="16.7109375" style="664" customWidth="1"/>
    <col min="1287" max="1536" width="9.140625" style="664"/>
    <col min="1537" max="1542" width="16.7109375" style="664" customWidth="1"/>
    <col min="1543" max="1792" width="9.140625" style="664"/>
    <col min="1793" max="1798" width="16.7109375" style="664" customWidth="1"/>
    <col min="1799" max="2048" width="9.140625" style="664"/>
    <col min="2049" max="2054" width="16.7109375" style="664" customWidth="1"/>
    <col min="2055" max="2304" width="9.140625" style="664"/>
    <col min="2305" max="2310" width="16.7109375" style="664" customWidth="1"/>
    <col min="2311" max="2560" width="9.140625" style="664"/>
    <col min="2561" max="2566" width="16.7109375" style="664" customWidth="1"/>
    <col min="2567" max="2816" width="9.140625" style="664"/>
    <col min="2817" max="2822" width="16.7109375" style="664" customWidth="1"/>
    <col min="2823" max="3072" width="9.140625" style="664"/>
    <col min="3073" max="3078" width="16.7109375" style="664" customWidth="1"/>
    <col min="3079" max="3328" width="9.140625" style="664"/>
    <col min="3329" max="3334" width="16.7109375" style="664" customWidth="1"/>
    <col min="3335" max="3584" width="9.140625" style="664"/>
    <col min="3585" max="3590" width="16.7109375" style="664" customWidth="1"/>
    <col min="3591" max="3840" width="9.140625" style="664"/>
    <col min="3841" max="3846" width="16.7109375" style="664" customWidth="1"/>
    <col min="3847" max="4096" width="9.140625" style="664"/>
    <col min="4097" max="4102" width="16.7109375" style="664" customWidth="1"/>
    <col min="4103" max="4352" width="9.140625" style="664"/>
    <col min="4353" max="4358" width="16.7109375" style="664" customWidth="1"/>
    <col min="4359" max="4608" width="9.140625" style="664"/>
    <col min="4609" max="4614" width="16.7109375" style="664" customWidth="1"/>
    <col min="4615" max="4864" width="9.140625" style="664"/>
    <col min="4865" max="4870" width="16.7109375" style="664" customWidth="1"/>
    <col min="4871" max="5120" width="9.140625" style="664"/>
    <col min="5121" max="5126" width="16.7109375" style="664" customWidth="1"/>
    <col min="5127" max="5376" width="9.140625" style="664"/>
    <col min="5377" max="5382" width="16.7109375" style="664" customWidth="1"/>
    <col min="5383" max="5632" width="9.140625" style="664"/>
    <col min="5633" max="5638" width="16.7109375" style="664" customWidth="1"/>
    <col min="5639" max="5888" width="9.140625" style="664"/>
    <col min="5889" max="5894" width="16.7109375" style="664" customWidth="1"/>
    <col min="5895" max="6144" width="9.140625" style="664"/>
    <col min="6145" max="6150" width="16.7109375" style="664" customWidth="1"/>
    <col min="6151" max="6400" width="9.140625" style="664"/>
    <col min="6401" max="6406" width="16.7109375" style="664" customWidth="1"/>
    <col min="6407" max="6656" width="9.140625" style="664"/>
    <col min="6657" max="6662" width="16.7109375" style="664" customWidth="1"/>
    <col min="6663" max="6912" width="9.140625" style="664"/>
    <col min="6913" max="6918" width="16.7109375" style="664" customWidth="1"/>
    <col min="6919" max="7168" width="9.140625" style="664"/>
    <col min="7169" max="7174" width="16.7109375" style="664" customWidth="1"/>
    <col min="7175" max="7424" width="9.140625" style="664"/>
    <col min="7425" max="7430" width="16.7109375" style="664" customWidth="1"/>
    <col min="7431" max="7680" width="9.140625" style="664"/>
    <col min="7681" max="7686" width="16.7109375" style="664" customWidth="1"/>
    <col min="7687" max="7936" width="9.140625" style="664"/>
    <col min="7937" max="7942" width="16.7109375" style="664" customWidth="1"/>
    <col min="7943" max="8192" width="9.140625" style="664"/>
    <col min="8193" max="8198" width="16.7109375" style="664" customWidth="1"/>
    <col min="8199" max="8448" width="9.140625" style="664"/>
    <col min="8449" max="8454" width="16.7109375" style="664" customWidth="1"/>
    <col min="8455" max="8704" width="9.140625" style="664"/>
    <col min="8705" max="8710" width="16.7109375" style="664" customWidth="1"/>
    <col min="8711" max="8960" width="9.140625" style="664"/>
    <col min="8961" max="8966" width="16.7109375" style="664" customWidth="1"/>
    <col min="8967" max="9216" width="9.140625" style="664"/>
    <col min="9217" max="9222" width="16.7109375" style="664" customWidth="1"/>
    <col min="9223" max="9472" width="9.140625" style="664"/>
    <col min="9473" max="9478" width="16.7109375" style="664" customWidth="1"/>
    <col min="9479" max="9728" width="9.140625" style="664"/>
    <col min="9729" max="9734" width="16.7109375" style="664" customWidth="1"/>
    <col min="9735" max="9984" width="9.140625" style="664"/>
    <col min="9985" max="9990" width="16.7109375" style="664" customWidth="1"/>
    <col min="9991" max="10240" width="9.140625" style="664"/>
    <col min="10241" max="10246" width="16.7109375" style="664" customWidth="1"/>
    <col min="10247" max="10496" width="9.140625" style="664"/>
    <col min="10497" max="10502" width="16.7109375" style="664" customWidth="1"/>
    <col min="10503" max="10752" width="9.140625" style="664"/>
    <col min="10753" max="10758" width="16.7109375" style="664" customWidth="1"/>
    <col min="10759" max="11008" width="9.140625" style="664"/>
    <col min="11009" max="11014" width="16.7109375" style="664" customWidth="1"/>
    <col min="11015" max="11264" width="9.140625" style="664"/>
    <col min="11265" max="11270" width="16.7109375" style="664" customWidth="1"/>
    <col min="11271" max="11520" width="9.140625" style="664"/>
    <col min="11521" max="11526" width="16.7109375" style="664" customWidth="1"/>
    <col min="11527" max="11776" width="9.140625" style="664"/>
    <col min="11777" max="11782" width="16.7109375" style="664" customWidth="1"/>
    <col min="11783" max="12032" width="9.140625" style="664"/>
    <col min="12033" max="12038" width="16.7109375" style="664" customWidth="1"/>
    <col min="12039" max="12288" width="9.140625" style="664"/>
    <col min="12289" max="12294" width="16.7109375" style="664" customWidth="1"/>
    <col min="12295" max="12544" width="9.140625" style="664"/>
    <col min="12545" max="12550" width="16.7109375" style="664" customWidth="1"/>
    <col min="12551" max="12800" width="9.140625" style="664"/>
    <col min="12801" max="12806" width="16.7109375" style="664" customWidth="1"/>
    <col min="12807" max="13056" width="9.140625" style="664"/>
    <col min="13057" max="13062" width="16.7109375" style="664" customWidth="1"/>
    <col min="13063" max="13312" width="9.140625" style="664"/>
    <col min="13313" max="13318" width="16.7109375" style="664" customWidth="1"/>
    <col min="13319" max="13568" width="9.140625" style="664"/>
    <col min="13569" max="13574" width="16.7109375" style="664" customWidth="1"/>
    <col min="13575" max="13824" width="9.140625" style="664"/>
    <col min="13825" max="13830" width="16.7109375" style="664" customWidth="1"/>
    <col min="13831" max="14080" width="9.140625" style="664"/>
    <col min="14081" max="14086" width="16.7109375" style="664" customWidth="1"/>
    <col min="14087" max="14336" width="9.140625" style="664"/>
    <col min="14337" max="14342" width="16.7109375" style="664" customWidth="1"/>
    <col min="14343" max="14592" width="9.140625" style="664"/>
    <col min="14593" max="14598" width="16.7109375" style="664" customWidth="1"/>
    <col min="14599" max="14848" width="9.140625" style="664"/>
    <col min="14849" max="14854" width="16.7109375" style="664" customWidth="1"/>
    <col min="14855" max="15104" width="9.140625" style="664"/>
    <col min="15105" max="15110" width="16.7109375" style="664" customWidth="1"/>
    <col min="15111" max="15360" width="9.140625" style="664"/>
    <col min="15361" max="15366" width="16.7109375" style="664" customWidth="1"/>
    <col min="15367" max="15616" width="9.140625" style="664"/>
    <col min="15617" max="15622" width="16.7109375" style="664" customWidth="1"/>
    <col min="15623" max="15872" width="9.140625" style="664"/>
    <col min="15873" max="15878" width="16.7109375" style="664" customWidth="1"/>
    <col min="15879" max="16128" width="9.140625" style="664"/>
    <col min="16129" max="16134" width="16.7109375" style="664" customWidth="1"/>
    <col min="16135" max="16384" width="9.140625" style="664"/>
  </cols>
  <sheetData>
    <row r="1" spans="1:6" ht="18.95" customHeight="1">
      <c r="A1" s="773"/>
      <c r="B1" s="774"/>
      <c r="C1" s="774"/>
      <c r="D1" s="774"/>
      <c r="E1" s="774"/>
      <c r="F1" s="775"/>
    </row>
    <row r="2" spans="1:6" ht="26.1" customHeight="1">
      <c r="A2" s="776" t="s">
        <v>268</v>
      </c>
      <c r="B2" s="777"/>
      <c r="C2" s="777"/>
      <c r="D2" s="777"/>
      <c r="E2" s="777"/>
      <c r="F2" s="778"/>
    </row>
    <row r="3" spans="1:6" ht="18.95" customHeight="1">
      <c r="A3" s="779" t="s">
        <v>585</v>
      </c>
      <c r="B3" s="777"/>
      <c r="C3" s="777"/>
      <c r="D3" s="777"/>
      <c r="E3" s="777"/>
      <c r="F3" s="778"/>
    </row>
    <row r="4" spans="1:6" ht="18.95" customHeight="1">
      <c r="A4" s="1038" t="s">
        <v>563</v>
      </c>
      <c r="B4" s="1039"/>
      <c r="C4" s="1039"/>
      <c r="D4" s="1039"/>
      <c r="E4" s="1039"/>
      <c r="F4" s="1040"/>
    </row>
    <row r="5" spans="1:6" ht="18.95" customHeight="1">
      <c r="A5" s="780"/>
      <c r="B5" s="781"/>
      <c r="C5" s="781"/>
      <c r="D5" s="781"/>
      <c r="E5" s="781"/>
      <c r="F5" s="782"/>
    </row>
    <row r="6" spans="1:6" ht="18.95" customHeight="1">
      <c r="A6" s="783" t="s">
        <v>541</v>
      </c>
      <c r="B6" s="1032" t="str">
        <f>'Performance Data Sheet 1750HP'!C17</f>
        <v>3UKM40L1S50150</v>
      </c>
      <c r="C6" s="1033"/>
      <c r="D6" s="1034"/>
      <c r="E6" s="783" t="s">
        <v>542</v>
      </c>
      <c r="F6" s="784" t="s">
        <v>820</v>
      </c>
    </row>
    <row r="7" spans="1:6" ht="18.95" customHeight="1">
      <c r="A7" s="783" t="s">
        <v>543</v>
      </c>
      <c r="B7" s="784" t="str">
        <f>'Performance Data Sheet 1750HP'!F14</f>
        <v>WP-II</v>
      </c>
      <c r="C7" s="783" t="s">
        <v>544</v>
      </c>
      <c r="D7" s="784" t="s">
        <v>788</v>
      </c>
      <c r="E7" s="783" t="s">
        <v>545</v>
      </c>
      <c r="F7" s="784" t="str">
        <f>'Performance Data Sheet 1750HP'!C14</f>
        <v>5812USS</v>
      </c>
    </row>
    <row r="8" spans="1:6" ht="18.95" customHeight="1">
      <c r="A8" s="783" t="s">
        <v>546</v>
      </c>
      <c r="B8" s="784">
        <v>2</v>
      </c>
      <c r="C8" s="783" t="s">
        <v>547</v>
      </c>
      <c r="D8" s="784" t="s">
        <v>548</v>
      </c>
      <c r="E8" s="783" t="s">
        <v>549</v>
      </c>
      <c r="F8" s="784" t="s">
        <v>363</v>
      </c>
    </row>
    <row r="9" spans="1:6" ht="18.95" customHeight="1">
      <c r="A9" s="783" t="s">
        <v>550</v>
      </c>
      <c r="B9" s="784">
        <v>1750</v>
      </c>
      <c r="C9" s="783" t="s">
        <v>551</v>
      </c>
      <c r="D9" s="784" t="s">
        <v>561</v>
      </c>
      <c r="E9" s="783" t="s">
        <v>2</v>
      </c>
      <c r="F9" s="785">
        <f>'Performance Data Sheet 1750HP'!K44</f>
        <v>45897</v>
      </c>
    </row>
    <row r="10" spans="1:6" ht="18.95" customHeight="1">
      <c r="A10" s="783" t="s">
        <v>552</v>
      </c>
      <c r="B10" s="784">
        <v>3585</v>
      </c>
      <c r="C10" s="783" t="s">
        <v>396</v>
      </c>
      <c r="D10" s="784" t="s">
        <v>816</v>
      </c>
      <c r="E10" s="783" t="s">
        <v>1</v>
      </c>
      <c r="F10" s="784" t="s">
        <v>817</v>
      </c>
    </row>
    <row r="11" spans="1:6" ht="18.95" customHeight="1">
      <c r="A11" s="780"/>
      <c r="B11" s="781"/>
      <c r="C11" s="781"/>
      <c r="D11" s="781"/>
      <c r="E11" s="781"/>
      <c r="F11" s="782"/>
    </row>
    <row r="12" spans="1:6" ht="18.95" customHeight="1">
      <c r="A12" s="780"/>
      <c r="B12" s="786" t="s">
        <v>553</v>
      </c>
      <c r="C12" s="787" t="s">
        <v>790</v>
      </c>
      <c r="D12" s="786" t="s">
        <v>395</v>
      </c>
      <c r="E12" s="787" t="s">
        <v>399</v>
      </c>
      <c r="F12" s="782"/>
    </row>
    <row r="13" spans="1:6" ht="18.95" customHeight="1">
      <c r="A13" s="780"/>
      <c r="B13" s="786" t="s">
        <v>554</v>
      </c>
      <c r="C13" s="788">
        <v>1.55</v>
      </c>
      <c r="D13" s="786" t="s">
        <v>555</v>
      </c>
      <c r="E13" s="787" t="s">
        <v>584</v>
      </c>
      <c r="F13" s="782"/>
    </row>
    <row r="14" spans="1:6" ht="18.95" customHeight="1">
      <c r="A14" s="780"/>
      <c r="B14" s="786" t="s">
        <v>556</v>
      </c>
      <c r="C14" s="788">
        <v>2.4500000000000002</v>
      </c>
      <c r="D14" s="786" t="s">
        <v>397</v>
      </c>
      <c r="E14" s="787" t="s">
        <v>807</v>
      </c>
      <c r="F14" s="782"/>
    </row>
    <row r="15" spans="1:6" ht="18.95" customHeight="1">
      <c r="A15" s="780"/>
      <c r="B15" s="786" t="s">
        <v>398</v>
      </c>
      <c r="C15" s="787" t="s">
        <v>818</v>
      </c>
      <c r="D15" s="781"/>
      <c r="E15" s="781"/>
      <c r="F15" s="782"/>
    </row>
    <row r="16" spans="1:6" ht="18.95" customHeight="1">
      <c r="A16" s="780"/>
      <c r="B16" s="781"/>
      <c r="C16" s="781"/>
      <c r="D16" s="781"/>
      <c r="E16" s="781"/>
      <c r="F16" s="782"/>
    </row>
    <row r="17" spans="1:8" ht="18.95" customHeight="1">
      <c r="A17" s="780"/>
      <c r="B17" s="781"/>
      <c r="C17" s="781"/>
      <c r="D17" s="781"/>
      <c r="E17" s="781"/>
      <c r="F17" s="782"/>
    </row>
    <row r="18" spans="1:8" ht="18.95" customHeight="1">
      <c r="A18" s="780"/>
      <c r="B18" s="781"/>
      <c r="C18" s="781"/>
      <c r="D18" s="781"/>
      <c r="E18" s="781"/>
      <c r="F18" s="782"/>
    </row>
    <row r="19" spans="1:8" ht="18.95" customHeight="1">
      <c r="A19" s="780"/>
      <c r="B19" s="781"/>
      <c r="C19" s="781"/>
      <c r="D19" s="781"/>
      <c r="E19" s="781"/>
      <c r="F19" s="782"/>
    </row>
    <row r="20" spans="1:8" ht="18.95" customHeight="1">
      <c r="A20" s="780"/>
      <c r="B20" s="781"/>
      <c r="C20" s="781"/>
      <c r="D20" s="781"/>
      <c r="E20" s="781"/>
      <c r="F20" s="782"/>
    </row>
    <row r="21" spans="1:8" ht="18.95" customHeight="1">
      <c r="A21" s="780"/>
      <c r="B21" s="781"/>
      <c r="C21" s="781"/>
      <c r="D21" s="781"/>
      <c r="E21" s="781"/>
      <c r="F21" s="782"/>
    </row>
    <row r="22" spans="1:8" ht="18.95" customHeight="1">
      <c r="A22" s="780"/>
      <c r="B22" s="781"/>
      <c r="C22" s="781"/>
      <c r="D22" s="781"/>
      <c r="E22" s="781"/>
      <c r="F22" s="782"/>
    </row>
    <row r="23" spans="1:8" ht="18.95" customHeight="1">
      <c r="A23" s="780"/>
      <c r="B23" s="781"/>
      <c r="C23" s="781"/>
      <c r="D23" s="781"/>
      <c r="E23" s="781"/>
      <c r="F23" s="782"/>
    </row>
    <row r="24" spans="1:8" ht="18.95" customHeight="1">
      <c r="A24" s="780"/>
      <c r="B24" s="781"/>
      <c r="C24" s="781"/>
      <c r="D24" s="781"/>
      <c r="E24" s="781"/>
      <c r="F24" s="782"/>
      <c r="H24" s="801"/>
    </row>
    <row r="25" spans="1:8" ht="18.95" customHeight="1">
      <c r="A25" s="780"/>
      <c r="B25" s="781"/>
      <c r="C25" s="781"/>
      <c r="D25" s="781"/>
      <c r="E25" s="781"/>
      <c r="F25" s="782"/>
    </row>
    <row r="26" spans="1:8" ht="18.95" customHeight="1">
      <c r="A26" s="780"/>
      <c r="B26" s="781"/>
      <c r="C26" s="781"/>
      <c r="D26" s="781"/>
      <c r="E26" s="781"/>
      <c r="F26" s="782"/>
    </row>
    <row r="27" spans="1:8" ht="18.95" customHeight="1">
      <c r="A27" s="780"/>
      <c r="B27" s="781"/>
      <c r="C27" s="781"/>
      <c r="D27" s="781"/>
      <c r="E27" s="781"/>
      <c r="F27" s="782"/>
    </row>
    <row r="28" spans="1:8" ht="18.95" customHeight="1">
      <c r="A28" s="780"/>
      <c r="B28" s="781"/>
      <c r="C28" s="781"/>
      <c r="D28" s="781"/>
      <c r="E28" s="781"/>
      <c r="F28" s="782"/>
    </row>
    <row r="29" spans="1:8" ht="18.95" customHeight="1">
      <c r="A29" s="780"/>
      <c r="B29" s="781"/>
      <c r="C29" s="781"/>
      <c r="D29" s="781"/>
      <c r="E29" s="781"/>
      <c r="F29" s="782"/>
    </row>
    <row r="30" spans="1:8" ht="18.95" customHeight="1">
      <c r="A30" s="780"/>
      <c r="B30" s="781"/>
      <c r="C30" s="781"/>
      <c r="D30" s="781"/>
      <c r="E30" s="781"/>
      <c r="F30" s="782"/>
    </row>
    <row r="31" spans="1:8" ht="18.95" customHeight="1">
      <c r="A31" s="780"/>
      <c r="B31" s="781"/>
      <c r="C31" s="781"/>
      <c r="D31" s="781"/>
      <c r="E31" s="781"/>
      <c r="F31" s="782"/>
    </row>
    <row r="32" spans="1:8" ht="18.95" customHeight="1">
      <c r="A32" s="780"/>
      <c r="B32" s="781"/>
      <c r="C32" s="781"/>
      <c r="D32" s="781"/>
      <c r="E32" s="781"/>
      <c r="F32" s="782"/>
    </row>
    <row r="33" spans="1:6" ht="18.95" customHeight="1">
      <c r="A33" s="780"/>
      <c r="B33" s="781"/>
      <c r="C33" s="781"/>
      <c r="D33" s="781"/>
      <c r="E33" s="781"/>
      <c r="F33" s="782"/>
    </row>
    <row r="34" spans="1:6" ht="18.95" customHeight="1">
      <c r="A34" s="780"/>
      <c r="B34" s="781"/>
      <c r="C34" s="781"/>
      <c r="D34" s="781"/>
      <c r="E34" s="781"/>
      <c r="F34" s="782"/>
    </row>
    <row r="35" spans="1:6" ht="18.95" customHeight="1">
      <c r="A35" s="780"/>
      <c r="B35" s="781"/>
      <c r="C35" s="781"/>
      <c r="D35" s="781"/>
      <c r="E35" s="781"/>
      <c r="F35" s="782"/>
    </row>
    <row r="36" spans="1:6" ht="18.95" customHeight="1">
      <c r="A36" s="780"/>
      <c r="B36" s="781"/>
      <c r="C36" s="781"/>
      <c r="D36" s="781"/>
      <c r="E36" s="781"/>
      <c r="F36" s="782"/>
    </row>
    <row r="37" spans="1:6" ht="18.95" customHeight="1">
      <c r="A37" s="780"/>
      <c r="B37" s="781"/>
      <c r="C37" s="781"/>
      <c r="D37" s="781"/>
      <c r="E37" s="781"/>
      <c r="F37" s="782"/>
    </row>
    <row r="38" spans="1:6" ht="18.95" customHeight="1">
      <c r="A38" s="780"/>
      <c r="B38" s="781"/>
      <c r="C38" s="781"/>
      <c r="D38" s="781"/>
      <c r="E38" s="781"/>
      <c r="F38" s="782"/>
    </row>
    <row r="39" spans="1:6" ht="18.95" customHeight="1">
      <c r="A39" s="789" t="s">
        <v>557</v>
      </c>
      <c r="B39" s="790" t="s">
        <v>370</v>
      </c>
      <c r="C39" s="791" t="str">
        <f>'Performance Data Sheet 1750HP'!C10</f>
        <v>2374928.4</v>
      </c>
      <c r="D39" s="781"/>
      <c r="E39" s="786" t="s">
        <v>558</v>
      </c>
      <c r="F39" s="792" t="str">
        <f>F10</f>
        <v>H110345</v>
      </c>
    </row>
    <row r="40" spans="1:6" ht="18.95" customHeight="1">
      <c r="A40" s="780"/>
      <c r="B40" s="790"/>
      <c r="C40" s="790"/>
      <c r="D40" s="781"/>
      <c r="E40" s="781"/>
      <c r="F40" s="782"/>
    </row>
    <row r="41" spans="1:6" ht="18.95" customHeight="1">
      <c r="A41" s="780"/>
      <c r="B41" s="790"/>
      <c r="C41" s="790"/>
      <c r="D41" s="781"/>
      <c r="E41" s="781"/>
      <c r="F41" s="782"/>
    </row>
    <row r="42" spans="1:6" ht="18.95" customHeight="1">
      <c r="A42" s="780"/>
      <c r="B42" s="781"/>
      <c r="C42" s="781"/>
      <c r="D42" s="781"/>
      <c r="E42" s="781"/>
      <c r="F42" s="782"/>
    </row>
    <row r="43" spans="1:6" ht="18.95" customHeight="1">
      <c r="A43" s="793"/>
      <c r="B43" s="790"/>
      <c r="C43" s="794" t="s">
        <v>559</v>
      </c>
      <c r="D43" s="795" t="str">
        <f>'Performance Data Sheet 1750HP'!K42</f>
        <v>Jerry R</v>
      </c>
      <c r="E43" s="794" t="s">
        <v>560</v>
      </c>
      <c r="F43" s="79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802" t="s">
        <v>394</v>
      </c>
      <c r="B53" s="802" t="s">
        <v>142</v>
      </c>
      <c r="C53" s="802" t="s">
        <v>120</v>
      </c>
      <c r="D53" s="802" t="s">
        <v>135</v>
      </c>
      <c r="E53" s="802" t="s">
        <v>5</v>
      </c>
      <c r="F53" s="803" t="s">
        <v>586</v>
      </c>
    </row>
    <row r="54" spans="1:6" ht="15" customHeight="1">
      <c r="A54" s="804">
        <v>0</v>
      </c>
      <c r="B54" s="805"/>
      <c r="C54" s="806"/>
      <c r="D54" s="806">
        <v>61.369053406455556</v>
      </c>
      <c r="E54" s="806">
        <v>100</v>
      </c>
      <c r="F54" s="807">
        <v>0.4425</v>
      </c>
    </row>
    <row r="55" spans="1:6" ht="15" customHeight="1">
      <c r="A55" s="808">
        <v>25</v>
      </c>
      <c r="B55" s="809">
        <v>92.355903625488281</v>
      </c>
      <c r="C55" s="810">
        <v>68.734039306640625</v>
      </c>
      <c r="D55" s="810">
        <v>74.101638793945313</v>
      </c>
      <c r="E55" s="810">
        <v>100.90450663143876</v>
      </c>
      <c r="F55" s="811">
        <v>8.8216045959160034</v>
      </c>
    </row>
    <row r="56" spans="1:6" ht="15" customHeight="1">
      <c r="A56" s="808">
        <v>50</v>
      </c>
      <c r="B56" s="809">
        <v>95.485092163085938</v>
      </c>
      <c r="C56" s="810">
        <v>81.401321411132813</v>
      </c>
      <c r="D56" s="810">
        <v>121.03955841064453</v>
      </c>
      <c r="E56" s="810">
        <v>87.436669169810315</v>
      </c>
      <c r="F56" s="811">
        <v>17.065015427475529</v>
      </c>
    </row>
    <row r="57" spans="1:6">
      <c r="A57" s="808">
        <v>75</v>
      </c>
      <c r="B57" s="809">
        <v>96.395591735839844</v>
      </c>
      <c r="C57" s="810">
        <v>88.027297973632813</v>
      </c>
      <c r="D57" s="810">
        <v>166.30722045898438</v>
      </c>
      <c r="E57" s="810">
        <v>69.115226788834548</v>
      </c>
      <c r="F57" s="811">
        <v>25.355743762193306</v>
      </c>
    </row>
    <row r="58" spans="1:6">
      <c r="A58" s="808">
        <v>100</v>
      </c>
      <c r="B58" s="809">
        <v>96.701774597167969</v>
      </c>
      <c r="C58" s="810">
        <v>90.503379821777344</v>
      </c>
      <c r="D58" s="810">
        <v>214.993408203125</v>
      </c>
      <c r="E58" s="810">
        <v>50.49648000314879</v>
      </c>
      <c r="F58" s="811">
        <v>33.700613870593777</v>
      </c>
    </row>
    <row r="59" spans="1:6" ht="13.5" thickBot="1">
      <c r="A59" s="812">
        <v>125</v>
      </c>
      <c r="B59" s="813">
        <v>96.75909423828125</v>
      </c>
      <c r="C59" s="814">
        <v>91.380302429199219</v>
      </c>
      <c r="D59" s="814">
        <v>266.005126953125</v>
      </c>
      <c r="E59" s="814">
        <v>31.893701882533286</v>
      </c>
      <c r="F59" s="815">
        <v>42.100815804720419</v>
      </c>
    </row>
    <row r="60" spans="1:6">
      <c r="A60" s="797"/>
      <c r="B60" s="796"/>
      <c r="C60" s="796"/>
    </row>
    <row r="61" spans="1:6">
      <c r="A61" s="797"/>
      <c r="B61" s="796"/>
      <c r="C61" s="796"/>
    </row>
    <row r="62" spans="1:6">
      <c r="A62" s="797"/>
      <c r="B62" s="796"/>
      <c r="C62" s="796"/>
    </row>
    <row r="63" spans="1:6">
      <c r="A63" s="797"/>
      <c r="B63" s="796"/>
      <c r="C63" s="796"/>
    </row>
    <row r="64" spans="1:6">
      <c r="A64" s="797"/>
      <c r="B64" s="796"/>
      <c r="C64" s="796"/>
    </row>
    <row r="65" spans="1:3">
      <c r="A65" s="797"/>
      <c r="B65" s="796"/>
      <c r="C65" s="796"/>
    </row>
    <row r="66" spans="1:3">
      <c r="A66" s="797"/>
      <c r="B66" s="796"/>
      <c r="C66" s="796"/>
    </row>
    <row r="67" spans="1:3">
      <c r="A67" s="798"/>
      <c r="B67" s="796"/>
      <c r="C67" s="79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19</vt:i4>
      </vt:variant>
    </vt:vector>
  </HeadingPairs>
  <TitlesOfParts>
    <vt:vector size="35" baseType="lpstr">
      <vt:lpstr>DesignSheet</vt:lpstr>
      <vt:lpstr>Data Sheet</vt:lpstr>
      <vt:lpstr>LoginSheet</vt:lpstr>
      <vt:lpstr>StallTime</vt:lpstr>
      <vt:lpstr>Performance Data Sheet 2000HP</vt:lpstr>
      <vt:lpstr>STCurve 2000HP</vt:lpstr>
      <vt:lpstr>Thermdam 2000HP</vt:lpstr>
      <vt:lpstr>Performance 4000V 2000HP</vt:lpstr>
      <vt:lpstr>Performance 2300V 2000HP</vt:lpstr>
      <vt:lpstr>Circuit Param</vt:lpstr>
      <vt:lpstr>Performance API</vt:lpstr>
      <vt:lpstr>Performance Data Sheet 1750HP</vt:lpstr>
      <vt:lpstr>STCurve 1750HP</vt:lpstr>
      <vt:lpstr>Thermdam 1750HP</vt:lpstr>
      <vt:lpstr>Performance 4000V 1750HP</vt:lpstr>
      <vt:lpstr>Performance 2300V 1750HP</vt:lpstr>
      <vt:lpstr>'Circuit Param'!Print_Area</vt:lpstr>
      <vt:lpstr>'Data Sheet'!Print_Area</vt:lpstr>
      <vt:lpstr>DesignSheet!Print_Area</vt:lpstr>
      <vt:lpstr>LoginSheet!Print_Area</vt:lpstr>
      <vt:lpstr>'Performance 2300V 1750HP'!Print_Area</vt:lpstr>
      <vt:lpstr>'Performance 2300V 2000HP'!Print_Area</vt:lpstr>
      <vt:lpstr>'Performance 4000V 1750HP'!Print_Area</vt:lpstr>
      <vt:lpstr>'Performance 4000V 2000HP'!Print_Area</vt:lpstr>
      <vt:lpstr>'Performance API'!Print_Area</vt:lpstr>
      <vt:lpstr>'Performance Data Sheet 1750HP'!Print_Area</vt:lpstr>
      <vt:lpstr>'Performance Data Sheet 2000HP'!Print_Area</vt:lpstr>
      <vt:lpstr>StallTime!Print_Area</vt:lpstr>
      <vt:lpstr>'STCurve 1750HP'!Print_Area</vt:lpstr>
      <vt:lpstr>'STCurve 2000HP'!Print_Area</vt:lpstr>
      <vt:lpstr>'Thermdam 1750HP'!Print_Area</vt:lpstr>
      <vt:lpstr>'Thermdam 2000HP'!Print_Area</vt:lpstr>
      <vt:lpstr>'Circuit Param'!Print_Area_MI</vt:lpstr>
      <vt:lpstr>'Performance API'!Print_Area_MI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2026-06-10T14:29:08Z</dcterms:modified>
</cp:coreProperties>
</file>