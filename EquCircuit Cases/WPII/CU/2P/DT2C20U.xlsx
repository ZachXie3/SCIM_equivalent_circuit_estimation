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G:\DESPRO\BASE MV DESIGNS\6800 FRAME\Electrical Design\2P\SERIES\"/>
    </mc:Choice>
  </mc:AlternateContent>
  <xr:revisionPtr revIDLastSave="0" documentId="13_ncr:1_{0649CCF2-F7C0-4048-AAD5-A272B1703F92}" xr6:coauthVersionLast="47" xr6:coauthVersionMax="47" xr10:uidLastSave="{00000000-0000-0000-0000-000000000000}"/>
  <bookViews>
    <workbookView xWindow="-120" yWindow="-120" windowWidth="29040" windowHeight="15840" tabRatio="663" activeTab="8" xr2:uid="{00000000-000D-0000-FFFF-FFFF00000000}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  <sheet name="Performance Data Sheet" sheetId="10" r:id="rId9"/>
  </sheets>
  <definedNames>
    <definedName name="_Regression_Int" localSheetId="8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'Performance Data Sheet'!$A$1:$M$44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Sheet'!$A$10:$N$42</definedName>
    <definedName name="Z_852987ED_B4F5_11D1_ABEC_0000832EB49E_.wvu.PrintArea" localSheetId="4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8" l="1"/>
  <c r="C77" i="8" s="1"/>
  <c r="C78" i="8" s="1"/>
  <c r="B76" i="8"/>
  <c r="C75" i="8"/>
  <c r="C74" i="8"/>
  <c r="B74" i="8"/>
  <c r="A69" i="8"/>
  <c r="C69" i="8" s="1"/>
  <c r="E68" i="8"/>
  <c r="D66" i="8"/>
  <c r="F50" i="8"/>
  <c r="M28" i="3"/>
  <c r="M18" i="3"/>
  <c r="B69" i="8" l="1"/>
  <c r="B75" i="8" s="1"/>
  <c r="A70" i="8"/>
  <c r="A71" i="8" l="1"/>
  <c r="B70" i="8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<sst xmlns="http://schemas.openxmlformats.org/spreadsheetml/2006/main" count="964" uniqueCount="753">
  <si>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</si>
  <si>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</si>
  <si>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</si>
  <si>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</si>
  <si>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</si>
  <si>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</si>
  <si>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</si>
  <si>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</si>
  <si>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</si>
  <si>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</si>
  <si>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</si>
  <si>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</si>
  <si>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</si>
  <si>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</si>
  <si>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</si>
  <si>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</si>
  <si>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</si>
  <si>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</si>
  <si>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</si>
  <si>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</si>
  <si>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</si>
  <si>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</si>
  <si>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</si>
  <si>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</si>
  <si>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</si>
  <si>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</si>
  <si>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</si>
  <si>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</si>
  <si>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</si>
  <si>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</si>
  <si>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</si>
  <si>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</si>
  <si>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</si>
  <si>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</si>
  <si>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</si>
  <si>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</si>
  <si>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</si>
  <si>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</si>
  <si>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</si>
  <si>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</si>
  <si>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</si>
  <si>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</si>
  <si>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</si>
  <si>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</si>
  <si>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</si>
  <si>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</si>
  <si>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</si>
  <si>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</si>
  <si>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</si>
  <si>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</si>
  <si>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</si>
  <si>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</si>
  <si>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</si>
  <si>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</si>
  <si>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</si>
  <si>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</si>
  <si>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</si>
  <si>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</si>
  <si>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</si>
  <si>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</si>
  <si>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</si>
  <si>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</si>
  <si>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</si>
  <si>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</si>
  <si>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</si>
  <si>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</si>
  <si>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</si>
  <si>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</si>
  <si>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</si>
  <si>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</si>
  <si>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</si>
  <si>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</si>
  <si>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</si>
  <si>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</si>
  <si>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</si>
  <si>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</si>
  <si>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</si>
  <si>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</si>
  <si>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</si>
  <si>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</si>
  <si>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</si>
  <si>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</si>
  <si>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</si>
  <si>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</si>
  <si>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</si>
  <si>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</si>
  <si>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</si>
  <si>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</si>
  <si>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</si>
  <si>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</si>
  <si>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</si>
  <si>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</si>
  <si>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</si>
  <si>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</si>
  <si>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</si>
  <si>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</si>
  <si>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</si>
  <si>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</si>
  <si>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</si>
  <si>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</si>
  <si>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</si>
  <si>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</si>
  <si>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</si>
  <si>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</si>
  <si>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</si>
  <si>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</si>
  <si>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</si>
  <si>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</si>
  <si>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</si>
  <si>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</si>
  <si>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</si>
  <si>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</si>
  <si>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</si>
  <si>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</si>
  <si>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</si>
  <si>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</si>
  <si>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</si>
  <si>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</si>
  <si>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</si>
  <si>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</si>
  <si>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</si>
  <si>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</si>
  <si>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</si>
  <si>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</si>
  <si>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</si>
  <si>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</si>
  <si>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</si>
  <si>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</si>
  <si>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</si>
  <si>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</si>
  <si>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</si>
  <si>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</si>
  <si>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</si>
  <si>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</si>
  <si>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</si>
  <si>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</si>
  <si>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</si>
  <si>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</si>
  <si>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</si>
  <si>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</si>
  <si>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</si>
  <si>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</si>
  <si>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</si>
  <si>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</si>
  <si>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</si>
  <si>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</si>
  <si>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</si>
  <si>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</si>
  <si>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</si>
  <si>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</si>
  <si>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</si>
  <si>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</si>
  <si>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</si>
  <si>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</si>
  <si>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</si>
  <si>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</si>
  <si>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</si>
  <si>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</si>
  <si>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</si>
  <si>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</si>
  <si>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</si>
  <si>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</si>
  <si>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</si>
  <si>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</si>
  <si>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</si>
  <si>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</si>
  <si>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</si>
  <si>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</si>
  <si>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</si>
  <si>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</si>
  <si>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</si>
  <si>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</si>
  <si>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</si>
  <si>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</si>
  <si>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</si>
  <si>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</si>
  <si>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DCW4</t>
  </si>
  <si>
    <t>450-1600</t>
  </si>
  <si>
    <t>Open</t>
  </si>
  <si>
    <t>Trapeze</t>
  </si>
  <si>
    <t>17.30 - 17.30</t>
  </si>
  <si>
    <t>0.80 - 2.40</t>
  </si>
  <si>
    <t>Normal</t>
  </si>
  <si>
    <t>30 x 6</t>
  </si>
  <si>
    <t>20 x 6</t>
  </si>
  <si>
    <t>1 ~ 18</t>
  </si>
  <si>
    <t>(.128"x.258")x2</t>
  </si>
  <si>
    <t>Delta</t>
  </si>
  <si>
    <t>(105°C)</t>
  </si>
  <si>
    <t>CU</t>
  </si>
  <si>
    <t>ERD1: 328.0</t>
  </si>
  <si>
    <t>EBL: 62.5</t>
  </si>
  <si>
    <t>ERT: 65.54</t>
  </si>
  <si>
    <t>ERH: 57.50</t>
  </si>
  <si>
    <t>LB:  -</t>
  </si>
  <si>
    <t>LER:  -</t>
  </si>
  <si>
    <t>Single Cage Data</t>
  </si>
  <si>
    <t>UB: 322.1</t>
  </si>
  <si>
    <t>UER: 3768.4</t>
  </si>
  <si>
    <t>(Coeff.: 0.0312)</t>
  </si>
  <si>
    <t>Skew R.: 0.00</t>
  </si>
  <si>
    <t>M:\Active Projects\6810 Development\Electrical Design\2P\SERIES\DT2C20U.rat</t>
  </si>
  <si>
    <t>2-2-2-0-1-2</t>
  </si>
  <si>
    <t>B.L.-1  P.F.-1</t>
  </si>
  <si>
    <t>23254.8 / 23515.1</t>
  </si>
  <si>
    <t>21322.1 / 13481.1</t>
  </si>
  <si>
    <t>56505.4 / 50969.5</t>
  </si>
  <si>
    <t>10700.0 / 28349.0</t>
  </si>
  <si>
    <t>45183.9 / 19193.8</t>
  </si>
  <si>
    <t>12783.9 / 5430.5</t>
  </si>
  <si>
    <t>32400.1 / 13763.3</t>
  </si>
  <si>
    <t>1.75 / 0.74</t>
  </si>
  <si>
    <t>60 / 61</t>
  </si>
  <si>
    <t>Temp. Rise @ 100%:</t>
  </si>
  <si>
    <t>Stray Loss</t>
  </si>
  <si>
    <t>0.940 / 0.935</t>
  </si>
  <si>
    <t>0.965 / 0.960</t>
  </si>
  <si>
    <t>0.972 / 0.967</t>
  </si>
  <si>
    <t>0.974 / 0.969</t>
  </si>
  <si>
    <t>0.764 / 0.746</t>
  </si>
  <si>
    <t>0.901 / 0.880</t>
  </si>
  <si>
    <t>0.934 / 0.912</t>
  </si>
  <si>
    <t>0.942 / 0.921</t>
  </si>
  <si>
    <t>187.50 / 192.85</t>
  </si>
  <si>
    <t>309.51 / 318.35</t>
  </si>
  <si>
    <t>444.97 / 457.68</t>
  </si>
  <si>
    <t>586.48 / 603.22</t>
  </si>
  <si>
    <t>732.99 / 753.92</t>
  </si>
  <si>
    <t>4.08 / 4.19</t>
  </si>
  <si>
    <t>UB: 6.49 / 6.67</t>
  </si>
  <si>
    <t>UER: 4.06 / 4.18</t>
  </si>
  <si>
    <t>3595.0 / 3602.0</t>
  </si>
  <si>
    <t>3590.1 / 3597.1</t>
  </si>
  <si>
    <t>3585.1 / 3592.0</t>
  </si>
  <si>
    <t>3579.9 / 3586.9</t>
  </si>
  <si>
    <t>3574.9 / 3581.8</t>
  </si>
  <si>
    <t>0.0014 / -0.0006</t>
  </si>
  <si>
    <t>0.0028 / 0.0008</t>
  </si>
  <si>
    <t>0.0041 / 0.0022</t>
  </si>
  <si>
    <t>0.0056 / 0.0036</t>
  </si>
  <si>
    <t>0.0070 / 0.0050</t>
  </si>
  <si>
    <t>63.935 / 70.583</t>
  </si>
  <si>
    <t>3.762 / 4.153</t>
  </si>
  <si>
    <t>110.93 / 122.46</t>
  </si>
  <si>
    <t>3906.6 / 3719.7</t>
  </si>
  <si>
    <t>666.1 / 634.2</t>
  </si>
  <si>
    <t>1294.6 / 1596.2</t>
  </si>
  <si>
    <t>127.6 / 157.3</t>
  </si>
  <si>
    <t>317.3 / 236.2</t>
  </si>
  <si>
    <t>Correlated to: H402129_Lab#1565_byRM.dat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</si>
  <si>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</si>
  <si>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</si>
  <si>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</si>
  <si>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</si>
  <si>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</si>
  <si>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</si>
  <si>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</si>
  <si>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</si>
  <si>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</si>
  <si>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280.2 kg.m²</t>
  </si>
  <si>
    <t>Acceleration Data (FV V)</t>
  </si>
  <si>
    <t>3.2 (s)</t>
  </si>
  <si>
    <t>1014.8 kg.m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</si>
  <si>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</si>
  <si>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</si>
  <si>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</si>
  <si>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</si>
  <si>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</si>
  <si>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</si>
  <si>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</si>
  <si>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</si>
  <si>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</si>
  <si>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</si>
  <si>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</si>
  <si>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</si>
  <si>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</si>
  <si>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</si>
  <si>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</si>
  <si>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</si>
  <si>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</si>
  <si>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</si>
  <si>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</si>
  <si>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</si>
  <si>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</si>
  <si>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</si>
  <si>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</si>
  <si>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</si>
  <si>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</si>
  <si>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</si>
  <si>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</si>
  <si>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</si>
  <si>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</si>
  <si>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</si>
  <si>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</si>
  <si>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</si>
  <si>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</si>
  <si>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</si>
  <si>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</si>
  <si>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</si>
  <si>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</si>
  <si>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</si>
  <si>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</si>
  <si>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</si>
  <si>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</si>
  <si>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</si>
  <si>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</si>
  <si>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</si>
  <si>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</si>
  <si>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</si>
  <si>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</si>
  <si>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</si>
  <si>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</si>
  <si>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</si>
  <si>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</si>
  <si>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</si>
  <si>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</si>
  <si>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</si>
  <si>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</si>
  <si>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</si>
  <si>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</si>
  <si>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</si>
  <si>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</si>
  <si>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</si>
  <si>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</si>
  <si>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</si>
  <si>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</si>
  <si>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</si>
  <si>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</si>
  <si>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</si>
  <si>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</si>
  <si>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</si>
  <si>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</si>
  <si>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</si>
  <si>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</si>
  <si>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</si>
  <si>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</si>
  <si>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</si>
  <si>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</si>
  <si>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</si>
  <si>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</si>
  <si>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</si>
  <si>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</si>
  <si>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</si>
  <si>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</si>
  <si>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</si>
  <si>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</si>
  <si>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</si>
  <si>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</si>
  <si>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</si>
  <si>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</si>
  <si>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</si>
  <si>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</si>
  <si>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</si>
  <si>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</si>
  <si>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</si>
  <si>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</si>
  <si>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</si>
  <si>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</si>
  <si>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</si>
  <si>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</si>
  <si>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</si>
  <si>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</si>
  <si>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</si>
  <si>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</si>
  <si>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</si>
  <si>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</si>
  <si>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</si>
  <si>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</si>
  <si>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</si>
  <si>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</si>
  <si>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</si>
  <si>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</si>
  <si>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</si>
  <si>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DT2C20U</t>
  </si>
  <si>
    <t>Type: TIKE - Form: DCW4 - 2 Pole - 5000 HP - 4000 V - 60 Hz - 450-1600 - Class F</t>
  </si>
  <si>
    <t>14 x 2</t>
  </si>
  <si>
    <t>2 x Delta</t>
  </si>
  <si>
    <t xml:space="preserve"> - </t>
  </si>
  <si>
    <t>60 / 79</t>
  </si>
  <si>
    <t>419 / 2585</t>
  </si>
  <si>
    <t>667 / 418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</si>
  <si>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</si>
  <si>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</si>
  <si>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</si>
  <si>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</si>
  <si>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</si>
  <si>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</si>
  <si>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</si>
  <si>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</si>
  <si>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</si>
  <si>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</si>
  <si>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</si>
  <si>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</si>
  <si>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1917.0</t>
  </si>
  <si>
    <t xml:space="preserve">7T: </t>
  </si>
  <si>
    <t/>
  </si>
  <si>
    <t>0.0114 ~ 0.0109</t>
  </si>
  <si>
    <t>AWG. 1/0 x 3</t>
  </si>
  <si>
    <t>0.00142</t>
  </si>
  <si>
    <t>7T: 24.16</t>
  </si>
  <si>
    <t>7T: 13.51</t>
  </si>
  <si>
    <t>17.40 ~ 17.00</t>
  </si>
  <si>
    <t>11.53</t>
  </si>
  <si>
    <t>3.79</t>
  </si>
  <si>
    <t xml:space="preserve"> (.128"x.258")x 2: </t>
  </si>
  <si>
    <t>1210 lbs.</t>
  </si>
  <si>
    <t xml:space="preserve">1-2, 2-3, 3-1: </t>
  </si>
  <si>
    <t>0.037 ~ 0.035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</si>
  <si>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</si>
  <si>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</si>
  <si>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</si>
  <si>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</si>
  <si>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</si>
  <si>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</si>
  <si>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</si>
  <si>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</si>
  <si>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</si>
  <si>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</si>
  <si>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</si>
  <si>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</si>
  <si>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</si>
  <si>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N/A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</si>
  <si>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</si>
  <si>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</si>
  <si>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</si>
  <si>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</si>
  <si>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</si>
  <si>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</si>
  <si>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</si>
  <si>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</si>
  <si>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4000 V</t>
  </si>
  <si>
    <t>831.7 lb-ft²</t>
  </si>
  <si>
    <t>1662.0 lb-ft²</t>
  </si>
  <si>
    <t>7325 lb-ft</t>
  </si>
  <si>
    <t>3720 A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</si>
  <si>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</si>
  <si>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</si>
  <si>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</si>
  <si>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</si>
  <si>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</si>
  <si>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</si>
  <si>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</si>
  <si>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</si>
  <si>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</si>
  <si>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</si>
  <si>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</si>
  <si>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</si>
  <si>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</si>
  <si>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</si>
  <si>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</si>
  <si>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</si>
  <si>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</si>
  <si>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</si>
  <si>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</si>
  <si>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</si>
  <si>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</si>
  <si>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</si>
  <si>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</si>
  <si>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</si>
  <si>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</si>
  <si>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</si>
  <si>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</si>
  <si>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</si>
  <si>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</si>
  <si>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</si>
  <si>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</si>
  <si>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</si>
  <si>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</si>
  <si>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</si>
  <si>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</si>
  <si>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</si>
  <si>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</si>
  <si>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</si>
  <si>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</si>
  <si>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- 5000.0 HP - 3600 RPM - 4000 V - 60 Hz</t>
  </si>
  <si>
    <t>0~375</t>
  </si>
  <si>
    <t>375~750</t>
  </si>
  <si>
    <t>750~1125</t>
  </si>
  <si>
    <t>1125~1501</t>
  </si>
  <si>
    <t>1501~1876</t>
  </si>
  <si>
    <t>1876~2251</t>
  </si>
  <si>
    <t>2251~2626</t>
  </si>
  <si>
    <t>2626~3001</t>
  </si>
  <si>
    <t>3001~3189</t>
  </si>
  <si>
    <t>3189~3376</t>
  </si>
  <si>
    <t>3376~3564</t>
  </si>
  <si>
    <t>3564~3593</t>
  </si>
  <si>
    <t>3593~3600</t>
  </si>
  <si>
    <t>Load Type: Fan / Pump - 1662.0 lb-ft²</t>
  </si>
  <si>
    <t>157.0</t>
  </si>
  <si>
    <t>157.1</t>
  </si>
  <si>
    <t>157.7</t>
  </si>
  <si>
    <t>160.6</t>
  </si>
  <si>
    <t>171.1</t>
  </si>
  <si>
    <t>207.6</t>
  </si>
  <si>
    <t>178.0</t>
  </si>
  <si>
    <t>110.0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</si>
  <si>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</si>
  <si>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</si>
  <si>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</si>
  <si>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</si>
  <si>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</si>
  <si>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</si>
  <si>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</si>
  <si>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</si>
  <si>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</si>
  <si>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</si>
  <si>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</si>
  <si>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</si>
  <si>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</si>
  <si>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0.308</t>
  </si>
  <si>
    <t>0.284</t>
  </si>
  <si>
    <t>0.276</t>
  </si>
  <si>
    <t>0.277</t>
  </si>
  <si>
    <t>0.286</t>
  </si>
  <si>
    <t>0.303</t>
  </si>
  <si>
    <t>0.330</t>
  </si>
  <si>
    <t>0.377</t>
  </si>
  <si>
    <t>0.214</t>
  </si>
  <si>
    <t>0.220</t>
  </si>
  <si>
    <t>0.178</t>
  </si>
  <si>
    <t>0.040</t>
  </si>
  <si>
    <t>0.078</t>
  </si>
  <si>
    <t>3711.9</t>
  </si>
  <si>
    <t>3694.6</t>
  </si>
  <si>
    <t>3674.3</t>
  </si>
  <si>
    <t>3650.6</t>
  </si>
  <si>
    <t>3622.6</t>
  </si>
  <si>
    <t>3590.1</t>
  </si>
  <si>
    <t>3552.1</t>
  </si>
  <si>
    <t>3501.8</t>
  </si>
  <si>
    <t>3444.3</t>
  </si>
  <si>
    <t>3351.2</t>
  </si>
  <si>
    <t>3041.7</t>
  </si>
  <si>
    <t>1858.9</t>
  </si>
  <si>
    <t>794.5</t>
  </si>
  <si>
    <t>288.0</t>
  </si>
  <si>
    <t>263.8</t>
  </si>
  <si>
    <t>253.6</t>
  </si>
  <si>
    <t>251.6</t>
  </si>
  <si>
    <t>256.2</t>
  </si>
  <si>
    <t>266.5</t>
  </si>
  <si>
    <t>284.4</t>
  </si>
  <si>
    <t>317.6</t>
  </si>
  <si>
    <t>174.6</t>
  </si>
  <si>
    <t>174.0</t>
  </si>
  <si>
    <t>129.6</t>
  </si>
  <si>
    <t>21.3</t>
  </si>
  <si>
    <t>1.9</t>
  </si>
  <si>
    <t>1965.9</t>
  </si>
  <si>
    <t>1626.9</t>
  </si>
  <si>
    <t>1396.4</t>
  </si>
  <si>
    <t>1217.5</t>
  </si>
  <si>
    <t>1066.6</t>
  </si>
  <si>
    <t>926.7</t>
  </si>
  <si>
    <t>789.2</t>
  </si>
  <si>
    <t>651.2</t>
  </si>
  <si>
    <t>458.7</t>
  </si>
  <si>
    <t>333.6</t>
  </si>
  <si>
    <t>160.8</t>
  </si>
  <si>
    <t>50.2</t>
  </si>
  <si>
    <t>110.6</t>
  </si>
  <si>
    <t>2683 kW / s</t>
  </si>
  <si>
    <t>9093 kW / s</t>
  </si>
  <si>
    <t>1661 kW / s</t>
  </si>
  <si>
    <t>13°C</t>
  </si>
  <si>
    <t>139°C</t>
  </si>
  <si>
    <t>51°C</t>
  </si>
  <si>
    <t>26°C</t>
  </si>
  <si>
    <t>279°C</t>
  </si>
  <si>
    <t>102°C</t>
  </si>
  <si>
    <t>Acceleration Time:  3.2 s</t>
  </si>
  <si>
    <t>5.2°C / s</t>
  </si>
  <si>
    <t>75.9°C / s</t>
  </si>
  <si>
    <t>27.8°C / s</t>
  </si>
  <si>
    <t>1065.3 kW</t>
  </si>
  <si>
    <t>4951.6 kW</t>
  </si>
  <si>
    <t>904.5 kW</t>
  </si>
  <si>
    <t>30.9 s</t>
  </si>
  <si>
    <t>3.4 s</t>
  </si>
  <si>
    <t>6.5 s</t>
  </si>
  <si>
    <t>61°C    +</t>
  </si>
  <si>
    <t>80°C    +</t>
  </si>
  <si>
    <t>99°C    +</t>
  </si>
  <si>
    <t>180°C   +</t>
  </si>
  <si>
    <t>100°C   +</t>
  </si>
  <si>
    <t>19.1 s</t>
  </si>
  <si>
    <t>2.4 s</t>
  </si>
  <si>
    <t>3.6 s</t>
  </si>
  <si>
    <t>10.6 s</t>
  </si>
  <si>
    <t>5.9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</si>
  <si>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</si>
  <si>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</si>
  <si>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</si>
  <si>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</si>
  <si>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</si>
  <si>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</si>
  <si>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</si>
  <si>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</si>
  <si>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</si>
  <si>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</si>
  <si>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</si>
  <si>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</si>
  <si>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</si>
  <si>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</si>
  <si>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</si>
  <si>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</si>
  <si>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</si>
  <si>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</si>
  <si>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</si>
  <si>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</si>
  <si>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</si>
  <si>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</si>
  <si>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</si>
  <si>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</si>
  <si>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</si>
  <si>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</si>
  <si>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</si>
  <si>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2880.0 Hz</t>
  </si>
  <si>
    <t>2864.6 Hz</t>
  </si>
  <si>
    <t>2640.0 Hz</t>
  </si>
  <si>
    <t>2624.6 Hz</t>
  </si>
  <si>
    <t>2760.0 Hz</t>
  </si>
  <si>
    <t>2744.6 Hz</t>
  </si>
  <si>
    <t>1483.0 Hz</t>
  </si>
  <si>
    <t>354.0 Hz</t>
  </si>
  <si>
    <t>1001.2 Hz</t>
  </si>
  <si>
    <t>1919.7 Hz</t>
  </si>
  <si>
    <t>3104.5 Hz</t>
  </si>
  <si>
    <t>4554.3 Hz</t>
  </si>
  <si>
    <t>6268.4 Hz</t>
  </si>
  <si>
    <t>8246.6 Hz</t>
  </si>
  <si>
    <t>10488.8 Hz</t>
  </si>
  <si>
    <t>12995.0 Hz</t>
  </si>
  <si>
    <t>No matching frequencies detected.</t>
  </si>
  <si>
    <t>C203WTQL11F-C</t>
  </si>
  <si>
    <t>A.Gracia</t>
  </si>
  <si>
    <t xml:space="preserve"> -</t>
  </si>
  <si>
    <t>QC Limits: DT2C20U</t>
  </si>
  <si>
    <t>AG</t>
  </si>
  <si>
    <t>S.Hernandez</t>
  </si>
  <si>
    <t>SH</t>
  </si>
  <si>
    <t>LINK:</t>
  </si>
  <si>
    <t>H402129.rat with H402129_Lab#1565_byRM.dat</t>
  </si>
  <si>
    <t>Run DT2C20U.rat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</si>
  <si>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</si>
  <si>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</si>
  <si>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</si>
  <si>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</si>
  <si>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</si>
  <si>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</si>
  <si>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</si>
  <si>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</si>
  <si>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</si>
  <si>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</si>
  <si>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</si>
  <si>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</si>
  <si>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</si>
  <si>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</si>
  <si>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</si>
  <si>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</si>
  <si>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</si>
  <si>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</si>
  <si>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</si>
  <si>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</si>
  <si>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</si>
  <si>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</si>
  <si>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</si>
  <si>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</si>
  <si>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</si>
  <si>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</si>
  <si>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</si>
  <si>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</si>
  <si>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</si>
  <si>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B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</si>
  <si>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</si>
  <si>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</si>
  <si>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</si>
  <si>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</si>
  <si>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</si>
  <si>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</si>
  <si>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</si>
  <si>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</si>
  <si>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</si>
  <si>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</si>
  <si>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</si>
  <si>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</si>
  <si>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</si>
  <si>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</si>
  <si>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</si>
  <si>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</si>
  <si>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</si>
  <si>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</si>
  <si>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</si>
  <si>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</si>
  <si>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</si>
  <si>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</si>
  <si>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</si>
  <si>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</si>
  <si>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</si>
  <si>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</si>
  <si>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</si>
  <si>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</si>
  <si>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</si>
  <si>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</si>
  <si>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</si>
  <si>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</si>
  <si>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</si>
  <si>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</si>
  <si>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</si>
  <si>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</si>
  <si>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</si>
  <si>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</si>
  <si>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</si>
  <si>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</si>
  <si>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</si>
  <si>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</si>
  <si>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</si>
  <si>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</si>
  <si>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</si>
  <si>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</si>
  <si>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</si>
  <si>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</si>
  <si>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</si>
  <si>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</si>
  <si>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</si>
  <si>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</si>
  <si>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</si>
  <si>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</si>
  <si>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</si>
  <si>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</si>
  <si>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</si>
  <si>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</si>
  <si>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</si>
  <si>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</si>
  <si>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</si>
  <si>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</si>
  <si>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</si>
  <si>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</si>
  <si>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</si>
  <si>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</si>
  <si>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</si>
  <si>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</si>
  <si>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</si>
  <si>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</si>
  <si>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</si>
  <si>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</si>
  <si>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</si>
  <si>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</si>
  <si>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</si>
  <si>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TKKH</t>
  </si>
  <si>
    <t>60 Hz</t>
  </si>
  <si>
    <t>WP-II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</si>
</sst>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4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15" fillId="0" borderId="0"/>
    <xf numFmtId="0" fontId="15" fillId="0" borderId="0"/>
    <xf numFmtId="0" fontId="46" fillId="0" borderId="0"/>
    <xf numFmtId="0" fontId="46" fillId="0" borderId="0"/>
    <xf numFmtId="171" fontId="61" fillId="0" borderId="0"/>
  </cellStyleXfs>
  <cellXfs count="657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6" fontId="2" fillId="0" borderId="53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left"/>
    </xf>
    <xf numFmtId="166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centerContinuous"/>
    </xf>
    <xf numFmtId="166" fontId="2" fillId="0" borderId="23" xfId="0" applyNumberFormat="1" applyFont="1" applyBorder="1" applyAlignment="1">
      <alignment horizontal="centerContinuous"/>
    </xf>
    <xf numFmtId="0" fontId="17" fillId="0" borderId="0" xfId="1" applyFont="1"/>
    <xf numFmtId="0" fontId="18" fillId="0" borderId="0" xfId="1" applyFont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4" xfId="1" applyFont="1" applyBorder="1" applyAlignment="1">
      <alignment horizontal="left" vertical="center"/>
    </xf>
    <xf numFmtId="0" fontId="23" fillId="0" borderId="55" xfId="1" applyFont="1" applyBorder="1" applyAlignment="1">
      <alignment vertical="center"/>
    </xf>
    <xf numFmtId="0" fontId="15" fillId="0" borderId="55" xfId="1" applyBorder="1"/>
    <xf numFmtId="0" fontId="23" fillId="0" borderId="56" xfId="1" applyFont="1" applyBorder="1" applyAlignment="1">
      <alignment horizontal="right" vertical="center"/>
    </xf>
    <xf numFmtId="0" fontId="24" fillId="0" borderId="0" xfId="1" applyFont="1"/>
    <xf numFmtId="0" fontId="25" fillId="0" borderId="54" xfId="1" applyFont="1" applyBorder="1"/>
    <xf numFmtId="0" fontId="24" fillId="0" borderId="56" xfId="1" applyFont="1" applyBorder="1"/>
    <xf numFmtId="0" fontId="25" fillId="0" borderId="56" xfId="1" applyFont="1" applyBorder="1"/>
    <xf numFmtId="0" fontId="26" fillId="0" borderId="0" xfId="1" applyFont="1"/>
    <xf numFmtId="0" fontId="27" fillId="2" borderId="13" xfId="1" applyFont="1" applyFill="1" applyBorder="1" applyAlignment="1">
      <alignment horizontal="center"/>
    </xf>
    <xf numFmtId="0" fontId="27" fillId="2" borderId="57" xfId="1" applyFont="1" applyFill="1" applyBorder="1" applyAlignment="1">
      <alignment horizontal="center"/>
    </xf>
    <xf numFmtId="0" fontId="27" fillId="2" borderId="0" xfId="1" quotePrefix="1" applyFont="1" applyFill="1" applyAlignment="1">
      <alignment horizontal="left"/>
    </xf>
    <xf numFmtId="0" fontId="28" fillId="2" borderId="58" xfId="1" applyFont="1" applyFill="1" applyBorder="1" applyAlignment="1">
      <alignment horizontal="right"/>
    </xf>
    <xf numFmtId="0" fontId="27" fillId="2" borderId="59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Border="1"/>
    <xf numFmtId="0" fontId="24" fillId="0" borderId="21" xfId="1" applyFont="1" applyBorder="1"/>
    <xf numFmtId="0" fontId="25" fillId="0" borderId="21" xfId="1" applyFont="1" applyBorder="1"/>
    <xf numFmtId="0" fontId="29" fillId="2" borderId="69" xfId="1" applyFont="1" applyFill="1" applyBorder="1"/>
    <xf numFmtId="0" fontId="29" fillId="2" borderId="70" xfId="1" applyFont="1" applyFill="1" applyBorder="1"/>
    <xf numFmtId="0" fontId="32" fillId="2" borderId="70" xfId="1" applyFont="1" applyFill="1" applyBorder="1"/>
    <xf numFmtId="0" fontId="32" fillId="2" borderId="71" xfId="1" applyFont="1" applyFill="1" applyBorder="1"/>
    <xf numFmtId="166" fontId="31" fillId="2" borderId="66" xfId="1" applyNumberFormat="1" applyFont="1" applyFill="1" applyBorder="1" applyAlignment="1">
      <alignment horizontal="center"/>
    </xf>
    <xf numFmtId="0" fontId="31" fillId="2" borderId="72" xfId="1" applyFont="1" applyFill="1" applyBorder="1" applyAlignment="1">
      <alignment horizontal="center"/>
    </xf>
    <xf numFmtId="0" fontId="29" fillId="2" borderId="73" xfId="1" applyFont="1" applyFill="1" applyBorder="1"/>
    <xf numFmtId="0" fontId="29" fillId="2" borderId="74" xfId="1" applyFont="1" applyFill="1" applyBorder="1"/>
    <xf numFmtId="0" fontId="32" fillId="2" borderId="74" xfId="1" applyFont="1" applyFill="1" applyBorder="1"/>
    <xf numFmtId="0" fontId="32" fillId="2" borderId="75" xfId="1" applyFont="1" applyFill="1" applyBorder="1"/>
    <xf numFmtId="1" fontId="31" fillId="2" borderId="66" xfId="1" applyNumberFormat="1" applyFont="1" applyFill="1" applyBorder="1" applyAlignment="1">
      <alignment horizontal="center"/>
    </xf>
    <xf numFmtId="0" fontId="31" fillId="2" borderId="76" xfId="1" applyFont="1" applyFill="1" applyBorder="1" applyAlignment="1">
      <alignment horizontal="center"/>
    </xf>
    <xf numFmtId="0" fontId="33" fillId="2" borderId="70" xfId="1" applyFont="1" applyFill="1" applyBorder="1"/>
    <xf numFmtId="0" fontId="34" fillId="2" borderId="71" xfId="1" applyFont="1" applyFill="1" applyBorder="1" applyAlignment="1">
      <alignment horizontal="left"/>
    </xf>
    <xf numFmtId="0" fontId="31" fillId="2" borderId="66" xfId="1" applyFont="1" applyFill="1" applyBorder="1" applyAlignment="1">
      <alignment horizontal="center"/>
    </xf>
    <xf numFmtId="0" fontId="25" fillId="0" borderId="46" xfId="1" applyFont="1" applyBorder="1"/>
    <xf numFmtId="0" fontId="25" fillId="0" borderId="24" xfId="1" applyFont="1" applyBorder="1"/>
    <xf numFmtId="0" fontId="29" fillId="2" borderId="78" xfId="1" applyFont="1" applyFill="1" applyBorder="1"/>
    <xf numFmtId="0" fontId="29" fillId="2" borderId="79" xfId="1" applyFont="1" applyFill="1" applyBorder="1"/>
    <xf numFmtId="0" fontId="33" fillId="2" borderId="79" xfId="1" applyFont="1" applyFill="1" applyBorder="1"/>
    <xf numFmtId="0" fontId="31" fillId="2" borderId="80" xfId="1" applyFont="1" applyFill="1" applyBorder="1" applyAlignment="1">
      <alignment horizontal="center"/>
    </xf>
    <xf numFmtId="0" fontId="31" fillId="2" borderId="81" xfId="1" applyFont="1" applyFill="1" applyBorder="1" applyAlignment="1">
      <alignment horizontal="center"/>
    </xf>
    <xf numFmtId="0" fontId="24" fillId="0" borderId="24" xfId="1" applyFont="1" applyBorder="1"/>
    <xf numFmtId="0" fontId="29" fillId="2" borderId="65" xfId="1" quotePrefix="1" applyFont="1" applyFill="1" applyBorder="1" applyAlignment="1">
      <alignment horizontal="left"/>
    </xf>
    <xf numFmtId="0" fontId="26" fillId="0" borderId="71" xfId="1" applyFont="1" applyBorder="1"/>
    <xf numFmtId="0" fontId="29" fillId="2" borderId="52" xfId="1" quotePrefix="1" applyFont="1" applyFill="1" applyBorder="1" applyAlignment="1">
      <alignment horizontal="left"/>
    </xf>
    <xf numFmtId="0" fontId="29" fillId="2" borderId="61" xfId="1" applyFont="1" applyFill="1" applyBorder="1"/>
    <xf numFmtId="0" fontId="32" fillId="2" borderId="61" xfId="1" applyFont="1" applyFill="1" applyBorder="1"/>
    <xf numFmtId="0" fontId="36" fillId="2" borderId="61" xfId="1" applyFont="1" applyFill="1" applyBorder="1" applyAlignment="1">
      <alignment horizontal="right"/>
    </xf>
    <xf numFmtId="49" fontId="31" fillId="2" borderId="61" xfId="1" applyNumberFormat="1" applyFont="1" applyFill="1" applyBorder="1" applyAlignment="1">
      <alignment horizontal="center"/>
    </xf>
    <xf numFmtId="0" fontId="31" fillId="2" borderId="85" xfId="1" applyFont="1" applyFill="1" applyBorder="1" applyAlignment="1">
      <alignment horizontal="center"/>
    </xf>
    <xf numFmtId="0" fontId="29" fillId="2" borderId="66" xfId="1" applyFont="1" applyFill="1" applyBorder="1"/>
    <xf numFmtId="0" fontId="32" fillId="2" borderId="66" xfId="1" applyFont="1" applyFill="1" applyBorder="1"/>
    <xf numFmtId="0" fontId="29" fillId="2" borderId="86" xfId="1" quotePrefix="1" applyFont="1" applyFill="1" applyBorder="1" applyAlignment="1">
      <alignment horizontal="left"/>
    </xf>
    <xf numFmtId="0" fontId="29" fillId="2" borderId="80" xfId="1" applyFont="1" applyFill="1" applyBorder="1"/>
    <xf numFmtId="0" fontId="32" fillId="2" borderId="80" xfId="1" applyFont="1" applyFill="1" applyBorder="1"/>
    <xf numFmtId="0" fontId="29" fillId="2" borderId="65" xfId="1" applyFont="1" applyFill="1" applyBorder="1" applyAlignment="1">
      <alignment horizontal="left"/>
    </xf>
    <xf numFmtId="0" fontId="24" fillId="2" borderId="87" xfId="1" applyFont="1" applyFill="1" applyBorder="1"/>
    <xf numFmtId="0" fontId="24" fillId="2" borderId="71" xfId="1" applyFont="1" applyFill="1" applyBorder="1"/>
    <xf numFmtId="0" fontId="29" fillId="2" borderId="65" xfId="1" applyFont="1" applyFill="1" applyBorder="1"/>
    <xf numFmtId="0" fontId="24" fillId="2" borderId="70" xfId="1" applyFont="1" applyFill="1" applyBorder="1"/>
    <xf numFmtId="0" fontId="29" fillId="2" borderId="87" xfId="1" applyFont="1" applyFill="1" applyBorder="1"/>
    <xf numFmtId="0" fontId="36" fillId="2" borderId="71" xfId="1" applyFont="1" applyFill="1" applyBorder="1" applyAlignment="1">
      <alignment horizontal="right"/>
    </xf>
    <xf numFmtId="0" fontId="29" fillId="2" borderId="60" xfId="1" quotePrefix="1" applyFont="1" applyFill="1" applyBorder="1" applyAlignment="1">
      <alignment horizontal="left"/>
    </xf>
    <xf numFmtId="0" fontId="26" fillId="0" borderId="94" xfId="1" applyFont="1" applyBorder="1"/>
    <xf numFmtId="0" fontId="29" fillId="2" borderId="87" xfId="1" quotePrefix="1" applyFont="1" applyFill="1" applyBorder="1" applyAlignment="1">
      <alignment horizontal="left"/>
    </xf>
    <xf numFmtId="0" fontId="24" fillId="2" borderId="66" xfId="1" applyFont="1" applyFill="1" applyBorder="1"/>
    <xf numFmtId="0" fontId="29" fillId="2" borderId="95" xfId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center"/>
    </xf>
    <xf numFmtId="0" fontId="24" fillId="2" borderId="71" xfId="1" quotePrefix="1" applyFont="1" applyFill="1" applyBorder="1" applyAlignment="1">
      <alignment horizontal="center"/>
    </xf>
    <xf numFmtId="0" fontId="29" fillId="2" borderId="96" xfId="1" applyFont="1" applyFill="1" applyBorder="1"/>
    <xf numFmtId="0" fontId="26" fillId="0" borderId="97" xfId="1" applyFont="1" applyBorder="1"/>
    <xf numFmtId="0" fontId="31" fillId="0" borderId="97" xfId="1" applyFont="1" applyBorder="1" applyAlignment="1">
      <alignment horizontal="center"/>
    </xf>
    <xf numFmtId="0" fontId="31" fillId="0" borderId="98" xfId="1" applyFont="1" applyBorder="1" applyAlignment="1">
      <alignment horizontal="center"/>
    </xf>
    <xf numFmtId="0" fontId="29" fillId="2" borderId="99" xfId="1" applyFont="1" applyFill="1" applyBorder="1" applyAlignment="1">
      <alignment horizontal="center"/>
    </xf>
    <xf numFmtId="0" fontId="29" fillId="2" borderId="79" xfId="1" quotePrefix="1" applyFont="1" applyFill="1" applyBorder="1" applyAlignment="1">
      <alignment horizontal="center"/>
    </xf>
    <xf numFmtId="0" fontId="24" fillId="2" borderId="100" xfId="1" quotePrefix="1" applyFont="1" applyFill="1" applyBorder="1" applyAlignment="1">
      <alignment horizontal="center"/>
    </xf>
    <xf numFmtId="0" fontId="31" fillId="0" borderId="71" xfId="1" applyFont="1" applyBorder="1" applyAlignment="1">
      <alignment horizontal="center"/>
    </xf>
    <xf numFmtId="0" fontId="31" fillId="0" borderId="76" xfId="1" applyFont="1" applyBorder="1" applyAlignment="1">
      <alignment horizontal="center"/>
    </xf>
    <xf numFmtId="0" fontId="31" fillId="0" borderId="46" xfId="1" applyFont="1" applyBorder="1"/>
    <xf numFmtId="0" fontId="37" fillId="0" borderId="24" xfId="1" applyFont="1" applyBorder="1"/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0" fontId="39" fillId="2" borderId="104" xfId="1" applyFont="1" applyFill="1" applyBorder="1" applyAlignment="1">
      <alignment horizontal="center"/>
    </xf>
    <xf numFmtId="166" fontId="31" fillId="0" borderId="71" xfId="1" applyNumberFormat="1" applyFont="1" applyBorder="1" applyAlignment="1">
      <alignment horizontal="center"/>
    </xf>
    <xf numFmtId="0" fontId="29" fillId="2" borderId="105" xfId="1" applyFont="1" applyFill="1" applyBorder="1" applyAlignment="1">
      <alignment horizontal="left"/>
    </xf>
    <xf numFmtId="0" fontId="24" fillId="2" borderId="106" xfId="1" applyFont="1" applyFill="1" applyBorder="1"/>
    <xf numFmtId="0" fontId="24" fillId="2" borderId="107" xfId="1" applyFont="1" applyFill="1" applyBorder="1"/>
    <xf numFmtId="0" fontId="31" fillId="2" borderId="108" xfId="1" applyFont="1" applyFill="1" applyBorder="1" applyAlignment="1">
      <alignment horizontal="center"/>
    </xf>
    <xf numFmtId="0" fontId="26" fillId="0" borderId="80" xfId="1" applyFont="1" applyBorder="1"/>
    <xf numFmtId="0" fontId="26" fillId="0" borderId="81" xfId="1" applyFont="1" applyBorder="1"/>
    <xf numFmtId="0" fontId="26" fillId="0" borderId="88" xfId="1" applyFont="1" applyBorder="1"/>
    <xf numFmtId="0" fontId="29" fillId="2" borderId="97" xfId="1" applyFont="1" applyFill="1" applyBorder="1"/>
    <xf numFmtId="0" fontId="36" fillId="2" borderId="66" xfId="1" applyFont="1" applyFill="1" applyBorder="1" applyAlignment="1">
      <alignment horizontal="right" shrinkToFit="1"/>
    </xf>
    <xf numFmtId="0" fontId="31" fillId="2" borderId="109" xfId="1" applyFont="1" applyFill="1" applyBorder="1" applyAlignment="1">
      <alignment horizontal="center"/>
    </xf>
    <xf numFmtId="2" fontId="26" fillId="0" borderId="0" xfId="1" applyNumberFormat="1" applyFont="1"/>
    <xf numFmtId="0" fontId="29" fillId="2" borderId="52" xfId="1" applyFont="1" applyFill="1" applyBorder="1"/>
    <xf numFmtId="0" fontId="29" fillId="2" borderId="58" xfId="1" applyFont="1" applyFill="1" applyBorder="1"/>
    <xf numFmtId="0" fontId="36" fillId="2" borderId="66" xfId="1" applyFont="1" applyFill="1" applyBorder="1" applyAlignment="1">
      <alignment horizontal="right"/>
    </xf>
    <xf numFmtId="2" fontId="31" fillId="2" borderId="66" xfId="1" applyNumberFormat="1" applyFont="1" applyFill="1" applyBorder="1" applyAlignment="1">
      <alignment horizontal="center"/>
    </xf>
    <xf numFmtId="0" fontId="36" fillId="2" borderId="58" xfId="1" applyFont="1" applyFill="1" applyBorder="1" applyAlignment="1">
      <alignment horizontal="right"/>
    </xf>
    <xf numFmtId="0" fontId="36" fillId="2" borderId="66" xfId="1" applyFont="1" applyFill="1" applyBorder="1"/>
    <xf numFmtId="0" fontId="40" fillId="0" borderId="0" xfId="1" applyFont="1"/>
    <xf numFmtId="0" fontId="29" fillId="2" borderId="111" xfId="1" applyFont="1" applyFill="1" applyBorder="1"/>
    <xf numFmtId="0" fontId="29" fillId="2" borderId="112" xfId="1" applyFont="1" applyFill="1" applyBorder="1"/>
    <xf numFmtId="0" fontId="29" fillId="2" borderId="113" xfId="1" applyFont="1" applyFill="1" applyBorder="1"/>
    <xf numFmtId="0" fontId="36" fillId="2" borderId="113" xfId="1" applyFont="1" applyFill="1" applyBorder="1"/>
    <xf numFmtId="166" fontId="31" fillId="2" borderId="113" xfId="1" applyNumberFormat="1" applyFont="1" applyFill="1" applyBorder="1" applyAlignment="1">
      <alignment horizontal="center"/>
    </xf>
    <xf numFmtId="0" fontId="29" fillId="2" borderId="75" xfId="1" applyFont="1" applyFill="1" applyBorder="1"/>
    <xf numFmtId="0" fontId="29" fillId="2" borderId="104" xfId="1" applyFont="1" applyFill="1" applyBorder="1" applyAlignment="1">
      <alignment horizontal="left"/>
    </xf>
    <xf numFmtId="0" fontId="29" fillId="2" borderId="75" xfId="1" applyFont="1" applyFill="1" applyBorder="1" applyAlignment="1">
      <alignment horizontal="left"/>
    </xf>
    <xf numFmtId="1" fontId="31" fillId="2" borderId="61" xfId="1" applyNumberFormat="1" applyFont="1" applyFill="1" applyBorder="1" applyAlignment="1">
      <alignment horizontal="center"/>
    </xf>
    <xf numFmtId="0" fontId="41" fillId="0" borderId="0" xfId="1" quotePrefix="1" applyFont="1" applyAlignment="1">
      <alignment horizontal="left"/>
    </xf>
    <xf numFmtId="0" fontId="26" fillId="0" borderId="0" xfId="2" applyFont="1"/>
    <xf numFmtId="0" fontId="29" fillId="2" borderId="0" xfId="1" applyFont="1" applyFill="1"/>
    <xf numFmtId="0" fontId="29" fillId="2" borderId="87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166" fontId="31" fillId="2" borderId="72" xfId="1" applyNumberFormat="1" applyFont="1" applyFill="1" applyBorder="1" applyAlignment="1">
      <alignment horizontal="center"/>
    </xf>
    <xf numFmtId="1" fontId="26" fillId="0" borderId="0" xfId="1" applyNumberFormat="1" applyFont="1"/>
    <xf numFmtId="0" fontId="29" fillId="2" borderId="40" xfId="1" applyFont="1" applyFill="1" applyBorder="1"/>
    <xf numFmtId="0" fontId="29" fillId="2" borderId="108" xfId="1" applyFont="1" applyFill="1" applyBorder="1" applyAlignment="1">
      <alignment horizontal="left"/>
    </xf>
    <xf numFmtId="0" fontId="29" fillId="2" borderId="100" xfId="1" applyFont="1" applyFill="1" applyBorder="1" applyAlignment="1">
      <alignment horizontal="left"/>
    </xf>
    <xf numFmtId="1" fontId="31" fillId="2" borderId="80" xfId="1" applyNumberFormat="1" applyFont="1" applyFill="1" applyBorder="1" applyAlignment="1">
      <alignment horizontal="center"/>
    </xf>
    <xf numFmtId="0" fontId="20" fillId="2" borderId="82" xfId="1" applyFont="1" applyFill="1" applyBorder="1" applyAlignment="1">
      <alignment horizontal="left"/>
    </xf>
    <xf numFmtId="0" fontId="20" fillId="2" borderId="83" xfId="1" applyFont="1" applyFill="1" applyBorder="1" applyAlignment="1">
      <alignment horizontal="left"/>
    </xf>
    <xf numFmtId="0" fontId="20" fillId="2" borderId="84" xfId="1" applyFont="1" applyFill="1" applyBorder="1" applyAlignment="1">
      <alignment horizontal="left"/>
    </xf>
    <xf numFmtId="0" fontId="22" fillId="2" borderId="52" xfId="1" applyFont="1" applyFill="1" applyBorder="1"/>
    <xf numFmtId="0" fontId="26" fillId="2" borderId="74" xfId="1" applyFont="1" applyFill="1" applyBorder="1" applyAlignment="1">
      <alignment horizontal="left"/>
    </xf>
    <xf numFmtId="0" fontId="26" fillId="2" borderId="85" xfId="1" applyFont="1" applyFill="1" applyBorder="1" applyAlignment="1">
      <alignment horizontal="left"/>
    </xf>
    <xf numFmtId="0" fontId="22" fillId="2" borderId="70" xfId="1" applyFont="1" applyFill="1" applyBorder="1" applyAlignment="1">
      <alignment horizontal="left"/>
    </xf>
    <xf numFmtId="0" fontId="22" fillId="2" borderId="76" xfId="1" applyFont="1" applyFill="1" applyBorder="1" applyAlignment="1">
      <alignment horizontal="left"/>
    </xf>
    <xf numFmtId="0" fontId="42" fillId="0" borderId="0" xfId="1" applyFont="1"/>
    <xf numFmtId="0" fontId="29" fillId="0" borderId="114" xfId="1" applyFont="1" applyBorder="1"/>
    <xf numFmtId="0" fontId="29" fillId="2" borderId="117" xfId="1" applyFont="1" applyFill="1" applyBorder="1"/>
    <xf numFmtId="0" fontId="22" fillId="2" borderId="45" xfId="1" applyFont="1" applyFill="1" applyBorder="1"/>
    <xf numFmtId="0" fontId="29" fillId="2" borderId="119" xfId="1" applyFont="1" applyFill="1" applyBorder="1"/>
    <xf numFmtId="0" fontId="29" fillId="2" borderId="23" xfId="1" applyFont="1" applyFill="1" applyBorder="1"/>
    <xf numFmtId="14" fontId="24" fillId="2" borderId="122" xfId="1" applyNumberFormat="1" applyFont="1" applyFill="1" applyBorder="1" applyAlignment="1">
      <alignment horizontal="center"/>
    </xf>
    <xf numFmtId="0" fontId="22" fillId="0" borderId="23" xfId="1" applyFont="1" applyBorder="1"/>
    <xf numFmtId="0" fontId="22" fillId="2" borderId="123" xfId="1" applyFont="1" applyFill="1" applyBorder="1" applyAlignment="1">
      <alignment horizontal="left"/>
    </xf>
    <xf numFmtId="0" fontId="22" fillId="2" borderId="124" xfId="1" applyFont="1" applyFill="1" applyBorder="1" applyAlignment="1">
      <alignment horizontal="left"/>
    </xf>
    <xf numFmtId="0" fontId="22" fillId="0" borderId="0" xfId="1" applyFont="1"/>
    <xf numFmtId="0" fontId="46" fillId="0" borderId="6" xfId="3" applyBorder="1"/>
    <xf numFmtId="0" fontId="46" fillId="0" borderId="7" xfId="3" applyBorder="1"/>
    <xf numFmtId="0" fontId="46" fillId="0" borderId="41" xfId="3" applyBorder="1"/>
    <xf numFmtId="0" fontId="46" fillId="0" borderId="41" xfId="3" applyBorder="1" applyAlignment="1">
      <alignment horizontal="center"/>
    </xf>
    <xf numFmtId="0" fontId="47" fillId="0" borderId="41" xfId="3" applyFont="1" applyBorder="1" applyAlignment="1">
      <alignment horizontal="center"/>
    </xf>
    <xf numFmtId="0" fontId="46" fillId="0" borderId="0" xfId="3"/>
    <xf numFmtId="0" fontId="48" fillId="0" borderId="125" xfId="3" applyFont="1" applyBorder="1" applyAlignment="1">
      <alignment horizontal="center"/>
    </xf>
    <xf numFmtId="0" fontId="46" fillId="0" borderId="125" xfId="3" applyBorder="1" applyAlignment="1">
      <alignment horizontal="center"/>
    </xf>
    <xf numFmtId="0" fontId="47" fillId="0" borderId="125" xfId="3" applyFon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Alignment="1">
      <alignment horizontal="center"/>
    </xf>
    <xf numFmtId="0" fontId="46" fillId="0" borderId="45" xfId="3" applyBorder="1"/>
    <xf numFmtId="0" fontId="49" fillId="0" borderId="0" xfId="3" applyFont="1"/>
    <xf numFmtId="0" fontId="46" fillId="0" borderId="125" xfId="3" applyBorder="1"/>
    <xf numFmtId="0" fontId="47" fillId="0" borderId="0" xfId="3" applyFont="1"/>
    <xf numFmtId="0" fontId="47" fillId="0" borderId="125" xfId="3" applyFont="1" applyBorder="1"/>
    <xf numFmtId="169" fontId="46" fillId="0" borderId="3" xfId="3" applyNumberFormat="1" applyBorder="1"/>
    <xf numFmtId="49" fontId="46" fillId="0" borderId="1" xfId="3" applyNumberFormat="1" applyBorder="1" applyAlignment="1">
      <alignment horizontal="center"/>
    </xf>
    <xf numFmtId="49" fontId="46" fillId="0" borderId="1" xfId="3" applyNumberFormat="1" applyBorder="1"/>
    <xf numFmtId="49" fontId="47" fillId="0" borderId="1" xfId="3" applyNumberFormat="1" applyFont="1" applyBorder="1"/>
    <xf numFmtId="170" fontId="47" fillId="0" borderId="1" xfId="3" applyNumberFormat="1" applyFont="1" applyBorder="1"/>
    <xf numFmtId="0" fontId="46" fillId="0" borderId="1" xfId="3" applyBorder="1"/>
    <xf numFmtId="0" fontId="46" fillId="0" borderId="9" xfId="3" applyBorder="1"/>
    <xf numFmtId="170" fontId="46" fillId="0" borderId="1" xfId="3" applyNumberFormat="1" applyBorder="1"/>
    <xf numFmtId="0" fontId="46" fillId="0" borderId="1" xfId="3" applyBorder="1" applyAlignment="1">
      <alignment horizontal="center"/>
    </xf>
    <xf numFmtId="169" fontId="46" fillId="0" borderId="18" xfId="3" applyNumberFormat="1" applyBorder="1"/>
    <xf numFmtId="49" fontId="46" fillId="0" borderId="26" xfId="3" applyNumberFormat="1" applyBorder="1"/>
    <xf numFmtId="170" fontId="46" fillId="0" borderId="26" xfId="3" applyNumberFormat="1" applyBorder="1"/>
    <xf numFmtId="0" fontId="46" fillId="0" borderId="26" xfId="3" applyBorder="1"/>
    <xf numFmtId="0" fontId="46" fillId="0" borderId="126" xfId="3" applyBorder="1"/>
    <xf numFmtId="0" fontId="47" fillId="0" borderId="127" xfId="3" applyFont="1" applyBorder="1" applyAlignment="1">
      <alignment horizontal="center"/>
    </xf>
    <xf numFmtId="0" fontId="47" fillId="0" borderId="128" xfId="3" applyFont="1" applyBorder="1" applyAlignment="1">
      <alignment horizontal="center"/>
    </xf>
    <xf numFmtId="49" fontId="47" fillId="0" borderId="2" xfId="3" applyNumberFormat="1" applyFont="1" applyBorder="1" applyAlignment="1">
      <alignment horizontal="center"/>
    </xf>
    <xf numFmtId="0" fontId="46" fillId="0" borderId="57" xfId="3" applyBorder="1" applyAlignment="1">
      <alignment horizontal="left"/>
    </xf>
    <xf numFmtId="49" fontId="46" fillId="0" borderId="3" xfId="3" applyNumberFormat="1" applyBorder="1"/>
    <xf numFmtId="0" fontId="46" fillId="0" borderId="130" xfId="3" applyBorder="1" applyAlignment="1">
      <alignment horizontal="left"/>
    </xf>
    <xf numFmtId="49" fontId="46" fillId="0" borderId="4" xfId="3" applyNumberFormat="1" applyBorder="1"/>
    <xf numFmtId="0" fontId="46" fillId="0" borderId="132" xfId="3" applyBorder="1" applyAlignment="1">
      <alignment horizontal="left"/>
    </xf>
    <xf numFmtId="0" fontId="46" fillId="0" borderId="0" xfId="4"/>
    <xf numFmtId="0" fontId="50" fillId="0" borderId="0" xfId="4" applyFont="1"/>
    <xf numFmtId="0" fontId="52" fillId="0" borderId="20" xfId="4" applyFont="1" applyBorder="1" applyAlignment="1">
      <alignment horizontal="right"/>
    </xf>
    <xf numFmtId="0" fontId="52" fillId="0" borderId="47" xfId="4" applyFont="1" applyBorder="1" applyAlignment="1">
      <alignment horizontal="right"/>
    </xf>
    <xf numFmtId="0" fontId="52" fillId="0" borderId="103" xfId="4" applyFont="1" applyBorder="1" applyAlignment="1">
      <alignment horizontal="center"/>
    </xf>
    <xf numFmtId="0" fontId="23" fillId="0" borderId="38" xfId="4" applyFont="1" applyBorder="1" applyAlignment="1">
      <alignment horizontal="center"/>
    </xf>
    <xf numFmtId="0" fontId="52" fillId="0" borderId="63" xfId="4" applyFont="1" applyBorder="1" applyAlignment="1">
      <alignment horizontal="center"/>
    </xf>
    <xf numFmtId="0" fontId="23" fillId="0" borderId="38" xfId="4" applyFont="1" applyBorder="1"/>
    <xf numFmtId="0" fontId="46" fillId="0" borderId="46" xfId="4" applyBorder="1"/>
    <xf numFmtId="0" fontId="23" fillId="0" borderId="48" xfId="4" applyFont="1" applyBorder="1" applyAlignment="1">
      <alignment horizontal="center"/>
    </xf>
    <xf numFmtId="0" fontId="50" fillId="0" borderId="53" xfId="4" applyFont="1" applyBorder="1" applyAlignment="1">
      <alignment horizontal="center"/>
    </xf>
    <xf numFmtId="0" fontId="23" fillId="0" borderId="48" xfId="4" applyFont="1" applyBorder="1"/>
    <xf numFmtId="0" fontId="52" fillId="0" borderId="103" xfId="4" applyFont="1" applyBorder="1" applyAlignment="1">
      <alignment horizontal="right"/>
    </xf>
    <xf numFmtId="0" fontId="23" fillId="0" borderId="27" xfId="4" applyFont="1" applyBorder="1" applyAlignment="1">
      <alignment horizontal="center"/>
    </xf>
    <xf numFmtId="0" fontId="52" fillId="0" borderId="46" xfId="4" applyFont="1" applyBorder="1" applyAlignment="1">
      <alignment horizontal="right"/>
    </xf>
    <xf numFmtId="0" fontId="23" fillId="0" borderId="24" xfId="4" applyFont="1" applyBorder="1" applyAlignment="1">
      <alignment horizontal="center"/>
    </xf>
    <xf numFmtId="0" fontId="23" fillId="0" borderId="32" xfId="4" applyFont="1" applyBorder="1" applyAlignment="1">
      <alignment horizontal="center"/>
    </xf>
    <xf numFmtId="0" fontId="50" fillId="0" borderId="0" xfId="4" applyFont="1" applyAlignment="1">
      <alignment horizontal="center"/>
    </xf>
    <xf numFmtId="0" fontId="53" fillId="0" borderId="63" xfId="4" applyFont="1" applyBorder="1"/>
    <xf numFmtId="0" fontId="53" fillId="0" borderId="64" xfId="4" applyFont="1" applyBorder="1"/>
    <xf numFmtId="0" fontId="53" fillId="0" borderId="38" xfId="4" applyFont="1" applyBorder="1"/>
    <xf numFmtId="0" fontId="54" fillId="0" borderId="52" xfId="4" applyFont="1" applyBorder="1" applyAlignment="1">
      <alignment horizontal="centerContinuous"/>
    </xf>
    <xf numFmtId="0" fontId="53" fillId="0" borderId="0" xfId="4" applyFont="1" applyAlignment="1">
      <alignment horizontal="centerContinuous"/>
    </xf>
    <xf numFmtId="0" fontId="53" fillId="0" borderId="51" xfId="4" applyFont="1" applyBorder="1" applyAlignment="1">
      <alignment horizontal="centerContinuous"/>
    </xf>
    <xf numFmtId="0" fontId="55" fillId="0" borderId="52" xfId="4" applyFont="1" applyBorder="1" applyAlignment="1">
      <alignment horizontal="centerContinuous"/>
    </xf>
    <xf numFmtId="0" fontId="53" fillId="0" borderId="52" xfId="4" applyFont="1" applyBorder="1"/>
    <xf numFmtId="0" fontId="53" fillId="0" borderId="0" xfId="4" applyFont="1"/>
    <xf numFmtId="0" fontId="53" fillId="0" borderId="51" xfId="4" applyFont="1" applyBorder="1"/>
    <xf numFmtId="0" fontId="51" fillId="0" borderId="1" xfId="4" applyFont="1" applyBorder="1" applyAlignment="1">
      <alignment horizontal="right"/>
    </xf>
    <xf numFmtId="0" fontId="53" fillId="0" borderId="1" xfId="4" applyFont="1" applyBorder="1" applyAlignment="1">
      <alignment horizontal="center"/>
    </xf>
    <xf numFmtId="14" fontId="53" fillId="0" borderId="1" xfId="4" applyNumberFormat="1" applyFont="1" applyBorder="1" applyAlignment="1">
      <alignment horizontal="center"/>
    </xf>
    <xf numFmtId="0" fontId="51" fillId="0" borderId="0" xfId="4" applyFont="1" applyAlignment="1">
      <alignment horizontal="right"/>
    </xf>
    <xf numFmtId="0" fontId="53" fillId="0" borderId="0" xfId="4" applyFont="1" applyAlignment="1">
      <alignment horizontal="center"/>
    </xf>
    <xf numFmtId="9" fontId="53" fillId="0" borderId="0" xfId="4" applyNumberFormat="1" applyFont="1" applyAlignment="1">
      <alignment horizontal="center"/>
    </xf>
    <xf numFmtId="0" fontId="51" fillId="0" borderId="52" xfId="4" applyFont="1" applyBorder="1" applyAlignment="1">
      <alignment horizontal="right"/>
    </xf>
    <xf numFmtId="0" fontId="53" fillId="0" borderId="40" xfId="4" applyFont="1" applyBorder="1"/>
    <xf numFmtId="0" fontId="53" fillId="0" borderId="39" xfId="4" applyFont="1" applyBorder="1" applyAlignment="1">
      <alignment horizontal="center"/>
    </xf>
    <xf numFmtId="0" fontId="53" fillId="0" borderId="86" xfId="4" applyFont="1" applyBorder="1"/>
    <xf numFmtId="0" fontId="51" fillId="0" borderId="17" xfId="4" applyFont="1" applyBorder="1" applyAlignment="1">
      <alignment horizontal="right"/>
    </xf>
    <xf numFmtId="0" fontId="53" fillId="0" borderId="130" xfId="4" applyFont="1" applyBorder="1"/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6" fillId="0" borderId="0" xfId="4" applyFont="1" applyAlignment="1">
      <alignment horizontal="right"/>
    </xf>
    <xf numFmtId="0" fontId="16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50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50" fillId="0" borderId="129" xfId="4" applyFont="1" applyBorder="1" applyAlignment="1">
      <alignment horizontal="center"/>
    </xf>
    <xf numFmtId="0" fontId="50" fillId="0" borderId="130" xfId="4" quotePrefix="1" applyFont="1" applyBorder="1" applyAlignment="1">
      <alignment horizontal="center"/>
    </xf>
    <xf numFmtId="0" fontId="50" fillId="0" borderId="130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8" fillId="0" borderId="0" xfId="4" applyFont="1"/>
    <xf numFmtId="0" fontId="59" fillId="0" borderId="0" xfId="4" applyFont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6" fillId="0" borderId="0" xfId="4" applyFont="1"/>
    <xf numFmtId="0" fontId="51" fillId="0" borderId="0" xfId="4" applyFont="1"/>
    <xf numFmtId="0" fontId="23" fillId="0" borderId="17" xfId="4" applyFont="1" applyBorder="1" applyAlignment="1">
      <alignment horizontal="right"/>
    </xf>
    <xf numFmtId="0" fontId="23" fillId="0" borderId="130" xfId="4" applyFont="1" applyBorder="1" applyAlignment="1">
      <alignment horizontal="left"/>
    </xf>
    <xf numFmtId="0" fontId="23" fillId="0" borderId="130" xfId="4" quotePrefix="1" applyFont="1" applyBorder="1" applyAlignment="1">
      <alignment horizontal="left"/>
    </xf>
    <xf numFmtId="0" fontId="20" fillId="2" borderId="118" xfId="1" applyFont="1" applyFill="1" applyBorder="1" applyAlignment="1">
      <alignment horizontal="center" shrinkToFit="1"/>
    </xf>
    <xf numFmtId="171" fontId="62" fillId="0" borderId="6" xfId="5" applyFont="1" applyBorder="1" applyAlignment="1">
      <alignment horizontal="centerContinuous"/>
    </xf>
    <xf numFmtId="171" fontId="62" fillId="0" borderId="7" xfId="5" applyFont="1" applyBorder="1" applyAlignment="1">
      <alignment horizontal="centerContinuous"/>
    </xf>
    <xf numFmtId="171" fontId="63" fillId="0" borderId="12" xfId="5" applyFont="1" applyBorder="1" applyAlignment="1">
      <alignment horizontal="left"/>
    </xf>
    <xf numFmtId="171" fontId="64" fillId="0" borderId="57" xfId="5" applyFont="1" applyBorder="1"/>
    <xf numFmtId="171" fontId="63" fillId="0" borderId="13" xfId="5" applyFont="1" applyBorder="1" applyAlignment="1">
      <alignment horizontal="centerContinuous"/>
    </xf>
    <xf numFmtId="171" fontId="64" fillId="0" borderId="14" xfId="5" applyFont="1" applyBorder="1" applyAlignment="1">
      <alignment horizontal="centerContinuous"/>
    </xf>
    <xf numFmtId="171" fontId="65" fillId="0" borderId="0" xfId="5" applyFont="1"/>
    <xf numFmtId="171" fontId="61" fillId="0" borderId="0" xfId="5"/>
    <xf numFmtId="171" fontId="62" fillId="0" borderId="45" xfId="5" applyFont="1" applyBorder="1" applyAlignment="1">
      <alignment horizontal="centerContinuous"/>
    </xf>
    <xf numFmtId="171" fontId="62" fillId="0" borderId="0" xfId="5" applyFont="1" applyAlignment="1">
      <alignment horizontal="centerContinuous"/>
    </xf>
    <xf numFmtId="171" fontId="63" fillId="0" borderId="110" xfId="5" applyFont="1" applyBorder="1" applyAlignment="1">
      <alignment horizontal="left"/>
    </xf>
    <xf numFmtId="171" fontId="64" fillId="0" borderId="39" xfId="5" applyFont="1" applyBorder="1"/>
    <xf numFmtId="171" fontId="63" fillId="0" borderId="40" xfId="5" applyFont="1" applyBorder="1" applyAlignment="1">
      <alignment horizontal="centerContinuous"/>
    </xf>
    <xf numFmtId="171" fontId="64" fillId="0" borderId="29" xfId="5" applyFont="1" applyBorder="1" applyAlignment="1">
      <alignment horizontal="centerContinuous"/>
    </xf>
    <xf numFmtId="171" fontId="64" fillId="0" borderId="45" xfId="5" applyFont="1" applyBorder="1" applyAlignment="1">
      <alignment horizontal="centerContinuous"/>
    </xf>
    <xf numFmtId="171" fontId="64" fillId="0" borderId="0" xfId="5" applyFont="1" applyAlignment="1">
      <alignment horizontal="centerContinuous"/>
    </xf>
    <xf numFmtId="171" fontId="63" fillId="0" borderId="40" xfId="5" quotePrefix="1" applyFont="1" applyBorder="1" applyAlignment="1">
      <alignment horizontal="centerContinuous"/>
    </xf>
    <xf numFmtId="171" fontId="66" fillId="0" borderId="45" xfId="5" applyFont="1" applyBorder="1" applyAlignment="1">
      <alignment horizontal="centerContinuous"/>
    </xf>
    <xf numFmtId="171" fontId="65" fillId="0" borderId="45" xfId="5" applyFont="1" applyBorder="1" applyAlignment="1">
      <alignment horizontal="centerContinuous"/>
    </xf>
    <xf numFmtId="171" fontId="65" fillId="0" borderId="46" xfId="5" applyFont="1" applyBorder="1" applyAlignment="1">
      <alignment horizontal="centerContinuous"/>
    </xf>
    <xf numFmtId="171" fontId="64" fillId="0" borderId="23" xfId="5" applyFont="1" applyBorder="1" applyAlignment="1">
      <alignment horizontal="centerContinuous"/>
    </xf>
    <xf numFmtId="171" fontId="63" fillId="0" borderId="46" xfId="5" applyFont="1" applyBorder="1" applyAlignment="1">
      <alignment horizontal="left"/>
    </xf>
    <xf numFmtId="171" fontId="64" fillId="0" borderId="48" xfId="5" applyFont="1" applyBorder="1"/>
    <xf numFmtId="171" fontId="67" fillId="0" borderId="23" xfId="5" applyFont="1" applyBorder="1" applyAlignment="1">
      <alignment horizontal="centerContinuous"/>
    </xf>
    <xf numFmtId="171" fontId="64" fillId="0" borderId="24" xfId="5" applyFont="1" applyBorder="1" applyAlignment="1">
      <alignment horizontal="centerContinuous"/>
    </xf>
    <xf numFmtId="171" fontId="65" fillId="0" borderId="0" xfId="5" applyFont="1" applyAlignment="1">
      <alignment horizontal="centerContinuous"/>
    </xf>
    <xf numFmtId="171" fontId="63" fillId="0" borderId="0" xfId="5" applyFont="1" applyAlignment="1">
      <alignment horizontal="left"/>
    </xf>
    <xf numFmtId="171" fontId="64" fillId="0" borderId="0" xfId="5" applyFont="1"/>
    <xf numFmtId="171" fontId="63" fillId="0" borderId="0" xfId="5" applyFont="1" applyAlignment="1">
      <alignment horizontal="centerContinuous"/>
    </xf>
    <xf numFmtId="171" fontId="68" fillId="0" borderId="0" xfId="5" applyFont="1"/>
    <xf numFmtId="171" fontId="68" fillId="0" borderId="0" xfId="5" applyFont="1" applyAlignment="1">
      <alignment horizontal="right"/>
    </xf>
    <xf numFmtId="171" fontId="68" fillId="0" borderId="0" xfId="5" applyFont="1" applyAlignment="1" applyProtection="1">
      <alignment horizontal="left"/>
      <protection locked="0"/>
    </xf>
    <xf numFmtId="171" fontId="68" fillId="0" borderId="0" xfId="5" applyFont="1" applyAlignment="1">
      <alignment horizontal="centerContinuous"/>
    </xf>
    <xf numFmtId="171" fontId="68" fillId="0" borderId="0" xfId="5" applyFont="1" applyAlignment="1">
      <alignment horizontal="left"/>
    </xf>
    <xf numFmtId="49" fontId="68" fillId="0" borderId="0" xfId="5" quotePrefix="1" applyNumberFormat="1" applyFont="1" applyAlignment="1" applyProtection="1">
      <alignment horizontal="left"/>
      <protection locked="0"/>
    </xf>
    <xf numFmtId="171" fontId="69" fillId="0" borderId="134" xfId="5" applyFont="1" applyBorder="1" applyAlignment="1">
      <alignment horizontal="centerContinuous"/>
    </xf>
    <xf numFmtId="171" fontId="65" fillId="0" borderId="135" xfId="5" applyFont="1" applyBorder="1" applyAlignment="1">
      <alignment horizontal="centerContinuous"/>
    </xf>
    <xf numFmtId="171" fontId="65" fillId="0" borderId="136" xfId="5" applyFont="1" applyBorder="1" applyAlignment="1">
      <alignment horizontal="centerContinuous"/>
    </xf>
    <xf numFmtId="171" fontId="68" fillId="0" borderId="45" xfId="5" applyFont="1" applyBorder="1"/>
    <xf numFmtId="171" fontId="68" fillId="0" borderId="0" xfId="5" applyFont="1" applyAlignment="1" applyProtection="1">
      <alignment horizontal="center"/>
      <protection locked="0"/>
    </xf>
    <xf numFmtId="171" fontId="68" fillId="0" borderId="21" xfId="5" applyFont="1" applyBorder="1" applyAlignment="1" applyProtection="1">
      <alignment horizontal="center"/>
      <protection locked="0"/>
    </xf>
    <xf numFmtId="171" fontId="68" fillId="0" borderId="0" xfId="5" applyFont="1" applyAlignment="1">
      <alignment horizontal="center"/>
    </xf>
    <xf numFmtId="49" fontId="68" fillId="0" borderId="0" xfId="5" applyNumberFormat="1" applyFont="1" applyAlignment="1">
      <alignment horizontal="center"/>
    </xf>
    <xf numFmtId="171" fontId="68" fillId="0" borderId="0" xfId="5" quotePrefix="1" applyFont="1" applyAlignment="1">
      <alignment horizontal="right"/>
    </xf>
    <xf numFmtId="171" fontId="68" fillId="0" borderId="0" xfId="5" quotePrefix="1" applyFont="1" applyAlignment="1" applyProtection="1">
      <alignment horizontal="center"/>
      <protection locked="0"/>
    </xf>
    <xf numFmtId="171" fontId="68" fillId="0" borderId="21" xfId="5" applyFont="1" applyBorder="1"/>
    <xf numFmtId="171" fontId="68" fillId="0" borderId="46" xfId="5" applyFont="1" applyBorder="1"/>
    <xf numFmtId="171" fontId="68" fillId="0" borderId="23" xfId="5" applyFont="1" applyBorder="1" applyAlignment="1">
      <alignment horizontal="right"/>
    </xf>
    <xf numFmtId="166" fontId="68" fillId="0" borderId="23" xfId="5" quotePrefix="1" applyNumberFormat="1" applyFont="1" applyBorder="1" applyAlignment="1" applyProtection="1">
      <alignment horizontal="center"/>
      <protection locked="0"/>
    </xf>
    <xf numFmtId="171" fontId="68" fillId="0" borderId="23" xfId="5" applyFont="1" applyBorder="1"/>
    <xf numFmtId="166" fontId="68" fillId="0" borderId="23" xfId="5" applyNumberFormat="1" applyFont="1" applyBorder="1"/>
    <xf numFmtId="171" fontId="68" fillId="0" borderId="24" xfId="5" applyFont="1" applyBorder="1"/>
    <xf numFmtId="171" fontId="70" fillId="0" borderId="45" xfId="5" quotePrefix="1" applyFont="1" applyBorder="1" applyAlignment="1">
      <alignment horizontal="left"/>
    </xf>
    <xf numFmtId="171" fontId="64" fillId="0" borderId="0" xfId="5" quotePrefix="1" applyFont="1" applyAlignment="1">
      <alignment horizontal="right"/>
    </xf>
    <xf numFmtId="171" fontId="64" fillId="0" borderId="51" xfId="5" applyFont="1" applyBorder="1"/>
    <xf numFmtId="171" fontId="70" fillId="0" borderId="0" xfId="5" applyFont="1" applyAlignment="1">
      <alignment horizontal="left"/>
    </xf>
    <xf numFmtId="171" fontId="64" fillId="0" borderId="0" xfId="5" applyFont="1" applyAlignment="1">
      <alignment horizontal="right"/>
    </xf>
    <xf numFmtId="171" fontId="64" fillId="0" borderId="51" xfId="5" applyFont="1" applyBorder="1" applyAlignment="1">
      <alignment horizontal="right"/>
    </xf>
    <xf numFmtId="171" fontId="70" fillId="0" borderId="0" xfId="5" quotePrefix="1" applyFont="1" applyAlignment="1">
      <alignment horizontal="left"/>
    </xf>
    <xf numFmtId="171" fontId="64" fillId="0" borderId="21" xfId="5" applyFont="1" applyBorder="1"/>
    <xf numFmtId="171" fontId="61" fillId="0" borderId="45" xfId="5" applyBorder="1"/>
    <xf numFmtId="171" fontId="68" fillId="0" borderId="51" xfId="5" applyFont="1" applyBorder="1" applyAlignment="1" applyProtection="1">
      <alignment horizontal="center"/>
      <protection locked="0"/>
    </xf>
    <xf numFmtId="1" fontId="68" fillId="0" borderId="51" xfId="5" applyNumberFormat="1" applyFont="1" applyBorder="1" applyAlignment="1">
      <alignment horizontal="center"/>
    </xf>
    <xf numFmtId="171" fontId="68" fillId="0" borderId="51" xfId="5" applyFont="1" applyBorder="1"/>
    <xf numFmtId="171" fontId="68" fillId="0" borderId="48" xfId="5" applyFont="1" applyBorder="1"/>
    <xf numFmtId="171" fontId="68" fillId="0" borderId="48" xfId="5" applyFont="1" applyBorder="1" applyAlignment="1">
      <alignment horizontal="left"/>
    </xf>
    <xf numFmtId="171" fontId="69" fillId="0" borderId="137" xfId="5" applyFont="1" applyBorder="1" applyAlignment="1">
      <alignment horizontal="centerContinuous"/>
    </xf>
    <xf numFmtId="171" fontId="65" fillId="0" borderId="138" xfId="5" applyFont="1" applyBorder="1" applyAlignment="1">
      <alignment horizontal="centerContinuous"/>
    </xf>
    <xf numFmtId="171" fontId="61" fillId="0" borderId="139" xfId="5" applyBorder="1"/>
    <xf numFmtId="171" fontId="65" fillId="0" borderId="140" xfId="5" applyFont="1" applyBorder="1" applyAlignment="1">
      <alignment horizontal="centerContinuous"/>
    </xf>
    <xf numFmtId="171" fontId="70" fillId="0" borderId="45" xfId="5" applyFont="1" applyBorder="1" applyAlignment="1">
      <alignment horizontal="left"/>
    </xf>
    <xf numFmtId="171" fontId="61" fillId="0" borderId="51" xfId="5" applyBorder="1"/>
    <xf numFmtId="166" fontId="68" fillId="0" borderId="0" xfId="5" applyNumberFormat="1" applyFont="1" applyAlignment="1" applyProtection="1">
      <alignment horizontal="center"/>
      <protection locked="0"/>
    </xf>
    <xf numFmtId="171" fontId="68" fillId="0" borderId="45" xfId="5" applyFont="1" applyBorder="1" applyAlignment="1">
      <alignment horizontal="left"/>
    </xf>
    <xf numFmtId="171" fontId="61" fillId="0" borderId="48" xfId="5" applyBorder="1"/>
    <xf numFmtId="171" fontId="65" fillId="0" borderId="0" xfId="5" applyFont="1" applyAlignment="1">
      <alignment horizontal="left"/>
    </xf>
    <xf numFmtId="171" fontId="65" fillId="0" borderId="137" xfId="5" applyFont="1" applyBorder="1"/>
    <xf numFmtId="171" fontId="64" fillId="0" borderId="138" xfId="5" applyFont="1" applyBorder="1" applyAlignment="1">
      <alignment horizontal="left"/>
    </xf>
    <xf numFmtId="171" fontId="64" fillId="0" borderId="140" xfId="5" applyFont="1" applyBorder="1" applyAlignment="1">
      <alignment horizontal="left"/>
    </xf>
    <xf numFmtId="171" fontId="68" fillId="0" borderId="45" xfId="5" quotePrefix="1" applyFont="1" applyBorder="1" applyAlignment="1">
      <alignment horizontal="left"/>
    </xf>
    <xf numFmtId="171" fontId="68" fillId="0" borderId="21" xfId="5" applyFont="1" applyBorder="1" applyAlignment="1">
      <alignment horizontal="left"/>
    </xf>
    <xf numFmtId="171" fontId="71" fillId="0" borderId="141" xfId="5" applyFont="1" applyBorder="1"/>
    <xf numFmtId="171" fontId="68" fillId="0" borderId="0" xfId="5" quotePrefix="1" applyFont="1" applyAlignment="1">
      <alignment horizontal="left"/>
    </xf>
    <xf numFmtId="171" fontId="68" fillId="0" borderId="142" xfId="5" quotePrefix="1" applyFont="1" applyBorder="1" applyAlignment="1">
      <alignment horizontal="left"/>
    </xf>
    <xf numFmtId="171" fontId="68" fillId="0" borderId="143" xfId="5" quotePrefix="1" applyFont="1" applyBorder="1" applyAlignment="1">
      <alignment horizontal="left"/>
    </xf>
    <xf numFmtId="171" fontId="68" fillId="0" borderId="46" xfId="5" applyFont="1" applyBorder="1" applyAlignment="1">
      <alignment horizontal="left"/>
    </xf>
    <xf numFmtId="171" fontId="68" fillId="0" borderId="23" xfId="5" applyFont="1" applyBorder="1" applyAlignment="1">
      <alignment horizontal="left"/>
    </xf>
    <xf numFmtId="171" fontId="68" fillId="0" borderId="24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72" fillId="0" borderId="0" xfId="5" applyFont="1" applyAlignment="1">
      <alignment horizontal="right"/>
    </xf>
    <xf numFmtId="171" fontId="61" fillId="0" borderId="0" xfId="5" applyAlignment="1">
      <alignment horizontal="right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60" xfId="1" applyFont="1" applyBorder="1" applyAlignment="1">
      <alignment horizontal="left"/>
    </xf>
    <xf numFmtId="0" fontId="29" fillId="0" borderId="61" xfId="1" applyFont="1" applyBorder="1" applyAlignment="1">
      <alignment horizontal="left"/>
    </xf>
    <xf numFmtId="0" fontId="30" fillId="2" borderId="62" xfId="1" applyFont="1" applyFill="1" applyBorder="1" applyAlignment="1">
      <alignment horizontal="center"/>
    </xf>
    <xf numFmtId="0" fontId="30" fillId="2" borderId="58" xfId="1" applyFont="1" applyFill="1" applyBorder="1" applyAlignment="1">
      <alignment horizontal="center"/>
    </xf>
    <xf numFmtId="0" fontId="20" fillId="2" borderId="63" xfId="1" applyFont="1" applyFill="1" applyBorder="1" applyAlignment="1">
      <alignment horizontal="left"/>
    </xf>
    <xf numFmtId="0" fontId="20" fillId="2" borderId="64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0" fontId="20" fillId="0" borderId="82" xfId="1" applyFont="1" applyBorder="1" applyAlignment="1">
      <alignment horizontal="left"/>
    </xf>
    <xf numFmtId="0" fontId="20" fillId="0" borderId="83" xfId="1" applyFont="1" applyBorder="1" applyAlignment="1">
      <alignment horizontal="left"/>
    </xf>
    <xf numFmtId="0" fontId="20" fillId="0" borderId="84" xfId="1" applyFont="1" applyBorder="1" applyAlignment="1">
      <alignment horizontal="left"/>
    </xf>
    <xf numFmtId="0" fontId="29" fillId="0" borderId="65" xfId="1" applyFont="1" applyBorder="1" applyAlignment="1">
      <alignment horizontal="left"/>
    </xf>
    <xf numFmtId="0" fontId="29" fillId="0" borderId="66" xfId="1" applyFont="1" applyBorder="1" applyAlignment="1">
      <alignment horizontal="left"/>
    </xf>
    <xf numFmtId="2" fontId="31" fillId="0" borderId="67" xfId="1" applyNumberFormat="1" applyFont="1" applyBorder="1" applyAlignment="1">
      <alignment horizontal="center"/>
    </xf>
    <xf numFmtId="2" fontId="31" fillId="0" borderId="68" xfId="1" applyNumberFormat="1" applyFont="1" applyBorder="1" applyAlignment="1">
      <alignment horizontal="center"/>
    </xf>
    <xf numFmtId="0" fontId="31" fillId="0" borderId="67" xfId="1" applyFont="1" applyBorder="1" applyAlignment="1">
      <alignment horizontal="center"/>
    </xf>
    <xf numFmtId="0" fontId="31" fillId="0" borderId="68" xfId="1" applyFont="1" applyBorder="1" applyAlignment="1">
      <alignment horizontal="center"/>
    </xf>
    <xf numFmtId="0" fontId="29" fillId="0" borderId="77" xfId="1" applyFont="1" applyBorder="1" applyAlignment="1">
      <alignment horizontal="left"/>
    </xf>
    <xf numFmtId="0" fontId="29" fillId="0" borderId="70" xfId="1" applyFont="1" applyBorder="1" applyAlignment="1">
      <alignment horizontal="left"/>
    </xf>
    <xf numFmtId="0" fontId="29" fillId="0" borderId="71" xfId="1" applyFont="1" applyBorder="1" applyAlignment="1">
      <alignment horizontal="left"/>
    </xf>
    <xf numFmtId="166" fontId="31" fillId="2" borderId="67" xfId="1" applyNumberFormat="1" applyFont="1" applyFill="1" applyBorder="1" applyAlignment="1">
      <alignment horizontal="center"/>
    </xf>
    <xf numFmtId="166" fontId="31" fillId="2" borderId="68" xfId="1" applyNumberFormat="1" applyFont="1" applyFill="1" applyBorder="1" applyAlignment="1">
      <alignment horizontal="center"/>
    </xf>
    <xf numFmtId="0" fontId="31" fillId="2" borderId="67" xfId="1" applyFont="1" applyFill="1" applyBorder="1" applyAlignment="1">
      <alignment horizontal="center"/>
    </xf>
    <xf numFmtId="0" fontId="31" fillId="2" borderId="68" xfId="1" applyFont="1" applyFill="1" applyBorder="1" applyAlignment="1">
      <alignment horizontal="center"/>
    </xf>
    <xf numFmtId="166" fontId="31" fillId="0" borderId="67" xfId="1" applyNumberFormat="1" applyFont="1" applyBorder="1" applyAlignment="1">
      <alignment horizontal="center"/>
    </xf>
    <xf numFmtId="166" fontId="31" fillId="0" borderId="68" xfId="1" applyNumberFormat="1" applyFont="1" applyBorder="1" applyAlignment="1">
      <alignment horizontal="center"/>
    </xf>
    <xf numFmtId="1" fontId="31" fillId="2" borderId="67" xfId="1" applyNumberFormat="1" applyFont="1" applyFill="1" applyBorder="1" applyAlignment="1">
      <alignment horizontal="center"/>
    </xf>
    <xf numFmtId="1" fontId="31" fillId="2" borderId="68" xfId="1" applyNumberFormat="1" applyFont="1" applyFill="1" applyBorder="1" applyAlignment="1">
      <alignment horizontal="center"/>
    </xf>
    <xf numFmtId="0" fontId="29" fillId="2" borderId="77" xfId="1" applyFont="1" applyFill="1" applyBorder="1" applyAlignment="1">
      <alignment horizontal="left"/>
    </xf>
    <xf numFmtId="0" fontId="29" fillId="2" borderId="70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2" fontId="31" fillId="2" borderId="67" xfId="1" applyNumberFormat="1" applyFont="1" applyFill="1" applyBorder="1" applyAlignment="1">
      <alignment horizontal="center"/>
    </xf>
    <xf numFmtId="2" fontId="31" fillId="2" borderId="68" xfId="1" applyNumberFormat="1" applyFont="1" applyFill="1" applyBorder="1" applyAlignment="1">
      <alignment horizontal="center"/>
    </xf>
    <xf numFmtId="0" fontId="29" fillId="2" borderId="77" xfId="1" quotePrefix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left"/>
    </xf>
    <xf numFmtId="0" fontId="29" fillId="2" borderId="71" xfId="1" quotePrefix="1" applyFont="1" applyFill="1" applyBorder="1" applyAlignment="1">
      <alignment horizontal="left"/>
    </xf>
    <xf numFmtId="0" fontId="29" fillId="2" borderId="88" xfId="1" applyFont="1" applyFill="1" applyBorder="1" applyAlignment="1">
      <alignment horizontal="center"/>
    </xf>
    <xf numFmtId="0" fontId="29" fillId="2" borderId="89" xfId="1" applyFont="1" applyFill="1" applyBorder="1" applyAlignment="1">
      <alignment horizontal="center"/>
    </xf>
    <xf numFmtId="0" fontId="29" fillId="2" borderId="52" xfId="1" applyFont="1" applyFill="1" applyBorder="1" applyAlignment="1">
      <alignment horizontal="center"/>
    </xf>
    <xf numFmtId="0" fontId="29" fillId="2" borderId="0" xfId="1" applyFont="1" applyFill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90" xfId="1" applyFont="1" applyFill="1" applyBorder="1" applyAlignment="1">
      <alignment horizontal="left"/>
    </xf>
    <xf numFmtId="0" fontId="29" fillId="2" borderId="91" xfId="1" applyFont="1" applyFill="1" applyBorder="1" applyAlignment="1">
      <alignment horizontal="left"/>
    </xf>
    <xf numFmtId="0" fontId="29" fillId="2" borderId="92" xfId="1" applyFont="1" applyFill="1" applyBorder="1" applyAlignment="1">
      <alignment horizontal="left"/>
    </xf>
    <xf numFmtId="0" fontId="31" fillId="2" borderId="93" xfId="1" applyFont="1" applyFill="1" applyBorder="1" applyAlignment="1">
      <alignment horizontal="center"/>
    </xf>
    <xf numFmtId="0" fontId="31" fillId="0" borderId="93" xfId="1" applyFont="1" applyBorder="1" applyAlignment="1">
      <alignment horizontal="center"/>
    </xf>
    <xf numFmtId="168" fontId="31" fillId="2" borderId="67" xfId="1" applyNumberFormat="1" applyFont="1" applyFill="1" applyBorder="1" applyAlignment="1">
      <alignment horizontal="center"/>
    </xf>
    <xf numFmtId="168" fontId="31" fillId="2" borderId="68" xfId="1" applyNumberFormat="1" applyFont="1" applyFill="1" applyBorder="1" applyAlignment="1">
      <alignment horizontal="center"/>
    </xf>
    <xf numFmtId="1" fontId="31" fillId="2" borderId="101" xfId="1" applyNumberFormat="1" applyFont="1" applyFill="1" applyBorder="1" applyAlignment="1">
      <alignment horizontal="center"/>
    </xf>
    <xf numFmtId="1" fontId="31" fillId="2" borderId="102" xfId="1" applyNumberFormat="1" applyFont="1" applyFill="1" applyBorder="1" applyAlignment="1">
      <alignment horizontal="center"/>
    </xf>
    <xf numFmtId="0" fontId="26" fillId="0" borderId="108" xfId="1" applyFont="1" applyBorder="1" applyAlignment="1">
      <alignment horizontal="left"/>
    </xf>
    <xf numFmtId="0" fontId="26" fillId="0" borderId="79" xfId="1" applyFont="1" applyBorder="1" applyAlignment="1">
      <alignment horizontal="left"/>
    </xf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14" fontId="24" fillId="2" borderId="120" xfId="1" applyNumberFormat="1" applyFont="1" applyFill="1" applyBorder="1" applyAlignment="1">
      <alignment horizontal="center"/>
    </xf>
    <xf numFmtId="14" fontId="24" fillId="2" borderId="121" xfId="1" applyNumberFormat="1" applyFont="1" applyFill="1" applyBorder="1" applyAlignment="1">
      <alignment horizontal="center"/>
    </xf>
    <xf numFmtId="0" fontId="26" fillId="0" borderId="45" xfId="1" applyFont="1" applyBorder="1" applyAlignment="1">
      <alignment horizontal="center"/>
    </xf>
    <xf numFmtId="0" fontId="26" fillId="0" borderId="0" xfId="1" applyFont="1" applyAlignment="1">
      <alignment horizontal="center"/>
    </xf>
    <xf numFmtId="0" fontId="26" fillId="0" borderId="51" xfId="1" applyFont="1" applyBorder="1" applyAlignment="1">
      <alignment horizontal="center"/>
    </xf>
    <xf numFmtId="0" fontId="26" fillId="0" borderId="110" xfId="1" applyFont="1" applyBorder="1" applyAlignment="1">
      <alignment horizontal="center"/>
    </xf>
    <xf numFmtId="0" fontId="26" fillId="0" borderId="40" xfId="1" applyFont="1" applyBorder="1" applyAlignment="1">
      <alignment horizontal="center"/>
    </xf>
    <xf numFmtId="0" fontId="26" fillId="0" borderId="39" xfId="1" applyFont="1" applyBorder="1" applyAlignment="1">
      <alignment horizontal="center"/>
    </xf>
    <xf numFmtId="0" fontId="20" fillId="0" borderId="38" xfId="1" applyFont="1" applyBorder="1" applyAlignment="1">
      <alignment horizontal="left"/>
    </xf>
    <xf numFmtId="0" fontId="26" fillId="0" borderId="45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6" fillId="0" borderId="51" xfId="2" applyFont="1" applyBorder="1" applyAlignment="1">
      <alignment horizontal="center"/>
    </xf>
    <xf numFmtId="0" fontId="26" fillId="0" borderId="46" xfId="2" applyFont="1" applyBorder="1" applyAlignment="1">
      <alignment horizontal="center"/>
    </xf>
    <xf numFmtId="0" fontId="26" fillId="0" borderId="23" xfId="2" applyFont="1" applyBorder="1" applyAlignment="1">
      <alignment horizontal="center"/>
    </xf>
    <xf numFmtId="0" fontId="26" fillId="0" borderId="48" xfId="2" applyFont="1" applyBorder="1" applyAlignment="1">
      <alignment horizontal="center"/>
    </xf>
    <xf numFmtId="0" fontId="43" fillId="2" borderId="115" xfId="1" applyFont="1" applyFill="1" applyBorder="1" applyAlignment="1">
      <alignment horizontal="center"/>
    </xf>
    <xf numFmtId="0" fontId="43" fillId="2" borderId="116" xfId="1" applyFont="1" applyFill="1" applyBorder="1" applyAlignment="1">
      <alignment horizontal="center"/>
    </xf>
    <xf numFmtId="0" fontId="46" fillId="0" borderId="50" xfId="3" applyBorder="1" applyAlignment="1">
      <alignment horizontal="left"/>
    </xf>
    <xf numFmtId="0" fontId="46" fillId="0" borderId="13" xfId="3" applyBorder="1" applyAlignment="1">
      <alignment horizontal="left"/>
    </xf>
    <xf numFmtId="169" fontId="46" fillId="0" borderId="50" xfId="3" applyNumberFormat="1" applyBorder="1" applyAlignment="1">
      <alignment horizontal="center"/>
    </xf>
    <xf numFmtId="169" fontId="46" fillId="0" borderId="13" xfId="3" applyNumberFormat="1" applyBorder="1" applyAlignment="1">
      <alignment horizontal="center"/>
    </xf>
    <xf numFmtId="169" fontId="46" fillId="0" borderId="57" xfId="3" applyNumberFormat="1" applyBorder="1" applyAlignment="1">
      <alignment horizontal="center"/>
    </xf>
    <xf numFmtId="49" fontId="46" fillId="0" borderId="50" xfId="3" applyNumberFormat="1" applyBorder="1" applyAlignment="1">
      <alignment horizontal="center"/>
    </xf>
    <xf numFmtId="49" fontId="46" fillId="0" borderId="13" xfId="3" applyNumberFormat="1" applyBorder="1" applyAlignment="1">
      <alignment horizontal="center"/>
    </xf>
    <xf numFmtId="49" fontId="46" fillId="0" borderId="14" xfId="3" applyNumberForma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Alignment="1">
      <alignment horizontal="center"/>
    </xf>
    <xf numFmtId="0" fontId="48" fillId="0" borderId="55" xfId="3" applyFont="1" applyBorder="1" applyAlignment="1">
      <alignment horizontal="center"/>
    </xf>
    <xf numFmtId="0" fontId="47" fillId="0" borderId="15" xfId="3" applyFont="1" applyBorder="1" applyAlignment="1">
      <alignment horizontal="center"/>
    </xf>
    <xf numFmtId="0" fontId="47" fillId="0" borderId="7" xfId="3" applyFont="1" applyBorder="1" applyAlignment="1">
      <alignment horizontal="center"/>
    </xf>
    <xf numFmtId="0" fontId="47" fillId="0" borderId="128" xfId="3" applyFont="1" applyBorder="1" applyAlignment="1">
      <alignment horizontal="center"/>
    </xf>
    <xf numFmtId="0" fontId="47" fillId="0" borderId="8" xfId="3" applyFont="1" applyBorder="1" applyAlignment="1">
      <alignment horizontal="center"/>
    </xf>
    <xf numFmtId="0" fontId="46" fillId="0" borderId="17" xfId="3" applyBorder="1" applyAlignment="1">
      <alignment horizontal="left"/>
    </xf>
    <xf numFmtId="0" fontId="46" fillId="0" borderId="129" xfId="3" applyBorder="1" applyAlignment="1">
      <alignment horizontal="left"/>
    </xf>
    <xf numFmtId="169" fontId="46" fillId="0" borderId="17" xfId="3" applyNumberFormat="1" applyBorder="1" applyAlignment="1">
      <alignment horizontal="center"/>
    </xf>
    <xf numFmtId="169" fontId="46" fillId="0" borderId="129" xfId="3" applyNumberFormat="1" applyBorder="1" applyAlignment="1">
      <alignment horizontal="center"/>
    </xf>
    <xf numFmtId="169" fontId="46" fillId="0" borderId="130" xfId="3" applyNumberFormat="1" applyBorder="1" applyAlignment="1">
      <alignment horizontal="center"/>
    </xf>
    <xf numFmtId="49" fontId="46" fillId="0" borderId="17" xfId="3" applyNumberFormat="1" applyBorder="1" applyAlignment="1">
      <alignment horizontal="center"/>
    </xf>
    <xf numFmtId="49" fontId="46" fillId="0" borderId="129" xfId="3" applyNumberFormat="1" applyBorder="1" applyAlignment="1">
      <alignment horizontal="center"/>
    </xf>
    <xf numFmtId="49" fontId="46" fillId="0" borderId="16" xfId="3" applyNumberFormat="1" applyBorder="1" applyAlignment="1">
      <alignment horizontal="center"/>
    </xf>
    <xf numFmtId="0" fontId="46" fillId="0" borderId="31" xfId="3" applyBorder="1" applyAlignment="1">
      <alignment horizontal="left"/>
    </xf>
    <xf numFmtId="0" fontId="46" fillId="0" borderId="131" xfId="3" applyBorder="1" applyAlignment="1">
      <alignment horizontal="left"/>
    </xf>
    <xf numFmtId="169" fontId="46" fillId="0" borderId="31" xfId="3" applyNumberFormat="1" applyBorder="1" applyAlignment="1">
      <alignment horizontal="center"/>
    </xf>
    <xf numFmtId="169" fontId="46" fillId="0" borderId="131" xfId="3" applyNumberFormat="1" applyBorder="1" applyAlignment="1">
      <alignment horizontal="center"/>
    </xf>
    <xf numFmtId="169" fontId="46" fillId="0" borderId="132" xfId="3" applyNumberFormat="1" applyBorder="1" applyAlignment="1">
      <alignment horizontal="center"/>
    </xf>
    <xf numFmtId="49" fontId="46" fillId="0" borderId="31" xfId="3" applyNumberFormat="1" applyBorder="1" applyAlignment="1">
      <alignment horizontal="center"/>
    </xf>
    <xf numFmtId="49" fontId="46" fillId="0" borderId="131" xfId="3" applyNumberFormat="1" applyBorder="1" applyAlignment="1">
      <alignment horizontal="center"/>
    </xf>
    <xf numFmtId="49" fontId="46" fillId="0" borderId="32" xfId="3" applyNumberFormat="1" applyBorder="1" applyAlignment="1">
      <alignment horizontal="center"/>
    </xf>
    <xf numFmtId="0" fontId="16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51" fillId="0" borderId="12" xfId="4" applyFont="1" applyBorder="1" applyAlignment="1">
      <alignment horizontal="left"/>
    </xf>
    <xf numFmtId="0" fontId="51" fillId="0" borderId="13" xfId="4" applyFont="1" applyBorder="1" applyAlignment="1">
      <alignment horizontal="left"/>
    </xf>
    <xf numFmtId="0" fontId="51" fillId="0" borderId="14" xfId="4" applyFont="1" applyBorder="1" applyAlignment="1">
      <alignment horizontal="left"/>
    </xf>
    <xf numFmtId="0" fontId="23" fillId="0" borderId="63" xfId="4" applyFont="1" applyBorder="1" applyAlignment="1">
      <alignment horizontal="center"/>
    </xf>
    <xf numFmtId="0" fontId="23" fillId="0" borderId="27" xfId="4" applyFont="1" applyBorder="1" applyAlignment="1">
      <alignment horizontal="center"/>
    </xf>
    <xf numFmtId="0" fontId="52" fillId="0" borderId="103" xfId="4" applyFont="1" applyBorder="1" applyAlignment="1">
      <alignment horizontal="center"/>
    </xf>
    <xf numFmtId="0" fontId="52" fillId="0" borderId="64" xfId="4" applyFont="1" applyBorder="1" applyAlignment="1">
      <alignment horizontal="center"/>
    </xf>
    <xf numFmtId="0" fontId="52" fillId="0" borderId="27" xfId="4" applyFont="1" applyBorder="1" applyAlignment="1">
      <alignment horizontal="center"/>
    </xf>
    <xf numFmtId="0" fontId="8" fillId="0" borderId="133" xfId="4" applyFont="1" applyBorder="1" applyAlignment="1">
      <alignment horizontal="right"/>
    </xf>
    <xf numFmtId="0" fontId="8" fillId="0" borderId="131" xfId="4" applyFont="1" applyBorder="1" applyAlignment="1">
      <alignment horizontal="right"/>
    </xf>
    <xf numFmtId="0" fontId="23" fillId="0" borderId="131" xfId="4" applyFont="1" applyBorder="1" applyAlignment="1">
      <alignment horizontal="center"/>
    </xf>
    <xf numFmtId="0" fontId="23" fillId="0" borderId="36" xfId="4" applyFont="1" applyBorder="1" applyAlignment="1">
      <alignment horizontal="center"/>
    </xf>
    <xf numFmtId="0" fontId="23" fillId="0" borderId="37" xfId="4" applyFont="1" applyBorder="1" applyAlignment="1">
      <alignment horizontal="center"/>
    </xf>
    <xf numFmtId="0" fontId="23" fillId="0" borderId="46" xfId="4" applyFont="1" applyBorder="1" applyAlignment="1">
      <alignment horizontal="center"/>
    </xf>
    <xf numFmtId="0" fontId="23" fillId="0" borderId="23" xfId="4" applyFont="1" applyBorder="1" applyAlignment="1">
      <alignment horizontal="center"/>
    </xf>
    <xf numFmtId="0" fontId="23" fillId="0" borderId="24" xfId="4" applyFont="1" applyBorder="1" applyAlignment="1">
      <alignment horizontal="center"/>
    </xf>
    <xf numFmtId="0" fontId="52" fillId="0" borderId="63" xfId="4" applyFont="1" applyBorder="1" applyAlignment="1">
      <alignment horizontal="center"/>
    </xf>
    <xf numFmtId="0" fontId="46" fillId="0" borderId="27" xfId="4" applyBorder="1" applyAlignment="1">
      <alignment horizontal="center"/>
    </xf>
    <xf numFmtId="0" fontId="23" fillId="0" borderId="53" xfId="4" applyFont="1" applyBorder="1" applyAlignment="1">
      <alignment horizontal="center"/>
    </xf>
    <xf numFmtId="0" fontId="23" fillId="0" borderId="64" xfId="4" applyFont="1" applyBorder="1" applyAlignment="1">
      <alignment horizontal="center"/>
    </xf>
    <xf numFmtId="0" fontId="52" fillId="0" borderId="103" xfId="4" applyFont="1" applyBorder="1" applyAlignment="1">
      <alignment horizontal="right"/>
    </xf>
    <xf numFmtId="0" fontId="52" fillId="0" borderId="64" xfId="4" applyFont="1" applyBorder="1" applyAlignment="1">
      <alignment horizontal="right"/>
    </xf>
    <xf numFmtId="0" fontId="52" fillId="0" borderId="46" xfId="4" applyFont="1" applyBorder="1" applyAlignment="1">
      <alignment horizontal="right"/>
    </xf>
    <xf numFmtId="0" fontId="52" fillId="0" borderId="23" xfId="4" applyFont="1" applyBorder="1" applyAlignment="1">
      <alignment horizontal="right"/>
    </xf>
    <xf numFmtId="0" fontId="53" fillId="0" borderId="17" xfId="4" applyFont="1" applyBorder="1" applyAlignment="1">
      <alignment horizontal="center"/>
    </xf>
    <xf numFmtId="0" fontId="53" fillId="0" borderId="129" xfId="4" applyFont="1" applyBorder="1" applyAlignment="1">
      <alignment horizontal="center"/>
    </xf>
    <xf numFmtId="0" fontId="53" fillId="0" borderId="130" xfId="4" applyFont="1" applyBorder="1" applyAlignment="1">
      <alignment horizontal="center"/>
    </xf>
    <xf numFmtId="0" fontId="50" fillId="0" borderId="1" xfId="4" applyFont="1" applyBorder="1" applyAlignment="1">
      <alignment horizontal="center"/>
    </xf>
    <xf numFmtId="0" fontId="52" fillId="0" borderId="17" xfId="4" applyFont="1" applyBorder="1" applyAlignment="1">
      <alignment horizontal="center"/>
    </xf>
    <xf numFmtId="0" fontId="23" fillId="0" borderId="129" xfId="4" applyFont="1" applyBorder="1" applyAlignment="1">
      <alignment horizontal="center"/>
    </xf>
    <xf numFmtId="0" fontId="23" fillId="0" borderId="130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23" fillId="0" borderId="17" xfId="4" applyFont="1" applyBorder="1" applyAlignment="1">
      <alignment horizontal="center"/>
    </xf>
    <xf numFmtId="0" fontId="50" fillId="0" borderId="17" xfId="4" applyFont="1" applyBorder="1" applyAlignment="1">
      <alignment horizontal="right"/>
    </xf>
    <xf numFmtId="0" fontId="50" fillId="0" borderId="129" xfId="4" applyFont="1" applyBorder="1" applyAlignment="1">
      <alignment horizontal="right"/>
    </xf>
    <xf numFmtId="0" fontId="23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0" fontId="55" fillId="0" borderId="52" xfId="4" applyFont="1" applyBorder="1" applyAlignment="1">
      <alignment horizontal="center"/>
    </xf>
    <xf numFmtId="0" fontId="55" fillId="0" borderId="0" xfId="4" applyFont="1" applyAlignment="1">
      <alignment horizontal="center"/>
    </xf>
    <xf numFmtId="0" fontId="55" fillId="0" borderId="51" xfId="4" applyFont="1" applyBorder="1" applyAlignment="1">
      <alignment horizontal="center"/>
    </xf>
    <xf numFmtId="0" fontId="57" fillId="0" borderId="52" xfId="4" applyFont="1" applyBorder="1" applyAlignment="1">
      <alignment horizontal="center"/>
    </xf>
    <xf numFmtId="0" fontId="57" fillId="0" borderId="0" xfId="4" applyFont="1" applyAlignment="1">
      <alignment horizontal="center"/>
    </xf>
    <xf numFmtId="0" fontId="57" fillId="0" borderId="51" xfId="4" applyFont="1" applyBorder="1" applyAlignment="1">
      <alignment horizontal="center"/>
    </xf>
    <xf numFmtId="0" fontId="60" fillId="0" borderId="0" xfId="4" applyFont="1" applyAlignment="1">
      <alignment horizontal="center"/>
    </xf>
    <xf numFmtId="0" fontId="50" fillId="0" borderId="1" xfId="4" applyFont="1" applyBorder="1" applyAlignment="1">
      <alignment horizontal="right"/>
    </xf>
    <xf numFmtId="0" fontId="50" fillId="0" borderId="130" xfId="4" applyFont="1" applyBorder="1" applyAlignment="1">
      <alignment horizontal="center"/>
    </xf>
    <xf numFmtId="171" fontId="73" fillId="0" borderId="144" xfId="5" applyFont="1" applyBorder="1" applyAlignment="1" applyProtection="1">
      <alignment horizontal="center"/>
      <protection locked="0"/>
    </xf>
    <xf numFmtId="14" fontId="15" fillId="0" borderId="144" xfId="5" quotePrefix="1" applyNumberFormat="1" applyFont="1" applyBorder="1" applyAlignment="1" applyProtection="1">
      <alignment horizontal="center"/>
      <protection locked="0"/>
    </xf>
  </cellXfs>
  <cellStyles count="6">
    <cellStyle name="Normal" xfId="0" builtinId="0"/>
    <cellStyle name="Normal 2" xfId="1" xr:uid="{00000000-0005-0000-0000-000001000000}"/>
    <cellStyle name="Normal 3" xfId="4" xr:uid="{00000000-0005-0000-0000-000002000000}"/>
    <cellStyle name="Normal 4" xfId="5" xr:uid="{00000000-0005-0000-0000-000003000000}"/>
    <cellStyle name="Normal_OPTEST" xfId="2" xr:uid="{00000000-0005-0000-0000-000004000000}"/>
    <cellStyle name="Normal_PROJ_REV_HIST" xfId="3" xr:uid="{00000000-0005-0000-0000-00000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120.03020113023558</c:v>
                </c:pt>
                <c:pt idx="2">
                  <c:v>236</c:v>
                </c:pt>
                <c:pt idx="3">
                  <c:v>179.25028418625288</c:v>
                </c:pt>
                <c:pt idx="4">
                  <c:v>162.91340765176122</c:v>
                </c:pt>
                <c:pt idx="5">
                  <c:v>158.23856393927494</c:v>
                </c:pt>
                <c:pt idx="6">
                  <c:v>157.10051882920564</c:v>
                </c:pt>
                <c:pt idx="7">
                  <c:v>157.06777840576933</c:v>
                </c:pt>
                <c:pt idx="8">
                  <c:v>157.04984085869543</c:v>
                </c:pt>
                <c:pt idx="9">
                  <c:v>157.03360022251377</c:v>
                </c:pt>
                <c:pt idx="10">
                  <c:v>157.0169953930635</c:v>
                </c:pt>
                <c:pt idx="11">
                  <c:v>157.00638093130567</c:v>
                </c:pt>
                <c:pt idx="12">
                  <c:v>157.00431941948685</c:v>
                </c:pt>
                <c:pt idx="13">
                  <c:v>157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3D-4EEF-9FAA-5F9074864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224192"/>
        <c:axId val="223226112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0.18395884335041046</c:v>
                </c:pt>
                <c:pt idx="1">
                  <c:v>152.5877685546875</c:v>
                </c:pt>
                <c:pt idx="2">
                  <c:v>463.96676635742188</c:v>
                </c:pt>
                <c:pt idx="3">
                  <c:v>544.88104248046875</c:v>
                </c:pt>
                <c:pt idx="4">
                  <c:v>566.622802734375</c:v>
                </c:pt>
                <c:pt idx="5">
                  <c:v>575.7801513671875</c:v>
                </c:pt>
                <c:pt idx="6">
                  <c:v>585.67138671875</c:v>
                </c:pt>
                <c:pt idx="7">
                  <c:v>592.4610595703125</c:v>
                </c:pt>
                <c:pt idx="8">
                  <c:v>598.26995849609375</c:v>
                </c:pt>
                <c:pt idx="9">
                  <c:v>603.271484375</c:v>
                </c:pt>
                <c:pt idx="10">
                  <c:v>607.53009033203125</c:v>
                </c:pt>
                <c:pt idx="11">
                  <c:v>611.14862060546875</c:v>
                </c:pt>
                <c:pt idx="12">
                  <c:v>614.2423095703125</c:v>
                </c:pt>
                <c:pt idx="13">
                  <c:v>616.9154052734375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3D-4EEF-9FAA-5F9074864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252864"/>
        <c:axId val="223254400"/>
      </c:scatterChart>
      <c:valAx>
        <c:axId val="223224192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3226112"/>
        <c:crossesAt val="0"/>
        <c:crossBetween val="midCat"/>
        <c:majorUnit val="0.2"/>
        <c:minorUnit val="0.2"/>
      </c:valAx>
      <c:valAx>
        <c:axId val="223226112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3224192"/>
        <c:crosses val="max"/>
        <c:crossBetween val="midCat"/>
        <c:majorUnit val="50"/>
        <c:minorUnit val="50"/>
      </c:valAx>
      <c:valAx>
        <c:axId val="223252864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23254400"/>
        <c:crosses val="autoZero"/>
        <c:crossBetween val="midCat"/>
      </c:valAx>
      <c:valAx>
        <c:axId val="22325440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3252864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120.03020113023558</c:v>
                </c:pt>
                <c:pt idx="2">
                  <c:v>236</c:v>
                </c:pt>
                <c:pt idx="3">
                  <c:v>179.25028418625288</c:v>
                </c:pt>
                <c:pt idx="4">
                  <c:v>162.91340765176122</c:v>
                </c:pt>
                <c:pt idx="5">
                  <c:v>158.23856393927494</c:v>
                </c:pt>
                <c:pt idx="6">
                  <c:v>157.10051882920564</c:v>
                </c:pt>
                <c:pt idx="7">
                  <c:v>157.06777840576933</c:v>
                </c:pt>
                <c:pt idx="8">
                  <c:v>157.04984085869543</c:v>
                </c:pt>
                <c:pt idx="9">
                  <c:v>157.03360022251377</c:v>
                </c:pt>
                <c:pt idx="10">
                  <c:v>157.0169953930635</c:v>
                </c:pt>
                <c:pt idx="11">
                  <c:v>157.00638093130567</c:v>
                </c:pt>
                <c:pt idx="12">
                  <c:v>157.00431941948685</c:v>
                </c:pt>
                <c:pt idx="13">
                  <c:v>157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37-4786-B414-B2B09B78D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185600"/>
        <c:axId val="274191872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0.18395884335041046</c:v>
                </c:pt>
                <c:pt idx="1">
                  <c:v>152.5877685546875</c:v>
                </c:pt>
                <c:pt idx="2">
                  <c:v>463.96676635742188</c:v>
                </c:pt>
                <c:pt idx="3">
                  <c:v>544.88104248046875</c:v>
                </c:pt>
                <c:pt idx="4">
                  <c:v>566.622802734375</c:v>
                </c:pt>
                <c:pt idx="5">
                  <c:v>575.7801513671875</c:v>
                </c:pt>
                <c:pt idx="6">
                  <c:v>585.67138671875</c:v>
                </c:pt>
                <c:pt idx="7">
                  <c:v>592.4610595703125</c:v>
                </c:pt>
                <c:pt idx="8">
                  <c:v>598.26995849609375</c:v>
                </c:pt>
                <c:pt idx="9">
                  <c:v>603.271484375</c:v>
                </c:pt>
                <c:pt idx="10">
                  <c:v>607.53009033203125</c:v>
                </c:pt>
                <c:pt idx="11">
                  <c:v>611.14862060546875</c:v>
                </c:pt>
                <c:pt idx="12">
                  <c:v>614.2423095703125</c:v>
                </c:pt>
                <c:pt idx="13">
                  <c:v>616.9154052734375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37-4786-B414-B2B09B78D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193792"/>
        <c:axId val="274195584"/>
      </c:scatterChart>
      <c:valAx>
        <c:axId val="274185600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74191872"/>
        <c:crosses val="autoZero"/>
        <c:crossBetween val="midCat"/>
        <c:majorUnit val="20"/>
        <c:minorUnit val="20"/>
      </c:valAx>
      <c:valAx>
        <c:axId val="2741918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74185600"/>
        <c:crosses val="autoZero"/>
        <c:crossBetween val="midCat"/>
      </c:valAx>
      <c:valAx>
        <c:axId val="274193792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74195584"/>
        <c:crosses val="autoZero"/>
        <c:crossBetween val="midCat"/>
      </c:valAx>
      <c:valAx>
        <c:axId val="274195584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74193792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197099967767187"/>
          <c:h val="5.893456283743999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616.91542288557218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15.148331778390068</c:v>
                </c:pt>
                <c:pt idx="1">
                  <c:v>16.014506614558886</c:v>
                </c:pt>
                <c:pt idx="2">
                  <c:v>23.060889524964804</c:v>
                </c:pt>
                <c:pt idx="3">
                  <c:v>36.032639882757501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72-41FE-9430-F466292E999F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616.91542288557218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8.4151308877127509</c:v>
                </c:pt>
                <c:pt idx="1">
                  <c:v>8.8963043083003477</c:v>
                </c:pt>
                <c:pt idx="2">
                  <c:v>12.810678203952506</c:v>
                </c:pt>
                <c:pt idx="3">
                  <c:v>20.016684693675789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72-41FE-9430-F466292E999F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236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57.502685129778193</c:v>
                </c:pt>
                <c:pt idx="3">
                  <c:v>98.847825647781676</c:v>
                </c:pt>
                <c:pt idx="4">
                  <c:v>222.40760770750873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72-41FE-9430-F466292E999F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616.91542288557218</c:v>
                </c:pt>
                <c:pt idx="1">
                  <c:v>615.57213930348257</c:v>
                </c:pt>
                <c:pt idx="2">
                  <c:v>612.70315091210614</c:v>
                </c:pt>
                <c:pt idx="3">
                  <c:v>609.33665008291871</c:v>
                </c:pt>
                <c:pt idx="4">
                  <c:v>605.40630182421228</c:v>
                </c:pt>
                <c:pt idx="5">
                  <c:v>600.76285240464347</c:v>
                </c:pt>
                <c:pt idx="6">
                  <c:v>595.37313432835822</c:v>
                </c:pt>
                <c:pt idx="7">
                  <c:v>589.07131011608624</c:v>
                </c:pt>
                <c:pt idx="8">
                  <c:v>580.72968490878941</c:v>
                </c:pt>
                <c:pt idx="9">
                  <c:v>571.19402985074623</c:v>
                </c:pt>
                <c:pt idx="10">
                  <c:v>555.7545605306799</c:v>
                </c:pt>
                <c:pt idx="11">
                  <c:v>504.42786069651743</c:v>
                </c:pt>
                <c:pt idx="12">
                  <c:v>308.27529021558871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0.30799999833106995</c:v>
                </c:pt>
                <c:pt idx="2">
                  <c:v>0.59200000762939453</c:v>
                </c:pt>
                <c:pt idx="3">
                  <c:v>0.86800003051757813</c:v>
                </c:pt>
                <c:pt idx="4">
                  <c:v>1.1449999809265137</c:v>
                </c:pt>
                <c:pt idx="5">
                  <c:v>1.4309999942779541</c:v>
                </c:pt>
                <c:pt idx="6">
                  <c:v>1.7339999675750732</c:v>
                </c:pt>
                <c:pt idx="7">
                  <c:v>2.0639998912811279</c:v>
                </c:pt>
                <c:pt idx="8">
                  <c:v>2.4409999847412109</c:v>
                </c:pt>
                <c:pt idx="9">
                  <c:v>2.6549999713897705</c:v>
                </c:pt>
                <c:pt idx="10">
                  <c:v>2.875</c:v>
                </c:pt>
                <c:pt idx="11">
                  <c:v>3.0529999732971191</c:v>
                </c:pt>
                <c:pt idx="12">
                  <c:v>3.0929999351501465</c:v>
                </c:pt>
                <c:pt idx="13">
                  <c:v>3.1710000038146973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72-41FE-9430-F466292E9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678144"/>
        <c:axId val="274680064"/>
      </c:scatterChart>
      <c:valAx>
        <c:axId val="274678144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4680064"/>
        <c:crossesAt val="0.1"/>
        <c:crossBetween val="midCat"/>
        <c:majorUnit val="100"/>
      </c:valAx>
      <c:valAx>
        <c:axId val="274680064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4678144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7" name="Radiu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8" name="Heigh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9" name="Clear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0" name="Thickness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504825</xdr:colOff>
      <xdr:row>36</xdr:row>
      <xdr:rowOff>28575</xdr:rowOff>
    </xdr:to>
    <xdr:sp macro="" textlink="">
      <xdr:nvSpPr>
        <xdr:cNvPr id="29" name="Depth2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1895475" y="8191500"/>
          <a:ext cx="30480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38.41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30" name="Tip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485775</xdr:colOff>
      <xdr:row>33</xdr:row>
      <xdr:rowOff>180975</xdr:rowOff>
    </xdr:to>
    <xdr:sp macro="" textlink="">
      <xdr:nvSpPr>
        <xdr:cNvPr id="31" name="Openi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1362075" y="7648575"/>
          <a:ext cx="323850" cy="1428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142875</xdr:colOff>
      <xdr:row>36</xdr:row>
      <xdr:rowOff>190500</xdr:rowOff>
    </xdr:from>
    <xdr:to>
      <xdr:col>3</xdr:col>
      <xdr:colOff>0</xdr:colOff>
      <xdr:row>37</xdr:row>
      <xdr:rowOff>66675</xdr:rowOff>
    </xdr:to>
    <xdr:sp macro="" textlink="">
      <xdr:nvSpPr>
        <xdr:cNvPr id="32" name="Width3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1343025" y="8486775"/>
          <a:ext cx="3524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485775</xdr:colOff>
      <xdr:row>35</xdr:row>
      <xdr:rowOff>66675</xdr:rowOff>
    </xdr:to>
    <xdr:sp macro="" textlink="">
      <xdr:nvSpPr>
        <xdr:cNvPr id="33" name="Width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1362075" y="8001000"/>
          <a:ext cx="3238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34" name="Group 190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>
          <a:grpSpLocks/>
        </xdr:cNvGrpSpPr>
      </xdr:nvGrpSpPr>
      <xdr:grpSpPr bwMode="auto">
        <a:xfrm>
          <a:off x="1181100" y="7781925"/>
          <a:ext cx="866775" cy="952500"/>
          <a:chOff x="120" y="793"/>
          <a:chExt cx="91" cy="100"/>
        </a:xfrm>
      </xdr:grpSpPr>
      <xdr:sp macro="" textlink="">
        <xdr:nvSpPr>
          <xdr:cNvPr id="35" name="Line 10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49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50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51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52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56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57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58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59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60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1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2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3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4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5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6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8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69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0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1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2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3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4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5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6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7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8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79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0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1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2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3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4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5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409575</xdr:colOff>
      <xdr:row>29</xdr:row>
      <xdr:rowOff>209550</xdr:rowOff>
    </xdr:to>
    <xdr:sp macro="" textlink="">
      <xdr:nvSpPr>
        <xdr:cNvPr id="69" name="Depth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6781800"/>
          <a:ext cx="2857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73.0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19050</xdr:colOff>
      <xdr:row>31</xdr:row>
      <xdr:rowOff>104775</xdr:rowOff>
    </xdr:to>
    <xdr:sp macro="" textlink="">
      <xdr:nvSpPr>
        <xdr:cNvPr id="70" name="Tip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8286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13.15</a:t>
          </a:r>
        </a:p>
      </xdr:txBody>
    </xdr:sp>
    <xdr:clientData/>
  </xdr:twoCellAnchor>
  <xdr:twoCellAnchor>
    <xdr:from>
      <xdr:col>2</xdr:col>
      <xdr:colOff>142875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71" name="Width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1343025" y="6210300"/>
          <a:ext cx="4000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17.3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72" name="Group 254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GrpSpPr>
          <a:grpSpLocks/>
        </xdr:cNvGrpSpPr>
      </xdr:nvGrpSpPr>
      <xdr:grpSpPr bwMode="auto">
        <a:xfrm>
          <a:off x="1123950" y="6296025"/>
          <a:ext cx="942975" cy="1076325"/>
          <a:chOff x="118" y="637"/>
          <a:chExt cx="99" cy="113"/>
        </a:xfrm>
      </xdr:grpSpPr>
      <xdr:sp macro="" textlink="">
        <xdr:nvSpPr>
          <xdr:cNvPr id="73" name="Line 229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30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31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32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33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34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35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36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37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38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39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40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41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242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43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44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245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46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47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248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249">
            <a:extLst>
              <a:ext uri="{FF2B5EF4-FFF2-40B4-BE49-F238E27FC236}">
                <a16:creationId xmlns:a16="http://schemas.microsoft.com/office/drawing/2014/main" id="{00000000-0008-0000-0100-00005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250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251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252">
            <a:extLst>
              <a:ext uri="{FF2B5EF4-FFF2-40B4-BE49-F238E27FC236}">
                <a16:creationId xmlns:a16="http://schemas.microsoft.com/office/drawing/2014/main" id="{00000000-0008-0000-0100-00006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253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8" name="Rectangle 255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9" name="Rectangle 256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00" name="Rectangle 257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01" name="Rectangle 258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02" name="Rectangle 259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03" name="Radius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04" name="Height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05" name="Clear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06" name="Thickness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07" name="Radius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08" name="Height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09" name="Clear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10" name="Thickness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11" name="Radius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12" name="Height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13" name="Clear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14" name="Thickness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15" name="Radius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16" name="Height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17" name="Clear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18" name="Thickness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19" name="Radius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20" name="Height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21" name="Clear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22" name="Thickness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23" name="Radius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24" name="Height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25" name="Clear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26" name="Thickness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7" name="Clear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28" name="Radius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9" name="Clear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30" name="Thickness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31" name="Radius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32" name="Thickness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33" name="Radius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34" name="Height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35" name="Clear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136" name="Thickness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137" name="Text 219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051-TB13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138" name="Radius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114300</xdr:colOff>
      <xdr:row>39</xdr:row>
      <xdr:rowOff>152400</xdr:rowOff>
    </xdr:to>
    <xdr:sp macro="" textlink="">
      <xdr:nvSpPr>
        <xdr:cNvPr id="139" name="Height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1543050" y="903922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140" name="Clear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141" name="Thickness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85.0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42" name="Text 583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143" name="Line 125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144" name="Line 126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145" name="Line 127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146" name="Line 128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147" name="Line 129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148" name="Line 130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149" name="Thickness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57.5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150" name="Rectangle 132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151" name="Rectangle 133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152" name="Line 134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153" name="Line 135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154" name="Line 136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155" name="Line 137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156" name="Line 138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157" name="Line 139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158" name="Line 140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159" name="Line 141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160" name="Line 142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161" name="Line 143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162" name="Line 144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40</xdr:row>
      <xdr:rowOff>76200</xdr:rowOff>
    </xdr:from>
    <xdr:to>
      <xdr:col>3</xdr:col>
      <xdr:colOff>377573</xdr:colOff>
      <xdr:row>40</xdr:row>
      <xdr:rowOff>180975</xdr:rowOff>
    </xdr:to>
    <xdr:sp macro="" textlink="">
      <xdr:nvSpPr>
        <xdr:cNvPr id="163" name="Thickness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>
          <a:spLocks noChangeArrowheads="1"/>
        </xdr:cNvSpPr>
      </xdr:nvSpPr>
      <xdr:spPr bwMode="auto">
        <a:xfrm>
          <a:off x="1752600" y="9286875"/>
          <a:ext cx="32042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18.50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133350</xdr:colOff>
      <xdr:row>40</xdr:row>
      <xdr:rowOff>171450</xdr:rowOff>
    </xdr:from>
    <xdr:to>
      <xdr:col>3</xdr:col>
      <xdr:colOff>352425</xdr:colOff>
      <xdr:row>40</xdr:row>
      <xdr:rowOff>171450</xdr:rowOff>
    </xdr:to>
    <xdr:sp macro="" textlink="">
      <xdr:nvSpPr>
        <xdr:cNvPr id="164" name="Line 146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>
          <a:spLocks noChangeShapeType="1"/>
        </xdr:cNvSpPr>
      </xdr:nvSpPr>
      <xdr:spPr bwMode="auto">
        <a:xfrm>
          <a:off x="1828800" y="93821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165" name="Height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</a:t>
          </a:r>
        </a:p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.0</a:t>
          </a: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166" name="Line 148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167" name="Line 14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168" name="Line 150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169" name="Line 151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666750</xdr:colOff>
      <xdr:row>33</xdr:row>
      <xdr:rowOff>209550</xdr:rowOff>
    </xdr:from>
    <xdr:to>
      <xdr:col>4</xdr:col>
      <xdr:colOff>628650</xdr:colOff>
      <xdr:row>34</xdr:row>
      <xdr:rowOff>135515</xdr:rowOff>
    </xdr:to>
    <xdr:sp macro="" textlink="">
      <xdr:nvSpPr>
        <xdr:cNvPr id="170" name="Text 21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2362200" y="7820025"/>
          <a:ext cx="800100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411-TC13</a:t>
          </a:r>
        </a:p>
      </xdr:txBody>
    </xdr:sp>
    <xdr:clientData/>
  </xdr:twoCellAnchor>
  <xdr:twoCellAnchor>
    <xdr:from>
      <xdr:col>3</xdr:col>
      <xdr:colOff>723900</xdr:colOff>
      <xdr:row>27</xdr:row>
      <xdr:rowOff>171450</xdr:rowOff>
    </xdr:from>
    <xdr:to>
      <xdr:col>4</xdr:col>
      <xdr:colOff>685800</xdr:colOff>
      <xdr:row>28</xdr:row>
      <xdr:rowOff>97415</xdr:rowOff>
    </xdr:to>
    <xdr:sp macro="" textlink="">
      <xdr:nvSpPr>
        <xdr:cNvPr id="173" name="Text 219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2419350" y="6410325"/>
          <a:ext cx="800100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311-TC13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0.65346</cdr:x>
      <cdr:y>0.67318</cdr:y>
    </cdr:from>
    <cdr:to>
      <cdr:x>0.88931</cdr:x>
      <cdr:y>0.69387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21659" y="4334530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0.63229</cdr:x>
      <cdr:y>0.60597</cdr:y>
    </cdr:from>
    <cdr:to>
      <cdr:x>0.91511</cdr:x>
      <cdr:y>0.6311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97834" y="390178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0.65356</cdr:x>
      <cdr:y>0.79905</cdr:y>
    </cdr:from>
    <cdr:to>
      <cdr:x>0.899</cdr:x>
      <cdr:y>0.82418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22259" y="5145013"/>
          <a:ext cx="1435419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J113"/>
  <sheetViews>
    <sheetView zoomScale="95" zoomScaleNormal="95" workbookViewId="0">
      <selection activeCell="B3" sqref="B3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4" t="s">
        <v>167</v>
      </c>
      <c r="B1" s="2"/>
      <c r="C1" s="2"/>
      <c r="D1" s="2"/>
      <c r="E1" s="2"/>
      <c r="F1" s="2"/>
      <c r="G1" s="2"/>
      <c r="H1" s="2"/>
      <c r="I1" s="125" t="s">
        <v>0</v>
      </c>
      <c r="J1" s="125" t="s">
        <v>202</v>
      </c>
    </row>
    <row r="2" spans="1:10" ht="18.75">
      <c r="A2" s="34" t="s">
        <v>173</v>
      </c>
      <c r="B2" s="2"/>
      <c r="C2" s="2"/>
      <c r="D2" s="2"/>
      <c r="E2" s="2"/>
      <c r="F2" s="2"/>
      <c r="G2" s="2"/>
      <c r="H2" s="2"/>
      <c r="I2" s="2"/>
      <c r="J2" s="131" t="s">
        <v>203</v>
      </c>
    </row>
    <row r="3" spans="1:10" ht="15" customHeight="1" thickBot="1">
      <c r="A3" s="49" t="s">
        <v>1</v>
      </c>
      <c r="B3" s="96" t="s">
        <v>201</v>
      </c>
      <c r="C3" s="1"/>
      <c r="D3" s="49"/>
      <c r="E3" s="1"/>
      <c r="F3" s="1"/>
      <c r="G3" s="49" t="s">
        <v>2</v>
      </c>
      <c r="H3" s="149">
        <v>41871</v>
      </c>
      <c r="I3" s="49" t="s">
        <v>3</v>
      </c>
      <c r="J3" s="150">
        <v>0.62300925925925921</v>
      </c>
    </row>
    <row r="4" spans="1:10" ht="15" customHeight="1">
      <c r="A4" s="12" t="s">
        <v>4</v>
      </c>
      <c r="B4" s="12" t="s">
        <v>171</v>
      </c>
      <c r="C4" s="12" t="s">
        <v>5</v>
      </c>
      <c r="D4" s="12" t="s">
        <v>172</v>
      </c>
      <c r="E4" s="12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2</v>
      </c>
      <c r="B5" s="113">
        <v>5000</v>
      </c>
      <c r="C5" s="143">
        <v>3600</v>
      </c>
      <c r="D5" s="50" t="s">
        <v>176</v>
      </c>
      <c r="E5" s="143">
        <v>4000</v>
      </c>
      <c r="F5" s="143">
        <v>60</v>
      </c>
      <c r="G5" s="50">
        <v>105</v>
      </c>
      <c r="H5" s="78" t="s">
        <v>234</v>
      </c>
      <c r="I5" s="77" t="s">
        <v>239</v>
      </c>
      <c r="J5" s="50" t="s">
        <v>177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42"/>
      <c r="F6" s="14"/>
      <c r="G6" s="15"/>
      <c r="H6" s="43" t="s">
        <v>13</v>
      </c>
      <c r="I6" s="18"/>
      <c r="J6" s="29"/>
    </row>
    <row r="7" spans="1:10" ht="15" customHeight="1" thickBot="1">
      <c r="A7" s="145"/>
      <c r="B7" s="3" t="s">
        <v>14</v>
      </c>
      <c r="C7" s="16" t="s">
        <v>15</v>
      </c>
      <c r="D7" s="145"/>
      <c r="E7" s="18"/>
      <c r="F7" s="3" t="s">
        <v>16</v>
      </c>
      <c r="G7" s="16" t="s">
        <v>17</v>
      </c>
      <c r="H7" s="10" t="s">
        <v>18</v>
      </c>
      <c r="I7" s="68">
        <v>26.179916666666667</v>
      </c>
      <c r="J7" s="106" t="s">
        <v>19</v>
      </c>
    </row>
    <row r="8" spans="1:10" ht="15" customHeight="1">
      <c r="A8" s="6" t="s">
        <v>20</v>
      </c>
      <c r="B8" s="69">
        <v>3.5</v>
      </c>
      <c r="C8" s="52"/>
      <c r="D8" s="6"/>
      <c r="E8" s="51"/>
      <c r="F8" s="3"/>
      <c r="G8" s="16"/>
      <c r="H8" s="10" t="s">
        <v>21</v>
      </c>
      <c r="I8" s="68">
        <v>30.254877608695651</v>
      </c>
      <c r="J8" s="103" t="s">
        <v>22</v>
      </c>
    </row>
    <row r="9" spans="1:10" ht="15" customHeight="1" thickBot="1">
      <c r="A9" s="6" t="s">
        <v>23</v>
      </c>
      <c r="B9" s="69">
        <v>0.93000000715255737</v>
      </c>
      <c r="C9" s="52"/>
      <c r="D9" s="6" t="s">
        <v>24</v>
      </c>
      <c r="E9" s="53" t="s">
        <v>185</v>
      </c>
      <c r="F9" s="107" t="s">
        <v>25</v>
      </c>
      <c r="G9" s="30"/>
      <c r="H9" s="10" t="s">
        <v>26</v>
      </c>
      <c r="I9" s="69">
        <v>28.217397137681161</v>
      </c>
      <c r="J9" s="104">
        <v>200.16473633128115</v>
      </c>
    </row>
    <row r="10" spans="1:10" ht="15" customHeight="1">
      <c r="A10" s="6" t="s">
        <v>27</v>
      </c>
      <c r="B10" s="69">
        <v>1030</v>
      </c>
      <c r="C10" s="73">
        <v>1030</v>
      </c>
      <c r="D10" s="6"/>
      <c r="E10" s="51"/>
      <c r="F10" s="117" t="s">
        <v>197</v>
      </c>
      <c r="G10" s="115" t="s">
        <v>198</v>
      </c>
      <c r="H10" s="10" t="s">
        <v>28</v>
      </c>
      <c r="I10" s="68">
        <v>17.127578248316492</v>
      </c>
      <c r="J10" s="103" t="s">
        <v>29</v>
      </c>
    </row>
    <row r="11" spans="1:10" ht="15" customHeight="1" thickBot="1">
      <c r="A11" s="6" t="s">
        <v>30</v>
      </c>
      <c r="B11" s="69">
        <v>815</v>
      </c>
      <c r="C11" s="73">
        <v>443</v>
      </c>
      <c r="D11" s="6" t="s">
        <v>31</v>
      </c>
      <c r="E11" s="68">
        <v>0.62956666666666661</v>
      </c>
      <c r="F11" s="118"/>
      <c r="G11" s="114"/>
      <c r="H11" s="10" t="s">
        <v>32</v>
      </c>
      <c r="I11" s="68">
        <v>29.859305480929297</v>
      </c>
      <c r="J11" s="104">
        <v>130878.65343740243</v>
      </c>
    </row>
    <row r="12" spans="1:10" ht="15" customHeight="1">
      <c r="A12" s="6" t="s">
        <v>33</v>
      </c>
      <c r="B12" s="69">
        <v>450</v>
      </c>
      <c r="C12" s="73">
        <v>170</v>
      </c>
      <c r="D12" s="6" t="s">
        <v>34</v>
      </c>
      <c r="E12" s="138" t="s">
        <v>174</v>
      </c>
      <c r="F12" s="124" t="s">
        <v>191</v>
      </c>
      <c r="G12" s="116" t="s">
        <v>190</v>
      </c>
      <c r="H12" s="10" t="s">
        <v>35</v>
      </c>
      <c r="I12" s="68">
        <v>1.5285241314976885</v>
      </c>
      <c r="J12" s="103" t="s">
        <v>36</v>
      </c>
    </row>
    <row r="13" spans="1:10" ht="15" customHeight="1" thickBot="1">
      <c r="A13" s="6" t="s">
        <v>37</v>
      </c>
      <c r="B13" s="69">
        <v>109.5</v>
      </c>
      <c r="C13" s="73">
        <v>98.090000152587891</v>
      </c>
      <c r="D13" s="6" t="s">
        <v>38</v>
      </c>
      <c r="E13" s="70">
        <v>14</v>
      </c>
      <c r="F13" s="124"/>
      <c r="G13" s="116" t="s">
        <v>192</v>
      </c>
      <c r="H13" s="10" t="s">
        <v>40</v>
      </c>
      <c r="I13" s="68">
        <v>1.0132478676712358</v>
      </c>
      <c r="J13" s="104">
        <v>586.4794921875</v>
      </c>
    </row>
    <row r="14" spans="1:10" ht="15" customHeight="1" thickBot="1">
      <c r="A14" s="134" t="s">
        <v>41</v>
      </c>
      <c r="B14" s="135">
        <v>790.5</v>
      </c>
      <c r="C14" s="136">
        <v>846.29998779296875</v>
      </c>
      <c r="D14" s="6" t="s">
        <v>42</v>
      </c>
      <c r="E14" s="51" t="s">
        <v>186</v>
      </c>
      <c r="F14" s="51"/>
      <c r="G14" s="116" t="s">
        <v>193</v>
      </c>
      <c r="H14" s="49" t="s">
        <v>43</v>
      </c>
      <c r="I14" s="68">
        <v>1.5487738169240604</v>
      </c>
      <c r="J14" s="103" t="s">
        <v>44</v>
      </c>
    </row>
    <row r="15" spans="1:10" ht="15" customHeight="1" thickBot="1">
      <c r="A15" s="13" t="s">
        <v>45</v>
      </c>
      <c r="B15" s="141"/>
      <c r="C15" s="142"/>
      <c r="D15" s="6" t="s">
        <v>46</v>
      </c>
      <c r="E15" s="51" t="s">
        <v>174</v>
      </c>
      <c r="F15" s="51"/>
      <c r="G15" s="116"/>
      <c r="H15" s="10" t="s">
        <v>47</v>
      </c>
      <c r="I15" s="68">
        <v>0.83543300071747506</v>
      </c>
      <c r="J15" s="104">
        <v>63.492063492063494</v>
      </c>
    </row>
    <row r="16" spans="1:10" ht="15" customHeight="1">
      <c r="A16" s="6" t="s">
        <v>48</v>
      </c>
      <c r="B16" s="51">
        <v>54</v>
      </c>
      <c r="C16" s="52">
        <v>46</v>
      </c>
      <c r="D16" s="6" t="s">
        <v>49</v>
      </c>
      <c r="E16" s="51">
        <v>2</v>
      </c>
      <c r="F16" s="51"/>
      <c r="G16" s="116"/>
      <c r="H16" s="10" t="s">
        <v>50</v>
      </c>
      <c r="I16" s="68">
        <v>0.95529270900034158</v>
      </c>
      <c r="J16" s="105" t="s">
        <v>51</v>
      </c>
    </row>
    <row r="17" spans="1:10" ht="15" customHeight="1" thickBot="1">
      <c r="A17" s="6" t="s">
        <v>52</v>
      </c>
      <c r="B17" s="51" t="s">
        <v>178</v>
      </c>
      <c r="C17" s="52" t="s">
        <v>179</v>
      </c>
      <c r="D17" s="96" t="s">
        <v>53</v>
      </c>
      <c r="E17" s="51" t="s">
        <v>187</v>
      </c>
      <c r="F17" s="51"/>
      <c r="G17" s="116"/>
      <c r="H17" s="10" t="s">
        <v>54</v>
      </c>
      <c r="I17" s="68">
        <v>0.79808305444368111</v>
      </c>
      <c r="J17" s="104">
        <v>905.38794522638227</v>
      </c>
    </row>
    <row r="18" spans="1:10" ht="15" customHeight="1">
      <c r="A18" s="6" t="s">
        <v>55</v>
      </c>
      <c r="B18" s="51" t="s">
        <v>174</v>
      </c>
      <c r="C18" s="73">
        <v>0</v>
      </c>
      <c r="D18" s="6" t="s">
        <v>56</v>
      </c>
      <c r="E18" s="140">
        <v>1917</v>
      </c>
      <c r="F18" s="70">
        <v>1220.5370025634766</v>
      </c>
      <c r="G18" s="74"/>
      <c r="H18" s="13" t="s">
        <v>57</v>
      </c>
      <c r="I18" s="132" t="s">
        <v>199</v>
      </c>
      <c r="J18" s="133"/>
    </row>
    <row r="19" spans="1:10" ht="15" customHeight="1">
      <c r="A19" s="6" t="s">
        <v>58</v>
      </c>
      <c r="B19" s="69">
        <v>73</v>
      </c>
      <c r="C19" s="73">
        <v>38.409999847412109</v>
      </c>
      <c r="D19" s="6" t="s">
        <v>59</v>
      </c>
      <c r="E19" s="70">
        <v>126</v>
      </c>
      <c r="F19" s="51"/>
      <c r="G19" s="52"/>
      <c r="H19" s="146"/>
      <c r="I19" s="3" t="s">
        <v>60</v>
      </c>
      <c r="J19" s="31" t="s">
        <v>61</v>
      </c>
    </row>
    <row r="20" spans="1:10" ht="15" customHeight="1">
      <c r="A20" s="6" t="s">
        <v>62</v>
      </c>
      <c r="B20" s="69" t="s">
        <v>180</v>
      </c>
      <c r="C20" s="73"/>
      <c r="D20" s="6" t="s">
        <v>166</v>
      </c>
      <c r="E20" s="67">
        <v>5.0679130953704001E-2</v>
      </c>
      <c r="F20" s="51"/>
      <c r="G20" s="52"/>
      <c r="H20" s="10" t="s">
        <v>63</v>
      </c>
      <c r="I20" s="68">
        <v>14.993256568908691</v>
      </c>
      <c r="J20" s="72">
        <v>14.993256568908691</v>
      </c>
    </row>
    <row r="21" spans="1:10" ht="15" customHeight="1">
      <c r="A21" s="6" t="s">
        <v>64</v>
      </c>
      <c r="B21" s="69">
        <v>17.299999237060547</v>
      </c>
      <c r="C21" s="73">
        <v>3</v>
      </c>
      <c r="D21" s="10" t="s">
        <v>188</v>
      </c>
      <c r="E21" s="67">
        <v>6.7605363295805534E-2</v>
      </c>
      <c r="F21" s="67">
        <v>5.9220194816589355E-2</v>
      </c>
      <c r="G21" s="71">
        <v>1.081713317434892E-2</v>
      </c>
      <c r="H21" s="10" t="s">
        <v>65</v>
      </c>
      <c r="I21" s="68">
        <v>16.318153381347656</v>
      </c>
      <c r="J21" s="72">
        <v>13.79779052734375</v>
      </c>
    </row>
    <row r="22" spans="1:10" ht="15" customHeight="1">
      <c r="A22" s="6" t="s">
        <v>66</v>
      </c>
      <c r="B22" s="69">
        <v>13.149999618530273</v>
      </c>
      <c r="C22" s="73">
        <v>3</v>
      </c>
      <c r="D22" s="6" t="s">
        <v>67</v>
      </c>
      <c r="E22" s="51" t="s">
        <v>189</v>
      </c>
      <c r="F22" s="51" t="s">
        <v>189</v>
      </c>
      <c r="G22" s="52" t="s">
        <v>189</v>
      </c>
      <c r="H22" s="10" t="s">
        <v>68</v>
      </c>
      <c r="I22" s="68">
        <v>4.6907854080200195</v>
      </c>
      <c r="J22" s="72">
        <v>3.6924750804901123</v>
      </c>
    </row>
    <row r="23" spans="1:10" ht="15" customHeight="1">
      <c r="A23" s="6" t="s">
        <v>69</v>
      </c>
      <c r="B23" s="69">
        <v>8.8799171447753906</v>
      </c>
      <c r="C23" s="73">
        <v>10.888422012329102</v>
      </c>
      <c r="D23" s="6" t="s">
        <v>70</v>
      </c>
      <c r="E23" s="68">
        <v>1.7419999837875366</v>
      </c>
      <c r="F23" s="68">
        <v>1.7419999837875366</v>
      </c>
      <c r="G23" s="72">
        <v>1.7419999837875366</v>
      </c>
      <c r="H23" s="10" t="s">
        <v>71</v>
      </c>
      <c r="I23" s="68">
        <v>17.632089205488921</v>
      </c>
      <c r="J23" s="16" t="s">
        <v>200</v>
      </c>
    </row>
    <row r="24" spans="1:10" ht="15" customHeight="1">
      <c r="A24" s="6" t="s">
        <v>72</v>
      </c>
      <c r="B24" s="69">
        <v>0</v>
      </c>
      <c r="C24" s="73">
        <v>0.80000001192092896</v>
      </c>
      <c r="D24" s="6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6.7857612215462551</v>
      </c>
      <c r="J24" s="72">
        <v>5.3802899965934916</v>
      </c>
    </row>
    <row r="25" spans="1:10" ht="15" customHeight="1">
      <c r="A25" s="6" t="s">
        <v>75</v>
      </c>
      <c r="B25" s="51" t="s">
        <v>174</v>
      </c>
      <c r="C25" s="73">
        <v>5.7199997901916504</v>
      </c>
      <c r="D25" s="109" t="s">
        <v>76</v>
      </c>
      <c r="E25" s="53"/>
      <c r="F25" s="53"/>
      <c r="G25" s="60"/>
      <c r="H25" s="10" t="s">
        <v>77</v>
      </c>
      <c r="I25" s="68">
        <v>0.13764269649982452</v>
      </c>
      <c r="J25" s="72">
        <v>0.38048514723777771</v>
      </c>
    </row>
    <row r="26" spans="1:10" ht="15" customHeight="1">
      <c r="A26" s="6" t="s">
        <v>78</v>
      </c>
      <c r="B26" s="53" t="s">
        <v>181</v>
      </c>
      <c r="C26" s="60" t="s">
        <v>182</v>
      </c>
      <c r="D26" s="10" t="s">
        <v>79</v>
      </c>
      <c r="E26" s="69">
        <v>534.84425608264939</v>
      </c>
      <c r="F26" s="69">
        <v>169.42217141886425</v>
      </c>
      <c r="G26" s="73">
        <v>84.531503356144583</v>
      </c>
      <c r="H26" s="10" t="s">
        <v>80</v>
      </c>
      <c r="I26" s="68">
        <v>1.8871145248413086</v>
      </c>
      <c r="J26" s="72">
        <v>1.7321087121963501</v>
      </c>
    </row>
    <row r="27" spans="1:10" ht="15" customHeight="1" thickBot="1">
      <c r="A27" s="6" t="s">
        <v>81</v>
      </c>
      <c r="B27" s="51" t="s">
        <v>183</v>
      </c>
      <c r="C27" s="52" t="s">
        <v>184</v>
      </c>
      <c r="D27" s="11" t="s">
        <v>82</v>
      </c>
      <c r="E27" s="80" t="s">
        <v>174</v>
      </c>
      <c r="F27" s="80" t="s">
        <v>174</v>
      </c>
      <c r="G27" s="82" t="s">
        <v>174</v>
      </c>
      <c r="H27" s="11" t="s">
        <v>83</v>
      </c>
      <c r="I27" s="79">
        <v>1.892127513885498</v>
      </c>
      <c r="J27" s="81">
        <v>1.7734062671661377</v>
      </c>
    </row>
    <row r="28" spans="1:10" ht="15" customHeight="1">
      <c r="A28" s="6" t="s">
        <v>84</v>
      </c>
      <c r="B28" s="1"/>
      <c r="C28" s="39"/>
      <c r="D28" s="13" t="s">
        <v>85</v>
      </c>
      <c r="E28" s="22"/>
      <c r="F28" s="19"/>
      <c r="G28" s="42"/>
      <c r="H28" s="15"/>
      <c r="I28" s="28" t="s">
        <v>86</v>
      </c>
      <c r="J28" s="15"/>
    </row>
    <row r="29" spans="1:10" ht="15" customHeight="1">
      <c r="A29" s="7"/>
      <c r="B29" s="35" t="s">
        <v>87</v>
      </c>
      <c r="C29" s="75">
        <v>35.359193128881586</v>
      </c>
      <c r="D29" s="7"/>
      <c r="E29" s="3" t="s">
        <v>88</v>
      </c>
      <c r="F29" s="3" t="s">
        <v>89</v>
      </c>
      <c r="G29" s="3" t="s">
        <v>90</v>
      </c>
      <c r="H29" s="16" t="s">
        <v>91</v>
      </c>
      <c r="I29" s="3" t="s">
        <v>92</v>
      </c>
      <c r="J29" s="16" t="s">
        <v>93</v>
      </c>
    </row>
    <row r="30" spans="1:10" ht="15" customHeight="1" thickBot="1">
      <c r="A30" s="8"/>
      <c r="B30" s="63" t="s">
        <v>94</v>
      </c>
      <c r="C30" s="76">
        <v>35.395463326989393</v>
      </c>
      <c r="D30" s="10" t="s">
        <v>95</v>
      </c>
      <c r="E30" s="69">
        <v>64.009896249999997</v>
      </c>
      <c r="F30" s="69">
        <v>1731.1949999999999</v>
      </c>
      <c r="G30" s="69">
        <v>17.250081157250044</v>
      </c>
      <c r="H30" s="74">
        <v>1047.3859337730901</v>
      </c>
      <c r="I30" s="70">
        <v>191850.31534926375</v>
      </c>
      <c r="J30" s="74">
        <v>16463.72511620526</v>
      </c>
    </row>
    <row r="31" spans="1:10" ht="15" customHeight="1">
      <c r="A31" s="23" t="s">
        <v>96</v>
      </c>
      <c r="B31" s="147"/>
      <c r="C31" s="27"/>
      <c r="D31" s="10" t="s">
        <v>97</v>
      </c>
      <c r="E31" s="69">
        <v>7.3000000000000007</v>
      </c>
      <c r="F31" s="69">
        <v>1895.2851157951354</v>
      </c>
      <c r="G31" s="69">
        <v>15.756602529164512</v>
      </c>
      <c r="H31" s="74">
        <v>81.561782335496403</v>
      </c>
      <c r="I31" s="70">
        <v>27671.16269060898</v>
      </c>
      <c r="J31" s="74">
        <v>2050.5989226599118</v>
      </c>
    </row>
    <row r="32" spans="1:10" ht="15" customHeight="1">
      <c r="A32" s="6" t="s">
        <v>98</v>
      </c>
      <c r="B32" s="68" t="s">
        <v>241</v>
      </c>
      <c r="C32" s="110"/>
      <c r="D32" s="10" t="s">
        <v>99</v>
      </c>
      <c r="E32" s="69">
        <v>28.759685678968431</v>
      </c>
      <c r="F32" s="69">
        <v>2139.841311717631</v>
      </c>
      <c r="G32" s="69">
        <v>13.955826577184141</v>
      </c>
      <c r="H32" s="74">
        <v>193.09719181120107</v>
      </c>
      <c r="I32" s="9" t="s">
        <v>100</v>
      </c>
      <c r="J32" s="74">
        <v>18514.324038865172</v>
      </c>
    </row>
    <row r="33" spans="1:10" ht="15" customHeight="1">
      <c r="A33" s="6" t="s">
        <v>101</v>
      </c>
      <c r="B33" s="68" t="s">
        <v>242</v>
      </c>
      <c r="C33" s="111" t="s">
        <v>102</v>
      </c>
      <c r="D33" s="10" t="s">
        <v>97</v>
      </c>
      <c r="E33" s="69">
        <v>3.8409999847412113</v>
      </c>
      <c r="F33" s="69">
        <v>2119.4204257073266</v>
      </c>
      <c r="G33" s="69">
        <v>14.090292745508032</v>
      </c>
      <c r="H33" s="74">
        <v>26.806874805198724</v>
      </c>
      <c r="I33" s="9" t="s">
        <v>103</v>
      </c>
      <c r="J33" s="73" t="s">
        <v>211</v>
      </c>
    </row>
    <row r="34" spans="1:10" ht="15" customHeight="1" thickBot="1">
      <c r="A34" s="17" t="s">
        <v>104</v>
      </c>
      <c r="B34" s="79" t="s">
        <v>243</v>
      </c>
      <c r="C34" s="112">
        <v>29.863254249025484</v>
      </c>
      <c r="D34" s="11" t="s">
        <v>20</v>
      </c>
      <c r="E34" s="79">
        <v>0.35000000000000003</v>
      </c>
      <c r="F34" s="80">
        <v>4016.3051131338934</v>
      </c>
      <c r="G34" s="80">
        <v>7.4355043772367697</v>
      </c>
      <c r="H34" s="83">
        <v>2070.9469822867318</v>
      </c>
      <c r="I34" s="9" t="s">
        <v>105</v>
      </c>
      <c r="J34" s="73">
        <v>6.0500001907348633</v>
      </c>
    </row>
    <row r="35" spans="1:10" ht="15" customHeight="1">
      <c r="A35" s="13" t="s">
        <v>106</v>
      </c>
      <c r="B35" s="14"/>
      <c r="C35" s="14"/>
      <c r="D35" s="137" t="s">
        <v>213</v>
      </c>
      <c r="E35" s="148" t="s">
        <v>212</v>
      </c>
      <c r="F35" s="15"/>
      <c r="G35" s="26" t="s">
        <v>107</v>
      </c>
      <c r="H35" s="85" t="s">
        <v>206</v>
      </c>
      <c r="I35" s="10" t="s">
        <v>108</v>
      </c>
      <c r="J35" s="74" t="s">
        <v>210</v>
      </c>
    </row>
    <row r="36" spans="1:10" ht="15" customHeight="1">
      <c r="A36" s="6" t="s">
        <v>109</v>
      </c>
      <c r="B36" s="3">
        <v>25</v>
      </c>
      <c r="C36" s="3">
        <v>50</v>
      </c>
      <c r="D36" s="3">
        <v>75</v>
      </c>
      <c r="E36" s="3">
        <v>100</v>
      </c>
      <c r="F36" s="16">
        <v>125</v>
      </c>
      <c r="G36" s="10" t="s">
        <v>110</v>
      </c>
      <c r="H36" s="74" t="s">
        <v>204</v>
      </c>
      <c r="I36" s="10" t="s">
        <v>111</v>
      </c>
      <c r="J36" s="74" t="s">
        <v>209</v>
      </c>
    </row>
    <row r="37" spans="1:10" ht="15" customHeight="1" thickBot="1">
      <c r="A37" s="6" t="s">
        <v>112</v>
      </c>
      <c r="B37" s="69" t="s">
        <v>223</v>
      </c>
      <c r="C37" s="69" t="s">
        <v>224</v>
      </c>
      <c r="D37" s="69" t="s">
        <v>225</v>
      </c>
      <c r="E37" s="69" t="s">
        <v>226</v>
      </c>
      <c r="F37" s="73" t="s">
        <v>227</v>
      </c>
      <c r="G37" s="10" t="s">
        <v>113</v>
      </c>
      <c r="H37" s="74" t="s">
        <v>205</v>
      </c>
      <c r="I37" s="11" t="s">
        <v>114</v>
      </c>
      <c r="J37" s="83" t="s">
        <v>208</v>
      </c>
    </row>
    <row r="38" spans="1:10" ht="15" customHeight="1" thickBot="1">
      <c r="A38" s="6" t="s">
        <v>115</v>
      </c>
      <c r="B38" s="68" t="s">
        <v>215</v>
      </c>
      <c r="C38" s="68" t="s">
        <v>216</v>
      </c>
      <c r="D38" s="68" t="s">
        <v>217</v>
      </c>
      <c r="E38" s="68" t="s">
        <v>218</v>
      </c>
      <c r="F38" s="72" t="s">
        <v>218</v>
      </c>
      <c r="G38" s="17" t="s">
        <v>116</v>
      </c>
      <c r="H38" s="83" t="s">
        <v>207</v>
      </c>
      <c r="I38" s="139" t="s">
        <v>214</v>
      </c>
      <c r="J38" s="84">
        <v>33736.4921875</v>
      </c>
    </row>
    <row r="39" spans="1:10" ht="15" customHeight="1">
      <c r="A39" s="6" t="s">
        <v>117</v>
      </c>
      <c r="B39" s="68" t="s">
        <v>219</v>
      </c>
      <c r="C39" s="68" t="s">
        <v>220</v>
      </c>
      <c r="D39" s="68" t="s">
        <v>221</v>
      </c>
      <c r="E39" s="68" t="s">
        <v>222</v>
      </c>
      <c r="F39" s="72" t="s">
        <v>222</v>
      </c>
      <c r="G39" s="13" t="s">
        <v>118</v>
      </c>
      <c r="H39" s="14"/>
      <c r="I39" s="40" t="s">
        <v>119</v>
      </c>
      <c r="J39" s="41" t="s">
        <v>120</v>
      </c>
    </row>
    <row r="40" spans="1:10" ht="15" customHeight="1">
      <c r="A40" s="6" t="s">
        <v>119</v>
      </c>
      <c r="B40" s="67" t="s">
        <v>236</v>
      </c>
      <c r="C40" s="67" t="s">
        <v>237</v>
      </c>
      <c r="D40" s="67" t="s">
        <v>238</v>
      </c>
      <c r="E40" s="67" t="s">
        <v>239</v>
      </c>
      <c r="F40" s="71" t="s">
        <v>240</v>
      </c>
      <c r="G40" s="36" t="s">
        <v>121</v>
      </c>
      <c r="H40" s="91" t="s">
        <v>244</v>
      </c>
      <c r="I40" s="55"/>
      <c r="J40" s="56"/>
    </row>
    <row r="41" spans="1:10" ht="15" customHeight="1">
      <c r="A41" s="6" t="s">
        <v>5</v>
      </c>
      <c r="B41" s="70" t="s">
        <v>231</v>
      </c>
      <c r="C41" s="70" t="s">
        <v>232</v>
      </c>
      <c r="D41" s="70" t="s">
        <v>233</v>
      </c>
      <c r="E41" s="70" t="s">
        <v>234</v>
      </c>
      <c r="F41" s="74" t="s">
        <v>235</v>
      </c>
      <c r="G41" s="37" t="s">
        <v>122</v>
      </c>
      <c r="H41" s="92" t="s">
        <v>245</v>
      </c>
      <c r="I41" s="57"/>
      <c r="J41" s="58"/>
    </row>
    <row r="42" spans="1:10" ht="15" customHeight="1">
      <c r="A42" s="6" t="s">
        <v>123</v>
      </c>
      <c r="B42" s="68">
        <v>4.2465420851505158</v>
      </c>
      <c r="C42" s="68">
        <v>4.2465420851505158</v>
      </c>
      <c r="D42" s="68">
        <v>4.2465420851505158</v>
      </c>
      <c r="E42" s="68">
        <v>4.2465420851505158</v>
      </c>
      <c r="F42" s="72">
        <v>4.2465420851505158</v>
      </c>
      <c r="G42" s="36" t="s">
        <v>124</v>
      </c>
      <c r="H42" s="91" t="s">
        <v>246</v>
      </c>
      <c r="I42" s="55"/>
      <c r="J42" s="97">
        <v>0.2145568557936903</v>
      </c>
    </row>
    <row r="43" spans="1:10" ht="15" customHeight="1" thickBot="1">
      <c r="A43" s="17" t="s">
        <v>125</v>
      </c>
      <c r="B43" s="79">
        <v>4.2465420851505158</v>
      </c>
      <c r="C43" s="79"/>
      <c r="D43" s="79" t="s">
        <v>249</v>
      </c>
      <c r="E43" s="79"/>
      <c r="F43" s="81"/>
      <c r="G43" s="37" t="s">
        <v>122</v>
      </c>
      <c r="H43" s="92" t="s">
        <v>247</v>
      </c>
      <c r="I43" s="57"/>
      <c r="J43" s="58"/>
    </row>
    <row r="44" spans="1:10" ht="15" customHeight="1">
      <c r="A44" s="5" t="s">
        <v>126</v>
      </c>
      <c r="B44" s="144"/>
      <c r="C44" s="1"/>
      <c r="D44" s="1"/>
      <c r="E44" s="5" t="s">
        <v>127</v>
      </c>
      <c r="F44" s="20"/>
      <c r="G44" s="36" t="s">
        <v>128</v>
      </c>
      <c r="H44" s="93">
        <v>11903.051799272396</v>
      </c>
      <c r="I44" s="90">
        <v>3.7089657359607821E-2</v>
      </c>
      <c r="J44" s="97">
        <v>0.64898256832242274</v>
      </c>
    </row>
    <row r="45" spans="1:10" ht="15" customHeight="1">
      <c r="A45" s="6" t="s">
        <v>129</v>
      </c>
      <c r="B45" s="68">
        <v>0.20070110261440277</v>
      </c>
      <c r="C45" s="4" t="s">
        <v>130</v>
      </c>
      <c r="D45" s="72">
        <v>5.7165240868926048E-3</v>
      </c>
      <c r="E45" s="6" t="s">
        <v>131</v>
      </c>
      <c r="F45" s="74">
        <v>1476.3545402285006</v>
      </c>
      <c r="G45" s="38" t="s">
        <v>122</v>
      </c>
      <c r="H45" s="86" t="s">
        <v>248</v>
      </c>
      <c r="I45" s="59"/>
      <c r="J45" s="60"/>
    </row>
    <row r="46" spans="1:10" ht="15" customHeight="1">
      <c r="A46" s="6" t="s">
        <v>132</v>
      </c>
      <c r="B46" s="68">
        <v>0.15028937160968781</v>
      </c>
      <c r="C46" s="4" t="s">
        <v>133</v>
      </c>
      <c r="D46" s="72">
        <v>5.5777570232748985E-3</v>
      </c>
      <c r="E46" s="6" t="s">
        <v>134</v>
      </c>
      <c r="F46" s="74">
        <v>2114.6164537528166</v>
      </c>
      <c r="G46" s="37" t="s">
        <v>135</v>
      </c>
      <c r="H46" s="94">
        <v>2549.1202445962099</v>
      </c>
      <c r="I46" s="57"/>
      <c r="J46" s="58"/>
    </row>
    <row r="47" spans="1:10" ht="15" customHeight="1">
      <c r="A47" s="6" t="s">
        <v>136</v>
      </c>
      <c r="B47" s="68">
        <v>0.35099047422409058</v>
      </c>
      <c r="C47" s="4" t="s">
        <v>137</v>
      </c>
      <c r="D47" s="72">
        <v>2.8686327859759331E-3</v>
      </c>
      <c r="E47" s="6" t="s">
        <v>138</v>
      </c>
      <c r="F47" s="74">
        <v>716.85211636700546</v>
      </c>
      <c r="G47" s="64" t="s">
        <v>139</v>
      </c>
      <c r="H47" s="93">
        <v>11470.03782978215</v>
      </c>
      <c r="I47" s="90">
        <v>3.5693906871036372E-2</v>
      </c>
      <c r="J47" s="95">
        <v>0.66227333106181108</v>
      </c>
    </row>
    <row r="48" spans="1:10" ht="15" customHeight="1">
      <c r="A48" s="6" t="s">
        <v>140</v>
      </c>
      <c r="B48" s="68">
        <v>1.1121345683932304E-2</v>
      </c>
      <c r="C48" s="4" t="s">
        <v>100</v>
      </c>
      <c r="D48" s="72">
        <v>2.5284260511398315E-2</v>
      </c>
      <c r="E48" s="6" t="s">
        <v>141</v>
      </c>
      <c r="F48" s="74">
        <v>478.20647768035428</v>
      </c>
      <c r="G48" s="65" t="s">
        <v>122</v>
      </c>
      <c r="H48" s="86">
        <v>307.50771661614345</v>
      </c>
      <c r="I48" s="59"/>
      <c r="J48" s="60"/>
    </row>
    <row r="49" spans="1:10" ht="15" customHeight="1" thickBot="1">
      <c r="A49" s="8"/>
      <c r="B49" s="54"/>
      <c r="C49" s="33" t="s">
        <v>142</v>
      </c>
      <c r="D49" s="81">
        <v>0.9747157096862793</v>
      </c>
      <c r="E49" s="17" t="s">
        <v>143</v>
      </c>
      <c r="F49" s="83">
        <v>1219.5076422463021</v>
      </c>
      <c r="G49" s="66" t="s">
        <v>135</v>
      </c>
      <c r="H49" s="94">
        <v>2499.808625242174</v>
      </c>
      <c r="I49" s="57"/>
      <c r="J49" s="61"/>
    </row>
    <row r="50" spans="1:10" ht="15" customHeight="1">
      <c r="A50" s="13" t="s">
        <v>196</v>
      </c>
      <c r="B50" s="14"/>
      <c r="C50" s="14"/>
      <c r="D50" s="14"/>
      <c r="E50" s="14"/>
      <c r="F50" s="15"/>
      <c r="G50" s="13" t="s">
        <v>144</v>
      </c>
      <c r="H50" s="14"/>
      <c r="I50" s="42"/>
      <c r="J50" s="27"/>
    </row>
    <row r="51" spans="1:10" ht="15" customHeight="1">
      <c r="A51" s="10" t="s">
        <v>145</v>
      </c>
      <c r="B51" s="51">
        <v>46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0.12150785785040387</v>
      </c>
      <c r="I51" s="45" t="s">
        <v>149</v>
      </c>
      <c r="J51" s="39"/>
    </row>
    <row r="52" spans="1:10" ht="15" customHeight="1">
      <c r="A52" s="10" t="s">
        <v>58</v>
      </c>
      <c r="B52" s="69">
        <v>38.409999847412109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178586.59</v>
      </c>
      <c r="I52" s="98" t="s">
        <v>228</v>
      </c>
      <c r="J52" s="62"/>
    </row>
    <row r="53" spans="1:10" ht="15" customHeight="1">
      <c r="A53" s="10" t="s">
        <v>64</v>
      </c>
      <c r="B53" s="69">
        <v>3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140.18975880363999</v>
      </c>
      <c r="I53" s="44" t="s">
        <v>154</v>
      </c>
      <c r="J53" s="39"/>
    </row>
    <row r="54" spans="1:10" ht="15" customHeight="1">
      <c r="A54" s="10" t="s">
        <v>66</v>
      </c>
      <c r="B54" s="69">
        <v>3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564591.25</v>
      </c>
      <c r="I54" s="99" t="s">
        <v>229</v>
      </c>
      <c r="J54" s="100" t="s">
        <v>194</v>
      </c>
    </row>
    <row r="55" spans="1:10" ht="15" customHeight="1">
      <c r="A55" s="10" t="s">
        <v>156</v>
      </c>
      <c r="B55" s="69">
        <v>14.119999885559082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4" t="s">
        <v>160</v>
      </c>
      <c r="J55" s="39"/>
    </row>
    <row r="56" spans="1:10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0.69434999999999991</v>
      </c>
      <c r="I56" s="101" t="s">
        <v>230</v>
      </c>
      <c r="J56" s="61" t="s">
        <v>195</v>
      </c>
    </row>
    <row r="57" spans="1:10" ht="15" customHeight="1">
      <c r="A57" s="23" t="s">
        <v>250</v>
      </c>
      <c r="B57" s="42"/>
      <c r="C57" s="42"/>
      <c r="D57" s="42"/>
      <c r="E57" s="42"/>
      <c r="F57" s="27"/>
      <c r="G57" s="119"/>
      <c r="H57" s="120"/>
      <c r="I57" s="120"/>
      <c r="J57" s="121"/>
    </row>
    <row r="58" spans="1:10" ht="15" customHeight="1">
      <c r="A58" s="102" t="s">
        <v>119</v>
      </c>
      <c r="B58" s="3" t="s">
        <v>165</v>
      </c>
      <c r="C58" s="16" t="s">
        <v>251</v>
      </c>
      <c r="D58" s="3" t="s">
        <v>119</v>
      </c>
      <c r="E58" s="3" t="s">
        <v>165</v>
      </c>
      <c r="F58" s="16" t="s">
        <v>252</v>
      </c>
      <c r="G58" s="122"/>
      <c r="H58" s="32"/>
      <c r="I58" s="32"/>
      <c r="J58" s="46"/>
    </row>
    <row r="59" spans="1:10" ht="15" customHeight="1">
      <c r="A59" s="126">
        <v>0</v>
      </c>
      <c r="B59" s="86">
        <v>0</v>
      </c>
      <c r="C59" s="87">
        <v>0.18395884335041046</v>
      </c>
      <c r="D59" s="128">
        <v>0.68736839294433594</v>
      </c>
      <c r="E59" s="86">
        <v>157.0169953930635</v>
      </c>
      <c r="F59" s="87">
        <v>607.53009033203125</v>
      </c>
      <c r="G59" s="122"/>
      <c r="H59" s="32"/>
      <c r="I59" s="32"/>
      <c r="J59" s="46"/>
    </row>
    <row r="60" spans="1:10" ht="15" customHeight="1">
      <c r="A60" s="130">
        <v>2.0000003278255463E-3</v>
      </c>
      <c r="B60" s="86">
        <v>120.03020113023558</v>
      </c>
      <c r="C60" s="87">
        <v>152.5877685546875</v>
      </c>
      <c r="D60" s="128">
        <v>0.79157894849777222</v>
      </c>
      <c r="E60" s="86">
        <v>157.00638093130567</v>
      </c>
      <c r="F60" s="87">
        <v>611.14862060546875</v>
      </c>
      <c r="G60" s="122"/>
      <c r="H60" s="32"/>
      <c r="I60" s="32"/>
      <c r="J60" s="46"/>
    </row>
    <row r="61" spans="1:10" ht="15" customHeight="1">
      <c r="A61" s="130">
        <v>1.0000001639127731E-2</v>
      </c>
      <c r="B61" s="86">
        <v>236</v>
      </c>
      <c r="C61" s="87">
        <v>463.96676635742188</v>
      </c>
      <c r="D61" s="128">
        <v>0.89578944444656372</v>
      </c>
      <c r="E61" s="86">
        <v>157.00431941948685</v>
      </c>
      <c r="F61" s="87">
        <v>614.2423095703125</v>
      </c>
      <c r="G61" s="122"/>
      <c r="H61" s="32"/>
      <c r="I61" s="32"/>
      <c r="J61" s="46"/>
    </row>
    <row r="62" spans="1:10" ht="15" customHeight="1">
      <c r="A62" s="126">
        <v>6.2105264514684677E-2</v>
      </c>
      <c r="B62" s="86">
        <v>179.25028418625288</v>
      </c>
      <c r="C62" s="87">
        <v>544.88104248046875</v>
      </c>
      <c r="D62" s="129">
        <v>1</v>
      </c>
      <c r="E62" s="86">
        <v>157</v>
      </c>
      <c r="F62" s="87">
        <v>616.9154052734375</v>
      </c>
      <c r="G62" s="122"/>
      <c r="H62" s="32"/>
      <c r="I62" s="32"/>
      <c r="J62" s="46"/>
    </row>
    <row r="63" spans="1:10" ht="15" customHeight="1" thickBot="1">
      <c r="A63" s="126">
        <v>0.11421053111553192</v>
      </c>
      <c r="B63" s="86">
        <v>162.91340765176122</v>
      </c>
      <c r="C63" s="87">
        <v>566.622802734375</v>
      </c>
      <c r="D63" s="152"/>
      <c r="E63" s="88"/>
      <c r="F63" s="153"/>
      <c r="G63" s="122"/>
      <c r="H63" s="32"/>
      <c r="I63" s="32"/>
      <c r="J63" s="46"/>
    </row>
    <row r="64" spans="1:10" ht="15" customHeight="1">
      <c r="A64" s="126">
        <v>0.16631579399108887</v>
      </c>
      <c r="B64" s="86">
        <v>158.23856393927494</v>
      </c>
      <c r="C64" s="87">
        <v>575.7801513671875</v>
      </c>
      <c r="D64" s="154" t="s">
        <v>260</v>
      </c>
      <c r="E64" s="155"/>
      <c r="F64" s="155"/>
      <c r="G64" s="122"/>
      <c r="H64" s="32"/>
      <c r="I64" s="32"/>
      <c r="J64" s="46"/>
    </row>
    <row r="65" spans="1:10" ht="15" customHeight="1">
      <c r="A65" s="126">
        <v>0.27052631974220276</v>
      </c>
      <c r="B65" s="86">
        <v>157.10051882920564</v>
      </c>
      <c r="C65" s="87">
        <v>585.67138671875</v>
      </c>
      <c r="D65" s="156" t="s">
        <v>254</v>
      </c>
      <c r="E65" s="158" t="s">
        <v>258</v>
      </c>
      <c r="F65" s="158"/>
      <c r="G65" s="122"/>
      <c r="H65" s="32"/>
      <c r="I65" s="32"/>
      <c r="J65" s="46"/>
    </row>
    <row r="66" spans="1:10" ht="15" customHeight="1">
      <c r="A66" s="126">
        <v>0.37473684549331665</v>
      </c>
      <c r="B66" s="86">
        <v>157.06777840576933</v>
      </c>
      <c r="C66" s="87">
        <v>592.4610595703125</v>
      </c>
      <c r="D66" s="156" t="s">
        <v>255</v>
      </c>
      <c r="E66" s="158" t="s">
        <v>259</v>
      </c>
      <c r="F66" s="158"/>
      <c r="G66" s="122"/>
      <c r="H66" s="32"/>
      <c r="I66" s="32"/>
      <c r="J66" s="46"/>
    </row>
    <row r="67" spans="1:10" ht="15" customHeight="1">
      <c r="A67" s="126">
        <v>0.47894737124443054</v>
      </c>
      <c r="B67" s="86">
        <v>157.04984085869543</v>
      </c>
      <c r="C67" s="87">
        <v>598.26995849609375</v>
      </c>
      <c r="D67" s="156" t="s">
        <v>256</v>
      </c>
      <c r="E67" s="158" t="s">
        <v>261</v>
      </c>
      <c r="F67" s="158"/>
      <c r="G67" s="122"/>
      <c r="H67" s="32"/>
      <c r="I67" s="32"/>
      <c r="J67" s="46"/>
    </row>
    <row r="68" spans="1:10" ht="15" customHeight="1" thickBot="1">
      <c r="A68" s="127">
        <v>0.58315789699554443</v>
      </c>
      <c r="B68" s="88">
        <v>157.03360022251377</v>
      </c>
      <c r="C68" s="89">
        <v>603.271484375</v>
      </c>
      <c r="D68" s="157" t="s">
        <v>257</v>
      </c>
      <c r="E68" s="159" t="s">
        <v>262</v>
      </c>
      <c r="F68" s="159"/>
      <c r="G68" s="123"/>
      <c r="H68" s="47"/>
      <c r="I68" s="47"/>
      <c r="J68" s="48"/>
    </row>
    <row r="69" spans="1:10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151" t="s">
        <v>253</v>
      </c>
      <c r="B99" s="151"/>
      <c r="C99" s="151"/>
      <c r="D99" s="151"/>
      <c r="E99" s="151"/>
      <c r="F99" s="151"/>
      <c r="G99" s="151"/>
      <c r="H99" s="151"/>
      <c r="I99" s="151"/>
    </row>
    <row r="100" spans="1:9">
      <c r="A100" s="151">
        <v>100</v>
      </c>
      <c r="B100" s="151"/>
      <c r="C100" s="151"/>
      <c r="D100" s="151"/>
      <c r="E100" s="151"/>
      <c r="F100" s="151"/>
      <c r="G100" s="151"/>
      <c r="H100" s="151"/>
      <c r="I100" s="151"/>
    </row>
    <row r="101" spans="1:9">
      <c r="A101" s="151">
        <v>99.599998474121094</v>
      </c>
      <c r="B101" s="151"/>
      <c r="C101" s="151"/>
      <c r="D101" s="151"/>
      <c r="E101" s="151"/>
      <c r="F101" s="151"/>
      <c r="G101" s="151"/>
      <c r="H101" s="151"/>
      <c r="I101" s="151"/>
    </row>
    <row r="102" spans="1:9">
      <c r="A102" s="151">
        <v>98</v>
      </c>
      <c r="B102" s="151"/>
      <c r="C102" s="151"/>
      <c r="D102" s="151"/>
      <c r="E102" s="151"/>
      <c r="F102" s="151"/>
      <c r="G102" s="151"/>
      <c r="H102" s="151"/>
      <c r="I102" s="151"/>
    </row>
    <row r="103" spans="1:9">
      <c r="A103" s="151">
        <v>83.852630615234375</v>
      </c>
      <c r="B103" s="151"/>
      <c r="C103" s="151"/>
      <c r="D103" s="151"/>
      <c r="E103" s="151"/>
      <c r="F103" s="151"/>
      <c r="G103" s="151"/>
      <c r="H103" s="151"/>
      <c r="I103" s="151"/>
    </row>
    <row r="104" spans="1:9">
      <c r="A104" s="151">
        <v>70.305259704589844</v>
      </c>
      <c r="B104" s="151"/>
      <c r="C104" s="151"/>
      <c r="D104" s="151"/>
      <c r="E104" s="151"/>
      <c r="F104" s="151"/>
      <c r="G104" s="151"/>
      <c r="H104" s="151"/>
      <c r="I104" s="151"/>
    </row>
    <row r="105" spans="1:9">
      <c r="A105" s="151">
        <v>57.410526275634766</v>
      </c>
      <c r="B105" s="151"/>
      <c r="C105" s="151"/>
      <c r="D105" s="151"/>
      <c r="E105" s="151"/>
      <c r="F105" s="151"/>
      <c r="G105" s="151"/>
      <c r="H105" s="151"/>
      <c r="I105" s="151"/>
    </row>
    <row r="106" spans="1:9">
      <c r="A106" s="151">
        <v>38.010524749755859</v>
      </c>
      <c r="B106" s="151"/>
      <c r="C106" s="151"/>
      <c r="D106" s="151"/>
      <c r="E106" s="151"/>
      <c r="F106" s="151"/>
      <c r="G106" s="151"/>
      <c r="H106" s="151"/>
      <c r="I106" s="151"/>
    </row>
    <row r="107" spans="1:9">
      <c r="A107" s="151">
        <v>24.778947830200195</v>
      </c>
      <c r="B107" s="151"/>
      <c r="C107" s="151"/>
      <c r="D107" s="151"/>
      <c r="E107" s="151"/>
      <c r="F107" s="151"/>
      <c r="G107" s="151"/>
      <c r="H107" s="151"/>
      <c r="I107" s="151"/>
    </row>
    <row r="108" spans="1:9">
      <c r="A108" s="151">
        <v>15.684209823608398</v>
      </c>
      <c r="B108" s="151"/>
      <c r="C108" s="151"/>
      <c r="D108" s="151"/>
      <c r="E108" s="151"/>
      <c r="F108" s="151"/>
      <c r="G108" s="151"/>
      <c r="H108" s="151"/>
      <c r="I108" s="151"/>
    </row>
    <row r="109" spans="1:9">
      <c r="A109" s="151">
        <v>9.0105257034301758</v>
      </c>
      <c r="B109" s="151"/>
      <c r="C109" s="151"/>
      <c r="D109" s="151"/>
      <c r="E109" s="151"/>
      <c r="F109" s="151"/>
      <c r="G109" s="151"/>
      <c r="H109" s="151"/>
      <c r="I109" s="151"/>
    </row>
    <row r="110" spans="1:9">
      <c r="A110" s="151">
        <v>6.2526321411132813</v>
      </c>
      <c r="B110" s="151"/>
      <c r="C110" s="151"/>
      <c r="D110" s="151"/>
      <c r="E110" s="151"/>
      <c r="F110" s="151"/>
      <c r="G110" s="151"/>
      <c r="H110" s="151"/>
      <c r="I110" s="151"/>
    </row>
    <row r="111" spans="1:9">
      <c r="A111" s="151">
        <v>7.8315787315368652</v>
      </c>
      <c r="B111" s="151"/>
      <c r="C111" s="151"/>
      <c r="D111" s="151"/>
      <c r="E111" s="151"/>
      <c r="F111" s="151"/>
      <c r="G111" s="151"/>
      <c r="H111" s="151"/>
      <c r="I111" s="151"/>
    </row>
    <row r="112" spans="1:9">
      <c r="A112" s="151">
        <v>14.70526123046875</v>
      </c>
      <c r="B112" s="151"/>
      <c r="C112" s="151"/>
      <c r="D112" s="151"/>
      <c r="E112" s="151"/>
      <c r="F112" s="151"/>
      <c r="G112" s="151"/>
      <c r="H112" s="151"/>
      <c r="I112" s="151"/>
    </row>
    <row r="113" spans="1:9">
      <c r="A113" s="151">
        <v>30</v>
      </c>
      <c r="B113" s="151"/>
      <c r="C113" s="151"/>
      <c r="D113" s="151"/>
      <c r="E113" s="151"/>
      <c r="F113" s="151"/>
      <c r="G113" s="151"/>
      <c r="H113" s="151"/>
      <c r="I113" s="151"/>
    </row>
  </sheetData>
  <printOptions horizontalCentered="1"/>
  <pageMargins left="0.86614173228346503" right="0" top="0.23622047244094499" bottom="0.23622047244094499" header="0" footer="0"/>
  <pageSetup scale="76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opLeftCell="A10" workbookViewId="0">
      <selection activeCell="J26" sqref="J26"/>
    </sheetView>
  </sheetViews>
  <sheetFormatPr defaultColWidth="9.140625" defaultRowHeight="15.75"/>
  <cols>
    <col min="1" max="1" width="11.85546875" style="305" customWidth="1"/>
    <col min="2" max="2" width="6.140625" style="305" customWidth="1"/>
    <col min="3" max="3" width="7.42578125" style="305" customWidth="1"/>
    <col min="4" max="5" width="12.5703125" style="305" customWidth="1"/>
    <col min="6" max="6" width="9.42578125" style="305" customWidth="1"/>
    <col min="7" max="7" width="5.7109375" style="305" customWidth="1"/>
    <col min="8" max="8" width="7.85546875" style="305" customWidth="1"/>
    <col min="9" max="9" width="6.5703125" style="305" customWidth="1"/>
    <col min="10" max="11" width="12" style="305" customWidth="1"/>
    <col min="12" max="26" width="9.140625" style="160"/>
    <col min="27" max="16384" width="9.140625" style="161"/>
  </cols>
  <sheetData>
    <row r="1" spans="1:26" ht="20.25" customHeight="1">
      <c r="A1" s="500" t="s">
        <v>263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</row>
    <row r="2" spans="1:26" ht="20.25" customHeight="1">
      <c r="A2" s="501" t="s">
        <v>264</v>
      </c>
      <c r="B2" s="501"/>
      <c r="C2" s="501"/>
      <c r="D2" s="501"/>
      <c r="E2" s="501"/>
      <c r="F2" s="501"/>
      <c r="G2" s="501"/>
      <c r="H2" s="501"/>
      <c r="I2" s="501"/>
      <c r="J2" s="501"/>
      <c r="K2" s="501"/>
    </row>
    <row r="3" spans="1:26" ht="18.75" customHeight="1" thickBot="1">
      <c r="A3" s="162" t="s">
        <v>1</v>
      </c>
      <c r="B3" s="163" t="s">
        <v>373</v>
      </c>
      <c r="C3" s="164"/>
      <c r="D3" s="164"/>
      <c r="E3" s="164"/>
      <c r="F3" s="165"/>
      <c r="G3" s="164"/>
      <c r="H3" s="164"/>
      <c r="I3" s="162" t="s">
        <v>265</v>
      </c>
      <c r="J3" s="502" t="s">
        <v>635</v>
      </c>
      <c r="K3" s="502"/>
    </row>
    <row r="4" spans="1:26" s="174" customFormat="1" ht="18.399999999999999" customHeight="1" thickBot="1">
      <c r="A4" s="166" t="s">
        <v>374</v>
      </c>
      <c r="B4" s="167"/>
      <c r="C4" s="168"/>
      <c r="D4" s="168"/>
      <c r="E4" s="168"/>
      <c r="F4" s="168"/>
      <c r="G4" s="168"/>
      <c r="H4" s="168"/>
      <c r="I4" s="168"/>
      <c r="J4" s="168"/>
      <c r="K4" s="169"/>
      <c r="L4" s="170"/>
      <c r="M4" s="170"/>
      <c r="N4" s="170"/>
      <c r="O4" s="170"/>
      <c r="P4" s="170"/>
      <c r="Q4" s="171" t="s">
        <v>266</v>
      </c>
      <c r="R4" s="172"/>
      <c r="S4" s="170"/>
      <c r="T4" s="171" t="s">
        <v>267</v>
      </c>
      <c r="U4" s="173"/>
      <c r="V4" s="170"/>
      <c r="W4" s="170"/>
      <c r="X4" s="170"/>
      <c r="Y4" s="170"/>
      <c r="Z4" s="170"/>
    </row>
    <row r="5" spans="1:26" s="174" customFormat="1" ht="18.399999999999999" customHeight="1">
      <c r="A5" s="503" t="s">
        <v>268</v>
      </c>
      <c r="B5" s="504"/>
      <c r="C5" s="504"/>
      <c r="D5" s="175"/>
      <c r="E5" s="176"/>
      <c r="F5" s="177" t="s">
        <v>269</v>
      </c>
      <c r="G5" s="164"/>
      <c r="H5" s="164"/>
      <c r="I5" s="178"/>
      <c r="J5" s="179" t="s">
        <v>270</v>
      </c>
      <c r="K5" s="180" t="s">
        <v>271</v>
      </c>
      <c r="L5" s="170"/>
      <c r="M5" s="170"/>
      <c r="N5" s="170"/>
      <c r="O5" s="170"/>
      <c r="P5" s="170"/>
      <c r="Q5" s="181" t="s">
        <v>272</v>
      </c>
      <c r="R5" s="182"/>
      <c r="S5" s="170"/>
      <c r="T5" s="181" t="s">
        <v>273</v>
      </c>
      <c r="U5" s="183"/>
      <c r="V5" s="170"/>
      <c r="W5" s="170"/>
      <c r="X5" s="170"/>
      <c r="Y5" s="170"/>
      <c r="Z5" s="170"/>
    </row>
    <row r="6" spans="1:26" s="174" customFormat="1" ht="18.399999999999999" customHeight="1">
      <c r="A6" s="505" t="s">
        <v>67</v>
      </c>
      <c r="B6" s="506"/>
      <c r="C6" s="506"/>
      <c r="D6" s="507" t="s">
        <v>277</v>
      </c>
      <c r="E6" s="508"/>
      <c r="F6" s="509" t="s">
        <v>275</v>
      </c>
      <c r="G6" s="510"/>
      <c r="H6" s="510"/>
      <c r="I6" s="510"/>
      <c r="J6" s="510"/>
      <c r="K6" s="511"/>
      <c r="L6" s="170"/>
      <c r="M6" s="170"/>
      <c r="N6" s="170"/>
      <c r="O6" s="170"/>
      <c r="P6" s="170"/>
      <c r="Q6" s="181" t="s">
        <v>276</v>
      </c>
      <c r="R6" s="182"/>
      <c r="S6" s="170"/>
      <c r="T6" s="181" t="s">
        <v>277</v>
      </c>
      <c r="U6" s="183"/>
      <c r="V6" s="170"/>
      <c r="W6" s="170"/>
      <c r="X6" s="170"/>
      <c r="Y6" s="170"/>
      <c r="Z6" s="170"/>
    </row>
    <row r="7" spans="1:26" s="174" customFormat="1" ht="18.399999999999999" customHeight="1">
      <c r="A7" s="515" t="s">
        <v>20</v>
      </c>
      <c r="B7" s="516"/>
      <c r="C7" s="516"/>
      <c r="D7" s="517">
        <v>3.5</v>
      </c>
      <c r="E7" s="518"/>
      <c r="F7" s="184" t="s">
        <v>278</v>
      </c>
      <c r="G7" s="185"/>
      <c r="H7" s="186"/>
      <c r="I7" s="187"/>
      <c r="J7" s="188">
        <v>123</v>
      </c>
      <c r="K7" s="189" t="s">
        <v>174</v>
      </c>
      <c r="L7" s="170"/>
      <c r="M7" s="170"/>
      <c r="N7" s="170"/>
      <c r="O7" s="170"/>
      <c r="P7" s="170"/>
      <c r="Q7" s="181" t="s">
        <v>279</v>
      </c>
      <c r="R7" s="182"/>
      <c r="S7" s="170"/>
      <c r="T7" s="181" t="s">
        <v>274</v>
      </c>
      <c r="U7" s="183"/>
      <c r="V7" s="170"/>
      <c r="W7" s="170"/>
      <c r="X7" s="170"/>
      <c r="Y7" s="170"/>
      <c r="Z7" s="170"/>
    </row>
    <row r="8" spans="1:26" s="174" customFormat="1" ht="18.399999999999999" customHeight="1">
      <c r="A8" s="515" t="s">
        <v>280</v>
      </c>
      <c r="B8" s="516"/>
      <c r="C8" s="516"/>
      <c r="D8" s="519">
        <v>1030</v>
      </c>
      <c r="E8" s="520"/>
      <c r="F8" s="190" t="s">
        <v>281</v>
      </c>
      <c r="G8" s="191"/>
      <c r="H8" s="192"/>
      <c r="I8" s="193"/>
      <c r="J8" s="194">
        <v>48360</v>
      </c>
      <c r="K8" s="195" t="s">
        <v>174</v>
      </c>
      <c r="L8" s="170"/>
      <c r="M8" s="170"/>
      <c r="N8" s="170"/>
      <c r="O8" s="170"/>
      <c r="P8" s="170"/>
      <c r="Q8" s="181" t="s">
        <v>282</v>
      </c>
      <c r="R8" s="182"/>
      <c r="S8" s="170"/>
      <c r="T8" s="181" t="s">
        <v>283</v>
      </c>
      <c r="U8" s="183"/>
      <c r="V8" s="170"/>
      <c r="W8" s="170"/>
      <c r="X8" s="170"/>
      <c r="Y8" s="170"/>
      <c r="Z8" s="170"/>
    </row>
    <row r="9" spans="1:26" s="174" customFormat="1" ht="18.399999999999999" customHeight="1">
      <c r="A9" s="521" t="s">
        <v>284</v>
      </c>
      <c r="B9" s="522"/>
      <c r="C9" s="523"/>
      <c r="D9" s="519">
        <v>7</v>
      </c>
      <c r="E9" s="520"/>
      <c r="F9" s="184" t="s">
        <v>285</v>
      </c>
      <c r="G9" s="185"/>
      <c r="H9" s="196">
        <v>3</v>
      </c>
      <c r="I9" s="197" t="s">
        <v>286</v>
      </c>
      <c r="J9" s="198">
        <v>3369</v>
      </c>
      <c r="K9" s="195" t="s">
        <v>174</v>
      </c>
      <c r="L9" s="170"/>
      <c r="M9" s="170"/>
      <c r="N9" s="170"/>
      <c r="O9" s="170"/>
      <c r="P9" s="170"/>
      <c r="Q9" s="181" t="s">
        <v>287</v>
      </c>
      <c r="R9" s="182"/>
      <c r="S9" s="170"/>
      <c r="T9" s="181" t="s">
        <v>288</v>
      </c>
      <c r="U9" s="183"/>
      <c r="V9" s="170"/>
      <c r="W9" s="170"/>
      <c r="X9" s="170"/>
      <c r="Y9" s="170"/>
      <c r="Z9" s="170"/>
    </row>
    <row r="10" spans="1:26" s="174" customFormat="1" ht="18.399999999999999" customHeight="1" thickBot="1">
      <c r="A10" s="521" t="s">
        <v>289</v>
      </c>
      <c r="B10" s="522"/>
      <c r="C10" s="523"/>
      <c r="D10" s="524" t="s">
        <v>186</v>
      </c>
      <c r="E10" s="525"/>
      <c r="F10" s="184" t="s">
        <v>290</v>
      </c>
      <c r="G10" s="185"/>
      <c r="H10" s="196">
        <v>3</v>
      </c>
      <c r="I10" s="197" t="s">
        <v>286</v>
      </c>
      <c r="J10" s="198">
        <v>1150</v>
      </c>
      <c r="K10" s="195" t="s">
        <v>174</v>
      </c>
      <c r="L10" s="170"/>
      <c r="M10" s="170"/>
      <c r="N10" s="170"/>
      <c r="O10" s="170"/>
      <c r="P10" s="170"/>
      <c r="Q10" s="181" t="s">
        <v>291</v>
      </c>
      <c r="R10" s="182"/>
      <c r="S10" s="170"/>
      <c r="T10" s="199" t="s">
        <v>292</v>
      </c>
      <c r="U10" s="200"/>
      <c r="V10" s="170"/>
      <c r="W10" s="170"/>
      <c r="X10" s="170"/>
      <c r="Y10" s="170"/>
      <c r="Z10" s="170"/>
    </row>
    <row r="11" spans="1:26" s="174" customFormat="1" ht="18.399999999999999" customHeight="1" thickBot="1">
      <c r="A11" s="521" t="s">
        <v>293</v>
      </c>
      <c r="B11" s="522"/>
      <c r="C11" s="523"/>
      <c r="D11" s="526" t="s">
        <v>174</v>
      </c>
      <c r="E11" s="527"/>
      <c r="F11" s="201" t="s">
        <v>294</v>
      </c>
      <c r="G11" s="202"/>
      <c r="H11" s="203">
        <v>3</v>
      </c>
      <c r="I11" s="197" t="s">
        <v>286</v>
      </c>
      <c r="J11" s="204">
        <v>130879</v>
      </c>
      <c r="K11" s="205" t="s">
        <v>174</v>
      </c>
      <c r="L11" s="170"/>
      <c r="M11" s="170"/>
      <c r="N11" s="170"/>
      <c r="O11" s="170"/>
      <c r="P11" s="170"/>
      <c r="Q11" s="199" t="s">
        <v>295</v>
      </c>
      <c r="R11" s="206"/>
      <c r="S11" s="170"/>
      <c r="T11" s="170"/>
      <c r="U11" s="170"/>
      <c r="V11" s="170"/>
      <c r="W11" s="170"/>
      <c r="X11" s="170"/>
      <c r="Y11" s="170"/>
      <c r="Z11" s="170"/>
    </row>
    <row r="12" spans="1:26" s="174" customFormat="1" ht="18.399999999999999" customHeight="1">
      <c r="A12" s="207" t="s">
        <v>296</v>
      </c>
      <c r="C12" s="208"/>
      <c r="D12" s="528" t="s">
        <v>174</v>
      </c>
      <c r="E12" s="529"/>
      <c r="F12" s="512" t="s">
        <v>297</v>
      </c>
      <c r="G12" s="513"/>
      <c r="H12" s="513"/>
      <c r="I12" s="513"/>
      <c r="J12" s="513"/>
      <c r="K12" s="514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 spans="1:26" s="174" customFormat="1" ht="18.399999999999999" customHeight="1">
      <c r="A13" s="521" t="s">
        <v>53</v>
      </c>
      <c r="B13" s="522"/>
      <c r="C13" s="523"/>
      <c r="D13" s="530" t="s">
        <v>376</v>
      </c>
      <c r="E13" s="531"/>
      <c r="F13" s="209"/>
      <c r="G13" s="210" t="s">
        <v>298</v>
      </c>
      <c r="H13" s="211"/>
      <c r="I13" s="212" t="s">
        <v>299</v>
      </c>
      <c r="J13" s="213" t="s">
        <v>378</v>
      </c>
      <c r="K13" s="214" t="s">
        <v>174</v>
      </c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spans="1:26" s="174" customFormat="1" ht="18.399999999999999" customHeight="1">
      <c r="A14" s="521" t="s">
        <v>56</v>
      </c>
      <c r="B14" s="522"/>
      <c r="C14" s="523"/>
      <c r="D14" s="528">
        <v>1917</v>
      </c>
      <c r="E14" s="529"/>
      <c r="F14" s="209"/>
      <c r="G14" s="215" t="s">
        <v>10</v>
      </c>
      <c r="H14" s="216"/>
      <c r="I14" s="216"/>
      <c r="J14" s="198" t="s">
        <v>174</v>
      </c>
      <c r="K14" s="195" t="s">
        <v>174</v>
      </c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 spans="1:26" s="174" customFormat="1" ht="18.399999999999999" customHeight="1">
      <c r="A15" s="532" t="s">
        <v>300</v>
      </c>
      <c r="B15" s="533"/>
      <c r="C15" s="534"/>
      <c r="D15" s="535">
        <v>11.533200263977051</v>
      </c>
      <c r="E15" s="536"/>
      <c r="F15" s="209"/>
      <c r="G15" s="215" t="s">
        <v>301</v>
      </c>
      <c r="H15" s="216"/>
      <c r="I15" s="216"/>
      <c r="J15" s="198" t="s">
        <v>174</v>
      </c>
      <c r="K15" s="195" t="s">
        <v>174</v>
      </c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 spans="1:26" s="174" customFormat="1" ht="18.399999999999999" customHeight="1">
      <c r="A16" s="537" t="s">
        <v>302</v>
      </c>
      <c r="B16" s="538"/>
      <c r="C16" s="539"/>
      <c r="D16" s="535">
        <v>3.7935991287231445</v>
      </c>
      <c r="E16" s="536"/>
      <c r="F16" s="217"/>
      <c r="G16" s="218" t="s">
        <v>17</v>
      </c>
      <c r="H16" s="219"/>
      <c r="I16" s="219"/>
      <c r="J16" s="204" t="s">
        <v>174</v>
      </c>
      <c r="K16" s="205" t="s">
        <v>174</v>
      </c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 spans="1:26" s="174" customFormat="1" ht="18.399999999999999" customHeight="1">
      <c r="A17" s="220" t="s">
        <v>303</v>
      </c>
      <c r="B17" s="221"/>
      <c r="C17" s="222"/>
      <c r="D17" s="526" t="s">
        <v>375</v>
      </c>
      <c r="E17" s="527"/>
      <c r="F17" s="512" t="s">
        <v>304</v>
      </c>
      <c r="G17" s="513"/>
      <c r="H17" s="513"/>
      <c r="I17" s="513"/>
      <c r="J17" s="513"/>
      <c r="K17" s="514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</row>
    <row r="18" spans="1:26" s="174" customFormat="1" ht="18.399999999999999" customHeight="1">
      <c r="A18" s="223" t="s">
        <v>305</v>
      </c>
      <c r="B18" s="224"/>
      <c r="C18" s="222"/>
      <c r="D18" s="524" t="s">
        <v>174</v>
      </c>
      <c r="E18" s="525"/>
      <c r="F18" s="540"/>
      <c r="G18" s="541"/>
      <c r="H18" s="225" t="s">
        <v>306</v>
      </c>
      <c r="I18" s="226"/>
      <c r="J18" s="194">
        <v>603</v>
      </c>
      <c r="K18" s="195"/>
      <c r="L18" s="170"/>
      <c r="M18" s="170">
        <f>J18*6.5</f>
        <v>3919.5</v>
      </c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</row>
    <row r="19" spans="1:26" s="174" customFormat="1" ht="18.399999999999999" customHeight="1">
      <c r="A19" s="546" t="s">
        <v>307</v>
      </c>
      <c r="B19" s="547"/>
      <c r="C19" s="548"/>
      <c r="D19" s="549" t="s">
        <v>174</v>
      </c>
      <c r="E19" s="527"/>
      <c r="F19" s="542"/>
      <c r="G19" s="543"/>
      <c r="H19" s="225" t="s">
        <v>5</v>
      </c>
      <c r="I19" s="187"/>
      <c r="J19" s="194">
        <v>3587</v>
      </c>
      <c r="K19" s="195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</row>
    <row r="20" spans="1:26" s="174" customFormat="1" ht="18.399999999999999" customHeight="1" thickBot="1">
      <c r="A20" s="227" t="s">
        <v>308</v>
      </c>
      <c r="C20" s="228"/>
      <c r="D20" s="550" t="s">
        <v>185</v>
      </c>
      <c r="E20" s="520"/>
      <c r="F20" s="542"/>
      <c r="G20" s="543"/>
      <c r="H20" s="225" t="s">
        <v>309</v>
      </c>
      <c r="I20" s="187"/>
      <c r="J20" s="198" t="s">
        <v>356</v>
      </c>
      <c r="K20" s="195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spans="1:26" s="174" customFormat="1" ht="18.399999999999999" customHeight="1" thickBot="1">
      <c r="A21" s="532" t="s">
        <v>310</v>
      </c>
      <c r="B21" s="533"/>
      <c r="C21" s="534"/>
      <c r="D21" s="519" t="s">
        <v>174</v>
      </c>
      <c r="E21" s="520"/>
      <c r="F21" s="542"/>
      <c r="G21" s="543"/>
      <c r="H21" s="229" t="s">
        <v>311</v>
      </c>
      <c r="I21" s="187"/>
      <c r="J21" s="198">
        <v>1.1499999999999999</v>
      </c>
      <c r="K21" s="195"/>
      <c r="L21" s="170"/>
      <c r="M21" s="170"/>
      <c r="N21" s="170"/>
      <c r="O21" s="170"/>
      <c r="P21" s="170"/>
      <c r="Q21" s="171" t="s">
        <v>312</v>
      </c>
      <c r="R21" s="173"/>
      <c r="S21" s="170"/>
      <c r="T21" s="170"/>
      <c r="U21" s="170"/>
      <c r="V21" s="170"/>
      <c r="W21" s="170"/>
      <c r="X21" s="170"/>
      <c r="Y21" s="170"/>
      <c r="Z21" s="170"/>
    </row>
    <row r="22" spans="1:26" s="174" customFormat="1" ht="18.399999999999999" customHeight="1">
      <c r="A22" s="223" t="s">
        <v>313</v>
      </c>
      <c r="B22" s="230"/>
      <c r="C22" s="230"/>
      <c r="D22" s="551">
        <v>5.3999999999999999E-2</v>
      </c>
      <c r="E22" s="552"/>
      <c r="F22" s="542"/>
      <c r="G22" s="543"/>
      <c r="H22" s="225" t="s">
        <v>270</v>
      </c>
      <c r="I22" s="187"/>
      <c r="J22" s="198" t="s">
        <v>637</v>
      </c>
      <c r="K22" s="195"/>
      <c r="L22" s="170"/>
      <c r="M22" s="170"/>
      <c r="N22" s="170"/>
      <c r="O22" s="170"/>
      <c r="P22" s="170"/>
      <c r="Q22" s="181" t="s">
        <v>314</v>
      </c>
      <c r="R22" s="183"/>
      <c r="S22" s="170"/>
      <c r="T22" s="170"/>
      <c r="U22" s="170"/>
      <c r="V22" s="170"/>
      <c r="W22" s="170"/>
      <c r="X22" s="170"/>
      <c r="Y22" s="170"/>
      <c r="Z22" s="170"/>
    </row>
    <row r="23" spans="1:26" s="174" customFormat="1" ht="18.399999999999999" customHeight="1">
      <c r="A23" s="231" t="s">
        <v>315</v>
      </c>
      <c r="B23" s="232" t="s">
        <v>316</v>
      </c>
      <c r="C23" s="233"/>
      <c r="D23" s="530">
        <v>1210</v>
      </c>
      <c r="E23" s="531"/>
      <c r="F23" s="542"/>
      <c r="G23" s="543"/>
      <c r="H23" s="234" t="s">
        <v>317</v>
      </c>
      <c r="I23" s="235"/>
      <c r="J23" s="236" t="s">
        <v>174</v>
      </c>
      <c r="K23" s="237"/>
      <c r="L23" s="170"/>
      <c r="Q23" s="181" t="s">
        <v>318</v>
      </c>
      <c r="R23" s="183"/>
      <c r="S23" s="170"/>
      <c r="T23" s="170"/>
      <c r="U23" s="170"/>
      <c r="V23" s="170"/>
      <c r="W23" s="170"/>
      <c r="X23" s="170"/>
      <c r="Y23" s="170"/>
      <c r="Z23" s="170"/>
    </row>
    <row r="24" spans="1:26" s="174" customFormat="1" ht="18.399999999999999" customHeight="1" thickBot="1">
      <c r="A24" s="238" t="s">
        <v>319</v>
      </c>
      <c r="B24" s="239" t="s">
        <v>320</v>
      </c>
      <c r="C24" s="240"/>
      <c r="D24" s="553" t="s">
        <v>174</v>
      </c>
      <c r="E24" s="554"/>
      <c r="F24" s="542"/>
      <c r="G24" s="543"/>
      <c r="H24" s="225" t="s">
        <v>321</v>
      </c>
      <c r="I24" s="208"/>
      <c r="J24" s="241" t="s">
        <v>174</v>
      </c>
      <c r="K24" s="242"/>
      <c r="Q24" s="243" t="s">
        <v>174</v>
      </c>
      <c r="R24" s="244"/>
      <c r="S24" s="170"/>
      <c r="T24" s="170"/>
      <c r="U24" s="170"/>
      <c r="V24" s="170"/>
      <c r="W24" s="170"/>
      <c r="X24" s="170"/>
      <c r="Y24" s="170"/>
      <c r="Z24" s="170"/>
    </row>
    <row r="25" spans="1:26" s="174" customFormat="1" ht="18.399999999999999" customHeight="1">
      <c r="A25" s="245" t="s">
        <v>322</v>
      </c>
      <c r="B25" s="246"/>
      <c r="C25" s="246"/>
      <c r="D25" s="247"/>
      <c r="E25" s="247" t="s">
        <v>323</v>
      </c>
      <c r="F25" s="542"/>
      <c r="G25" s="543"/>
      <c r="H25" s="225" t="s">
        <v>324</v>
      </c>
      <c r="I25" s="208"/>
      <c r="J25" s="248" t="s">
        <v>174</v>
      </c>
      <c r="K25" s="242"/>
      <c r="R25" s="170"/>
      <c r="S25" s="170"/>
      <c r="T25" s="170"/>
      <c r="U25" s="170"/>
      <c r="V25" s="170"/>
      <c r="W25" s="170"/>
      <c r="X25" s="170"/>
      <c r="Y25" s="170"/>
      <c r="Z25" s="170"/>
    </row>
    <row r="26" spans="1:26" s="174" customFormat="1" ht="18.399999999999999" customHeight="1">
      <c r="A26" s="249" t="s">
        <v>325</v>
      </c>
      <c r="B26" s="250"/>
      <c r="C26" s="251"/>
      <c r="D26" s="252" t="s">
        <v>379</v>
      </c>
      <c r="E26" s="252" t="s">
        <v>380</v>
      </c>
      <c r="F26" s="544"/>
      <c r="G26" s="545"/>
      <c r="H26" s="555"/>
      <c r="I26" s="556"/>
      <c r="J26" s="253"/>
      <c r="K26" s="254"/>
      <c r="R26" s="170"/>
      <c r="S26" s="170"/>
      <c r="T26" s="170"/>
      <c r="U26" s="170"/>
      <c r="V26" s="170"/>
      <c r="W26" s="170"/>
      <c r="X26" s="170"/>
      <c r="Y26" s="170"/>
      <c r="Z26" s="170"/>
    </row>
    <row r="27" spans="1:26" s="174" customFormat="1" ht="18.399999999999999" customHeight="1">
      <c r="A27" s="557" t="s">
        <v>326</v>
      </c>
      <c r="B27" s="558"/>
      <c r="C27" s="558"/>
      <c r="D27" s="558"/>
      <c r="E27" s="558"/>
      <c r="F27" s="509" t="s">
        <v>327</v>
      </c>
      <c r="G27" s="510"/>
      <c r="H27" s="510"/>
      <c r="I27" s="510"/>
      <c r="J27" s="510"/>
      <c r="K27" s="511"/>
      <c r="R27" s="170"/>
      <c r="S27" s="170"/>
      <c r="T27" s="170"/>
      <c r="U27" s="170"/>
      <c r="V27" s="170"/>
      <c r="W27" s="170"/>
      <c r="X27" s="170"/>
      <c r="Y27" s="170"/>
      <c r="Z27" s="170"/>
    </row>
    <row r="28" spans="1:26" s="174" customFormat="1" ht="18.399999999999999" customHeight="1">
      <c r="A28" s="561"/>
      <c r="B28" s="562"/>
      <c r="C28" s="562"/>
      <c r="D28" s="562"/>
      <c r="E28" s="563"/>
      <c r="F28" s="255"/>
      <c r="G28" s="256"/>
      <c r="H28" s="215" t="s">
        <v>328</v>
      </c>
      <c r="I28" s="257" t="s">
        <v>377</v>
      </c>
      <c r="J28" s="194">
        <v>3720</v>
      </c>
      <c r="K28" s="258" t="s">
        <v>174</v>
      </c>
      <c r="M28" s="174">
        <f>(J28/J18)*100</f>
        <v>616.91542288557218</v>
      </c>
      <c r="N28" s="259"/>
      <c r="R28" s="170"/>
      <c r="S28" s="170"/>
      <c r="T28" s="170"/>
      <c r="U28" s="170"/>
      <c r="V28" s="170"/>
      <c r="W28" s="170"/>
      <c r="X28" s="170"/>
      <c r="Y28" s="170"/>
      <c r="Z28" s="170"/>
    </row>
    <row r="29" spans="1:26" s="174" customFormat="1" ht="18.399999999999999" customHeight="1">
      <c r="A29" s="561"/>
      <c r="B29" s="562"/>
      <c r="C29" s="562"/>
      <c r="D29" s="562"/>
      <c r="E29" s="563"/>
      <c r="F29" s="260"/>
      <c r="G29" s="261"/>
      <c r="H29" s="215" t="s">
        <v>329</v>
      </c>
      <c r="I29" s="262">
        <v>60</v>
      </c>
      <c r="J29" s="194">
        <v>157</v>
      </c>
      <c r="K29" s="189" t="s">
        <v>174</v>
      </c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spans="1:26" s="174" customFormat="1" ht="18.399999999999999" customHeight="1">
      <c r="A30" s="561"/>
      <c r="B30" s="562"/>
      <c r="C30" s="562"/>
      <c r="D30" s="562"/>
      <c r="E30" s="563"/>
      <c r="F30" s="260"/>
      <c r="G30" s="261"/>
      <c r="H30" s="215" t="s">
        <v>330</v>
      </c>
      <c r="I30" s="262">
        <v>175</v>
      </c>
      <c r="J30" s="194">
        <v>236</v>
      </c>
      <c r="K30" s="189" t="s">
        <v>174</v>
      </c>
      <c r="L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spans="1:26" s="174" customFormat="1" ht="18.399999999999999" customHeight="1">
      <c r="A31" s="561"/>
      <c r="B31" s="562"/>
      <c r="C31" s="562"/>
      <c r="D31" s="562"/>
      <c r="E31" s="563"/>
      <c r="F31" s="260"/>
      <c r="G31" s="261"/>
      <c r="H31" s="215" t="s">
        <v>331</v>
      </c>
      <c r="I31" s="216"/>
      <c r="J31" s="263">
        <v>0.36</v>
      </c>
      <c r="K31" s="189" t="s">
        <v>174</v>
      </c>
      <c r="L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spans="1:26" s="174" customFormat="1" ht="18.399999999999999" customHeight="1">
      <c r="A32" s="564"/>
      <c r="B32" s="565"/>
      <c r="C32" s="565"/>
      <c r="D32" s="565"/>
      <c r="E32" s="566"/>
      <c r="F32" s="260"/>
      <c r="G32" s="264" t="s">
        <v>332</v>
      </c>
      <c r="H32" s="215" t="s">
        <v>333</v>
      </c>
      <c r="I32" s="265"/>
      <c r="J32" s="188">
        <v>96.9</v>
      </c>
      <c r="K32" s="189" t="s">
        <v>174</v>
      </c>
      <c r="L32" s="170"/>
      <c r="N32" s="266"/>
      <c r="R32" s="170"/>
      <c r="S32" s="170"/>
      <c r="T32" s="170"/>
      <c r="U32" s="170"/>
      <c r="V32" s="170"/>
      <c r="W32" s="170"/>
      <c r="X32" s="170"/>
      <c r="Y32" s="170"/>
      <c r="Z32" s="170"/>
    </row>
    <row r="33" spans="1:26" s="174" customFormat="1" ht="18.399999999999999" customHeight="1">
      <c r="A33" s="557" t="s">
        <v>334</v>
      </c>
      <c r="B33" s="558"/>
      <c r="C33" s="558"/>
      <c r="D33" s="558"/>
      <c r="E33" s="567"/>
      <c r="F33" s="267"/>
      <c r="G33" s="268"/>
      <c r="H33" s="269" t="s">
        <v>335</v>
      </c>
      <c r="I33" s="270"/>
      <c r="J33" s="271">
        <v>92.1</v>
      </c>
      <c r="K33" s="258" t="s">
        <v>174</v>
      </c>
      <c r="L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spans="1:26" s="174" customFormat="1" ht="18.399999999999999" customHeight="1">
      <c r="A34" s="561"/>
      <c r="B34" s="562"/>
      <c r="C34" s="562"/>
      <c r="D34" s="562"/>
      <c r="E34" s="563"/>
      <c r="F34" s="190" t="s">
        <v>336</v>
      </c>
      <c r="G34" s="272"/>
      <c r="H34" s="273" t="s">
        <v>14</v>
      </c>
      <c r="I34" s="274"/>
      <c r="J34" s="275">
        <v>23515</v>
      </c>
      <c r="K34" s="258" t="s">
        <v>174</v>
      </c>
      <c r="L34" s="276"/>
      <c r="M34" s="277"/>
      <c r="R34" s="170"/>
      <c r="S34" s="170"/>
      <c r="T34" s="170"/>
      <c r="U34" s="170"/>
      <c r="V34" s="170"/>
      <c r="W34" s="170"/>
      <c r="X34" s="170"/>
      <c r="Y34" s="170"/>
      <c r="Z34" s="170"/>
    </row>
    <row r="35" spans="1:26" s="174" customFormat="1" ht="18.399999999999999" customHeight="1">
      <c r="A35" s="561"/>
      <c r="B35" s="562"/>
      <c r="C35" s="562"/>
      <c r="D35" s="562"/>
      <c r="E35" s="563"/>
      <c r="F35" s="209"/>
      <c r="G35" s="278"/>
      <c r="H35" s="279" t="s">
        <v>15</v>
      </c>
      <c r="I35" s="280"/>
      <c r="J35" s="194">
        <v>13481</v>
      </c>
      <c r="K35" s="258" t="s">
        <v>174</v>
      </c>
      <c r="M35" s="277"/>
      <c r="R35" s="170"/>
      <c r="S35" s="170"/>
      <c r="T35" s="170"/>
      <c r="U35" s="170"/>
      <c r="V35" s="170"/>
      <c r="W35" s="170"/>
      <c r="X35" s="170"/>
      <c r="Y35" s="170"/>
      <c r="Z35" s="170"/>
    </row>
    <row r="36" spans="1:26" s="174" customFormat="1" ht="18.399999999999999" customHeight="1">
      <c r="A36" s="561"/>
      <c r="B36" s="562"/>
      <c r="C36" s="562"/>
      <c r="D36" s="562"/>
      <c r="E36" s="563"/>
      <c r="F36" s="209"/>
      <c r="G36" s="278"/>
      <c r="H36" s="279" t="s">
        <v>337</v>
      </c>
      <c r="I36" s="280"/>
      <c r="J36" s="194">
        <v>19194</v>
      </c>
      <c r="K36" s="258" t="s">
        <v>174</v>
      </c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spans="1:26" s="174" customFormat="1" ht="18.399999999999999" customHeight="1">
      <c r="A37" s="561"/>
      <c r="B37" s="562"/>
      <c r="C37" s="562"/>
      <c r="D37" s="562"/>
      <c r="E37" s="563"/>
      <c r="F37" s="260"/>
      <c r="G37" s="278"/>
      <c r="H37" s="279" t="s">
        <v>338</v>
      </c>
      <c r="I37" s="280"/>
      <c r="J37" s="194">
        <v>28349</v>
      </c>
      <c r="K37" s="281" t="s">
        <v>174</v>
      </c>
      <c r="M37" s="282"/>
      <c r="R37" s="170"/>
      <c r="S37" s="170"/>
      <c r="T37" s="170"/>
      <c r="U37" s="170"/>
      <c r="V37" s="170"/>
      <c r="W37" s="170"/>
      <c r="X37" s="170"/>
      <c r="Y37" s="170"/>
      <c r="Z37" s="170"/>
    </row>
    <row r="38" spans="1:26" s="174" customFormat="1" ht="18.399999999999999" customHeight="1">
      <c r="A38" s="564"/>
      <c r="B38" s="565"/>
      <c r="C38" s="565"/>
      <c r="D38" s="565"/>
      <c r="E38" s="566"/>
      <c r="F38" s="217"/>
      <c r="G38" s="283"/>
      <c r="H38" s="284" t="s">
        <v>339</v>
      </c>
      <c r="I38" s="285"/>
      <c r="J38" s="286">
        <v>33736</v>
      </c>
      <c r="K38" s="258" t="s">
        <v>174</v>
      </c>
      <c r="R38" s="170"/>
      <c r="S38" s="170"/>
      <c r="T38" s="170"/>
      <c r="U38" s="170"/>
      <c r="V38" s="170"/>
      <c r="W38" s="170"/>
      <c r="X38" s="170"/>
      <c r="Y38" s="170"/>
      <c r="Z38" s="170"/>
    </row>
    <row r="39" spans="1:26" s="174" customFormat="1" ht="18.399999999999999" customHeight="1">
      <c r="A39" s="557" t="s">
        <v>340</v>
      </c>
      <c r="B39" s="558"/>
      <c r="C39" s="558"/>
      <c r="D39" s="558"/>
      <c r="E39" s="558"/>
      <c r="F39" s="287" t="s">
        <v>341</v>
      </c>
      <c r="G39" s="288"/>
      <c r="H39" s="288"/>
      <c r="I39" s="288"/>
      <c r="J39" s="288"/>
      <c r="K39" s="289"/>
      <c r="R39" s="170"/>
      <c r="S39" s="170"/>
      <c r="T39" s="170"/>
      <c r="U39" s="170"/>
      <c r="V39" s="170"/>
      <c r="W39" s="170"/>
      <c r="X39" s="170"/>
      <c r="Y39" s="170"/>
      <c r="Z39" s="170"/>
    </row>
    <row r="40" spans="1:26" s="174" customFormat="1" ht="18.399999999999999" customHeight="1">
      <c r="A40" s="568"/>
      <c r="B40" s="569"/>
      <c r="C40" s="569"/>
      <c r="D40" s="569"/>
      <c r="E40" s="570"/>
      <c r="F40" s="290" t="s">
        <v>642</v>
      </c>
      <c r="G40" s="291" t="s">
        <v>643</v>
      </c>
      <c r="H40" s="291"/>
      <c r="I40" s="291"/>
      <c r="J40" s="291"/>
      <c r="K40" s="292"/>
      <c r="R40" s="170"/>
      <c r="S40" s="170"/>
      <c r="T40" s="170"/>
      <c r="U40" s="170"/>
      <c r="V40" s="170"/>
      <c r="W40" s="170"/>
      <c r="X40" s="170"/>
      <c r="Y40" s="170"/>
      <c r="Z40" s="170"/>
    </row>
    <row r="41" spans="1:26" s="174" customFormat="1" ht="18.399999999999999" customHeight="1">
      <c r="A41" s="568"/>
      <c r="B41" s="569"/>
      <c r="C41" s="569"/>
      <c r="D41" s="569"/>
      <c r="E41" s="570"/>
      <c r="F41" s="290"/>
      <c r="G41" s="174" t="s">
        <v>644</v>
      </c>
      <c r="H41" s="293"/>
      <c r="I41" s="293"/>
      <c r="J41" s="293"/>
      <c r="K41" s="294"/>
      <c r="L41" s="295"/>
      <c r="R41" s="170"/>
      <c r="S41" s="170"/>
      <c r="T41" s="170"/>
      <c r="U41" s="170"/>
      <c r="V41" s="170"/>
      <c r="W41" s="170"/>
      <c r="X41" s="170"/>
      <c r="Y41" s="170"/>
      <c r="Z41" s="170"/>
    </row>
    <row r="42" spans="1:26" s="174" customFormat="1" ht="18.399999999999999" customHeight="1">
      <c r="A42" s="568"/>
      <c r="B42" s="569"/>
      <c r="C42" s="569"/>
      <c r="D42" s="569"/>
      <c r="E42" s="570"/>
      <c r="F42" s="290"/>
      <c r="G42" s="293" t="s">
        <v>638</v>
      </c>
      <c r="H42" s="293"/>
      <c r="I42" s="293"/>
      <c r="J42" s="293"/>
      <c r="K42" s="294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 spans="1:26" s="174" customFormat="1" ht="18.399999999999999" customHeight="1">
      <c r="A43" s="568"/>
      <c r="B43" s="569"/>
      <c r="C43" s="569"/>
      <c r="D43" s="569"/>
      <c r="E43" s="570"/>
      <c r="F43" s="290"/>
      <c r="G43" s="293"/>
      <c r="H43" s="293"/>
      <c r="I43" s="293"/>
      <c r="J43" s="293"/>
      <c r="K43" s="294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</row>
    <row r="44" spans="1:26" s="174" customFormat="1" ht="17.100000000000001" customHeight="1" thickBot="1">
      <c r="A44" s="571"/>
      <c r="B44" s="572"/>
      <c r="C44" s="572"/>
      <c r="D44" s="572"/>
      <c r="E44" s="573"/>
      <c r="F44" s="290"/>
      <c r="G44" s="293"/>
      <c r="H44" s="293"/>
      <c r="I44" s="293"/>
      <c r="J44" s="293"/>
      <c r="K44" s="294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</row>
    <row r="45" spans="1:26" s="174" customFormat="1" ht="17.100000000000001" customHeight="1">
      <c r="A45" s="296" t="s">
        <v>342</v>
      </c>
      <c r="B45" s="574" t="s">
        <v>640</v>
      </c>
      <c r="C45" s="575"/>
      <c r="D45" s="297" t="s">
        <v>343</v>
      </c>
      <c r="E45" s="408" t="s">
        <v>636</v>
      </c>
      <c r="F45" s="298"/>
      <c r="G45" s="293"/>
      <c r="H45" s="293"/>
      <c r="I45" s="293"/>
      <c r="J45" s="293"/>
      <c r="K45" s="294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</row>
    <row r="46" spans="1:26" s="174" customFormat="1" ht="17.100000000000001" customHeight="1" thickBot="1">
      <c r="A46" s="299" t="s">
        <v>344</v>
      </c>
      <c r="B46" s="559">
        <v>41873</v>
      </c>
      <c r="C46" s="560"/>
      <c r="D46" s="300" t="s">
        <v>344</v>
      </c>
      <c r="E46" s="301">
        <v>41871</v>
      </c>
      <c r="F46" s="302"/>
      <c r="G46" s="303"/>
      <c r="H46" s="303"/>
      <c r="I46" s="303"/>
      <c r="J46" s="303"/>
      <c r="K46" s="304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 spans="1:26" s="174" customFormat="1" ht="17.100000000000001" customHeight="1">
      <c r="F47" s="305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</row>
    <row r="48" spans="1:26" s="174" customFormat="1" ht="17.100000000000001" customHeight="1">
      <c r="F48" s="170"/>
      <c r="G48" s="170"/>
      <c r="H48" s="170"/>
      <c r="I48" s="170"/>
      <c r="J48" s="170"/>
      <c r="K48" s="170"/>
    </row>
    <row r="49" spans="2:26" ht="17.100000000000001" customHeight="1">
      <c r="F49" s="160"/>
      <c r="G49" s="160"/>
      <c r="H49" s="160"/>
      <c r="I49" s="160"/>
      <c r="J49" s="160"/>
      <c r="K49" s="160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</row>
    <row r="50" spans="2:26">
      <c r="F50" s="160"/>
      <c r="G50" s="160"/>
      <c r="H50" s="160"/>
      <c r="I50" s="160"/>
      <c r="J50" s="160"/>
      <c r="K50" s="160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</row>
    <row r="51" spans="2:26">
      <c r="F51" s="160"/>
      <c r="G51" s="160"/>
      <c r="H51" s="160"/>
      <c r="I51" s="160"/>
      <c r="J51" s="160"/>
      <c r="K51" s="160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</row>
    <row r="52" spans="2:26"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spans="2:26">
      <c r="F53" s="160"/>
      <c r="G53" s="160"/>
      <c r="H53" s="160"/>
      <c r="I53" s="160"/>
      <c r="J53" s="160"/>
      <c r="K53" s="160"/>
      <c r="Q53" s="161"/>
      <c r="R53" s="161"/>
      <c r="S53" s="161"/>
      <c r="T53" s="161"/>
      <c r="U53" s="161"/>
      <c r="V53" s="161"/>
      <c r="W53" s="161"/>
      <c r="X53" s="161"/>
      <c r="Y53" s="161"/>
      <c r="Z53" s="161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disablePrompts="1"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16" zoomScale="75" zoomScaleNormal="75" workbookViewId="0"/>
  </sheetViews>
  <sheetFormatPr defaultColWidth="9.140625" defaultRowHeight="12.75"/>
  <cols>
    <col min="1" max="1" width="9.140625" style="311" customWidth="1"/>
    <col min="2" max="2" width="18.140625" style="311" customWidth="1"/>
    <col min="3" max="3" width="21.5703125" style="311" customWidth="1"/>
    <col min="4" max="4" width="21.28515625" style="311" bestFit="1" customWidth="1"/>
    <col min="5" max="5" width="6.85546875" style="311" bestFit="1" customWidth="1"/>
    <col min="6" max="6" width="29.85546875" style="311" customWidth="1"/>
    <col min="7" max="7" width="43.7109375" style="311" customWidth="1"/>
    <col min="8" max="8" width="17.140625" style="311" customWidth="1"/>
    <col min="9" max="9" width="7.85546875" style="311" customWidth="1"/>
    <col min="10" max="10" width="2.28515625" style="311" bestFit="1" customWidth="1"/>
    <col min="11" max="12" width="2.28515625" style="311" customWidth="1"/>
    <col min="13" max="13" width="2.5703125" style="311" bestFit="1" customWidth="1"/>
    <col min="14" max="14" width="2.28515625" style="311" bestFit="1" customWidth="1"/>
    <col min="15" max="16384" width="9.14062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345</v>
      </c>
      <c r="K1" s="310" t="s">
        <v>346</v>
      </c>
      <c r="L1" s="310" t="s">
        <v>347</v>
      </c>
      <c r="M1" s="310" t="s">
        <v>346</v>
      </c>
      <c r="N1" s="310"/>
    </row>
    <row r="2" spans="2:14" ht="12.75" customHeight="1">
      <c r="B2" s="584" t="s">
        <v>348</v>
      </c>
      <c r="C2" s="585"/>
      <c r="D2" s="585"/>
      <c r="E2" s="585"/>
      <c r="F2" s="585"/>
      <c r="G2" s="585"/>
      <c r="H2" s="312"/>
      <c r="I2" s="313"/>
      <c r="J2" s="314" t="s">
        <v>349</v>
      </c>
      <c r="K2" s="314" t="s">
        <v>350</v>
      </c>
      <c r="L2" s="314" t="s">
        <v>351</v>
      </c>
      <c r="M2" s="314" t="s">
        <v>352</v>
      </c>
      <c r="N2" s="314" t="s">
        <v>353</v>
      </c>
    </row>
    <row r="3" spans="2:14" ht="12.75" customHeight="1">
      <c r="B3" s="584"/>
      <c r="C3" s="585"/>
      <c r="D3" s="585"/>
      <c r="E3" s="585"/>
      <c r="F3" s="585"/>
      <c r="G3" s="585"/>
      <c r="H3" s="312"/>
      <c r="I3" s="313"/>
      <c r="J3" s="314" t="s">
        <v>354</v>
      </c>
      <c r="K3" s="314"/>
      <c r="L3" s="314" t="s">
        <v>355</v>
      </c>
      <c r="M3" s="314" t="s">
        <v>345</v>
      </c>
      <c r="N3" s="314"/>
    </row>
    <row r="4" spans="2:14" ht="12.75" customHeight="1">
      <c r="B4" s="584"/>
      <c r="C4" s="585"/>
      <c r="D4" s="585"/>
      <c r="E4" s="585"/>
      <c r="F4" s="585"/>
      <c r="G4" s="585"/>
      <c r="H4" s="312"/>
      <c r="I4" s="313"/>
      <c r="J4" s="314" t="s">
        <v>356</v>
      </c>
      <c r="K4" s="314"/>
      <c r="L4" s="314" t="s">
        <v>351</v>
      </c>
      <c r="M4" s="314" t="s">
        <v>349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357</v>
      </c>
      <c r="L5" s="314" t="s">
        <v>346</v>
      </c>
      <c r="M5" s="314"/>
      <c r="N5" s="314" t="s">
        <v>351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350</v>
      </c>
      <c r="K6" s="314" t="s">
        <v>358</v>
      </c>
      <c r="L6" s="314"/>
      <c r="M6" s="314" t="s">
        <v>346</v>
      </c>
      <c r="N6" s="314" t="s">
        <v>359</v>
      </c>
    </row>
    <row r="7" spans="2:14" ht="12.75" customHeight="1">
      <c r="B7" s="317"/>
      <c r="D7" s="320"/>
      <c r="H7" s="319"/>
      <c r="I7" s="313"/>
      <c r="J7" s="314" t="s">
        <v>360</v>
      </c>
      <c r="K7" s="314" t="s">
        <v>354</v>
      </c>
      <c r="L7" s="314" t="s">
        <v>354</v>
      </c>
      <c r="M7" s="314" t="s">
        <v>349</v>
      </c>
      <c r="N7" s="314" t="s">
        <v>361</v>
      </c>
    </row>
    <row r="8" spans="2:14" ht="12.75" customHeight="1">
      <c r="B8" s="317"/>
      <c r="G8" s="320"/>
      <c r="H8" s="321"/>
      <c r="I8" s="314" t="s">
        <v>361</v>
      </c>
      <c r="J8" s="314" t="s">
        <v>346</v>
      </c>
      <c r="K8" s="314" t="s">
        <v>362</v>
      </c>
      <c r="L8" s="314" t="s">
        <v>349</v>
      </c>
      <c r="M8" s="314" t="s">
        <v>361</v>
      </c>
      <c r="N8" s="314" t="s">
        <v>358</v>
      </c>
    </row>
    <row r="9" spans="2:14">
      <c r="B9" s="314" t="s">
        <v>363</v>
      </c>
      <c r="C9" s="321" t="s">
        <v>364</v>
      </c>
      <c r="D9" s="321" t="s">
        <v>365</v>
      </c>
      <c r="E9" s="321" t="s">
        <v>366</v>
      </c>
      <c r="F9" s="314" t="s">
        <v>367</v>
      </c>
      <c r="G9" s="314" t="s">
        <v>368</v>
      </c>
      <c r="H9" s="314" t="s">
        <v>369</v>
      </c>
      <c r="I9" s="314" t="s">
        <v>356</v>
      </c>
      <c r="J9" s="314" t="s">
        <v>360</v>
      </c>
      <c r="K9" s="314" t="s">
        <v>349</v>
      </c>
      <c r="L9" s="314" t="s">
        <v>362</v>
      </c>
      <c r="M9" s="314" t="s">
        <v>346</v>
      </c>
      <c r="N9" s="314" t="s">
        <v>347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586" t="s">
        <v>370</v>
      </c>
      <c r="C53" s="586"/>
      <c r="D53" s="586"/>
      <c r="E53" s="586"/>
      <c r="F53" s="586"/>
      <c r="G53" s="586"/>
      <c r="H53" s="586"/>
      <c r="I53" s="586"/>
      <c r="J53" s="586"/>
      <c r="K53" s="586"/>
      <c r="L53" s="586"/>
      <c r="M53" s="586"/>
      <c r="N53" s="586"/>
    </row>
    <row r="54" spans="2:14" ht="15" customHeight="1" thickBot="1">
      <c r="B54" s="336" t="s">
        <v>371</v>
      </c>
      <c r="C54" s="587" t="s">
        <v>368</v>
      </c>
      <c r="D54" s="588"/>
      <c r="E54" s="588"/>
      <c r="F54" s="588"/>
      <c r="G54" s="588"/>
      <c r="H54" s="337"/>
      <c r="I54" s="587" t="s">
        <v>363</v>
      </c>
      <c r="J54" s="588"/>
      <c r="K54" s="589"/>
      <c r="L54" s="587" t="s">
        <v>372</v>
      </c>
      <c r="M54" s="588"/>
      <c r="N54" s="590"/>
    </row>
    <row r="55" spans="2:14" ht="15" customHeight="1">
      <c r="B55" s="338"/>
      <c r="C55" s="576"/>
      <c r="D55" s="577"/>
      <c r="E55" s="577"/>
      <c r="F55" s="577"/>
      <c r="G55" s="577"/>
      <c r="H55" s="339"/>
      <c r="I55" s="578"/>
      <c r="J55" s="579"/>
      <c r="K55" s="580"/>
      <c r="L55" s="581"/>
      <c r="M55" s="582"/>
      <c r="N55" s="583"/>
    </row>
    <row r="56" spans="2:14" ht="15" customHeight="1">
      <c r="B56" s="340"/>
      <c r="C56" s="591"/>
      <c r="D56" s="592"/>
      <c r="E56" s="592"/>
      <c r="F56" s="592"/>
      <c r="G56" s="592"/>
      <c r="H56" s="341"/>
      <c r="I56" s="593"/>
      <c r="J56" s="594"/>
      <c r="K56" s="595"/>
      <c r="L56" s="596"/>
      <c r="M56" s="597"/>
      <c r="N56" s="598"/>
    </row>
    <row r="57" spans="2:14" ht="15" customHeight="1">
      <c r="B57" s="340"/>
      <c r="C57" s="591"/>
      <c r="D57" s="592"/>
      <c r="E57" s="592"/>
      <c r="F57" s="592"/>
      <c r="G57" s="592"/>
      <c r="H57" s="341"/>
      <c r="I57" s="593"/>
      <c r="J57" s="594"/>
      <c r="K57" s="595"/>
      <c r="L57" s="596"/>
      <c r="M57" s="597"/>
      <c r="N57" s="598"/>
    </row>
    <row r="58" spans="2:14" ht="15" customHeight="1">
      <c r="B58" s="340"/>
      <c r="C58" s="591"/>
      <c r="D58" s="592"/>
      <c r="E58" s="592"/>
      <c r="F58" s="592"/>
      <c r="G58" s="592"/>
      <c r="H58" s="341"/>
      <c r="I58" s="593"/>
      <c r="J58" s="594"/>
      <c r="K58" s="595"/>
      <c r="L58" s="596"/>
      <c r="M58" s="597"/>
      <c r="N58" s="598"/>
    </row>
    <row r="59" spans="2:14" ht="15" customHeight="1">
      <c r="B59" s="340"/>
      <c r="C59" s="591"/>
      <c r="D59" s="592"/>
      <c r="E59" s="592"/>
      <c r="F59" s="592"/>
      <c r="G59" s="592"/>
      <c r="H59" s="341"/>
      <c r="I59" s="593"/>
      <c r="J59" s="594"/>
      <c r="K59" s="595"/>
      <c r="L59" s="596"/>
      <c r="M59" s="597"/>
      <c r="N59" s="598"/>
    </row>
    <row r="60" spans="2:14" ht="15" customHeight="1">
      <c r="B60" s="340"/>
      <c r="C60" s="591"/>
      <c r="D60" s="592"/>
      <c r="E60" s="592"/>
      <c r="F60" s="592"/>
      <c r="G60" s="592"/>
      <c r="H60" s="341"/>
      <c r="I60" s="593"/>
      <c r="J60" s="594"/>
      <c r="K60" s="595"/>
      <c r="L60" s="596"/>
      <c r="M60" s="597"/>
      <c r="N60" s="598"/>
    </row>
    <row r="61" spans="2:14" ht="15" customHeight="1">
      <c r="B61" s="340"/>
      <c r="C61" s="591"/>
      <c r="D61" s="592"/>
      <c r="E61" s="592"/>
      <c r="F61" s="592"/>
      <c r="G61" s="592"/>
      <c r="H61" s="341"/>
      <c r="I61" s="593"/>
      <c r="J61" s="594"/>
      <c r="K61" s="595"/>
      <c r="L61" s="596"/>
      <c r="M61" s="597"/>
      <c r="N61" s="598"/>
    </row>
    <row r="62" spans="2:14" ht="15" customHeight="1">
      <c r="B62" s="340"/>
      <c r="C62" s="591"/>
      <c r="D62" s="592"/>
      <c r="E62" s="592"/>
      <c r="F62" s="592"/>
      <c r="G62" s="592"/>
      <c r="H62" s="341"/>
      <c r="I62" s="593"/>
      <c r="J62" s="594"/>
      <c r="K62" s="595"/>
      <c r="L62" s="596"/>
      <c r="M62" s="597"/>
      <c r="N62" s="598"/>
    </row>
    <row r="63" spans="2:14" ht="15" customHeight="1">
      <c r="B63" s="340"/>
      <c r="C63" s="591"/>
      <c r="D63" s="592"/>
      <c r="E63" s="592"/>
      <c r="F63" s="592"/>
      <c r="G63" s="592"/>
      <c r="H63" s="341"/>
      <c r="I63" s="593"/>
      <c r="J63" s="594"/>
      <c r="K63" s="595"/>
      <c r="L63" s="596"/>
      <c r="M63" s="597"/>
      <c r="N63" s="598"/>
    </row>
    <row r="64" spans="2:14" ht="15" customHeight="1">
      <c r="B64" s="340"/>
      <c r="C64" s="591"/>
      <c r="D64" s="592"/>
      <c r="E64" s="592"/>
      <c r="F64" s="592"/>
      <c r="G64" s="592"/>
      <c r="H64" s="341"/>
      <c r="I64" s="593"/>
      <c r="J64" s="594"/>
      <c r="K64" s="595"/>
      <c r="L64" s="596"/>
      <c r="M64" s="597"/>
      <c r="N64" s="598"/>
    </row>
    <row r="65" spans="2:14" ht="15" customHeight="1">
      <c r="B65" s="340"/>
      <c r="C65" s="591"/>
      <c r="D65" s="592"/>
      <c r="E65" s="592"/>
      <c r="F65" s="592"/>
      <c r="G65" s="592"/>
      <c r="H65" s="341"/>
      <c r="I65" s="593"/>
      <c r="J65" s="594"/>
      <c r="K65" s="595"/>
      <c r="L65" s="596"/>
      <c r="M65" s="597"/>
      <c r="N65" s="598"/>
    </row>
    <row r="66" spans="2:14" ht="15" customHeight="1">
      <c r="B66" s="340"/>
      <c r="C66" s="591"/>
      <c r="D66" s="592"/>
      <c r="E66" s="592"/>
      <c r="F66" s="592"/>
      <c r="G66" s="592"/>
      <c r="H66" s="341"/>
      <c r="I66" s="593"/>
      <c r="J66" s="594"/>
      <c r="K66" s="595"/>
      <c r="L66" s="596"/>
      <c r="M66" s="597"/>
      <c r="N66" s="598"/>
    </row>
    <row r="67" spans="2:14" ht="15" customHeight="1">
      <c r="B67" s="340"/>
      <c r="C67" s="591"/>
      <c r="D67" s="592"/>
      <c r="E67" s="592"/>
      <c r="F67" s="592"/>
      <c r="G67" s="592"/>
      <c r="H67" s="341"/>
      <c r="I67" s="593"/>
      <c r="J67" s="594"/>
      <c r="K67" s="595"/>
      <c r="L67" s="596"/>
      <c r="M67" s="597"/>
      <c r="N67" s="598"/>
    </row>
    <row r="68" spans="2:14" ht="15" customHeight="1">
      <c r="B68" s="340"/>
      <c r="C68" s="591"/>
      <c r="D68" s="592"/>
      <c r="E68" s="592"/>
      <c r="F68" s="592"/>
      <c r="G68" s="592"/>
      <c r="H68" s="341"/>
      <c r="I68" s="593"/>
      <c r="J68" s="594"/>
      <c r="K68" s="595"/>
      <c r="L68" s="596"/>
      <c r="M68" s="597"/>
      <c r="N68" s="598"/>
    </row>
    <row r="69" spans="2:14" ht="15" customHeight="1">
      <c r="B69" s="340"/>
      <c r="C69" s="591"/>
      <c r="D69" s="592"/>
      <c r="E69" s="592"/>
      <c r="F69" s="592"/>
      <c r="G69" s="592"/>
      <c r="H69" s="341"/>
      <c r="I69" s="593"/>
      <c r="J69" s="594"/>
      <c r="K69" s="595"/>
      <c r="L69" s="596"/>
      <c r="M69" s="597"/>
      <c r="N69" s="598"/>
    </row>
    <row r="70" spans="2:14" ht="15" customHeight="1">
      <c r="B70" s="340"/>
      <c r="C70" s="591"/>
      <c r="D70" s="592"/>
      <c r="E70" s="592"/>
      <c r="F70" s="592"/>
      <c r="G70" s="592"/>
      <c r="H70" s="341"/>
      <c r="I70" s="593"/>
      <c r="J70" s="594"/>
      <c r="K70" s="595"/>
      <c r="L70" s="596"/>
      <c r="M70" s="597"/>
      <c r="N70" s="598"/>
    </row>
    <row r="71" spans="2:14" ht="15" customHeight="1">
      <c r="B71" s="340"/>
      <c r="C71" s="591"/>
      <c r="D71" s="592"/>
      <c r="E71" s="592"/>
      <c r="F71" s="592"/>
      <c r="G71" s="592"/>
      <c r="H71" s="341"/>
      <c r="I71" s="593"/>
      <c r="J71" s="594"/>
      <c r="K71" s="595"/>
      <c r="L71" s="596"/>
      <c r="M71" s="597"/>
      <c r="N71" s="598"/>
    </row>
    <row r="72" spans="2:14">
      <c r="B72" s="340"/>
      <c r="C72" s="591"/>
      <c r="D72" s="592"/>
      <c r="E72" s="592"/>
      <c r="F72" s="592"/>
      <c r="G72" s="592"/>
      <c r="H72" s="341"/>
      <c r="I72" s="593"/>
      <c r="J72" s="594"/>
      <c r="K72" s="595"/>
      <c r="L72" s="596"/>
      <c r="M72" s="597"/>
      <c r="N72" s="598"/>
    </row>
    <row r="73" spans="2:14">
      <c r="B73" s="340"/>
      <c r="C73" s="591"/>
      <c r="D73" s="592"/>
      <c r="E73" s="592"/>
      <c r="F73" s="592"/>
      <c r="G73" s="592"/>
      <c r="H73" s="341"/>
      <c r="I73" s="593"/>
      <c r="J73" s="594"/>
      <c r="K73" s="595"/>
      <c r="L73" s="596"/>
      <c r="M73" s="597"/>
      <c r="N73" s="598"/>
    </row>
    <row r="74" spans="2:14">
      <c r="B74" s="340"/>
      <c r="C74" s="591"/>
      <c r="D74" s="592"/>
      <c r="E74" s="592"/>
      <c r="F74" s="592"/>
      <c r="G74" s="592"/>
      <c r="H74" s="341"/>
      <c r="I74" s="593"/>
      <c r="J74" s="594"/>
      <c r="K74" s="595"/>
      <c r="L74" s="596"/>
      <c r="M74" s="597"/>
      <c r="N74" s="598"/>
    </row>
    <row r="75" spans="2:14">
      <c r="B75" s="340"/>
      <c r="C75" s="591"/>
      <c r="D75" s="592"/>
      <c r="E75" s="592"/>
      <c r="F75" s="592"/>
      <c r="G75" s="592"/>
      <c r="H75" s="341"/>
      <c r="I75" s="593"/>
      <c r="J75" s="594"/>
      <c r="K75" s="595"/>
      <c r="L75" s="596"/>
      <c r="M75" s="597"/>
      <c r="N75" s="598"/>
    </row>
    <row r="76" spans="2:14">
      <c r="B76" s="340"/>
      <c r="C76" s="591"/>
      <c r="D76" s="592"/>
      <c r="E76" s="592"/>
      <c r="F76" s="592"/>
      <c r="G76" s="592"/>
      <c r="H76" s="341"/>
      <c r="I76" s="593"/>
      <c r="J76" s="594"/>
      <c r="K76" s="595"/>
      <c r="L76" s="596"/>
      <c r="M76" s="597"/>
      <c r="N76" s="598"/>
    </row>
    <row r="77" spans="2:14">
      <c r="B77" s="340"/>
      <c r="C77" s="591"/>
      <c r="D77" s="592"/>
      <c r="E77" s="592"/>
      <c r="F77" s="592"/>
      <c r="G77" s="592"/>
      <c r="H77" s="341"/>
      <c r="I77" s="593"/>
      <c r="J77" s="594"/>
      <c r="K77" s="595"/>
      <c r="L77" s="596"/>
      <c r="M77" s="597"/>
      <c r="N77" s="598"/>
    </row>
    <row r="78" spans="2:14">
      <c r="B78" s="340"/>
      <c r="C78" s="591"/>
      <c r="D78" s="592"/>
      <c r="E78" s="592"/>
      <c r="F78" s="592"/>
      <c r="G78" s="592"/>
      <c r="H78" s="341"/>
      <c r="I78" s="593"/>
      <c r="J78" s="594"/>
      <c r="K78" s="595"/>
      <c r="L78" s="596"/>
      <c r="M78" s="597"/>
      <c r="N78" s="598"/>
    </row>
    <row r="79" spans="2:14" ht="13.5" thickBot="1">
      <c r="B79" s="342"/>
      <c r="C79" s="599"/>
      <c r="D79" s="600"/>
      <c r="E79" s="600"/>
      <c r="F79" s="600"/>
      <c r="G79" s="600"/>
      <c r="H79" s="343"/>
      <c r="I79" s="601"/>
      <c r="J79" s="602"/>
      <c r="K79" s="603"/>
      <c r="L79" s="604"/>
      <c r="M79" s="605"/>
      <c r="N79" s="606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1"/>
  <sheetViews>
    <sheetView workbookViewId="0">
      <selection sqref="A1:F1"/>
    </sheetView>
  </sheetViews>
  <sheetFormatPr defaultColWidth="9.140625" defaultRowHeight="12.75"/>
  <cols>
    <col min="1" max="6" width="14.7109375" style="344" customWidth="1"/>
    <col min="7" max="16384" width="9.140625" style="344"/>
  </cols>
  <sheetData>
    <row r="1" spans="1:7" ht="20.25">
      <c r="A1" s="607" t="s">
        <v>381</v>
      </c>
      <c r="B1" s="607"/>
      <c r="C1" s="607"/>
      <c r="D1" s="607"/>
      <c r="E1" s="607"/>
      <c r="F1" s="607"/>
    </row>
    <row r="2" spans="1:7" ht="19.5" thickBot="1">
      <c r="A2" s="345"/>
      <c r="B2" s="345"/>
      <c r="C2" s="608" t="s">
        <v>393</v>
      </c>
      <c r="D2" s="608"/>
      <c r="E2" s="345"/>
      <c r="F2" s="345"/>
      <c r="G2" s="345"/>
    </row>
    <row r="3" spans="1:7" ht="19.5">
      <c r="A3" s="609" t="s">
        <v>382</v>
      </c>
      <c r="B3" s="610"/>
      <c r="C3" s="611"/>
      <c r="D3" s="609" t="s">
        <v>383</v>
      </c>
      <c r="E3" s="610"/>
      <c r="F3" s="611"/>
      <c r="G3" s="345"/>
    </row>
    <row r="4" spans="1:7" ht="15.75">
      <c r="A4" s="346" t="s">
        <v>394</v>
      </c>
      <c r="B4" s="612" t="s">
        <v>396</v>
      </c>
      <c r="C4" s="613"/>
      <c r="D4" s="614" t="s">
        <v>397</v>
      </c>
      <c r="E4" s="615"/>
      <c r="F4" s="616"/>
      <c r="G4" s="345"/>
    </row>
    <row r="5" spans="1:7" ht="16.5" thickBot="1">
      <c r="A5" s="347" t="s">
        <v>395</v>
      </c>
      <c r="B5" s="620" t="s">
        <v>395</v>
      </c>
      <c r="C5" s="621"/>
      <c r="D5" s="622" t="s">
        <v>398</v>
      </c>
      <c r="E5" s="623"/>
      <c r="F5" s="624"/>
      <c r="G5" s="345"/>
    </row>
    <row r="6" spans="1:7" ht="19.5">
      <c r="A6" s="609" t="s">
        <v>384</v>
      </c>
      <c r="B6" s="610"/>
      <c r="C6" s="610"/>
      <c r="D6" s="610"/>
      <c r="E6" s="610"/>
      <c r="F6" s="611"/>
      <c r="G6" s="345"/>
    </row>
    <row r="7" spans="1:7" ht="15.75">
      <c r="A7" s="348" t="s">
        <v>385</v>
      </c>
      <c r="B7" s="349" t="s">
        <v>399</v>
      </c>
      <c r="C7" s="350" t="s">
        <v>386</v>
      </c>
      <c r="D7" s="351" t="s">
        <v>400</v>
      </c>
      <c r="E7" s="625" t="s">
        <v>387</v>
      </c>
      <c r="F7" s="626"/>
      <c r="G7" s="345"/>
    </row>
    <row r="8" spans="1:7" ht="16.5" thickBot="1">
      <c r="A8" s="352"/>
      <c r="B8" s="353" t="s">
        <v>395</v>
      </c>
      <c r="C8" s="354"/>
      <c r="D8" s="355" t="s">
        <v>395</v>
      </c>
      <c r="E8" s="627" t="s">
        <v>401</v>
      </c>
      <c r="F8" s="624"/>
      <c r="G8" s="345"/>
    </row>
    <row r="9" spans="1:7" ht="19.5">
      <c r="A9" s="609" t="s">
        <v>388</v>
      </c>
      <c r="B9" s="610"/>
      <c r="C9" s="611"/>
      <c r="D9" s="609" t="s">
        <v>389</v>
      </c>
      <c r="E9" s="610"/>
      <c r="F9" s="611"/>
      <c r="G9" s="345"/>
    </row>
    <row r="10" spans="1:7" ht="15.75">
      <c r="A10" s="356" t="s">
        <v>390</v>
      </c>
      <c r="B10" s="628" t="s">
        <v>402</v>
      </c>
      <c r="C10" s="613"/>
      <c r="D10" s="629" t="s">
        <v>404</v>
      </c>
      <c r="E10" s="630"/>
      <c r="F10" s="357" t="s">
        <v>405</v>
      </c>
      <c r="G10" s="345"/>
    </row>
    <row r="11" spans="1:7" ht="16.5" thickBot="1">
      <c r="A11" s="358" t="s">
        <v>391</v>
      </c>
      <c r="B11" s="623" t="s">
        <v>403</v>
      </c>
      <c r="C11" s="624"/>
      <c r="D11" s="631"/>
      <c r="E11" s="632"/>
      <c r="F11" s="359" t="s">
        <v>395</v>
      </c>
      <c r="G11" s="345"/>
    </row>
    <row r="12" spans="1:7" ht="19.5">
      <c r="A12" s="609" t="s">
        <v>392</v>
      </c>
      <c r="B12" s="610"/>
      <c r="C12" s="610"/>
      <c r="D12" s="610"/>
      <c r="E12" s="610"/>
      <c r="F12" s="611"/>
      <c r="G12" s="345"/>
    </row>
    <row r="13" spans="1:7" ht="16.5" thickBot="1">
      <c r="A13" s="617" t="s">
        <v>406</v>
      </c>
      <c r="B13" s="618"/>
      <c r="C13" s="619" t="s">
        <v>407</v>
      </c>
      <c r="D13" s="619"/>
      <c r="E13" s="619"/>
      <c r="F13" s="360"/>
      <c r="G13" s="345"/>
    </row>
    <row r="14" spans="1:7" ht="18.95" customHeight="1">
      <c r="A14" s="361"/>
      <c r="B14" s="361"/>
      <c r="C14" s="361"/>
      <c r="D14" s="361"/>
      <c r="E14" s="361"/>
      <c r="F14" s="361"/>
      <c r="G14" s="345"/>
    </row>
    <row r="15" spans="1:7" ht="15.75">
      <c r="G15" s="345"/>
    </row>
    <row r="16" spans="1:7" ht="15.75">
      <c r="G16" s="345"/>
    </row>
    <row r="17" spans="7:7" ht="15.75">
      <c r="G17" s="345"/>
    </row>
    <row r="18" spans="7:7" ht="15.75">
      <c r="G18" s="345"/>
    </row>
    <row r="19" spans="7:7" ht="15.75">
      <c r="G19" s="345"/>
    </row>
    <row r="20" spans="7:7" ht="15.75">
      <c r="G20" s="345"/>
    </row>
    <row r="21" spans="7:7" ht="15.75">
      <c r="G21" s="345"/>
    </row>
    <row r="22" spans="7:7" ht="15.75">
      <c r="G22" s="345"/>
    </row>
    <row r="23" spans="7:7" ht="15.75">
      <c r="G23" s="345"/>
    </row>
    <row r="24" spans="7:7" ht="15.75">
      <c r="G24" s="345"/>
    </row>
    <row r="25" spans="7:7" ht="15.75">
      <c r="G25" s="345"/>
    </row>
    <row r="26" spans="7:7" ht="15.75">
      <c r="G26" s="345"/>
    </row>
    <row r="27" spans="7:7" ht="18.95" customHeight="1">
      <c r="G27" s="345"/>
    </row>
    <row r="28" spans="7:7" ht="15.75">
      <c r="G28" s="345"/>
    </row>
    <row r="29" spans="7:7" ht="15.75">
      <c r="G29" s="345"/>
    </row>
    <row r="30" spans="7:7" ht="15.75">
      <c r="G30" s="345"/>
    </row>
    <row r="31" spans="7:7" ht="15.75">
      <c r="G31" s="345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67"/>
  <sheetViews>
    <sheetView topLeftCell="A13" workbookViewId="0">
      <selection activeCell="F48" sqref="F48"/>
    </sheetView>
  </sheetViews>
  <sheetFormatPr defaultColWidth="9.140625" defaultRowHeight="12.75"/>
  <cols>
    <col min="1" max="6" width="16.7109375" style="344" customWidth="1"/>
    <col min="7" max="16384" width="9.140625" style="344"/>
  </cols>
  <sheetData>
    <row r="1" spans="1:6" ht="18.95" customHeight="1">
      <c r="A1" s="362"/>
      <c r="B1" s="363"/>
      <c r="C1" s="363"/>
      <c r="D1" s="363"/>
      <c r="E1" s="363"/>
      <c r="F1" s="364"/>
    </row>
    <row r="2" spans="1:6" ht="26.1" customHeight="1">
      <c r="A2" s="365" t="s">
        <v>263</v>
      </c>
      <c r="B2" s="366"/>
      <c r="C2" s="366"/>
      <c r="D2" s="366"/>
      <c r="E2" s="366"/>
      <c r="F2" s="367"/>
    </row>
    <row r="3" spans="1:6" ht="18.95" customHeight="1">
      <c r="A3" s="368" t="s">
        <v>408</v>
      </c>
      <c r="B3" s="366"/>
      <c r="C3" s="366"/>
      <c r="D3" s="366"/>
      <c r="E3" s="366"/>
      <c r="F3" s="367"/>
    </row>
    <row r="4" spans="1:6" ht="18.95" customHeight="1">
      <c r="A4" s="369"/>
      <c r="B4" s="370"/>
      <c r="C4" s="370"/>
      <c r="D4" s="370"/>
      <c r="E4" s="370"/>
      <c r="F4" s="371"/>
    </row>
    <row r="5" spans="1:6" ht="18.95" customHeight="1">
      <c r="A5" s="369"/>
      <c r="B5" s="370"/>
      <c r="C5" s="370"/>
      <c r="D5" s="370"/>
      <c r="E5" s="370"/>
      <c r="F5" s="371"/>
    </row>
    <row r="6" spans="1:6" ht="18.95" customHeight="1">
      <c r="A6" s="372" t="s">
        <v>409</v>
      </c>
      <c r="B6" s="633" t="s">
        <v>635</v>
      </c>
      <c r="C6" s="634"/>
      <c r="D6" s="635"/>
      <c r="E6" s="372" t="s">
        <v>410</v>
      </c>
      <c r="F6" s="373">
        <v>603</v>
      </c>
    </row>
    <row r="7" spans="1:6" ht="18.95" customHeight="1">
      <c r="A7" s="372" t="s">
        <v>411</v>
      </c>
      <c r="B7" s="373" t="s">
        <v>176</v>
      </c>
      <c r="C7" s="372" t="s">
        <v>412</v>
      </c>
      <c r="D7" s="373" t="s">
        <v>430</v>
      </c>
      <c r="E7" s="372" t="s">
        <v>413</v>
      </c>
      <c r="F7" s="373" t="s">
        <v>177</v>
      </c>
    </row>
    <row r="8" spans="1:6" ht="18.95" customHeight="1">
      <c r="A8" s="372" t="s">
        <v>414</v>
      </c>
      <c r="B8" s="373">
        <v>2</v>
      </c>
      <c r="C8" s="372" t="s">
        <v>415</v>
      </c>
      <c r="D8" s="373" t="s">
        <v>416</v>
      </c>
      <c r="E8" s="372" t="s">
        <v>417</v>
      </c>
      <c r="F8" s="373" t="s">
        <v>356</v>
      </c>
    </row>
    <row r="9" spans="1:6" ht="18.95" customHeight="1">
      <c r="A9" s="372" t="s">
        <v>418</v>
      </c>
      <c r="B9" s="373">
        <v>5000</v>
      </c>
      <c r="C9" s="372" t="s">
        <v>419</v>
      </c>
      <c r="D9" s="373" t="s">
        <v>431</v>
      </c>
      <c r="E9" s="372" t="s">
        <v>2</v>
      </c>
      <c r="F9" s="374">
        <v>41871</v>
      </c>
    </row>
    <row r="10" spans="1:6" ht="18.95" customHeight="1">
      <c r="A10" s="372" t="s">
        <v>420</v>
      </c>
      <c r="B10" s="373">
        <v>3587</v>
      </c>
      <c r="C10" s="372" t="s">
        <v>255</v>
      </c>
      <c r="D10" s="373" t="s">
        <v>421</v>
      </c>
      <c r="E10" s="372" t="s">
        <v>1</v>
      </c>
      <c r="F10" s="373" t="s">
        <v>373</v>
      </c>
    </row>
    <row r="11" spans="1:6" ht="18.95" customHeight="1">
      <c r="A11" s="369"/>
      <c r="B11" s="370"/>
      <c r="C11" s="370"/>
      <c r="D11" s="370"/>
      <c r="E11" s="370"/>
      <c r="F11" s="371"/>
    </row>
    <row r="12" spans="1:6" ht="18.95" customHeight="1">
      <c r="A12" s="369"/>
      <c r="B12" s="375" t="s">
        <v>422</v>
      </c>
      <c r="C12" s="376" t="s">
        <v>434</v>
      </c>
      <c r="D12" s="375" t="s">
        <v>254</v>
      </c>
      <c r="E12" s="376" t="s">
        <v>421</v>
      </c>
      <c r="F12" s="371"/>
    </row>
    <row r="13" spans="1:6" ht="18.95" customHeight="1">
      <c r="A13" s="369"/>
      <c r="B13" s="375" t="s">
        <v>423</v>
      </c>
      <c r="C13" s="377">
        <v>1.57</v>
      </c>
      <c r="D13" s="375" t="s">
        <v>424</v>
      </c>
      <c r="E13" s="361" t="s">
        <v>421</v>
      </c>
      <c r="F13" s="371"/>
    </row>
    <row r="14" spans="1:6" ht="18.95" customHeight="1">
      <c r="A14" s="369"/>
      <c r="B14" s="375" t="s">
        <v>425</v>
      </c>
      <c r="C14" s="377">
        <v>2.36</v>
      </c>
      <c r="D14" s="375" t="s">
        <v>256</v>
      </c>
      <c r="E14" s="361" t="s">
        <v>421</v>
      </c>
      <c r="F14" s="371"/>
    </row>
    <row r="15" spans="1:6" ht="18.95" customHeight="1">
      <c r="A15" s="369"/>
      <c r="B15" s="375" t="s">
        <v>257</v>
      </c>
      <c r="C15" s="376" t="s">
        <v>433</v>
      </c>
      <c r="D15" s="370"/>
      <c r="E15" s="370"/>
      <c r="F15" s="371"/>
    </row>
    <row r="16" spans="1:6" ht="18.95" customHeight="1">
      <c r="A16" s="369"/>
      <c r="B16" s="370"/>
      <c r="C16" s="370"/>
      <c r="D16" s="370"/>
      <c r="E16" s="370"/>
      <c r="F16" s="371"/>
    </row>
    <row r="17" spans="1:6" ht="18.95" customHeight="1">
      <c r="A17" s="369"/>
      <c r="B17" s="370"/>
      <c r="C17" s="370"/>
      <c r="D17" s="370"/>
      <c r="E17" s="370"/>
      <c r="F17" s="371"/>
    </row>
    <row r="18" spans="1:6" ht="18.95" customHeight="1">
      <c r="A18" s="369"/>
      <c r="B18" s="370"/>
      <c r="C18" s="370"/>
      <c r="D18" s="370"/>
      <c r="E18" s="370"/>
      <c r="F18" s="371"/>
    </row>
    <row r="19" spans="1:6" ht="18.95" customHeight="1">
      <c r="A19" s="369"/>
      <c r="B19" s="370"/>
      <c r="C19" s="370"/>
      <c r="D19" s="370"/>
      <c r="E19" s="370"/>
      <c r="F19" s="371"/>
    </row>
    <row r="20" spans="1:6" ht="18.95" customHeight="1">
      <c r="A20" s="369"/>
      <c r="B20" s="370"/>
      <c r="C20" s="370"/>
      <c r="D20" s="370"/>
      <c r="E20" s="370"/>
      <c r="F20" s="371"/>
    </row>
    <row r="21" spans="1:6" ht="18.95" customHeight="1">
      <c r="A21" s="369"/>
      <c r="B21" s="370"/>
      <c r="C21" s="370"/>
      <c r="D21" s="370"/>
      <c r="E21" s="370"/>
      <c r="F21" s="371"/>
    </row>
    <row r="22" spans="1:6" ht="18.95" customHeight="1">
      <c r="A22" s="369"/>
      <c r="B22" s="370"/>
      <c r="C22" s="370"/>
      <c r="D22" s="370"/>
      <c r="E22" s="370"/>
      <c r="F22" s="371"/>
    </row>
    <row r="23" spans="1:6" ht="18.95" customHeight="1">
      <c r="A23" s="369"/>
      <c r="B23" s="370"/>
      <c r="C23" s="370"/>
      <c r="D23" s="370"/>
      <c r="E23" s="370"/>
      <c r="F23" s="371"/>
    </row>
    <row r="24" spans="1:6" ht="18.95" customHeight="1">
      <c r="A24" s="369"/>
      <c r="B24" s="370"/>
      <c r="C24" s="370"/>
      <c r="D24" s="370"/>
      <c r="E24" s="370"/>
      <c r="F24" s="371"/>
    </row>
    <row r="25" spans="1:6" ht="18.95" customHeight="1">
      <c r="A25" s="369"/>
      <c r="B25" s="370"/>
      <c r="C25" s="370"/>
      <c r="D25" s="370"/>
      <c r="E25" s="370"/>
      <c r="F25" s="371"/>
    </row>
    <row r="26" spans="1:6" ht="18.95" customHeight="1">
      <c r="A26" s="369"/>
      <c r="B26" s="370"/>
      <c r="C26" s="370"/>
      <c r="D26" s="370"/>
      <c r="E26" s="370"/>
      <c r="F26" s="371"/>
    </row>
    <row r="27" spans="1:6" ht="18.95" customHeight="1">
      <c r="A27" s="369"/>
      <c r="B27" s="370"/>
      <c r="C27" s="370"/>
      <c r="D27" s="370"/>
      <c r="E27" s="370"/>
      <c r="F27" s="371"/>
    </row>
    <row r="28" spans="1:6" ht="18.95" customHeight="1">
      <c r="A28" s="369"/>
      <c r="B28" s="370"/>
      <c r="C28" s="370"/>
      <c r="D28" s="370"/>
      <c r="E28" s="370"/>
      <c r="F28" s="371"/>
    </row>
    <row r="29" spans="1:6" ht="18.95" customHeight="1">
      <c r="A29" s="369"/>
      <c r="B29" s="370"/>
      <c r="C29" s="370"/>
      <c r="D29" s="370"/>
      <c r="E29" s="370"/>
      <c r="F29" s="371"/>
    </row>
    <row r="30" spans="1:6" ht="18.95" customHeight="1">
      <c r="A30" s="369"/>
      <c r="B30" s="370"/>
      <c r="C30" s="370"/>
      <c r="D30" s="370"/>
      <c r="E30" s="370"/>
      <c r="F30" s="371"/>
    </row>
    <row r="31" spans="1:6" ht="18.95" customHeight="1">
      <c r="A31" s="369"/>
      <c r="B31" s="370"/>
      <c r="C31" s="370"/>
      <c r="D31" s="370"/>
      <c r="E31" s="370"/>
      <c r="F31" s="371"/>
    </row>
    <row r="32" spans="1:6" ht="18.95" customHeight="1">
      <c r="A32" s="369"/>
      <c r="B32" s="370"/>
      <c r="C32" s="370"/>
      <c r="D32" s="370"/>
      <c r="E32" s="370"/>
      <c r="F32" s="371"/>
    </row>
    <row r="33" spans="1:6" ht="18.95" customHeight="1">
      <c r="A33" s="369"/>
      <c r="B33" s="370"/>
      <c r="C33" s="370"/>
      <c r="D33" s="370"/>
      <c r="E33" s="370"/>
      <c r="F33" s="371"/>
    </row>
    <row r="34" spans="1:6" ht="18.95" customHeight="1">
      <c r="A34" s="369"/>
      <c r="B34" s="370"/>
      <c r="C34" s="370"/>
      <c r="D34" s="370"/>
      <c r="E34" s="370"/>
      <c r="F34" s="371"/>
    </row>
    <row r="35" spans="1:6" ht="18.95" customHeight="1">
      <c r="A35" s="369"/>
      <c r="B35" s="370"/>
      <c r="C35" s="370"/>
      <c r="D35" s="370"/>
      <c r="E35" s="370"/>
      <c r="F35" s="371"/>
    </row>
    <row r="36" spans="1:6" ht="18.95" customHeight="1">
      <c r="A36" s="369"/>
      <c r="B36" s="370"/>
      <c r="C36" s="370"/>
      <c r="D36" s="370"/>
      <c r="E36" s="370"/>
      <c r="F36" s="371"/>
    </row>
    <row r="37" spans="1:6" ht="18.95" customHeight="1">
      <c r="A37" s="369"/>
      <c r="B37" s="370"/>
      <c r="C37" s="370"/>
      <c r="D37" s="370"/>
      <c r="E37" s="370"/>
      <c r="F37" s="371"/>
    </row>
    <row r="38" spans="1:6" ht="18.95" customHeight="1">
      <c r="A38" s="369"/>
      <c r="B38" s="370"/>
      <c r="C38" s="370"/>
      <c r="D38" s="370"/>
      <c r="E38" s="370"/>
      <c r="F38" s="371"/>
    </row>
    <row r="39" spans="1:6" ht="18.95" customHeight="1">
      <c r="A39" s="378" t="s">
        <v>426</v>
      </c>
      <c r="B39" s="379"/>
      <c r="C39" s="379"/>
      <c r="D39" s="370"/>
      <c r="E39" s="375" t="s">
        <v>427</v>
      </c>
      <c r="F39" s="380"/>
    </row>
    <row r="40" spans="1:6" ht="18.95" customHeight="1">
      <c r="A40" s="369"/>
      <c r="B40" s="379"/>
      <c r="C40" s="379"/>
      <c r="D40" s="370"/>
      <c r="E40" s="370"/>
      <c r="F40" s="371"/>
    </row>
    <row r="41" spans="1:6" ht="18.95" customHeight="1">
      <c r="A41" s="369"/>
      <c r="B41" s="379"/>
      <c r="C41" s="379"/>
      <c r="D41" s="370"/>
      <c r="E41" s="370"/>
      <c r="F41" s="371"/>
    </row>
    <row r="42" spans="1:6" ht="18.95" customHeight="1">
      <c r="A42" s="369"/>
      <c r="B42" s="370"/>
      <c r="C42" s="370"/>
      <c r="D42" s="370"/>
      <c r="E42" s="370"/>
      <c r="F42" s="371"/>
    </row>
    <row r="43" spans="1:6" ht="18.95" customHeight="1">
      <c r="A43" s="381"/>
      <c r="B43" s="379"/>
      <c r="C43" s="382" t="s">
        <v>428</v>
      </c>
      <c r="D43" s="383" t="s">
        <v>639</v>
      </c>
      <c r="E43" s="382" t="s">
        <v>429</v>
      </c>
      <c r="F43" s="383" t="s">
        <v>641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151" t="s">
        <v>253</v>
      </c>
      <c r="E53" s="151"/>
      <c r="F53" s="151"/>
      <c r="G53" s="151"/>
      <c r="H53" s="151"/>
      <c r="I53" s="151"/>
      <c r="J53" s="151"/>
      <c r="K53" s="151"/>
      <c r="L53" s="151"/>
    </row>
    <row r="54" spans="1:12" ht="15" customHeight="1">
      <c r="A54" s="384">
        <v>100</v>
      </c>
      <c r="B54" s="151">
        <v>0</v>
      </c>
      <c r="C54" s="151">
        <v>0.18395884335041046</v>
      </c>
      <c r="D54" s="151">
        <v>100</v>
      </c>
      <c r="E54" s="151"/>
      <c r="F54" s="151"/>
      <c r="G54" s="151"/>
      <c r="H54" s="151"/>
      <c r="I54" s="151"/>
      <c r="J54" s="151"/>
      <c r="K54" s="151"/>
      <c r="L54" s="151"/>
    </row>
    <row r="55" spans="1:12" ht="15" customHeight="1">
      <c r="A55" s="384">
        <v>99.799999967217445</v>
      </c>
      <c r="B55" s="151">
        <v>120.03020113023558</v>
      </c>
      <c r="C55" s="151">
        <v>152.5877685546875</v>
      </c>
      <c r="D55" s="151">
        <v>99.599998474121094</v>
      </c>
      <c r="E55" s="151"/>
      <c r="F55" s="151"/>
      <c r="G55" s="151"/>
      <c r="H55" s="151"/>
      <c r="I55" s="151"/>
      <c r="J55" s="151"/>
      <c r="K55" s="151"/>
      <c r="L55" s="151"/>
    </row>
    <row r="56" spans="1:12" ht="15" customHeight="1">
      <c r="A56" s="384">
        <v>98.999999836087227</v>
      </c>
      <c r="B56" s="151">
        <v>236</v>
      </c>
      <c r="C56" s="151">
        <v>463.96676635742188</v>
      </c>
      <c r="D56" s="151">
        <v>98</v>
      </c>
      <c r="E56" s="151"/>
      <c r="F56" s="151"/>
      <c r="G56" s="151"/>
      <c r="H56" s="151"/>
      <c r="I56" s="151"/>
      <c r="J56" s="151"/>
      <c r="K56" s="151"/>
      <c r="L56" s="151"/>
    </row>
    <row r="57" spans="1:12">
      <c r="A57" s="384">
        <v>93.789473548531532</v>
      </c>
      <c r="B57" s="151">
        <v>179.25028418625288</v>
      </c>
      <c r="C57" s="151">
        <v>544.88104248046875</v>
      </c>
      <c r="D57" s="151">
        <v>83.852630615234375</v>
      </c>
      <c r="E57" s="151"/>
      <c r="F57" s="151"/>
      <c r="G57" s="151"/>
      <c r="H57" s="151"/>
      <c r="I57" s="151"/>
      <c r="J57" s="151"/>
      <c r="K57" s="151"/>
      <c r="L57" s="151"/>
    </row>
    <row r="58" spans="1:12">
      <c r="A58" s="384">
        <v>88.578946888446808</v>
      </c>
      <c r="B58" s="151">
        <v>162.91340765176122</v>
      </c>
      <c r="C58" s="151">
        <v>566.622802734375</v>
      </c>
      <c r="D58" s="151">
        <v>70.305259704589844</v>
      </c>
      <c r="E58" s="151"/>
      <c r="F58" s="151"/>
      <c r="G58" s="151"/>
      <c r="H58" s="151"/>
      <c r="I58" s="151"/>
      <c r="J58" s="151"/>
      <c r="K58" s="151"/>
      <c r="L58" s="151"/>
    </row>
    <row r="59" spans="1:12">
      <c r="A59" s="384">
        <v>83.368420600891113</v>
      </c>
      <c r="B59" s="151">
        <v>158.23856393927494</v>
      </c>
      <c r="C59" s="151">
        <v>575.7801513671875</v>
      </c>
      <c r="D59" s="151">
        <v>57.410526275634766</v>
      </c>
      <c r="E59" s="151"/>
      <c r="F59" s="151"/>
      <c r="G59" s="151"/>
      <c r="H59" s="151"/>
      <c r="I59" s="151"/>
      <c r="J59" s="151"/>
      <c r="K59" s="151"/>
      <c r="L59" s="151"/>
    </row>
    <row r="60" spans="1:12">
      <c r="A60" s="384">
        <v>72.947368025779724</v>
      </c>
      <c r="B60" s="151">
        <v>157.10051882920564</v>
      </c>
      <c r="C60" s="151">
        <v>585.67138671875</v>
      </c>
      <c r="D60" s="151">
        <v>38.010524749755859</v>
      </c>
      <c r="E60" s="151"/>
      <c r="F60" s="151"/>
      <c r="G60" s="151"/>
      <c r="H60" s="151"/>
      <c r="I60" s="151"/>
      <c r="J60" s="151"/>
      <c r="K60" s="151"/>
      <c r="L60" s="151"/>
    </row>
    <row r="61" spans="1:12">
      <c r="A61" s="384">
        <v>62.526315450668335</v>
      </c>
      <c r="B61" s="151">
        <v>157.06777840576933</v>
      </c>
      <c r="C61" s="151">
        <v>592.4610595703125</v>
      </c>
      <c r="D61" s="151">
        <v>24.778947830200195</v>
      </c>
      <c r="E61" s="151"/>
      <c r="F61" s="151"/>
      <c r="G61" s="151"/>
      <c r="H61" s="151"/>
      <c r="I61" s="151"/>
      <c r="J61" s="151"/>
      <c r="K61" s="151"/>
      <c r="L61" s="151"/>
    </row>
    <row r="62" spans="1:12">
      <c r="A62" s="384">
        <v>52.105262875556946</v>
      </c>
      <c r="B62" s="151">
        <v>157.04984085869543</v>
      </c>
      <c r="C62" s="151">
        <v>598.26995849609375</v>
      </c>
      <c r="D62" s="151">
        <v>15.684209823608398</v>
      </c>
      <c r="E62" s="151"/>
      <c r="F62" s="151"/>
      <c r="G62" s="151"/>
      <c r="H62" s="151"/>
      <c r="I62" s="151"/>
      <c r="J62" s="151"/>
      <c r="K62" s="151"/>
      <c r="L62" s="151"/>
    </row>
    <row r="63" spans="1:12">
      <c r="A63" s="384">
        <v>41.684210300445557</v>
      </c>
      <c r="B63" s="151">
        <v>157.03360022251377</v>
      </c>
      <c r="C63" s="151">
        <v>603.271484375</v>
      </c>
      <c r="D63" s="151">
        <v>9.0105257034301758</v>
      </c>
      <c r="E63" s="151"/>
      <c r="F63" s="151"/>
      <c r="G63" s="151"/>
      <c r="H63" s="151"/>
      <c r="I63" s="151"/>
      <c r="J63" s="151"/>
      <c r="K63" s="151"/>
      <c r="L63" s="151"/>
    </row>
    <row r="64" spans="1:12">
      <c r="A64" s="384">
        <v>31.263160705566406</v>
      </c>
      <c r="B64" s="151">
        <v>157.0169953930635</v>
      </c>
      <c r="C64" s="151">
        <v>607.53009033203125</v>
      </c>
      <c r="D64" s="151">
        <v>6.2526321411132813</v>
      </c>
      <c r="E64" s="151"/>
      <c r="F64" s="151"/>
      <c r="G64" s="151"/>
      <c r="H64" s="151"/>
      <c r="I64" s="151"/>
      <c r="J64" s="151"/>
      <c r="K64" s="151"/>
      <c r="L64" s="151"/>
    </row>
    <row r="65" spans="1:12">
      <c r="A65" s="384">
        <v>20.842105150222778</v>
      </c>
      <c r="B65" s="151">
        <v>157.00638093130567</v>
      </c>
      <c r="C65" s="151">
        <v>611.14862060546875</v>
      </c>
      <c r="D65" s="151">
        <v>7.8315787315368652</v>
      </c>
      <c r="E65" s="151"/>
      <c r="F65" s="151"/>
      <c r="G65" s="151"/>
      <c r="H65" s="151"/>
      <c r="I65" s="151"/>
      <c r="J65" s="151"/>
      <c r="K65" s="151"/>
      <c r="L65" s="151"/>
    </row>
    <row r="66" spans="1:12">
      <c r="A66" s="384">
        <v>10.421055555343628</v>
      </c>
      <c r="B66" s="151">
        <v>157.00431941948685</v>
      </c>
      <c r="C66" s="151">
        <v>614.2423095703125</v>
      </c>
      <c r="D66" s="151">
        <v>14.70526123046875</v>
      </c>
      <c r="E66" s="151"/>
      <c r="F66" s="151"/>
      <c r="G66" s="151"/>
      <c r="H66" s="151"/>
      <c r="I66" s="151"/>
      <c r="J66" s="151"/>
      <c r="K66" s="151"/>
      <c r="L66" s="151"/>
    </row>
    <row r="67" spans="1:12">
      <c r="A67" s="385">
        <v>0</v>
      </c>
      <c r="B67" s="151">
        <v>157</v>
      </c>
      <c r="C67" s="151">
        <v>616.9154052734375</v>
      </c>
      <c r="D67" s="151">
        <v>30</v>
      </c>
      <c r="E67" s="151"/>
      <c r="F67" s="151"/>
      <c r="G67" s="151"/>
      <c r="H67" s="151"/>
      <c r="I67" s="151"/>
      <c r="J67" s="151"/>
      <c r="K67" s="151"/>
      <c r="L67" s="151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1"/>
  <sheetViews>
    <sheetView topLeftCell="A13" workbookViewId="0"/>
  </sheetViews>
  <sheetFormatPr defaultColWidth="9.140625" defaultRowHeight="12.75"/>
  <cols>
    <col min="1" max="1" width="19.7109375" style="344" customWidth="1"/>
    <col min="2" max="7" width="10.7109375" style="344" customWidth="1"/>
    <col min="8" max="16384" width="9.140625" style="344"/>
  </cols>
  <sheetData>
    <row r="1" spans="1:12" ht="21" customHeight="1">
      <c r="A1" s="386" t="s">
        <v>435</v>
      </c>
      <c r="B1" s="608" t="s">
        <v>474</v>
      </c>
      <c r="C1" s="608"/>
      <c r="D1" s="608"/>
      <c r="E1" s="608"/>
      <c r="F1" s="608"/>
      <c r="G1" s="608"/>
    </row>
    <row r="2" spans="1:12" ht="15" customHeight="1"/>
    <row r="3" spans="1:12" ht="20.25">
      <c r="A3" s="387" t="s">
        <v>436</v>
      </c>
    </row>
    <row r="4" spans="1:12" ht="12" customHeight="1">
      <c r="A4" s="345"/>
      <c r="B4" s="345"/>
      <c r="C4" s="345"/>
      <c r="D4" s="345" t="s">
        <v>488</v>
      </c>
      <c r="E4" s="345"/>
      <c r="F4" s="345"/>
      <c r="G4" s="345"/>
      <c r="H4" s="345"/>
      <c r="I4" s="345"/>
      <c r="J4" s="345"/>
      <c r="K4" s="345"/>
      <c r="L4" s="345"/>
    </row>
    <row r="5" spans="1:12" ht="15.6" customHeight="1">
      <c r="A5" s="388" t="s">
        <v>5</v>
      </c>
      <c r="B5" s="388" t="s">
        <v>437</v>
      </c>
      <c r="C5" s="388" t="s">
        <v>438</v>
      </c>
      <c r="D5" s="388" t="s">
        <v>439</v>
      </c>
      <c r="E5" s="388" t="s">
        <v>440</v>
      </c>
      <c r="F5" s="388" t="s">
        <v>441</v>
      </c>
      <c r="G5" s="388" t="s">
        <v>442</v>
      </c>
      <c r="H5" s="345"/>
      <c r="I5" s="345"/>
      <c r="J5" s="345"/>
      <c r="K5" s="345"/>
      <c r="L5" s="345"/>
    </row>
    <row r="6" spans="1:12" ht="15.6" customHeight="1">
      <c r="A6" s="389" t="s">
        <v>443</v>
      </c>
      <c r="B6" s="389" t="s">
        <v>165</v>
      </c>
      <c r="C6" s="389" t="s">
        <v>165</v>
      </c>
      <c r="D6" s="389" t="s">
        <v>444</v>
      </c>
      <c r="E6" s="389" t="s">
        <v>135</v>
      </c>
      <c r="F6" s="389" t="s">
        <v>445</v>
      </c>
      <c r="G6" s="389" t="s">
        <v>445</v>
      </c>
      <c r="H6" s="345"/>
      <c r="I6" s="345"/>
      <c r="J6" s="345"/>
      <c r="K6" s="345"/>
      <c r="L6" s="345"/>
    </row>
    <row r="7" spans="1:12" ht="15.95" customHeight="1">
      <c r="A7" s="390" t="s">
        <v>475</v>
      </c>
      <c r="B7" s="390" t="s">
        <v>489</v>
      </c>
      <c r="C7" s="390" t="s">
        <v>497</v>
      </c>
      <c r="D7" s="390" t="s">
        <v>510</v>
      </c>
      <c r="E7" s="390" t="s">
        <v>523</v>
      </c>
      <c r="F7" s="390" t="s">
        <v>536</v>
      </c>
      <c r="G7" s="390" t="s">
        <v>549</v>
      </c>
      <c r="H7" s="345"/>
      <c r="I7" s="345"/>
      <c r="J7" s="345"/>
      <c r="K7" s="345"/>
      <c r="L7" s="345"/>
    </row>
    <row r="8" spans="1:12" ht="15.95" customHeight="1">
      <c r="A8" s="390" t="s">
        <v>476</v>
      </c>
      <c r="B8" s="390" t="s">
        <v>489</v>
      </c>
      <c r="C8" s="390" t="s">
        <v>498</v>
      </c>
      <c r="D8" s="390" t="s">
        <v>511</v>
      </c>
      <c r="E8" s="390" t="s">
        <v>524</v>
      </c>
      <c r="F8" s="390" t="s">
        <v>537</v>
      </c>
      <c r="G8" s="390" t="s">
        <v>550</v>
      </c>
      <c r="H8" s="345"/>
      <c r="I8" s="345"/>
      <c r="J8" s="345"/>
      <c r="K8" s="345"/>
      <c r="L8" s="345"/>
    </row>
    <row r="9" spans="1:12" ht="15.95" customHeight="1">
      <c r="A9" s="390" t="s">
        <v>477</v>
      </c>
      <c r="B9" s="390" t="s">
        <v>489</v>
      </c>
      <c r="C9" s="390" t="s">
        <v>499</v>
      </c>
      <c r="D9" s="390" t="s">
        <v>512</v>
      </c>
      <c r="E9" s="390" t="s">
        <v>525</v>
      </c>
      <c r="F9" s="390" t="s">
        <v>538</v>
      </c>
      <c r="G9" s="390" t="s">
        <v>551</v>
      </c>
      <c r="H9" s="345"/>
      <c r="I9" s="345"/>
      <c r="J9" s="345"/>
      <c r="K9" s="345"/>
      <c r="L9" s="345"/>
    </row>
    <row r="10" spans="1:12" ht="15.95" customHeight="1">
      <c r="A10" s="390" t="s">
        <v>478</v>
      </c>
      <c r="B10" s="390" t="s">
        <v>489</v>
      </c>
      <c r="C10" s="390" t="s">
        <v>500</v>
      </c>
      <c r="D10" s="390" t="s">
        <v>513</v>
      </c>
      <c r="E10" s="390" t="s">
        <v>526</v>
      </c>
      <c r="F10" s="390" t="s">
        <v>539</v>
      </c>
      <c r="G10" s="390" t="s">
        <v>552</v>
      </c>
      <c r="H10" s="345"/>
      <c r="I10" s="345"/>
      <c r="J10" s="345"/>
      <c r="K10" s="345"/>
      <c r="L10" s="345"/>
    </row>
    <row r="11" spans="1:12" ht="15.95" customHeight="1">
      <c r="A11" s="390" t="s">
        <v>479</v>
      </c>
      <c r="B11" s="390" t="s">
        <v>489</v>
      </c>
      <c r="C11" s="390" t="s">
        <v>501</v>
      </c>
      <c r="D11" s="390" t="s">
        <v>514</v>
      </c>
      <c r="E11" s="390" t="s">
        <v>527</v>
      </c>
      <c r="F11" s="390" t="s">
        <v>540</v>
      </c>
      <c r="G11" s="390" t="s">
        <v>553</v>
      </c>
      <c r="H11" s="345"/>
      <c r="I11" s="345"/>
      <c r="J11" s="345"/>
      <c r="K11" s="345"/>
      <c r="L11" s="345"/>
    </row>
    <row r="12" spans="1:12" ht="15.95" customHeight="1">
      <c r="A12" s="390" t="s">
        <v>480</v>
      </c>
      <c r="B12" s="390" t="s">
        <v>490</v>
      </c>
      <c r="C12" s="390" t="s">
        <v>502</v>
      </c>
      <c r="D12" s="390" t="s">
        <v>515</v>
      </c>
      <c r="E12" s="390" t="s">
        <v>528</v>
      </c>
      <c r="F12" s="390" t="s">
        <v>541</v>
      </c>
      <c r="G12" s="390" t="s">
        <v>554</v>
      </c>
      <c r="H12" s="345"/>
      <c r="I12" s="345"/>
      <c r="J12" s="345"/>
      <c r="K12" s="345"/>
      <c r="L12" s="345"/>
    </row>
    <row r="13" spans="1:12" ht="15.95" customHeight="1">
      <c r="A13" s="390" t="s">
        <v>481</v>
      </c>
      <c r="B13" s="390" t="s">
        <v>490</v>
      </c>
      <c r="C13" s="390" t="s">
        <v>503</v>
      </c>
      <c r="D13" s="390" t="s">
        <v>516</v>
      </c>
      <c r="E13" s="390" t="s">
        <v>529</v>
      </c>
      <c r="F13" s="390" t="s">
        <v>542</v>
      </c>
      <c r="G13" s="390" t="s">
        <v>555</v>
      </c>
      <c r="H13" s="345"/>
      <c r="I13" s="345"/>
      <c r="J13" s="345"/>
      <c r="K13" s="345"/>
      <c r="L13" s="345"/>
    </row>
    <row r="14" spans="1:12" ht="15.95" customHeight="1">
      <c r="A14" s="390" t="s">
        <v>482</v>
      </c>
      <c r="B14" s="390" t="s">
        <v>491</v>
      </c>
      <c r="C14" s="390" t="s">
        <v>504</v>
      </c>
      <c r="D14" s="390" t="s">
        <v>517</v>
      </c>
      <c r="E14" s="390" t="s">
        <v>530</v>
      </c>
      <c r="F14" s="390" t="s">
        <v>543</v>
      </c>
      <c r="G14" s="390" t="s">
        <v>556</v>
      </c>
      <c r="H14" s="345"/>
      <c r="I14" s="345"/>
      <c r="J14" s="345"/>
      <c r="K14" s="345"/>
      <c r="L14" s="345"/>
    </row>
    <row r="15" spans="1:12" ht="15.95" customHeight="1">
      <c r="A15" s="390" t="s">
        <v>483</v>
      </c>
      <c r="B15" s="390" t="s">
        <v>492</v>
      </c>
      <c r="C15" s="390" t="s">
        <v>505</v>
      </c>
      <c r="D15" s="390" t="s">
        <v>518</v>
      </c>
      <c r="E15" s="390" t="s">
        <v>531</v>
      </c>
      <c r="F15" s="390" t="s">
        <v>544</v>
      </c>
      <c r="G15" s="390" t="s">
        <v>557</v>
      </c>
      <c r="H15" s="345"/>
      <c r="I15" s="345"/>
      <c r="J15" s="345"/>
      <c r="K15" s="345"/>
      <c r="L15" s="345"/>
    </row>
    <row r="16" spans="1:12" ht="15.95" customHeight="1">
      <c r="A16" s="390" t="s">
        <v>484</v>
      </c>
      <c r="B16" s="390" t="s">
        <v>493</v>
      </c>
      <c r="C16" s="390" t="s">
        <v>506</v>
      </c>
      <c r="D16" s="390" t="s">
        <v>519</v>
      </c>
      <c r="E16" s="390" t="s">
        <v>532</v>
      </c>
      <c r="F16" s="390" t="s">
        <v>545</v>
      </c>
      <c r="G16" s="390" t="s">
        <v>558</v>
      </c>
      <c r="H16" s="345"/>
      <c r="I16" s="345"/>
      <c r="J16" s="345"/>
      <c r="K16" s="345"/>
      <c r="L16" s="345"/>
    </row>
    <row r="17" spans="1:12" ht="15.95" customHeight="1">
      <c r="A17" s="390" t="s">
        <v>485</v>
      </c>
      <c r="B17" s="390" t="s">
        <v>494</v>
      </c>
      <c r="C17" s="390" t="s">
        <v>507</v>
      </c>
      <c r="D17" s="390" t="s">
        <v>520</v>
      </c>
      <c r="E17" s="390" t="s">
        <v>533</v>
      </c>
      <c r="F17" s="390" t="s">
        <v>546</v>
      </c>
      <c r="G17" s="390" t="s">
        <v>559</v>
      </c>
      <c r="H17" s="345"/>
      <c r="I17" s="345"/>
      <c r="J17" s="345"/>
      <c r="K17" s="345"/>
      <c r="L17" s="345"/>
    </row>
    <row r="18" spans="1:12" ht="15.95" customHeight="1">
      <c r="A18" s="390" t="s">
        <v>486</v>
      </c>
      <c r="B18" s="390" t="s">
        <v>495</v>
      </c>
      <c r="C18" s="390" t="s">
        <v>508</v>
      </c>
      <c r="D18" s="390" t="s">
        <v>521</v>
      </c>
      <c r="E18" s="390" t="s">
        <v>534</v>
      </c>
      <c r="F18" s="390" t="s">
        <v>547</v>
      </c>
      <c r="G18" s="390" t="s">
        <v>560</v>
      </c>
      <c r="H18" s="345"/>
      <c r="I18" s="345"/>
      <c r="J18" s="345"/>
      <c r="K18" s="345"/>
      <c r="L18" s="345"/>
    </row>
    <row r="19" spans="1:12" ht="15.95" customHeight="1">
      <c r="A19" s="390" t="s">
        <v>487</v>
      </c>
      <c r="B19" s="390" t="s">
        <v>496</v>
      </c>
      <c r="C19" s="390" t="s">
        <v>509</v>
      </c>
      <c r="D19" s="390" t="s">
        <v>522</v>
      </c>
      <c r="E19" s="390" t="s">
        <v>535</v>
      </c>
      <c r="F19" s="390" t="s">
        <v>548</v>
      </c>
      <c r="G19" s="390" t="s">
        <v>561</v>
      </c>
      <c r="H19" s="345"/>
      <c r="I19" s="345"/>
      <c r="J19" s="345"/>
      <c r="K19" s="345"/>
      <c r="L19" s="345"/>
    </row>
    <row r="20" spans="1:12" ht="15.7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637" t="s">
        <v>571</v>
      </c>
      <c r="E21" s="638"/>
      <c r="F21" s="638"/>
      <c r="G21" s="639"/>
      <c r="H21" s="345"/>
      <c r="I21" s="345"/>
      <c r="J21" s="345"/>
      <c r="K21" s="345"/>
      <c r="L21" s="345"/>
    </row>
    <row r="22" spans="1:12" ht="17.25" customHeight="1">
      <c r="A22" s="345"/>
      <c r="B22" s="640" t="s">
        <v>446</v>
      </c>
      <c r="C22" s="640"/>
      <c r="D22" s="640" t="s">
        <v>447</v>
      </c>
      <c r="E22" s="640"/>
      <c r="F22" s="640" t="s">
        <v>448</v>
      </c>
      <c r="G22" s="640"/>
      <c r="H22" s="345"/>
      <c r="I22" s="345"/>
      <c r="J22" s="345"/>
      <c r="K22" s="345"/>
      <c r="L22" s="345"/>
    </row>
    <row r="23" spans="1:12" ht="15.75">
      <c r="A23" s="391" t="s">
        <v>449</v>
      </c>
      <c r="B23" s="636" t="s">
        <v>562</v>
      </c>
      <c r="C23" s="636"/>
      <c r="D23" s="636" t="s">
        <v>565</v>
      </c>
      <c r="E23" s="636"/>
      <c r="F23" s="636" t="s">
        <v>568</v>
      </c>
      <c r="G23" s="636"/>
      <c r="H23" s="345"/>
      <c r="I23" s="345"/>
      <c r="J23" s="345"/>
      <c r="K23" s="345"/>
      <c r="L23" s="345"/>
    </row>
    <row r="24" spans="1:12" ht="18" customHeight="1">
      <c r="A24" s="391" t="s">
        <v>450</v>
      </c>
      <c r="B24" s="636" t="s">
        <v>563</v>
      </c>
      <c r="C24" s="636"/>
      <c r="D24" s="636" t="s">
        <v>566</v>
      </c>
      <c r="E24" s="636"/>
      <c r="F24" s="636" t="s">
        <v>569</v>
      </c>
      <c r="G24" s="636"/>
      <c r="H24" s="345"/>
      <c r="I24" s="345"/>
      <c r="J24" s="345"/>
      <c r="K24" s="345"/>
      <c r="L24" s="345"/>
    </row>
    <row r="25" spans="1:12" ht="15.75">
      <c r="A25" s="391" t="s">
        <v>451</v>
      </c>
      <c r="B25" s="636" t="s">
        <v>564</v>
      </c>
      <c r="C25" s="636"/>
      <c r="D25" s="636" t="s">
        <v>567</v>
      </c>
      <c r="E25" s="636"/>
      <c r="F25" s="636" t="s">
        <v>570</v>
      </c>
      <c r="G25" s="636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20.25">
      <c r="A27" s="387" t="s">
        <v>452</v>
      </c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641" t="s">
        <v>453</v>
      </c>
      <c r="F28" s="638"/>
      <c r="G28" s="639"/>
      <c r="H28" s="345"/>
      <c r="I28" s="345"/>
      <c r="J28" s="345"/>
      <c r="K28" s="345"/>
      <c r="L28" s="345"/>
    </row>
    <row r="29" spans="1:12" ht="15.75">
      <c r="A29" s="345"/>
      <c r="B29" s="640" t="s">
        <v>454</v>
      </c>
      <c r="C29" s="640"/>
      <c r="D29" s="392" t="s">
        <v>455</v>
      </c>
      <c r="E29" s="392" t="s">
        <v>456</v>
      </c>
      <c r="F29" s="640" t="s">
        <v>457</v>
      </c>
      <c r="G29" s="640"/>
      <c r="H29" s="345"/>
      <c r="I29" s="345"/>
      <c r="J29" s="345"/>
      <c r="K29" s="345"/>
      <c r="L29" s="345"/>
    </row>
    <row r="30" spans="1:12" ht="15.75">
      <c r="A30" s="391" t="s">
        <v>458</v>
      </c>
      <c r="B30" s="636" t="s">
        <v>572</v>
      </c>
      <c r="C30" s="636"/>
      <c r="D30" s="390" t="s">
        <v>575</v>
      </c>
      <c r="E30" s="390" t="s">
        <v>459</v>
      </c>
      <c r="F30" s="636" t="s">
        <v>578</v>
      </c>
      <c r="G30" s="636"/>
      <c r="H30" s="345"/>
      <c r="I30" s="345"/>
      <c r="J30" s="345"/>
      <c r="K30" s="345"/>
      <c r="L30" s="345"/>
    </row>
    <row r="31" spans="1:12" ht="15.75">
      <c r="A31" s="391" t="s">
        <v>460</v>
      </c>
      <c r="B31" s="636" t="s">
        <v>573</v>
      </c>
      <c r="C31" s="636"/>
      <c r="D31" s="390" t="s">
        <v>576</v>
      </c>
      <c r="E31" s="390" t="s">
        <v>461</v>
      </c>
      <c r="F31" s="636" t="s">
        <v>579</v>
      </c>
      <c r="G31" s="636"/>
      <c r="H31" s="345"/>
      <c r="I31" s="345"/>
      <c r="J31" s="345"/>
      <c r="K31" s="345"/>
      <c r="L31" s="345"/>
    </row>
    <row r="32" spans="1:12" ht="15.75">
      <c r="A32" s="391" t="s">
        <v>462</v>
      </c>
      <c r="B32" s="636" t="s">
        <v>574</v>
      </c>
      <c r="C32" s="636"/>
      <c r="D32" s="390" t="s">
        <v>577</v>
      </c>
      <c r="E32" s="390" t="s">
        <v>463</v>
      </c>
      <c r="F32" s="636" t="s">
        <v>580</v>
      </c>
      <c r="G32" s="636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  <row r="34" spans="1:12" ht="15.75">
      <c r="A34" s="345"/>
      <c r="B34" s="345"/>
      <c r="C34" s="345"/>
      <c r="D34" s="345"/>
      <c r="E34" s="641" t="s">
        <v>464</v>
      </c>
      <c r="F34" s="638"/>
      <c r="G34" s="639"/>
      <c r="H34" s="345"/>
      <c r="I34" s="345"/>
      <c r="J34" s="345"/>
      <c r="K34" s="345"/>
      <c r="L34" s="345"/>
    </row>
    <row r="35" spans="1:12" ht="15.75">
      <c r="A35" s="345"/>
      <c r="B35" s="640" t="s">
        <v>465</v>
      </c>
      <c r="C35" s="640"/>
      <c r="D35" s="392" t="s">
        <v>456</v>
      </c>
      <c r="E35" s="392" t="s">
        <v>466</v>
      </c>
      <c r="F35" s="392" t="s">
        <v>100</v>
      </c>
      <c r="G35" s="392" t="s">
        <v>467</v>
      </c>
      <c r="H35" s="345"/>
      <c r="I35" s="345"/>
      <c r="J35" s="345"/>
      <c r="K35" s="345"/>
      <c r="L35" s="345"/>
    </row>
    <row r="36" spans="1:12" ht="15.75">
      <c r="A36" s="391" t="s">
        <v>458</v>
      </c>
      <c r="B36" s="642" t="s">
        <v>581</v>
      </c>
      <c r="C36" s="643"/>
      <c r="D36" s="393" t="s">
        <v>583</v>
      </c>
      <c r="E36" s="393" t="s">
        <v>468</v>
      </c>
      <c r="F36" s="394" t="s">
        <v>469</v>
      </c>
      <c r="G36" s="390" t="s">
        <v>586</v>
      </c>
      <c r="H36" s="345"/>
      <c r="I36" s="345"/>
      <c r="J36" s="345"/>
      <c r="K36" s="345"/>
      <c r="L36" s="345"/>
    </row>
    <row r="37" spans="1:12" ht="15.75">
      <c r="A37" s="391" t="s">
        <v>460</v>
      </c>
      <c r="B37" s="642" t="s">
        <v>582</v>
      </c>
      <c r="C37" s="643"/>
      <c r="D37" s="393" t="s">
        <v>584</v>
      </c>
      <c r="E37" s="393" t="s">
        <v>468</v>
      </c>
      <c r="F37" s="394" t="s">
        <v>470</v>
      </c>
      <c r="G37" s="395" t="s">
        <v>587</v>
      </c>
      <c r="H37" s="345"/>
      <c r="I37" s="345"/>
      <c r="J37" s="345"/>
      <c r="K37" s="345"/>
      <c r="L37" s="345"/>
    </row>
    <row r="38" spans="1:12" ht="15.75">
      <c r="A38" s="391" t="s">
        <v>462</v>
      </c>
      <c r="B38" s="642" t="s">
        <v>582</v>
      </c>
      <c r="C38" s="643"/>
      <c r="D38" s="393" t="s">
        <v>585</v>
      </c>
      <c r="E38" s="393" t="s">
        <v>468</v>
      </c>
      <c r="F38" s="394" t="s">
        <v>471</v>
      </c>
      <c r="G38" s="390" t="s">
        <v>588</v>
      </c>
      <c r="H38" s="345"/>
      <c r="I38" s="345"/>
      <c r="J38" s="345"/>
      <c r="K38" s="345"/>
      <c r="L38" s="345"/>
    </row>
    <row r="39" spans="1:12" ht="15.75">
      <c r="A39" s="345"/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</row>
    <row r="40" spans="1:12" ht="15.75">
      <c r="A40" s="396" t="s">
        <v>472</v>
      </c>
      <c r="B40" s="644" t="s">
        <v>589</v>
      </c>
      <c r="C40" s="644"/>
      <c r="D40" s="645" t="s">
        <v>473</v>
      </c>
      <c r="E40" s="645"/>
      <c r="F40" s="644" t="s">
        <v>590</v>
      </c>
      <c r="G40" s="644"/>
      <c r="H40" s="345"/>
      <c r="I40" s="345"/>
      <c r="J40" s="345"/>
      <c r="K40" s="345"/>
      <c r="L40" s="345"/>
    </row>
    <row r="41" spans="1:12" ht="15.75">
      <c r="A41" s="345"/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</row>
    <row r="42" spans="1:12" ht="15.75">
      <c r="A42" s="345"/>
      <c r="B42" s="345"/>
      <c r="C42" s="345"/>
      <c r="D42" s="345"/>
      <c r="E42" s="345"/>
      <c r="F42" s="345"/>
      <c r="G42" s="345"/>
      <c r="H42" s="345"/>
      <c r="I42" s="345"/>
      <c r="J42" s="345"/>
      <c r="K42" s="345"/>
      <c r="L42" s="345"/>
    </row>
    <row r="43" spans="1:12" ht="15.75">
      <c r="A43" s="345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</row>
    <row r="44" spans="1:12" ht="15.75">
      <c r="A44" s="345"/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</row>
    <row r="45" spans="1:12" ht="15.75">
      <c r="A45" s="345"/>
      <c r="B45" s="345"/>
      <c r="C45" s="345"/>
      <c r="D45" s="345"/>
      <c r="E45" s="345"/>
      <c r="F45" s="345"/>
      <c r="G45" s="345"/>
      <c r="H45" s="345"/>
      <c r="I45" s="345"/>
      <c r="J45" s="345"/>
      <c r="K45" s="345"/>
      <c r="L45" s="345"/>
    </row>
    <row r="46" spans="1:12" ht="15.75">
      <c r="A46" s="345"/>
      <c r="B46" s="345"/>
      <c r="C46" s="345"/>
      <c r="D46" s="345"/>
      <c r="E46" s="345"/>
      <c r="F46" s="345"/>
      <c r="G46" s="345"/>
      <c r="H46" s="345"/>
      <c r="I46" s="345"/>
      <c r="J46" s="345"/>
      <c r="K46" s="345"/>
      <c r="L46" s="345"/>
    </row>
    <row r="47" spans="1:12" ht="15.75">
      <c r="A47" s="345"/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</row>
    <row r="48" spans="1:12" ht="15.75">
      <c r="A48" s="345"/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</row>
    <row r="49" spans="1:12" ht="15.75">
      <c r="A49" s="345"/>
      <c r="B49" s="345"/>
      <c r="C49" s="345"/>
      <c r="D49" s="345"/>
      <c r="E49" s="345"/>
      <c r="F49" s="345"/>
      <c r="G49" s="345"/>
      <c r="H49" s="345"/>
      <c r="I49" s="345"/>
      <c r="J49" s="345"/>
      <c r="K49" s="345"/>
      <c r="L49" s="345"/>
    </row>
    <row r="50" spans="1:12" ht="15.75">
      <c r="A50" s="345"/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</row>
    <row r="51" spans="1:12" ht="15.75">
      <c r="A51" s="345"/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</row>
    <row r="52" spans="1:12" ht="15.75">
      <c r="A52" s="345"/>
      <c r="B52" s="345"/>
      <c r="C52" s="345"/>
      <c r="D52" s="345"/>
      <c r="E52" s="345"/>
      <c r="F52" s="345"/>
      <c r="G52" s="345"/>
      <c r="H52" s="345"/>
      <c r="I52" s="345"/>
      <c r="J52" s="345"/>
      <c r="K52" s="345"/>
      <c r="L52" s="345"/>
    </row>
    <row r="53" spans="1:12" ht="15.75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</row>
    <row r="54" spans="1:12" ht="15.75">
      <c r="A54" s="345"/>
      <c r="B54" s="345"/>
      <c r="C54" s="345"/>
      <c r="D54" s="345"/>
      <c r="E54" s="345"/>
      <c r="F54" s="345"/>
      <c r="G54" s="345"/>
      <c r="H54" s="345"/>
      <c r="I54" s="345"/>
      <c r="J54" s="345"/>
      <c r="K54" s="345"/>
      <c r="L54" s="345"/>
    </row>
    <row r="55" spans="1:12" ht="15.75">
      <c r="A55" s="345"/>
      <c r="B55" s="345"/>
      <c r="C55" s="345"/>
      <c r="D55" s="345"/>
      <c r="E55" s="345"/>
      <c r="F55" s="345"/>
      <c r="G55" s="345"/>
      <c r="H55" s="345"/>
      <c r="I55" s="345"/>
      <c r="J55" s="345"/>
      <c r="K55" s="345"/>
      <c r="L55" s="345"/>
    </row>
    <row r="56" spans="1:12" ht="15.75">
      <c r="A56" s="345"/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</row>
    <row r="57" spans="1:12" ht="15.75">
      <c r="A57" s="345"/>
      <c r="B57" s="345"/>
      <c r="C57" s="345"/>
      <c r="D57" s="345"/>
      <c r="E57" s="345"/>
      <c r="F57" s="345"/>
      <c r="G57" s="345"/>
      <c r="H57" s="345"/>
      <c r="I57" s="345"/>
      <c r="J57" s="345"/>
      <c r="K57" s="345"/>
      <c r="L57" s="345"/>
    </row>
    <row r="58" spans="1:12" ht="15.75">
      <c r="A58" s="345"/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</row>
    <row r="59" spans="1:12" ht="15.75">
      <c r="A59" s="345"/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</row>
    <row r="60" spans="1:12" ht="15.75">
      <c r="A60" s="345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</row>
    <row r="61" spans="1:12" ht="15.75">
      <c r="A61" s="345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topLeftCell="A25" workbookViewId="0">
      <selection activeCell="E51" sqref="E51"/>
    </sheetView>
  </sheetViews>
  <sheetFormatPr defaultColWidth="9.140625" defaultRowHeight="12.75"/>
  <cols>
    <col min="1" max="6" width="16.7109375" style="344" customWidth="1"/>
    <col min="7" max="16384" width="9.140625" style="344"/>
  </cols>
  <sheetData>
    <row r="1" spans="1:6" ht="18.95" customHeight="1">
      <c r="A1" s="362"/>
      <c r="B1" s="363"/>
      <c r="C1" s="363"/>
      <c r="D1" s="363"/>
      <c r="E1" s="363"/>
      <c r="F1" s="364"/>
    </row>
    <row r="2" spans="1:6" ht="26.1" customHeight="1">
      <c r="A2" s="365" t="s">
        <v>263</v>
      </c>
      <c r="B2" s="366"/>
      <c r="C2" s="366"/>
      <c r="D2" s="366"/>
      <c r="E2" s="366"/>
      <c r="F2" s="367"/>
    </row>
    <row r="3" spans="1:6" ht="18.95" customHeight="1">
      <c r="A3" s="646" t="s">
        <v>591</v>
      </c>
      <c r="B3" s="647"/>
      <c r="C3" s="647"/>
      <c r="D3" s="647"/>
      <c r="E3" s="647"/>
      <c r="F3" s="648"/>
    </row>
    <row r="4" spans="1:6" ht="18.95" customHeight="1">
      <c r="A4" s="649" t="s">
        <v>592</v>
      </c>
      <c r="B4" s="650"/>
      <c r="C4" s="650"/>
      <c r="D4" s="650"/>
      <c r="E4" s="650"/>
      <c r="F4" s="651"/>
    </row>
    <row r="5" spans="1:6" ht="18.95" customHeight="1">
      <c r="A5" s="369"/>
      <c r="B5" s="370"/>
      <c r="C5" s="370"/>
      <c r="D5" s="370"/>
      <c r="E5" s="370"/>
      <c r="F5" s="371"/>
    </row>
    <row r="6" spans="1:6" ht="18.95" customHeight="1">
      <c r="A6" s="372" t="s">
        <v>409</v>
      </c>
      <c r="B6" s="633" t="s">
        <v>635</v>
      </c>
      <c r="C6" s="634"/>
      <c r="D6" s="635"/>
      <c r="E6" s="372" t="s">
        <v>410</v>
      </c>
      <c r="F6" s="373">
        <v>603</v>
      </c>
    </row>
    <row r="7" spans="1:6" ht="18.95" customHeight="1">
      <c r="A7" s="372" t="s">
        <v>411</v>
      </c>
      <c r="B7" s="373" t="s">
        <v>176</v>
      </c>
      <c r="C7" s="372" t="s">
        <v>412</v>
      </c>
      <c r="D7" s="373" t="s">
        <v>430</v>
      </c>
      <c r="E7" s="372" t="s">
        <v>413</v>
      </c>
      <c r="F7" s="373" t="s">
        <v>177</v>
      </c>
    </row>
    <row r="8" spans="1:6" ht="18.95" customHeight="1">
      <c r="A8" s="372" t="s">
        <v>414</v>
      </c>
      <c r="B8" s="373">
        <v>2</v>
      </c>
      <c r="C8" s="372" t="s">
        <v>415</v>
      </c>
      <c r="D8" s="373" t="s">
        <v>416</v>
      </c>
      <c r="E8" s="372" t="s">
        <v>417</v>
      </c>
      <c r="F8" s="373" t="s">
        <v>356</v>
      </c>
    </row>
    <row r="9" spans="1:6" ht="18.95" customHeight="1">
      <c r="A9" s="372" t="s">
        <v>418</v>
      </c>
      <c r="B9" s="373">
        <v>5000</v>
      </c>
      <c r="C9" s="372" t="s">
        <v>419</v>
      </c>
      <c r="D9" s="373" t="s">
        <v>431</v>
      </c>
      <c r="E9" s="372" t="s">
        <v>2</v>
      </c>
      <c r="F9" s="374">
        <v>41871</v>
      </c>
    </row>
    <row r="10" spans="1:6" ht="18.95" customHeight="1">
      <c r="A10" s="372" t="s">
        <v>420</v>
      </c>
      <c r="B10" s="373">
        <v>3587</v>
      </c>
      <c r="C10" s="372" t="s">
        <v>255</v>
      </c>
      <c r="D10" s="373" t="s">
        <v>432</v>
      </c>
      <c r="E10" s="372" t="s">
        <v>1</v>
      </c>
      <c r="F10" s="373" t="s">
        <v>373</v>
      </c>
    </row>
    <row r="11" spans="1:6" ht="18.95" customHeight="1">
      <c r="A11" s="369"/>
      <c r="B11" s="370"/>
      <c r="C11" s="370"/>
      <c r="D11" s="370"/>
      <c r="E11" s="370"/>
      <c r="F11" s="371"/>
    </row>
    <row r="12" spans="1:6" ht="18.95" customHeight="1">
      <c r="A12" s="369"/>
      <c r="B12" s="375"/>
      <c r="C12" s="376"/>
      <c r="D12" s="375"/>
      <c r="E12" s="376"/>
      <c r="F12" s="371"/>
    </row>
    <row r="13" spans="1:6" ht="18.95" customHeight="1">
      <c r="A13" s="369"/>
      <c r="B13" s="375"/>
      <c r="C13" s="377"/>
      <c r="D13" s="375"/>
      <c r="E13" s="376"/>
      <c r="F13" s="371"/>
    </row>
    <row r="14" spans="1:6" ht="18.95" customHeight="1">
      <c r="A14" s="369"/>
      <c r="B14" s="375"/>
      <c r="C14" s="377"/>
      <c r="D14" s="375"/>
      <c r="E14" s="376"/>
      <c r="F14" s="371"/>
    </row>
    <row r="15" spans="1:6" ht="18.95" customHeight="1">
      <c r="A15" s="369"/>
      <c r="B15" s="375"/>
      <c r="C15" s="376"/>
      <c r="D15" s="370"/>
      <c r="E15" s="370"/>
      <c r="F15" s="371"/>
    </row>
    <row r="16" spans="1:6" ht="18.95" customHeight="1">
      <c r="A16" s="369"/>
      <c r="B16" s="370"/>
      <c r="C16" s="370"/>
      <c r="D16" s="370"/>
      <c r="E16" s="370"/>
      <c r="F16" s="371"/>
    </row>
    <row r="17" spans="1:6" ht="18.95" customHeight="1">
      <c r="A17" s="369"/>
      <c r="B17" s="370"/>
      <c r="C17" s="370"/>
      <c r="D17" s="370"/>
      <c r="E17" s="370"/>
      <c r="F17" s="371"/>
    </row>
    <row r="18" spans="1:6" ht="18.95" customHeight="1">
      <c r="A18" s="369"/>
      <c r="B18" s="370"/>
      <c r="C18" s="370"/>
      <c r="D18" s="370"/>
      <c r="E18" s="370"/>
      <c r="F18" s="371"/>
    </row>
    <row r="19" spans="1:6" ht="18.95" customHeight="1">
      <c r="A19" s="369"/>
      <c r="B19" s="370"/>
      <c r="C19" s="370"/>
      <c r="D19" s="370"/>
      <c r="E19" s="370"/>
      <c r="F19" s="371"/>
    </row>
    <row r="20" spans="1:6" ht="18.95" customHeight="1">
      <c r="A20" s="369"/>
      <c r="B20" s="370"/>
      <c r="C20" s="370"/>
      <c r="D20" s="370"/>
      <c r="E20" s="370"/>
      <c r="F20" s="371"/>
    </row>
    <row r="21" spans="1:6" ht="18.95" customHeight="1">
      <c r="A21" s="369"/>
      <c r="B21" s="370"/>
      <c r="C21" s="370"/>
      <c r="D21" s="370"/>
      <c r="E21" s="370"/>
      <c r="F21" s="371"/>
    </row>
    <row r="22" spans="1:6" ht="18.95" customHeight="1">
      <c r="A22" s="369"/>
      <c r="B22" s="370"/>
      <c r="C22" s="370"/>
      <c r="D22" s="370"/>
      <c r="E22" s="370"/>
      <c r="F22" s="371"/>
    </row>
    <row r="23" spans="1:6" ht="18.95" customHeight="1">
      <c r="A23" s="369"/>
      <c r="B23" s="370"/>
      <c r="C23" s="370"/>
      <c r="D23" s="370"/>
      <c r="E23" s="370"/>
      <c r="F23" s="371"/>
    </row>
    <row r="24" spans="1:6" ht="18.95" customHeight="1">
      <c r="A24" s="369"/>
      <c r="B24" s="370"/>
      <c r="C24" s="370"/>
      <c r="D24" s="370"/>
      <c r="E24" s="370"/>
      <c r="F24" s="371"/>
    </row>
    <row r="25" spans="1:6" ht="18.95" customHeight="1">
      <c r="A25" s="369"/>
      <c r="B25" s="370"/>
      <c r="C25" s="370"/>
      <c r="D25" s="370"/>
      <c r="E25" s="370"/>
      <c r="F25" s="371"/>
    </row>
    <row r="26" spans="1:6" ht="18.95" customHeight="1">
      <c r="A26" s="369"/>
      <c r="B26" s="370"/>
      <c r="C26" s="370"/>
      <c r="D26" s="370"/>
      <c r="E26" s="370"/>
      <c r="F26" s="371"/>
    </row>
    <row r="27" spans="1:6" ht="18.95" customHeight="1">
      <c r="A27" s="369"/>
      <c r="B27" s="370"/>
      <c r="C27" s="370"/>
      <c r="D27" s="370"/>
      <c r="E27" s="370"/>
      <c r="F27" s="371"/>
    </row>
    <row r="28" spans="1:6" ht="18.95" customHeight="1">
      <c r="A28" s="369"/>
      <c r="B28" s="370"/>
      <c r="C28" s="370"/>
      <c r="D28" s="370"/>
      <c r="E28" s="370"/>
      <c r="F28" s="371"/>
    </row>
    <row r="29" spans="1:6" ht="18.95" customHeight="1">
      <c r="A29" s="369"/>
      <c r="B29" s="370"/>
      <c r="C29" s="370"/>
      <c r="D29" s="370"/>
      <c r="E29" s="370"/>
      <c r="F29" s="371"/>
    </row>
    <row r="30" spans="1:6" ht="18.95" customHeight="1">
      <c r="A30" s="369"/>
      <c r="B30" s="370"/>
      <c r="C30" s="370"/>
      <c r="D30" s="370"/>
      <c r="E30" s="370"/>
      <c r="F30" s="371"/>
    </row>
    <row r="31" spans="1:6" ht="18.95" customHeight="1">
      <c r="A31" s="369"/>
      <c r="B31" s="370"/>
      <c r="C31" s="370"/>
      <c r="D31" s="370"/>
      <c r="E31" s="370"/>
      <c r="F31" s="371"/>
    </row>
    <row r="32" spans="1:6" ht="18.95" customHeight="1">
      <c r="A32" s="369"/>
      <c r="B32" s="370"/>
      <c r="C32" s="370"/>
      <c r="D32" s="370"/>
      <c r="E32" s="370"/>
      <c r="F32" s="371"/>
    </row>
    <row r="33" spans="1:6" ht="18.95" customHeight="1">
      <c r="A33" s="369"/>
      <c r="B33" s="370"/>
      <c r="C33" s="370"/>
      <c r="D33" s="370"/>
      <c r="E33" s="370"/>
      <c r="F33" s="371"/>
    </row>
    <row r="34" spans="1:6" ht="18.95" customHeight="1">
      <c r="A34" s="369"/>
      <c r="B34" s="370"/>
      <c r="C34" s="370"/>
      <c r="D34" s="370"/>
      <c r="E34" s="370"/>
      <c r="F34" s="371"/>
    </row>
    <row r="35" spans="1:6" ht="18.95" customHeight="1">
      <c r="A35" s="369"/>
      <c r="B35" s="370"/>
      <c r="C35" s="370"/>
      <c r="D35" s="370"/>
      <c r="E35" s="370"/>
      <c r="F35" s="371"/>
    </row>
    <row r="36" spans="1:6" ht="18.95" customHeight="1">
      <c r="A36" s="369"/>
      <c r="B36" s="370"/>
      <c r="C36" s="370"/>
      <c r="D36" s="370"/>
      <c r="E36" s="370"/>
      <c r="F36" s="371"/>
    </row>
    <row r="37" spans="1:6" ht="18.95" customHeight="1">
      <c r="A37" s="369"/>
      <c r="B37" s="370"/>
      <c r="C37" s="370"/>
      <c r="D37" s="370"/>
      <c r="E37" s="370"/>
      <c r="F37" s="371"/>
    </row>
    <row r="38" spans="1:6" ht="18.95" customHeight="1">
      <c r="A38" s="369"/>
      <c r="B38" s="370"/>
      <c r="C38" s="370"/>
      <c r="D38" s="370"/>
      <c r="E38" s="370"/>
      <c r="F38" s="371"/>
    </row>
    <row r="39" spans="1:6" ht="18.95" customHeight="1">
      <c r="A39" s="378" t="s">
        <v>426</v>
      </c>
      <c r="B39" s="379"/>
      <c r="C39" s="379"/>
      <c r="D39" s="370"/>
      <c r="E39" s="375" t="s">
        <v>427</v>
      </c>
      <c r="F39" s="380"/>
    </row>
    <row r="40" spans="1:6" ht="18.95" customHeight="1">
      <c r="A40" s="369"/>
      <c r="B40" s="379"/>
      <c r="C40" s="379"/>
      <c r="D40" s="370"/>
      <c r="E40" s="370"/>
      <c r="F40" s="371"/>
    </row>
    <row r="41" spans="1:6" ht="18.95" customHeight="1">
      <c r="A41" s="369"/>
      <c r="B41" s="379"/>
      <c r="C41" s="379"/>
      <c r="D41" s="370"/>
      <c r="E41" s="370"/>
      <c r="F41" s="371"/>
    </row>
    <row r="42" spans="1:6" ht="18.95" customHeight="1">
      <c r="A42" s="369"/>
      <c r="B42" s="370"/>
      <c r="C42" s="370"/>
      <c r="D42" s="370"/>
      <c r="E42" s="370"/>
      <c r="F42" s="371"/>
    </row>
    <row r="43" spans="1:6" ht="18.95" customHeight="1">
      <c r="A43" s="381"/>
      <c r="B43" s="379"/>
      <c r="C43" s="382" t="s">
        <v>428</v>
      </c>
      <c r="D43" s="383" t="s">
        <v>639</v>
      </c>
      <c r="E43" s="382" t="s">
        <v>429</v>
      </c>
      <c r="F43" s="383" t="s">
        <v>641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397" t="e">
        <f>5252.1*B50/D53</f>
        <v>#DIV/0!</v>
      </c>
      <c r="G50" s="397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398"/>
    </row>
    <row r="63" spans="6:9">
      <c r="I63" s="344" t="s">
        <v>39</v>
      </c>
    </row>
    <row r="66" spans="1:6">
      <c r="D66" s="397" t="e">
        <f>D65/D64</f>
        <v>#DIV/0!</v>
      </c>
    </row>
    <row r="67" spans="1:6">
      <c r="A67" s="399" t="s">
        <v>251</v>
      </c>
      <c r="B67" s="399" t="s">
        <v>593</v>
      </c>
      <c r="C67" s="399" t="s">
        <v>594</v>
      </c>
      <c r="E67" s="399" t="s">
        <v>595</v>
      </c>
      <c r="F67" s="399" t="s">
        <v>596</v>
      </c>
    </row>
    <row r="68" spans="1:6">
      <c r="A68" s="400">
        <v>616.91542288557218</v>
      </c>
      <c r="B68" s="401">
        <v>15.148331778390068</v>
      </c>
      <c r="C68" s="401">
        <v>8.4151308877127509</v>
      </c>
      <c r="E68" s="400">
        <f>A68</f>
        <v>616.91542288557218</v>
      </c>
      <c r="F68" s="401">
        <v>1E-4</v>
      </c>
    </row>
    <row r="69" spans="1:6">
      <c r="A69" s="400">
        <f>FLOOR(A68,100)</f>
        <v>600</v>
      </c>
      <c r="B69" s="401">
        <f>((A68/A69)^2)*B68</f>
        <v>16.014506614558886</v>
      </c>
      <c r="C69" s="401">
        <f>((A68/A69)^2)*C68</f>
        <v>8.8963043083003477</v>
      </c>
      <c r="E69" s="400">
        <v>615.57213930348257</v>
      </c>
      <c r="F69" s="401">
        <v>0.30799999833106995</v>
      </c>
    </row>
    <row r="70" spans="1:6">
      <c r="A70" s="400">
        <f>A69-100</f>
        <v>500</v>
      </c>
      <c r="B70" s="401">
        <f>((A68/A70)^2)*B68</f>
        <v>23.060889524964804</v>
      </c>
      <c r="C70" s="401">
        <f>((A68/A70)^2)*C68</f>
        <v>12.810678203952506</v>
      </c>
      <c r="E70" s="400">
        <v>612.70315091210614</v>
      </c>
      <c r="F70" s="401">
        <v>0.59200000762939453</v>
      </c>
    </row>
    <row r="71" spans="1:6">
      <c r="A71" s="400">
        <f>A70-100</f>
        <v>400</v>
      </c>
      <c r="B71" s="401">
        <f>((A68/A71)^2)*B68</f>
        <v>36.032639882757501</v>
      </c>
      <c r="C71" s="401">
        <f>((A68/A71)^2)*C68</f>
        <v>20.016684693675789</v>
      </c>
      <c r="E71" s="400">
        <v>609.33665008291871</v>
      </c>
      <c r="F71" s="401">
        <v>0.86800003051757813</v>
      </c>
    </row>
    <row r="72" spans="1:6">
      <c r="A72" s="400">
        <f>A71-100</f>
        <v>300</v>
      </c>
      <c r="B72" s="401">
        <f>((A68/A72)^2)*B68</f>
        <v>64.058026458235545</v>
      </c>
      <c r="C72" s="401"/>
      <c r="E72" s="400">
        <v>605.40630182421228</v>
      </c>
      <c r="F72" s="401">
        <v>1.1449999809265137</v>
      </c>
    </row>
    <row r="73" spans="1:6">
      <c r="A73" s="400">
        <f>A72-100</f>
        <v>200</v>
      </c>
      <c r="B73" s="401">
        <f>((A68/A73)^2)*B68</f>
        <v>144.13055953103</v>
      </c>
      <c r="C73" s="401"/>
      <c r="E73" s="400">
        <v>600.76285240464347</v>
      </c>
      <c r="F73" s="401">
        <v>1.4309999942779541</v>
      </c>
    </row>
    <row r="74" spans="1:6">
      <c r="A74" s="400">
        <v>236</v>
      </c>
      <c r="B74" s="401">
        <f>((A68/A74)^2)*B68</f>
        <v>103.51232370800776</v>
      </c>
      <c r="C74" s="401">
        <f>((A68/A74)^2)*C68</f>
        <v>57.502685129778193</v>
      </c>
      <c r="E74" s="400">
        <v>595.37313432835822</v>
      </c>
      <c r="F74" s="401">
        <v>1.7339999675750732</v>
      </c>
    </row>
    <row r="75" spans="1:6">
      <c r="A75" s="402">
        <v>180</v>
      </c>
      <c r="B75" s="401">
        <f>((A68/A75)^2)*B69</f>
        <v>188.11343267192194</v>
      </c>
      <c r="C75" s="401">
        <f>((A68/A75)^2)*C68</f>
        <v>98.847825647781676</v>
      </c>
      <c r="E75" s="400">
        <v>589.07131011608624</v>
      </c>
      <c r="F75" s="401">
        <v>2.0639998912811279</v>
      </c>
    </row>
    <row r="76" spans="1:6">
      <c r="A76" s="402">
        <v>120</v>
      </c>
      <c r="B76" s="401">
        <f>((A68/A76)^2)*B68</f>
        <v>400.36266536397216</v>
      </c>
      <c r="C76" s="401">
        <f>((A68/A76)^2)*C68</f>
        <v>222.40760770750873</v>
      </c>
      <c r="E76" s="400">
        <v>580.72968490878941</v>
      </c>
      <c r="F76" s="401">
        <v>2.4409999847412109</v>
      </c>
    </row>
    <row r="77" spans="1:6">
      <c r="A77" s="402">
        <v>110</v>
      </c>
      <c r="B77" s="401"/>
      <c r="C77" s="400">
        <f>CEILING(C76*2,100)</f>
        <v>500</v>
      </c>
      <c r="E77" s="400">
        <v>571.19402985074623</v>
      </c>
      <c r="F77" s="401">
        <v>2.6549999713897705</v>
      </c>
    </row>
    <row r="78" spans="1:6">
      <c r="A78" s="402">
        <v>110</v>
      </c>
      <c r="B78" s="401"/>
      <c r="C78" s="400">
        <f>2*C77</f>
        <v>1000</v>
      </c>
      <c r="E78" s="400">
        <v>555.7545605306799</v>
      </c>
      <c r="F78" s="401">
        <v>2.875</v>
      </c>
    </row>
    <row r="79" spans="1:6">
      <c r="A79" s="402">
        <v>110</v>
      </c>
      <c r="B79" s="402"/>
      <c r="C79" s="402">
        <v>10000</v>
      </c>
      <c r="E79" s="400">
        <v>504.42786069651743</v>
      </c>
      <c r="F79" s="401">
        <v>3.0529999732971191</v>
      </c>
    </row>
    <row r="80" spans="1:6">
      <c r="E80" s="400">
        <v>308.27529021558871</v>
      </c>
      <c r="F80" s="401">
        <v>3.0929999351501465</v>
      </c>
    </row>
    <row r="81" spans="5:6">
      <c r="E81" s="400">
        <v>0</v>
      </c>
      <c r="F81" s="401">
        <v>3.1710000038146973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33"/>
  <sheetViews>
    <sheetView workbookViewId="0">
      <selection sqref="A1:K1"/>
    </sheetView>
  </sheetViews>
  <sheetFormatPr defaultColWidth="9.140625" defaultRowHeight="12.75"/>
  <cols>
    <col min="1" max="1" width="9.5703125" style="344" customWidth="1"/>
    <col min="2" max="11" width="7.7109375" style="344" customWidth="1"/>
    <col min="12" max="16384" width="9.140625" style="344"/>
  </cols>
  <sheetData>
    <row r="1" spans="1:12" ht="20.25">
      <c r="A1" s="652" t="s">
        <v>597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345"/>
    </row>
    <row r="2" spans="1:12" ht="30" customHeight="1">
      <c r="A2" s="345"/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</row>
    <row r="3" spans="1:12" ht="19.5">
      <c r="A3" s="375" t="s">
        <v>435</v>
      </c>
      <c r="B3" s="403" t="s">
        <v>474</v>
      </c>
      <c r="C3" s="345"/>
      <c r="D3" s="345"/>
      <c r="E3" s="345"/>
      <c r="F3" s="345"/>
      <c r="G3" s="345"/>
      <c r="H3" s="345"/>
      <c r="I3" s="345"/>
      <c r="J3" s="345"/>
      <c r="K3" s="345"/>
      <c r="L3" s="345"/>
    </row>
    <row r="4" spans="1:12" ht="12" customHeight="1">
      <c r="A4" s="345"/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</row>
    <row r="5" spans="1:12" ht="19.5">
      <c r="A5" s="404" t="s">
        <v>598</v>
      </c>
      <c r="B5" s="370"/>
      <c r="C5" s="370"/>
      <c r="D5" s="370"/>
      <c r="E5" s="370"/>
      <c r="F5" s="345"/>
      <c r="G5" s="345"/>
      <c r="H5" s="345"/>
      <c r="I5" s="345"/>
      <c r="J5" s="345"/>
      <c r="K5" s="345"/>
      <c r="L5" s="345"/>
    </row>
    <row r="6" spans="1:12" ht="17.25" customHeight="1">
      <c r="A6" s="345"/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</row>
    <row r="7" spans="1:12" ht="15.75">
      <c r="A7" s="345"/>
      <c r="B7" s="405" t="s">
        <v>599</v>
      </c>
      <c r="C7" s="406">
        <v>0</v>
      </c>
      <c r="D7" s="405" t="s">
        <v>599</v>
      </c>
      <c r="E7" s="407" t="s">
        <v>600</v>
      </c>
      <c r="F7" s="405" t="s">
        <v>599</v>
      </c>
      <c r="G7" s="407" t="s">
        <v>601</v>
      </c>
      <c r="H7" s="405" t="s">
        <v>602</v>
      </c>
      <c r="I7" s="407">
        <v>0</v>
      </c>
      <c r="J7" s="405" t="s">
        <v>602</v>
      </c>
      <c r="K7" s="407">
        <v>6.0000000000000001E-3</v>
      </c>
      <c r="L7" s="345"/>
    </row>
    <row r="8" spans="1:12" ht="15.75">
      <c r="A8" s="390" t="s">
        <v>603</v>
      </c>
      <c r="B8" s="636">
        <v>6</v>
      </c>
      <c r="C8" s="636"/>
      <c r="D8" s="636">
        <v>12</v>
      </c>
      <c r="E8" s="636"/>
      <c r="F8" s="636">
        <v>0</v>
      </c>
      <c r="G8" s="636"/>
      <c r="H8" s="636" t="s">
        <v>618</v>
      </c>
      <c r="I8" s="636"/>
      <c r="J8" s="636" t="s">
        <v>619</v>
      </c>
      <c r="K8" s="636"/>
      <c r="L8" s="345"/>
    </row>
    <row r="9" spans="1:12" ht="15.75">
      <c r="A9" s="390" t="s">
        <v>604</v>
      </c>
      <c r="B9" s="636">
        <v>10</v>
      </c>
      <c r="C9" s="636"/>
      <c r="D9" s="636">
        <v>16</v>
      </c>
      <c r="E9" s="636"/>
      <c r="F9" s="636">
        <v>4</v>
      </c>
      <c r="G9" s="636"/>
      <c r="H9" s="636" t="s">
        <v>620</v>
      </c>
      <c r="I9" s="636"/>
      <c r="J9" s="636" t="s">
        <v>621</v>
      </c>
      <c r="K9" s="636"/>
      <c r="L9" s="345"/>
    </row>
    <row r="10" spans="1:12" ht="15.75">
      <c r="A10" s="390" t="s">
        <v>605</v>
      </c>
      <c r="B10" s="636">
        <v>8</v>
      </c>
      <c r="C10" s="636"/>
      <c r="D10" s="636">
        <v>14</v>
      </c>
      <c r="E10" s="636"/>
      <c r="F10" s="636">
        <v>2</v>
      </c>
      <c r="G10" s="636"/>
      <c r="H10" s="636" t="s">
        <v>622</v>
      </c>
      <c r="I10" s="636"/>
      <c r="J10" s="636" t="s">
        <v>623</v>
      </c>
      <c r="K10" s="636"/>
      <c r="L10" s="345"/>
    </row>
    <row r="11" spans="1:12" ht="26.25" customHeight="1">
      <c r="A11" s="345"/>
      <c r="B11" s="345"/>
      <c r="C11" s="345"/>
      <c r="D11" s="345"/>
      <c r="E11" s="345"/>
      <c r="F11" s="345"/>
      <c r="G11" s="345"/>
      <c r="H11" s="345"/>
      <c r="I11" s="345"/>
      <c r="J11" s="345"/>
      <c r="K11" s="345"/>
      <c r="L11" s="345"/>
    </row>
    <row r="12" spans="1:12" ht="19.5">
      <c r="A12" s="404" t="s">
        <v>606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</row>
    <row r="13" spans="1:12" ht="15.7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</row>
    <row r="14" spans="1:12" ht="15.75">
      <c r="A14" s="345"/>
      <c r="B14" s="653" t="s">
        <v>607</v>
      </c>
      <c r="C14" s="642"/>
      <c r="D14" s="654" t="s">
        <v>624</v>
      </c>
      <c r="E14" s="636"/>
      <c r="F14" s="653" t="s">
        <v>608</v>
      </c>
      <c r="G14" s="642"/>
      <c r="H14" s="654" t="s">
        <v>629</v>
      </c>
      <c r="I14" s="636"/>
      <c r="J14" s="345"/>
      <c r="K14" s="345"/>
      <c r="L14" s="345"/>
    </row>
    <row r="15" spans="1:12" ht="15.75">
      <c r="A15" s="345"/>
      <c r="B15" s="653" t="s">
        <v>609</v>
      </c>
      <c r="C15" s="642"/>
      <c r="D15" s="654" t="s">
        <v>625</v>
      </c>
      <c r="E15" s="636"/>
      <c r="F15" s="653" t="s">
        <v>610</v>
      </c>
      <c r="G15" s="642"/>
      <c r="H15" s="654" t="s">
        <v>630</v>
      </c>
      <c r="I15" s="636"/>
      <c r="J15" s="345"/>
      <c r="K15" s="345"/>
      <c r="L15" s="345"/>
    </row>
    <row r="16" spans="1:12" ht="15.75">
      <c r="A16" s="345"/>
      <c r="B16" s="653" t="s">
        <v>611</v>
      </c>
      <c r="C16" s="642"/>
      <c r="D16" s="654" t="s">
        <v>626</v>
      </c>
      <c r="E16" s="636"/>
      <c r="F16" s="653" t="s">
        <v>612</v>
      </c>
      <c r="G16" s="642"/>
      <c r="H16" s="654" t="s">
        <v>631</v>
      </c>
      <c r="I16" s="636"/>
      <c r="J16" s="345"/>
      <c r="K16" s="345"/>
      <c r="L16" s="345"/>
    </row>
    <row r="17" spans="1:12" ht="15.75">
      <c r="A17" s="345"/>
      <c r="B17" s="653" t="s">
        <v>613</v>
      </c>
      <c r="C17" s="642"/>
      <c r="D17" s="654" t="s">
        <v>627</v>
      </c>
      <c r="E17" s="636"/>
      <c r="F17" s="653" t="s">
        <v>614</v>
      </c>
      <c r="G17" s="642"/>
      <c r="H17" s="654" t="s">
        <v>632</v>
      </c>
      <c r="I17" s="636"/>
      <c r="J17" s="345"/>
      <c r="K17" s="345"/>
      <c r="L17" s="345"/>
    </row>
    <row r="18" spans="1:12" ht="15.75">
      <c r="A18" s="345"/>
      <c r="B18" s="653" t="s">
        <v>615</v>
      </c>
      <c r="C18" s="642"/>
      <c r="D18" s="654" t="s">
        <v>628</v>
      </c>
      <c r="E18" s="636"/>
      <c r="F18" s="653" t="s">
        <v>616</v>
      </c>
      <c r="G18" s="642"/>
      <c r="H18" s="654" t="s">
        <v>633</v>
      </c>
      <c r="I18" s="636"/>
      <c r="J18" s="345"/>
      <c r="K18" s="345"/>
      <c r="L18" s="345"/>
    </row>
    <row r="19" spans="1:12" ht="27" customHeight="1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</row>
    <row r="20" spans="1:12" ht="19.5">
      <c r="A20" s="404" t="s">
        <v>617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</row>
    <row r="22" spans="1:12" ht="19.5">
      <c r="A22" s="345"/>
      <c r="B22" s="404" t="s">
        <v>634</v>
      </c>
      <c r="C22" s="345"/>
      <c r="D22" s="345"/>
      <c r="E22" s="345"/>
      <c r="F22" s="345"/>
      <c r="G22" s="345"/>
      <c r="H22" s="345"/>
      <c r="I22" s="345"/>
      <c r="J22" s="345"/>
      <c r="K22" s="345"/>
      <c r="L22" s="345"/>
    </row>
    <row r="23" spans="1:12" ht="15.7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345"/>
      <c r="L23" s="345"/>
    </row>
    <row r="24" spans="1:12" ht="15.7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</row>
    <row r="25" spans="1:12" ht="15.75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15.75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</row>
    <row r="29" spans="1:12" ht="15.75">
      <c r="A29" s="345"/>
      <c r="B29" s="345"/>
      <c r="C29" s="345"/>
      <c r="D29" s="345"/>
      <c r="E29" s="345"/>
      <c r="F29" s="345"/>
      <c r="G29" s="345"/>
      <c r="H29" s="345"/>
      <c r="I29" s="345"/>
      <c r="J29" s="345"/>
      <c r="K29" s="345"/>
      <c r="L29" s="345"/>
    </row>
    <row r="30" spans="1:12" ht="15.75">
      <c r="A30" s="345"/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</row>
    <row r="31" spans="1:12" ht="15.75">
      <c r="A31" s="345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</row>
    <row r="32" spans="1:12" ht="15.75">
      <c r="A32" s="345"/>
      <c r="B32" s="345"/>
      <c r="C32" s="345"/>
      <c r="D32" s="345"/>
      <c r="E32" s="345"/>
      <c r="F32" s="345"/>
      <c r="G32" s="345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syncVertical="1" syncRef="A1" transitionEvaluation="1"/>
  <dimension ref="A1:N120"/>
  <sheetViews>
    <sheetView showGridLines="0" tabSelected="1" zoomScaleNormal="100" workbookViewId="0">
      <selection activeCell="F15" sqref="F15"/>
    </sheetView>
  </sheetViews>
  <sheetFormatPr defaultColWidth="12.5703125" defaultRowHeight="15.75"/>
  <cols>
    <col min="1" max="13" width="7" style="416" customWidth="1"/>
    <col min="14" max="14" width="7.140625" style="416" customWidth="1"/>
    <col min="15" max="256" width="12.5703125" style="416"/>
    <col min="257" max="269" width="7" style="416" customWidth="1"/>
    <col min="270" max="270" width="7.140625" style="416" customWidth="1"/>
    <col min="271" max="512" width="12.5703125" style="416"/>
    <col min="513" max="525" width="7" style="416" customWidth="1"/>
    <col min="526" max="526" width="7.140625" style="416" customWidth="1"/>
    <col min="527" max="768" width="12.5703125" style="416"/>
    <col min="769" max="781" width="7" style="416" customWidth="1"/>
    <col min="782" max="782" width="7.140625" style="416" customWidth="1"/>
    <col min="783" max="1024" width="12.5703125" style="416"/>
    <col min="1025" max="1037" width="7" style="416" customWidth="1"/>
    <col min="1038" max="1038" width="7.140625" style="416" customWidth="1"/>
    <col min="1039" max="1280" width="12.5703125" style="416"/>
    <col min="1281" max="1293" width="7" style="416" customWidth="1"/>
    <col min="1294" max="1294" width="7.140625" style="416" customWidth="1"/>
    <col min="1295" max="1536" width="12.5703125" style="416"/>
    <col min="1537" max="1549" width="7" style="416" customWidth="1"/>
    <col min="1550" max="1550" width="7.140625" style="416" customWidth="1"/>
    <col min="1551" max="1792" width="12.5703125" style="416"/>
    <col min="1793" max="1805" width="7" style="416" customWidth="1"/>
    <col min="1806" max="1806" width="7.140625" style="416" customWidth="1"/>
    <col min="1807" max="2048" width="12.5703125" style="416"/>
    <col min="2049" max="2061" width="7" style="416" customWidth="1"/>
    <col min="2062" max="2062" width="7.140625" style="416" customWidth="1"/>
    <col min="2063" max="2304" width="12.5703125" style="416"/>
    <col min="2305" max="2317" width="7" style="416" customWidth="1"/>
    <col min="2318" max="2318" width="7.140625" style="416" customWidth="1"/>
    <col min="2319" max="2560" width="12.5703125" style="416"/>
    <col min="2561" max="2573" width="7" style="416" customWidth="1"/>
    <col min="2574" max="2574" width="7.140625" style="416" customWidth="1"/>
    <col min="2575" max="2816" width="12.5703125" style="416"/>
    <col min="2817" max="2829" width="7" style="416" customWidth="1"/>
    <col min="2830" max="2830" width="7.140625" style="416" customWidth="1"/>
    <col min="2831" max="3072" width="12.5703125" style="416"/>
    <col min="3073" max="3085" width="7" style="416" customWidth="1"/>
    <col min="3086" max="3086" width="7.140625" style="416" customWidth="1"/>
    <col min="3087" max="3328" width="12.5703125" style="416"/>
    <col min="3329" max="3341" width="7" style="416" customWidth="1"/>
    <col min="3342" max="3342" width="7.140625" style="416" customWidth="1"/>
    <col min="3343" max="3584" width="12.5703125" style="416"/>
    <col min="3585" max="3597" width="7" style="416" customWidth="1"/>
    <col min="3598" max="3598" width="7.140625" style="416" customWidth="1"/>
    <col min="3599" max="3840" width="12.5703125" style="416"/>
    <col min="3841" max="3853" width="7" style="416" customWidth="1"/>
    <col min="3854" max="3854" width="7.140625" style="416" customWidth="1"/>
    <col min="3855" max="4096" width="12.5703125" style="416"/>
    <col min="4097" max="4109" width="7" style="416" customWidth="1"/>
    <col min="4110" max="4110" width="7.140625" style="416" customWidth="1"/>
    <col min="4111" max="4352" width="12.5703125" style="416"/>
    <col min="4353" max="4365" width="7" style="416" customWidth="1"/>
    <col min="4366" max="4366" width="7.140625" style="416" customWidth="1"/>
    <col min="4367" max="4608" width="12.5703125" style="416"/>
    <col min="4609" max="4621" width="7" style="416" customWidth="1"/>
    <col min="4622" max="4622" width="7.140625" style="416" customWidth="1"/>
    <col min="4623" max="4864" width="12.5703125" style="416"/>
    <col min="4865" max="4877" width="7" style="416" customWidth="1"/>
    <col min="4878" max="4878" width="7.140625" style="416" customWidth="1"/>
    <col min="4879" max="5120" width="12.5703125" style="416"/>
    <col min="5121" max="5133" width="7" style="416" customWidth="1"/>
    <col min="5134" max="5134" width="7.140625" style="416" customWidth="1"/>
    <col min="5135" max="5376" width="12.5703125" style="416"/>
    <col min="5377" max="5389" width="7" style="416" customWidth="1"/>
    <col min="5390" max="5390" width="7.140625" style="416" customWidth="1"/>
    <col min="5391" max="5632" width="12.5703125" style="416"/>
    <col min="5633" max="5645" width="7" style="416" customWidth="1"/>
    <col min="5646" max="5646" width="7.140625" style="416" customWidth="1"/>
    <col min="5647" max="5888" width="12.5703125" style="416"/>
    <col min="5889" max="5901" width="7" style="416" customWidth="1"/>
    <col min="5902" max="5902" width="7.140625" style="416" customWidth="1"/>
    <col min="5903" max="6144" width="12.5703125" style="416"/>
    <col min="6145" max="6157" width="7" style="416" customWidth="1"/>
    <col min="6158" max="6158" width="7.140625" style="416" customWidth="1"/>
    <col min="6159" max="6400" width="12.5703125" style="416"/>
    <col min="6401" max="6413" width="7" style="416" customWidth="1"/>
    <col min="6414" max="6414" width="7.140625" style="416" customWidth="1"/>
    <col min="6415" max="6656" width="12.5703125" style="416"/>
    <col min="6657" max="6669" width="7" style="416" customWidth="1"/>
    <col min="6670" max="6670" width="7.140625" style="416" customWidth="1"/>
    <col min="6671" max="6912" width="12.5703125" style="416"/>
    <col min="6913" max="6925" width="7" style="416" customWidth="1"/>
    <col min="6926" max="6926" width="7.140625" style="416" customWidth="1"/>
    <col min="6927" max="7168" width="12.5703125" style="416"/>
    <col min="7169" max="7181" width="7" style="416" customWidth="1"/>
    <col min="7182" max="7182" width="7.140625" style="416" customWidth="1"/>
    <col min="7183" max="7424" width="12.5703125" style="416"/>
    <col min="7425" max="7437" width="7" style="416" customWidth="1"/>
    <col min="7438" max="7438" width="7.140625" style="416" customWidth="1"/>
    <col min="7439" max="7680" width="12.5703125" style="416"/>
    <col min="7681" max="7693" width="7" style="416" customWidth="1"/>
    <col min="7694" max="7694" width="7.140625" style="416" customWidth="1"/>
    <col min="7695" max="7936" width="12.5703125" style="416"/>
    <col min="7937" max="7949" width="7" style="416" customWidth="1"/>
    <col min="7950" max="7950" width="7.140625" style="416" customWidth="1"/>
    <col min="7951" max="8192" width="12.5703125" style="416"/>
    <col min="8193" max="8205" width="7" style="416" customWidth="1"/>
    <col min="8206" max="8206" width="7.140625" style="416" customWidth="1"/>
    <col min="8207" max="8448" width="12.5703125" style="416"/>
    <col min="8449" max="8461" width="7" style="416" customWidth="1"/>
    <col min="8462" max="8462" width="7.140625" style="416" customWidth="1"/>
    <col min="8463" max="8704" width="12.5703125" style="416"/>
    <col min="8705" max="8717" width="7" style="416" customWidth="1"/>
    <col min="8718" max="8718" width="7.140625" style="416" customWidth="1"/>
    <col min="8719" max="8960" width="12.5703125" style="416"/>
    <col min="8961" max="8973" width="7" style="416" customWidth="1"/>
    <col min="8974" max="8974" width="7.140625" style="416" customWidth="1"/>
    <col min="8975" max="9216" width="12.5703125" style="416"/>
    <col min="9217" max="9229" width="7" style="416" customWidth="1"/>
    <col min="9230" max="9230" width="7.140625" style="416" customWidth="1"/>
    <col min="9231" max="9472" width="12.5703125" style="416"/>
    <col min="9473" max="9485" width="7" style="416" customWidth="1"/>
    <col min="9486" max="9486" width="7.140625" style="416" customWidth="1"/>
    <col min="9487" max="9728" width="12.5703125" style="416"/>
    <col min="9729" max="9741" width="7" style="416" customWidth="1"/>
    <col min="9742" max="9742" width="7.140625" style="416" customWidth="1"/>
    <col min="9743" max="9984" width="12.5703125" style="416"/>
    <col min="9985" max="9997" width="7" style="416" customWidth="1"/>
    <col min="9998" max="9998" width="7.140625" style="416" customWidth="1"/>
    <col min="9999" max="10240" width="12.5703125" style="416"/>
    <col min="10241" max="10253" width="7" style="416" customWidth="1"/>
    <col min="10254" max="10254" width="7.140625" style="416" customWidth="1"/>
    <col min="10255" max="10496" width="12.5703125" style="416"/>
    <col min="10497" max="10509" width="7" style="416" customWidth="1"/>
    <col min="10510" max="10510" width="7.140625" style="416" customWidth="1"/>
    <col min="10511" max="10752" width="12.5703125" style="416"/>
    <col min="10753" max="10765" width="7" style="416" customWidth="1"/>
    <col min="10766" max="10766" width="7.140625" style="416" customWidth="1"/>
    <col min="10767" max="11008" width="12.5703125" style="416"/>
    <col min="11009" max="11021" width="7" style="416" customWidth="1"/>
    <col min="11022" max="11022" width="7.140625" style="416" customWidth="1"/>
    <col min="11023" max="11264" width="12.5703125" style="416"/>
    <col min="11265" max="11277" width="7" style="416" customWidth="1"/>
    <col min="11278" max="11278" width="7.140625" style="416" customWidth="1"/>
    <col min="11279" max="11520" width="12.5703125" style="416"/>
    <col min="11521" max="11533" width="7" style="416" customWidth="1"/>
    <col min="11534" max="11534" width="7.140625" style="416" customWidth="1"/>
    <col min="11535" max="11776" width="12.5703125" style="416"/>
    <col min="11777" max="11789" width="7" style="416" customWidth="1"/>
    <col min="11790" max="11790" width="7.140625" style="416" customWidth="1"/>
    <col min="11791" max="12032" width="12.5703125" style="416"/>
    <col min="12033" max="12045" width="7" style="416" customWidth="1"/>
    <col min="12046" max="12046" width="7.140625" style="416" customWidth="1"/>
    <col min="12047" max="12288" width="12.5703125" style="416"/>
    <col min="12289" max="12301" width="7" style="416" customWidth="1"/>
    <col min="12302" max="12302" width="7.140625" style="416" customWidth="1"/>
    <col min="12303" max="12544" width="12.5703125" style="416"/>
    <col min="12545" max="12557" width="7" style="416" customWidth="1"/>
    <col min="12558" max="12558" width="7.140625" style="416" customWidth="1"/>
    <col min="12559" max="12800" width="12.5703125" style="416"/>
    <col min="12801" max="12813" width="7" style="416" customWidth="1"/>
    <col min="12814" max="12814" width="7.140625" style="416" customWidth="1"/>
    <col min="12815" max="13056" width="12.5703125" style="416"/>
    <col min="13057" max="13069" width="7" style="416" customWidth="1"/>
    <col min="13070" max="13070" width="7.140625" style="416" customWidth="1"/>
    <col min="13071" max="13312" width="12.5703125" style="416"/>
    <col min="13313" max="13325" width="7" style="416" customWidth="1"/>
    <col min="13326" max="13326" width="7.140625" style="416" customWidth="1"/>
    <col min="13327" max="13568" width="12.5703125" style="416"/>
    <col min="13569" max="13581" width="7" style="416" customWidth="1"/>
    <col min="13582" max="13582" width="7.140625" style="416" customWidth="1"/>
    <col min="13583" max="13824" width="12.5703125" style="416"/>
    <col min="13825" max="13837" width="7" style="416" customWidth="1"/>
    <col min="13838" max="13838" width="7.140625" style="416" customWidth="1"/>
    <col min="13839" max="14080" width="12.5703125" style="416"/>
    <col min="14081" max="14093" width="7" style="416" customWidth="1"/>
    <col min="14094" max="14094" width="7.140625" style="416" customWidth="1"/>
    <col min="14095" max="14336" width="12.5703125" style="416"/>
    <col min="14337" max="14349" width="7" style="416" customWidth="1"/>
    <col min="14350" max="14350" width="7.140625" style="416" customWidth="1"/>
    <col min="14351" max="14592" width="12.5703125" style="416"/>
    <col min="14593" max="14605" width="7" style="416" customWidth="1"/>
    <col min="14606" max="14606" width="7.140625" style="416" customWidth="1"/>
    <col min="14607" max="14848" width="12.5703125" style="416"/>
    <col min="14849" max="14861" width="7" style="416" customWidth="1"/>
    <col min="14862" max="14862" width="7.140625" style="416" customWidth="1"/>
    <col min="14863" max="15104" width="12.5703125" style="416"/>
    <col min="15105" max="15117" width="7" style="416" customWidth="1"/>
    <col min="15118" max="15118" width="7.140625" style="416" customWidth="1"/>
    <col min="15119" max="15360" width="12.5703125" style="416"/>
    <col min="15361" max="15373" width="7" style="416" customWidth="1"/>
    <col min="15374" max="15374" width="7.140625" style="416" customWidth="1"/>
    <col min="15375" max="15616" width="12.5703125" style="416"/>
    <col min="15617" max="15629" width="7" style="416" customWidth="1"/>
    <col min="15630" max="15630" width="7.140625" style="416" customWidth="1"/>
    <col min="15631" max="15872" width="12.5703125" style="416"/>
    <col min="15873" max="15885" width="7" style="416" customWidth="1"/>
    <col min="15886" max="15886" width="7.140625" style="416" customWidth="1"/>
    <col min="15887" max="16128" width="12.5703125" style="416"/>
    <col min="16129" max="16141" width="7" style="416" customWidth="1"/>
    <col min="16142" max="16142" width="7.140625" style="416" customWidth="1"/>
    <col min="16143" max="16384" width="12.5703125" style="416"/>
  </cols>
  <sheetData>
    <row r="1" spans="1:14" ht="17.100000000000001" customHeight="1">
      <c r="A1" s="409" t="s">
        <v>263</v>
      </c>
      <c r="B1" s="410"/>
      <c r="C1" s="410"/>
      <c r="D1" s="410"/>
      <c r="E1" s="410"/>
      <c r="F1" s="410"/>
      <c r="G1" s="410"/>
      <c r="H1" s="410"/>
      <c r="I1" s="410"/>
      <c r="J1" s="411" t="s">
        <v>645</v>
      </c>
      <c r="K1" s="412"/>
      <c r="L1" s="413" t="s">
        <v>646</v>
      </c>
      <c r="M1" s="414"/>
      <c r="N1" s="415"/>
    </row>
    <row r="2" spans="1:14" ht="17.100000000000001" customHeight="1">
      <c r="A2" s="417" t="s">
        <v>647</v>
      </c>
      <c r="B2" s="418"/>
      <c r="C2" s="418"/>
      <c r="D2" s="418"/>
      <c r="E2" s="418"/>
      <c r="F2" s="418"/>
      <c r="G2" s="418"/>
      <c r="H2" s="418"/>
      <c r="I2" s="418"/>
      <c r="J2" s="419" t="s">
        <v>648</v>
      </c>
      <c r="K2" s="420"/>
      <c r="L2" s="421" t="s">
        <v>649</v>
      </c>
      <c r="M2" s="422"/>
      <c r="N2" s="415"/>
    </row>
    <row r="3" spans="1:14" ht="15.95" customHeight="1">
      <c r="A3" s="423"/>
      <c r="B3" s="424"/>
      <c r="C3" s="424"/>
      <c r="D3" s="424"/>
      <c r="E3" s="424"/>
      <c r="F3" s="424"/>
      <c r="G3" s="424"/>
      <c r="H3" s="424"/>
      <c r="I3" s="424"/>
      <c r="J3" s="419" t="s">
        <v>650</v>
      </c>
      <c r="K3" s="420"/>
      <c r="L3" s="425" t="s">
        <v>651</v>
      </c>
      <c r="M3" s="422"/>
      <c r="N3" s="415"/>
    </row>
    <row r="4" spans="1:14" ht="15.95" customHeight="1">
      <c r="A4" s="426"/>
      <c r="B4" s="424"/>
      <c r="C4" s="424"/>
      <c r="D4" s="424"/>
      <c r="E4" s="424"/>
      <c r="F4" s="424"/>
      <c r="G4" s="424"/>
      <c r="H4" s="424"/>
      <c r="I4" s="424"/>
      <c r="J4" s="419" t="s">
        <v>652</v>
      </c>
      <c r="K4" s="420"/>
      <c r="L4" s="425" t="s">
        <v>653</v>
      </c>
      <c r="M4" s="422"/>
      <c r="N4" s="415"/>
    </row>
    <row r="5" spans="1:14" ht="15.95" customHeight="1">
      <c r="A5" s="423"/>
      <c r="B5" s="424"/>
      <c r="C5" s="424"/>
      <c r="D5" s="424"/>
      <c r="E5" s="424"/>
      <c r="F5" s="424"/>
      <c r="G5" s="424"/>
      <c r="H5" s="424"/>
      <c r="I5" s="424"/>
      <c r="J5" s="419" t="s">
        <v>654</v>
      </c>
      <c r="K5" s="420"/>
      <c r="L5" s="421">
        <v>2</v>
      </c>
      <c r="M5" s="422"/>
      <c r="N5" s="415"/>
    </row>
    <row r="6" spans="1:14" ht="15.95" customHeight="1">
      <c r="A6" s="427" t="s">
        <v>655</v>
      </c>
      <c r="B6" s="424"/>
      <c r="C6" s="424"/>
      <c r="D6" s="424"/>
      <c r="E6" s="424"/>
      <c r="F6" s="424"/>
      <c r="G6" s="424"/>
      <c r="H6" s="424"/>
      <c r="I6" s="424"/>
      <c r="J6" s="419" t="s">
        <v>656</v>
      </c>
      <c r="K6" s="420"/>
      <c r="L6" s="421" t="s">
        <v>657</v>
      </c>
      <c r="M6" s="422"/>
      <c r="N6" s="415"/>
    </row>
    <row r="7" spans="1:14" ht="15.95" customHeight="1" thickBot="1">
      <c r="A7" s="428" t="s">
        <v>658</v>
      </c>
      <c r="B7" s="429"/>
      <c r="C7" s="429"/>
      <c r="D7" s="429"/>
      <c r="E7" s="429"/>
      <c r="F7" s="429"/>
      <c r="G7" s="429"/>
      <c r="H7" s="429"/>
      <c r="I7" s="429"/>
      <c r="J7" s="430" t="s">
        <v>659</v>
      </c>
      <c r="K7" s="431"/>
      <c r="L7" s="432" t="s">
        <v>660</v>
      </c>
      <c r="M7" s="433"/>
      <c r="N7" s="415"/>
    </row>
    <row r="8" spans="1:14" ht="15.95" customHeight="1">
      <c r="A8" s="434"/>
      <c r="B8" s="424"/>
      <c r="C8" s="424"/>
      <c r="D8" s="424"/>
      <c r="E8" s="424"/>
      <c r="F8" s="424"/>
      <c r="G8" s="424"/>
      <c r="H8" s="424"/>
      <c r="I8" s="424"/>
      <c r="J8" s="424"/>
      <c r="K8" s="435"/>
      <c r="L8" s="436"/>
      <c r="M8" s="437"/>
      <c r="N8" s="424"/>
    </row>
    <row r="9" spans="1:14" ht="12" customHeight="1">
      <c r="A9" s="438"/>
      <c r="B9" s="439" t="s">
        <v>661</v>
      </c>
      <c r="C9" s="440" t="s">
        <v>174</v>
      </c>
      <c r="D9" s="441"/>
      <c r="E9" s="441"/>
      <c r="F9" s="441"/>
      <c r="G9" s="441"/>
      <c r="H9" s="441"/>
      <c r="I9" s="441"/>
      <c r="J9" s="441"/>
      <c r="K9" s="442"/>
      <c r="L9" s="438"/>
      <c r="M9" s="441"/>
      <c r="N9" s="424"/>
    </row>
    <row r="10" spans="1:14" ht="12" customHeight="1">
      <c r="A10" s="438"/>
      <c r="B10" s="439" t="s">
        <v>662</v>
      </c>
      <c r="C10" s="443" t="s">
        <v>174</v>
      </c>
      <c r="D10" s="438"/>
      <c r="E10" s="438"/>
      <c r="F10" s="438"/>
      <c r="G10" s="438"/>
      <c r="H10" s="438"/>
      <c r="I10" s="438"/>
      <c r="J10" s="438"/>
      <c r="K10" s="438"/>
      <c r="L10" s="438"/>
      <c r="M10" s="438"/>
      <c r="N10" s="436"/>
    </row>
    <row r="11" spans="1:14" ht="16.5" thickBot="1">
      <c r="A11" s="436"/>
      <c r="B11" s="436"/>
      <c r="C11" s="436"/>
      <c r="D11" s="436"/>
      <c r="E11" s="436"/>
      <c r="F11" s="436"/>
      <c r="G11" s="436"/>
      <c r="H11" s="436"/>
      <c r="I11" s="436"/>
      <c r="J11" s="436"/>
      <c r="K11" s="436"/>
      <c r="L11" s="436"/>
      <c r="M11" s="436"/>
      <c r="N11" s="436"/>
    </row>
    <row r="12" spans="1:14" ht="20.100000000000001" customHeight="1" thickBot="1">
      <c r="A12" s="444" t="s">
        <v>663</v>
      </c>
      <c r="B12" s="445"/>
      <c r="C12" s="445"/>
      <c r="D12" s="445"/>
      <c r="E12" s="445"/>
      <c r="F12" s="445"/>
      <c r="G12" s="445"/>
      <c r="H12" s="445"/>
      <c r="I12" s="445"/>
      <c r="J12" s="445"/>
      <c r="K12" s="445"/>
      <c r="L12" s="445"/>
      <c r="M12" s="446"/>
      <c r="N12" s="415"/>
    </row>
    <row r="13" spans="1:14" ht="12.95" customHeight="1" thickTop="1">
      <c r="A13" s="447"/>
      <c r="B13" s="439" t="s">
        <v>664</v>
      </c>
      <c r="C13" s="448">
        <v>5000</v>
      </c>
      <c r="D13" s="438"/>
      <c r="E13" s="439" t="s">
        <v>665</v>
      </c>
      <c r="F13" s="448">
        <v>4000</v>
      </c>
      <c r="G13" s="438"/>
      <c r="H13" s="439" t="s">
        <v>666</v>
      </c>
      <c r="I13" s="448" t="s">
        <v>751</v>
      </c>
      <c r="J13" s="438"/>
      <c r="K13" s="438"/>
      <c r="L13" s="439" t="s">
        <v>667</v>
      </c>
      <c r="M13" s="449">
        <v>3600</v>
      </c>
      <c r="N13" s="415"/>
    </row>
    <row r="14" spans="1:14" ht="12.95" customHeight="1">
      <c r="A14" s="447"/>
      <c r="B14" s="439" t="s">
        <v>668</v>
      </c>
      <c r="C14" s="440" t="s">
        <v>177</v>
      </c>
      <c r="D14" s="438"/>
      <c r="E14" s="439" t="s">
        <v>669</v>
      </c>
      <c r="F14" s="450" t="s">
        <v>752</v>
      </c>
      <c r="G14" s="438"/>
      <c r="H14" s="439" t="s">
        <v>670</v>
      </c>
      <c r="I14" s="448">
        <v>603</v>
      </c>
      <c r="J14" s="438"/>
      <c r="K14" s="438"/>
      <c r="L14" s="439" t="s">
        <v>420</v>
      </c>
      <c r="M14" s="449">
        <v>3587</v>
      </c>
      <c r="N14" s="415"/>
    </row>
    <row r="15" spans="1:14" ht="12.95" customHeight="1">
      <c r="A15" s="447"/>
      <c r="B15" s="439" t="s">
        <v>671</v>
      </c>
      <c r="C15" s="448" t="s">
        <v>176</v>
      </c>
      <c r="D15" s="438"/>
      <c r="E15" s="439" t="s">
        <v>672</v>
      </c>
      <c r="F15" s="451">
        <v>1.1499999999999999</v>
      </c>
      <c r="G15" s="438"/>
      <c r="H15" s="439" t="s">
        <v>673</v>
      </c>
      <c r="I15" s="450" t="s">
        <v>637</v>
      </c>
      <c r="J15" s="438"/>
      <c r="K15" s="438"/>
      <c r="L15" s="439" t="s">
        <v>675</v>
      </c>
      <c r="M15" s="449" t="s">
        <v>356</v>
      </c>
      <c r="N15" s="415"/>
    </row>
    <row r="16" spans="1:14" ht="12.95" customHeight="1">
      <c r="A16" s="447"/>
      <c r="B16" s="439" t="s">
        <v>676</v>
      </c>
      <c r="C16" s="448" t="s">
        <v>750</v>
      </c>
      <c r="D16" s="438"/>
      <c r="E16" s="439" t="s">
        <v>677</v>
      </c>
      <c r="F16" s="448" t="s">
        <v>468</v>
      </c>
      <c r="G16" s="438"/>
      <c r="H16" s="452" t="s">
        <v>678</v>
      </c>
      <c r="I16" s="453" t="s">
        <v>356</v>
      </c>
      <c r="J16" s="438"/>
      <c r="K16" s="438"/>
      <c r="L16" s="439" t="s">
        <v>679</v>
      </c>
      <c r="M16" s="449" t="s">
        <v>680</v>
      </c>
      <c r="N16" s="415"/>
    </row>
    <row r="17" spans="1:14" ht="12.95" customHeight="1">
      <c r="A17" s="447"/>
      <c r="B17" s="439" t="s">
        <v>681</v>
      </c>
      <c r="C17" s="440" t="s">
        <v>635</v>
      </c>
      <c r="D17" s="438"/>
      <c r="E17" s="439"/>
      <c r="F17" s="450"/>
      <c r="G17" s="438"/>
      <c r="H17" s="439" t="s">
        <v>682</v>
      </c>
      <c r="I17" s="453" t="s">
        <v>174</v>
      </c>
      <c r="J17" s="438"/>
      <c r="K17" s="438"/>
      <c r="L17" s="439"/>
      <c r="M17" s="454"/>
      <c r="N17" s="415"/>
    </row>
    <row r="18" spans="1:14" ht="12.95" customHeight="1" thickBot="1">
      <c r="A18" s="455"/>
      <c r="B18" s="456" t="s">
        <v>683</v>
      </c>
      <c r="C18" s="457" t="s">
        <v>174</v>
      </c>
      <c r="D18" s="458"/>
      <c r="E18" s="456" t="s">
        <v>684</v>
      </c>
      <c r="F18" s="457" t="s">
        <v>174</v>
      </c>
      <c r="G18" s="459"/>
      <c r="H18" s="456" t="s">
        <v>685</v>
      </c>
      <c r="I18" s="457" t="s">
        <v>174</v>
      </c>
      <c r="J18" s="458"/>
      <c r="K18" s="458"/>
      <c r="L18" s="458"/>
      <c r="M18" s="460"/>
      <c r="N18" s="415"/>
    </row>
    <row r="19" spans="1:14" ht="16.5" thickBot="1">
      <c r="A19" s="415"/>
      <c r="B19" s="415"/>
      <c r="C19" s="415"/>
      <c r="D19" s="415"/>
      <c r="E19" s="415"/>
      <c r="F19" s="415"/>
      <c r="G19" s="415"/>
      <c r="H19" s="415"/>
      <c r="I19" s="415"/>
      <c r="J19" s="415"/>
      <c r="K19" s="415"/>
      <c r="L19" s="415"/>
      <c r="M19" s="415"/>
      <c r="N19" s="415"/>
    </row>
    <row r="20" spans="1:14" ht="20.100000000000001" customHeight="1" thickBot="1">
      <c r="A20" s="444"/>
      <c r="B20" s="445"/>
      <c r="C20" s="445"/>
      <c r="D20" s="445"/>
      <c r="E20" s="445"/>
      <c r="F20" s="445"/>
      <c r="G20" s="445"/>
      <c r="H20" s="445"/>
      <c r="I20" s="445"/>
      <c r="J20" s="445"/>
      <c r="K20" s="445"/>
      <c r="L20" s="445"/>
      <c r="M20" s="446"/>
    </row>
    <row r="21" spans="1:14" ht="15.95" customHeight="1" thickTop="1">
      <c r="A21" s="461" t="s">
        <v>686</v>
      </c>
      <c r="B21" s="462"/>
      <c r="C21" s="436"/>
      <c r="D21" s="463"/>
      <c r="E21" s="464" t="s">
        <v>687</v>
      </c>
      <c r="F21" s="465"/>
      <c r="G21" s="465"/>
      <c r="H21" s="466"/>
      <c r="I21" s="467" t="s">
        <v>688</v>
      </c>
      <c r="J21" s="465"/>
      <c r="K21" s="465"/>
      <c r="L21" s="436"/>
      <c r="M21" s="468"/>
    </row>
    <row r="22" spans="1:14" ht="15.95" customHeight="1">
      <c r="A22" s="469"/>
      <c r="B22" s="438"/>
      <c r="C22" s="439" t="s">
        <v>689</v>
      </c>
      <c r="D22" s="470">
        <v>3720</v>
      </c>
      <c r="E22" s="439"/>
      <c r="G22" s="452" t="s">
        <v>690</v>
      </c>
      <c r="H22" s="471">
        <v>7321</v>
      </c>
      <c r="I22" s="439"/>
      <c r="J22" s="438"/>
      <c r="K22" s="439" t="s">
        <v>691</v>
      </c>
      <c r="L22" s="438"/>
      <c r="M22" s="454"/>
    </row>
    <row r="23" spans="1:14" ht="15.95" customHeight="1">
      <c r="A23" s="469"/>
      <c r="B23" s="439"/>
      <c r="C23" s="442"/>
      <c r="D23" s="472"/>
      <c r="E23" s="439"/>
      <c r="G23" s="439" t="s">
        <v>692</v>
      </c>
      <c r="H23" s="470">
        <v>155</v>
      </c>
      <c r="I23" s="438"/>
      <c r="J23" s="438"/>
      <c r="K23" s="439" t="s">
        <v>693</v>
      </c>
      <c r="L23" s="438"/>
      <c r="M23" s="454"/>
    </row>
    <row r="24" spans="1:14" ht="15.95" customHeight="1">
      <c r="A24" s="447"/>
      <c r="B24" s="439"/>
      <c r="C24" s="438"/>
      <c r="D24" s="472"/>
      <c r="E24" s="439"/>
      <c r="G24" s="452" t="s">
        <v>694</v>
      </c>
      <c r="H24" s="470">
        <v>235</v>
      </c>
      <c r="I24" s="438"/>
      <c r="J24" s="439"/>
      <c r="K24" s="438"/>
      <c r="L24" s="438"/>
      <c r="M24" s="454"/>
    </row>
    <row r="25" spans="1:14" ht="15.95" customHeight="1" thickBot="1">
      <c r="A25" s="455"/>
      <c r="B25" s="456"/>
      <c r="C25" s="458"/>
      <c r="D25" s="473"/>
      <c r="E25" s="456"/>
      <c r="F25" s="456"/>
      <c r="G25" s="456"/>
      <c r="H25" s="474"/>
      <c r="I25" s="458"/>
      <c r="J25" s="456"/>
      <c r="K25" s="458"/>
      <c r="L25" s="458"/>
      <c r="M25" s="460"/>
    </row>
    <row r="26" spans="1:14" ht="18.95" customHeight="1" thickBot="1">
      <c r="A26" s="434"/>
      <c r="B26" s="434"/>
      <c r="C26" s="434"/>
      <c r="D26" s="415"/>
      <c r="E26" s="415"/>
      <c r="F26" s="415"/>
      <c r="G26" s="415"/>
      <c r="H26" s="415"/>
      <c r="I26" s="415"/>
      <c r="J26" s="415"/>
      <c r="K26" s="415"/>
      <c r="L26" s="415"/>
      <c r="M26" s="415"/>
      <c r="N26" s="415"/>
    </row>
    <row r="27" spans="1:14" ht="20.100000000000001" customHeight="1" thickBot="1">
      <c r="A27" s="475"/>
      <c r="B27" s="476"/>
      <c r="C27" s="476"/>
      <c r="D27" s="476"/>
      <c r="E27" s="476"/>
      <c r="F27" s="476"/>
      <c r="G27" s="477"/>
      <c r="H27" s="476"/>
      <c r="I27" s="476"/>
      <c r="J27" s="476"/>
      <c r="K27" s="476"/>
      <c r="L27" s="476"/>
      <c r="M27" s="478"/>
    </row>
    <row r="28" spans="1:14" ht="15.95" customHeight="1" thickTop="1">
      <c r="A28" s="479" t="s">
        <v>695</v>
      </c>
      <c r="B28" s="462"/>
      <c r="C28" s="436"/>
      <c r="D28" s="436"/>
      <c r="E28" s="465"/>
      <c r="F28" s="465"/>
      <c r="G28" s="480"/>
      <c r="H28" s="464" t="s">
        <v>696</v>
      </c>
      <c r="I28" s="465"/>
      <c r="J28" s="465"/>
      <c r="K28" s="464"/>
      <c r="L28" s="465"/>
      <c r="M28" s="468"/>
    </row>
    <row r="29" spans="1:14" ht="15.95" customHeight="1">
      <c r="A29" s="447"/>
      <c r="B29" s="439"/>
      <c r="C29" s="439" t="s">
        <v>697</v>
      </c>
      <c r="D29" s="481">
        <v>96.9</v>
      </c>
      <c r="E29" s="439"/>
      <c r="F29" s="439"/>
      <c r="G29" s="480"/>
      <c r="H29" s="452"/>
      <c r="I29" s="439"/>
      <c r="J29" s="439" t="s">
        <v>697</v>
      </c>
      <c r="K29" s="481">
        <v>92.1</v>
      </c>
      <c r="L29" s="438"/>
      <c r="M29" s="454"/>
    </row>
    <row r="30" spans="1:14" ht="15.95" customHeight="1">
      <c r="A30" s="482"/>
      <c r="B30" s="438"/>
      <c r="C30" s="439" t="s">
        <v>698</v>
      </c>
      <c r="D30" s="481">
        <v>96.7</v>
      </c>
      <c r="E30" s="439"/>
      <c r="F30" s="439"/>
      <c r="G30" s="480"/>
      <c r="H30" s="439"/>
      <c r="I30" s="438"/>
      <c r="J30" s="439" t="s">
        <v>698</v>
      </c>
      <c r="K30" s="481">
        <v>91.2</v>
      </c>
      <c r="L30" s="438"/>
      <c r="M30" s="454"/>
    </row>
    <row r="31" spans="1:14" ht="15.95" customHeight="1">
      <c r="A31" s="447"/>
      <c r="B31" s="439"/>
      <c r="C31" s="439" t="s">
        <v>699</v>
      </c>
      <c r="D31" s="481">
        <v>96</v>
      </c>
      <c r="E31" s="439"/>
      <c r="F31" s="439"/>
      <c r="G31" s="480"/>
      <c r="H31" s="439"/>
      <c r="I31" s="438"/>
      <c r="J31" s="439" t="s">
        <v>699</v>
      </c>
      <c r="K31" s="481">
        <v>88</v>
      </c>
      <c r="L31" s="439"/>
      <c r="M31" s="454"/>
    </row>
    <row r="32" spans="1:14" ht="15.95" customHeight="1" thickBot="1">
      <c r="A32" s="455"/>
      <c r="B32" s="456"/>
      <c r="C32" s="458"/>
      <c r="D32" s="458"/>
      <c r="E32" s="456"/>
      <c r="F32" s="456"/>
      <c r="G32" s="483"/>
      <c r="H32" s="456"/>
      <c r="I32" s="458"/>
      <c r="J32" s="456"/>
      <c r="K32" s="458"/>
      <c r="L32" s="456"/>
      <c r="M32" s="460"/>
    </row>
    <row r="33" spans="1:14" ht="20.100000000000001" customHeight="1" thickBot="1">
      <c r="A33" s="484"/>
      <c r="B33" s="484"/>
      <c r="C33" s="484"/>
      <c r="D33" s="484"/>
      <c r="E33" s="484"/>
      <c r="F33" s="484"/>
      <c r="G33" s="484"/>
      <c r="H33" s="484"/>
      <c r="I33" s="484"/>
      <c r="J33" s="484"/>
      <c r="K33" s="484"/>
      <c r="L33" s="484"/>
      <c r="M33" s="484"/>
      <c r="N33" s="484"/>
    </row>
    <row r="34" spans="1:14" ht="20.100000000000001" customHeight="1" thickBot="1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7"/>
    </row>
    <row r="35" spans="1:14" ht="15.95" customHeight="1" thickTop="1">
      <c r="A35" s="488" t="s">
        <v>700</v>
      </c>
      <c r="B35" s="442"/>
      <c r="C35" s="442"/>
      <c r="D35" s="442"/>
      <c r="E35" s="442"/>
      <c r="F35" s="442"/>
      <c r="G35" s="442"/>
      <c r="H35" s="442"/>
      <c r="I35" s="442"/>
      <c r="J35" s="442"/>
      <c r="K35" s="442"/>
      <c r="L35" s="442"/>
      <c r="M35" s="489"/>
    </row>
    <row r="36" spans="1:14" ht="15.95" customHeight="1">
      <c r="A36" s="482" t="s">
        <v>701</v>
      </c>
      <c r="B36" s="442"/>
      <c r="C36" s="442"/>
      <c r="D36" s="442"/>
      <c r="E36" s="442"/>
      <c r="F36" s="442"/>
      <c r="G36" s="442"/>
      <c r="H36" s="442"/>
      <c r="I36" s="442"/>
      <c r="J36" s="442"/>
      <c r="K36" s="442"/>
      <c r="L36" s="442"/>
      <c r="M36" s="489"/>
    </row>
    <row r="37" spans="1:14" ht="15.95" customHeight="1">
      <c r="A37" s="490" t="s">
        <v>702</v>
      </c>
      <c r="B37" s="442"/>
      <c r="C37" s="442"/>
      <c r="D37" s="442"/>
      <c r="E37" s="491"/>
      <c r="F37" s="442"/>
      <c r="G37" s="442"/>
      <c r="H37" s="442"/>
      <c r="I37" s="442"/>
      <c r="J37" s="442"/>
      <c r="K37" s="442"/>
      <c r="L37" s="442"/>
      <c r="M37" s="489"/>
    </row>
    <row r="38" spans="1:14" ht="15.95" customHeight="1">
      <c r="A38" s="492" t="s">
        <v>703</v>
      </c>
      <c r="B38" s="442"/>
      <c r="C38" s="442"/>
      <c r="D38" s="442"/>
      <c r="E38" s="442"/>
      <c r="F38" s="442"/>
      <c r="G38" s="442"/>
      <c r="H38" s="442"/>
      <c r="I38" s="442"/>
      <c r="J38" s="442"/>
      <c r="K38" s="442"/>
      <c r="L38" s="442"/>
      <c r="M38" s="489"/>
    </row>
    <row r="39" spans="1:14" ht="15.95" customHeight="1">
      <c r="A39" s="493" t="s">
        <v>704</v>
      </c>
      <c r="B39" s="442"/>
      <c r="C39" s="442"/>
      <c r="D39" s="442"/>
      <c r="E39" s="442"/>
      <c r="F39" s="442"/>
      <c r="G39" s="442"/>
      <c r="H39" s="442"/>
      <c r="I39" s="442"/>
      <c r="J39" s="442"/>
      <c r="K39" s="442"/>
      <c r="L39" s="442"/>
      <c r="M39" s="489"/>
    </row>
    <row r="40" spans="1:14" ht="15.95" customHeight="1" thickBot="1">
      <c r="A40" s="494" t="s">
        <v>705</v>
      </c>
      <c r="B40" s="495"/>
      <c r="C40" s="495"/>
      <c r="D40" s="495"/>
      <c r="E40" s="495"/>
      <c r="F40" s="495"/>
      <c r="G40" s="495"/>
      <c r="H40" s="495"/>
      <c r="I40" s="495"/>
      <c r="J40" s="495"/>
      <c r="K40" s="495"/>
      <c r="L40" s="495"/>
      <c r="M40" s="496"/>
    </row>
    <row r="41" spans="1:14" ht="15.95" customHeight="1"/>
    <row r="42" spans="1:14" ht="18">
      <c r="A42" s="497"/>
      <c r="B42" s="497"/>
      <c r="C42" s="497"/>
      <c r="D42" s="497"/>
      <c r="E42" s="497"/>
      <c r="F42" s="497"/>
      <c r="G42" s="497"/>
      <c r="H42" s="415"/>
      <c r="I42" s="415"/>
      <c r="J42" s="498" t="s">
        <v>706</v>
      </c>
      <c r="K42" s="655" t="s">
        <v>707</v>
      </c>
      <c r="L42" s="655"/>
      <c r="M42" s="655"/>
      <c r="N42" s="497"/>
    </row>
    <row r="43" spans="1:14" ht="7.5" customHeight="1">
      <c r="H43" s="415"/>
      <c r="I43" s="415"/>
      <c r="J43" s="415"/>
      <c r="K43" s="415"/>
      <c r="L43" s="415"/>
      <c r="M43" s="415"/>
    </row>
    <row r="44" spans="1:14" ht="16.5">
      <c r="H44" s="415"/>
      <c r="I44" s="415"/>
      <c r="J44" s="498" t="s">
        <v>708</v>
      </c>
      <c r="K44" s="656">
        <v>44378</v>
      </c>
      <c r="L44" s="656"/>
      <c r="M44" s="656"/>
    </row>
    <row r="59" spans="1:5">
      <c r="A59" s="416" t="s">
        <v>174</v>
      </c>
      <c r="B59" s="416" t="s">
        <v>709</v>
      </c>
      <c r="D59" s="416">
        <v>1</v>
      </c>
      <c r="E59" s="499" t="s">
        <v>174</v>
      </c>
    </row>
    <row r="60" spans="1:5">
      <c r="A60" s="416" t="s">
        <v>710</v>
      </c>
      <c r="B60" s="416" t="s">
        <v>711</v>
      </c>
      <c r="D60" s="416">
        <v>1.1499999999999999</v>
      </c>
      <c r="E60" s="499" t="s">
        <v>360</v>
      </c>
    </row>
    <row r="61" spans="1:5">
      <c r="A61" s="416" t="s">
        <v>712</v>
      </c>
      <c r="B61" s="416" t="s">
        <v>713</v>
      </c>
      <c r="E61" s="499" t="s">
        <v>674</v>
      </c>
    </row>
    <row r="62" spans="1:5">
      <c r="B62" s="416" t="s">
        <v>714</v>
      </c>
    </row>
    <row r="63" spans="1:5">
      <c r="B63" s="416" t="s">
        <v>715</v>
      </c>
    </row>
    <row r="64" spans="1:5">
      <c r="B64" s="416" t="s">
        <v>716</v>
      </c>
    </row>
    <row r="65" spans="2:2">
      <c r="B65" s="416" t="s">
        <v>717</v>
      </c>
    </row>
    <row r="66" spans="2:2">
      <c r="B66" s="416" t="s">
        <v>718</v>
      </c>
    </row>
    <row r="67" spans="2:2">
      <c r="B67" s="416" t="s">
        <v>719</v>
      </c>
    </row>
    <row r="68" spans="2:2">
      <c r="B68" s="416" t="s">
        <v>720</v>
      </c>
    </row>
    <row r="69" spans="2:2">
      <c r="B69" s="416" t="s">
        <v>721</v>
      </c>
    </row>
    <row r="70" spans="2:2">
      <c r="B70" s="416" t="s">
        <v>722</v>
      </c>
    </row>
    <row r="71" spans="2:2">
      <c r="B71" s="416" t="s">
        <v>723</v>
      </c>
    </row>
    <row r="72" spans="2:2">
      <c r="B72" s="416" t="s">
        <v>724</v>
      </c>
    </row>
    <row r="73" spans="2:2">
      <c r="B73" s="416" t="s">
        <v>725</v>
      </c>
    </row>
    <row r="74" spans="2:2">
      <c r="B74" s="416" t="s">
        <v>726</v>
      </c>
    </row>
    <row r="75" spans="2:2">
      <c r="B75" s="416" t="s">
        <v>727</v>
      </c>
    </row>
    <row r="76" spans="2:2">
      <c r="B76" s="416" t="s">
        <v>728</v>
      </c>
    </row>
    <row r="77" spans="2:2">
      <c r="B77" s="416" t="s">
        <v>729</v>
      </c>
    </row>
    <row r="78" spans="2:2">
      <c r="B78" s="416" t="s">
        <v>730</v>
      </c>
    </row>
    <row r="79" spans="2:2">
      <c r="B79" s="416" t="s">
        <v>731</v>
      </c>
    </row>
    <row r="80" spans="2:2">
      <c r="B80" s="416">
        <v>6312</v>
      </c>
    </row>
    <row r="81" spans="2:2">
      <c r="B81" s="416" t="s">
        <v>732</v>
      </c>
    </row>
    <row r="82" spans="2:2">
      <c r="B82" s="416" t="s">
        <v>733</v>
      </c>
    </row>
    <row r="83" spans="2:2">
      <c r="B83" s="416" t="s">
        <v>734</v>
      </c>
    </row>
    <row r="84" spans="2:2">
      <c r="B84" s="416" t="s">
        <v>735</v>
      </c>
    </row>
    <row r="85" spans="2:2">
      <c r="B85" s="416">
        <v>6313</v>
      </c>
    </row>
    <row r="86" spans="2:2">
      <c r="B86" s="416" t="s">
        <v>736</v>
      </c>
    </row>
    <row r="87" spans="2:2">
      <c r="B87" s="416" t="s">
        <v>737</v>
      </c>
    </row>
    <row r="88" spans="2:2">
      <c r="B88" s="416" t="s">
        <v>738</v>
      </c>
    </row>
    <row r="89" spans="2:2">
      <c r="B89" s="416">
        <v>6314</v>
      </c>
    </row>
    <row r="90" spans="2:2">
      <c r="B90" s="416" t="s">
        <v>739</v>
      </c>
    </row>
    <row r="91" spans="2:2">
      <c r="B91" s="416">
        <v>6317</v>
      </c>
    </row>
    <row r="92" spans="2:2">
      <c r="B92" s="416" t="s">
        <v>740</v>
      </c>
    </row>
    <row r="93" spans="2:2">
      <c r="B93" s="416">
        <v>6318</v>
      </c>
    </row>
    <row r="94" spans="2:2">
      <c r="B94" s="416" t="s">
        <v>741</v>
      </c>
    </row>
    <row r="95" spans="2:2">
      <c r="B95" s="416" t="s">
        <v>742</v>
      </c>
    </row>
    <row r="96" spans="2:2">
      <c r="B96" s="416" t="s">
        <v>743</v>
      </c>
    </row>
    <row r="97" spans="2:2">
      <c r="B97" s="416">
        <v>6320</v>
      </c>
    </row>
    <row r="98" spans="2:2">
      <c r="B98" s="416" t="s">
        <v>744</v>
      </c>
    </row>
    <row r="99" spans="2:2">
      <c r="B99" s="416" t="s">
        <v>745</v>
      </c>
    </row>
    <row r="100" spans="2:2">
      <c r="B100" s="416" t="s">
        <v>746</v>
      </c>
    </row>
    <row r="101" spans="2:2">
      <c r="B101" s="416" t="s">
        <v>747</v>
      </c>
    </row>
    <row r="102" spans="2:2">
      <c r="B102" s="416" t="s">
        <v>747</v>
      </c>
    </row>
    <row r="118" spans="2:2">
      <c r="B118" s="416" t="s">
        <v>748</v>
      </c>
    </row>
    <row r="120" spans="2:2">
      <c r="B120" s="416" t="s">
        <v>749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 Data Sheet</vt:lpstr>
      <vt:lpstr>'Data Sheet'!Print_Area</vt:lpstr>
      <vt:lpstr>DesignSheet!Print_Area</vt:lpstr>
      <vt:lpstr>Form!Print_Area</vt:lpstr>
      <vt:lpstr>LoginSheet!Print_Area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Xie, Zichao</cp:lastModifiedBy>
  <cp:lastPrinted>2014-12-02T14:22:58Z</cp:lastPrinted>
  <dcterms:created xsi:type="dcterms:W3CDTF">1997-10-03T20:37:30Z</dcterms:created>
  <dcterms:modified xsi:type="dcterms:W3CDTF">2023-05-24T16:07:58Z</dcterms:modified>
</cp:coreProperties>
</file>