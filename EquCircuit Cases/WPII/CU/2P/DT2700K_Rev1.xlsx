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/>
  <bookViews>
    <workbookView xWindow="3165" yWindow="1080" windowWidth="4800" windowHeight="5190" activeTab="4"/>
  </bookViews>
  <sheets>
    <sheet name="DesignSheet" sheetId="2" r:id="rId1"/>
    <sheet name="Data Sheet" sheetId="3" r:id="rId2"/>
    <sheet name="LoginSheet" sheetId="4" r:id="rId3"/>
    <sheet name="StallTime" sheetId="5" r:id="rId4"/>
    <sheet name="Performance Data Sheet" sheetId="9" r:id="rId5"/>
    <sheet name="STCurve" sheetId="6" r:id="rId6"/>
    <sheet name="Thermdam" sheetId="7" r:id="rId7"/>
    <sheet name="Performance" sheetId="8" r:id="rId8"/>
  </sheets>
  <externalReferences>
    <externalReference r:id="rId9"/>
  </externalReferences>
  <definedNames>
    <definedName name="_Regression_Int" localSheetId="4" hidden="1">1</definedName>
    <definedName name="_xlnm.Print_Area" localSheetId="1">'Data Sheet'!$A$1:$K$46</definedName>
    <definedName name="_xlnm.Print_Area" localSheetId="0">DesignSheet!$A$1:$J$69</definedName>
    <definedName name="_xlnm.Print_Area" localSheetId="2">LoginSheet!$A$1:$N$79</definedName>
    <definedName name="_xlnm.Print_Area" localSheetId="7">Performance!$A$1:$F$43</definedName>
    <definedName name="_xlnm.Print_Area" localSheetId="4">'Performance Data Sheet'!$A$1:$M$44</definedName>
    <definedName name="_xlnm.Print_Area" localSheetId="3">StallTime!$A$1:$G$40</definedName>
    <definedName name="_xlnm.Print_Area" localSheetId="5">STCurve!$A$1:$F$43</definedName>
    <definedName name="_xlnm.Print_Area" localSheetId="6">Thermdam!$A$1:$F$43</definedName>
    <definedName name="Print_Area_MI">'Performance Data Sheet'!$A$10:$N$42</definedName>
    <definedName name="Z_852987ED_B4F5_11D1_ABEC_0000832EB49E_.wvu.PrintArea" localSheetId="7" hidden="1">Performance!$A$1:$F$43</definedName>
    <definedName name="Z_852987ED_B4F5_11D1_ABEC_0000832EB49E_.wvu.PrintArea" localSheetId="5" hidden="1">STCurve!$A$1:$F$43</definedName>
  </definedNames>
  <calcPr calcId="145621"/>
</workbook>
</file>

<file path=xl/calcChain.xml><?xml version="1.0" encoding="utf-8"?>
<calcChain xmlns="http://schemas.openxmlformats.org/spreadsheetml/2006/main">
  <c r="F54" i="8" l="1"/>
  <c r="E80" i="7"/>
  <c r="D43" i="8"/>
  <c r="D43" i="7"/>
  <c r="D43" i="6"/>
  <c r="C39" i="8"/>
  <c r="C39" i="7"/>
  <c r="C39" i="6"/>
  <c r="C15" i="8"/>
  <c r="C15" i="7"/>
  <c r="C15" i="6"/>
  <c r="C13" i="8"/>
  <c r="C13" i="7"/>
  <c r="C13" i="6"/>
  <c r="C12" i="8"/>
  <c r="C12" i="7"/>
  <c r="C12" i="6"/>
  <c r="F39" i="8"/>
  <c r="F39" i="7"/>
  <c r="F39" i="6"/>
  <c r="F9" i="8"/>
  <c r="F9" i="7"/>
  <c r="F9" i="6"/>
  <c r="F8" i="8"/>
  <c r="F8" i="7"/>
  <c r="F8" i="6"/>
  <c r="F7" i="8"/>
  <c r="F7" i="7"/>
  <c r="F7" i="6"/>
  <c r="F6" i="8"/>
  <c r="F6" i="7"/>
  <c r="F6" i="6"/>
  <c r="D7" i="8"/>
  <c r="D7" i="7"/>
  <c r="D7" i="6"/>
  <c r="B10" i="8"/>
  <c r="B10" i="7"/>
  <c r="B10" i="6"/>
  <c r="B9" i="8"/>
  <c r="B9" i="7"/>
  <c r="B9" i="6"/>
  <c r="B7" i="8"/>
  <c r="B7" i="7"/>
  <c r="B7" i="6"/>
  <c r="B6" i="8"/>
  <c r="B6" i="7"/>
  <c r="B6" i="6"/>
  <c r="C76" i="7"/>
  <c r="C77" i="7" s="1"/>
  <c r="C78" i="7" s="1"/>
  <c r="B76" i="7"/>
  <c r="C75" i="7"/>
  <c r="C74" i="7"/>
  <c r="B74" i="7"/>
  <c r="B69" i="7"/>
  <c r="B75" i="7" s="1"/>
  <c r="E68" i="7"/>
  <c r="D66" i="7"/>
  <c r="F50" i="7"/>
  <c r="N28" i="3"/>
  <c r="M28" i="3"/>
  <c r="M52" i="2"/>
  <c r="M41" i="2"/>
  <c r="L41" i="2"/>
  <c r="M40" i="2"/>
  <c r="N40" i="2" s="1"/>
  <c r="L40" i="2"/>
  <c r="M39" i="2"/>
  <c r="N39" i="2" s="1"/>
  <c r="L39" i="2"/>
  <c r="M38" i="2"/>
  <c r="L38" i="2"/>
  <c r="N38" i="2" s="1"/>
  <c r="M33" i="2"/>
  <c r="M32" i="2"/>
  <c r="M31" i="2"/>
  <c r="M30" i="2"/>
  <c r="M29" i="2"/>
  <c r="M50" i="2"/>
  <c r="M49" i="2"/>
  <c r="M48" i="2"/>
  <c r="M46" i="2"/>
  <c r="M47" i="2"/>
  <c r="C69" i="7" l="1"/>
  <c r="B70" i="7"/>
  <c r="N41" i="2"/>
  <c r="M53" i="2"/>
  <c r="C70" i="7" l="1"/>
  <c r="A72" i="7" l="1"/>
  <c r="B71" i="7"/>
  <c r="C71" i="7"/>
  <c r="A73" i="7" l="1"/>
  <c r="B73" i="7" s="1"/>
  <c r="B72" i="7"/>
</calcChain>
</file>

<file path=xl/comments1.xml><?xml version="1.0" encoding="utf-8"?>
<comments xmlns="http://schemas.openxmlformats.org/spreadsheetml/2006/main">
  <authors>
    <author>Paulo Yoshiura</author>
  </authors>
  <commentList>
    <comment ref="K4" authorId="0">
      <text>
        <r>
          <rPr>
            <b/>
            <sz val="8"/>
            <color indexed="81"/>
            <rFont val="Tahoma"/>
            <family val="2"/>
          </rPr>
          <t>Insert type of motor</t>
        </r>
        <r>
          <rPr>
            <sz val="8"/>
            <color indexed="81"/>
            <rFont val="Tahoma"/>
          </rPr>
          <t xml:space="preserve">
</t>
        </r>
        <r>
          <rPr>
            <b/>
            <sz val="8"/>
            <color indexed="81"/>
            <rFont val="Tahoma"/>
            <family val="2"/>
          </rPr>
          <t>Either choose from list or write appropriate name</t>
        </r>
      </text>
    </comment>
    <comment ref="D6" authorId="0">
      <text>
        <r>
          <rPr>
            <b/>
            <sz val="8"/>
            <color indexed="81"/>
            <rFont val="Tahoma"/>
            <family val="2"/>
          </rPr>
          <t>Choose Steel Type
from list or input name</t>
        </r>
      </text>
    </comment>
    <comment ref="D21" authorId="0">
      <text>
        <r>
          <rPr>
            <b/>
            <sz val="8"/>
            <color indexed="81"/>
            <rFont val="Tahoma"/>
          </rPr>
          <t>Choose Method of coil connection from list!</t>
        </r>
        <r>
          <rPr>
            <sz val="8"/>
            <color indexed="81"/>
            <rFont val="Tahoma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<sst xmlns="http://schemas.openxmlformats.org/spreadsheetml/2006/main" count="943" uniqueCount="715">
  <si>
    <t>Calc. Code:</t>
  </si>
  <si>
    <t>File:</t>
  </si>
  <si>
    <t>Date:</t>
  </si>
  <si>
    <t>Time:</t>
  </si>
  <si>
    <t>Pole</t>
  </si>
  <si>
    <t>RPM</t>
  </si>
  <si>
    <t>Voltage</t>
  </si>
  <si>
    <t>Frequency</t>
  </si>
  <si>
    <t>FLSpeed</t>
  </si>
  <si>
    <t>FLSlip</t>
  </si>
  <si>
    <t xml:space="preserve">Frame </t>
  </si>
  <si>
    <t>Core Data</t>
  </si>
  <si>
    <t>Winding Data</t>
  </si>
  <si>
    <t>Constant Data</t>
  </si>
  <si>
    <t>Primary</t>
  </si>
  <si>
    <t>Secondary</t>
  </si>
  <si>
    <t xml:space="preserve">Bar </t>
  </si>
  <si>
    <t>End Ring</t>
  </si>
  <si>
    <t xml:space="preserve">St. Slot Pitch </t>
  </si>
  <si>
    <t>LR Test Data</t>
  </si>
  <si>
    <t>Air Gap</t>
  </si>
  <si>
    <t>Rt. Slot Pitch</t>
  </si>
  <si>
    <t>ES</t>
  </si>
  <si>
    <t>Space Fac.</t>
  </si>
  <si>
    <t>Pitch</t>
  </si>
  <si>
    <t>Cross Section Area</t>
  </si>
  <si>
    <t>Mean Value</t>
  </si>
  <si>
    <t>Core Length</t>
  </si>
  <si>
    <t>Eff.T.W.St.</t>
  </si>
  <si>
    <t>WS</t>
  </si>
  <si>
    <t>OD</t>
  </si>
  <si>
    <t>Coil Pitch</t>
  </si>
  <si>
    <t>Eff.T.W.Rt.</t>
  </si>
  <si>
    <t>ID</t>
  </si>
  <si>
    <t>Slot Fill</t>
  </si>
  <si>
    <t xml:space="preserve">St.Carter Fac. </t>
  </si>
  <si>
    <t>IS</t>
  </si>
  <si>
    <t>Core Depth</t>
  </si>
  <si>
    <t>Con./Slot</t>
  </si>
  <si>
    <t xml:space="preserve"> </t>
  </si>
  <si>
    <t>Rt.Carter Fac.</t>
  </si>
  <si>
    <t>Eff.Core L.</t>
  </si>
  <si>
    <t>Wire Size 1</t>
  </si>
  <si>
    <t>Carter Factor</t>
  </si>
  <si>
    <t>Volts / Turn</t>
  </si>
  <si>
    <t>Slot Data</t>
  </si>
  <si>
    <t>Wire Size 2</t>
  </si>
  <si>
    <t>Short. Factor</t>
  </si>
  <si>
    <t>Number</t>
  </si>
  <si>
    <t>// Circuits</t>
  </si>
  <si>
    <t>Distrib. Factor</t>
  </si>
  <si>
    <t>AC</t>
  </si>
  <si>
    <t>Kind</t>
  </si>
  <si>
    <t>Connection</t>
  </si>
  <si>
    <t>Wind. Factor</t>
  </si>
  <si>
    <t>Skew</t>
  </si>
  <si>
    <t>MCL</t>
  </si>
  <si>
    <t>Reactance</t>
  </si>
  <si>
    <t>Depth</t>
  </si>
  <si>
    <t>No.Cond./Ph.</t>
  </si>
  <si>
    <t>Running</t>
  </si>
  <si>
    <t>Start</t>
  </si>
  <si>
    <t>Width</t>
  </si>
  <si>
    <t>Stator Slot</t>
  </si>
  <si>
    <t>Opening</t>
  </si>
  <si>
    <t>Rotor Slot</t>
  </si>
  <si>
    <t>Tip Depth</t>
  </si>
  <si>
    <t>Material</t>
  </si>
  <si>
    <t>Zigzag</t>
  </si>
  <si>
    <t>T.Min.Wid.</t>
  </si>
  <si>
    <t>Spec.Resist.</t>
  </si>
  <si>
    <t>Coil End</t>
  </si>
  <si>
    <t>Low. R.</t>
  </si>
  <si>
    <t>Spec.Gravity</t>
  </si>
  <si>
    <t>Belt Leakage</t>
  </si>
  <si>
    <t>Up. R.</t>
  </si>
  <si>
    <t>Weight (kg)</t>
  </si>
  <si>
    <t>Total Resist.</t>
  </si>
  <si>
    <t>Wedge Dep.</t>
  </si>
  <si>
    <t>Wire 1</t>
  </si>
  <si>
    <t>Total React.</t>
  </si>
  <si>
    <t>Duct</t>
  </si>
  <si>
    <t>Wire 2</t>
  </si>
  <si>
    <t>Impedance</t>
  </si>
  <si>
    <t>Effective Depth (S=1)</t>
  </si>
  <si>
    <t>Magnetic Circuit Data</t>
  </si>
  <si>
    <t>Core Loss Data</t>
  </si>
  <si>
    <t>Res.=</t>
  </si>
  <si>
    <t>Length</t>
  </si>
  <si>
    <t>Section</t>
  </si>
  <si>
    <t>Density</t>
  </si>
  <si>
    <t>AT</t>
  </si>
  <si>
    <t>Volume</t>
  </si>
  <si>
    <t>Loss</t>
  </si>
  <si>
    <t>Reac.=</t>
  </si>
  <si>
    <t>Primary Core</t>
  </si>
  <si>
    <t>Excitation Data</t>
  </si>
  <si>
    <t>Tooth</t>
  </si>
  <si>
    <t>Excit.Amps</t>
  </si>
  <si>
    <t>Second.Core</t>
  </si>
  <si>
    <t>Total</t>
  </si>
  <si>
    <t>Core Loss</t>
  </si>
  <si>
    <t>Flux / Pole</t>
  </si>
  <si>
    <t>C.L.C.</t>
  </si>
  <si>
    <t>NoLoad</t>
  </si>
  <si>
    <t>S.F.C.</t>
  </si>
  <si>
    <t>Load Characteristics</t>
  </si>
  <si>
    <t>No Load Loss</t>
  </si>
  <si>
    <t>W.Loss</t>
  </si>
  <si>
    <t>Load (%)</t>
  </si>
  <si>
    <t>Primary Loss</t>
  </si>
  <si>
    <t>S.Loss</t>
  </si>
  <si>
    <t>Current (A)</t>
  </si>
  <si>
    <t>Second. Loss</t>
  </si>
  <si>
    <t>Total C.Loss</t>
  </si>
  <si>
    <t xml:space="preserve">Efficiency </t>
  </si>
  <si>
    <t>Frict.&amp; Wind.</t>
  </si>
  <si>
    <t>P.F.</t>
  </si>
  <si>
    <t>Starting Data</t>
  </si>
  <si>
    <t>Slip</t>
  </si>
  <si>
    <t>PF</t>
  </si>
  <si>
    <t xml:space="preserve">LRA </t>
  </si>
  <si>
    <t>%</t>
  </si>
  <si>
    <t>L (Inv., MH)</t>
  </si>
  <si>
    <t>LRT (kg.m)</t>
  </si>
  <si>
    <t>(No Load)</t>
  </si>
  <si>
    <t>Design Parameters (Full Load)</t>
  </si>
  <si>
    <t>Magnetic Pull  &amp; Thrust</t>
  </si>
  <si>
    <t>BDT (kW)</t>
  </si>
  <si>
    <t>IM/IW</t>
  </si>
  <si>
    <t>I*R1/E</t>
  </si>
  <si>
    <t>Rosenberg</t>
  </si>
  <si>
    <t>IW*X/E</t>
  </si>
  <si>
    <t>I*R2/E</t>
  </si>
  <si>
    <t>Schwisky</t>
  </si>
  <si>
    <t>Amps</t>
  </si>
  <si>
    <t>SUM</t>
  </si>
  <si>
    <t>Friction/OP.</t>
  </si>
  <si>
    <t>Tsurumi</t>
  </si>
  <si>
    <t>Max. Output</t>
  </si>
  <si>
    <t>IH/I</t>
  </si>
  <si>
    <t>Thrust (1mm)</t>
  </si>
  <si>
    <t>Efficiency</t>
  </si>
  <si>
    <t>Thrust (3 mm)</t>
  </si>
  <si>
    <t>Miscellaneous Data</t>
  </si>
  <si>
    <t>Slot Number</t>
  </si>
  <si>
    <t>Slit Width</t>
  </si>
  <si>
    <t>T.M.Wid.Low.</t>
  </si>
  <si>
    <t>Watt Rad.</t>
  </si>
  <si>
    <t>Coil Cur. Density</t>
  </si>
  <si>
    <t>Slit Depth</t>
  </si>
  <si>
    <t>Cal.T.W.Up.</t>
  </si>
  <si>
    <t>L.S.Up.Wid.</t>
  </si>
  <si>
    <t>Cal.M.T.Wid.</t>
  </si>
  <si>
    <t>Bar Cur. Den.</t>
  </si>
  <si>
    <t>L.S.Low.Wid.</t>
  </si>
  <si>
    <t>Up. Sl. Wid.</t>
  </si>
  <si>
    <t>L.S.Depth</t>
  </si>
  <si>
    <t>X2S</t>
  </si>
  <si>
    <t>IMC</t>
  </si>
  <si>
    <t>ER Cur. Den.</t>
  </si>
  <si>
    <t>Up. Sl. Dep.</t>
  </si>
  <si>
    <t>T.M.Wid.Up.</t>
  </si>
  <si>
    <t>X3S</t>
  </si>
  <si>
    <t>Coil Pitch Ct.</t>
  </si>
  <si>
    <t>Torque (%)</t>
  </si>
  <si>
    <t>Res.     (20°C)</t>
  </si>
  <si>
    <t xml:space="preserve">                              TOSHIBA INTERNATIONAL CORPORATION</t>
  </si>
  <si>
    <r>
      <t>DG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L(cm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)</t>
    </r>
  </si>
  <si>
    <r>
      <t>GD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L(kg.m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)</t>
    </r>
  </si>
  <si>
    <r>
      <t>DO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L(cm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)</t>
    </r>
  </si>
  <si>
    <t>HP</t>
  </si>
  <si>
    <t>Form</t>
  </si>
  <si>
    <t xml:space="preserve">             3-PHASE SQUIRREL CAGE INDUCTION MOTOR DESIGN SHEET</t>
  </si>
  <si>
    <t>-</t>
  </si>
  <si>
    <t>Temperature</t>
  </si>
  <si>
    <t>Current</t>
  </si>
  <si>
    <t>Eff.</t>
  </si>
  <si>
    <t>PF.</t>
  </si>
  <si>
    <r>
      <t>HP</t>
    </r>
    <r>
      <rPr>
        <vertAlign val="superscript"/>
        <sz val="10"/>
        <rFont val="Arial"/>
        <family val="2"/>
      </rPr>
      <t>0.95</t>
    </r>
  </si>
  <si>
    <r>
      <t>HP</t>
    </r>
    <r>
      <rPr>
        <vertAlign val="superscript"/>
        <sz val="10"/>
        <rFont val="Arial"/>
        <family val="2"/>
      </rPr>
      <t>1.5</t>
    </r>
  </si>
  <si>
    <r>
      <t>(RPM/1000)</t>
    </r>
    <r>
      <rPr>
        <vertAlign val="superscript"/>
        <sz val="10"/>
        <rFont val="Arial"/>
        <family val="2"/>
      </rPr>
      <t>2.4</t>
    </r>
  </si>
  <si>
    <r>
      <t>(RPM/1000)</t>
    </r>
    <r>
      <rPr>
        <vertAlign val="superscript"/>
        <sz val="10"/>
        <rFont val="Arial"/>
        <family val="2"/>
      </rPr>
      <t>1.8</t>
    </r>
  </si>
  <si>
    <t>A</t>
  </si>
  <si>
    <t>k</t>
  </si>
  <si>
    <t>Load Inertia</t>
  </si>
  <si>
    <t>125RPM</t>
  </si>
  <si>
    <t>100RPM</t>
  </si>
  <si>
    <t>75RPM</t>
  </si>
  <si>
    <t>50RPM</t>
  </si>
  <si>
    <t>25RPM</t>
  </si>
  <si>
    <t>Hz</t>
  </si>
  <si>
    <t>DCKW</t>
  </si>
  <si>
    <t>5011/12</t>
  </si>
  <si>
    <t>Open</t>
  </si>
  <si>
    <t>Trapeze</t>
  </si>
  <si>
    <t>14.00 - 14.00</t>
  </si>
  <si>
    <t>1.20 - 2.40</t>
  </si>
  <si>
    <t>Normal</t>
  </si>
  <si>
    <t>9 x 8</t>
  </si>
  <si>
    <t>8 x 8</t>
  </si>
  <si>
    <t>1 ~ 14</t>
  </si>
  <si>
    <t>(.081"x.182")x1</t>
  </si>
  <si>
    <t>(.081"x.204")x1</t>
  </si>
  <si>
    <t>Wye</t>
  </si>
  <si>
    <t>(105°C)</t>
  </si>
  <si>
    <t>CU</t>
  </si>
  <si>
    <t>Special</t>
  </si>
  <si>
    <t>ERD1: 211.4</t>
  </si>
  <si>
    <t>EBL: 40.0</t>
  </si>
  <si>
    <t>ERT: 70.00</t>
  </si>
  <si>
    <t>ERH: 25.00</t>
  </si>
  <si>
    <t>LB:  -</t>
  </si>
  <si>
    <t>LER:  -</t>
  </si>
  <si>
    <t>Single Cage Data</t>
  </si>
  <si>
    <t>UB: 304.0</t>
  </si>
  <si>
    <t>UER: 1750.0</t>
  </si>
  <si>
    <t>(Coeff.: 0.0702)</t>
  </si>
  <si>
    <t>Skew R.: 0.00</t>
  </si>
  <si>
    <t>G:\DESPRO\RATFILE\DT2700K_Rev1.rat</t>
  </si>
  <si>
    <t>2-2-2-0-1-2</t>
  </si>
  <si>
    <t>B.L.-1  P.F.-1</t>
  </si>
  <si>
    <t>7177.8 / 6632.2</t>
  </si>
  <si>
    <t>3283.2 / 3718.1</t>
  </si>
  <si>
    <t>11150.9 / 10500.0</t>
  </si>
  <si>
    <t>3000.0 / 6254.5</t>
  </si>
  <si>
    <t>7729.0 / 3968.6</t>
  </si>
  <si>
    <t>1692.2 / 868.9</t>
  </si>
  <si>
    <t>6036.8 / 3099.7</t>
  </si>
  <si>
    <t>1.50 / 0.77</t>
  </si>
  <si>
    <t>48 / 48</t>
  </si>
  <si>
    <t>Temp. Rise @ 100%:</t>
  </si>
  <si>
    <t>Stray Loss</t>
  </si>
  <si>
    <t>0.916 / 0.909</t>
  </si>
  <si>
    <t>0.950 / 0.943</t>
  </si>
  <si>
    <t>0.959 / 0.952</t>
  </si>
  <si>
    <t>0.962 / 0.954</t>
  </si>
  <si>
    <t>0.961 / 0.953</t>
  </si>
  <si>
    <t>0.618 / 0.610</t>
  </si>
  <si>
    <t>0.819 / 0.809</t>
  </si>
  <si>
    <t>0.884 / 0.873</t>
  </si>
  <si>
    <t>0.9076 / 0.8960</t>
  </si>
  <si>
    <t>0.916 / 0.904</t>
  </si>
  <si>
    <t>33.30 / 34.00</t>
  </si>
  <si>
    <t>48.42 / 49.44</t>
  </si>
  <si>
    <t>66.67 / 68.06</t>
  </si>
  <si>
    <t>86.37 / 88.18</t>
  </si>
  <si>
    <t>107.08 / 109.33</t>
  </si>
  <si>
    <t>4.42 / 4.51</t>
  </si>
  <si>
    <t>UB: 4.49 / 4.59</t>
  </si>
  <si>
    <t>UER: 4.23 / 4.32</t>
  </si>
  <si>
    <t>3594.5 / 3591.4</t>
  </si>
  <si>
    <t>3589.1 / 3586.0</t>
  </si>
  <si>
    <t>3583.6 / 3580.5</t>
  </si>
  <si>
    <t>3578.1 / 3575.0</t>
  </si>
  <si>
    <t>3572.4 / 3569.4</t>
  </si>
  <si>
    <t>0.0015 / 0.0024</t>
  </si>
  <si>
    <t>0.0030 / 0.0039</t>
  </si>
  <si>
    <t>0.0045 / 0.0054</t>
  </si>
  <si>
    <t>0.0061 / 0.0069</t>
  </si>
  <si>
    <t>0.0077 / 0.0085</t>
  </si>
  <si>
    <t>24.184 / 19.479</t>
  </si>
  <si>
    <t>1.114 / 0.898</t>
  </si>
  <si>
    <t>24.21 / 19.50</t>
  </si>
  <si>
    <t>538.4 / 465.3</t>
  </si>
  <si>
    <t>623.3 / 538.7</t>
  </si>
  <si>
    <t>203.1 / 126.4</t>
  </si>
  <si>
    <t>142.9 / 88.9</t>
  </si>
  <si>
    <t>310.1 / 277.7</t>
  </si>
  <si>
    <t>Correlated to: LAB 0775.dat</t>
  </si>
  <si>
    <t>USA Wire Std</t>
  </si>
  <si>
    <t>DesPro8AX Draft</t>
  </si>
  <si>
    <t>TOSHIBA INTERNATIONAL CORPORATION</t>
  </si>
  <si>
    <t>INDUCTION MOTOR DATA SHEET</t>
  </si>
  <si>
    <t>HRW / Model Number:</t>
  </si>
  <si>
    <t>Motor Type Selection</t>
  </si>
  <si>
    <t>Electrical Steel Table</t>
  </si>
  <si>
    <t>Motor Parameters</t>
  </si>
  <si>
    <t>PERFORMANCE</t>
  </si>
  <si>
    <t>DESIGN</t>
  </si>
  <si>
    <t>TEST</t>
  </si>
  <si>
    <t>EPACT</t>
  </si>
  <si>
    <t>M22 - 26Ga.</t>
  </si>
  <si>
    <t>NCB1 - 26Ga.</t>
  </si>
  <si>
    <t>NL &amp; Impedance Test</t>
  </si>
  <si>
    <t>EQP-III</t>
  </si>
  <si>
    <t>M36 - 26Ga.</t>
  </si>
  <si>
    <t>No load amps</t>
  </si>
  <si>
    <t>Exp.Prf.</t>
  </si>
  <si>
    <t>Stack length</t>
  </si>
  <si>
    <t>No load watts</t>
  </si>
  <si>
    <t>Exp.Prf.-EQPIII</t>
  </si>
  <si>
    <t>M43 - 26Ga.</t>
  </si>
  <si>
    <t>Number of turns per coil</t>
  </si>
  <si>
    <t>Impedance amps</t>
  </si>
  <si>
    <t>f</t>
  </si>
  <si>
    <t>Prem. Eff.</t>
  </si>
  <si>
    <t>M45 - 26Ga.</t>
  </si>
  <si>
    <t>Wire 1 (size &amp; number)</t>
  </si>
  <si>
    <t>Impedance volts</t>
  </si>
  <si>
    <t>OWP</t>
  </si>
  <si>
    <t>M54 - 26Ga.</t>
  </si>
  <si>
    <t>Wire 2 (size &amp; number)</t>
  </si>
  <si>
    <t>Impedance watts</t>
  </si>
  <si>
    <t>Dry Kiln</t>
  </si>
  <si>
    <r>
      <t xml:space="preserve">Slot fill - </t>
    </r>
    <r>
      <rPr>
        <i/>
        <sz val="9"/>
        <color indexed="8"/>
        <rFont val="Times New Roman"/>
        <family val="1"/>
      </rPr>
      <t>circle/square method (%)</t>
    </r>
  </si>
  <si>
    <t>Temperature Rise (°C)</t>
  </si>
  <si>
    <t>Winding</t>
  </si>
  <si>
    <t>80/115</t>
  </si>
  <si>
    <t>Allowance for ins. depth</t>
  </si>
  <si>
    <t xml:space="preserve">Bearing  PS/OS </t>
  </si>
  <si>
    <t>Allowance for ins. width</t>
  </si>
  <si>
    <t>Slot/Wire arrangement</t>
  </si>
  <si>
    <t>Nameplate Data</t>
  </si>
  <si>
    <t>Effective cross section for coil</t>
  </si>
  <si>
    <t>FLC (A)</t>
  </si>
  <si>
    <t>Coil grouping</t>
  </si>
  <si>
    <t>Coil pitch (slot number)</t>
  </si>
  <si>
    <t>CODE</t>
  </si>
  <si>
    <t>Method of coil connection</t>
  </si>
  <si>
    <t>S. F.</t>
  </si>
  <si>
    <t>Method of Connection</t>
  </si>
  <si>
    <t>Resistance per phase @ 20 °C</t>
  </si>
  <si>
    <t>B</t>
  </si>
  <si>
    <t>Skip</t>
  </si>
  <si>
    <t>Coil Weight</t>
  </si>
  <si>
    <t>Wire1</t>
  </si>
  <si>
    <t xml:space="preserve">Nom.Eff. (%): </t>
  </si>
  <si>
    <t>Adjacent</t>
  </si>
  <si>
    <t>(lbs.)</t>
  </si>
  <si>
    <t>Wire2</t>
  </si>
  <si>
    <t xml:space="preserve">Min.Eff. (%): </t>
  </si>
  <si>
    <r>
      <t>Current Densities (A/cm</t>
    </r>
    <r>
      <rPr>
        <b/>
        <i/>
        <vertAlign val="superscript"/>
        <sz val="12"/>
        <color indexed="8"/>
        <rFont val="Times New Roman"/>
        <family val="1"/>
      </rPr>
      <t>2</t>
    </r>
    <r>
      <rPr>
        <b/>
        <i/>
        <sz val="12"/>
        <color indexed="8"/>
        <rFont val="Times New Roman"/>
        <family val="1"/>
      </rPr>
      <t>)</t>
    </r>
  </si>
  <si>
    <t>Bar / ER</t>
  </si>
  <si>
    <t xml:space="preserve">P.F. (%): </t>
  </si>
  <si>
    <t>FL / LR</t>
  </si>
  <si>
    <t>Stator Slot Shape                                      (Reference)</t>
  </si>
  <si>
    <t>Performance</t>
  </si>
  <si>
    <t>LRC (A)</t>
  </si>
  <si>
    <t>LRT (%)</t>
  </si>
  <si>
    <t>BDT (%)</t>
  </si>
  <si>
    <t>SLIP (%)</t>
  </si>
  <si>
    <t>IEEE-B</t>
  </si>
  <si>
    <t>Eff. (%)</t>
  </si>
  <si>
    <t>Rotor Slot Shape                                       (Reference)</t>
  </si>
  <si>
    <t>PF (%)</t>
  </si>
  <si>
    <t>Losses (Watts)</t>
  </si>
  <si>
    <t>Core</t>
  </si>
  <si>
    <t>F &amp; W</t>
  </si>
  <si>
    <t xml:space="preserve">Stray </t>
  </si>
  <si>
    <t>End Ring                                                   (Reference)</t>
  </si>
  <si>
    <t>Note</t>
  </si>
  <si>
    <t>Approved</t>
  </si>
  <si>
    <t>Design</t>
  </si>
  <si>
    <t>Date</t>
  </si>
  <si>
    <t>P</t>
  </si>
  <si>
    <t>T</t>
  </si>
  <si>
    <t>L</t>
  </si>
  <si>
    <t>PROJECT HISTORY</t>
  </si>
  <si>
    <t>E</t>
  </si>
  <si>
    <t>D</t>
  </si>
  <si>
    <t>I</t>
  </si>
  <si>
    <t>Y</t>
  </si>
  <si>
    <t>H</t>
  </si>
  <si>
    <t>R</t>
  </si>
  <si>
    <t>M</t>
  </si>
  <si>
    <t>F</t>
  </si>
  <si>
    <t>C</t>
  </si>
  <si>
    <t>U</t>
  </si>
  <si>
    <t>N</t>
  </si>
  <si>
    <t>S</t>
  </si>
  <si>
    <t>V</t>
  </si>
  <si>
    <t>DATE</t>
  </si>
  <si>
    <t>PROJECT</t>
  </si>
  <si>
    <t>SMART NUMBER</t>
  </si>
  <si>
    <t>QTY</t>
  </si>
  <si>
    <t>CUSTOMER</t>
  </si>
  <si>
    <t>REMARKS</t>
  </si>
  <si>
    <t>LIMIT CODE</t>
  </si>
  <si>
    <t>REVISION HISTORY</t>
  </si>
  <si>
    <t>REV</t>
  </si>
  <si>
    <t>INIT</t>
  </si>
  <si>
    <t>DT2700K_Rev1</t>
  </si>
  <si>
    <t>Type: TIKE - Form: DCKW - 2 Pole - 700 HP - 2300 / 4000 V - 60 Hz - 5011/12 - Class F</t>
  </si>
  <si>
    <t>18 x 2</t>
  </si>
  <si>
    <t>1D / 1Y</t>
  </si>
  <si>
    <t xml:space="preserve"> - </t>
  </si>
  <si>
    <t>152 / 88</t>
  </si>
  <si>
    <t>34 / 19.5</t>
  </si>
  <si>
    <t>805/ 465</t>
  </si>
  <si>
    <t>48 / 63</t>
  </si>
  <si>
    <t>451 / 2383</t>
  </si>
  <si>
    <t>459 / 432</t>
  </si>
  <si>
    <t>7003WTQK11F-C</t>
  </si>
  <si>
    <t>LINK:</t>
  </si>
  <si>
    <t>DT2700K_Rev1.rat with LAB 0775.dat</t>
  </si>
  <si>
    <t>W.McDaniel</t>
  </si>
  <si>
    <t>REV.1 Update Correleration.  Z.X 04/23/2019</t>
  </si>
  <si>
    <t>Current (%)</t>
  </si>
  <si>
    <t>Current(%)</t>
  </si>
  <si>
    <t>S-T Curve Data (Custom Values)</t>
  </si>
  <si>
    <t>Load</t>
  </si>
  <si>
    <t>Load Type:</t>
  </si>
  <si>
    <t>Load Inertia:</t>
  </si>
  <si>
    <t>Accel. Time:</t>
  </si>
  <si>
    <t>Rated Torque:</t>
  </si>
  <si>
    <t>Fan / Pump</t>
  </si>
  <si>
    <t>84.8 kg.m²</t>
  </si>
  <si>
    <t>Acceleration Data (FV V)</t>
  </si>
  <si>
    <t>9.2 (s)</t>
  </si>
  <si>
    <t>142.1 kg.m</t>
  </si>
  <si>
    <t>Rating:</t>
  </si>
  <si>
    <t>Starting Performance</t>
  </si>
  <si>
    <t>Motor</t>
  </si>
  <si>
    <t xml:space="preserve">Load </t>
  </si>
  <si>
    <t>Accel.</t>
  </si>
  <si>
    <t xml:space="preserve"> Line</t>
  </si>
  <si>
    <t>Stator</t>
  </si>
  <si>
    <t>Rotor</t>
  </si>
  <si>
    <t>Speed Increment</t>
  </si>
  <si>
    <t>Time (s)</t>
  </si>
  <si>
    <t>kW / s</t>
  </si>
  <si>
    <t>Energy</t>
  </si>
  <si>
    <t>First Start</t>
  </si>
  <si>
    <t>Second Start</t>
  </si>
  <si>
    <t>Stator Winding Rise</t>
  </si>
  <si>
    <t>Rotor Bar Rise</t>
  </si>
  <si>
    <t>End Ring Rise</t>
  </si>
  <si>
    <t>Locked Rotor Thermal Capability</t>
  </si>
  <si>
    <t>Cold Condition</t>
  </si>
  <si>
    <t>Rate of Rise</t>
  </si>
  <si>
    <t>Power</t>
  </si>
  <si>
    <t>Rise Limit</t>
  </si>
  <si>
    <t>Max Time</t>
  </si>
  <si>
    <t>Stator Copper</t>
  </si>
  <si>
    <t>160°C</t>
  </si>
  <si>
    <t>Rotor Bar</t>
  </si>
  <si>
    <t>260°C</t>
  </si>
  <si>
    <t>Rotor ER</t>
  </si>
  <si>
    <t>180°C</t>
  </si>
  <si>
    <t>Hot Condition</t>
  </si>
  <si>
    <t>Hot Temp.</t>
  </si>
  <si>
    <t>Ambient</t>
  </si>
  <si>
    <t>Max.Time</t>
  </si>
  <si>
    <t>40°C</t>
  </si>
  <si>
    <t>=    200°C</t>
  </si>
  <si>
    <t>=    300°C</t>
  </si>
  <si>
    <t>=    220°C</t>
  </si>
  <si>
    <t>Cold Stall Time:</t>
  </si>
  <si>
    <t>Hot Stall Time:</t>
  </si>
  <si>
    <t>2 Pole - 700.0 HP - 3600 RPM - 4000 V - 60 Hz</t>
  </si>
  <si>
    <t>0~363</t>
  </si>
  <si>
    <t>363~727</t>
  </si>
  <si>
    <t>727~1090</t>
  </si>
  <si>
    <t>1090~1454</t>
  </si>
  <si>
    <t>1454~1817</t>
  </si>
  <si>
    <t>1817~2180</t>
  </si>
  <si>
    <t>2180~2544</t>
  </si>
  <si>
    <t>2544~2907</t>
  </si>
  <si>
    <t>2907~3089</t>
  </si>
  <si>
    <t>3089~3271</t>
  </si>
  <si>
    <t>3271~3452</t>
  </si>
  <si>
    <t>3452~3570</t>
  </si>
  <si>
    <t>3570~3578</t>
  </si>
  <si>
    <t>Load Type: Fan / Pump - 503.2 lb-ft²</t>
  </si>
  <si>
    <t>85.2</t>
  </si>
  <si>
    <t>85.7</t>
  </si>
  <si>
    <t>86.6</t>
  </si>
  <si>
    <t>88.0</t>
  </si>
  <si>
    <t>90.3</t>
  </si>
  <si>
    <t>93.9</t>
  </si>
  <si>
    <t>99.6</t>
  </si>
  <si>
    <t>109.7</t>
  </si>
  <si>
    <t>127.0</t>
  </si>
  <si>
    <t>159.9</t>
  </si>
  <si>
    <t>228.7</t>
  </si>
  <si>
    <t>202.4</t>
  </si>
  <si>
    <t>114.9</t>
  </si>
  <si>
    <t>22.5</t>
  </si>
  <si>
    <t>11.4</t>
  </si>
  <si>
    <t>7.0</t>
  </si>
  <si>
    <t>7.1</t>
  </si>
  <si>
    <t>11.3</t>
  </si>
  <si>
    <t>18.5</t>
  </si>
  <si>
    <t>28.4</t>
  </si>
  <si>
    <t>42.9</t>
  </si>
  <si>
    <t>57.4</t>
  </si>
  <si>
    <t>69.7</t>
  </si>
  <si>
    <t>82.8</t>
  </si>
  <si>
    <t>99.2</t>
  </si>
  <si>
    <t>1.133</t>
  </si>
  <si>
    <t>0.957</t>
  </si>
  <si>
    <t>0.893</t>
  </si>
  <si>
    <t>0.878</t>
  </si>
  <si>
    <t>0.899</t>
  </si>
  <si>
    <t>0.942</t>
  </si>
  <si>
    <t>0.998</t>
  </si>
  <si>
    <t>1.063</t>
  </si>
  <si>
    <t>0.510</t>
  </si>
  <si>
    <t>0.394</t>
  </si>
  <si>
    <t>0.244</t>
  </si>
  <si>
    <t>0.213</t>
  </si>
  <si>
    <t>0.095</t>
  </si>
  <si>
    <t>464.0</t>
  </si>
  <si>
    <t>461.8</t>
  </si>
  <si>
    <t>459.2</t>
  </si>
  <si>
    <t>456.4</t>
  </si>
  <si>
    <t>453.2</t>
  </si>
  <si>
    <t>449.6</t>
  </si>
  <si>
    <t>445.7</t>
  </si>
  <si>
    <t>440.1</t>
  </si>
  <si>
    <t>432.7</t>
  </si>
  <si>
    <t>419.2</t>
  </si>
  <si>
    <t>375.0</t>
  </si>
  <si>
    <t>224.7</t>
  </si>
  <si>
    <t>65.1</t>
  </si>
  <si>
    <t>235.7</t>
  </si>
  <si>
    <t>197.4</t>
  </si>
  <si>
    <t>182.4</t>
  </si>
  <si>
    <t>177.1</t>
  </si>
  <si>
    <t>179.0</t>
  </si>
  <si>
    <t>184.8</t>
  </si>
  <si>
    <t>192.5</t>
  </si>
  <si>
    <t>201.3</t>
  </si>
  <si>
    <t>93.6</t>
  </si>
  <si>
    <t>39.3</t>
  </si>
  <si>
    <t>23.7</t>
  </si>
  <si>
    <t>0.7</t>
  </si>
  <si>
    <t>503.6</t>
  </si>
  <si>
    <t>384.2</t>
  </si>
  <si>
    <t>320.7</t>
  </si>
  <si>
    <t>278.8</t>
  </si>
  <si>
    <t>249.2</t>
  </si>
  <si>
    <t>223.8</t>
  </si>
  <si>
    <t>197.7</t>
  </si>
  <si>
    <t>168.1</t>
  </si>
  <si>
    <t>119.6</t>
  </si>
  <si>
    <t>80.4</t>
  </si>
  <si>
    <t>42.5</t>
  </si>
  <si>
    <t>38.6</t>
  </si>
  <si>
    <t>18.7</t>
  </si>
  <si>
    <t>1777 kW / s</t>
  </si>
  <si>
    <t>2361 kW / s</t>
  </si>
  <si>
    <t>265 kW / s</t>
  </si>
  <si>
    <t>33°C</t>
  </si>
  <si>
    <t>99°C</t>
  </si>
  <si>
    <t>30°C</t>
  </si>
  <si>
    <t>66°C</t>
  </si>
  <si>
    <t>199°C</t>
  </si>
  <si>
    <t>60°C</t>
  </si>
  <si>
    <t>Acceleration Time:  9.2 s</t>
  </si>
  <si>
    <t>4.4°C / s</t>
  </si>
  <si>
    <t>16.8°C / s</t>
  </si>
  <si>
    <t>5.0°C / s</t>
  </si>
  <si>
    <t>238.5 kW</t>
  </si>
  <si>
    <t>399.0 kW</t>
  </si>
  <si>
    <t>44.8 kW</t>
  </si>
  <si>
    <t>36.3 s</t>
  </si>
  <si>
    <t>15.5 s</t>
  </si>
  <si>
    <t>35.7 s</t>
  </si>
  <si>
    <t>63°C    +</t>
  </si>
  <si>
    <t>83°C    +</t>
  </si>
  <si>
    <t>97°C    +</t>
  </si>
  <si>
    <t>177°C   +</t>
  </si>
  <si>
    <t>97°C   +</t>
  </si>
  <si>
    <t>22.0 s</t>
  </si>
  <si>
    <t>10.5 s</t>
  </si>
  <si>
    <t>19.2 s</t>
  </si>
  <si>
    <t>26.9 s</t>
  </si>
  <si>
    <t>14.5 s</t>
  </si>
  <si>
    <t>Speed Torque/Current Curve</t>
  </si>
  <si>
    <t>Model #:</t>
  </si>
  <si>
    <t>FLAmps:</t>
  </si>
  <si>
    <t>Enclosure:</t>
  </si>
  <si>
    <t>Voltage:</t>
  </si>
  <si>
    <t>Frame:</t>
  </si>
  <si>
    <t>Pole:</t>
  </si>
  <si>
    <t>Frequency:</t>
  </si>
  <si>
    <t>3 PH / 60 Hz</t>
  </si>
  <si>
    <t>Ins. Class:</t>
  </si>
  <si>
    <t>HP:</t>
  </si>
  <si>
    <t>Rotor Inertia:</t>
  </si>
  <si>
    <t>FLRPM:</t>
  </si>
  <si>
    <t>Locked Rotor Amps:</t>
  </si>
  <si>
    <t>Locked Rotor Torque:</t>
  </si>
  <si>
    <t>Starting at:</t>
  </si>
  <si>
    <t>Breakdown Torque:</t>
  </si>
  <si>
    <t>Comments:</t>
  </si>
  <si>
    <t>D.E.Curve #:</t>
  </si>
  <si>
    <t>Prepared by:</t>
  </si>
  <si>
    <t>Checked by:</t>
  </si>
  <si>
    <t>114.9 lb-ft²</t>
  </si>
  <si>
    <t>503.2 lb-ft²</t>
  </si>
  <si>
    <t>FV (V)</t>
  </si>
  <si>
    <t>Thermal Limit &amp; Acceleration Curves</t>
  </si>
  <si>
    <t>Design Values (For Reference Only)</t>
  </si>
  <si>
    <t>Cold</t>
  </si>
  <si>
    <t>Hot</t>
  </si>
  <si>
    <t>CURRENT (%)</t>
  </si>
  <si>
    <t>Accel. Time</t>
  </si>
  <si>
    <t>Performance Curve</t>
  </si>
  <si>
    <t>Input Watts</t>
  </si>
  <si>
    <t>INDEX</t>
  </si>
  <si>
    <t>MPCF-1033</t>
  </si>
  <si>
    <t>Industrial Division / Houston Motor Plant</t>
  </si>
  <si>
    <t>SHEET NO.</t>
  </si>
  <si>
    <t>1 of 1</t>
  </si>
  <si>
    <t>ISSUED</t>
  </si>
  <si>
    <t>7/31/13</t>
  </si>
  <si>
    <t>SUPERSEDES</t>
  </si>
  <si>
    <t>11/8/96</t>
  </si>
  <si>
    <t>REVISION</t>
  </si>
  <si>
    <t>SQUIRREL CAGE INDUCTION MOTOR</t>
  </si>
  <si>
    <t>WRITTEN BY</t>
  </si>
  <si>
    <t>MDC</t>
  </si>
  <si>
    <t>PERFORMANCE SPECIFICATIONS</t>
  </si>
  <si>
    <t>APPROVED BY</t>
  </si>
  <si>
    <t>PAA</t>
  </si>
  <si>
    <t>CUSTOMER:</t>
  </si>
  <si>
    <t>TIC SR No.:</t>
  </si>
  <si>
    <t>MOTOR NAMEPLATE DATA</t>
  </si>
  <si>
    <t>H.P.:</t>
  </si>
  <si>
    <t>VOLTS:</t>
  </si>
  <si>
    <t>3 PH /</t>
  </si>
  <si>
    <t>S. RPM:</t>
  </si>
  <si>
    <t>FRAME:</t>
  </si>
  <si>
    <t>ENCL:</t>
  </si>
  <si>
    <t>FLAMPS:</t>
  </si>
  <si>
    <t>FORM:</t>
  </si>
  <si>
    <t>S.F.:</t>
  </si>
  <si>
    <t>NEMA DESIGN:</t>
  </si>
  <si>
    <t>INSUL CLASS:</t>
  </si>
  <si>
    <t>TYPE:</t>
  </si>
  <si>
    <t>AMB.:</t>
  </si>
  <si>
    <t>CODE:</t>
  </si>
  <si>
    <t>DUTY:</t>
  </si>
  <si>
    <t>Cont.</t>
  </si>
  <si>
    <t>MODEL No.:</t>
  </si>
  <si>
    <t>kW:</t>
  </si>
  <si>
    <t>NOM. EFF.:</t>
  </si>
  <si>
    <t>MIN. EFF.:</t>
  </si>
  <si>
    <t>P.F.:</t>
  </si>
  <si>
    <t>AMPERAGE</t>
  </si>
  <si>
    <t>TORQUES</t>
  </si>
  <si>
    <t>**BEARINGS:</t>
  </si>
  <si>
    <t>LOCKED ROTOR:</t>
  </si>
  <si>
    <t>FULL LOAD (lb-ft.):</t>
  </si>
  <si>
    <t>DRIVE END:</t>
  </si>
  <si>
    <t>REFER TO NP</t>
  </si>
  <si>
    <t>LOCKED ROTOR (%):</t>
  </si>
  <si>
    <t>OPPOSITE DRIVE END:</t>
  </si>
  <si>
    <t>BREAK DOWN (%):</t>
  </si>
  <si>
    <t>EFFICIENCY</t>
  </si>
  <si>
    <t>POWER FACTOR</t>
  </si>
  <si>
    <t>FULL LOAD:</t>
  </si>
  <si>
    <t>3/4 LOAD:</t>
  </si>
  <si>
    <t>1/2 LOAD:</t>
  </si>
  <si>
    <t>ALL CHARACTERISTICS ARE AVERAGE EXPECTED VALUES BASED UPON RATED VOLTAGE,</t>
  </si>
  <si>
    <t>FREQUENCY AND SINEWAVE POWER INPUT.</t>
  </si>
  <si>
    <t xml:space="preserve">THE DECLARED LOCKED ROTOR CURRENT HAS A TOLERANCE OF 20%.  </t>
  </si>
  <si>
    <t>* TEMPERATURE RISE WILL BE CONSISTENT WITH INSULATION, AMBIENT AND SERVICE FACTOR AS</t>
  </si>
  <si>
    <t>DEFINED BY NEMA-MG-12  OR  -20.</t>
  </si>
  <si>
    <t>** BEARINGS ARE THE ONLY RECOMMENDED SPARE PART(S).</t>
  </si>
  <si>
    <t>CERTIFIED BY:</t>
  </si>
  <si>
    <t>Zichao Xie</t>
  </si>
  <si>
    <t>DATE:</t>
  </si>
  <si>
    <t>6205ZZ</t>
  </si>
  <si>
    <t>TEFC</t>
  </si>
  <si>
    <t>6206UU</t>
  </si>
  <si>
    <t>ODP</t>
  </si>
  <si>
    <t>6207ZZ</t>
  </si>
  <si>
    <t>6208UU</t>
  </si>
  <si>
    <t>6211ZZ</t>
  </si>
  <si>
    <t>6211C3</t>
  </si>
  <si>
    <t>6211ZZC3</t>
  </si>
  <si>
    <t>6305UUC3</t>
  </si>
  <si>
    <t>6306UUC3</t>
  </si>
  <si>
    <t>6308C3</t>
  </si>
  <si>
    <t>6308UU</t>
  </si>
  <si>
    <t>6308ZC3</t>
  </si>
  <si>
    <t>6309UU</t>
  </si>
  <si>
    <t>6309UUC3</t>
  </si>
  <si>
    <t>6309C3</t>
  </si>
  <si>
    <t>6309C3XS</t>
  </si>
  <si>
    <t>6309ZC3</t>
  </si>
  <si>
    <t>6310ZZ</t>
  </si>
  <si>
    <t>6310C3</t>
  </si>
  <si>
    <t>6310C3XS</t>
  </si>
  <si>
    <t>6310ZZC3</t>
  </si>
  <si>
    <t>6312C3</t>
  </si>
  <si>
    <t>6312ZZ</t>
  </si>
  <si>
    <t>6312ZZC3</t>
  </si>
  <si>
    <t>6312C3XS</t>
  </si>
  <si>
    <t>6313ZZ</t>
  </si>
  <si>
    <t>6313ZZC3</t>
  </si>
  <si>
    <t>6313C3</t>
  </si>
  <si>
    <t>6314C3</t>
  </si>
  <si>
    <t>6317C3</t>
  </si>
  <si>
    <t>NU318</t>
  </si>
  <si>
    <t>6318C3</t>
  </si>
  <si>
    <t>NU318C3</t>
  </si>
  <si>
    <t>6320C3</t>
  </si>
  <si>
    <t>NU322</t>
  </si>
  <si>
    <t>NU322C3</t>
  </si>
  <si>
    <t>NU324C3</t>
  </si>
  <si>
    <t>6314C3XS</t>
  </si>
  <si>
    <t>6317C3XS</t>
  </si>
  <si>
    <t>TIKE</t>
  </si>
  <si>
    <t>60 Hz</t>
  </si>
  <si>
    <t>2300/4000</t>
  </si>
  <si>
    <t>152/88</t>
  </si>
  <si>
    <t>805/465</t>
  </si>
  <si>
    <t>WP-II</t>
  </si>
  <si>
    <t>1.15</t>
  </si>
  <si>
    <t>DT2700K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</si>
</sst>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81" formatCode="0.00000"/>
    <numFmt numFmtId="182" formatCode="0.0000"/>
    <numFmt numFmtId="183" formatCode="0.000"/>
    <numFmt numFmtId="184" formatCode="0.0"/>
    <numFmt numFmtId="188" formatCode="0.0%"/>
    <numFmt numFmtId="189" formatCode=".0000"/>
    <numFmt numFmtId="190" formatCode="mm/dd/yy"/>
    <numFmt numFmtId="191" formatCode="0.00_);\(0.00\)"/>
    <numFmt numFmtId="192" formatCode="General_)"/>
  </numFmts>
  <fonts count="81">
    <font>
      <sz val="10"/>
      <name val="Arial"/>
    </font>
    <font>
      <sz val="10"/>
      <name val="Arial"/>
      <family val="2"/>
    </font>
    <font>
      <sz val="10"/>
      <name val="Times New Roman"/>
      <family val="1"/>
    </font>
    <font>
      <i/>
      <sz val="10"/>
      <name val="Times New Roman"/>
      <family val="1"/>
    </font>
    <font>
      <b/>
      <i/>
      <sz val="10"/>
      <name val="Times New Roman"/>
      <family val="1"/>
    </font>
    <font>
      <sz val="8"/>
      <name val="Times New Roman"/>
      <family val="1"/>
    </font>
    <font>
      <b/>
      <sz val="14"/>
      <name val="Times New Roman"/>
      <family val="1"/>
    </font>
    <font>
      <i/>
      <sz val="10"/>
      <name val="Times New Roman"/>
      <family val="1"/>
    </font>
    <font>
      <sz val="8"/>
      <name val="Arial"/>
      <family val="2"/>
    </font>
    <font>
      <sz val="10"/>
      <name val="Times New Roman"/>
      <family val="1"/>
    </font>
    <font>
      <i/>
      <sz val="9"/>
      <name val="Times New Roman"/>
      <family val="1"/>
    </font>
    <font>
      <b/>
      <i/>
      <sz val="10"/>
      <name val="Times New Roman"/>
      <family val="1"/>
    </font>
    <font>
      <i/>
      <sz val="10"/>
      <name val="Times New Roman"/>
      <family val="1"/>
    </font>
    <font>
      <i/>
      <vertAlign val="superscript"/>
      <sz val="10"/>
      <name val="Times New Roman"/>
      <family val="1"/>
    </font>
    <font>
      <b/>
      <sz val="10"/>
      <name val="Times New Roman"/>
      <family val="1"/>
    </font>
    <font>
      <vertAlign val="superscript"/>
      <sz val="10"/>
      <name val="Arial"/>
      <family val="2"/>
    </font>
    <font>
      <b/>
      <sz val="10"/>
      <color indexed="12"/>
      <name val="Arial"/>
      <family val="2"/>
    </font>
    <font>
      <sz val="12"/>
      <name val="Arial"/>
      <family val="2"/>
    </font>
    <font>
      <sz val="10"/>
      <color indexed="10"/>
      <name val="Arial"/>
      <family val="2"/>
    </font>
    <font>
      <sz val="10"/>
      <color indexed="8"/>
      <name val="Times New Roman"/>
      <family val="1"/>
    </font>
    <font>
      <sz val="10"/>
      <color rgb="FFFF0000"/>
      <name val="Arial"/>
      <family val="2"/>
    </font>
    <font>
      <sz val="10"/>
      <color theme="1"/>
      <name val="Times New Roman"/>
      <family val="1"/>
    </font>
    <font>
      <sz val="10"/>
      <color theme="3"/>
      <name val="Times New Roman"/>
      <family val="1"/>
    </font>
    <font>
      <sz val="12"/>
      <name val="Univers (W1)"/>
    </font>
    <font>
      <b/>
      <sz val="16"/>
      <name val="Times New Roman"/>
      <family val="1"/>
    </font>
    <font>
      <sz val="9"/>
      <color indexed="8"/>
      <name val="Times New Roman"/>
      <family val="1"/>
    </font>
    <font>
      <sz val="12"/>
      <color indexed="8"/>
      <name val="Univers (W1)"/>
    </font>
    <font>
      <b/>
      <sz val="14"/>
      <color indexed="8"/>
      <name val="Times New Roman"/>
      <family val="1"/>
    </font>
    <font>
      <b/>
      <i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1"/>
      <color indexed="8"/>
      <name val="Times New Roman"/>
      <family val="1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0"/>
      <color indexed="8"/>
      <name val="Univers (W1)"/>
    </font>
    <font>
      <b/>
      <i/>
      <sz val="11"/>
      <color indexed="8"/>
      <name val="Times New Roman"/>
      <family val="1"/>
    </font>
    <font>
      <sz val="8"/>
      <color indexed="8"/>
      <name val="Times New Roman"/>
      <family val="1"/>
    </font>
    <font>
      <i/>
      <sz val="10"/>
      <color indexed="8"/>
      <name val="Times New Roman"/>
      <family val="1"/>
    </font>
    <font>
      <b/>
      <sz val="11"/>
      <color indexed="8"/>
      <name val="Univers (W1)"/>
      <family val="2"/>
    </font>
    <font>
      <b/>
      <sz val="10"/>
      <color indexed="8"/>
      <name val="Univers (W1)"/>
    </font>
    <font>
      <i/>
      <sz val="11"/>
      <color indexed="8"/>
      <name val="Times New Roman"/>
      <family val="1"/>
    </font>
    <font>
      <b/>
      <i/>
      <sz val="11"/>
      <color indexed="8"/>
      <name val="Univers (W1)"/>
      <family val="2"/>
    </font>
    <font>
      <i/>
      <sz val="11"/>
      <color indexed="8"/>
      <name val="Symbol"/>
      <family val="1"/>
      <charset val="2"/>
    </font>
    <font>
      <i/>
      <sz val="9"/>
      <color indexed="8"/>
      <name val="Times New Roman"/>
      <family val="1"/>
    </font>
    <font>
      <i/>
      <sz val="8"/>
      <color indexed="8"/>
      <name val="Times New Roman"/>
      <family val="1"/>
    </font>
    <font>
      <b/>
      <sz val="10"/>
      <color indexed="8"/>
      <name val="Times New Roman"/>
      <family val="1"/>
    </font>
    <font>
      <b/>
      <i/>
      <vertAlign val="superscript"/>
      <sz val="12"/>
      <color indexed="8"/>
      <name val="Times New Roman"/>
      <family val="1"/>
    </font>
    <font>
      <b/>
      <i/>
      <sz val="10"/>
      <color indexed="8"/>
      <name val="Times New Roman"/>
      <family val="1"/>
    </font>
    <font>
      <u/>
      <sz val="10"/>
      <color indexed="8"/>
      <name val="Univers (W1)"/>
    </font>
    <font>
      <sz val="20"/>
      <color indexed="8"/>
      <name val="WP Greek Century"/>
      <charset val="2"/>
    </font>
    <font>
      <sz val="10"/>
      <color indexed="8"/>
      <name val="WP Greek Century"/>
      <charset val="2"/>
    </font>
    <font>
      <b/>
      <i/>
      <sz val="12"/>
      <color indexed="8"/>
      <name val="Brush Script MT"/>
      <family val="4"/>
    </font>
    <font>
      <b/>
      <sz val="8"/>
      <color indexed="81"/>
      <name val="Tahoma"/>
      <family val="2"/>
    </font>
    <font>
      <sz val="8"/>
      <color indexed="81"/>
      <name val="Tahoma"/>
    </font>
    <font>
      <b/>
      <sz val="8"/>
      <color indexed="81"/>
      <name val="Tahoma"/>
    </font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12"/>
      <name val="Times New Roman"/>
      <family val="1"/>
    </font>
    <font>
      <i/>
      <sz val="12"/>
      <name val="Times New Roman"/>
      <family val="1"/>
    </font>
    <font>
      <b/>
      <i/>
      <sz val="12"/>
      <name val="Times New Roman"/>
      <family val="1"/>
    </font>
    <font>
      <sz val="14"/>
      <name val="Times New Roman"/>
      <family val="1"/>
    </font>
    <font>
      <b/>
      <u/>
      <sz val="22"/>
      <name val="Times New Roman"/>
      <family val="1"/>
    </font>
    <font>
      <b/>
      <u/>
      <sz val="16"/>
      <name val="Times New Roman"/>
      <family val="1"/>
    </font>
    <font>
      <b/>
      <i/>
      <sz val="14"/>
      <name val="Times New Roman"/>
      <family val="1"/>
    </font>
    <font>
      <b/>
      <i/>
      <u/>
      <sz val="14"/>
      <name val="Times New Roman"/>
      <family val="1"/>
    </font>
    <font>
      <sz val="10"/>
      <color indexed="9"/>
      <name val="Arial"/>
      <family val="2"/>
    </font>
    <font>
      <sz val="10"/>
      <color indexed="8"/>
      <name val="Arial"/>
      <family val="2"/>
    </font>
    <font>
      <sz val="12"/>
      <name val="Helv"/>
    </font>
    <font>
      <sz val="14"/>
      <name val="Univers (W1)"/>
      <family val="2"/>
    </font>
    <font>
      <sz val="8"/>
      <name val="Univers (W1)"/>
      <family val="2"/>
    </font>
    <font>
      <sz val="10"/>
      <name val="Univers (W1)"/>
      <family val="2"/>
    </font>
    <font>
      <sz val="12"/>
      <name val="Univers (W1)"/>
      <family val="2"/>
    </font>
    <font>
      <sz val="15"/>
      <name val="Univers (W1)"/>
      <family val="2"/>
    </font>
    <font>
      <sz val="12"/>
      <name val="Script"/>
      <family val="4"/>
      <charset val="255"/>
    </font>
    <font>
      <sz val="9"/>
      <name val="Univers (W1)"/>
      <family val="2"/>
    </font>
    <font>
      <sz val="13"/>
      <name val="Univers (W1)"/>
      <family val="2"/>
    </font>
    <font>
      <b/>
      <sz val="10"/>
      <name val="Univers (W1)"/>
      <family val="2"/>
    </font>
    <font>
      <sz val="9"/>
      <name val="Univers (W1)"/>
    </font>
    <font>
      <b/>
      <sz val="13"/>
      <name val="Univers (W1)"/>
      <family val="2"/>
    </font>
    <font>
      <sz val="12"/>
      <name val="Lucida Handwriting"/>
      <family val="4"/>
    </font>
  </fonts>
  <fills count="6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indexed="9"/>
        <bgColor indexed="64"/>
      </patternFill>
    </fill>
  </fills>
  <borders count="1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23"/>
      </right>
      <top/>
      <bottom/>
      <diagonal/>
    </border>
    <border>
      <left style="hair">
        <color indexed="23"/>
      </left>
      <right style="hair">
        <color indexed="23"/>
      </right>
      <top/>
      <bottom/>
      <diagonal/>
    </border>
    <border>
      <left style="medium">
        <color indexed="64"/>
      </left>
      <right style="hair">
        <color indexed="23"/>
      </right>
      <top/>
      <bottom style="hair">
        <color indexed="23"/>
      </bottom>
      <diagonal/>
    </border>
    <border>
      <left style="hair">
        <color indexed="23"/>
      </left>
      <right style="hair">
        <color indexed="23"/>
      </right>
      <top/>
      <bottom style="hair">
        <color indexed="23"/>
      </bottom>
      <diagonal/>
    </border>
    <border>
      <left style="hair">
        <color indexed="23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hair">
        <color indexed="23"/>
      </left>
      <right/>
      <top style="hair">
        <color indexed="55"/>
      </top>
      <bottom style="hair">
        <color indexed="55"/>
      </bottom>
      <diagonal/>
    </border>
    <border>
      <left/>
      <right style="thin">
        <color indexed="64"/>
      </right>
      <top style="hair">
        <color indexed="55"/>
      </top>
      <bottom style="hair">
        <color indexed="55"/>
      </bottom>
      <diagonal/>
    </border>
    <border>
      <left style="thin">
        <color indexed="64"/>
      </left>
      <right/>
      <top style="hair">
        <color indexed="23"/>
      </top>
      <bottom style="hair">
        <color indexed="23"/>
      </bottom>
      <diagonal/>
    </border>
    <border>
      <left/>
      <right/>
      <top style="hair">
        <color indexed="23"/>
      </top>
      <bottom style="hair">
        <color indexed="23"/>
      </bottom>
      <diagonal/>
    </border>
    <border>
      <left/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hair">
        <color indexed="23"/>
      </left>
      <right style="medium">
        <color indexed="64"/>
      </right>
      <top style="hair">
        <color indexed="23"/>
      </top>
      <bottom style="hair">
        <color indexed="23"/>
      </bottom>
      <diagonal/>
    </border>
    <border>
      <left style="thin">
        <color indexed="64"/>
      </left>
      <right/>
      <top/>
      <bottom style="hair">
        <color indexed="23"/>
      </bottom>
      <diagonal/>
    </border>
    <border>
      <left/>
      <right/>
      <top/>
      <bottom style="hair">
        <color indexed="23"/>
      </bottom>
      <diagonal/>
    </border>
    <border>
      <left/>
      <right style="hair">
        <color indexed="23"/>
      </right>
      <top/>
      <bottom style="hair">
        <color indexed="23"/>
      </bottom>
      <diagonal/>
    </border>
    <border>
      <left/>
      <right style="medium">
        <color indexed="64"/>
      </right>
      <top style="hair">
        <color indexed="23"/>
      </top>
      <bottom style="hair">
        <color indexed="23"/>
      </bottom>
      <diagonal/>
    </border>
    <border>
      <left style="medium">
        <color indexed="64"/>
      </left>
      <right/>
      <top style="hair">
        <color indexed="23"/>
      </top>
      <bottom style="hair">
        <color indexed="23"/>
      </bottom>
      <diagonal/>
    </border>
    <border>
      <left style="thin">
        <color indexed="64"/>
      </left>
      <right/>
      <top style="hair">
        <color indexed="23"/>
      </top>
      <bottom style="thin">
        <color indexed="64"/>
      </bottom>
      <diagonal/>
    </border>
    <border>
      <left/>
      <right/>
      <top style="hair">
        <color indexed="23"/>
      </top>
      <bottom style="thin">
        <color indexed="64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thin">
        <color indexed="64"/>
      </bottom>
      <diagonal/>
    </border>
    <border>
      <left/>
      <right style="medium">
        <color indexed="64"/>
      </right>
      <top style="hair">
        <color indexed="23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23"/>
      </bottom>
      <diagonal/>
    </border>
    <border>
      <left/>
      <right/>
      <top style="thin">
        <color indexed="64"/>
      </top>
      <bottom style="hair">
        <color indexed="23"/>
      </bottom>
      <diagonal/>
    </border>
    <border>
      <left/>
      <right style="medium">
        <color indexed="64"/>
      </right>
      <top style="thin">
        <color indexed="64"/>
      </top>
      <bottom style="hair">
        <color indexed="23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hair">
        <color indexed="23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23"/>
      </left>
      <right/>
      <top style="hair">
        <color indexed="23"/>
      </top>
      <bottom style="hair">
        <color indexed="23"/>
      </bottom>
      <diagonal/>
    </border>
    <border>
      <left style="thin">
        <color indexed="64"/>
      </left>
      <right/>
      <top style="hair">
        <color indexed="23"/>
      </top>
      <bottom/>
      <diagonal/>
    </border>
    <border>
      <left/>
      <right/>
      <top style="hair">
        <color indexed="23"/>
      </top>
      <bottom/>
      <diagonal/>
    </border>
    <border>
      <left style="medium">
        <color indexed="64"/>
      </left>
      <right/>
      <top style="hair">
        <color indexed="55"/>
      </top>
      <bottom style="hair">
        <color indexed="55"/>
      </bottom>
      <diagonal/>
    </border>
    <border>
      <left/>
      <right/>
      <top style="hair">
        <color indexed="55"/>
      </top>
      <bottom style="hair">
        <color indexed="55"/>
      </bottom>
      <diagonal/>
    </border>
    <border>
      <left/>
      <right style="hair">
        <color indexed="55"/>
      </right>
      <top style="hair">
        <color indexed="55"/>
      </top>
      <bottom style="hair">
        <color indexed="55"/>
      </bottom>
      <diagonal/>
    </border>
    <border>
      <left style="hair">
        <color indexed="55"/>
      </left>
      <right/>
      <top style="hair">
        <color indexed="55"/>
      </top>
      <bottom style="hair">
        <color indexed="55"/>
      </bottom>
      <diagonal/>
    </border>
    <border>
      <left/>
      <right style="hair">
        <color indexed="55"/>
      </right>
      <top style="hair">
        <color indexed="55"/>
      </top>
      <bottom style="hair">
        <color indexed="23"/>
      </bottom>
      <diagonal/>
    </border>
    <border>
      <left style="medium">
        <color indexed="64"/>
      </left>
      <right style="hair">
        <color indexed="23"/>
      </right>
      <top/>
      <bottom/>
      <diagonal/>
    </border>
    <border>
      <left style="hair">
        <color indexed="23"/>
      </left>
      <right/>
      <top style="hair">
        <color indexed="23"/>
      </top>
      <bottom/>
      <diagonal/>
    </border>
    <border>
      <left/>
      <right style="hair">
        <color indexed="23"/>
      </right>
      <top style="hair">
        <color indexed="23"/>
      </top>
      <bottom/>
      <diagonal/>
    </border>
    <border>
      <left/>
      <right style="medium">
        <color indexed="64"/>
      </right>
      <top style="hair">
        <color indexed="23"/>
      </top>
      <bottom/>
      <diagonal/>
    </border>
    <border>
      <left style="medium">
        <color indexed="64"/>
      </left>
      <right style="hair">
        <color indexed="23"/>
      </right>
      <top/>
      <bottom style="thin">
        <color indexed="64"/>
      </bottom>
      <diagonal/>
    </border>
    <border>
      <left/>
      <right style="hair">
        <color indexed="23"/>
      </right>
      <top style="hair">
        <color indexed="23"/>
      </top>
      <bottom style="thin">
        <color indexed="64"/>
      </bottom>
      <diagonal/>
    </border>
    <border>
      <left style="hair">
        <color indexed="23"/>
      </left>
      <right/>
      <top style="hair">
        <color indexed="55"/>
      </top>
      <bottom style="thin">
        <color indexed="64"/>
      </bottom>
      <diagonal/>
    </border>
    <border>
      <left/>
      <right style="thin">
        <color indexed="64"/>
      </right>
      <top style="hair">
        <color indexed="55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hair">
        <color indexed="23"/>
      </left>
      <right/>
      <top/>
      <bottom style="hair">
        <color indexed="23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23"/>
      </right>
      <top style="hair">
        <color indexed="64"/>
      </top>
      <bottom style="thin">
        <color indexed="64"/>
      </bottom>
      <diagonal/>
    </border>
    <border>
      <left style="hair">
        <color indexed="23"/>
      </left>
      <right/>
      <top style="hair">
        <color indexed="23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hair">
        <color indexed="23"/>
      </left>
      <right style="medium">
        <color indexed="64"/>
      </right>
      <top style="hair">
        <color indexed="23"/>
      </top>
      <bottom style="hair">
        <color indexed="55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55"/>
      </bottom>
      <diagonal/>
    </border>
    <border>
      <left/>
      <right style="hair">
        <color indexed="23"/>
      </right>
      <top/>
      <bottom style="hair">
        <color indexed="55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55"/>
      </bottom>
      <diagonal/>
    </border>
    <border>
      <left style="medium">
        <color indexed="64"/>
      </left>
      <right style="hair">
        <color indexed="23"/>
      </right>
      <top style="medium">
        <color indexed="64"/>
      </top>
      <bottom style="hair">
        <color indexed="64"/>
      </bottom>
      <diagonal/>
    </border>
    <border>
      <left style="hair">
        <color indexed="23"/>
      </left>
      <right/>
      <top style="medium">
        <color indexed="64"/>
      </top>
      <bottom style="hair">
        <color indexed="23"/>
      </bottom>
      <diagonal/>
    </border>
    <border>
      <left/>
      <right style="hair">
        <color indexed="23"/>
      </right>
      <top style="medium">
        <color indexed="64"/>
      </top>
      <bottom style="hair">
        <color indexed="23"/>
      </bottom>
      <diagonal/>
    </border>
    <border>
      <left/>
      <right/>
      <top style="medium">
        <color indexed="64"/>
      </top>
      <bottom style="hair">
        <color indexed="23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23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hair">
        <color indexed="23"/>
      </top>
      <bottom style="medium">
        <color indexed="64"/>
      </bottom>
      <diagonal/>
    </border>
    <border>
      <left/>
      <right style="hair">
        <color indexed="23"/>
      </right>
      <top style="hair">
        <color indexed="23"/>
      </top>
      <bottom style="medium">
        <color indexed="64"/>
      </bottom>
      <diagonal/>
    </border>
    <border>
      <left style="hair">
        <color indexed="23"/>
      </left>
      <right style="medium">
        <color indexed="64"/>
      </right>
      <top/>
      <bottom style="medium">
        <color indexed="64"/>
      </bottom>
      <diagonal/>
    </border>
    <border>
      <left/>
      <right/>
      <top style="hair">
        <color indexed="23"/>
      </top>
      <bottom style="medium">
        <color indexed="64"/>
      </bottom>
      <diagonal/>
    </border>
    <border>
      <left/>
      <right style="medium">
        <color indexed="64"/>
      </right>
      <top style="hair">
        <color indexed="23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8"/>
      </bottom>
      <diagonal/>
    </border>
    <border>
      <left/>
      <right/>
      <top style="medium">
        <color indexed="64"/>
      </top>
      <bottom style="double">
        <color indexed="8"/>
      </bottom>
      <diagonal/>
    </border>
    <border>
      <left/>
      <right style="medium">
        <color indexed="64"/>
      </right>
      <top style="medium">
        <color indexed="64"/>
      </top>
      <bottom style="double">
        <color indexed="8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medium">
        <color indexed="64"/>
      </left>
      <right/>
      <top/>
      <bottom style="dashed">
        <color indexed="64"/>
      </bottom>
      <diagonal/>
    </border>
    <border>
      <left/>
      <right/>
      <top/>
      <bottom style="thin">
        <color indexed="8"/>
      </bottom>
      <diagonal/>
    </border>
  </borders>
  <cellStyleXfs count="7">
    <xf numFmtId="0" fontId="0" fillId="0" borderId="0"/>
    <xf numFmtId="0" fontId="23" fillId="0" borderId="0"/>
    <xf numFmtId="0" fontId="23" fillId="0" borderId="0"/>
    <xf numFmtId="0" fontId="54" fillId="0" borderId="0"/>
    <xf numFmtId="0" fontId="1" fillId="0" borderId="0"/>
    <xf numFmtId="0" fontId="1" fillId="0" borderId="0"/>
    <xf numFmtId="192" fontId="68" fillId="0" borderId="0"/>
  </cellStyleXfs>
  <cellXfs count="679">
    <xf numFmtId="0" fontId="0" fillId="0" borderId="0" xfId="0"/>
    <xf numFmtId="0" fontId="2" fillId="0" borderId="0" xfId="0" applyFont="1"/>
    <xf numFmtId="0" fontId="0" fillId="0" borderId="0" xfId="0" applyAlignment="1">
      <alignment horizontal="centerContinuous"/>
    </xf>
    <xf numFmtId="0" fontId="2" fillId="0" borderId="0" xfId="0" applyFont="1" applyBorder="1"/>
    <xf numFmtId="0" fontId="3" fillId="0" borderId="1" xfId="0" applyFont="1" applyBorder="1" applyAlignment="1">
      <alignment horizontal="center"/>
    </xf>
    <xf numFmtId="0" fontId="4" fillId="0" borderId="2" xfId="0" applyFont="1" applyBorder="1"/>
    <xf numFmtId="0" fontId="3" fillId="0" borderId="3" xfId="0" applyFont="1" applyBorder="1"/>
    <xf numFmtId="0" fontId="2" fillId="0" borderId="3" xfId="0" applyFont="1" applyBorder="1"/>
    <xf numFmtId="0" fontId="2" fillId="0" borderId="4" xfId="0" applyFont="1" applyBorder="1"/>
    <xf numFmtId="0" fontId="3" fillId="0" borderId="1" xfId="0" applyFont="1" applyBorder="1" applyAlignment="1">
      <alignment horizontal="right"/>
    </xf>
    <xf numFmtId="0" fontId="3" fillId="0" borderId="3" xfId="0" applyFont="1" applyBorder="1" applyAlignment="1">
      <alignment horizontal="right"/>
    </xf>
    <xf numFmtId="0" fontId="3" fillId="0" borderId="4" xfId="0" applyFont="1" applyBorder="1" applyAlignment="1">
      <alignment horizontal="right"/>
    </xf>
    <xf numFmtId="0" fontId="4" fillId="0" borderId="5" xfId="0" applyFont="1" applyBorder="1" applyAlignment="1">
      <alignment horizontal="center"/>
    </xf>
    <xf numFmtId="0" fontId="4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3" fillId="0" borderId="9" xfId="0" applyFont="1" applyBorder="1" applyAlignment="1">
      <alignment horizontal="center"/>
    </xf>
    <xf numFmtId="0" fontId="3" fillId="0" borderId="4" xfId="0" applyFont="1" applyBorder="1"/>
    <xf numFmtId="0" fontId="2" fillId="0" borderId="0" xfId="0" applyFont="1" applyBorder="1" applyAlignment="1">
      <alignment horizontal="centerContinuous"/>
    </xf>
    <xf numFmtId="0" fontId="2" fillId="0" borderId="7" xfId="0" applyFont="1" applyBorder="1" applyAlignment="1">
      <alignment horizontal="centerContinuous"/>
    </xf>
    <xf numFmtId="0" fontId="2" fillId="0" borderId="10" xfId="0" applyFont="1" applyBorder="1"/>
    <xf numFmtId="0" fontId="3" fillId="0" borderId="11" xfId="0" applyFont="1" applyBorder="1" applyAlignment="1">
      <alignment horizontal="right"/>
    </xf>
    <xf numFmtId="0" fontId="3" fillId="0" borderId="7" xfId="0" applyFont="1" applyBorder="1" applyAlignment="1">
      <alignment horizontal="centerContinuous"/>
    </xf>
    <xf numFmtId="0" fontId="4" fillId="0" borderId="12" xfId="0" applyFont="1" applyBorder="1"/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2" xfId="0" applyFont="1" applyBorder="1" applyAlignment="1">
      <alignment horizontal="right"/>
    </xf>
    <xf numFmtId="0" fontId="2" fillId="0" borderId="14" xfId="0" applyFont="1" applyBorder="1"/>
    <xf numFmtId="0" fontId="4" fillId="0" borderId="15" xfId="0" applyFont="1" applyBorder="1"/>
    <xf numFmtId="0" fontId="2" fillId="0" borderId="14" xfId="0" applyFont="1" applyBorder="1" applyAlignment="1">
      <alignment horizontal="centerContinuous"/>
    </xf>
    <xf numFmtId="0" fontId="2" fillId="0" borderId="16" xfId="0" applyFont="1" applyBorder="1" applyAlignment="1">
      <alignment horizontal="centerContinuous"/>
    </xf>
    <xf numFmtId="0" fontId="3" fillId="0" borderId="9" xfId="0" applyFont="1" applyBorder="1" applyAlignment="1">
      <alignment horizontal="centerContinuous"/>
    </xf>
    <xf numFmtId="0" fontId="5" fillId="0" borderId="0" xfId="0" applyFont="1"/>
    <xf numFmtId="0" fontId="6" fillId="0" borderId="0" xfId="0" applyFont="1" applyAlignment="1">
      <alignment horizontal="centerContinuous"/>
    </xf>
    <xf numFmtId="0" fontId="2" fillId="0" borderId="17" xfId="0" applyFont="1" applyBorder="1" applyAlignment="1">
      <alignment horizontal="right"/>
    </xf>
    <xf numFmtId="0" fontId="3" fillId="0" borderId="18" xfId="0" applyFont="1" applyBorder="1" applyAlignment="1">
      <alignment horizontal="right"/>
    </xf>
    <xf numFmtId="0" fontId="3" fillId="0" borderId="19" xfId="0" applyFont="1" applyBorder="1" applyAlignment="1">
      <alignment horizontal="right"/>
    </xf>
    <xf numFmtId="0" fontId="3" fillId="0" borderId="20" xfId="0" applyFont="1" applyBorder="1" applyAlignment="1">
      <alignment horizontal="right"/>
    </xf>
    <xf numFmtId="0" fontId="2" fillId="0" borderId="21" xfId="0" applyFont="1" applyBorder="1"/>
    <xf numFmtId="0" fontId="3" fillId="0" borderId="22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2" fillId="0" borderId="13" xfId="0" applyFont="1" applyBorder="1"/>
    <xf numFmtId="0" fontId="4" fillId="0" borderId="0" xfId="0" applyFont="1" applyBorder="1"/>
    <xf numFmtId="0" fontId="7" fillId="0" borderId="0" xfId="0" applyFont="1" applyBorder="1" applyAlignment="1">
      <alignment horizontal="left"/>
    </xf>
    <xf numFmtId="0" fontId="3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21" xfId="0" applyFont="1" applyBorder="1"/>
    <xf numFmtId="0" fontId="5" fillId="0" borderId="23" xfId="0" applyFont="1" applyBorder="1"/>
    <xf numFmtId="0" fontId="5" fillId="0" borderId="24" xfId="0" applyFont="1" applyBorder="1"/>
    <xf numFmtId="0" fontId="3" fillId="0" borderId="0" xfId="0" applyFont="1" applyAlignment="1">
      <alignment horizontal="right"/>
    </xf>
    <xf numFmtId="0" fontId="2" fillId="0" borderId="25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30" xfId="0" applyFont="1" applyBorder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24" xfId="0" applyFont="1" applyBorder="1" applyAlignment="1">
      <alignment horizontal="center"/>
    </xf>
    <xf numFmtId="0" fontId="2" fillId="0" borderId="29" xfId="0" applyFont="1" applyBorder="1" applyAlignment="1">
      <alignment horizontal="centerContinuous"/>
    </xf>
    <xf numFmtId="0" fontId="2" fillId="0" borderId="31" xfId="0" applyFont="1" applyBorder="1" applyAlignment="1">
      <alignment horizontal="right"/>
    </xf>
    <xf numFmtId="0" fontId="3" fillId="0" borderId="26" xfId="0" applyFont="1" applyBorder="1" applyAlignment="1">
      <alignment horizontal="right"/>
    </xf>
    <xf numFmtId="0" fontId="3" fillId="0" borderId="30" xfId="0" applyFont="1" applyBorder="1" applyAlignment="1">
      <alignment horizontal="right"/>
    </xf>
    <xf numFmtId="0" fontId="3" fillId="0" borderId="28" xfId="0" applyFont="1" applyBorder="1" applyAlignment="1">
      <alignment horizontal="right"/>
    </xf>
    <xf numFmtId="182" fontId="2" fillId="0" borderId="1" xfId="0" applyNumberFormat="1" applyFont="1" applyBorder="1" applyAlignment="1">
      <alignment horizontal="center"/>
    </xf>
    <xf numFmtId="183" fontId="2" fillId="0" borderId="1" xfId="0" applyNumberFormat="1" applyFont="1" applyBorder="1" applyAlignment="1">
      <alignment horizontal="center"/>
    </xf>
    <xf numFmtId="2" fontId="2" fillId="0" borderId="1" xfId="0" applyNumberFormat="1" applyFont="1" applyBorder="1" applyAlignment="1">
      <alignment horizontal="center"/>
    </xf>
    <xf numFmtId="184" fontId="2" fillId="0" borderId="1" xfId="0" applyNumberFormat="1" applyFont="1" applyBorder="1" applyAlignment="1">
      <alignment horizontal="center"/>
    </xf>
    <xf numFmtId="182" fontId="2" fillId="0" borderId="9" xfId="0" applyNumberFormat="1" applyFont="1" applyBorder="1" applyAlignment="1">
      <alignment horizontal="center"/>
    </xf>
    <xf numFmtId="183" fontId="2" fillId="0" borderId="9" xfId="0" applyNumberFormat="1" applyFont="1" applyBorder="1" applyAlignment="1">
      <alignment horizontal="center"/>
    </xf>
    <xf numFmtId="2" fontId="2" fillId="0" borderId="9" xfId="0" applyNumberFormat="1" applyFont="1" applyBorder="1" applyAlignment="1">
      <alignment horizontal="center"/>
    </xf>
    <xf numFmtId="184" fontId="2" fillId="0" borderId="9" xfId="0" applyNumberFormat="1" applyFont="1" applyBorder="1" applyAlignment="1">
      <alignment horizontal="center"/>
    </xf>
    <xf numFmtId="2" fontId="2" fillId="0" borderId="16" xfId="0" applyNumberFormat="1" applyFont="1" applyBorder="1" applyAlignment="1">
      <alignment horizontal="center"/>
    </xf>
    <xf numFmtId="2" fontId="2" fillId="0" borderId="32" xfId="0" applyNumberFormat="1" applyFont="1" applyBorder="1" applyAlignment="1">
      <alignment horizontal="center"/>
    </xf>
    <xf numFmtId="183" fontId="2" fillId="0" borderId="25" xfId="0" applyNumberFormat="1" applyFont="1" applyBorder="1" applyAlignment="1">
      <alignment horizontal="center"/>
    </xf>
    <xf numFmtId="184" fontId="2" fillId="0" borderId="25" xfId="0" applyNumberFormat="1" applyFont="1" applyBorder="1" applyAlignment="1">
      <alignment horizontal="center"/>
    </xf>
    <xf numFmtId="183" fontId="2" fillId="0" borderId="11" xfId="0" applyNumberFormat="1" applyFont="1" applyBorder="1" applyAlignment="1">
      <alignment horizontal="center"/>
    </xf>
    <xf numFmtId="2" fontId="2" fillId="0" borderId="11" xfId="0" applyNumberFormat="1" applyFont="1" applyBorder="1" applyAlignment="1">
      <alignment horizontal="center"/>
    </xf>
    <xf numFmtId="183" fontId="2" fillId="0" borderId="33" xfId="0" applyNumberFormat="1" applyFont="1" applyBorder="1" applyAlignment="1">
      <alignment horizontal="center"/>
    </xf>
    <xf numFmtId="2" fontId="2" fillId="0" borderId="33" xfId="0" applyNumberFormat="1" applyFont="1" applyBorder="1" applyAlignment="1">
      <alignment horizontal="center"/>
    </xf>
    <xf numFmtId="184" fontId="2" fillId="0" borderId="33" xfId="0" applyNumberFormat="1" applyFont="1" applyBorder="1" applyAlignment="1">
      <alignment horizontal="center"/>
    </xf>
    <xf numFmtId="184" fontId="2" fillId="0" borderId="34" xfId="0" applyNumberFormat="1" applyFont="1" applyBorder="1" applyAlignment="1">
      <alignment horizontal="center"/>
    </xf>
    <xf numFmtId="184" fontId="2" fillId="0" borderId="10" xfId="0" applyNumberFormat="1" applyFont="1" applyBorder="1" applyAlignment="1">
      <alignment horizontal="center"/>
    </xf>
    <xf numFmtId="184" fontId="2" fillId="0" borderId="30" xfId="0" applyNumberFormat="1" applyFont="1" applyBorder="1" applyAlignment="1">
      <alignment horizontal="center"/>
    </xf>
    <xf numFmtId="184" fontId="2" fillId="0" borderId="35" xfId="0" applyNumberFormat="1" applyFont="1" applyBorder="1" applyAlignment="1">
      <alignment horizontal="center"/>
    </xf>
    <xf numFmtId="184" fontId="2" fillId="0" borderId="36" xfId="0" applyNumberFormat="1" applyFont="1" applyBorder="1" applyAlignment="1">
      <alignment horizontal="center"/>
    </xf>
    <xf numFmtId="184" fontId="2" fillId="0" borderId="37" xfId="0" applyNumberFormat="1" applyFont="1" applyBorder="1" applyAlignment="1">
      <alignment horizontal="center"/>
    </xf>
    <xf numFmtId="183" fontId="2" fillId="0" borderId="26" xfId="0" applyNumberFormat="1" applyFont="1" applyBorder="1" applyAlignment="1">
      <alignment horizontal="center"/>
    </xf>
    <xf numFmtId="184" fontId="2" fillId="0" borderId="38" xfId="0" applyNumberFormat="1" applyFont="1" applyBorder="1" applyAlignment="1">
      <alignment horizontal="center"/>
    </xf>
    <xf numFmtId="184" fontId="2" fillId="0" borderId="39" xfId="0" applyNumberFormat="1" applyFont="1" applyBorder="1" applyAlignment="1">
      <alignment horizontal="center"/>
    </xf>
    <xf numFmtId="184" fontId="2" fillId="0" borderId="26" xfId="0" applyNumberFormat="1" applyFont="1" applyBorder="1" applyAlignment="1">
      <alignment horizontal="center"/>
    </xf>
    <xf numFmtId="1" fontId="2" fillId="0" borderId="28" xfId="0" applyNumberFormat="1" applyFont="1" applyBorder="1" applyAlignment="1">
      <alignment horizontal="center"/>
    </xf>
    <xf numFmtId="2" fontId="2" fillId="0" borderId="21" xfId="0" applyNumberFormat="1" applyFont="1" applyBorder="1" applyAlignment="1">
      <alignment horizontal="center"/>
    </xf>
    <xf numFmtId="0" fontId="3" fillId="0" borderId="0" xfId="0" applyFont="1"/>
    <xf numFmtId="2" fontId="2" fillId="0" borderId="27" xfId="0" applyNumberFormat="1" applyFont="1" applyBorder="1" applyAlignment="1">
      <alignment horizontal="center"/>
    </xf>
    <xf numFmtId="2" fontId="9" fillId="0" borderId="40" xfId="0" applyNumberFormat="1" applyFont="1" applyBorder="1" applyAlignment="1">
      <alignment horizontal="centerContinuous"/>
    </xf>
    <xf numFmtId="0" fontId="9" fillId="0" borderId="40" xfId="0" applyFont="1" applyBorder="1" applyAlignment="1">
      <alignment horizontal="center"/>
    </xf>
    <xf numFmtId="0" fontId="9" fillId="0" borderId="29" xfId="0" applyFont="1" applyBorder="1" applyAlignment="1">
      <alignment horizontal="center"/>
    </xf>
    <xf numFmtId="0" fontId="9" fillId="0" borderId="23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1" xfId="0" applyFont="1" applyBorder="1" applyAlignment="1">
      <alignment horizontal="center"/>
    </xf>
    <xf numFmtId="184" fontId="2" fillId="0" borderId="42" xfId="0" applyNumberFormat="1" applyFont="1" applyBorder="1" applyAlignment="1">
      <alignment horizontal="center"/>
    </xf>
    <xf numFmtId="0" fontId="3" fillId="0" borderId="43" xfId="0" applyFont="1" applyBorder="1" applyAlignment="1">
      <alignment horizontal="center"/>
    </xf>
    <xf numFmtId="0" fontId="3" fillId="0" borderId="44" xfId="0" applyFont="1" applyBorder="1" applyAlignment="1">
      <alignment horizontal="center"/>
    </xf>
    <xf numFmtId="0" fontId="3" fillId="0" borderId="17" xfId="0" applyFont="1" applyBorder="1" applyAlignment="1">
      <alignment horizontal="centerContinuous"/>
    </xf>
    <xf numFmtId="0" fontId="4" fillId="0" borderId="12" xfId="0" applyFont="1" applyBorder="1" applyAlignment="1">
      <alignment horizontal="left"/>
    </xf>
    <xf numFmtId="0" fontId="3" fillId="0" borderId="45" xfId="0" applyFont="1" applyBorder="1"/>
    <xf numFmtId="0" fontId="2" fillId="0" borderId="16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2" fontId="2" fillId="0" borderId="25" xfId="0" applyNumberFormat="1" applyFont="1" applyBorder="1" applyAlignment="1">
      <alignment horizontal="center"/>
    </xf>
    <xf numFmtId="0" fontId="2" fillId="0" borderId="29" xfId="0" applyFont="1" applyBorder="1" applyAlignment="1">
      <alignment horizontal="left"/>
    </xf>
    <xf numFmtId="0" fontId="2" fillId="0" borderId="21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30" xfId="0" applyFont="1" applyBorder="1" applyAlignment="1">
      <alignment horizontal="left"/>
    </xf>
    <xf numFmtId="0" fontId="2" fillId="0" borderId="28" xfId="0" applyFont="1" applyBorder="1" applyAlignment="1">
      <alignment horizontal="left"/>
    </xf>
    <xf numFmtId="0" fontId="5" fillId="0" borderId="12" xfId="0" applyFont="1" applyBorder="1"/>
    <xf numFmtId="0" fontId="5" fillId="0" borderId="13" xfId="0" applyFont="1" applyBorder="1"/>
    <xf numFmtId="0" fontId="5" fillId="0" borderId="14" xfId="0" applyFont="1" applyBorder="1"/>
    <xf numFmtId="0" fontId="5" fillId="0" borderId="45" xfId="0" applyFont="1" applyBorder="1"/>
    <xf numFmtId="0" fontId="5" fillId="0" borderId="46" xfId="0" applyFont="1" applyBorder="1"/>
    <xf numFmtId="0" fontId="2" fillId="0" borderId="1" xfId="0" applyFont="1" applyBorder="1" applyAlignment="1">
      <alignment horizontal="left"/>
    </xf>
    <xf numFmtId="0" fontId="3" fillId="0" borderId="0" xfId="0" applyFont="1" applyAlignment="1">
      <alignment horizontal="centerContinuous"/>
    </xf>
    <xf numFmtId="2" fontId="3" fillId="0" borderId="20" xfId="0" quotePrefix="1" applyNumberFormat="1" applyFont="1" applyBorder="1" applyAlignment="1">
      <alignment horizontal="center"/>
    </xf>
    <xf numFmtId="2" fontId="3" fillId="0" borderId="47" xfId="0" quotePrefix="1" applyNumberFormat="1" applyFont="1" applyBorder="1" applyAlignment="1">
      <alignment horizontal="center"/>
    </xf>
    <xf numFmtId="2" fontId="3" fillId="0" borderId="30" xfId="0" quotePrefix="1" applyNumberFormat="1" applyFont="1" applyBorder="1" applyAlignment="1">
      <alignment horizontal="center"/>
    </xf>
    <xf numFmtId="2" fontId="3" fillId="0" borderId="30" xfId="0" applyNumberFormat="1" applyFont="1" applyBorder="1" applyAlignment="1">
      <alignment horizontal="center"/>
    </xf>
    <xf numFmtId="183" fontId="3" fillId="0" borderId="20" xfId="0" quotePrefix="1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1" fillId="0" borderId="7" xfId="0" applyFont="1" applyBorder="1" applyAlignment="1">
      <alignment horizontal="centerContinuous"/>
    </xf>
    <xf numFmtId="0" fontId="11" fillId="0" borderId="8" xfId="0" applyFont="1" applyBorder="1" applyAlignment="1">
      <alignment horizontal="centerContinuous"/>
    </xf>
    <xf numFmtId="2" fontId="2" fillId="0" borderId="48" xfId="0" applyNumberFormat="1" applyFont="1" applyBorder="1" applyAlignment="1">
      <alignment horizontal="center"/>
    </xf>
    <xf numFmtId="2" fontId="2" fillId="0" borderId="24" xfId="0" applyNumberFormat="1" applyFont="1" applyBorder="1" applyAlignment="1">
      <alignment horizontal="center"/>
    </xf>
    <xf numFmtId="0" fontId="2" fillId="0" borderId="7" xfId="0" applyFont="1" applyBorder="1" applyAlignment="1">
      <alignment horizontal="right"/>
    </xf>
    <xf numFmtId="0" fontId="3" fillId="0" borderId="49" xfId="0" applyFont="1" applyBorder="1" applyAlignment="1">
      <alignment horizontal="right"/>
    </xf>
    <xf numFmtId="184" fontId="14" fillId="0" borderId="1" xfId="0" applyNumberFormat="1" applyFont="1" applyBorder="1" applyAlignment="1">
      <alignment horizontal="center"/>
    </xf>
    <xf numFmtId="184" fontId="2" fillId="0" borderId="7" xfId="0" applyNumberFormat="1" applyFont="1" applyBorder="1" applyAlignment="1">
      <alignment horizontal="center"/>
    </xf>
    <xf numFmtId="184" fontId="2" fillId="0" borderId="8" xfId="0" applyNumberFormat="1" applyFont="1" applyBorder="1" applyAlignment="1">
      <alignment horizontal="center"/>
    </xf>
    <xf numFmtId="1" fontId="2" fillId="0" borderId="25" xfId="0" applyNumberFormat="1" applyFont="1" applyBorder="1" applyAlignment="1">
      <alignment horizontal="center"/>
    </xf>
    <xf numFmtId="0" fontId="2" fillId="0" borderId="50" xfId="0" applyFont="1" applyBorder="1"/>
    <xf numFmtId="0" fontId="1" fillId="0" borderId="45" xfId="0" applyFont="1" applyBorder="1"/>
    <xf numFmtId="0" fontId="1" fillId="0" borderId="3" xfId="0" applyFont="1" applyBorder="1"/>
    <xf numFmtId="0" fontId="1" fillId="0" borderId="13" xfId="0" applyFont="1" applyBorder="1"/>
    <xf numFmtId="49" fontId="2" fillId="0" borderId="7" xfId="0" applyNumberFormat="1" applyFont="1" applyBorder="1" applyAlignment="1">
      <alignment horizontal="center"/>
    </xf>
    <xf numFmtId="0" fontId="0" fillId="0" borderId="0" xfId="0" applyAlignment="1">
      <alignment horizontal="right"/>
    </xf>
    <xf numFmtId="2" fontId="0" fillId="0" borderId="0" xfId="0" applyNumberFormat="1" applyAlignment="1">
      <alignment horizontal="left"/>
    </xf>
    <xf numFmtId="18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16" fillId="0" borderId="0" xfId="0" applyFont="1"/>
    <xf numFmtId="182" fontId="0" fillId="0" borderId="0" xfId="0" applyNumberFormat="1"/>
    <xf numFmtId="184" fontId="0" fillId="0" borderId="0" xfId="0" applyNumberFormat="1"/>
    <xf numFmtId="188" fontId="2" fillId="2" borderId="1" xfId="0" applyNumberFormat="1" applyFont="1" applyFill="1" applyBorder="1" applyAlignment="1">
      <alignment horizontal="center"/>
    </xf>
    <xf numFmtId="0" fontId="2" fillId="3" borderId="0" xfId="0" applyFont="1" applyFill="1" applyBorder="1"/>
    <xf numFmtId="0" fontId="17" fillId="4" borderId="0" xfId="0" applyFont="1" applyFill="1"/>
    <xf numFmtId="0" fontId="5" fillId="4" borderId="0" xfId="0" applyFont="1" applyFill="1"/>
    <xf numFmtId="0" fontId="4" fillId="0" borderId="41" xfId="0" applyFont="1" applyBorder="1" applyAlignment="1">
      <alignment horizontal="center"/>
    </xf>
    <xf numFmtId="1" fontId="2" fillId="0" borderId="44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Continuous"/>
    </xf>
    <xf numFmtId="182" fontId="2" fillId="2" borderId="0" xfId="0" applyNumberFormat="1" applyFont="1" applyFill="1" applyBorder="1" applyAlignment="1">
      <alignment horizontal="center"/>
    </xf>
    <xf numFmtId="181" fontId="2" fillId="2" borderId="1" xfId="0" applyNumberFormat="1" applyFont="1" applyFill="1" applyBorder="1" applyAlignment="1">
      <alignment horizontal="center"/>
    </xf>
    <xf numFmtId="0" fontId="12" fillId="0" borderId="47" xfId="0" applyFont="1" applyBorder="1" applyAlignment="1">
      <alignment horizontal="right"/>
    </xf>
    <xf numFmtId="0" fontId="3" fillId="0" borderId="1" xfId="0" applyFont="1" applyBorder="1" applyAlignment="1"/>
    <xf numFmtId="0" fontId="3" fillId="0" borderId="11" xfId="0" applyFont="1" applyBorder="1" applyAlignment="1"/>
    <xf numFmtId="2" fontId="20" fillId="0" borderId="1" xfId="0" applyNumberFormat="1" applyFont="1" applyBorder="1" applyAlignment="1">
      <alignment horizontal="center"/>
    </xf>
    <xf numFmtId="184" fontId="20" fillId="0" borderId="9" xfId="0" applyNumberFormat="1" applyFont="1" applyBorder="1" applyAlignment="1">
      <alignment horizontal="center"/>
    </xf>
    <xf numFmtId="183" fontId="20" fillId="0" borderId="11" xfId="0" applyNumberFormat="1" applyFont="1" applyBorder="1" applyAlignment="1">
      <alignment horizontal="center"/>
    </xf>
    <xf numFmtId="2" fontId="20" fillId="0" borderId="11" xfId="0" applyNumberFormat="1" applyFont="1" applyBorder="1" applyAlignment="1">
      <alignment horizontal="center"/>
    </xf>
    <xf numFmtId="184" fontId="20" fillId="0" borderId="33" xfId="0" applyNumberFormat="1" applyFont="1" applyBorder="1" applyAlignment="1">
      <alignment horizontal="center"/>
    </xf>
    <xf numFmtId="1" fontId="0" fillId="0" borderId="0" xfId="0" applyNumberFormat="1" applyAlignment="1">
      <alignment horizontal="left"/>
    </xf>
    <xf numFmtId="14" fontId="3" fillId="0" borderId="0" xfId="0" applyNumberFormat="1" applyFont="1" applyAlignment="1">
      <alignment horizontal="center"/>
    </xf>
    <xf numFmtId="19" fontId="3" fillId="0" borderId="0" xfId="0" applyNumberFormat="1" applyFont="1"/>
    <xf numFmtId="2" fontId="21" fillId="0" borderId="1" xfId="0" applyNumberFormat="1" applyFont="1" applyBorder="1" applyAlignment="1">
      <alignment horizontal="center"/>
    </xf>
    <xf numFmtId="2" fontId="21" fillId="0" borderId="9" xfId="0" applyNumberFormat="1" applyFont="1" applyBorder="1" applyAlignment="1">
      <alignment horizontal="center"/>
    </xf>
    <xf numFmtId="183" fontId="21" fillId="0" borderId="1" xfId="0" applyNumberFormat="1" applyFont="1" applyBorder="1" applyAlignment="1">
      <alignment horizontal="center"/>
    </xf>
    <xf numFmtId="183" fontId="21" fillId="0" borderId="9" xfId="0" applyNumberFormat="1" applyFont="1" applyBorder="1" applyAlignment="1">
      <alignment horizontal="center"/>
    </xf>
    <xf numFmtId="182" fontId="21" fillId="0" borderId="1" xfId="0" applyNumberFormat="1" applyFont="1" applyBorder="1" applyAlignment="1">
      <alignment horizontal="center"/>
    </xf>
    <xf numFmtId="182" fontId="21" fillId="0" borderId="9" xfId="0" applyNumberFormat="1" applyFont="1" applyBorder="1" applyAlignment="1">
      <alignment horizontal="center"/>
    </xf>
    <xf numFmtId="184" fontId="21" fillId="0" borderId="1" xfId="0" applyNumberFormat="1" applyFont="1" applyBorder="1" applyAlignment="1">
      <alignment horizontal="center"/>
    </xf>
    <xf numFmtId="184" fontId="21" fillId="0" borderId="9" xfId="0" applyNumberFormat="1" applyFont="1" applyBorder="1" applyAlignment="1">
      <alignment horizontal="center"/>
    </xf>
    <xf numFmtId="183" fontId="21" fillId="0" borderId="11" xfId="0" applyNumberFormat="1" applyFont="1" applyBorder="1" applyAlignment="1">
      <alignment horizontal="center"/>
    </xf>
    <xf numFmtId="183" fontId="22" fillId="0" borderId="31" xfId="0" applyNumberFormat="1" applyFont="1" applyBorder="1" applyAlignment="1">
      <alignment horizontal="center"/>
    </xf>
    <xf numFmtId="183" fontId="22" fillId="0" borderId="51" xfId="0" applyNumberFormat="1" applyFont="1" applyBorder="1" applyAlignment="1">
      <alignment horizontal="center"/>
    </xf>
    <xf numFmtId="183" fontId="22" fillId="0" borderId="32" xfId="0" applyNumberFormat="1" applyFont="1" applyBorder="1" applyAlignment="1">
      <alignment horizontal="center"/>
    </xf>
    <xf numFmtId="0" fontId="24" fillId="0" borderId="0" xfId="1" applyFont="1" applyAlignment="1">
      <alignment horizontal="center"/>
    </xf>
    <xf numFmtId="0" fontId="25" fillId="0" borderId="0" xfId="1" applyFont="1" applyFill="1"/>
    <xf numFmtId="0" fontId="26" fillId="0" borderId="0" xfId="1" applyFont="1" applyFill="1"/>
    <xf numFmtId="0" fontId="27" fillId="5" borderId="0" xfId="1" applyFont="1" applyFill="1" applyAlignment="1">
      <alignment horizontal="center"/>
    </xf>
    <xf numFmtId="0" fontId="28" fillId="5" borderId="0" xfId="1" applyFont="1" applyFill="1" applyAlignment="1">
      <alignment horizontal="right"/>
    </xf>
    <xf numFmtId="0" fontId="29" fillId="5" borderId="0" xfId="1" applyFont="1" applyFill="1"/>
    <xf numFmtId="0" fontId="30" fillId="5" borderId="0" xfId="1" applyFont="1" applyFill="1"/>
    <xf numFmtId="0" fontId="27" fillId="5" borderId="0" xfId="1" applyFont="1" applyFill="1" applyAlignment="1">
      <alignment horizontal="center"/>
    </xf>
    <xf numFmtId="0" fontId="29" fillId="5" borderId="23" xfId="1" applyFont="1" applyFill="1" applyBorder="1" applyAlignment="1">
      <alignment horizontal="center"/>
    </xf>
    <xf numFmtId="0" fontId="31" fillId="0" borderId="52" xfId="1" applyFont="1" applyBorder="1" applyAlignment="1">
      <alignment horizontal="left" vertical="center"/>
    </xf>
    <xf numFmtId="0" fontId="31" fillId="0" borderId="53" xfId="1" applyFont="1" applyBorder="1" applyAlignment="1">
      <alignment vertical="center"/>
    </xf>
    <xf numFmtId="0" fontId="23" fillId="0" borderId="53" xfId="1" applyBorder="1"/>
    <xf numFmtId="0" fontId="31" fillId="0" borderId="54" xfId="1" applyFont="1" applyBorder="1" applyAlignment="1">
      <alignment horizontal="right" vertical="center"/>
    </xf>
    <xf numFmtId="0" fontId="19" fillId="0" borderId="0" xfId="1" applyFont="1" applyFill="1"/>
    <xf numFmtId="0" fontId="32" fillId="0" borderId="52" xfId="1" applyFont="1" applyFill="1" applyBorder="1"/>
    <xf numFmtId="0" fontId="19" fillId="0" borderId="54" xfId="1" applyFont="1" applyFill="1" applyBorder="1"/>
    <xf numFmtId="0" fontId="32" fillId="0" borderId="54" xfId="1" applyFont="1" applyFill="1" applyBorder="1"/>
    <xf numFmtId="0" fontId="33" fillId="0" borderId="0" xfId="1" applyFont="1" applyFill="1"/>
    <xf numFmtId="0" fontId="34" fillId="5" borderId="12" xfId="1" applyFont="1" applyFill="1" applyBorder="1" applyAlignment="1">
      <alignment horizontal="left"/>
    </xf>
    <xf numFmtId="0" fontId="34" fillId="5" borderId="13" xfId="1" applyFont="1" applyFill="1" applyBorder="1" applyAlignment="1">
      <alignment horizontal="left"/>
    </xf>
    <xf numFmtId="0" fontId="34" fillId="5" borderId="13" xfId="1" applyFont="1" applyFill="1" applyBorder="1" applyAlignment="1">
      <alignment horizontal="center"/>
    </xf>
    <xf numFmtId="0" fontId="34" fillId="5" borderId="55" xfId="1" applyFont="1" applyFill="1" applyBorder="1" applyAlignment="1">
      <alignment horizontal="center"/>
    </xf>
    <xf numFmtId="0" fontId="34" fillId="5" borderId="0" xfId="1" quotePrefix="1" applyFont="1" applyFill="1" applyBorder="1" applyAlignment="1">
      <alignment horizontal="left"/>
    </xf>
    <xf numFmtId="0" fontId="30" fillId="5" borderId="0" xfId="1" applyFont="1" applyFill="1" applyBorder="1"/>
    <xf numFmtId="0" fontId="35" fillId="5" borderId="56" xfId="1" applyFont="1" applyFill="1" applyBorder="1" applyAlignment="1">
      <alignment horizontal="right"/>
    </xf>
    <xf numFmtId="0" fontId="34" fillId="5" borderId="57" xfId="1" applyFont="1" applyFill="1" applyBorder="1" applyAlignment="1">
      <alignment horizontal="center"/>
    </xf>
    <xf numFmtId="0" fontId="34" fillId="5" borderId="21" xfId="1" applyFont="1" applyFill="1" applyBorder="1" applyAlignment="1">
      <alignment horizontal="center"/>
    </xf>
    <xf numFmtId="0" fontId="32" fillId="0" borderId="45" xfId="1" applyFont="1" applyFill="1" applyBorder="1"/>
    <xf numFmtId="0" fontId="19" fillId="0" borderId="21" xfId="1" applyFont="1" applyFill="1" applyBorder="1"/>
    <xf numFmtId="0" fontId="32" fillId="0" borderId="21" xfId="1" applyFont="1" applyFill="1" applyBorder="1"/>
    <xf numFmtId="0" fontId="36" fillId="0" borderId="58" xfId="1" applyFont="1" applyFill="1" applyBorder="1" applyAlignment="1">
      <alignment horizontal="left"/>
    </xf>
    <xf numFmtId="0" fontId="36" fillId="0" borderId="59" xfId="1" applyFont="1" applyFill="1" applyBorder="1" applyAlignment="1">
      <alignment horizontal="left"/>
    </xf>
    <xf numFmtId="0" fontId="37" fillId="5" borderId="60" xfId="1" applyFont="1" applyFill="1" applyBorder="1" applyAlignment="1">
      <alignment horizontal="center"/>
    </xf>
    <xf numFmtId="0" fontId="37" fillId="5" borderId="56" xfId="1" applyFont="1" applyFill="1" applyBorder="1" applyAlignment="1">
      <alignment horizontal="center"/>
    </xf>
    <xf numFmtId="0" fontId="28" fillId="5" borderId="61" xfId="1" applyFont="1" applyFill="1" applyBorder="1" applyAlignment="1">
      <alignment horizontal="left"/>
    </xf>
    <xf numFmtId="0" fontId="28" fillId="5" borderId="62" xfId="1" applyFont="1" applyFill="1" applyBorder="1" applyAlignment="1">
      <alignment horizontal="left"/>
    </xf>
    <xf numFmtId="0" fontId="28" fillId="5" borderId="27" xfId="1" applyFont="1" applyFill="1" applyBorder="1" applyAlignment="1">
      <alignment horizontal="left"/>
    </xf>
    <xf numFmtId="0" fontId="36" fillId="0" borderId="63" xfId="1" applyFont="1" applyFill="1" applyBorder="1" applyAlignment="1">
      <alignment horizontal="left"/>
    </xf>
    <xf numFmtId="0" fontId="36" fillId="0" borderId="64" xfId="1" applyFont="1" applyFill="1" applyBorder="1" applyAlignment="1">
      <alignment horizontal="left"/>
    </xf>
    <xf numFmtId="2" fontId="38" fillId="0" borderId="65" xfId="1" applyNumberFormat="1" applyFont="1" applyFill="1" applyBorder="1" applyAlignment="1">
      <alignment horizontal="center"/>
    </xf>
    <xf numFmtId="2" fontId="38" fillId="0" borderId="66" xfId="1" applyNumberFormat="1" applyFont="1" applyFill="1" applyBorder="1" applyAlignment="1">
      <alignment horizontal="center"/>
    </xf>
    <xf numFmtId="0" fontId="36" fillId="5" borderId="67" xfId="1" applyFont="1" applyFill="1" applyBorder="1"/>
    <xf numFmtId="0" fontId="36" fillId="5" borderId="68" xfId="1" applyFont="1" applyFill="1" applyBorder="1"/>
    <xf numFmtId="0" fontId="39" fillId="5" borderId="68" xfId="1" applyFont="1" applyFill="1" applyBorder="1"/>
    <xf numFmtId="0" fontId="39" fillId="5" borderId="69" xfId="1" applyFont="1" applyFill="1" applyBorder="1"/>
    <xf numFmtId="184" fontId="38" fillId="5" borderId="64" xfId="1" applyNumberFormat="1" applyFont="1" applyFill="1" applyBorder="1" applyAlignment="1">
      <alignment horizontal="center"/>
    </xf>
    <xf numFmtId="0" fontId="38" fillId="5" borderId="70" xfId="1" applyFont="1" applyFill="1" applyBorder="1" applyAlignment="1">
      <alignment horizontal="center"/>
    </xf>
    <xf numFmtId="0" fontId="38" fillId="0" borderId="65" xfId="1" applyFont="1" applyFill="1" applyBorder="1" applyAlignment="1">
      <alignment horizontal="center"/>
    </xf>
    <xf numFmtId="0" fontId="38" fillId="0" borderId="66" xfId="1" applyFont="1" applyFill="1" applyBorder="1" applyAlignment="1">
      <alignment horizontal="center"/>
    </xf>
    <xf numFmtId="0" fontId="36" fillId="5" borderId="71" xfId="1" applyFont="1" applyFill="1" applyBorder="1"/>
    <xf numFmtId="0" fontId="36" fillId="5" borderId="72" xfId="1" applyFont="1" applyFill="1" applyBorder="1"/>
    <xf numFmtId="0" fontId="39" fillId="5" borderId="72" xfId="1" applyFont="1" applyFill="1" applyBorder="1"/>
    <xf numFmtId="0" fontId="39" fillId="5" borderId="73" xfId="1" applyFont="1" applyFill="1" applyBorder="1"/>
    <xf numFmtId="1" fontId="38" fillId="5" borderId="64" xfId="1" applyNumberFormat="1" applyFont="1" applyFill="1" applyBorder="1" applyAlignment="1">
      <alignment horizontal="center"/>
    </xf>
    <xf numFmtId="0" fontId="38" fillId="5" borderId="74" xfId="1" applyFont="1" applyFill="1" applyBorder="1" applyAlignment="1">
      <alignment horizontal="center"/>
    </xf>
    <xf numFmtId="0" fontId="36" fillId="0" borderId="75" xfId="1" applyFont="1" applyFill="1" applyBorder="1" applyAlignment="1">
      <alignment horizontal="left"/>
    </xf>
    <xf numFmtId="0" fontId="36" fillId="0" borderId="68" xfId="1" applyFont="1" applyFill="1" applyBorder="1" applyAlignment="1">
      <alignment horizontal="left"/>
    </xf>
    <xf numFmtId="0" fontId="36" fillId="0" borderId="69" xfId="1" applyFont="1" applyFill="1" applyBorder="1" applyAlignment="1">
      <alignment horizontal="left"/>
    </xf>
    <xf numFmtId="0" fontId="40" fillId="5" borderId="68" xfId="1" applyFont="1" applyFill="1" applyBorder="1"/>
    <xf numFmtId="0" fontId="41" fillId="5" borderId="69" xfId="1" applyFont="1" applyFill="1" applyBorder="1" applyAlignment="1">
      <alignment horizontal="left"/>
    </xf>
    <xf numFmtId="0" fontId="38" fillId="5" borderId="64" xfId="1" applyFont="1" applyFill="1" applyBorder="1" applyAlignment="1">
      <alignment horizontal="center"/>
    </xf>
    <xf numFmtId="184" fontId="38" fillId="5" borderId="65" xfId="1" applyNumberFormat="1" applyFont="1" applyFill="1" applyBorder="1" applyAlignment="1">
      <alignment horizontal="center"/>
    </xf>
    <xf numFmtId="184" fontId="38" fillId="5" borderId="66" xfId="1" applyNumberFormat="1" applyFont="1" applyFill="1" applyBorder="1" applyAlignment="1">
      <alignment horizontal="center"/>
    </xf>
    <xf numFmtId="0" fontId="32" fillId="0" borderId="46" xfId="1" applyFont="1" applyFill="1" applyBorder="1"/>
    <xf numFmtId="0" fontId="32" fillId="0" borderId="24" xfId="1" applyFont="1" applyFill="1" applyBorder="1"/>
    <xf numFmtId="0" fontId="38" fillId="5" borderId="65" xfId="1" applyFont="1" applyFill="1" applyBorder="1" applyAlignment="1">
      <alignment horizontal="center"/>
    </xf>
    <xf numFmtId="0" fontId="38" fillId="5" borderId="66" xfId="1" applyFont="1" applyFill="1" applyBorder="1" applyAlignment="1">
      <alignment horizontal="center"/>
    </xf>
    <xf numFmtId="0" fontId="36" fillId="5" borderId="76" xfId="1" applyFont="1" applyFill="1" applyBorder="1"/>
    <xf numFmtId="0" fontId="36" fillId="5" borderId="77" xfId="1" applyFont="1" applyFill="1" applyBorder="1"/>
    <xf numFmtId="0" fontId="40" fillId="5" borderId="77" xfId="1" applyFont="1" applyFill="1" applyBorder="1"/>
    <xf numFmtId="0" fontId="38" fillId="5" borderId="78" xfId="1" applyFont="1" applyFill="1" applyBorder="1" applyAlignment="1">
      <alignment horizontal="center"/>
    </xf>
    <xf numFmtId="0" fontId="38" fillId="5" borderId="79" xfId="1" applyFont="1" applyFill="1" applyBorder="1" applyAlignment="1">
      <alignment horizontal="center"/>
    </xf>
    <xf numFmtId="0" fontId="19" fillId="0" borderId="24" xfId="1" applyFont="1" applyFill="1" applyBorder="1"/>
    <xf numFmtId="0" fontId="36" fillId="5" borderId="63" xfId="1" quotePrefix="1" applyFont="1" applyFill="1" applyBorder="1" applyAlignment="1">
      <alignment horizontal="left"/>
    </xf>
    <xf numFmtId="0" fontId="33" fillId="0" borderId="69" xfId="1" applyFont="1" applyFill="1" applyBorder="1"/>
    <xf numFmtId="184" fontId="38" fillId="0" borderId="65" xfId="1" applyNumberFormat="1" applyFont="1" applyFill="1" applyBorder="1" applyAlignment="1">
      <alignment horizontal="center"/>
    </xf>
    <xf numFmtId="184" fontId="38" fillId="0" borderId="66" xfId="1" applyNumberFormat="1" applyFont="1" applyFill="1" applyBorder="1" applyAlignment="1">
      <alignment horizontal="center"/>
    </xf>
    <xf numFmtId="0" fontId="28" fillId="0" borderId="80" xfId="1" applyFont="1" applyFill="1" applyBorder="1" applyAlignment="1">
      <alignment horizontal="left"/>
    </xf>
    <xf numFmtId="0" fontId="28" fillId="0" borderId="81" xfId="1" applyFont="1" applyFill="1" applyBorder="1" applyAlignment="1">
      <alignment horizontal="left"/>
    </xf>
    <xf numFmtId="0" fontId="28" fillId="0" borderId="82" xfId="1" applyFont="1" applyFill="1" applyBorder="1" applyAlignment="1">
      <alignment horizontal="left"/>
    </xf>
    <xf numFmtId="1" fontId="38" fillId="5" borderId="65" xfId="1" applyNumberFormat="1" applyFont="1" applyFill="1" applyBorder="1" applyAlignment="1">
      <alignment horizontal="center"/>
    </xf>
    <xf numFmtId="1" fontId="38" fillId="5" borderId="66" xfId="1" applyNumberFormat="1" applyFont="1" applyFill="1" applyBorder="1" applyAlignment="1">
      <alignment horizontal="center"/>
    </xf>
    <xf numFmtId="0" fontId="36" fillId="5" borderId="83" xfId="1" quotePrefix="1" applyFont="1" applyFill="1" applyBorder="1" applyAlignment="1">
      <alignment horizontal="left"/>
    </xf>
    <xf numFmtId="0" fontId="36" fillId="5" borderId="59" xfId="1" applyFont="1" applyFill="1" applyBorder="1"/>
    <xf numFmtId="0" fontId="39" fillId="5" borderId="59" xfId="1" applyFont="1" applyFill="1" applyBorder="1"/>
    <xf numFmtId="0" fontId="43" fillId="5" borderId="59" xfId="1" applyFont="1" applyFill="1" applyBorder="1" applyAlignment="1">
      <alignment horizontal="right"/>
    </xf>
    <xf numFmtId="49" fontId="38" fillId="5" borderId="59" xfId="1" applyNumberFormat="1" applyFont="1" applyFill="1" applyBorder="1" applyAlignment="1">
      <alignment horizontal="center"/>
    </xf>
    <xf numFmtId="0" fontId="38" fillId="5" borderId="84" xfId="1" applyFont="1" applyFill="1" applyBorder="1" applyAlignment="1">
      <alignment horizontal="center"/>
    </xf>
    <xf numFmtId="0" fontId="36" fillId="5" borderId="64" xfId="1" applyFont="1" applyFill="1" applyBorder="1"/>
    <xf numFmtId="0" fontId="39" fillId="5" borderId="64" xfId="1" applyFont="1" applyFill="1" applyBorder="1"/>
    <xf numFmtId="0" fontId="36" fillId="5" borderId="75" xfId="1" applyFont="1" applyFill="1" applyBorder="1" applyAlignment="1">
      <alignment horizontal="left"/>
    </xf>
    <xf numFmtId="0" fontId="36" fillId="5" borderId="68" xfId="1" applyFont="1" applyFill="1" applyBorder="1" applyAlignment="1">
      <alignment horizontal="left"/>
    </xf>
    <xf numFmtId="0" fontId="36" fillId="5" borderId="69" xfId="1" applyFont="1" applyFill="1" applyBorder="1" applyAlignment="1">
      <alignment horizontal="left"/>
    </xf>
    <xf numFmtId="2" fontId="38" fillId="5" borderId="65" xfId="1" applyNumberFormat="1" applyFont="1" applyFill="1" applyBorder="1" applyAlignment="1">
      <alignment horizontal="center"/>
    </xf>
    <xf numFmtId="2" fontId="38" fillId="5" borderId="66" xfId="1" applyNumberFormat="1" applyFont="1" applyFill="1" applyBorder="1" applyAlignment="1">
      <alignment horizontal="center"/>
    </xf>
    <xf numFmtId="0" fontId="36" fillId="5" borderId="75" xfId="1" quotePrefix="1" applyFont="1" applyFill="1" applyBorder="1" applyAlignment="1">
      <alignment horizontal="left"/>
    </xf>
    <xf numFmtId="0" fontId="36" fillId="5" borderId="68" xfId="1" quotePrefix="1" applyFont="1" applyFill="1" applyBorder="1" applyAlignment="1">
      <alignment horizontal="left"/>
    </xf>
    <xf numFmtId="0" fontId="36" fillId="5" borderId="69" xfId="1" quotePrefix="1" applyFont="1" applyFill="1" applyBorder="1" applyAlignment="1">
      <alignment horizontal="left"/>
    </xf>
    <xf numFmtId="0" fontId="36" fillId="5" borderId="85" xfId="1" quotePrefix="1" applyFont="1" applyFill="1" applyBorder="1" applyAlignment="1">
      <alignment horizontal="left"/>
    </xf>
    <xf numFmtId="0" fontId="36" fillId="5" borderId="78" xfId="1" applyFont="1" applyFill="1" applyBorder="1"/>
    <xf numFmtId="0" fontId="39" fillId="5" borderId="78" xfId="1" applyFont="1" applyFill="1" applyBorder="1"/>
    <xf numFmtId="0" fontId="36" fillId="5" borderId="63" xfId="1" applyFont="1" applyFill="1" applyBorder="1" applyAlignment="1">
      <alignment horizontal="left"/>
    </xf>
    <xf numFmtId="0" fontId="19" fillId="5" borderId="86" xfId="1" applyFont="1" applyFill="1" applyBorder="1"/>
    <xf numFmtId="0" fontId="19" fillId="5" borderId="69" xfId="1" applyFont="1" applyFill="1" applyBorder="1"/>
    <xf numFmtId="0" fontId="36" fillId="5" borderId="63" xfId="1" applyFont="1" applyFill="1" applyBorder="1"/>
    <xf numFmtId="0" fontId="19" fillId="5" borderId="68" xfId="1" applyFont="1" applyFill="1" applyBorder="1"/>
    <xf numFmtId="0" fontId="36" fillId="5" borderId="87" xfId="1" applyFont="1" applyFill="1" applyBorder="1" applyAlignment="1">
      <alignment horizontal="center"/>
    </xf>
    <xf numFmtId="0" fontId="36" fillId="5" borderId="88" xfId="1" applyFont="1" applyFill="1" applyBorder="1" applyAlignment="1">
      <alignment horizontal="center"/>
    </xf>
    <xf numFmtId="0" fontId="36" fillId="5" borderId="86" xfId="1" applyFont="1" applyFill="1" applyBorder="1"/>
    <xf numFmtId="0" fontId="43" fillId="5" borderId="69" xfId="1" applyFont="1" applyFill="1" applyBorder="1" applyAlignment="1">
      <alignment horizontal="right"/>
    </xf>
    <xf numFmtId="0" fontId="36" fillId="5" borderId="89" xfId="1" applyFont="1" applyFill="1" applyBorder="1" applyAlignment="1">
      <alignment horizontal="left"/>
    </xf>
    <xf numFmtId="0" fontId="36" fillId="5" borderId="90" xfId="1" applyFont="1" applyFill="1" applyBorder="1" applyAlignment="1">
      <alignment horizontal="left"/>
    </xf>
    <xf numFmtId="0" fontId="36" fillId="5" borderId="91" xfId="1" applyFont="1" applyFill="1" applyBorder="1" applyAlignment="1">
      <alignment horizontal="left"/>
    </xf>
    <xf numFmtId="0" fontId="38" fillId="5" borderId="92" xfId="1" applyFont="1" applyFill="1" applyBorder="1" applyAlignment="1">
      <alignment horizontal="center"/>
    </xf>
    <xf numFmtId="0" fontId="36" fillId="5" borderId="83" xfId="1" applyFont="1" applyFill="1" applyBorder="1" applyAlignment="1">
      <alignment horizontal="center"/>
    </xf>
    <xf numFmtId="0" fontId="36" fillId="5" borderId="0" xfId="1" applyFont="1" applyFill="1" applyBorder="1" applyAlignment="1">
      <alignment horizontal="center"/>
    </xf>
    <xf numFmtId="0" fontId="36" fillId="5" borderId="58" xfId="1" quotePrefix="1" applyFont="1" applyFill="1" applyBorder="1" applyAlignment="1">
      <alignment horizontal="left"/>
    </xf>
    <xf numFmtId="0" fontId="33" fillId="0" borderId="93" xfId="1" applyFont="1" applyFill="1" applyBorder="1"/>
    <xf numFmtId="0" fontId="38" fillId="0" borderId="92" xfId="1" applyFont="1" applyFill="1" applyBorder="1" applyAlignment="1">
      <alignment horizontal="center"/>
    </xf>
    <xf numFmtId="0" fontId="36" fillId="5" borderId="86" xfId="1" quotePrefix="1" applyFont="1" applyFill="1" applyBorder="1" applyAlignment="1">
      <alignment horizontal="left"/>
    </xf>
    <xf numFmtId="0" fontId="19" fillId="5" borderId="64" xfId="1" applyFont="1" applyFill="1" applyBorder="1"/>
    <xf numFmtId="189" fontId="38" fillId="5" borderId="65" xfId="1" applyNumberFormat="1" applyFont="1" applyFill="1" applyBorder="1" applyAlignment="1">
      <alignment horizontal="center"/>
    </xf>
    <xf numFmtId="189" fontId="38" fillId="5" borderId="66" xfId="1" applyNumberFormat="1" applyFont="1" applyFill="1" applyBorder="1" applyAlignment="1">
      <alignment horizontal="center"/>
    </xf>
    <xf numFmtId="0" fontId="36" fillId="5" borderId="94" xfId="1" applyFont="1" applyFill="1" applyBorder="1" applyAlignment="1">
      <alignment horizontal="left"/>
    </xf>
    <xf numFmtId="0" fontId="36" fillId="5" borderId="68" xfId="1" quotePrefix="1" applyFont="1" applyFill="1" applyBorder="1" applyAlignment="1">
      <alignment horizontal="center"/>
    </xf>
    <xf numFmtId="0" fontId="19" fillId="5" borderId="69" xfId="1" quotePrefix="1" applyFont="1" applyFill="1" applyBorder="1" applyAlignment="1">
      <alignment horizontal="center"/>
    </xf>
    <xf numFmtId="0" fontId="36" fillId="5" borderId="95" xfId="1" applyFont="1" applyFill="1" applyBorder="1"/>
    <xf numFmtId="0" fontId="33" fillId="0" borderId="96" xfId="1" applyFont="1" applyFill="1" applyBorder="1"/>
    <xf numFmtId="0" fontId="38" fillId="0" borderId="96" xfId="1" applyNumberFormat="1" applyFont="1" applyFill="1" applyBorder="1" applyAlignment="1">
      <alignment horizontal="center"/>
    </xf>
    <xf numFmtId="0" fontId="38" fillId="0" borderId="97" xfId="1" applyFont="1" applyFill="1" applyBorder="1" applyAlignment="1">
      <alignment horizontal="center"/>
    </xf>
    <xf numFmtId="0" fontId="36" fillId="5" borderId="98" xfId="1" applyFont="1" applyFill="1" applyBorder="1" applyAlignment="1">
      <alignment horizontal="center"/>
    </xf>
    <xf numFmtId="0" fontId="36" fillId="5" borderId="77" xfId="1" quotePrefix="1" applyFont="1" applyFill="1" applyBorder="1" applyAlignment="1">
      <alignment horizontal="center"/>
    </xf>
    <xf numFmtId="0" fontId="19" fillId="5" borderId="99" xfId="1" quotePrefix="1" applyFont="1" applyFill="1" applyBorder="1" applyAlignment="1">
      <alignment horizontal="center"/>
    </xf>
    <xf numFmtId="1" fontId="38" fillId="5" borderId="100" xfId="1" applyNumberFormat="1" applyFont="1" applyFill="1" applyBorder="1" applyAlignment="1">
      <alignment horizontal="center"/>
    </xf>
    <xf numFmtId="1" fontId="38" fillId="5" borderId="101" xfId="1" applyNumberFormat="1" applyFont="1" applyFill="1" applyBorder="1" applyAlignment="1">
      <alignment horizontal="center"/>
    </xf>
    <xf numFmtId="0" fontId="38" fillId="0" borderId="69" xfId="1" applyNumberFormat="1" applyFont="1" applyFill="1" applyBorder="1" applyAlignment="1">
      <alignment horizontal="center"/>
    </xf>
    <xf numFmtId="0" fontId="38" fillId="0" borderId="74" xfId="1" applyFont="1" applyFill="1" applyBorder="1" applyAlignment="1">
      <alignment horizontal="center"/>
    </xf>
    <xf numFmtId="0" fontId="38" fillId="0" borderId="46" xfId="1" applyFont="1" applyFill="1" applyBorder="1"/>
    <xf numFmtId="0" fontId="44" fillId="0" borderId="24" xfId="1" applyFont="1" applyFill="1" applyBorder="1"/>
    <xf numFmtId="0" fontId="28" fillId="0" borderId="102" xfId="1" applyFont="1" applyFill="1" applyBorder="1" applyAlignment="1">
      <alignment horizontal="left"/>
    </xf>
    <xf numFmtId="0" fontId="28" fillId="0" borderId="62" xfId="1" applyFont="1" applyFill="1" applyBorder="1" applyAlignment="1">
      <alignment horizontal="left"/>
    </xf>
    <xf numFmtId="0" fontId="46" fillId="5" borderId="103" xfId="1" applyFont="1" applyFill="1" applyBorder="1" applyAlignment="1">
      <alignment horizontal="center"/>
    </xf>
    <xf numFmtId="184" fontId="38" fillId="0" borderId="69" xfId="1" applyNumberFormat="1" applyFont="1" applyFill="1" applyBorder="1" applyAlignment="1">
      <alignment horizontal="center"/>
    </xf>
    <xf numFmtId="0" fontId="36" fillId="5" borderId="104" xfId="1" applyFont="1" applyFill="1" applyBorder="1" applyAlignment="1">
      <alignment horizontal="left"/>
    </xf>
    <xf numFmtId="0" fontId="19" fillId="5" borderId="105" xfId="1" applyFont="1" applyFill="1" applyBorder="1"/>
    <xf numFmtId="0" fontId="19" fillId="5" borderId="106" xfId="1" applyFont="1" applyFill="1" applyBorder="1"/>
    <xf numFmtId="0" fontId="38" fillId="5" borderId="107" xfId="1" applyFont="1" applyFill="1" applyBorder="1" applyAlignment="1">
      <alignment horizontal="center"/>
    </xf>
    <xf numFmtId="0" fontId="36" fillId="5" borderId="85" xfId="1" applyFont="1" applyFill="1" applyBorder="1" applyAlignment="1">
      <alignment horizontal="center"/>
    </xf>
    <xf numFmtId="0" fontId="36" fillId="5" borderId="40" xfId="1" applyFont="1" applyFill="1" applyBorder="1" applyAlignment="1">
      <alignment horizontal="center"/>
    </xf>
    <xf numFmtId="0" fontId="33" fillId="0" borderId="107" xfId="1" applyFont="1" applyFill="1" applyBorder="1" applyAlignment="1">
      <alignment horizontal="left"/>
    </xf>
    <xf numFmtId="0" fontId="33" fillId="0" borderId="77" xfId="1" applyFont="1" applyFill="1" applyBorder="1" applyAlignment="1">
      <alignment horizontal="left"/>
    </xf>
    <xf numFmtId="0" fontId="33" fillId="0" borderId="78" xfId="1" applyFont="1" applyFill="1" applyBorder="1"/>
    <xf numFmtId="0" fontId="33" fillId="0" borderId="79" xfId="1" applyFont="1" applyFill="1" applyBorder="1"/>
    <xf numFmtId="0" fontId="28" fillId="0" borderId="102" xfId="1" applyFont="1" applyFill="1" applyBorder="1" applyAlignment="1">
      <alignment horizontal="left"/>
    </xf>
    <xf numFmtId="0" fontId="28" fillId="0" borderId="62" xfId="1" applyFont="1" applyFill="1" applyBorder="1" applyAlignment="1">
      <alignment horizontal="left"/>
    </xf>
    <xf numFmtId="0" fontId="33" fillId="0" borderId="45" xfId="1" applyFont="1" applyFill="1" applyBorder="1" applyAlignment="1">
      <alignment horizontal="center"/>
    </xf>
    <xf numFmtId="0" fontId="33" fillId="0" borderId="0" xfId="1" applyFont="1" applyFill="1" applyBorder="1" applyAlignment="1">
      <alignment horizontal="center"/>
    </xf>
    <xf numFmtId="0" fontId="33" fillId="0" borderId="108" xfId="1" applyFont="1" applyFill="1" applyBorder="1" applyAlignment="1">
      <alignment horizontal="center"/>
    </xf>
    <xf numFmtId="0" fontId="33" fillId="0" borderId="87" xfId="1" applyFont="1" applyFill="1" applyBorder="1"/>
    <xf numFmtId="0" fontId="36" fillId="5" borderId="96" xfId="1" applyFont="1" applyFill="1" applyBorder="1"/>
    <xf numFmtId="0" fontId="43" fillId="5" borderId="64" xfId="1" applyFont="1" applyFill="1" applyBorder="1" applyAlignment="1">
      <alignment horizontal="right" shrinkToFit="1"/>
    </xf>
    <xf numFmtId="0" fontId="38" fillId="5" borderId="109" xfId="1" applyFont="1" applyFill="1" applyBorder="1" applyAlignment="1">
      <alignment horizontal="center"/>
    </xf>
    <xf numFmtId="0" fontId="36" fillId="5" borderId="83" xfId="1" applyFont="1" applyFill="1" applyBorder="1"/>
    <xf numFmtId="0" fontId="36" fillId="5" borderId="56" xfId="1" applyFont="1" applyFill="1" applyBorder="1"/>
    <xf numFmtId="0" fontId="43" fillId="5" borderId="64" xfId="1" applyFont="1" applyFill="1" applyBorder="1" applyAlignment="1">
      <alignment horizontal="right"/>
    </xf>
    <xf numFmtId="2" fontId="38" fillId="5" borderId="64" xfId="1" applyNumberFormat="1" applyFont="1" applyFill="1" applyBorder="1" applyAlignment="1">
      <alignment horizontal="center"/>
    </xf>
    <xf numFmtId="0" fontId="33" fillId="0" borderId="110" xfId="1" applyFont="1" applyFill="1" applyBorder="1" applyAlignment="1">
      <alignment horizontal="center"/>
    </xf>
    <xf numFmtId="0" fontId="33" fillId="0" borderId="40" xfId="1" applyFont="1" applyFill="1" applyBorder="1" applyAlignment="1">
      <alignment horizontal="center"/>
    </xf>
    <xf numFmtId="0" fontId="33" fillId="0" borderId="39" xfId="1" applyFont="1" applyFill="1" applyBorder="1" applyAlignment="1">
      <alignment horizontal="center"/>
    </xf>
    <xf numFmtId="0" fontId="43" fillId="5" borderId="56" xfId="1" applyFont="1" applyFill="1" applyBorder="1" applyAlignment="1">
      <alignment horizontal="right"/>
    </xf>
    <xf numFmtId="0" fontId="43" fillId="5" borderId="64" xfId="1" applyFont="1" applyFill="1" applyBorder="1"/>
    <xf numFmtId="0" fontId="47" fillId="0" borderId="0" xfId="1" applyFont="1" applyFill="1"/>
    <xf numFmtId="0" fontId="28" fillId="0" borderId="38" xfId="1" applyFont="1" applyFill="1" applyBorder="1" applyAlignment="1">
      <alignment horizontal="left"/>
    </xf>
    <xf numFmtId="0" fontId="36" fillId="5" borderId="111" xfId="1" applyFont="1" applyFill="1" applyBorder="1"/>
    <xf numFmtId="0" fontId="36" fillId="5" borderId="112" xfId="1" applyFont="1" applyFill="1" applyBorder="1"/>
    <xf numFmtId="0" fontId="36" fillId="5" borderId="113" xfId="1" applyFont="1" applyFill="1" applyBorder="1"/>
    <xf numFmtId="0" fontId="43" fillId="5" borderId="113" xfId="1" applyFont="1" applyFill="1" applyBorder="1"/>
    <xf numFmtId="184" fontId="38" fillId="5" borderId="113" xfId="1" applyNumberFormat="1" applyFont="1" applyFill="1" applyBorder="1" applyAlignment="1">
      <alignment horizontal="center"/>
    </xf>
    <xf numFmtId="0" fontId="36" fillId="5" borderId="73" xfId="1" applyFont="1" applyFill="1" applyBorder="1"/>
    <xf numFmtId="0" fontId="36" fillId="5" borderId="103" xfId="1" applyFont="1" applyFill="1" applyBorder="1" applyAlignment="1">
      <alignment horizontal="left"/>
    </xf>
    <xf numFmtId="0" fontId="36" fillId="5" borderId="73" xfId="1" applyFont="1" applyFill="1" applyBorder="1" applyAlignment="1">
      <alignment horizontal="left"/>
    </xf>
    <xf numFmtId="1" fontId="38" fillId="5" borderId="59" xfId="1" applyNumberFormat="1" applyFont="1" applyFill="1" applyBorder="1" applyAlignment="1">
      <alignment horizontal="center"/>
    </xf>
    <xf numFmtId="0" fontId="48" fillId="0" borderId="0" xfId="1" quotePrefix="1" applyFont="1" applyFill="1" applyAlignment="1">
      <alignment horizontal="left"/>
    </xf>
    <xf numFmtId="0" fontId="33" fillId="0" borderId="0" xfId="2" applyFont="1" applyFill="1"/>
    <xf numFmtId="0" fontId="36" fillId="5" borderId="0" xfId="1" applyFont="1" applyFill="1" applyBorder="1"/>
    <xf numFmtId="0" fontId="36" fillId="5" borderId="86" xfId="1" applyFont="1" applyFill="1" applyBorder="1" applyAlignment="1">
      <alignment horizontal="left"/>
    </xf>
    <xf numFmtId="0" fontId="36" fillId="5" borderId="69" xfId="1" applyFont="1" applyFill="1" applyBorder="1" applyAlignment="1">
      <alignment horizontal="left"/>
    </xf>
    <xf numFmtId="184" fontId="38" fillId="5" borderId="70" xfId="1" applyNumberFormat="1" applyFont="1" applyFill="1" applyBorder="1" applyAlignment="1">
      <alignment horizontal="center"/>
    </xf>
    <xf numFmtId="1" fontId="33" fillId="0" borderId="0" xfId="1" applyNumberFormat="1" applyFont="1" applyFill="1"/>
    <xf numFmtId="0" fontId="36" fillId="5" borderId="40" xfId="1" applyFont="1" applyFill="1" applyBorder="1"/>
    <xf numFmtId="0" fontId="36" fillId="5" borderId="107" xfId="1" applyFont="1" applyFill="1" applyBorder="1" applyAlignment="1">
      <alignment horizontal="left"/>
    </xf>
    <xf numFmtId="0" fontId="36" fillId="5" borderId="99" xfId="1" applyFont="1" applyFill="1" applyBorder="1" applyAlignment="1">
      <alignment horizontal="left"/>
    </xf>
    <xf numFmtId="1" fontId="38" fillId="5" borderId="78" xfId="1" applyNumberFormat="1" applyFont="1" applyFill="1" applyBorder="1" applyAlignment="1">
      <alignment horizontal="center"/>
    </xf>
    <xf numFmtId="0" fontId="28" fillId="5" borderId="80" xfId="1" applyFont="1" applyFill="1" applyBorder="1" applyAlignment="1">
      <alignment horizontal="left"/>
    </xf>
    <xf numFmtId="0" fontId="28" fillId="5" borderId="81" xfId="1" applyFont="1" applyFill="1" applyBorder="1" applyAlignment="1">
      <alignment horizontal="left"/>
    </xf>
    <xf numFmtId="0" fontId="28" fillId="5" borderId="82" xfId="1" applyFont="1" applyFill="1" applyBorder="1" applyAlignment="1">
      <alignment horizontal="left"/>
    </xf>
    <xf numFmtId="0" fontId="30" fillId="5" borderId="83" xfId="1" applyFont="1" applyFill="1" applyBorder="1"/>
    <xf numFmtId="0" fontId="33" fillId="5" borderId="72" xfId="1" applyFont="1" applyFill="1" applyBorder="1" applyAlignment="1">
      <alignment horizontal="left"/>
    </xf>
    <xf numFmtId="0" fontId="33" fillId="5" borderId="84" xfId="1" applyFont="1" applyFill="1" applyBorder="1" applyAlignment="1">
      <alignment horizontal="left"/>
    </xf>
    <xf numFmtId="0" fontId="30" fillId="5" borderId="68" xfId="1" applyFont="1" applyFill="1" applyBorder="1" applyAlignment="1">
      <alignment horizontal="left"/>
    </xf>
    <xf numFmtId="0" fontId="30" fillId="5" borderId="74" xfId="1" applyFont="1" applyFill="1" applyBorder="1" applyAlignment="1">
      <alignment horizontal="left"/>
    </xf>
    <xf numFmtId="0" fontId="49" fillId="0" borderId="0" xfId="1" applyFont="1" applyFill="1"/>
    <xf numFmtId="0" fontId="33" fillId="0" borderId="46" xfId="1" applyFont="1" applyFill="1" applyBorder="1" applyAlignment="1">
      <alignment horizontal="center"/>
    </xf>
    <xf numFmtId="0" fontId="33" fillId="0" borderId="23" xfId="1" applyFont="1" applyFill="1" applyBorder="1" applyAlignment="1">
      <alignment horizontal="center"/>
    </xf>
    <xf numFmtId="0" fontId="33" fillId="0" borderId="48" xfId="1" applyFont="1" applyFill="1" applyBorder="1" applyAlignment="1">
      <alignment horizontal="center"/>
    </xf>
    <xf numFmtId="0" fontId="36" fillId="0" borderId="114" xfId="1" applyFont="1" applyFill="1" applyBorder="1"/>
    <xf numFmtId="0" fontId="50" fillId="5" borderId="115" xfId="1" applyFont="1" applyFill="1" applyBorder="1" applyAlignment="1">
      <alignment horizontal="center"/>
    </xf>
    <xf numFmtId="0" fontId="50" fillId="5" borderId="116" xfId="1" applyFont="1" applyFill="1" applyBorder="1" applyAlignment="1">
      <alignment horizontal="center"/>
    </xf>
    <xf numFmtId="0" fontId="36" fillId="5" borderId="117" xfId="1" applyFont="1" applyFill="1" applyBorder="1"/>
    <xf numFmtId="0" fontId="30" fillId="5" borderId="45" xfId="1" applyFont="1" applyFill="1" applyBorder="1"/>
    <xf numFmtId="0" fontId="36" fillId="5" borderId="119" xfId="1" applyFont="1" applyFill="1" applyBorder="1"/>
    <xf numFmtId="14" fontId="19" fillId="5" borderId="120" xfId="1" applyNumberFormat="1" applyFont="1" applyFill="1" applyBorder="1" applyAlignment="1">
      <alignment horizontal="center"/>
    </xf>
    <xf numFmtId="14" fontId="19" fillId="5" borderId="121" xfId="1" applyNumberFormat="1" applyFont="1" applyFill="1" applyBorder="1" applyAlignment="1">
      <alignment horizontal="center"/>
    </xf>
    <xf numFmtId="0" fontId="36" fillId="5" borderId="23" xfId="1" applyFont="1" applyFill="1" applyBorder="1"/>
    <xf numFmtId="0" fontId="30" fillId="0" borderId="23" xfId="1" applyFont="1" applyFill="1" applyBorder="1"/>
    <xf numFmtId="0" fontId="30" fillId="5" borderId="123" xfId="1" applyFont="1" applyFill="1" applyBorder="1" applyAlignment="1">
      <alignment horizontal="left"/>
    </xf>
    <xf numFmtId="0" fontId="30" fillId="5" borderId="124" xfId="1" applyFont="1" applyFill="1" applyBorder="1" applyAlignment="1">
      <alignment horizontal="left"/>
    </xf>
    <xf numFmtId="0" fontId="30" fillId="0" borderId="0" xfId="1" applyFont="1" applyFill="1"/>
    <xf numFmtId="0" fontId="30" fillId="0" borderId="0" xfId="1" applyFont="1" applyFill="1" applyBorder="1"/>
    <xf numFmtId="0" fontId="54" fillId="0" borderId="6" xfId="3" applyBorder="1"/>
    <xf numFmtId="0" fontId="54" fillId="0" borderId="7" xfId="3" applyBorder="1"/>
    <xf numFmtId="0" fontId="54" fillId="0" borderId="41" xfId="3" applyBorder="1"/>
    <xf numFmtId="0" fontId="54" fillId="0" borderId="41" xfId="3" applyBorder="1" applyAlignment="1">
      <alignment horizontal="center"/>
    </xf>
    <xf numFmtId="0" fontId="55" fillId="0" borderId="41" xfId="3" applyFont="1" applyBorder="1" applyAlignment="1">
      <alignment horizontal="center"/>
    </xf>
    <xf numFmtId="0" fontId="54" fillId="0" borderId="0" xfId="3"/>
    <xf numFmtId="0" fontId="56" fillId="0" borderId="45" xfId="3" applyFont="1" applyBorder="1" applyAlignment="1">
      <alignment horizontal="center"/>
    </xf>
    <xf numFmtId="0" fontId="56" fillId="0" borderId="0" xfId="3" applyFont="1" applyBorder="1" applyAlignment="1">
      <alignment horizontal="center"/>
    </xf>
    <xf numFmtId="0" fontId="56" fillId="0" borderId="125" xfId="3" applyFont="1" applyBorder="1" applyAlignment="1">
      <alignment horizontal="center"/>
    </xf>
    <xf numFmtId="0" fontId="54" fillId="0" borderId="125" xfId="3" applyBorder="1" applyAlignment="1">
      <alignment horizontal="center"/>
    </xf>
    <xf numFmtId="0" fontId="55" fillId="0" borderId="125" xfId="3" applyFont="1" applyBorder="1" applyAlignment="1">
      <alignment horizontal="center"/>
    </xf>
    <xf numFmtId="0" fontId="56" fillId="0" borderId="45" xfId="3" applyFont="1" applyBorder="1" applyAlignment="1">
      <alignment horizontal="center"/>
    </xf>
    <xf numFmtId="0" fontId="56" fillId="0" borderId="0" xfId="3" applyFont="1" applyBorder="1" applyAlignment="1">
      <alignment horizontal="center"/>
    </xf>
    <xf numFmtId="0" fontId="54" fillId="0" borderId="45" xfId="3" applyBorder="1"/>
    <xf numFmtId="0" fontId="57" fillId="0" borderId="0" xfId="3" applyFont="1"/>
    <xf numFmtId="0" fontId="54" fillId="0" borderId="125" xfId="3" applyBorder="1"/>
    <xf numFmtId="0" fontId="55" fillId="0" borderId="0" xfId="3" applyFont="1"/>
    <xf numFmtId="0" fontId="55" fillId="0" borderId="125" xfId="3" applyFont="1" applyBorder="1"/>
    <xf numFmtId="190" fontId="54" fillId="0" borderId="3" xfId="3" applyNumberFormat="1" applyBorder="1"/>
    <xf numFmtId="49" fontId="54" fillId="0" borderId="1" xfId="3" applyNumberFormat="1" applyBorder="1" applyAlignment="1">
      <alignment horizontal="center"/>
    </xf>
    <xf numFmtId="49" fontId="54" fillId="0" borderId="1" xfId="3" applyNumberFormat="1" applyBorder="1"/>
    <xf numFmtId="49" fontId="55" fillId="0" borderId="1" xfId="3" applyNumberFormat="1" applyFont="1" applyBorder="1"/>
    <xf numFmtId="191" fontId="55" fillId="0" borderId="1" xfId="3" applyNumberFormat="1" applyFont="1" applyBorder="1"/>
    <xf numFmtId="0" fontId="54" fillId="0" borderId="1" xfId="3" applyBorder="1"/>
    <xf numFmtId="0" fontId="54" fillId="0" borderId="9" xfId="3" applyBorder="1"/>
    <xf numFmtId="191" fontId="54" fillId="0" borderId="1" xfId="3" applyNumberFormat="1" applyBorder="1"/>
    <xf numFmtId="0" fontId="54" fillId="0" borderId="1" xfId="3" applyBorder="1" applyAlignment="1">
      <alignment horizontal="center"/>
    </xf>
    <xf numFmtId="190" fontId="54" fillId="0" borderId="18" xfId="3" applyNumberFormat="1" applyBorder="1"/>
    <xf numFmtId="49" fontId="54" fillId="0" borderId="26" xfId="3" applyNumberFormat="1" applyBorder="1"/>
    <xf numFmtId="191" fontId="54" fillId="0" borderId="26" xfId="3" applyNumberFormat="1" applyBorder="1"/>
    <xf numFmtId="0" fontId="54" fillId="0" borderId="26" xfId="3" applyBorder="1"/>
    <xf numFmtId="0" fontId="54" fillId="0" borderId="126" xfId="3" applyBorder="1"/>
    <xf numFmtId="0" fontId="56" fillId="0" borderId="53" xfId="3" applyFont="1" applyBorder="1" applyAlignment="1">
      <alignment horizontal="center"/>
    </xf>
    <xf numFmtId="0" fontId="55" fillId="0" borderId="127" xfId="3" applyFont="1" applyBorder="1" applyAlignment="1">
      <alignment horizontal="center"/>
    </xf>
    <xf numFmtId="0" fontId="55" fillId="0" borderId="15" xfId="3" applyFont="1" applyBorder="1" applyAlignment="1">
      <alignment horizontal="center"/>
    </xf>
    <xf numFmtId="0" fontId="55" fillId="0" borderId="7" xfId="3" applyFont="1" applyBorder="1" applyAlignment="1">
      <alignment horizontal="center"/>
    </xf>
    <xf numFmtId="0" fontId="55" fillId="0" borderId="128" xfId="3" applyFont="1" applyBorder="1" applyAlignment="1">
      <alignment horizontal="center"/>
    </xf>
    <xf numFmtId="0" fontId="55" fillId="0" borderId="128" xfId="3" applyFont="1" applyBorder="1" applyAlignment="1">
      <alignment horizontal="center"/>
    </xf>
    <xf numFmtId="0" fontId="55" fillId="0" borderId="8" xfId="3" applyFont="1" applyBorder="1" applyAlignment="1">
      <alignment horizontal="center"/>
    </xf>
    <xf numFmtId="49" fontId="55" fillId="0" borderId="2" xfId="3" applyNumberFormat="1" applyFont="1" applyBorder="1" applyAlignment="1">
      <alignment horizontal="center"/>
    </xf>
    <xf numFmtId="0" fontId="54" fillId="0" borderId="50" xfId="3" applyBorder="1" applyAlignment="1">
      <alignment horizontal="left"/>
    </xf>
    <xf numFmtId="0" fontId="54" fillId="0" borderId="13" xfId="3" applyBorder="1" applyAlignment="1">
      <alignment horizontal="left"/>
    </xf>
    <xf numFmtId="0" fontId="54" fillId="0" borderId="55" xfId="3" applyBorder="1" applyAlignment="1">
      <alignment horizontal="left"/>
    </xf>
    <xf numFmtId="190" fontId="54" fillId="0" borderId="50" xfId="3" applyNumberFormat="1" applyBorder="1" applyAlignment="1">
      <alignment horizontal="center"/>
    </xf>
    <xf numFmtId="190" fontId="54" fillId="0" borderId="13" xfId="3" applyNumberFormat="1" applyBorder="1" applyAlignment="1">
      <alignment horizontal="center"/>
    </xf>
    <xf numFmtId="190" fontId="54" fillId="0" borderId="55" xfId="3" applyNumberFormat="1" applyBorder="1" applyAlignment="1">
      <alignment horizontal="center"/>
    </xf>
    <xf numFmtId="49" fontId="54" fillId="0" borderId="50" xfId="3" applyNumberFormat="1" applyBorder="1" applyAlignment="1">
      <alignment horizontal="center"/>
    </xf>
    <xf numFmtId="49" fontId="54" fillId="0" borderId="13" xfId="3" applyNumberFormat="1" applyBorder="1" applyAlignment="1">
      <alignment horizontal="center"/>
    </xf>
    <xf numFmtId="49" fontId="54" fillId="0" borderId="14" xfId="3" applyNumberFormat="1" applyBorder="1" applyAlignment="1">
      <alignment horizontal="center"/>
    </xf>
    <xf numFmtId="49" fontId="54" fillId="0" borderId="3" xfId="3" applyNumberFormat="1" applyBorder="1"/>
    <xf numFmtId="0" fontId="54" fillId="0" borderId="17" xfId="3" applyBorder="1" applyAlignment="1">
      <alignment horizontal="left"/>
    </xf>
    <xf numFmtId="0" fontId="54" fillId="0" borderId="129" xfId="3" applyBorder="1" applyAlignment="1">
      <alignment horizontal="left"/>
    </xf>
    <xf numFmtId="0" fontId="54" fillId="0" borderId="130" xfId="3" applyBorder="1" applyAlignment="1">
      <alignment horizontal="left"/>
    </xf>
    <xf numFmtId="190" fontId="54" fillId="0" borderId="17" xfId="3" applyNumberFormat="1" applyBorder="1" applyAlignment="1">
      <alignment horizontal="center"/>
    </xf>
    <xf numFmtId="190" fontId="54" fillId="0" borderId="129" xfId="3" applyNumberFormat="1" applyBorder="1" applyAlignment="1">
      <alignment horizontal="center"/>
    </xf>
    <xf numFmtId="190" fontId="54" fillId="0" borderId="130" xfId="3" applyNumberFormat="1" applyBorder="1" applyAlignment="1">
      <alignment horizontal="center"/>
    </xf>
    <xf numFmtId="49" fontId="54" fillId="0" borderId="17" xfId="3" applyNumberFormat="1" applyBorder="1" applyAlignment="1">
      <alignment horizontal="center"/>
    </xf>
    <xf numFmtId="49" fontId="54" fillId="0" borderId="129" xfId="3" applyNumberFormat="1" applyBorder="1" applyAlignment="1">
      <alignment horizontal="center"/>
    </xf>
    <xf numFmtId="49" fontId="54" fillId="0" borderId="16" xfId="3" applyNumberFormat="1" applyBorder="1" applyAlignment="1">
      <alignment horizontal="center"/>
    </xf>
    <xf numFmtId="49" fontId="54" fillId="0" borderId="4" xfId="3" applyNumberFormat="1" applyBorder="1"/>
    <xf numFmtId="0" fontId="54" fillId="0" borderId="31" xfId="3" applyBorder="1" applyAlignment="1">
      <alignment horizontal="left"/>
    </xf>
    <xf numFmtId="0" fontId="54" fillId="0" borderId="51" xfId="3" applyBorder="1" applyAlignment="1">
      <alignment horizontal="left"/>
    </xf>
    <xf numFmtId="0" fontId="54" fillId="0" borderId="131" xfId="3" applyBorder="1" applyAlignment="1">
      <alignment horizontal="left"/>
    </xf>
    <xf numFmtId="190" fontId="54" fillId="0" borderId="31" xfId="3" applyNumberFormat="1" applyBorder="1" applyAlignment="1">
      <alignment horizontal="center"/>
    </xf>
    <xf numFmtId="190" fontId="54" fillId="0" borderId="51" xfId="3" applyNumberFormat="1" applyBorder="1" applyAlignment="1">
      <alignment horizontal="center"/>
    </xf>
    <xf numFmtId="190" fontId="54" fillId="0" borderId="131" xfId="3" applyNumberFormat="1" applyBorder="1" applyAlignment="1">
      <alignment horizontal="center"/>
    </xf>
    <xf numFmtId="49" fontId="54" fillId="0" borderId="31" xfId="3" applyNumberFormat="1" applyBorder="1" applyAlignment="1">
      <alignment horizontal="center"/>
    </xf>
    <xf numFmtId="49" fontId="54" fillId="0" borderId="51" xfId="3" applyNumberFormat="1" applyBorder="1" applyAlignment="1">
      <alignment horizontal="center"/>
    </xf>
    <xf numFmtId="49" fontId="54" fillId="0" borderId="32" xfId="3" applyNumberFormat="1" applyBorder="1" applyAlignment="1">
      <alignment horizontal="center"/>
    </xf>
    <xf numFmtId="9" fontId="33" fillId="0" borderId="0" xfId="1" applyNumberFormat="1" applyFont="1" applyFill="1"/>
    <xf numFmtId="0" fontId="1" fillId="0" borderId="0" xfId="5"/>
    <xf numFmtId="0" fontId="28" fillId="5" borderId="81" xfId="1" applyFont="1" applyFill="1" applyBorder="1" applyAlignment="1">
      <alignment horizontal="left"/>
    </xf>
    <xf numFmtId="0" fontId="18" fillId="0" borderId="0" xfId="5" applyFont="1"/>
    <xf numFmtId="0" fontId="2" fillId="0" borderId="44" xfId="5" applyFont="1" applyBorder="1" applyAlignment="1">
      <alignment horizontal="center"/>
    </xf>
    <xf numFmtId="0" fontId="2" fillId="0" borderId="54" xfId="5" applyFont="1" applyBorder="1" applyAlignment="1">
      <alignment horizontal="center"/>
    </xf>
    <xf numFmtId="184" fontId="3" fillId="0" borderId="133" xfId="5" quotePrefix="1" applyNumberFormat="1" applyFont="1" applyBorder="1" applyAlignment="1">
      <alignment horizontal="center"/>
    </xf>
    <xf numFmtId="184" fontId="2" fillId="0" borderId="28" xfId="5" applyNumberFormat="1" applyFont="1" applyBorder="1" applyAlignment="1">
      <alignment horizontal="center"/>
    </xf>
    <xf numFmtId="184" fontId="2" fillId="0" borderId="134" xfId="5" applyNumberFormat="1" applyFont="1" applyBorder="1" applyAlignment="1">
      <alignment horizontal="center"/>
    </xf>
    <xf numFmtId="184" fontId="3" fillId="0" borderId="135" xfId="5" quotePrefix="1" applyNumberFormat="1" applyFont="1" applyBorder="1" applyAlignment="1">
      <alignment horizontal="center"/>
    </xf>
    <xf numFmtId="184" fontId="2" fillId="0" borderId="130" xfId="5" applyNumberFormat="1" applyFont="1" applyBorder="1" applyAlignment="1">
      <alignment horizontal="center"/>
    </xf>
    <xf numFmtId="184" fontId="3" fillId="0" borderId="25" xfId="5" quotePrefix="1" applyNumberFormat="1" applyFont="1" applyBorder="1" applyAlignment="1">
      <alignment horizontal="center"/>
    </xf>
    <xf numFmtId="184" fontId="2" fillId="0" borderId="131" xfId="5" applyNumberFormat="1" applyFont="1" applyBorder="1" applyAlignment="1">
      <alignment horizontal="center"/>
    </xf>
    <xf numFmtId="184" fontId="2" fillId="0" borderId="11" xfId="5" applyNumberFormat="1" applyFont="1" applyBorder="1" applyAlignment="1">
      <alignment horizontal="center"/>
    </xf>
    <xf numFmtId="192" fontId="69" fillId="0" borderId="6" xfId="6" applyFont="1" applyBorder="1" applyAlignment="1" applyProtection="1">
      <alignment horizontal="centerContinuous"/>
    </xf>
    <xf numFmtId="192" fontId="69" fillId="0" borderId="7" xfId="6" applyFont="1" applyBorder="1" applyAlignment="1">
      <alignment horizontal="centerContinuous"/>
    </xf>
    <xf numFmtId="192" fontId="70" fillId="0" borderId="12" xfId="6" applyFont="1" applyBorder="1" applyAlignment="1" applyProtection="1">
      <alignment horizontal="left"/>
    </xf>
    <xf numFmtId="192" fontId="71" fillId="0" borderId="55" xfId="6" applyFont="1" applyBorder="1"/>
    <xf numFmtId="192" fontId="70" fillId="0" borderId="13" xfId="6" applyFont="1" applyBorder="1" applyAlignment="1">
      <alignment horizontal="centerContinuous"/>
    </xf>
    <xf numFmtId="192" fontId="71" fillId="0" borderId="14" xfId="6" applyFont="1" applyBorder="1" applyAlignment="1">
      <alignment horizontal="centerContinuous"/>
    </xf>
    <xf numFmtId="192" fontId="72" fillId="0" borderId="0" xfId="6" applyFont="1"/>
    <xf numFmtId="192" fontId="68" fillId="0" borderId="0" xfId="6"/>
    <xf numFmtId="192" fontId="69" fillId="0" borderId="45" xfId="6" applyFont="1" applyBorder="1" applyAlignment="1" applyProtection="1">
      <alignment horizontal="centerContinuous"/>
    </xf>
    <xf numFmtId="192" fontId="69" fillId="0" borderId="0" xfId="6" applyFont="1" applyBorder="1" applyAlignment="1">
      <alignment horizontal="centerContinuous"/>
    </xf>
    <xf numFmtId="192" fontId="70" fillId="0" borderId="110" xfId="6" applyFont="1" applyBorder="1" applyAlignment="1" applyProtection="1">
      <alignment horizontal="left"/>
    </xf>
    <xf numFmtId="192" fontId="71" fillId="0" borderId="39" xfId="6" applyFont="1" applyBorder="1"/>
    <xf numFmtId="192" fontId="70" fillId="0" borderId="40" xfId="6" applyFont="1" applyBorder="1" applyAlignment="1" applyProtection="1">
      <alignment horizontal="centerContinuous"/>
    </xf>
    <xf numFmtId="192" fontId="71" fillId="0" borderId="29" xfId="6" applyFont="1" applyBorder="1" applyAlignment="1">
      <alignment horizontal="centerContinuous"/>
    </xf>
    <xf numFmtId="192" fontId="71" fillId="0" borderId="45" xfId="6" applyFont="1" applyBorder="1" applyAlignment="1">
      <alignment horizontal="centerContinuous"/>
    </xf>
    <xf numFmtId="192" fontId="71" fillId="0" borderId="0" xfId="6" applyFont="1" applyBorder="1" applyAlignment="1">
      <alignment horizontal="centerContinuous"/>
    </xf>
    <xf numFmtId="192" fontId="70" fillId="0" borderId="40" xfId="6" quotePrefix="1" applyFont="1" applyBorder="1" applyAlignment="1">
      <alignment horizontal="centerContinuous"/>
    </xf>
    <xf numFmtId="192" fontId="73" fillId="0" borderId="45" xfId="6" applyFont="1" applyBorder="1" applyAlignment="1" applyProtection="1">
      <alignment horizontal="centerContinuous"/>
    </xf>
    <xf numFmtId="192" fontId="70" fillId="0" borderId="40" xfId="6" quotePrefix="1" applyFont="1" applyBorder="1" applyAlignment="1" applyProtection="1">
      <alignment horizontal="centerContinuous"/>
    </xf>
    <xf numFmtId="192" fontId="72" fillId="0" borderId="45" xfId="6" applyFont="1" applyBorder="1" applyAlignment="1">
      <alignment horizontal="centerContinuous"/>
    </xf>
    <xf numFmtId="192" fontId="70" fillId="0" borderId="40" xfId="6" applyFont="1" applyBorder="1" applyAlignment="1">
      <alignment horizontal="centerContinuous"/>
    </xf>
    <xf numFmtId="192" fontId="72" fillId="0" borderId="46" xfId="6" applyFont="1" applyBorder="1" applyAlignment="1" applyProtection="1">
      <alignment horizontal="centerContinuous"/>
    </xf>
    <xf numFmtId="192" fontId="71" fillId="0" borderId="23" xfId="6" applyFont="1" applyBorder="1" applyAlignment="1">
      <alignment horizontal="centerContinuous"/>
    </xf>
    <xf numFmtId="192" fontId="70" fillId="0" borderId="46" xfId="6" applyFont="1" applyBorder="1" applyAlignment="1" applyProtection="1">
      <alignment horizontal="left"/>
    </xf>
    <xf numFmtId="192" fontId="71" fillId="0" borderId="48" xfId="6" applyFont="1" applyBorder="1"/>
    <xf numFmtId="192" fontId="74" fillId="0" borderId="23" xfId="6" applyFont="1" applyBorder="1" applyAlignment="1">
      <alignment horizontal="centerContinuous"/>
    </xf>
    <xf numFmtId="192" fontId="71" fillId="0" borderId="24" xfId="6" applyFont="1" applyBorder="1" applyAlignment="1">
      <alignment horizontal="centerContinuous"/>
    </xf>
    <xf numFmtId="192" fontId="72" fillId="0" borderId="0" xfId="6" applyFont="1" applyBorder="1" applyAlignment="1" applyProtection="1">
      <alignment horizontal="centerContinuous"/>
    </xf>
    <xf numFmtId="192" fontId="70" fillId="0" borderId="0" xfId="6" applyFont="1" applyBorder="1" applyAlignment="1" applyProtection="1">
      <alignment horizontal="left"/>
    </xf>
    <xf numFmtId="192" fontId="71" fillId="0" borderId="0" xfId="6" applyFont="1" applyBorder="1"/>
    <xf numFmtId="192" fontId="70" fillId="0" borderId="0" xfId="6" applyFont="1" applyBorder="1" applyAlignment="1">
      <alignment horizontal="centerContinuous"/>
    </xf>
    <xf numFmtId="192" fontId="75" fillId="0" borderId="0" xfId="6" applyFont="1"/>
    <xf numFmtId="192" fontId="75" fillId="0" borderId="0" xfId="6" applyFont="1" applyAlignment="1" applyProtection="1">
      <alignment horizontal="right"/>
    </xf>
    <xf numFmtId="192" fontId="75" fillId="0" borderId="0" xfId="6" applyFont="1" applyAlignment="1" applyProtection="1">
      <alignment horizontal="left"/>
      <protection locked="0"/>
    </xf>
    <xf numFmtId="192" fontId="75" fillId="0" borderId="0" xfId="6" applyFont="1" applyBorder="1" applyAlignment="1">
      <alignment horizontal="centerContinuous"/>
    </xf>
    <xf numFmtId="192" fontId="75" fillId="0" borderId="0" xfId="6" applyFont="1" applyBorder="1" applyAlignment="1" applyProtection="1">
      <alignment horizontal="left"/>
    </xf>
    <xf numFmtId="192" fontId="75" fillId="0" borderId="0" xfId="6" applyFont="1" applyBorder="1"/>
    <xf numFmtId="49" fontId="75" fillId="0" borderId="0" xfId="6" quotePrefix="1" applyNumberFormat="1" applyFont="1" applyAlignment="1" applyProtection="1">
      <alignment horizontal="left"/>
      <protection locked="0"/>
    </xf>
    <xf numFmtId="192" fontId="71" fillId="0" borderId="0" xfId="6" applyFont="1"/>
    <xf numFmtId="192" fontId="76" fillId="0" borderId="136" xfId="6" applyFont="1" applyBorder="1" applyAlignment="1" applyProtection="1">
      <alignment horizontal="centerContinuous"/>
    </xf>
    <xf numFmtId="192" fontId="72" fillId="0" borderId="137" xfId="6" applyFont="1" applyBorder="1" applyAlignment="1">
      <alignment horizontal="centerContinuous"/>
    </xf>
    <xf numFmtId="192" fontId="72" fillId="0" borderId="138" xfId="6" applyFont="1" applyBorder="1" applyAlignment="1">
      <alignment horizontal="centerContinuous"/>
    </xf>
    <xf numFmtId="192" fontId="75" fillId="0" borderId="45" xfId="6" applyFont="1" applyBorder="1"/>
    <xf numFmtId="192" fontId="75" fillId="0" borderId="0" xfId="6" applyFont="1" applyBorder="1" applyAlignment="1" applyProtection="1">
      <alignment horizontal="right"/>
    </xf>
    <xf numFmtId="192" fontId="75" fillId="0" borderId="0" xfId="6" applyFont="1" applyBorder="1" applyAlignment="1" applyProtection="1">
      <alignment horizontal="center"/>
      <protection locked="0"/>
    </xf>
    <xf numFmtId="192" fontId="75" fillId="0" borderId="21" xfId="6" applyFont="1" applyBorder="1" applyAlignment="1" applyProtection="1">
      <alignment horizontal="center"/>
      <protection locked="0"/>
    </xf>
    <xf numFmtId="192" fontId="75" fillId="0" borderId="0" xfId="6" applyFont="1" applyBorder="1" applyAlignment="1">
      <alignment horizontal="center"/>
    </xf>
    <xf numFmtId="49" fontId="75" fillId="0" borderId="0" xfId="6" applyNumberFormat="1" applyFont="1" applyBorder="1" applyAlignment="1">
      <alignment horizontal="center"/>
    </xf>
    <xf numFmtId="192" fontId="75" fillId="0" borderId="0" xfId="6" quotePrefix="1" applyFont="1" applyBorder="1" applyAlignment="1" applyProtection="1">
      <alignment horizontal="right"/>
    </xf>
    <xf numFmtId="192" fontId="75" fillId="0" borderId="0" xfId="6" quotePrefix="1" applyFont="1" applyBorder="1" applyAlignment="1" applyProtection="1">
      <alignment horizontal="center"/>
      <protection locked="0"/>
    </xf>
    <xf numFmtId="192" fontId="75" fillId="0" borderId="0" xfId="6" applyFont="1" applyBorder="1" applyAlignment="1" applyProtection="1">
      <alignment horizontal="left"/>
      <protection locked="0"/>
    </xf>
    <xf numFmtId="192" fontId="75" fillId="0" borderId="21" xfId="6" applyFont="1" applyBorder="1"/>
    <xf numFmtId="192" fontId="75" fillId="0" borderId="46" xfId="6" applyFont="1" applyBorder="1"/>
    <xf numFmtId="192" fontId="75" fillId="0" borderId="23" xfId="6" applyFont="1" applyBorder="1" applyAlignment="1" applyProtection="1">
      <alignment horizontal="right"/>
    </xf>
    <xf numFmtId="184" fontId="75" fillId="0" borderId="23" xfId="6" quotePrefix="1" applyNumberFormat="1" applyFont="1" applyBorder="1" applyAlignment="1" applyProtection="1">
      <alignment horizontal="center"/>
      <protection locked="0"/>
    </xf>
    <xf numFmtId="192" fontId="75" fillId="0" borderId="23" xfId="6" applyFont="1" applyBorder="1"/>
    <xf numFmtId="192" fontId="75" fillId="0" borderId="23" xfId="6" applyFont="1" applyBorder="1" applyAlignment="1">
      <alignment horizontal="right"/>
    </xf>
    <xf numFmtId="184" fontId="75" fillId="0" borderId="23" xfId="6" applyNumberFormat="1" applyFont="1" applyBorder="1" applyProtection="1"/>
    <xf numFmtId="192" fontId="75" fillId="0" borderId="24" xfId="6" applyFont="1" applyBorder="1"/>
    <xf numFmtId="192" fontId="77" fillId="0" borderId="45" xfId="6" quotePrefix="1" applyFont="1" applyBorder="1" applyAlignment="1">
      <alignment horizontal="left"/>
    </xf>
    <xf numFmtId="192" fontId="71" fillId="0" borderId="0" xfId="6" quotePrefix="1" applyFont="1" applyBorder="1" applyAlignment="1" applyProtection="1">
      <alignment horizontal="right"/>
    </xf>
    <xf numFmtId="192" fontId="71" fillId="0" borderId="108" xfId="6" applyFont="1" applyBorder="1"/>
    <xf numFmtId="192" fontId="77" fillId="0" borderId="0" xfId="6" applyFont="1" applyBorder="1" applyAlignment="1" applyProtection="1">
      <alignment horizontal="left"/>
    </xf>
    <xf numFmtId="192" fontId="71" fillId="0" borderId="0" xfId="6" applyFont="1" applyBorder="1" applyAlignment="1" applyProtection="1">
      <alignment horizontal="right"/>
    </xf>
    <xf numFmtId="192" fontId="71" fillId="0" borderId="108" xfId="6" applyFont="1" applyBorder="1" applyAlignment="1" applyProtection="1">
      <alignment horizontal="right"/>
    </xf>
    <xf numFmtId="192" fontId="77" fillId="0" borderId="0" xfId="6" quotePrefix="1" applyFont="1" applyBorder="1" applyAlignment="1" applyProtection="1">
      <alignment horizontal="left"/>
    </xf>
    <xf numFmtId="192" fontId="71" fillId="0" borderId="0" xfId="6" applyFont="1" applyBorder="1" applyAlignment="1">
      <alignment horizontal="right"/>
    </xf>
    <xf numFmtId="192" fontId="71" fillId="0" borderId="21" xfId="6" applyFont="1" applyBorder="1"/>
    <xf numFmtId="192" fontId="68" fillId="0" borderId="45" xfId="6" applyBorder="1"/>
    <xf numFmtId="192" fontId="75" fillId="0" borderId="0" xfId="6" applyFont="1" applyBorder="1" applyAlignment="1">
      <alignment horizontal="right"/>
    </xf>
    <xf numFmtId="192" fontId="75" fillId="0" borderId="108" xfId="6" applyFont="1" applyBorder="1" applyAlignment="1" applyProtection="1">
      <alignment horizontal="center"/>
      <protection locked="0"/>
    </xf>
    <xf numFmtId="1" fontId="75" fillId="0" borderId="108" xfId="6" applyNumberFormat="1" applyFont="1" applyBorder="1" applyAlignment="1">
      <alignment horizontal="center"/>
    </xf>
    <xf numFmtId="192" fontId="75" fillId="0" borderId="0" xfId="6" applyFont="1" applyBorder="1" applyAlignment="1">
      <alignment horizontal="left"/>
    </xf>
    <xf numFmtId="192" fontId="75" fillId="0" borderId="108" xfId="6" applyFont="1" applyBorder="1"/>
    <xf numFmtId="192" fontId="75" fillId="0" borderId="48" xfId="6" applyFont="1" applyBorder="1"/>
    <xf numFmtId="192" fontId="75" fillId="0" borderId="48" xfId="6" applyFont="1" applyBorder="1" applyAlignment="1">
      <alignment horizontal="left"/>
    </xf>
    <xf numFmtId="192" fontId="72" fillId="0" borderId="0" xfId="6" applyFont="1" applyBorder="1" applyAlignment="1">
      <alignment horizontal="centerContinuous"/>
    </xf>
    <xf numFmtId="192" fontId="72" fillId="0" borderId="0" xfId="6" applyFont="1" applyBorder="1"/>
    <xf numFmtId="192" fontId="76" fillId="0" borderId="139" xfId="6" applyFont="1" applyBorder="1" applyAlignment="1" applyProtection="1">
      <alignment horizontal="centerContinuous"/>
    </xf>
    <xf numFmtId="192" fontId="72" fillId="0" borderId="140" xfId="6" applyFont="1" applyBorder="1" applyAlignment="1">
      <alignment horizontal="centerContinuous"/>
    </xf>
    <xf numFmtId="192" fontId="68" fillId="0" borderId="141" xfId="6" applyBorder="1"/>
    <xf numFmtId="192" fontId="72" fillId="0" borderId="142" xfId="6" applyFont="1" applyBorder="1" applyAlignment="1">
      <alignment horizontal="centerContinuous"/>
    </xf>
    <xf numFmtId="192" fontId="77" fillId="0" borderId="45" xfId="6" applyFont="1" applyBorder="1" applyAlignment="1">
      <alignment horizontal="left"/>
    </xf>
    <xf numFmtId="192" fontId="68" fillId="0" borderId="108" xfId="6" applyBorder="1"/>
    <xf numFmtId="184" fontId="75" fillId="0" borderId="0" xfId="6" applyNumberFormat="1" applyFont="1" applyBorder="1" applyAlignment="1" applyProtection="1">
      <alignment horizontal="center"/>
      <protection locked="0"/>
    </xf>
    <xf numFmtId="192" fontId="75" fillId="0" borderId="45" xfId="6" applyFont="1" applyBorder="1" applyAlignment="1">
      <alignment horizontal="left"/>
    </xf>
    <xf numFmtId="192" fontId="68" fillId="0" borderId="48" xfId="6" applyBorder="1"/>
    <xf numFmtId="192" fontId="72" fillId="0" borderId="0" xfId="6" applyFont="1" applyBorder="1" applyAlignment="1">
      <alignment horizontal="left"/>
    </xf>
    <xf numFmtId="192" fontId="72" fillId="0" borderId="0" xfId="6" applyFont="1" applyAlignment="1">
      <alignment horizontal="left"/>
    </xf>
    <xf numFmtId="192" fontId="72" fillId="0" borderId="139" xfId="6" applyFont="1" applyBorder="1"/>
    <xf numFmtId="192" fontId="71" fillId="0" borderId="140" xfId="6" applyFont="1" applyBorder="1" applyAlignment="1">
      <alignment horizontal="left"/>
    </xf>
    <xf numFmtId="192" fontId="71" fillId="0" borderId="142" xfId="6" applyFont="1" applyBorder="1" applyAlignment="1">
      <alignment horizontal="left"/>
    </xf>
    <xf numFmtId="192" fontId="75" fillId="0" borderId="45" xfId="6" quotePrefix="1" applyFont="1" applyBorder="1" applyAlignment="1">
      <alignment horizontal="left"/>
    </xf>
    <xf numFmtId="192" fontId="75" fillId="0" borderId="21" xfId="6" applyFont="1" applyBorder="1" applyAlignment="1">
      <alignment horizontal="left"/>
    </xf>
    <xf numFmtId="192" fontId="78" fillId="0" borderId="143" xfId="6" applyFont="1" applyBorder="1"/>
    <xf numFmtId="192" fontId="75" fillId="0" borderId="0" xfId="6" quotePrefix="1" applyFont="1" applyBorder="1" applyAlignment="1" applyProtection="1">
      <alignment horizontal="left"/>
    </xf>
    <xf numFmtId="192" fontId="75" fillId="0" borderId="144" xfId="6" quotePrefix="1" applyFont="1" applyBorder="1" applyAlignment="1" applyProtection="1">
      <alignment horizontal="left"/>
    </xf>
    <xf numFmtId="192" fontId="75" fillId="0" borderId="145" xfId="6" quotePrefix="1" applyFont="1" applyBorder="1" applyAlignment="1">
      <alignment horizontal="left"/>
    </xf>
    <xf numFmtId="192" fontId="75" fillId="0" borderId="46" xfId="6" applyFont="1" applyBorder="1" applyAlignment="1">
      <alignment horizontal="left"/>
    </xf>
    <xf numFmtId="192" fontId="75" fillId="0" borderId="23" xfId="6" applyFont="1" applyBorder="1" applyAlignment="1">
      <alignment horizontal="left"/>
    </xf>
    <xf numFmtId="192" fontId="75" fillId="0" borderId="24" xfId="6" applyFont="1" applyBorder="1" applyAlignment="1">
      <alignment horizontal="left"/>
    </xf>
    <xf numFmtId="192" fontId="71" fillId="0" borderId="0" xfId="6" applyFont="1" applyAlignment="1">
      <alignment horizontal="left"/>
    </xf>
    <xf numFmtId="192" fontId="79" fillId="0" borderId="0" xfId="6" applyFont="1" applyAlignment="1" applyProtection="1">
      <alignment horizontal="right"/>
    </xf>
    <xf numFmtId="192" fontId="68" fillId="0" borderId="0" xfId="6" applyAlignment="1">
      <alignment horizontal="right"/>
    </xf>
    <xf numFmtId="49" fontId="61" fillId="0" borderId="40" xfId="5" applyNumberFormat="1" applyFont="1" applyBorder="1"/>
    <xf numFmtId="0" fontId="2" fillId="0" borderId="1" xfId="5" applyFont="1" applyBorder="1" applyAlignment="1">
      <alignment horizontal="center"/>
    </xf>
    <xf numFmtId="184" fontId="2" fillId="0" borderId="1" xfId="5" applyNumberFormat="1" applyFont="1" applyBorder="1" applyAlignment="1">
      <alignment horizontal="center"/>
    </xf>
    <xf numFmtId="184" fontId="2" fillId="0" borderId="9" xfId="5" applyNumberFormat="1" applyFont="1" applyBorder="1" applyAlignment="1">
      <alignment horizontal="center"/>
    </xf>
    <xf numFmtId="184" fontId="2" fillId="0" borderId="33" xfId="5" applyNumberFormat="1" applyFont="1" applyBorder="1" applyAlignment="1">
      <alignment horizontal="center"/>
    </xf>
    <xf numFmtId="184" fontId="2" fillId="0" borderId="39" xfId="5" applyNumberFormat="1" applyFont="1" applyBorder="1" applyAlignment="1">
      <alignment horizontal="center"/>
    </xf>
    <xf numFmtId="184" fontId="2" fillId="0" borderId="0" xfId="5" applyNumberFormat="1" applyFont="1" applyBorder="1" applyAlignment="1">
      <alignment horizontal="center"/>
    </xf>
    <xf numFmtId="0" fontId="58" fillId="0" borderId="0" xfId="5" applyFont="1"/>
    <xf numFmtId="0" fontId="50" fillId="5" borderId="118" xfId="2" applyFont="1" applyFill="1" applyBorder="1" applyAlignment="1">
      <alignment horizontal="center"/>
    </xf>
    <xf numFmtId="14" fontId="19" fillId="5" borderId="122" xfId="2" applyNumberFormat="1" applyFont="1" applyFill="1" applyBorder="1" applyAlignment="1">
      <alignment horizontal="center"/>
    </xf>
    <xf numFmtId="0" fontId="61" fillId="0" borderId="61" xfId="5" applyFont="1" applyBorder="1"/>
    <xf numFmtId="0" fontId="61" fillId="0" borderId="62" xfId="5" applyFont="1" applyBorder="1"/>
    <xf numFmtId="0" fontId="61" fillId="0" borderId="38" xfId="5" applyFont="1" applyBorder="1"/>
    <xf numFmtId="0" fontId="62" fillId="0" borderId="83" xfId="5" applyFont="1" applyBorder="1" applyAlignment="1">
      <alignment horizontal="centerContinuous"/>
    </xf>
    <xf numFmtId="0" fontId="61" fillId="0" borderId="0" xfId="5" applyFont="1" applyBorder="1" applyAlignment="1">
      <alignment horizontal="centerContinuous"/>
    </xf>
    <xf numFmtId="0" fontId="61" fillId="0" borderId="108" xfId="5" applyFont="1" applyBorder="1" applyAlignment="1">
      <alignment horizontal="centerContinuous"/>
    </xf>
    <xf numFmtId="0" fontId="63" fillId="0" borderId="83" xfId="5" applyFont="1" applyBorder="1" applyAlignment="1">
      <alignment horizontal="centerContinuous"/>
    </xf>
    <xf numFmtId="0" fontId="61" fillId="0" borderId="83" xfId="5" applyFont="1" applyBorder="1"/>
    <xf numFmtId="0" fontId="61" fillId="0" borderId="0" xfId="5" applyFont="1" applyBorder="1"/>
    <xf numFmtId="0" fontId="61" fillId="0" borderId="108" xfId="5" applyFont="1" applyBorder="1"/>
    <xf numFmtId="0" fontId="64" fillId="0" borderId="1" xfId="5" applyFont="1" applyBorder="1" applyAlignment="1">
      <alignment horizontal="right"/>
    </xf>
    <xf numFmtId="0" fontId="61" fillId="0" borderId="1" xfId="5" applyFont="1" applyBorder="1" applyAlignment="1">
      <alignment horizontal="center"/>
    </xf>
    <xf numFmtId="14" fontId="61" fillId="0" borderId="1" xfId="5" applyNumberFormat="1" applyFont="1" applyBorder="1" applyAlignment="1">
      <alignment horizontal="center"/>
    </xf>
    <xf numFmtId="0" fontId="64" fillId="0" borderId="0" xfId="5" applyFont="1" applyBorder="1" applyAlignment="1">
      <alignment horizontal="right"/>
    </xf>
    <xf numFmtId="0" fontId="61" fillId="0" borderId="0" xfId="5" applyFont="1" applyBorder="1" applyAlignment="1">
      <alignment horizontal="center"/>
    </xf>
    <xf numFmtId="9" fontId="61" fillId="0" borderId="0" xfId="5" applyNumberFormat="1" applyFont="1" applyBorder="1" applyAlignment="1">
      <alignment horizontal="center"/>
    </xf>
    <xf numFmtId="0" fontId="64" fillId="0" borderId="83" xfId="5" applyFont="1" applyBorder="1" applyAlignment="1">
      <alignment horizontal="right"/>
    </xf>
    <xf numFmtId="0" fontId="61" fillId="0" borderId="40" xfId="5" applyFont="1" applyBorder="1"/>
    <xf numFmtId="0" fontId="61" fillId="0" borderId="39" xfId="5" applyFont="1" applyBorder="1" applyAlignment="1">
      <alignment horizontal="center"/>
    </xf>
    <xf numFmtId="0" fontId="61" fillId="0" borderId="85" xfId="5" applyFont="1" applyBorder="1"/>
    <xf numFmtId="0" fontId="64" fillId="0" borderId="17" xfId="5" applyFont="1" applyBorder="1" applyAlignment="1">
      <alignment horizontal="right"/>
    </xf>
    <xf numFmtId="0" fontId="61" fillId="0" borderId="130" xfId="5" applyFont="1" applyBorder="1"/>
    <xf numFmtId="184" fontId="3" fillId="0" borderId="0" xfId="5" quotePrefix="1" applyNumberFormat="1" applyFont="1" applyBorder="1" applyAlignment="1">
      <alignment horizontal="center"/>
    </xf>
    <xf numFmtId="184" fontId="3" fillId="0" borderId="0" xfId="5" applyNumberFormat="1" applyFont="1" applyBorder="1" applyAlignment="1">
      <alignment horizontal="center"/>
    </xf>
    <xf numFmtId="0" fontId="6" fillId="0" borderId="0" xfId="5" applyFont="1" applyAlignment="1">
      <alignment horizontal="right"/>
    </xf>
    <xf numFmtId="0" fontId="24" fillId="0" borderId="0" xfId="5" applyFont="1"/>
    <xf numFmtId="0" fontId="59" fillId="0" borderId="26" xfId="5" applyFont="1" applyBorder="1" applyAlignment="1">
      <alignment horizontal="center"/>
    </xf>
    <xf numFmtId="0" fontId="59" fillId="0" borderId="28" xfId="5" applyFont="1" applyBorder="1" applyAlignment="1">
      <alignment horizontal="center"/>
    </xf>
    <xf numFmtId="0" fontId="58" fillId="0" borderId="1" xfId="5" applyFont="1" applyBorder="1" applyAlignment="1">
      <alignment horizontal="center"/>
    </xf>
    <xf numFmtId="0" fontId="59" fillId="0" borderId="1" xfId="5" applyFont="1" applyBorder="1" applyAlignment="1">
      <alignment horizontal="center"/>
    </xf>
    <xf numFmtId="0" fontId="59" fillId="0" borderId="1" xfId="5" applyFont="1" applyBorder="1" applyAlignment="1">
      <alignment horizontal="right"/>
    </xf>
    <xf numFmtId="0" fontId="58" fillId="0" borderId="129" xfId="5" applyFont="1" applyBorder="1" applyAlignment="1">
      <alignment horizontal="center"/>
    </xf>
    <xf numFmtId="0" fontId="58" fillId="0" borderId="130" xfId="5" quotePrefix="1" applyFont="1" applyBorder="1" applyAlignment="1">
      <alignment horizontal="center"/>
    </xf>
    <xf numFmtId="0" fontId="58" fillId="0" borderId="130" xfId="5" applyFont="1" applyBorder="1" applyAlignment="1">
      <alignment horizontal="center"/>
    </xf>
    <xf numFmtId="0" fontId="59" fillId="0" borderId="0" xfId="5" applyFont="1" applyAlignment="1">
      <alignment horizontal="right"/>
    </xf>
    <xf numFmtId="0" fontId="66" fillId="0" borderId="0" xfId="5" applyFont="1"/>
    <xf numFmtId="0" fontId="1" fillId="0" borderId="0" xfId="5" applyBorder="1"/>
    <xf numFmtId="0" fontId="67" fillId="0" borderId="0" xfId="5" applyFont="1" applyFill="1" applyBorder="1"/>
    <xf numFmtId="0" fontId="1" fillId="0" borderId="0" xfId="5" applyFont="1" applyFill="1" applyBorder="1"/>
    <xf numFmtId="1" fontId="2" fillId="5" borderId="1" xfId="5" applyNumberFormat="1" applyFont="1" applyFill="1" applyBorder="1" applyAlignment="1">
      <alignment horizontal="center"/>
    </xf>
    <xf numFmtId="2" fontId="2" fillId="5" borderId="1" xfId="5" applyNumberFormat="1" applyFont="1" applyFill="1" applyBorder="1" applyAlignment="1">
      <alignment horizontal="center"/>
    </xf>
    <xf numFmtId="0" fontId="2" fillId="5" borderId="1" xfId="5" applyFont="1" applyFill="1" applyBorder="1" applyAlignment="1">
      <alignment horizontal="center"/>
    </xf>
    <xf numFmtId="184" fontId="2" fillId="0" borderId="0" xfId="0" applyNumberFormat="1" applyFont="1" applyBorder="1" applyAlignment="1">
      <alignment horizontal="center"/>
    </xf>
    <xf numFmtId="184" fontId="2" fillId="0" borderId="0" xfId="0" applyNumberFormat="1" applyFont="1" applyAlignment="1">
      <alignment horizontal="center"/>
    </xf>
    <xf numFmtId="2" fontId="7" fillId="0" borderId="36" xfId="0" applyNumberFormat="1" applyFont="1" applyFill="1" applyBorder="1" applyAlignment="1">
      <alignment horizontal="center"/>
    </xf>
    <xf numFmtId="184" fontId="2" fillId="0" borderId="36" xfId="0" applyNumberFormat="1" applyFont="1" applyFill="1" applyBorder="1" applyAlignment="1">
      <alignment horizontal="center"/>
    </xf>
    <xf numFmtId="184" fontId="2" fillId="0" borderId="132" xfId="0" applyNumberFormat="1" applyFont="1" applyFill="1" applyBorder="1" applyAlignment="1">
      <alignment horizontal="center"/>
    </xf>
    <xf numFmtId="2" fontId="4" fillId="0" borderId="40" xfId="0" applyNumberFormat="1" applyFont="1" applyFill="1" applyBorder="1" applyAlignment="1">
      <alignment horizontal="left"/>
    </xf>
    <xf numFmtId="184" fontId="14" fillId="0" borderId="40" xfId="0" applyNumberFormat="1" applyFont="1" applyFill="1" applyBorder="1" applyAlignment="1">
      <alignment horizontal="left"/>
    </xf>
    <xf numFmtId="2" fontId="7" fillId="0" borderId="0" xfId="0" applyNumberFormat="1" applyFont="1" applyFill="1" applyBorder="1" applyAlignment="1">
      <alignment horizontal="right"/>
    </xf>
    <xf numFmtId="2" fontId="7" fillId="0" borderId="23" xfId="0" applyNumberFormat="1" applyFont="1" applyFill="1" applyBorder="1" applyAlignment="1">
      <alignment horizontal="right"/>
    </xf>
    <xf numFmtId="184" fontId="2" fillId="0" borderId="0" xfId="0" applyNumberFormat="1" applyFont="1" applyFill="1" applyBorder="1" applyAlignment="1">
      <alignment horizontal="centerContinuous"/>
    </xf>
    <xf numFmtId="184" fontId="2" fillId="0" borderId="0" xfId="0" applyNumberFormat="1" applyFont="1" applyBorder="1" applyAlignment="1">
      <alignment horizontal="centerContinuous"/>
    </xf>
    <xf numFmtId="184" fontId="2" fillId="0" borderId="23" xfId="0" applyNumberFormat="1" applyFont="1" applyFill="1" applyBorder="1" applyAlignment="1">
      <alignment horizontal="centerContinuous"/>
    </xf>
    <xf numFmtId="0" fontId="6" fillId="0" borderId="0" xfId="5" applyFont="1" applyAlignment="1">
      <alignment horizontal="center"/>
    </xf>
    <xf numFmtId="0" fontId="60" fillId="0" borderId="17" xfId="5" applyFont="1" applyBorder="1" applyAlignment="1">
      <alignment horizontal="center"/>
    </xf>
    <xf numFmtId="0" fontId="31" fillId="0" borderId="129" xfId="5" applyFont="1" applyBorder="1" applyAlignment="1">
      <alignment horizontal="center"/>
    </xf>
    <xf numFmtId="0" fontId="31" fillId="0" borderId="130" xfId="5" applyFont="1" applyBorder="1" applyAlignment="1">
      <alignment horizontal="center"/>
    </xf>
    <xf numFmtId="0" fontId="59" fillId="0" borderId="1" xfId="5" applyFont="1" applyBorder="1" applyAlignment="1">
      <alignment horizontal="center"/>
    </xf>
    <xf numFmtId="0" fontId="58" fillId="0" borderId="1" xfId="5" applyFont="1" applyBorder="1" applyAlignment="1">
      <alignment horizontal="center"/>
    </xf>
    <xf numFmtId="0" fontId="31" fillId="0" borderId="17" xfId="5" applyFont="1" applyBorder="1" applyAlignment="1">
      <alignment horizontal="center"/>
    </xf>
    <xf numFmtId="0" fontId="58" fillId="0" borderId="17" xfId="5" applyFont="1" applyBorder="1" applyAlignment="1">
      <alignment horizontal="right"/>
    </xf>
    <xf numFmtId="0" fontId="58" fillId="0" borderId="129" xfId="5" applyFont="1" applyBorder="1" applyAlignment="1">
      <alignment horizontal="right"/>
    </xf>
    <xf numFmtId="0" fontId="31" fillId="0" borderId="0" xfId="5" applyFont="1" applyAlignment="1">
      <alignment horizontal="center"/>
    </xf>
    <xf numFmtId="0" fontId="59" fillId="0" borderId="0" xfId="5" applyFont="1" applyAlignment="1">
      <alignment horizontal="right"/>
    </xf>
    <xf numFmtId="0" fontId="61" fillId="0" borderId="17" xfId="5" applyFont="1" applyBorder="1" applyAlignment="1">
      <alignment horizontal="center"/>
    </xf>
    <xf numFmtId="0" fontId="61" fillId="0" borderId="129" xfId="5" applyFont="1" applyBorder="1" applyAlignment="1">
      <alignment horizontal="center"/>
    </xf>
    <xf numFmtId="0" fontId="61" fillId="0" borderId="130" xfId="5" applyFont="1" applyBorder="1" applyAlignment="1">
      <alignment horizontal="center"/>
    </xf>
    <xf numFmtId="184" fontId="3" fillId="0" borderId="0" xfId="0" quotePrefix="1" applyNumberFormat="1" applyFont="1" applyBorder="1" applyAlignment="1">
      <alignment horizontal="center"/>
    </xf>
    <xf numFmtId="184" fontId="3" fillId="0" borderId="0" xfId="0" applyNumberFormat="1" applyFont="1" applyBorder="1" applyAlignment="1">
      <alignment horizontal="center"/>
    </xf>
    <xf numFmtId="0" fontId="63" fillId="0" borderId="83" xfId="5" applyFont="1" applyBorder="1" applyAlignment="1">
      <alignment horizontal="center"/>
    </xf>
    <xf numFmtId="0" fontId="63" fillId="0" borderId="0" xfId="5" applyFont="1" applyBorder="1" applyAlignment="1">
      <alignment horizontal="center"/>
    </xf>
    <xf numFmtId="0" fontId="63" fillId="0" borderId="108" xfId="5" applyFont="1" applyBorder="1" applyAlignment="1">
      <alignment horizontal="center"/>
    </xf>
    <xf numFmtId="0" fontId="65" fillId="0" borderId="83" xfId="5" applyFont="1" applyBorder="1" applyAlignment="1">
      <alignment horizontal="center"/>
    </xf>
    <xf numFmtId="0" fontId="65" fillId="0" borderId="0" xfId="5" applyFont="1" applyBorder="1" applyAlignment="1">
      <alignment horizontal="center"/>
    </xf>
    <xf numFmtId="0" fontId="65" fillId="0" borderId="108" xfId="5" applyFont="1" applyBorder="1" applyAlignment="1">
      <alignment horizontal="center"/>
    </xf>
    <xf numFmtId="192" fontId="80" fillId="0" borderId="146" xfId="6" applyFont="1" applyBorder="1" applyAlignment="1" applyProtection="1">
      <alignment horizontal="center"/>
      <protection locked="0"/>
    </xf>
    <xf numFmtId="14" fontId="23" fillId="0" borderId="146" xfId="6" quotePrefix="1" applyNumberFormat="1" applyFont="1" applyBorder="1" applyAlignment="1" applyProtection="1">
      <alignment horizontal="center"/>
      <protection locked="0"/>
    </xf>
  </cellXfs>
  <cellStyles count="7">
    <cellStyle name="Normal" xfId="0" builtinId="0"/>
    <cellStyle name="Normal 2" xfId="1"/>
    <cellStyle name="Normal 3" xfId="5"/>
    <cellStyle name="Normal 4" xfId="6"/>
    <cellStyle name="Normal 5" xfId="4"/>
    <cellStyle name="Normal_OPTEST" xfId="2"/>
    <cellStyle name="Normal_PROJ_REV_HIST" xfId="3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1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S-T Curve Estimation</a:t>
            </a:r>
          </a:p>
        </c:rich>
      </c:tx>
      <c:layout>
        <c:manualLayout>
          <c:xMode val="edge"/>
          <c:yMode val="edge"/>
          <c:x val="0.3396465037246067"/>
          <c:y val="2.101325569597917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6982326707498097"/>
          <c:y val="0.1134708694282645"/>
          <c:w val="0.67929306829992386"/>
          <c:h val="0.68082521656958694"/>
        </c:manualLayout>
      </c:layout>
      <c:scatterChart>
        <c:scatterStyle val="lineMarker"/>
        <c:varyColors val="0"/>
        <c:ser>
          <c:idx val="0"/>
          <c:order val="0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(DesignSheet!$A$59:$A$68,DesignSheet!$D$59:$D$62)</c:f>
              <c:numCache>
                <c:formatCode>0.000</c:formatCode>
                <c:ptCount val="14"/>
                <c:pt idx="0" formatCode="0.00">
                  <c:v>0</c:v>
                </c:pt>
                <c:pt idx="1">
                  <c:v>8.2000000402331352E-3</c:v>
                </c:pt>
                <c:pt idx="2">
                  <c:v>4.1000001132488251E-2</c:v>
                </c:pt>
                <c:pt idx="3" formatCode="0.00">
                  <c:v>9.1473683714866638E-2</c:v>
                </c:pt>
                <c:pt idx="4" formatCode="0.00">
                  <c:v>0.14194737374782562</c:v>
                </c:pt>
                <c:pt idx="5" formatCode="0.00">
                  <c:v>0.19242104887962341</c:v>
                </c:pt>
                <c:pt idx="6" formatCode="0.00">
                  <c:v>0.29336842894554138</c:v>
                </c:pt>
                <c:pt idx="7" formatCode="0.00">
                  <c:v>0.39431580901145935</c:v>
                </c:pt>
                <c:pt idx="8" formatCode="0.00">
                  <c:v>0.49526315927505493</c:v>
                </c:pt>
                <c:pt idx="9" formatCode="0.00">
                  <c:v>0.5962105393409729</c:v>
                </c:pt>
                <c:pt idx="10" formatCode="0.00">
                  <c:v>0.69715785980224609</c:v>
                </c:pt>
                <c:pt idx="11" formatCode="0.00">
                  <c:v>0.79810529947280884</c:v>
                </c:pt>
                <c:pt idx="12" formatCode="0.00">
                  <c:v>0.89905261993408203</c:v>
                </c:pt>
                <c:pt idx="13" formatCode="0.00">
                  <c:v>1</c:v>
                </c:pt>
              </c:numCache>
            </c:numRef>
          </c:xVal>
          <c:yVal>
            <c:numRef>
              <c:f>(DesignSheet!$B$59:$B$68,DesignSheet!$E$59:$E$62)</c:f>
              <c:numCache>
                <c:formatCode>0.0</c:formatCode>
                <c:ptCount val="14"/>
                <c:pt idx="0">
                  <c:v>0</c:v>
                </c:pt>
                <c:pt idx="1">
                  <c:v>129.72441860858342</c:v>
                </c:pt>
                <c:pt idx="2">
                  <c:v>275</c:v>
                </c:pt>
                <c:pt idx="3">
                  <c:v>182.3006743572237</c:v>
                </c:pt>
                <c:pt idx="4">
                  <c:v>137.49738508959916</c:v>
                </c:pt>
                <c:pt idx="5">
                  <c:v>116.46110587373609</c:v>
                </c:pt>
                <c:pt idx="6">
                  <c:v>103.02878805629179</c:v>
                </c:pt>
                <c:pt idx="7">
                  <c:v>96.083922273865824</c:v>
                </c:pt>
                <c:pt idx="8">
                  <c:v>91.713218680081624</c:v>
                </c:pt>
                <c:pt idx="9">
                  <c:v>88.888860018637317</c:v>
                </c:pt>
                <c:pt idx="10">
                  <c:v>87.102331552045285</c:v>
                </c:pt>
                <c:pt idx="11">
                  <c:v>86.007776462303553</c:v>
                </c:pt>
                <c:pt idx="12">
                  <c:v>85.362144814174087</c:v>
                </c:pt>
                <c:pt idx="13">
                  <c:v>85</c:v>
                </c:pt>
              </c:numCache>
            </c:numRef>
          </c:yVal>
          <c:smooth val="1"/>
        </c:ser>
        <c:ser>
          <c:idx val="2"/>
          <c:order val="2"/>
          <c:spPr>
            <a:ln w="12700">
              <a:pattFill prst="pct75">
                <a:fgClr>
                  <a:srgbClr val="000000"/>
                </a:fgClr>
                <a:bgClr>
                  <a:srgbClr val="FFFFFF"/>
                </a:bgClr>
              </a:pattFill>
              <a:prstDash val="solid"/>
            </a:ln>
          </c:spPr>
          <c:marker>
            <c:symbol val="none"/>
          </c:marker>
          <c:xVal>
            <c:numRef>
              <c:f>(DesignSheet!$A$59:$A$68,DesignSheet!$D$59:$D$62)</c:f>
              <c:numCache>
                <c:formatCode>0.000</c:formatCode>
                <c:ptCount val="14"/>
                <c:pt idx="0" formatCode="0.00">
                  <c:v>0</c:v>
                </c:pt>
                <c:pt idx="1">
                  <c:v>8.2000000402331352E-3</c:v>
                </c:pt>
                <c:pt idx="2">
                  <c:v>4.1000001132488251E-2</c:v>
                </c:pt>
                <c:pt idx="3" formatCode="0.00">
                  <c:v>9.1473683714866638E-2</c:v>
                </c:pt>
                <c:pt idx="4" formatCode="0.00">
                  <c:v>0.14194737374782562</c:v>
                </c:pt>
                <c:pt idx="5" formatCode="0.00">
                  <c:v>0.19242104887962341</c:v>
                </c:pt>
                <c:pt idx="6" formatCode="0.00">
                  <c:v>0.29336842894554138</c:v>
                </c:pt>
                <c:pt idx="7" formatCode="0.00">
                  <c:v>0.39431580901145935</c:v>
                </c:pt>
                <c:pt idx="8" formatCode="0.00">
                  <c:v>0.49526315927505493</c:v>
                </c:pt>
                <c:pt idx="9" formatCode="0.00">
                  <c:v>0.5962105393409729</c:v>
                </c:pt>
                <c:pt idx="10" formatCode="0.00">
                  <c:v>0.69715785980224609</c:v>
                </c:pt>
                <c:pt idx="11" formatCode="0.00">
                  <c:v>0.79810529947280884</c:v>
                </c:pt>
                <c:pt idx="12" formatCode="0.00">
                  <c:v>0.89905261993408203</c:v>
                </c:pt>
                <c:pt idx="13" formatCode="0.00">
                  <c:v>1</c:v>
                </c:pt>
              </c:numCache>
            </c:numRef>
          </c:xVal>
          <c:yVal>
            <c:numRef>
              <c:f>DesignSheet!$A$100:$A$113</c:f>
              <c:numCache>
                <c:formatCode>0.0</c:formatCode>
                <c:ptCount val="14"/>
                <c:pt idx="0">
                  <c:v>100</c:v>
                </c:pt>
                <c:pt idx="1">
                  <c:v>98.360000610351563</c:v>
                </c:pt>
                <c:pt idx="2">
                  <c:v>89.474998474121094</c:v>
                </c:pt>
                <c:pt idx="3">
                  <c:v>76.216842651367188</c:v>
                </c:pt>
                <c:pt idx="4">
                  <c:v>63.093681335449219</c:v>
                </c:pt>
                <c:pt idx="5">
                  <c:v>51.667369842529297</c:v>
                </c:pt>
                <c:pt idx="6">
                  <c:v>34.127368927001953</c:v>
                </c:pt>
                <c:pt idx="7">
                  <c:v>22.625261306762695</c:v>
                </c:pt>
                <c:pt idx="8">
                  <c:v>14.378947257995605</c:v>
                </c:pt>
                <c:pt idx="9">
                  <c:v>8.2273674011230469</c:v>
                </c:pt>
                <c:pt idx="10">
                  <c:v>6.0568428039550781</c:v>
                </c:pt>
                <c:pt idx="11">
                  <c:v>7.9621057510375977</c:v>
                </c:pt>
                <c:pt idx="12">
                  <c:v>14.933683395385742</c:v>
                </c:pt>
                <c:pt idx="13">
                  <c:v>30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146240"/>
        <c:axId val="41832448"/>
      </c:scatterChart>
      <c:scatterChart>
        <c:scatterStyle val="lineMarker"/>
        <c:varyColors val="0"/>
        <c:ser>
          <c:idx val="1"/>
          <c:order val="1"/>
          <c:spPr>
            <a:ln w="12700">
              <a:solidFill>
                <a:srgbClr val="000000"/>
              </a:solidFill>
              <a:prstDash val="sysDash"/>
            </a:ln>
          </c:spPr>
          <c:marker>
            <c:symbol val="none"/>
          </c:marker>
          <c:xVal>
            <c:numRef>
              <c:f>(DesignSheet!$A$59:$A$68,DesignSheet!$D$59:$D$62)</c:f>
              <c:numCache>
                <c:formatCode>0.000</c:formatCode>
                <c:ptCount val="14"/>
                <c:pt idx="0" formatCode="0.00">
                  <c:v>0</c:v>
                </c:pt>
                <c:pt idx="1">
                  <c:v>8.2000000402331352E-3</c:v>
                </c:pt>
                <c:pt idx="2">
                  <c:v>4.1000001132488251E-2</c:v>
                </c:pt>
                <c:pt idx="3" formatCode="0.00">
                  <c:v>9.1473683714866638E-2</c:v>
                </c:pt>
                <c:pt idx="4" formatCode="0.00">
                  <c:v>0.14194737374782562</c:v>
                </c:pt>
                <c:pt idx="5" formatCode="0.00">
                  <c:v>0.19242104887962341</c:v>
                </c:pt>
                <c:pt idx="6" formatCode="0.00">
                  <c:v>0.29336842894554138</c:v>
                </c:pt>
                <c:pt idx="7" formatCode="0.00">
                  <c:v>0.39431580901145935</c:v>
                </c:pt>
                <c:pt idx="8" formatCode="0.00">
                  <c:v>0.49526315927505493</c:v>
                </c:pt>
                <c:pt idx="9" formatCode="0.00">
                  <c:v>0.5962105393409729</c:v>
                </c:pt>
                <c:pt idx="10" formatCode="0.00">
                  <c:v>0.69715785980224609</c:v>
                </c:pt>
                <c:pt idx="11" formatCode="0.00">
                  <c:v>0.79810529947280884</c:v>
                </c:pt>
                <c:pt idx="12" formatCode="0.00">
                  <c:v>0.89905261993408203</c:v>
                </c:pt>
                <c:pt idx="13" formatCode="0.00">
                  <c:v>1</c:v>
                </c:pt>
              </c:numCache>
            </c:numRef>
          </c:xVal>
          <c:yVal>
            <c:numRef>
              <c:f>(DesignSheet!$C$59:$C$68,DesignSheet!$F$59:$F$62)</c:f>
              <c:numCache>
                <c:formatCode>0.0</c:formatCode>
                <c:ptCount val="14"/>
                <c:pt idx="0">
                  <c:v>0.27510794997215271</c:v>
                </c:pt>
                <c:pt idx="1">
                  <c:v>123.72718811035156</c:v>
                </c:pt>
                <c:pt idx="2">
                  <c:v>386.89324951171875</c:v>
                </c:pt>
                <c:pt idx="3">
                  <c:v>465.41970825195312</c:v>
                </c:pt>
                <c:pt idx="4">
                  <c:v>487.29736328125</c:v>
                </c:pt>
                <c:pt idx="5">
                  <c:v>496.16641235351562</c:v>
                </c:pt>
                <c:pt idx="6">
                  <c:v>504.03134155273438</c:v>
                </c:pt>
                <c:pt idx="7">
                  <c:v>508.84597778320312</c:v>
                </c:pt>
                <c:pt idx="8">
                  <c:v>513.04864501953125</c:v>
                </c:pt>
                <c:pt idx="9">
                  <c:v>516.8922119140625</c:v>
                </c:pt>
                <c:pt idx="10">
                  <c:v>520.3431396484375</c:v>
                </c:pt>
                <c:pt idx="11">
                  <c:v>523.39019775390625</c:v>
                </c:pt>
                <c:pt idx="12">
                  <c:v>526.0626220703125</c:v>
                </c:pt>
                <c:pt idx="13">
                  <c:v>528.4090576171875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1834368"/>
        <c:axId val="41835904"/>
      </c:scatterChart>
      <c:valAx>
        <c:axId val="41146240"/>
        <c:scaling>
          <c:orientation val="maxMin"/>
          <c:max val="1"/>
        </c:scaling>
        <c:delete val="0"/>
        <c:axPos val="b"/>
        <c:majorGridlines>
          <c:spPr>
            <a:ln w="3175">
              <a:pattFill prst="pct25">
                <a:fgClr>
                  <a:srgbClr val="000000"/>
                </a:fgClr>
                <a:bgClr>
                  <a:srgbClr val="FFFFFF"/>
                </a:bgClr>
              </a:patt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Slip (p.u.)</a:t>
                </a:r>
              </a:p>
            </c:rich>
          </c:tx>
          <c:layout>
            <c:manualLayout>
              <c:xMode val="edge"/>
              <c:yMode val="edge"/>
              <c:x val="0.43751065798856065"/>
              <c:y val="0.89095657160501995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41832448"/>
        <c:crossesAt val="0"/>
        <c:crossBetween val="midCat"/>
        <c:majorUnit val="0.2"/>
        <c:minorUnit val="0.2"/>
      </c:valAx>
      <c:valAx>
        <c:axId val="41832448"/>
        <c:scaling>
          <c:orientation val="minMax"/>
        </c:scaling>
        <c:delete val="0"/>
        <c:axPos val="l"/>
        <c:majorGridlines>
          <c:spPr>
            <a:ln w="3175">
              <a:pattFill prst="pct25">
                <a:fgClr>
                  <a:srgbClr val="000000"/>
                </a:fgClr>
                <a:bgClr>
                  <a:srgbClr val="FFFFFF"/>
                </a:bgClr>
              </a:patt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Torque (%) </a:t>
                </a:r>
              </a:p>
            </c:rich>
          </c:tx>
          <c:layout>
            <c:manualLayout>
              <c:xMode val="edge"/>
              <c:yMode val="edge"/>
              <c:x val="1.4391698147558146E-2"/>
              <c:y val="0.28998125234345706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41146240"/>
        <c:crosses val="max"/>
        <c:crossBetween val="midCat"/>
        <c:majorUnit val="50"/>
        <c:minorUnit val="50"/>
      </c:valAx>
      <c:valAx>
        <c:axId val="41834368"/>
        <c:scaling>
          <c:orientation val="maxMin"/>
        </c:scaling>
        <c:delete val="1"/>
        <c:axPos val="b"/>
        <c:numFmt formatCode="0.00" sourceLinked="1"/>
        <c:majorTickMark val="out"/>
        <c:minorTickMark val="none"/>
        <c:tickLblPos val="nextTo"/>
        <c:crossAx val="41835904"/>
        <c:crosses val="autoZero"/>
        <c:crossBetween val="midCat"/>
      </c:valAx>
      <c:valAx>
        <c:axId val="41835904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pPr>
                  <a:defRPr sz="8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Current (%)</a:t>
                </a:r>
              </a:p>
            </c:rich>
          </c:tx>
          <c:layout>
            <c:manualLayout>
              <c:xMode val="edge"/>
              <c:yMode val="edge"/>
              <c:x val="0.92683203616888932"/>
              <c:y val="0.2563603079026886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41834368"/>
        <c:crosses val="autoZero"/>
        <c:crossBetween val="midCat"/>
      </c:valAx>
      <c:spPr>
        <a:solidFill>
          <a:srgbClr val="E3E3E3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paperSize="9" orientation="landscape" horizontalDpi="-4" verticalDpi="30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1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Design Values</a:t>
            </a:r>
          </a:p>
        </c:rich>
      </c:tx>
      <c:layout>
        <c:manualLayout>
          <c:xMode val="edge"/>
          <c:yMode val="edge"/>
          <c:x val="0.39122874045494183"/>
          <c:y val="2.85171367383710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859672868134712"/>
          <c:y val="0.14068454124263052"/>
          <c:w val="0.71228192208388519"/>
          <c:h val="0.63308043559183735"/>
        </c:manualLayout>
      </c:layout>
      <c:scatterChart>
        <c:scatterStyle val="lineMarker"/>
        <c:varyColors val="0"/>
        <c:ser>
          <c:idx val="2"/>
          <c:order val="2"/>
          <c:tx>
            <c:v>Load (Fan / Pump)</c:v>
          </c:tx>
          <c:spPr>
            <a:ln w="25400">
              <a:solidFill>
                <a:srgbClr val="000000"/>
              </a:solidFill>
              <a:prstDash val="sysDash"/>
            </a:ln>
            <a:effectLst/>
          </c:spPr>
          <c:marker>
            <c:symbol val="none"/>
          </c:marker>
          <c:xVal>
            <c:numRef>
              <c:f>STCurve!$A$54:$A$67</c:f>
              <c:numCache>
                <c:formatCode>0.0</c:formatCode>
                <c:ptCount val="14"/>
                <c:pt idx="0">
                  <c:v>100</c:v>
                </c:pt>
                <c:pt idx="1">
                  <c:v>99.179999995976686</c:v>
                </c:pt>
                <c:pt idx="2">
                  <c:v>95.899999886751175</c:v>
                </c:pt>
                <c:pt idx="3">
                  <c:v>90.852631628513336</c:v>
                </c:pt>
                <c:pt idx="4">
                  <c:v>85.805262625217438</c:v>
                </c:pt>
                <c:pt idx="5">
                  <c:v>80.757895112037659</c:v>
                </c:pt>
                <c:pt idx="6">
                  <c:v>70.663157105445862</c:v>
                </c:pt>
                <c:pt idx="7">
                  <c:v>60.568419098854065</c:v>
                </c:pt>
                <c:pt idx="8">
                  <c:v>50.473684072494507</c:v>
                </c:pt>
                <c:pt idx="9">
                  <c:v>40.37894606590271</c:v>
                </c:pt>
                <c:pt idx="10">
                  <c:v>30.284214019775391</c:v>
                </c:pt>
                <c:pt idx="11">
                  <c:v>20.189470052719116</c:v>
                </c:pt>
                <c:pt idx="12">
                  <c:v>10.094738006591797</c:v>
                </c:pt>
                <c:pt idx="13">
                  <c:v>0</c:v>
                </c:pt>
              </c:numCache>
            </c:numRef>
          </c:xVal>
          <c:yVal>
            <c:numRef>
              <c:f>STCurve!$D$54:$D$67</c:f>
              <c:numCache>
                <c:formatCode>0.0</c:formatCode>
                <c:ptCount val="14"/>
                <c:pt idx="0">
                  <c:v>100</c:v>
                </c:pt>
                <c:pt idx="1">
                  <c:v>98.360000610351563</c:v>
                </c:pt>
                <c:pt idx="2">
                  <c:v>89.474998474121094</c:v>
                </c:pt>
                <c:pt idx="3">
                  <c:v>76.216842651367188</c:v>
                </c:pt>
                <c:pt idx="4">
                  <c:v>63.093681335449219</c:v>
                </c:pt>
                <c:pt idx="5">
                  <c:v>51.667369842529297</c:v>
                </c:pt>
                <c:pt idx="6">
                  <c:v>34.127368927001953</c:v>
                </c:pt>
                <c:pt idx="7">
                  <c:v>22.625261306762695</c:v>
                </c:pt>
                <c:pt idx="8">
                  <c:v>14.378947257995605</c:v>
                </c:pt>
                <c:pt idx="9">
                  <c:v>8.2273674011230469</c:v>
                </c:pt>
                <c:pt idx="10">
                  <c:v>6.0568428039550781</c:v>
                </c:pt>
                <c:pt idx="11">
                  <c:v>7.9621057510375977</c:v>
                </c:pt>
                <c:pt idx="12">
                  <c:v>14.933683395385742</c:v>
                </c:pt>
                <c:pt idx="13">
                  <c:v>30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8533760"/>
        <c:axId val="344983424"/>
      </c:scatterChart>
      <c:scatterChart>
        <c:scatterStyle val="smoothMarker"/>
        <c:varyColors val="0"/>
        <c:ser>
          <c:idx val="0"/>
          <c:order val="0"/>
          <c:tx>
            <c:v>Torque (FV)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STCurve!$A$54:$A$67</c:f>
              <c:numCache>
                <c:formatCode>0.0</c:formatCode>
                <c:ptCount val="14"/>
                <c:pt idx="0">
                  <c:v>100</c:v>
                </c:pt>
                <c:pt idx="1">
                  <c:v>99.179999995976686</c:v>
                </c:pt>
                <c:pt idx="2">
                  <c:v>95.899999886751175</c:v>
                </c:pt>
                <c:pt idx="3">
                  <c:v>90.852631628513336</c:v>
                </c:pt>
                <c:pt idx="4">
                  <c:v>85.805262625217438</c:v>
                </c:pt>
                <c:pt idx="5">
                  <c:v>80.757895112037659</c:v>
                </c:pt>
                <c:pt idx="6">
                  <c:v>70.663157105445862</c:v>
                </c:pt>
                <c:pt idx="7">
                  <c:v>60.568419098854065</c:v>
                </c:pt>
                <c:pt idx="8">
                  <c:v>50.473684072494507</c:v>
                </c:pt>
                <c:pt idx="9">
                  <c:v>40.37894606590271</c:v>
                </c:pt>
                <c:pt idx="10">
                  <c:v>30.284214019775391</c:v>
                </c:pt>
                <c:pt idx="11">
                  <c:v>20.189470052719116</c:v>
                </c:pt>
                <c:pt idx="12">
                  <c:v>10.094738006591797</c:v>
                </c:pt>
                <c:pt idx="13">
                  <c:v>0</c:v>
                </c:pt>
              </c:numCache>
            </c:numRef>
          </c:xVal>
          <c:yVal>
            <c:numRef>
              <c:f>STCurve!$B$54:$B$67</c:f>
              <c:numCache>
                <c:formatCode>0.0</c:formatCode>
                <c:ptCount val="14"/>
                <c:pt idx="0">
                  <c:v>0</c:v>
                </c:pt>
                <c:pt idx="1">
                  <c:v>129.72441860858342</c:v>
                </c:pt>
                <c:pt idx="2">
                  <c:v>275</c:v>
                </c:pt>
                <c:pt idx="3">
                  <c:v>182.3006743572237</c:v>
                </c:pt>
                <c:pt idx="4">
                  <c:v>137.49738508959916</c:v>
                </c:pt>
                <c:pt idx="5">
                  <c:v>116.46110587373609</c:v>
                </c:pt>
                <c:pt idx="6">
                  <c:v>103.02878805629179</c:v>
                </c:pt>
                <c:pt idx="7">
                  <c:v>96.083922273865824</c:v>
                </c:pt>
                <c:pt idx="8">
                  <c:v>91.713218680081624</c:v>
                </c:pt>
                <c:pt idx="9">
                  <c:v>88.888860018637317</c:v>
                </c:pt>
                <c:pt idx="10">
                  <c:v>87.102331552045285</c:v>
                </c:pt>
                <c:pt idx="11">
                  <c:v>86.007776462303553</c:v>
                </c:pt>
                <c:pt idx="12">
                  <c:v>85.362144814174087</c:v>
                </c:pt>
                <c:pt idx="13">
                  <c:v>85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8533760"/>
        <c:axId val="344983424"/>
      </c:scatterChart>
      <c:scatterChart>
        <c:scatterStyle val="lineMarker"/>
        <c:varyColors val="0"/>
        <c:ser>
          <c:idx val="1"/>
          <c:order val="1"/>
          <c:tx>
            <c:v>Current</c:v>
          </c:tx>
          <c:spPr>
            <a:ln w="254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STCurve!$A$54:$A$67</c:f>
              <c:numCache>
                <c:formatCode>0.0</c:formatCode>
                <c:ptCount val="14"/>
                <c:pt idx="0">
                  <c:v>100</c:v>
                </c:pt>
                <c:pt idx="1">
                  <c:v>99.179999995976686</c:v>
                </c:pt>
                <c:pt idx="2">
                  <c:v>95.899999886751175</c:v>
                </c:pt>
                <c:pt idx="3">
                  <c:v>90.852631628513336</c:v>
                </c:pt>
                <c:pt idx="4">
                  <c:v>85.805262625217438</c:v>
                </c:pt>
                <c:pt idx="5">
                  <c:v>80.757895112037659</c:v>
                </c:pt>
                <c:pt idx="6">
                  <c:v>70.663157105445862</c:v>
                </c:pt>
                <c:pt idx="7">
                  <c:v>60.568419098854065</c:v>
                </c:pt>
                <c:pt idx="8">
                  <c:v>50.473684072494507</c:v>
                </c:pt>
                <c:pt idx="9">
                  <c:v>40.37894606590271</c:v>
                </c:pt>
                <c:pt idx="10">
                  <c:v>30.284214019775391</c:v>
                </c:pt>
                <c:pt idx="11">
                  <c:v>20.189470052719116</c:v>
                </c:pt>
                <c:pt idx="12">
                  <c:v>10.094738006591797</c:v>
                </c:pt>
                <c:pt idx="13">
                  <c:v>0</c:v>
                </c:pt>
              </c:numCache>
            </c:numRef>
          </c:xVal>
          <c:yVal>
            <c:numRef>
              <c:f>STCurve!$C$54:$C$67</c:f>
              <c:numCache>
                <c:formatCode>0.0</c:formatCode>
                <c:ptCount val="14"/>
                <c:pt idx="0">
                  <c:v>0.27510794997215271</c:v>
                </c:pt>
                <c:pt idx="1">
                  <c:v>123.72718811035156</c:v>
                </c:pt>
                <c:pt idx="2">
                  <c:v>386.89324951171875</c:v>
                </c:pt>
                <c:pt idx="3">
                  <c:v>465.41970825195312</c:v>
                </c:pt>
                <c:pt idx="4">
                  <c:v>487.29736328125</c:v>
                </c:pt>
                <c:pt idx="5">
                  <c:v>496.16641235351562</c:v>
                </c:pt>
                <c:pt idx="6">
                  <c:v>504.03134155273438</c:v>
                </c:pt>
                <c:pt idx="7">
                  <c:v>508.84597778320312</c:v>
                </c:pt>
                <c:pt idx="8">
                  <c:v>513.04864501953125</c:v>
                </c:pt>
                <c:pt idx="9">
                  <c:v>516.8922119140625</c:v>
                </c:pt>
                <c:pt idx="10">
                  <c:v>520.3431396484375</c:v>
                </c:pt>
                <c:pt idx="11">
                  <c:v>523.39019775390625</c:v>
                </c:pt>
                <c:pt idx="12">
                  <c:v>526.0626220703125</c:v>
                </c:pt>
                <c:pt idx="13">
                  <c:v>528.4090576171875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5031040"/>
        <c:axId val="345032960"/>
      </c:scatterChart>
      <c:valAx>
        <c:axId val="338533760"/>
        <c:scaling>
          <c:orientation val="minMax"/>
          <c:max val="10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Synchronous Speed</a:t>
                </a:r>
              </a:p>
            </c:rich>
          </c:tx>
          <c:layout>
            <c:manualLayout>
              <c:xMode val="edge"/>
              <c:yMode val="edge"/>
              <c:x val="0.33508829339414303"/>
              <c:y val="0.8460083899050078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344983424"/>
        <c:crosses val="autoZero"/>
        <c:crossBetween val="midCat"/>
        <c:majorUnit val="20"/>
        <c:minorUnit val="20"/>
      </c:valAx>
      <c:valAx>
        <c:axId val="344983424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Full-Load Torque</a:t>
                </a:r>
              </a:p>
            </c:rich>
          </c:tx>
          <c:layout>
            <c:manualLayout>
              <c:xMode val="edge"/>
              <c:yMode val="edge"/>
              <c:x val="2.8070223530399414E-2"/>
              <c:y val="0.29657822207905893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338533760"/>
        <c:crosses val="autoZero"/>
        <c:crossBetween val="midCat"/>
      </c:valAx>
      <c:valAx>
        <c:axId val="345031040"/>
        <c:scaling>
          <c:orientation val="minMax"/>
        </c:scaling>
        <c:delete val="1"/>
        <c:axPos val="b"/>
        <c:numFmt formatCode="0.0" sourceLinked="1"/>
        <c:majorTickMark val="out"/>
        <c:minorTickMark val="none"/>
        <c:tickLblPos val="nextTo"/>
        <c:crossAx val="345032960"/>
        <c:crosses val="autoZero"/>
        <c:crossBetween val="midCat"/>
      </c:valAx>
      <c:valAx>
        <c:axId val="345032960"/>
        <c:scaling>
          <c:orientation val="minMax"/>
          <c:max val="900"/>
        </c:scaling>
        <c:delete val="0"/>
        <c:axPos val="r"/>
        <c:title>
          <c:tx>
            <c:rich>
              <a:bodyPr/>
              <a:lstStyle/>
              <a:p>
                <a:pPr>
                  <a:defRPr sz="11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Full-Load Current</a:t>
                </a:r>
              </a:p>
            </c:rich>
          </c:tx>
          <c:layout>
            <c:manualLayout>
              <c:xMode val="edge"/>
              <c:yMode val="edge"/>
              <c:x val="0.92456298753253074"/>
              <c:y val="0.29277593718060946"/>
            </c:manualLayout>
          </c:layout>
          <c:overlay val="0"/>
          <c:spPr>
            <a:solidFill>
              <a:srgbClr val="FFFFFF"/>
            </a:solidFill>
            <a:ln w="25400">
              <a:noFill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345031040"/>
        <c:crosses val="max"/>
        <c:crossBetween val="midCat"/>
        <c:majorUnit val="150"/>
      </c:valAx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34210584927674287"/>
          <c:y val="0.89797291498258536"/>
          <c:w val="0.25090132154533312"/>
          <c:h val="0.10202708501741464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 horizontalDpi="0" verticalDpi="30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82084690553746"/>
          <c:y val="2.3668656149350608E-2"/>
          <c:w val="0.81921824104234531"/>
          <c:h val="0.86834382247930042"/>
        </c:manualLayout>
      </c:layout>
      <c:scatterChart>
        <c:scatterStyle val="smoothMarker"/>
        <c:varyColors val="0"/>
        <c:ser>
          <c:idx val="0"/>
          <c:order val="0"/>
          <c:tx>
            <c:v>Cold Stall</c:v>
          </c:tx>
          <c:spPr>
            <a:ln w="25400">
              <a:solidFill>
                <a:srgbClr val="0080C0"/>
              </a:solidFill>
              <a:prstDash val="solid"/>
            </a:ln>
          </c:spPr>
          <c:marker>
            <c:symbol val="none"/>
          </c:marker>
          <c:xVal>
            <c:numRef>
              <c:f>Thermdam!$A$68:$A$71</c:f>
              <c:numCache>
                <c:formatCode>0</c:formatCode>
                <c:ptCount val="4"/>
                <c:pt idx="0">
                  <c:v>528.40909090909088</c:v>
                </c:pt>
                <c:pt idx="1">
                  <c:v>492.94294090909091</c:v>
                </c:pt>
                <c:pt idx="2">
                  <c:v>457.46614999999997</c:v>
                </c:pt>
                <c:pt idx="3">
                  <c:v>422</c:v>
                </c:pt>
              </c:numCache>
            </c:numRef>
          </c:xVal>
          <c:yVal>
            <c:numRef>
              <c:f>Thermdam!$B$68:$B$71</c:f>
              <c:numCache>
                <c:formatCode>0.00</c:formatCode>
                <c:ptCount val="4"/>
                <c:pt idx="0">
                  <c:v>35</c:v>
                </c:pt>
                <c:pt idx="1">
                  <c:v>40.217521466291672</c:v>
                </c:pt>
                <c:pt idx="2">
                  <c:v>46.697182449587856</c:v>
                </c:pt>
                <c:pt idx="3">
                  <c:v>54.876158764616783</c:v>
                </c:pt>
              </c:numCache>
            </c:numRef>
          </c:yVal>
          <c:smooth val="1"/>
        </c:ser>
        <c:ser>
          <c:idx val="1"/>
          <c:order val="1"/>
          <c:tx>
            <c:v>Hot Stall</c:v>
          </c:tx>
          <c:spPr>
            <a:ln w="25400">
              <a:solidFill>
                <a:srgbClr val="996666"/>
              </a:solidFill>
              <a:prstDash val="solid"/>
            </a:ln>
          </c:spPr>
          <c:marker>
            <c:symbol val="none"/>
          </c:marker>
          <c:xVal>
            <c:numRef>
              <c:f>Thermdam!$A$68:$A$71</c:f>
              <c:numCache>
                <c:formatCode>0</c:formatCode>
                <c:ptCount val="4"/>
                <c:pt idx="0">
                  <c:v>528.40909090909088</c:v>
                </c:pt>
                <c:pt idx="1">
                  <c:v>492.94294090909091</c:v>
                </c:pt>
                <c:pt idx="2">
                  <c:v>457.46614999999997</c:v>
                </c:pt>
                <c:pt idx="3">
                  <c:v>422</c:v>
                </c:pt>
              </c:numCache>
            </c:numRef>
          </c:xVal>
          <c:yVal>
            <c:numRef>
              <c:f>Thermdam!$C$68:$C$71</c:f>
              <c:numCache>
                <c:formatCode>0.00</c:formatCode>
                <c:ptCount val="4"/>
                <c:pt idx="0">
                  <c:v>15</c:v>
                </c:pt>
                <c:pt idx="1">
                  <c:v>17.236080628410715</c:v>
                </c:pt>
                <c:pt idx="2">
                  <c:v>20.01307819268051</c:v>
                </c:pt>
                <c:pt idx="3">
                  <c:v>23.518353756264336</c:v>
                </c:pt>
              </c:numCache>
            </c:numRef>
          </c:yVal>
          <c:smooth val="1"/>
        </c:ser>
        <c:ser>
          <c:idx val="2"/>
          <c:order val="2"/>
          <c:tx>
            <c:v>Running Condition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Thermdam!$A$72:$A$79</c:f>
              <c:numCache>
                <c:formatCode>0</c:formatCode>
                <c:ptCount val="8"/>
                <c:pt idx="0">
                  <c:v>322</c:v>
                </c:pt>
                <c:pt idx="1">
                  <c:v>222</c:v>
                </c:pt>
                <c:pt idx="2">
                  <c:v>275</c:v>
                </c:pt>
                <c:pt idx="3" formatCode="General">
                  <c:v>180</c:v>
                </c:pt>
                <c:pt idx="4" formatCode="General">
                  <c:v>145</c:v>
                </c:pt>
                <c:pt idx="5" formatCode="General">
                  <c:v>125</c:v>
                </c:pt>
                <c:pt idx="6" formatCode="General">
                  <c:v>125</c:v>
                </c:pt>
                <c:pt idx="7" formatCode="General">
                  <c:v>125</c:v>
                </c:pt>
              </c:numCache>
            </c:numRef>
          </c:xVal>
          <c:yVal>
            <c:numRef>
              <c:f>Thermdam!$C$72:$C$79</c:f>
              <c:numCache>
                <c:formatCode>0.00</c:formatCode>
                <c:ptCount val="8"/>
                <c:pt idx="2">
                  <c:v>55.381719144867155</c:v>
                </c:pt>
                <c:pt idx="3">
                  <c:v>129.26674414600552</c:v>
                </c:pt>
                <c:pt idx="4">
                  <c:v>199.20297314295257</c:v>
                </c:pt>
                <c:pt idx="5" formatCode="0">
                  <c:v>400</c:v>
                </c:pt>
                <c:pt idx="6" formatCode="0">
                  <c:v>800</c:v>
                </c:pt>
                <c:pt idx="7" formatCode="General">
                  <c:v>10000</c:v>
                </c:pt>
              </c:numCache>
            </c:numRef>
          </c:yVal>
          <c:smooth val="1"/>
        </c:ser>
        <c:ser>
          <c:idx val="3"/>
          <c:order val="3"/>
          <c:tx>
            <c:v>Acceleration Curve</c:v>
          </c:tx>
          <c:spPr>
            <a:ln w="25400">
              <a:solidFill>
                <a:srgbClr val="336666"/>
              </a:solidFill>
              <a:prstDash val="solid"/>
            </a:ln>
          </c:spPr>
          <c:marker>
            <c:symbol val="none"/>
          </c:marker>
          <c:xVal>
            <c:numRef>
              <c:f>Thermdam!$E$68:$E$81</c:f>
              <c:numCache>
                <c:formatCode>0</c:formatCode>
                <c:ptCount val="14"/>
                <c:pt idx="0">
                  <c:v>528.40909090909088</c:v>
                </c:pt>
                <c:pt idx="1">
                  <c:v>527.27272727272725</c:v>
                </c:pt>
                <c:pt idx="2">
                  <c:v>524.77272727272725</c:v>
                </c:pt>
                <c:pt idx="3">
                  <c:v>521.81818181818187</c:v>
                </c:pt>
                <c:pt idx="4">
                  <c:v>518.63636363636363</c:v>
                </c:pt>
                <c:pt idx="5">
                  <c:v>515</c:v>
                </c:pt>
                <c:pt idx="6">
                  <c:v>510.90909090909093</c:v>
                </c:pt>
                <c:pt idx="7">
                  <c:v>506.47727272727275</c:v>
                </c:pt>
                <c:pt idx="8">
                  <c:v>500.11363636363637</c:v>
                </c:pt>
                <c:pt idx="9">
                  <c:v>491.70454545454544</c:v>
                </c:pt>
                <c:pt idx="10">
                  <c:v>476.36363636363637</c:v>
                </c:pt>
                <c:pt idx="11">
                  <c:v>426.13636363636363</c:v>
                </c:pt>
                <c:pt idx="12">
                  <c:v>125</c:v>
                </c:pt>
                <c:pt idx="13">
                  <c:v>0</c:v>
                </c:pt>
              </c:numCache>
            </c:numRef>
          </c:xVal>
          <c:yVal>
            <c:numRef>
              <c:f>Thermdam!$F$68:$F$81</c:f>
              <c:numCache>
                <c:formatCode>0.00</c:formatCode>
                <c:ptCount val="14"/>
                <c:pt idx="0">
                  <c:v>1E-4</c:v>
                </c:pt>
                <c:pt idx="1">
                  <c:v>1.1330000162124634</c:v>
                </c:pt>
                <c:pt idx="2">
                  <c:v>2.0899999141693115</c:v>
                </c:pt>
                <c:pt idx="3">
                  <c:v>2.9829998016357422</c:v>
                </c:pt>
                <c:pt idx="4">
                  <c:v>3.8609998226165771</c:v>
                </c:pt>
                <c:pt idx="5">
                  <c:v>4.7599997520446777</c:v>
                </c:pt>
                <c:pt idx="6">
                  <c:v>5.7019996643066406</c:v>
                </c:pt>
                <c:pt idx="7">
                  <c:v>6.6999998092651367</c:v>
                </c:pt>
                <c:pt idx="8">
                  <c:v>7.7630000114440918</c:v>
                </c:pt>
                <c:pt idx="9">
                  <c:v>8.2729997634887695</c:v>
                </c:pt>
                <c:pt idx="10">
                  <c:v>8.6669998168945313</c:v>
                </c:pt>
                <c:pt idx="11">
                  <c:v>8.9110002517700195</c:v>
                </c:pt>
                <c:pt idx="12">
                  <c:v>9.1240005493164062</c:v>
                </c:pt>
                <c:pt idx="13">
                  <c:v>9.2190008163452148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862848"/>
        <c:axId val="102864768"/>
      </c:scatterChart>
      <c:valAx>
        <c:axId val="102862848"/>
        <c:scaling>
          <c:orientation val="minMax"/>
          <c:max val="1000"/>
          <c:min val="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of Full Load Current</a:t>
                </a:r>
              </a:p>
            </c:rich>
          </c:tx>
          <c:layout>
            <c:manualLayout>
              <c:xMode val="edge"/>
              <c:yMode val="edge"/>
              <c:x val="0.41530944625407168"/>
              <c:y val="0.94970482799269307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in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2864768"/>
        <c:crossesAt val="0.1"/>
        <c:crossBetween val="midCat"/>
        <c:majorUnit val="100"/>
      </c:valAx>
      <c:valAx>
        <c:axId val="102864768"/>
        <c:scaling>
          <c:logBase val="10"/>
          <c:orientation val="minMax"/>
          <c:max val="10000"/>
          <c:min val="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Time in Seconds</a:t>
                </a:r>
              </a:p>
            </c:rich>
          </c:tx>
          <c:layout>
            <c:manualLayout>
              <c:xMode val="edge"/>
              <c:yMode val="edge"/>
              <c:x val="3.5830618892508145E-2"/>
              <c:y val="0.3757399163709409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2862848"/>
        <c:crosses val="autoZero"/>
        <c:crossBetween val="midCat"/>
        <c:minorUnit val="1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7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9689952292200055"/>
          <c:y val="3.5984915040754913E-2"/>
          <c:w val="0.6201559777070883"/>
          <c:h val="0.82386516014359934"/>
        </c:manualLayout>
      </c:layout>
      <c:scatterChart>
        <c:scatterStyle val="smoothMarker"/>
        <c:varyColors val="0"/>
        <c:ser>
          <c:idx val="0"/>
          <c:order val="0"/>
          <c:tx>
            <c:v>Efficiency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xVal>
            <c:numRef>
              <c:f>Performance!$A$54:$A$59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Performance!$B$54:$B$59</c:f>
              <c:numCache>
                <c:formatCode>0.0</c:formatCode>
                <c:ptCount val="6"/>
                <c:pt idx="1">
                  <c:v>90.845504760742187</c:v>
                </c:pt>
                <c:pt idx="2">
                  <c:v>94.222488403320312</c:v>
                </c:pt>
                <c:pt idx="3">
                  <c:v>95.122550964355469</c:v>
                </c:pt>
                <c:pt idx="4">
                  <c:v>95.352523803710938</c:v>
                </c:pt>
                <c:pt idx="5">
                  <c:v>95.301795959472656</c:v>
                </c:pt>
              </c:numCache>
            </c:numRef>
          </c:yVal>
          <c:smooth val="1"/>
        </c:ser>
        <c:ser>
          <c:idx val="1"/>
          <c:order val="1"/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Performance!$A$55:$A$59</c:f>
              <c:numCache>
                <c:formatCode>0.0</c:formatCode>
                <c:ptCount val="5"/>
                <c:pt idx="0">
                  <c:v>25</c:v>
                </c:pt>
                <c:pt idx="1">
                  <c:v>50</c:v>
                </c:pt>
                <c:pt idx="2">
                  <c:v>75</c:v>
                </c:pt>
                <c:pt idx="3">
                  <c:v>100</c:v>
                </c:pt>
                <c:pt idx="4">
                  <c:v>125</c:v>
                </c:pt>
              </c:numCache>
            </c:numRef>
          </c:xVal>
          <c:yVal>
            <c:numRef>
              <c:f>Performance!$C$55:$C$59</c:f>
              <c:numCache>
                <c:formatCode>0.0</c:formatCode>
                <c:ptCount val="5"/>
                <c:pt idx="0">
                  <c:v>60.976840972900391</c:v>
                </c:pt>
                <c:pt idx="1">
                  <c:v>80.865036010742187</c:v>
                </c:pt>
                <c:pt idx="2">
                  <c:v>87.268814086914063</c:v>
                </c:pt>
                <c:pt idx="3">
                  <c:v>89.598526000976563</c:v>
                </c:pt>
                <c:pt idx="4">
                  <c:v>90.38427734375</c:v>
                </c:pt>
              </c:numCache>
            </c:numRef>
          </c:yVal>
          <c:smooth val="1"/>
        </c:ser>
        <c:ser>
          <c:idx val="3"/>
          <c:order val="3"/>
          <c:spPr>
            <a:ln w="25400">
              <a:solidFill>
                <a:srgbClr val="3333CC"/>
              </a:solidFill>
              <a:prstDash val="solid"/>
            </a:ln>
          </c:spPr>
          <c:marker>
            <c:symbol val="none"/>
          </c:marker>
          <c:xVal>
            <c:numRef>
              <c:f>Performance!$A$54:$A$59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Performance!$E$54:$E$59</c:f>
              <c:numCache>
                <c:formatCode>0.0</c:formatCode>
                <c:ptCount val="6"/>
                <c:pt idx="0">
                  <c:v>100</c:v>
                </c:pt>
                <c:pt idx="1">
                  <c:v>82.500937407564777</c:v>
                </c:pt>
                <c:pt idx="2">
                  <c:v>71.754360266507831</c:v>
                </c:pt>
                <c:pt idx="3">
                  <c:v>60.792943114381323</c:v>
                </c:pt>
                <c:pt idx="4">
                  <c:v>49.715420489551285</c:v>
                </c:pt>
                <c:pt idx="5">
                  <c:v>38.436511262518877</c:v>
                </c:pt>
              </c:numCache>
            </c:numRef>
          </c:yVal>
          <c:smooth val="1"/>
        </c:ser>
        <c:ser>
          <c:idx val="4"/>
          <c:order val="4"/>
          <c:spPr>
            <a:ln w="25400">
              <a:solidFill>
                <a:srgbClr val="339933"/>
              </a:solidFill>
              <a:prstDash val="solid"/>
            </a:ln>
          </c:spPr>
          <c:marker>
            <c:symbol val="none"/>
          </c:marker>
          <c:xVal>
            <c:numRef>
              <c:f>Performance!$A$54:$A$59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Performance!$F$54:$F$59</c:f>
              <c:numCache>
                <c:formatCode>0.0</c:formatCode>
                <c:ptCount val="6"/>
                <c:pt idx="0">
                  <c:v>0.75</c:v>
                </c:pt>
                <c:pt idx="1">
                  <c:v>10.259517644350799</c:v>
                </c:pt>
                <c:pt idx="2">
                  <c:v>19.783619192883098</c:v>
                </c:pt>
                <c:pt idx="3">
                  <c:v>29.394633240944575</c:v>
                </c:pt>
                <c:pt idx="4">
                  <c:v>39.09831816416775</c:v>
                </c:pt>
                <c:pt idx="5">
                  <c:v>48.898908823468659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363776"/>
        <c:axId val="114370048"/>
      </c:scatterChart>
      <c:scatterChart>
        <c:scatterStyle val="lineMarker"/>
        <c:varyColors val="0"/>
        <c:ser>
          <c:idx val="2"/>
          <c:order val="2"/>
          <c:spPr>
            <a:ln w="25400">
              <a:solidFill>
                <a:srgbClr val="333300"/>
              </a:solidFill>
              <a:prstDash val="solid"/>
            </a:ln>
          </c:spPr>
          <c:marker>
            <c:symbol val="none"/>
          </c:marker>
          <c:xVal>
            <c:numRef>
              <c:f>Performance!$A$54:$A$59</c:f>
              <c:numCache>
                <c:formatCode>0.0</c:formatCode>
                <c:ptCount val="6"/>
                <c:pt idx="0">
                  <c:v>0</c:v>
                </c:pt>
                <c:pt idx="1">
                  <c:v>25</c:v>
                </c:pt>
                <c:pt idx="2">
                  <c:v>50</c:v>
                </c:pt>
                <c:pt idx="3">
                  <c:v>75</c:v>
                </c:pt>
                <c:pt idx="4">
                  <c:v>100</c:v>
                </c:pt>
                <c:pt idx="5">
                  <c:v>125</c:v>
                </c:pt>
              </c:numCache>
            </c:numRef>
          </c:xVal>
          <c:yVal>
            <c:numRef>
              <c:f>Performance!$D$54:$D$59</c:f>
              <c:numCache>
                <c:formatCode>0.0</c:formatCode>
                <c:ptCount val="6"/>
                <c:pt idx="0">
                  <c:v>24.717900167930161</c:v>
                </c:pt>
                <c:pt idx="1">
                  <c:v>34.000255584716797</c:v>
                </c:pt>
                <c:pt idx="2">
                  <c:v>49.438480377197266</c:v>
                </c:pt>
                <c:pt idx="3">
                  <c:v>68.065826416015625</c:v>
                </c:pt>
                <c:pt idx="4">
                  <c:v>88.181480407714844</c:v>
                </c:pt>
                <c:pt idx="5">
                  <c:v>109.32675170898437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4371968"/>
        <c:axId val="114377856"/>
      </c:scatterChart>
      <c:valAx>
        <c:axId val="114363776"/>
        <c:scaling>
          <c:orientation val="minMax"/>
          <c:max val="125"/>
          <c:min val="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Load </a:t>
                </a:r>
              </a:p>
            </c:rich>
          </c:tx>
          <c:layout>
            <c:manualLayout>
              <c:xMode val="edge"/>
              <c:yMode val="edge"/>
              <c:x val="0.43565957433922958"/>
              <c:y val="0.92045624788457303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4370048"/>
        <c:crossesAt val="0"/>
        <c:crossBetween val="midCat"/>
        <c:majorUnit val="25"/>
        <c:minorUnit val="12.5"/>
      </c:valAx>
      <c:valAx>
        <c:axId val="114370048"/>
        <c:scaling>
          <c:orientation val="minMax"/>
          <c:max val="100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Efficiency &amp; Power Factor (%)</a:t>
                </a:r>
              </a:p>
            </c:rich>
          </c:tx>
          <c:layout>
            <c:manualLayout>
              <c:xMode val="edge"/>
              <c:yMode val="edge"/>
              <c:x val="0.1193800257086145"/>
              <c:y val="0.2556822910790480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4363776"/>
        <c:crosses val="autoZero"/>
        <c:crossBetween val="midCat"/>
        <c:majorUnit val="10"/>
        <c:minorUnit val="5"/>
      </c:valAx>
      <c:valAx>
        <c:axId val="114371968"/>
        <c:scaling>
          <c:orientation val="minMax"/>
        </c:scaling>
        <c:delete val="1"/>
        <c:axPos val="b"/>
        <c:numFmt formatCode="0.0" sourceLinked="1"/>
        <c:majorTickMark val="out"/>
        <c:minorTickMark val="none"/>
        <c:tickLblPos val="nextTo"/>
        <c:crossAx val="114377856"/>
        <c:crosses val="autoZero"/>
        <c:crossBetween val="midCat"/>
      </c:valAx>
      <c:valAx>
        <c:axId val="114377856"/>
        <c:scaling>
          <c:orientation val="minMax"/>
          <c:max val="200"/>
        </c:scaling>
        <c:delete val="0"/>
        <c:axPos val="r"/>
        <c:title>
          <c:tx>
            <c:rich>
              <a:bodyPr/>
              <a:lstStyle/>
              <a:p>
                <a:pPr>
                  <a:defRPr sz="1125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Load Current (Amps)</a:t>
                </a:r>
              </a:p>
            </c:rich>
          </c:tx>
          <c:layout>
            <c:manualLayout>
              <c:xMode val="edge"/>
              <c:yMode val="edge"/>
              <c:x val="0.87907109839979769"/>
              <c:y val="0.32007634957303055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4371968"/>
        <c:crosses val="max"/>
        <c:crossBetween val="midCat"/>
        <c:majorUnit val="20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56</xdr:row>
      <xdr:rowOff>9525</xdr:rowOff>
    </xdr:from>
    <xdr:to>
      <xdr:col>9</xdr:col>
      <xdr:colOff>809625</xdr:colOff>
      <xdr:row>67</xdr:row>
      <xdr:rowOff>180975</xdr:rowOff>
    </xdr:to>
    <xdr:graphicFrame macro="">
      <xdr:nvGraphicFramePr>
        <xdr:cNvPr id="2064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152400</xdr:colOff>
      <xdr:row>43</xdr:row>
      <xdr:rowOff>0</xdr:rowOff>
    </xdr:from>
    <xdr:to>
      <xdr:col>9</xdr:col>
      <xdr:colOff>361950</xdr:colOff>
      <xdr:row>43</xdr:row>
      <xdr:rowOff>0</xdr:rowOff>
    </xdr:to>
    <xdr:sp macro="" textlink="">
      <xdr:nvSpPr>
        <xdr:cNvPr id="2" name="Rectangle 1"/>
        <xdr:cNvSpPr>
          <a:spLocks noChangeArrowheads="1"/>
        </xdr:cNvSpPr>
      </xdr:nvSpPr>
      <xdr:spPr bwMode="auto">
        <a:xfrm>
          <a:off x="5495925" y="9896475"/>
          <a:ext cx="209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19050</xdr:colOff>
      <xdr:row>43</xdr:row>
      <xdr:rowOff>0</xdr:rowOff>
    </xdr:from>
    <xdr:to>
      <xdr:col>9</xdr:col>
      <xdr:colOff>333375</xdr:colOff>
      <xdr:row>43</xdr:row>
      <xdr:rowOff>0</xdr:rowOff>
    </xdr:to>
    <xdr:sp macro="" textlink="">
      <xdr:nvSpPr>
        <xdr:cNvPr id="3" name="Rectangle 2"/>
        <xdr:cNvSpPr>
          <a:spLocks noChangeArrowheads="1"/>
        </xdr:cNvSpPr>
      </xdr:nvSpPr>
      <xdr:spPr bwMode="auto">
        <a:xfrm>
          <a:off x="5362575" y="989647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28575</xdr:colOff>
      <xdr:row>43</xdr:row>
      <xdr:rowOff>0</xdr:rowOff>
    </xdr:from>
    <xdr:to>
      <xdr:col>9</xdr:col>
      <xdr:colOff>342900</xdr:colOff>
      <xdr:row>43</xdr:row>
      <xdr:rowOff>0</xdr:rowOff>
    </xdr:to>
    <xdr:sp macro="" textlink="">
      <xdr:nvSpPr>
        <xdr:cNvPr id="4" name="Rectangle 3"/>
        <xdr:cNvSpPr>
          <a:spLocks noChangeArrowheads="1"/>
        </xdr:cNvSpPr>
      </xdr:nvSpPr>
      <xdr:spPr bwMode="auto">
        <a:xfrm>
          <a:off x="5372100" y="989647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0</xdr:colOff>
      <xdr:row>43</xdr:row>
      <xdr:rowOff>0</xdr:rowOff>
    </xdr:from>
    <xdr:to>
      <xdr:col>9</xdr:col>
      <xdr:colOff>409575</xdr:colOff>
      <xdr:row>43</xdr:row>
      <xdr:rowOff>0</xdr:rowOff>
    </xdr:to>
    <xdr:sp macro="" textlink="">
      <xdr:nvSpPr>
        <xdr:cNvPr id="5" name="Rectangle 4"/>
        <xdr:cNvSpPr>
          <a:spLocks noChangeArrowheads="1"/>
        </xdr:cNvSpPr>
      </xdr:nvSpPr>
      <xdr:spPr bwMode="auto">
        <a:xfrm>
          <a:off x="5343525" y="989647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142875</xdr:colOff>
      <xdr:row>43</xdr:row>
      <xdr:rowOff>0</xdr:rowOff>
    </xdr:from>
    <xdr:to>
      <xdr:col>9</xdr:col>
      <xdr:colOff>361950</xdr:colOff>
      <xdr:row>43</xdr:row>
      <xdr:rowOff>0</xdr:rowOff>
    </xdr:to>
    <xdr:sp macro="" textlink="">
      <xdr:nvSpPr>
        <xdr:cNvPr id="6" name="Rectangle 5"/>
        <xdr:cNvSpPr>
          <a:spLocks noChangeArrowheads="1"/>
        </xdr:cNvSpPr>
      </xdr:nvSpPr>
      <xdr:spPr bwMode="auto">
        <a:xfrm>
          <a:off x="5486400" y="9896475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42</xdr:row>
      <xdr:rowOff>152400</xdr:rowOff>
    </xdr:from>
    <xdr:to>
      <xdr:col>3</xdr:col>
      <xdr:colOff>314325</xdr:colOff>
      <xdr:row>43</xdr:row>
      <xdr:rowOff>47625</xdr:rowOff>
    </xdr:to>
    <xdr:sp macro="" textlink="">
      <xdr:nvSpPr>
        <xdr:cNvPr id="7" name="Radius"/>
        <xdr:cNvSpPr txBox="1">
          <a:spLocks noChangeArrowheads="1"/>
        </xdr:cNvSpPr>
      </xdr:nvSpPr>
      <xdr:spPr bwMode="auto">
        <a:xfrm>
          <a:off x="1714500" y="9820275"/>
          <a:ext cx="295275" cy="12382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261.4</a:t>
          </a:r>
        </a:p>
      </xdr:txBody>
    </xdr:sp>
    <xdr:clientData/>
  </xdr:twoCellAnchor>
  <xdr:twoCellAnchor>
    <xdr:from>
      <xdr:col>2</xdr:col>
      <xdr:colOff>409575</xdr:colOff>
      <xdr:row>41</xdr:row>
      <xdr:rowOff>19050</xdr:rowOff>
    </xdr:from>
    <xdr:to>
      <xdr:col>3</xdr:col>
      <xdr:colOff>200025</xdr:colOff>
      <xdr:row>41</xdr:row>
      <xdr:rowOff>114300</xdr:rowOff>
    </xdr:to>
    <xdr:sp macro="" textlink="">
      <xdr:nvSpPr>
        <xdr:cNvPr id="8" name="Height"/>
        <xdr:cNvSpPr txBox="1">
          <a:spLocks noChangeArrowheads="1"/>
        </xdr:cNvSpPr>
      </xdr:nvSpPr>
      <xdr:spPr bwMode="auto">
        <a:xfrm>
          <a:off x="1609725" y="9458325"/>
          <a:ext cx="285750" cy="952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25.0</a:t>
          </a:r>
        </a:p>
      </xdr:txBody>
    </xdr:sp>
    <xdr:clientData/>
  </xdr:twoCellAnchor>
  <xdr:twoCellAnchor>
    <xdr:from>
      <xdr:col>2</xdr:col>
      <xdr:colOff>28575</xdr:colOff>
      <xdr:row>41</xdr:row>
      <xdr:rowOff>104775</xdr:rowOff>
    </xdr:from>
    <xdr:to>
      <xdr:col>2</xdr:col>
      <xdr:colOff>285750</xdr:colOff>
      <xdr:row>41</xdr:row>
      <xdr:rowOff>219075</xdr:rowOff>
    </xdr:to>
    <xdr:sp macro="" textlink="">
      <xdr:nvSpPr>
        <xdr:cNvPr id="9" name="Clear"/>
        <xdr:cNvSpPr txBox="1">
          <a:spLocks noChangeArrowheads="1"/>
        </xdr:cNvSpPr>
      </xdr:nvSpPr>
      <xdr:spPr bwMode="auto">
        <a:xfrm>
          <a:off x="1228725" y="9544050"/>
          <a:ext cx="257175" cy="11430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40.0</a:t>
          </a:r>
        </a:p>
      </xdr:txBody>
    </xdr:sp>
    <xdr:clientData/>
  </xdr:twoCellAnchor>
  <xdr:twoCellAnchor>
    <xdr:from>
      <xdr:col>2</xdr:col>
      <xdr:colOff>361950</xdr:colOff>
      <xdr:row>42</xdr:row>
      <xdr:rowOff>19050</xdr:rowOff>
    </xdr:from>
    <xdr:to>
      <xdr:col>3</xdr:col>
      <xdr:colOff>57150</xdr:colOff>
      <xdr:row>42</xdr:row>
      <xdr:rowOff>123825</xdr:rowOff>
    </xdr:to>
    <xdr:sp macro="" textlink="">
      <xdr:nvSpPr>
        <xdr:cNvPr id="10" name="Thickness"/>
        <xdr:cNvSpPr txBox="1">
          <a:spLocks noChangeArrowheads="1"/>
        </xdr:cNvSpPr>
      </xdr:nvSpPr>
      <xdr:spPr bwMode="auto">
        <a:xfrm>
          <a:off x="1562100" y="9686925"/>
          <a:ext cx="190500" cy="1047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70.0</a:t>
          </a:r>
        </a:p>
      </xdr:txBody>
    </xdr:sp>
    <xdr:clientData/>
  </xdr:twoCellAnchor>
  <xdr:twoCellAnchor>
    <xdr:from>
      <xdr:col>1</xdr:col>
      <xdr:colOff>133350</xdr:colOff>
      <xdr:row>39</xdr:row>
      <xdr:rowOff>180975</xdr:rowOff>
    </xdr:from>
    <xdr:to>
      <xdr:col>3</xdr:col>
      <xdr:colOff>371475</xdr:colOff>
      <xdr:row>43</xdr:row>
      <xdr:rowOff>19050</xdr:rowOff>
    </xdr:to>
    <xdr:grpSp>
      <xdr:nvGrpSpPr>
        <xdr:cNvPr id="11" name="Group 191"/>
        <xdr:cNvGrpSpPr>
          <a:grpSpLocks/>
        </xdr:cNvGrpSpPr>
      </xdr:nvGrpSpPr>
      <xdr:grpSpPr bwMode="auto">
        <a:xfrm>
          <a:off x="923925" y="9163050"/>
          <a:ext cx="1143000" cy="752475"/>
          <a:chOff x="93" y="938"/>
          <a:chExt cx="120" cy="79"/>
        </a:xfrm>
      </xdr:grpSpPr>
      <xdr:sp macro="" textlink="">
        <xdr:nvSpPr>
          <xdr:cNvPr id="12" name="Line 102"/>
          <xdr:cNvSpPr>
            <a:spLocks noChangeShapeType="1"/>
          </xdr:cNvSpPr>
        </xdr:nvSpPr>
        <xdr:spPr bwMode="auto">
          <a:xfrm flipH="1">
            <a:off x="189" y="965"/>
            <a:ext cx="2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3" name="Line 103"/>
          <xdr:cNvSpPr>
            <a:spLocks noChangeShapeType="1"/>
          </xdr:cNvSpPr>
        </xdr:nvSpPr>
        <xdr:spPr bwMode="auto">
          <a:xfrm flipV="1">
            <a:off x="154" y="986"/>
            <a:ext cx="0" cy="1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4" name="Line 104"/>
          <xdr:cNvSpPr>
            <a:spLocks noChangeShapeType="1"/>
          </xdr:cNvSpPr>
        </xdr:nvSpPr>
        <xdr:spPr bwMode="auto">
          <a:xfrm flipV="1">
            <a:off x="186" y="987"/>
            <a:ext cx="0" cy="1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5" name="Line 105"/>
          <xdr:cNvSpPr>
            <a:spLocks noChangeShapeType="1"/>
          </xdr:cNvSpPr>
        </xdr:nvSpPr>
        <xdr:spPr bwMode="auto">
          <a:xfrm flipV="1">
            <a:off x="155" y="991"/>
            <a:ext cx="3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arrow" w="sm" len="sm"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" name="Line 106"/>
          <xdr:cNvSpPr>
            <a:spLocks noChangeShapeType="1"/>
          </xdr:cNvSpPr>
        </xdr:nvSpPr>
        <xdr:spPr bwMode="auto">
          <a:xfrm flipV="1">
            <a:off x="200" y="965"/>
            <a:ext cx="0" cy="4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7" name="Line 107"/>
          <xdr:cNvSpPr>
            <a:spLocks noChangeShapeType="1"/>
          </xdr:cNvSpPr>
        </xdr:nvSpPr>
        <xdr:spPr bwMode="auto">
          <a:xfrm flipV="1">
            <a:off x="162" y="964"/>
            <a:ext cx="0" cy="2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arrow" w="sm" len="sm"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8" name="Text 583"/>
          <xdr:cNvSpPr txBox="1">
            <a:spLocks noChangeArrowheads="1"/>
          </xdr:cNvSpPr>
        </xdr:nvSpPr>
        <xdr:spPr bwMode="auto">
          <a:xfrm>
            <a:off x="200" y="1007"/>
            <a:ext cx="13" cy="10"/>
          </a:xfrm>
          <a:prstGeom prst="rect">
            <a:avLst/>
          </a:prstGeom>
          <a:solidFill>
            <a:srgbClr val="FFFFFF"/>
          </a:solidFill>
          <a:ln w="1">
            <a:noFill/>
            <a:miter lim="800000"/>
            <a:headEnd/>
            <a:tailEnd/>
          </a:ln>
        </xdr:spPr>
        <xdr:txBody>
          <a:bodyPr vertOverflow="clip" wrap="square" lIns="36576" tIns="18288" rIns="0" bIns="0" anchor="t" upright="1"/>
          <a:lstStyle/>
          <a:p>
            <a:pPr algn="l" rtl="0">
              <a:defRPr sz="1000"/>
            </a:pPr>
            <a:r>
              <a:rPr lang="en-US" sz="600" b="1" i="0" u="none" strike="noStrike" baseline="0">
                <a:solidFill>
                  <a:srgbClr val="000000"/>
                </a:solidFill>
                <a:latin typeface="WP Greek Century"/>
              </a:rPr>
              <a:t>M</a:t>
            </a:r>
          </a:p>
        </xdr:txBody>
      </xdr:sp>
      <xdr:grpSp>
        <xdr:nvGrpSpPr>
          <xdr:cNvPr id="19" name="Group 112"/>
          <xdr:cNvGrpSpPr>
            <a:grpSpLocks/>
          </xdr:cNvGrpSpPr>
        </xdr:nvGrpSpPr>
        <xdr:grpSpPr bwMode="auto">
          <a:xfrm>
            <a:off x="93" y="938"/>
            <a:ext cx="93" cy="77"/>
            <a:chOff x="13440000" y="15720000"/>
            <a:chExt cx="1900000" cy="1540000"/>
          </a:xfrm>
        </xdr:grpSpPr>
        <xdr:grpSp>
          <xdr:nvGrpSpPr>
            <xdr:cNvPr id="21" name="Group 113"/>
            <xdr:cNvGrpSpPr>
              <a:grpSpLocks/>
            </xdr:cNvGrpSpPr>
          </xdr:nvGrpSpPr>
          <xdr:grpSpPr bwMode="auto">
            <a:xfrm>
              <a:off x="13440000" y="15720000"/>
              <a:ext cx="1900000" cy="1540000"/>
              <a:chOff x="13440000" y="15720000"/>
              <a:chExt cx="1900000" cy="1540000"/>
            </a:xfrm>
          </xdr:grpSpPr>
          <xdr:sp macro="" textlink="">
            <xdr:nvSpPr>
              <xdr:cNvPr id="23" name="Line 114"/>
              <xdr:cNvSpPr>
                <a:spLocks noChangeShapeType="1"/>
              </xdr:cNvSpPr>
            </xdr:nvSpPr>
            <xdr:spPr bwMode="auto">
              <a:xfrm flipV="1">
                <a:off x="13440000" y="15720000"/>
                <a:ext cx="620000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24" name="Line 115"/>
              <xdr:cNvSpPr>
                <a:spLocks noChangeShapeType="1"/>
              </xdr:cNvSpPr>
            </xdr:nvSpPr>
            <xdr:spPr bwMode="auto">
              <a:xfrm>
                <a:off x="14060000" y="15720000"/>
                <a:ext cx="0" cy="154000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25" name="Line 116"/>
              <xdr:cNvSpPr>
                <a:spLocks noChangeShapeType="1"/>
              </xdr:cNvSpPr>
            </xdr:nvSpPr>
            <xdr:spPr bwMode="auto">
              <a:xfrm flipV="1">
                <a:off x="14060000" y="15820000"/>
                <a:ext cx="1260000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26" name="Line 117"/>
              <xdr:cNvSpPr>
                <a:spLocks noChangeShapeType="1"/>
              </xdr:cNvSpPr>
            </xdr:nvSpPr>
            <xdr:spPr bwMode="auto">
              <a:xfrm flipH="1">
                <a:off x="15340000" y="15820000"/>
                <a:ext cx="0" cy="82000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27" name="Line 118"/>
              <xdr:cNvSpPr>
                <a:spLocks noChangeShapeType="1"/>
              </xdr:cNvSpPr>
            </xdr:nvSpPr>
            <xdr:spPr bwMode="auto">
              <a:xfrm flipV="1">
                <a:off x="14060000" y="16260000"/>
                <a:ext cx="1260000" cy="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  <xdr:sp macro="" textlink="">
            <xdr:nvSpPr>
              <xdr:cNvPr id="28" name="Line 119"/>
              <xdr:cNvSpPr>
                <a:spLocks noChangeShapeType="1"/>
              </xdr:cNvSpPr>
            </xdr:nvSpPr>
            <xdr:spPr bwMode="auto">
              <a:xfrm flipH="1">
                <a:off x="14700000" y="16280000"/>
                <a:ext cx="0" cy="360000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  <a:extLst>
                <a:ext uri="{909E8E84-426E-40DD-AFC4-6F175D3DCCD1}">
                  <a14:hiddenFill xmlns:a14="http://schemas.microsoft.com/office/drawing/2010/main">
                    <a:noFill/>
                  </a14:hiddenFill>
                </a:ext>
              </a:extLst>
            </xdr:spPr>
          </xdr:sp>
        </xdr:grpSp>
        <xdr:sp macro="" textlink="">
          <xdr:nvSpPr>
            <xdr:cNvPr id="22" name="Line 120"/>
            <xdr:cNvSpPr>
              <a:spLocks noChangeShapeType="1"/>
            </xdr:cNvSpPr>
          </xdr:nvSpPr>
          <xdr:spPr bwMode="auto">
            <a:xfrm flipH="1" flipV="1">
              <a:off x="14720000" y="16640000"/>
              <a:ext cx="620000" cy="0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  <a:extLst>
              <a:ext uri="{909E8E84-426E-40DD-AFC4-6F175D3DCCD1}">
                <a14:hiddenFill xmlns:a14="http://schemas.microsoft.com/office/drawing/2010/main">
                  <a:noFill/>
                </a14:hiddenFill>
              </a:ext>
            </a:extLst>
          </xdr:spPr>
        </xdr:sp>
      </xdr:grpSp>
      <xdr:sp macro="" textlink="">
        <xdr:nvSpPr>
          <xdr:cNvPr id="20" name="Line 121"/>
          <xdr:cNvSpPr>
            <a:spLocks noChangeShapeType="1"/>
          </xdr:cNvSpPr>
        </xdr:nvSpPr>
        <xdr:spPr bwMode="auto">
          <a:xfrm flipV="1">
            <a:off x="124" y="975"/>
            <a:ext cx="29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 type="arrow" w="sm" len="sm"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200025</xdr:colOff>
      <xdr:row>35</xdr:row>
      <xdr:rowOff>123825</xdr:rowOff>
    </xdr:from>
    <xdr:to>
      <xdr:col>3</xdr:col>
      <xdr:colOff>504825</xdr:colOff>
      <xdr:row>36</xdr:row>
      <xdr:rowOff>28575</xdr:rowOff>
    </xdr:to>
    <xdr:sp macro="" textlink="">
      <xdr:nvSpPr>
        <xdr:cNvPr id="29" name="Depth2"/>
        <xdr:cNvSpPr txBox="1">
          <a:spLocks noChangeArrowheads="1"/>
        </xdr:cNvSpPr>
      </xdr:nvSpPr>
      <xdr:spPr bwMode="auto">
        <a:xfrm>
          <a:off x="1895475" y="8191500"/>
          <a:ext cx="304800" cy="1333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36.41</a:t>
          </a:r>
        </a:p>
      </xdr:txBody>
    </xdr:sp>
    <xdr:clientData/>
  </xdr:twoCellAnchor>
  <xdr:twoCellAnchor>
    <xdr:from>
      <xdr:col>1</xdr:col>
      <xdr:colOff>190500</xdr:colOff>
      <xdr:row>33</xdr:row>
      <xdr:rowOff>180975</xdr:rowOff>
    </xdr:from>
    <xdr:to>
      <xdr:col>2</xdr:col>
      <xdr:colOff>9525</xdr:colOff>
      <xdr:row>34</xdr:row>
      <xdr:rowOff>66675</xdr:rowOff>
    </xdr:to>
    <xdr:sp macro="" textlink="">
      <xdr:nvSpPr>
        <xdr:cNvPr id="30" name="Tip2"/>
        <xdr:cNvSpPr txBox="1">
          <a:spLocks noChangeArrowheads="1"/>
        </xdr:cNvSpPr>
      </xdr:nvSpPr>
      <xdr:spPr bwMode="auto">
        <a:xfrm>
          <a:off x="981075" y="7791450"/>
          <a:ext cx="228600" cy="11430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3.00</a:t>
          </a:r>
        </a:p>
      </xdr:txBody>
    </xdr:sp>
    <xdr:clientData/>
  </xdr:twoCellAnchor>
  <xdr:twoCellAnchor>
    <xdr:from>
      <xdr:col>2</xdr:col>
      <xdr:colOff>161925</xdr:colOff>
      <xdr:row>33</xdr:row>
      <xdr:rowOff>38100</xdr:rowOff>
    </xdr:from>
    <xdr:to>
      <xdr:col>2</xdr:col>
      <xdr:colOff>485775</xdr:colOff>
      <xdr:row>33</xdr:row>
      <xdr:rowOff>180975</xdr:rowOff>
    </xdr:to>
    <xdr:sp macro="" textlink="">
      <xdr:nvSpPr>
        <xdr:cNvPr id="31" name="Opening"/>
        <xdr:cNvSpPr txBox="1">
          <a:spLocks noChangeArrowheads="1"/>
        </xdr:cNvSpPr>
      </xdr:nvSpPr>
      <xdr:spPr bwMode="auto">
        <a:xfrm>
          <a:off x="1362075" y="7648575"/>
          <a:ext cx="323850" cy="1428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3.00</a:t>
          </a:r>
        </a:p>
      </xdr:txBody>
    </xdr:sp>
    <xdr:clientData/>
  </xdr:twoCellAnchor>
  <xdr:twoCellAnchor>
    <xdr:from>
      <xdr:col>2</xdr:col>
      <xdr:colOff>142875</xdr:colOff>
      <xdr:row>36</xdr:row>
      <xdr:rowOff>190500</xdr:rowOff>
    </xdr:from>
    <xdr:to>
      <xdr:col>3</xdr:col>
      <xdr:colOff>0</xdr:colOff>
      <xdr:row>37</xdr:row>
      <xdr:rowOff>66675</xdr:rowOff>
    </xdr:to>
    <xdr:sp macro="" textlink="">
      <xdr:nvSpPr>
        <xdr:cNvPr id="32" name="Width3"/>
        <xdr:cNvSpPr txBox="1">
          <a:spLocks noChangeArrowheads="1"/>
        </xdr:cNvSpPr>
      </xdr:nvSpPr>
      <xdr:spPr bwMode="auto">
        <a:xfrm>
          <a:off x="1343025" y="8486775"/>
          <a:ext cx="352425" cy="1047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14.12</a:t>
          </a:r>
        </a:p>
      </xdr:txBody>
    </xdr:sp>
    <xdr:clientData/>
  </xdr:twoCellAnchor>
  <xdr:twoCellAnchor>
    <xdr:from>
      <xdr:col>2</xdr:col>
      <xdr:colOff>161925</xdr:colOff>
      <xdr:row>34</xdr:row>
      <xdr:rowOff>161925</xdr:rowOff>
    </xdr:from>
    <xdr:to>
      <xdr:col>2</xdr:col>
      <xdr:colOff>485775</xdr:colOff>
      <xdr:row>35</xdr:row>
      <xdr:rowOff>66675</xdr:rowOff>
    </xdr:to>
    <xdr:sp macro="" textlink="">
      <xdr:nvSpPr>
        <xdr:cNvPr id="33" name="Width2"/>
        <xdr:cNvSpPr txBox="1">
          <a:spLocks noChangeArrowheads="1"/>
        </xdr:cNvSpPr>
      </xdr:nvSpPr>
      <xdr:spPr bwMode="auto">
        <a:xfrm>
          <a:off x="1362075" y="8001000"/>
          <a:ext cx="323850" cy="1333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4.72</a:t>
          </a:r>
        </a:p>
      </xdr:txBody>
    </xdr:sp>
    <xdr:clientData/>
  </xdr:twoCellAnchor>
  <xdr:twoCellAnchor>
    <xdr:from>
      <xdr:col>1</xdr:col>
      <xdr:colOff>390525</xdr:colOff>
      <xdr:row>33</xdr:row>
      <xdr:rowOff>171450</xdr:rowOff>
    </xdr:from>
    <xdr:to>
      <xdr:col>3</xdr:col>
      <xdr:colOff>352425</xdr:colOff>
      <xdr:row>37</xdr:row>
      <xdr:rowOff>209550</xdr:rowOff>
    </xdr:to>
    <xdr:grpSp>
      <xdr:nvGrpSpPr>
        <xdr:cNvPr id="34" name="Group 190"/>
        <xdr:cNvGrpSpPr>
          <a:grpSpLocks/>
        </xdr:cNvGrpSpPr>
      </xdr:nvGrpSpPr>
      <xdr:grpSpPr bwMode="auto">
        <a:xfrm>
          <a:off x="1181100" y="7781925"/>
          <a:ext cx="866775" cy="952500"/>
          <a:chOff x="120" y="793"/>
          <a:chExt cx="91" cy="100"/>
        </a:xfrm>
      </xdr:grpSpPr>
      <xdr:sp macro="" textlink="">
        <xdr:nvSpPr>
          <xdr:cNvPr id="35" name="Line 100"/>
          <xdr:cNvSpPr>
            <a:spLocks noChangeShapeType="1"/>
          </xdr:cNvSpPr>
        </xdr:nvSpPr>
        <xdr:spPr bwMode="auto">
          <a:xfrm>
            <a:off x="139" y="813"/>
            <a:ext cx="32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6" name="Line 149"/>
          <xdr:cNvSpPr>
            <a:spLocks noChangeShapeType="1"/>
          </xdr:cNvSpPr>
        </xdr:nvSpPr>
        <xdr:spPr bwMode="auto">
          <a:xfrm>
            <a:off x="128" y="793"/>
            <a:ext cx="19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7" name="Line 150"/>
          <xdr:cNvSpPr>
            <a:spLocks noChangeShapeType="1"/>
          </xdr:cNvSpPr>
        </xdr:nvSpPr>
        <xdr:spPr bwMode="auto">
          <a:xfrm flipH="1">
            <a:off x="164" y="793"/>
            <a:ext cx="19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8" name="Line 151"/>
          <xdr:cNvSpPr>
            <a:spLocks noChangeShapeType="1"/>
          </xdr:cNvSpPr>
        </xdr:nvSpPr>
        <xdr:spPr bwMode="auto">
          <a:xfrm flipH="1">
            <a:off x="127" y="879"/>
            <a:ext cx="19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9" name="Line 152"/>
          <xdr:cNvSpPr>
            <a:spLocks noChangeShapeType="1"/>
          </xdr:cNvSpPr>
        </xdr:nvSpPr>
        <xdr:spPr bwMode="auto">
          <a:xfrm>
            <a:off x="147" y="880"/>
            <a:ext cx="3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0" name="Line 156"/>
          <xdr:cNvSpPr>
            <a:spLocks noChangeShapeType="1"/>
          </xdr:cNvSpPr>
        </xdr:nvSpPr>
        <xdr:spPr bwMode="auto">
          <a:xfrm flipV="1">
            <a:off x="194" y="893"/>
            <a:ext cx="1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1" name="Line 157"/>
          <xdr:cNvSpPr>
            <a:spLocks noChangeShapeType="1"/>
          </xdr:cNvSpPr>
        </xdr:nvSpPr>
        <xdr:spPr bwMode="auto">
          <a:xfrm flipV="1">
            <a:off x="204" y="794"/>
            <a:ext cx="0" cy="3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2" name="Line 158"/>
          <xdr:cNvSpPr>
            <a:spLocks noChangeShapeType="1"/>
          </xdr:cNvSpPr>
        </xdr:nvSpPr>
        <xdr:spPr bwMode="auto">
          <a:xfrm>
            <a:off x="204" y="849"/>
            <a:ext cx="0" cy="43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3" name="Line 159"/>
          <xdr:cNvSpPr>
            <a:spLocks noChangeShapeType="1"/>
          </xdr:cNvSpPr>
        </xdr:nvSpPr>
        <xdr:spPr bwMode="auto">
          <a:xfrm>
            <a:off x="194" y="793"/>
            <a:ext cx="1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4" name="Line 160"/>
          <xdr:cNvSpPr>
            <a:spLocks noChangeShapeType="1"/>
          </xdr:cNvSpPr>
        </xdr:nvSpPr>
        <xdr:spPr bwMode="auto">
          <a:xfrm flipH="1">
            <a:off x="120" y="804"/>
            <a:ext cx="2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5" name="Line 161"/>
          <xdr:cNvSpPr>
            <a:spLocks noChangeShapeType="1"/>
          </xdr:cNvSpPr>
        </xdr:nvSpPr>
        <xdr:spPr bwMode="auto">
          <a:xfrm flipV="1">
            <a:off x="127" y="874"/>
            <a:ext cx="0" cy="1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6" name="Line 162"/>
          <xdr:cNvSpPr>
            <a:spLocks noChangeShapeType="1"/>
          </xdr:cNvSpPr>
        </xdr:nvSpPr>
        <xdr:spPr bwMode="auto">
          <a:xfrm flipV="1">
            <a:off x="184" y="871"/>
            <a:ext cx="0" cy="2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7" name="Line 163"/>
          <xdr:cNvSpPr>
            <a:spLocks noChangeShapeType="1"/>
          </xdr:cNvSpPr>
        </xdr:nvSpPr>
        <xdr:spPr bwMode="auto">
          <a:xfrm flipV="1">
            <a:off x="137" y="804"/>
            <a:ext cx="10" cy="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8" name="Line 164"/>
          <xdr:cNvSpPr>
            <a:spLocks noChangeShapeType="1"/>
          </xdr:cNvSpPr>
        </xdr:nvSpPr>
        <xdr:spPr bwMode="auto">
          <a:xfrm flipH="1">
            <a:off x="127" y="813"/>
            <a:ext cx="10" cy="7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9" name="Line 165"/>
          <xdr:cNvSpPr>
            <a:spLocks noChangeShapeType="1"/>
          </xdr:cNvSpPr>
        </xdr:nvSpPr>
        <xdr:spPr bwMode="auto">
          <a:xfrm flipV="1">
            <a:off x="147" y="793"/>
            <a:ext cx="0" cy="1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0" name="Line 166"/>
          <xdr:cNvSpPr>
            <a:spLocks noChangeShapeType="1"/>
          </xdr:cNvSpPr>
        </xdr:nvSpPr>
        <xdr:spPr bwMode="auto">
          <a:xfrm>
            <a:off x="164" y="793"/>
            <a:ext cx="0" cy="1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1" name="Line 168"/>
          <xdr:cNvSpPr>
            <a:spLocks noChangeShapeType="1"/>
          </xdr:cNvSpPr>
        </xdr:nvSpPr>
        <xdr:spPr bwMode="auto">
          <a:xfrm>
            <a:off x="132" y="793"/>
            <a:ext cx="0" cy="1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2" name="Line 169"/>
          <xdr:cNvSpPr>
            <a:spLocks noChangeShapeType="1"/>
          </xdr:cNvSpPr>
        </xdr:nvSpPr>
        <xdr:spPr bwMode="auto">
          <a:xfrm flipH="1" flipV="1">
            <a:off x="132" y="793"/>
            <a:ext cx="2" cy="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" name="Line 170"/>
          <xdr:cNvSpPr>
            <a:spLocks noChangeShapeType="1"/>
          </xdr:cNvSpPr>
        </xdr:nvSpPr>
        <xdr:spPr bwMode="auto">
          <a:xfrm flipV="1">
            <a:off x="130" y="793"/>
            <a:ext cx="2" cy="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4" name="Line 171"/>
          <xdr:cNvSpPr>
            <a:spLocks noChangeShapeType="1"/>
          </xdr:cNvSpPr>
        </xdr:nvSpPr>
        <xdr:spPr bwMode="auto">
          <a:xfrm flipV="1">
            <a:off x="132" y="800"/>
            <a:ext cx="2" cy="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5" name="Line 172"/>
          <xdr:cNvSpPr>
            <a:spLocks noChangeShapeType="1"/>
          </xdr:cNvSpPr>
        </xdr:nvSpPr>
        <xdr:spPr bwMode="auto">
          <a:xfrm flipH="1" flipV="1">
            <a:off x="130" y="800"/>
            <a:ext cx="2" cy="4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6" name="Line 173"/>
          <xdr:cNvSpPr>
            <a:spLocks noChangeShapeType="1"/>
          </xdr:cNvSpPr>
        </xdr:nvSpPr>
        <xdr:spPr bwMode="auto">
          <a:xfrm>
            <a:off x="173" y="813"/>
            <a:ext cx="11" cy="7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7" name="Line 174"/>
          <xdr:cNvSpPr>
            <a:spLocks noChangeShapeType="1"/>
          </xdr:cNvSpPr>
        </xdr:nvSpPr>
        <xdr:spPr bwMode="auto">
          <a:xfrm>
            <a:off x="164" y="805"/>
            <a:ext cx="9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8" name="Line 175"/>
          <xdr:cNvSpPr>
            <a:spLocks noChangeShapeType="1"/>
          </xdr:cNvSpPr>
        </xdr:nvSpPr>
        <xdr:spPr bwMode="auto">
          <a:xfrm>
            <a:off x="127" y="893"/>
            <a:ext cx="5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9" name="Line 176"/>
          <xdr:cNvSpPr>
            <a:spLocks noChangeShapeType="1"/>
          </xdr:cNvSpPr>
        </xdr:nvSpPr>
        <xdr:spPr bwMode="auto">
          <a:xfrm>
            <a:off x="147" y="796"/>
            <a:ext cx="1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0" name="Line 177"/>
          <xdr:cNvSpPr>
            <a:spLocks noChangeShapeType="1"/>
          </xdr:cNvSpPr>
        </xdr:nvSpPr>
        <xdr:spPr bwMode="auto">
          <a:xfrm flipH="1">
            <a:off x="147" y="794"/>
            <a:ext cx="3" cy="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1" name="Line 178"/>
          <xdr:cNvSpPr>
            <a:spLocks noChangeShapeType="1"/>
          </xdr:cNvSpPr>
        </xdr:nvSpPr>
        <xdr:spPr bwMode="auto">
          <a:xfrm flipH="1" flipV="1">
            <a:off x="147" y="796"/>
            <a:ext cx="3" cy="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2" name="Line 179"/>
          <xdr:cNvSpPr>
            <a:spLocks noChangeShapeType="1"/>
          </xdr:cNvSpPr>
        </xdr:nvSpPr>
        <xdr:spPr bwMode="auto">
          <a:xfrm flipH="1">
            <a:off x="147" y="794"/>
            <a:ext cx="3" cy="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3" name="Line 180"/>
          <xdr:cNvSpPr>
            <a:spLocks noChangeShapeType="1"/>
          </xdr:cNvSpPr>
        </xdr:nvSpPr>
        <xdr:spPr bwMode="auto">
          <a:xfrm flipV="1">
            <a:off x="161" y="796"/>
            <a:ext cx="3" cy="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4" name="Line 181"/>
          <xdr:cNvSpPr>
            <a:spLocks noChangeShapeType="1"/>
          </xdr:cNvSpPr>
        </xdr:nvSpPr>
        <xdr:spPr bwMode="auto">
          <a:xfrm>
            <a:off x="161" y="794"/>
            <a:ext cx="3" cy="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5" name="Line 182"/>
          <xdr:cNvSpPr>
            <a:spLocks noChangeShapeType="1"/>
          </xdr:cNvSpPr>
        </xdr:nvSpPr>
        <xdr:spPr bwMode="auto">
          <a:xfrm flipH="1" flipV="1">
            <a:off x="139" y="813"/>
            <a:ext cx="4" cy="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6" name="Line 183"/>
          <xdr:cNvSpPr>
            <a:spLocks noChangeShapeType="1"/>
          </xdr:cNvSpPr>
        </xdr:nvSpPr>
        <xdr:spPr bwMode="auto">
          <a:xfrm flipV="1">
            <a:off x="168" y="813"/>
            <a:ext cx="3" cy="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7" name="Line 184"/>
          <xdr:cNvSpPr>
            <a:spLocks noChangeShapeType="1"/>
          </xdr:cNvSpPr>
        </xdr:nvSpPr>
        <xdr:spPr bwMode="auto">
          <a:xfrm flipH="1" flipV="1">
            <a:off x="168" y="811"/>
            <a:ext cx="3" cy="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8" name="Line 185"/>
          <xdr:cNvSpPr>
            <a:spLocks noChangeShapeType="1"/>
          </xdr:cNvSpPr>
        </xdr:nvSpPr>
        <xdr:spPr bwMode="auto">
          <a:xfrm flipV="1">
            <a:off x="139" y="811"/>
            <a:ext cx="4" cy="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123825</xdr:colOff>
      <xdr:row>29</xdr:row>
      <xdr:rowOff>85725</xdr:rowOff>
    </xdr:from>
    <xdr:to>
      <xdr:col>3</xdr:col>
      <xdr:colOff>409575</xdr:colOff>
      <xdr:row>29</xdr:row>
      <xdr:rowOff>209550</xdr:rowOff>
    </xdr:to>
    <xdr:sp macro="" textlink="">
      <xdr:nvSpPr>
        <xdr:cNvPr id="69" name="Depth"/>
        <xdr:cNvSpPr txBox="1">
          <a:spLocks noChangeArrowheads="1"/>
        </xdr:cNvSpPr>
      </xdr:nvSpPr>
      <xdr:spPr bwMode="auto">
        <a:xfrm>
          <a:off x="1819275" y="6781800"/>
          <a:ext cx="285750" cy="12382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57.0</a:t>
          </a:r>
        </a:p>
      </xdr:txBody>
    </xdr:sp>
    <xdr:clientData/>
  </xdr:twoCellAnchor>
  <xdr:twoCellAnchor>
    <xdr:from>
      <xdr:col>1</xdr:col>
      <xdr:colOff>38100</xdr:colOff>
      <xdr:row>31</xdr:row>
      <xdr:rowOff>0</xdr:rowOff>
    </xdr:from>
    <xdr:to>
      <xdr:col>2</xdr:col>
      <xdr:colOff>19050</xdr:colOff>
      <xdr:row>31</xdr:row>
      <xdr:rowOff>104775</xdr:rowOff>
    </xdr:to>
    <xdr:sp macro="" textlink="">
      <xdr:nvSpPr>
        <xdr:cNvPr id="70" name="Tip"/>
        <xdr:cNvSpPr txBox="1">
          <a:spLocks noChangeArrowheads="1"/>
        </xdr:cNvSpPr>
      </xdr:nvSpPr>
      <xdr:spPr bwMode="auto">
        <a:xfrm>
          <a:off x="828675" y="7153275"/>
          <a:ext cx="390525" cy="1047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2.83</a:t>
          </a:r>
        </a:p>
      </xdr:txBody>
    </xdr:sp>
    <xdr:clientData/>
  </xdr:twoCellAnchor>
  <xdr:twoCellAnchor>
    <xdr:from>
      <xdr:col>2</xdr:col>
      <xdr:colOff>142875</xdr:colOff>
      <xdr:row>26</xdr:row>
      <xdr:rowOff>200025</xdr:rowOff>
    </xdr:from>
    <xdr:to>
      <xdr:col>3</xdr:col>
      <xdr:colOff>47625</xdr:colOff>
      <xdr:row>27</xdr:row>
      <xdr:rowOff>66675</xdr:rowOff>
    </xdr:to>
    <xdr:sp macro="" textlink="">
      <xdr:nvSpPr>
        <xdr:cNvPr id="71" name="Width"/>
        <xdr:cNvSpPr txBox="1">
          <a:spLocks noChangeArrowheads="1"/>
        </xdr:cNvSpPr>
      </xdr:nvSpPr>
      <xdr:spPr bwMode="auto">
        <a:xfrm>
          <a:off x="1343025" y="6210300"/>
          <a:ext cx="400050" cy="952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14.0</a:t>
          </a:r>
        </a:p>
      </xdr:txBody>
    </xdr:sp>
    <xdr:clientData/>
  </xdr:twoCellAnchor>
  <xdr:twoCellAnchor>
    <xdr:from>
      <xdr:col>1</xdr:col>
      <xdr:colOff>333375</xdr:colOff>
      <xdr:row>27</xdr:row>
      <xdr:rowOff>57150</xdr:rowOff>
    </xdr:from>
    <xdr:to>
      <xdr:col>3</xdr:col>
      <xdr:colOff>371475</xdr:colOff>
      <xdr:row>31</xdr:row>
      <xdr:rowOff>219075</xdr:rowOff>
    </xdr:to>
    <xdr:grpSp>
      <xdr:nvGrpSpPr>
        <xdr:cNvPr id="72" name="Group 254"/>
        <xdr:cNvGrpSpPr>
          <a:grpSpLocks/>
        </xdr:cNvGrpSpPr>
      </xdr:nvGrpSpPr>
      <xdr:grpSpPr bwMode="auto">
        <a:xfrm>
          <a:off x="1123950" y="6296025"/>
          <a:ext cx="942975" cy="1076325"/>
          <a:chOff x="118" y="637"/>
          <a:chExt cx="99" cy="113"/>
        </a:xfrm>
      </xdr:grpSpPr>
      <xdr:sp macro="" textlink="">
        <xdr:nvSpPr>
          <xdr:cNvPr id="73" name="Line 229"/>
          <xdr:cNvSpPr>
            <a:spLocks noChangeShapeType="1"/>
          </xdr:cNvSpPr>
        </xdr:nvSpPr>
        <xdr:spPr bwMode="auto">
          <a:xfrm flipH="1">
            <a:off x="182" y="651"/>
            <a:ext cx="1" cy="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4" name="Line 230"/>
          <xdr:cNvSpPr>
            <a:spLocks noChangeShapeType="1"/>
          </xdr:cNvSpPr>
        </xdr:nvSpPr>
        <xdr:spPr bwMode="auto">
          <a:xfrm flipH="1">
            <a:off x="134" y="652"/>
            <a:ext cx="49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5" name="Line 231"/>
          <xdr:cNvSpPr>
            <a:spLocks noChangeShapeType="1"/>
          </xdr:cNvSpPr>
        </xdr:nvSpPr>
        <xdr:spPr bwMode="auto">
          <a:xfrm>
            <a:off x="183" y="651"/>
            <a:ext cx="0" cy="7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6" name="Line 232"/>
          <xdr:cNvSpPr>
            <a:spLocks noChangeShapeType="1"/>
          </xdr:cNvSpPr>
        </xdr:nvSpPr>
        <xdr:spPr bwMode="auto">
          <a:xfrm>
            <a:off x="136" y="652"/>
            <a:ext cx="0" cy="72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7" name="Line 233"/>
          <xdr:cNvSpPr>
            <a:spLocks noChangeShapeType="1"/>
          </xdr:cNvSpPr>
        </xdr:nvSpPr>
        <xdr:spPr bwMode="auto">
          <a:xfrm>
            <a:off x="130" y="724"/>
            <a:ext cx="0" cy="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8" name="Line 234"/>
          <xdr:cNvSpPr>
            <a:spLocks noChangeShapeType="1"/>
          </xdr:cNvSpPr>
        </xdr:nvSpPr>
        <xdr:spPr bwMode="auto">
          <a:xfrm flipH="1">
            <a:off x="190" y="729"/>
            <a:ext cx="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9" name="Line 235"/>
          <xdr:cNvSpPr>
            <a:spLocks noChangeShapeType="1"/>
          </xdr:cNvSpPr>
        </xdr:nvSpPr>
        <xdr:spPr bwMode="auto">
          <a:xfrm>
            <a:off x="130" y="730"/>
            <a:ext cx="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0" name="Line 236"/>
          <xdr:cNvSpPr>
            <a:spLocks noChangeShapeType="1"/>
          </xdr:cNvSpPr>
        </xdr:nvSpPr>
        <xdr:spPr bwMode="auto">
          <a:xfrm>
            <a:off x="182" y="729"/>
            <a:ext cx="0" cy="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1" name="Line 237"/>
          <xdr:cNvSpPr>
            <a:spLocks noChangeShapeType="1"/>
          </xdr:cNvSpPr>
        </xdr:nvSpPr>
        <xdr:spPr bwMode="auto">
          <a:xfrm>
            <a:off x="137" y="731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2" name="Line 238"/>
          <xdr:cNvSpPr>
            <a:spLocks noChangeShapeType="1"/>
          </xdr:cNvSpPr>
        </xdr:nvSpPr>
        <xdr:spPr bwMode="auto">
          <a:xfrm>
            <a:off x="182" y="739"/>
            <a:ext cx="13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3" name="Line 239"/>
          <xdr:cNvSpPr>
            <a:spLocks noChangeShapeType="1"/>
          </xdr:cNvSpPr>
        </xdr:nvSpPr>
        <xdr:spPr bwMode="auto">
          <a:xfrm flipH="1">
            <a:off x="121" y="739"/>
            <a:ext cx="1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4" name="Line 240"/>
          <xdr:cNvSpPr>
            <a:spLocks noChangeShapeType="1"/>
          </xdr:cNvSpPr>
        </xdr:nvSpPr>
        <xdr:spPr bwMode="auto">
          <a:xfrm>
            <a:off x="190" y="653"/>
            <a:ext cx="2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5" name="Line 241"/>
          <xdr:cNvSpPr>
            <a:spLocks noChangeShapeType="1"/>
          </xdr:cNvSpPr>
        </xdr:nvSpPr>
        <xdr:spPr bwMode="auto">
          <a:xfrm flipV="1">
            <a:off x="200" y="654"/>
            <a:ext cx="0" cy="31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med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6" name="Line 242"/>
          <xdr:cNvSpPr>
            <a:spLocks noChangeShapeType="1"/>
          </xdr:cNvSpPr>
        </xdr:nvSpPr>
        <xdr:spPr bwMode="auto">
          <a:xfrm>
            <a:off x="200" y="708"/>
            <a:ext cx="0" cy="2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med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7" name="Line 243"/>
          <xdr:cNvSpPr>
            <a:spLocks noChangeShapeType="1"/>
          </xdr:cNvSpPr>
        </xdr:nvSpPr>
        <xdr:spPr bwMode="auto">
          <a:xfrm flipV="1">
            <a:off x="124" y="740"/>
            <a:ext cx="0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8" name="Line 244"/>
          <xdr:cNvSpPr>
            <a:spLocks noChangeShapeType="1"/>
          </xdr:cNvSpPr>
        </xdr:nvSpPr>
        <xdr:spPr bwMode="auto">
          <a:xfrm>
            <a:off x="122" y="714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9" name="Line 245"/>
          <xdr:cNvSpPr>
            <a:spLocks noChangeShapeType="1"/>
          </xdr:cNvSpPr>
        </xdr:nvSpPr>
        <xdr:spPr bwMode="auto">
          <a:xfrm>
            <a:off x="118" y="724"/>
            <a:ext cx="10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0" name="Line 246"/>
          <xdr:cNvSpPr>
            <a:spLocks noChangeShapeType="1"/>
          </xdr:cNvSpPr>
        </xdr:nvSpPr>
        <xdr:spPr bwMode="auto">
          <a:xfrm flipV="1">
            <a:off x="183" y="637"/>
            <a:ext cx="0" cy="1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1" name="Line 247"/>
          <xdr:cNvSpPr>
            <a:spLocks noChangeShapeType="1"/>
          </xdr:cNvSpPr>
        </xdr:nvSpPr>
        <xdr:spPr bwMode="auto">
          <a:xfrm flipV="1">
            <a:off x="135" y="638"/>
            <a:ext cx="0" cy="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2" name="Line 248"/>
          <xdr:cNvSpPr>
            <a:spLocks noChangeShapeType="1"/>
          </xdr:cNvSpPr>
        </xdr:nvSpPr>
        <xdr:spPr bwMode="auto">
          <a:xfrm>
            <a:off x="144" y="643"/>
            <a:ext cx="3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3" name="Line 249"/>
          <xdr:cNvSpPr>
            <a:spLocks noChangeShapeType="1"/>
          </xdr:cNvSpPr>
        </xdr:nvSpPr>
        <xdr:spPr bwMode="auto">
          <a:xfrm flipH="1">
            <a:off x="139" y="643"/>
            <a:ext cx="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4" name="Line 250"/>
          <xdr:cNvSpPr>
            <a:spLocks noChangeShapeType="1"/>
          </xdr:cNvSpPr>
        </xdr:nvSpPr>
        <xdr:spPr bwMode="auto">
          <a:xfrm>
            <a:off x="130" y="724"/>
            <a:ext cx="6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5" name="Line 251"/>
          <xdr:cNvSpPr>
            <a:spLocks noChangeShapeType="1"/>
          </xdr:cNvSpPr>
        </xdr:nvSpPr>
        <xdr:spPr bwMode="auto">
          <a:xfrm>
            <a:off x="182" y="730"/>
            <a:ext cx="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6" name="Line 252"/>
          <xdr:cNvSpPr>
            <a:spLocks noChangeShapeType="1"/>
          </xdr:cNvSpPr>
        </xdr:nvSpPr>
        <xdr:spPr bwMode="auto">
          <a:xfrm flipV="1">
            <a:off x="190" y="722"/>
            <a:ext cx="0" cy="6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7" name="Line 253"/>
          <xdr:cNvSpPr>
            <a:spLocks noChangeShapeType="1"/>
          </xdr:cNvSpPr>
        </xdr:nvSpPr>
        <xdr:spPr bwMode="auto">
          <a:xfrm>
            <a:off x="183" y="723"/>
            <a:ext cx="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152400</xdr:colOff>
      <xdr:row>44</xdr:row>
      <xdr:rowOff>0</xdr:rowOff>
    </xdr:from>
    <xdr:to>
      <xdr:col>9</xdr:col>
      <xdr:colOff>361950</xdr:colOff>
      <xdr:row>44</xdr:row>
      <xdr:rowOff>0</xdr:rowOff>
    </xdr:to>
    <xdr:sp macro="" textlink="">
      <xdr:nvSpPr>
        <xdr:cNvPr id="98" name="Rectangle 255"/>
        <xdr:cNvSpPr>
          <a:spLocks noChangeArrowheads="1"/>
        </xdr:cNvSpPr>
      </xdr:nvSpPr>
      <xdr:spPr bwMode="auto">
        <a:xfrm>
          <a:off x="5495925" y="10106025"/>
          <a:ext cx="209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19050</xdr:colOff>
      <xdr:row>44</xdr:row>
      <xdr:rowOff>0</xdr:rowOff>
    </xdr:from>
    <xdr:to>
      <xdr:col>9</xdr:col>
      <xdr:colOff>333375</xdr:colOff>
      <xdr:row>44</xdr:row>
      <xdr:rowOff>0</xdr:rowOff>
    </xdr:to>
    <xdr:sp macro="" textlink="">
      <xdr:nvSpPr>
        <xdr:cNvPr id="99" name="Rectangle 256"/>
        <xdr:cNvSpPr>
          <a:spLocks noChangeArrowheads="1"/>
        </xdr:cNvSpPr>
      </xdr:nvSpPr>
      <xdr:spPr bwMode="auto">
        <a:xfrm>
          <a:off x="5362575" y="1010602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28575</xdr:colOff>
      <xdr:row>44</xdr:row>
      <xdr:rowOff>0</xdr:rowOff>
    </xdr:from>
    <xdr:to>
      <xdr:col>9</xdr:col>
      <xdr:colOff>342900</xdr:colOff>
      <xdr:row>44</xdr:row>
      <xdr:rowOff>0</xdr:rowOff>
    </xdr:to>
    <xdr:sp macro="" textlink="">
      <xdr:nvSpPr>
        <xdr:cNvPr id="100" name="Rectangle 257"/>
        <xdr:cNvSpPr>
          <a:spLocks noChangeArrowheads="1"/>
        </xdr:cNvSpPr>
      </xdr:nvSpPr>
      <xdr:spPr bwMode="auto">
        <a:xfrm>
          <a:off x="5372100" y="1010602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0</xdr:colOff>
      <xdr:row>44</xdr:row>
      <xdr:rowOff>0</xdr:rowOff>
    </xdr:from>
    <xdr:to>
      <xdr:col>9</xdr:col>
      <xdr:colOff>409575</xdr:colOff>
      <xdr:row>44</xdr:row>
      <xdr:rowOff>0</xdr:rowOff>
    </xdr:to>
    <xdr:sp macro="" textlink="">
      <xdr:nvSpPr>
        <xdr:cNvPr id="101" name="Rectangle 258"/>
        <xdr:cNvSpPr>
          <a:spLocks noChangeArrowheads="1"/>
        </xdr:cNvSpPr>
      </xdr:nvSpPr>
      <xdr:spPr bwMode="auto">
        <a:xfrm>
          <a:off x="5343525" y="101060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142875</xdr:colOff>
      <xdr:row>44</xdr:row>
      <xdr:rowOff>0</xdr:rowOff>
    </xdr:from>
    <xdr:to>
      <xdr:col>9</xdr:col>
      <xdr:colOff>361950</xdr:colOff>
      <xdr:row>44</xdr:row>
      <xdr:rowOff>0</xdr:rowOff>
    </xdr:to>
    <xdr:sp macro="" textlink="">
      <xdr:nvSpPr>
        <xdr:cNvPr id="102" name="Rectangle 259"/>
        <xdr:cNvSpPr>
          <a:spLocks noChangeArrowheads="1"/>
        </xdr:cNvSpPr>
      </xdr:nvSpPr>
      <xdr:spPr bwMode="auto">
        <a:xfrm>
          <a:off x="5486400" y="10106025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2" name="Line 1"/>
        <xdr:cNvSpPr>
          <a:spLocks noChangeShapeType="1"/>
        </xdr:cNvSpPr>
      </xdr:nvSpPr>
      <xdr:spPr bwMode="auto">
        <a:xfrm>
          <a:off x="609600" y="1285875"/>
          <a:ext cx="9429750" cy="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9</xdr:row>
      <xdr:rowOff>0</xdr:rowOff>
    </xdr:from>
    <xdr:to>
      <xdr:col>13</xdr:col>
      <xdr:colOff>381000</xdr:colOff>
      <xdr:row>9</xdr:row>
      <xdr:rowOff>9525</xdr:rowOff>
    </xdr:to>
    <xdr:sp macro="" textlink="">
      <xdr:nvSpPr>
        <xdr:cNvPr id="3" name="Line 2"/>
        <xdr:cNvSpPr>
          <a:spLocks noChangeShapeType="1"/>
        </xdr:cNvSpPr>
      </xdr:nvSpPr>
      <xdr:spPr bwMode="auto">
        <a:xfrm flipV="1">
          <a:off x="609600" y="1447800"/>
          <a:ext cx="11877675" cy="952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3</xdr:row>
      <xdr:rowOff>0</xdr:rowOff>
    </xdr:from>
    <xdr:to>
      <xdr:col>10</xdr:col>
      <xdr:colOff>0</xdr:colOff>
      <xdr:row>4</xdr:row>
      <xdr:rowOff>0</xdr:rowOff>
    </xdr:to>
    <xdr:sp macro="" textlink="">
      <xdr:nvSpPr>
        <xdr:cNvPr id="4" name="Line 3"/>
        <xdr:cNvSpPr>
          <a:spLocks noChangeShapeType="1"/>
        </xdr:cNvSpPr>
      </xdr:nvSpPr>
      <xdr:spPr bwMode="auto">
        <a:xfrm flipV="1">
          <a:off x="11858625" y="485775"/>
          <a:ext cx="0" cy="16192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3</xdr:row>
      <xdr:rowOff>0</xdr:rowOff>
    </xdr:from>
    <xdr:to>
      <xdr:col>10</xdr:col>
      <xdr:colOff>0</xdr:colOff>
      <xdr:row>4</xdr:row>
      <xdr:rowOff>0</xdr:rowOff>
    </xdr:to>
    <xdr:sp macro="" textlink="">
      <xdr:nvSpPr>
        <xdr:cNvPr id="5" name="Line 4"/>
        <xdr:cNvSpPr>
          <a:spLocks noChangeShapeType="1"/>
        </xdr:cNvSpPr>
      </xdr:nvSpPr>
      <xdr:spPr bwMode="auto">
        <a:xfrm flipV="1">
          <a:off x="11858625" y="485775"/>
          <a:ext cx="0" cy="161925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3</xdr:row>
      <xdr:rowOff>9525</xdr:rowOff>
    </xdr:from>
    <xdr:to>
      <xdr:col>1</xdr:col>
      <xdr:colOff>0</xdr:colOff>
      <xdr:row>7</xdr:row>
      <xdr:rowOff>152400</xdr:rowOff>
    </xdr:to>
    <xdr:sp macro="" textlink="">
      <xdr:nvSpPr>
        <xdr:cNvPr id="6" name="Line 5"/>
        <xdr:cNvSpPr>
          <a:spLocks noChangeShapeType="1"/>
        </xdr:cNvSpPr>
      </xdr:nvSpPr>
      <xdr:spPr bwMode="auto">
        <a:xfrm flipH="1">
          <a:off x="609600" y="495300"/>
          <a:ext cx="0" cy="781050"/>
        </a:xfrm>
        <a:prstGeom prst="line">
          <a:avLst/>
        </a:prstGeom>
        <a:noFill/>
        <a:ln w="190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800100</xdr:colOff>
      <xdr:row>15</xdr:row>
      <xdr:rowOff>161925</xdr:rowOff>
    </xdr:from>
    <xdr:to>
      <xdr:col>5</xdr:col>
      <xdr:colOff>657225</xdr:colOff>
      <xdr:row>36</xdr:row>
      <xdr:rowOff>171450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314325</xdr:colOff>
      <xdr:row>11</xdr:row>
      <xdr:rowOff>0</xdr:rowOff>
    </xdr:from>
    <xdr:to>
      <xdr:col>5</xdr:col>
      <xdr:colOff>590550</xdr:colOff>
      <xdr:row>38</xdr:row>
      <xdr:rowOff>9525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0.64043</cdr:x>
      <cdr:y>0.64951</cdr:y>
    </cdr:from>
    <cdr:to>
      <cdr:x>0.87628</cdr:x>
      <cdr:y>0.6702</cdr:y>
    </cdr:to>
    <cdr:sp macro="" textlink="">
      <cdr:nvSpPr>
        <cdr:cNvPr id="5133" name="Hot Stall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754727" y="4191482"/>
          <a:ext cx="1381590" cy="13341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HOT STALL</a:t>
          </a:r>
        </a:p>
      </cdr:txBody>
    </cdr:sp>
  </cdr:relSizeAnchor>
  <cdr:relSizeAnchor xmlns:cdr="http://schemas.openxmlformats.org/drawingml/2006/chartDrawing">
    <cdr:from>
      <cdr:x>0.64043</cdr:x>
      <cdr:y>0.54384</cdr:y>
    </cdr:from>
    <cdr:to>
      <cdr:x>0.92325</cdr:x>
      <cdr:y>0.56897</cdr:y>
    </cdr:to>
    <cdr:sp macro="" textlink="">
      <cdr:nvSpPr>
        <cdr:cNvPr id="5134" name="Cold Stall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754727" y="3510104"/>
          <a:ext cx="1656755" cy="16200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COLD (AMBIENT) STALL</a:t>
          </a:r>
        </a:p>
      </cdr:txBody>
    </cdr:sp>
  </cdr:relSizeAnchor>
  <cdr:relSizeAnchor xmlns:cdr="http://schemas.openxmlformats.org/drawingml/2006/chartDrawing">
    <cdr:from>
      <cdr:x>0.66822</cdr:x>
      <cdr:y>0.76059</cdr:y>
    </cdr:from>
    <cdr:to>
      <cdr:x>0.91366</cdr:x>
      <cdr:y>0.78572</cdr:y>
    </cdr:to>
    <cdr:sp macro="" textlink="">
      <cdr:nvSpPr>
        <cdr:cNvPr id="5135" name="Acceleration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917521" y="4907802"/>
          <a:ext cx="1437775" cy="16200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ACCELERATION CURVE</a:t>
          </a:r>
        </a:p>
      </cdr:txBody>
    </cdr:sp>
  </cdr:relSizeAnchor>
  <cdr:relSizeAnchor xmlns:cdr="http://schemas.openxmlformats.org/drawingml/2006/chartDrawing">
    <cdr:from>
      <cdr:x>0.29932</cdr:x>
      <cdr:y>0.36182</cdr:y>
    </cdr:from>
    <cdr:to>
      <cdr:x>0.62444</cdr:x>
      <cdr:y>0.3899</cdr:y>
    </cdr:to>
    <cdr:sp macro="" textlink="">
      <cdr:nvSpPr>
        <cdr:cNvPr id="5136" name="Running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756537" y="2336355"/>
          <a:ext cx="1904548" cy="18106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RUNNING CONDITION</a:t>
          </a:r>
        </a:p>
      </cdr:txBody>
    </cdr:sp>
  </cdr:relSizeAnchor>
  <cdr:relSizeAnchor xmlns:cdr="http://schemas.openxmlformats.org/drawingml/2006/chartDrawing">
    <cdr:from>
      <cdr:x>0.6242</cdr:x>
      <cdr:y>0.19532</cdr:y>
    </cdr:from>
    <cdr:to>
      <cdr:x>0.94932</cdr:x>
      <cdr:y>0.2234</cdr:y>
    </cdr:to>
    <cdr:sp macro="" textlink="">
      <cdr:nvSpPr>
        <cdr:cNvPr id="5137" name="Load Type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659644" y="1262668"/>
          <a:ext cx="1904547" cy="18106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r>
            <a:rPr lang="en-US"/>
            <a:t>LOAD TYPE: FAN / PUMP</a:t>
          </a: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333375</xdr:colOff>
      <xdr:row>16</xdr:row>
      <xdr:rowOff>19050</xdr:rowOff>
    </xdr:from>
    <xdr:to>
      <xdr:col>5</xdr:col>
      <xdr:colOff>904875</xdr:colOff>
      <xdr:row>37</xdr:row>
      <xdr:rowOff>47625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628650</xdr:colOff>
      <xdr:row>16</xdr:row>
      <xdr:rowOff>66675</xdr:rowOff>
    </xdr:from>
    <xdr:to>
      <xdr:col>0</xdr:col>
      <xdr:colOff>1104900</xdr:colOff>
      <xdr:row>17</xdr:row>
      <xdr:rowOff>0</xdr:rowOff>
    </xdr:to>
    <xdr:sp macro="" textlink="">
      <xdr:nvSpPr>
        <xdr:cNvPr id="3" name="RPM11"/>
        <xdr:cNvSpPr txBox="1">
          <a:spLocks noChangeArrowheads="1"/>
        </xdr:cNvSpPr>
      </xdr:nvSpPr>
      <xdr:spPr bwMode="auto">
        <a:xfrm>
          <a:off x="628650" y="3962400"/>
          <a:ext cx="476250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3600</a:t>
          </a:r>
        </a:p>
      </xdr:txBody>
    </xdr:sp>
    <xdr:clientData/>
  </xdr:twoCellAnchor>
  <xdr:twoCellAnchor>
    <xdr:from>
      <xdr:col>0</xdr:col>
      <xdr:colOff>619125</xdr:colOff>
      <xdr:row>18</xdr:row>
      <xdr:rowOff>9525</xdr:rowOff>
    </xdr:from>
    <xdr:to>
      <xdr:col>0</xdr:col>
      <xdr:colOff>1095375</xdr:colOff>
      <xdr:row>18</xdr:row>
      <xdr:rowOff>180975</xdr:rowOff>
    </xdr:to>
    <xdr:sp macro="" textlink="">
      <xdr:nvSpPr>
        <xdr:cNvPr id="4" name="RPM10"/>
        <xdr:cNvSpPr txBox="1">
          <a:spLocks noChangeArrowheads="1"/>
        </xdr:cNvSpPr>
      </xdr:nvSpPr>
      <xdr:spPr bwMode="auto">
        <a:xfrm>
          <a:off x="619125" y="4381500"/>
          <a:ext cx="476250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3595</a:t>
          </a:r>
        </a:p>
      </xdr:txBody>
    </xdr:sp>
    <xdr:clientData/>
  </xdr:twoCellAnchor>
  <xdr:twoCellAnchor>
    <xdr:from>
      <xdr:col>0</xdr:col>
      <xdr:colOff>609600</xdr:colOff>
      <xdr:row>19</xdr:row>
      <xdr:rowOff>180975</xdr:rowOff>
    </xdr:from>
    <xdr:to>
      <xdr:col>0</xdr:col>
      <xdr:colOff>1085850</xdr:colOff>
      <xdr:row>20</xdr:row>
      <xdr:rowOff>114300</xdr:rowOff>
    </xdr:to>
    <xdr:sp macro="" textlink="">
      <xdr:nvSpPr>
        <xdr:cNvPr id="5" name="RPM9"/>
        <xdr:cNvSpPr txBox="1">
          <a:spLocks noChangeArrowheads="1"/>
        </xdr:cNvSpPr>
      </xdr:nvSpPr>
      <xdr:spPr bwMode="auto">
        <a:xfrm>
          <a:off x="609600" y="4791075"/>
          <a:ext cx="476250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3590</a:t>
          </a:r>
        </a:p>
      </xdr:txBody>
    </xdr:sp>
    <xdr:clientData/>
  </xdr:twoCellAnchor>
  <xdr:twoCellAnchor>
    <xdr:from>
      <xdr:col>0</xdr:col>
      <xdr:colOff>609600</xdr:colOff>
      <xdr:row>21</xdr:row>
      <xdr:rowOff>114300</xdr:rowOff>
    </xdr:from>
    <xdr:to>
      <xdr:col>0</xdr:col>
      <xdr:colOff>1085850</xdr:colOff>
      <xdr:row>22</xdr:row>
      <xdr:rowOff>47625</xdr:rowOff>
    </xdr:to>
    <xdr:sp macro="" textlink="">
      <xdr:nvSpPr>
        <xdr:cNvPr id="6" name="RPM8"/>
        <xdr:cNvSpPr txBox="1">
          <a:spLocks noChangeArrowheads="1"/>
        </xdr:cNvSpPr>
      </xdr:nvSpPr>
      <xdr:spPr bwMode="auto">
        <a:xfrm>
          <a:off x="609600" y="5200650"/>
          <a:ext cx="476250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3585</a:t>
          </a:r>
        </a:p>
      </xdr:txBody>
    </xdr:sp>
    <xdr:clientData/>
  </xdr:twoCellAnchor>
  <xdr:twoCellAnchor>
    <xdr:from>
      <xdr:col>0</xdr:col>
      <xdr:colOff>619125</xdr:colOff>
      <xdr:row>23</xdr:row>
      <xdr:rowOff>47625</xdr:rowOff>
    </xdr:from>
    <xdr:to>
      <xdr:col>0</xdr:col>
      <xdr:colOff>1095375</xdr:colOff>
      <xdr:row>23</xdr:row>
      <xdr:rowOff>219075</xdr:rowOff>
    </xdr:to>
    <xdr:sp macro="" textlink="">
      <xdr:nvSpPr>
        <xdr:cNvPr id="7" name="RPM7"/>
        <xdr:cNvSpPr txBox="1">
          <a:spLocks noChangeArrowheads="1"/>
        </xdr:cNvSpPr>
      </xdr:nvSpPr>
      <xdr:spPr bwMode="auto">
        <a:xfrm>
          <a:off x="619125" y="5610225"/>
          <a:ext cx="476250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3580</a:t>
          </a:r>
        </a:p>
      </xdr:txBody>
    </xdr:sp>
    <xdr:clientData/>
  </xdr:twoCellAnchor>
  <xdr:twoCellAnchor>
    <xdr:from>
      <xdr:col>0</xdr:col>
      <xdr:colOff>619125</xdr:colOff>
      <xdr:row>24</xdr:row>
      <xdr:rowOff>219075</xdr:rowOff>
    </xdr:from>
    <xdr:to>
      <xdr:col>0</xdr:col>
      <xdr:colOff>1095375</xdr:colOff>
      <xdr:row>25</xdr:row>
      <xdr:rowOff>152400</xdr:rowOff>
    </xdr:to>
    <xdr:sp macro="" textlink="">
      <xdr:nvSpPr>
        <xdr:cNvPr id="8" name="RPM6"/>
        <xdr:cNvSpPr txBox="1">
          <a:spLocks noChangeArrowheads="1"/>
        </xdr:cNvSpPr>
      </xdr:nvSpPr>
      <xdr:spPr bwMode="auto">
        <a:xfrm>
          <a:off x="619125" y="6019800"/>
          <a:ext cx="476250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3575</a:t>
          </a:r>
        </a:p>
      </xdr:txBody>
    </xdr:sp>
    <xdr:clientData/>
  </xdr:twoCellAnchor>
  <xdr:twoCellAnchor>
    <xdr:from>
      <xdr:col>0</xdr:col>
      <xdr:colOff>609600</xdr:colOff>
      <xdr:row>26</xdr:row>
      <xdr:rowOff>152400</xdr:rowOff>
    </xdr:from>
    <xdr:to>
      <xdr:col>0</xdr:col>
      <xdr:colOff>1085850</xdr:colOff>
      <xdr:row>27</xdr:row>
      <xdr:rowOff>85725</xdr:rowOff>
    </xdr:to>
    <xdr:sp macro="" textlink="">
      <xdr:nvSpPr>
        <xdr:cNvPr id="9" name="RPM5"/>
        <xdr:cNvSpPr txBox="1">
          <a:spLocks noChangeArrowheads="1"/>
        </xdr:cNvSpPr>
      </xdr:nvSpPr>
      <xdr:spPr bwMode="auto">
        <a:xfrm>
          <a:off x="609600" y="6429375"/>
          <a:ext cx="476250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3570</a:t>
          </a:r>
        </a:p>
      </xdr:txBody>
    </xdr:sp>
    <xdr:clientData/>
  </xdr:twoCellAnchor>
  <xdr:twoCellAnchor>
    <xdr:from>
      <xdr:col>0</xdr:col>
      <xdr:colOff>600075</xdr:colOff>
      <xdr:row>28</xdr:row>
      <xdr:rowOff>85725</xdr:rowOff>
    </xdr:from>
    <xdr:to>
      <xdr:col>0</xdr:col>
      <xdr:colOff>1076325</xdr:colOff>
      <xdr:row>29</xdr:row>
      <xdr:rowOff>19050</xdr:rowOff>
    </xdr:to>
    <xdr:sp macro="" textlink="">
      <xdr:nvSpPr>
        <xdr:cNvPr id="10" name="RPM4"/>
        <xdr:cNvSpPr txBox="1">
          <a:spLocks noChangeArrowheads="1"/>
        </xdr:cNvSpPr>
      </xdr:nvSpPr>
      <xdr:spPr bwMode="auto">
        <a:xfrm>
          <a:off x="600075" y="6838950"/>
          <a:ext cx="476250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3565</a:t>
          </a:r>
        </a:p>
      </xdr:txBody>
    </xdr:sp>
    <xdr:clientData/>
  </xdr:twoCellAnchor>
  <xdr:twoCellAnchor>
    <xdr:from>
      <xdr:col>0</xdr:col>
      <xdr:colOff>600075</xdr:colOff>
      <xdr:row>30</xdr:row>
      <xdr:rowOff>28575</xdr:rowOff>
    </xdr:from>
    <xdr:to>
      <xdr:col>0</xdr:col>
      <xdr:colOff>1076325</xdr:colOff>
      <xdr:row>30</xdr:row>
      <xdr:rowOff>200025</xdr:rowOff>
    </xdr:to>
    <xdr:sp macro="" textlink="">
      <xdr:nvSpPr>
        <xdr:cNvPr id="11" name="RPM3"/>
        <xdr:cNvSpPr txBox="1">
          <a:spLocks noChangeArrowheads="1"/>
        </xdr:cNvSpPr>
      </xdr:nvSpPr>
      <xdr:spPr bwMode="auto">
        <a:xfrm>
          <a:off x="600075" y="7258050"/>
          <a:ext cx="476250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3560</a:t>
          </a:r>
        </a:p>
      </xdr:txBody>
    </xdr:sp>
    <xdr:clientData/>
  </xdr:twoCellAnchor>
  <xdr:twoCellAnchor>
    <xdr:from>
      <xdr:col>0</xdr:col>
      <xdr:colOff>600075</xdr:colOff>
      <xdr:row>31</xdr:row>
      <xdr:rowOff>200025</xdr:rowOff>
    </xdr:from>
    <xdr:to>
      <xdr:col>0</xdr:col>
      <xdr:colOff>1076325</xdr:colOff>
      <xdr:row>32</xdr:row>
      <xdr:rowOff>133350</xdr:rowOff>
    </xdr:to>
    <xdr:sp macro="" textlink="">
      <xdr:nvSpPr>
        <xdr:cNvPr id="12" name="RPM2"/>
        <xdr:cNvSpPr txBox="1">
          <a:spLocks noChangeArrowheads="1"/>
        </xdr:cNvSpPr>
      </xdr:nvSpPr>
      <xdr:spPr bwMode="auto">
        <a:xfrm>
          <a:off x="600075" y="7667625"/>
          <a:ext cx="476250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3555</a:t>
          </a:r>
        </a:p>
      </xdr:txBody>
    </xdr:sp>
    <xdr:clientData/>
  </xdr:twoCellAnchor>
  <xdr:twoCellAnchor>
    <xdr:from>
      <xdr:col>0</xdr:col>
      <xdr:colOff>609600</xdr:colOff>
      <xdr:row>33</xdr:row>
      <xdr:rowOff>133350</xdr:rowOff>
    </xdr:from>
    <xdr:to>
      <xdr:col>0</xdr:col>
      <xdr:colOff>1085850</xdr:colOff>
      <xdr:row>34</xdr:row>
      <xdr:rowOff>66675</xdr:rowOff>
    </xdr:to>
    <xdr:sp macro="" textlink="">
      <xdr:nvSpPr>
        <xdr:cNvPr id="13" name="RPM1"/>
        <xdr:cNvSpPr txBox="1">
          <a:spLocks noChangeArrowheads="1"/>
        </xdr:cNvSpPr>
      </xdr:nvSpPr>
      <xdr:spPr bwMode="auto">
        <a:xfrm>
          <a:off x="609600" y="8077200"/>
          <a:ext cx="476250" cy="1714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3550</a:t>
          </a:r>
        </a:p>
      </xdr:txBody>
    </xdr:sp>
    <xdr:clientData/>
  </xdr:twoCellAnchor>
  <xdr:twoCellAnchor>
    <xdr:from>
      <xdr:col>0</xdr:col>
      <xdr:colOff>390525</xdr:colOff>
      <xdr:row>24</xdr:row>
      <xdr:rowOff>104775</xdr:rowOff>
    </xdr:from>
    <xdr:to>
      <xdr:col>0</xdr:col>
      <xdr:colOff>600075</xdr:colOff>
      <xdr:row>26</xdr:row>
      <xdr:rowOff>209550</xdr:rowOff>
    </xdr:to>
    <xdr:sp macro="" textlink="">
      <xdr:nvSpPr>
        <xdr:cNvPr id="14" name="RPM"/>
        <xdr:cNvSpPr txBox="1">
          <a:spLocks noChangeArrowheads="1"/>
        </xdr:cNvSpPr>
      </xdr:nvSpPr>
      <xdr:spPr bwMode="auto">
        <a:xfrm>
          <a:off x="390525" y="5905500"/>
          <a:ext cx="209550" cy="5810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="vert270"/>
        <a:lstStyle/>
        <a:p>
          <a:r>
            <a:rPr lang="en-US"/>
            <a:t>RPM</a:t>
          </a:r>
        </a:p>
      </xdr:txBody>
    </xdr:sp>
    <xdr:clientData/>
  </xdr:twoCellAnchor>
  <xdr:twoCellAnchor>
    <xdr:from>
      <xdr:col>5</xdr:col>
      <xdr:colOff>352423</xdr:colOff>
      <xdr:row>16</xdr:row>
      <xdr:rowOff>57150</xdr:rowOff>
    </xdr:from>
    <xdr:to>
      <xdr:col>5</xdr:col>
      <xdr:colOff>847724</xdr:colOff>
      <xdr:row>17</xdr:row>
      <xdr:rowOff>38100</xdr:rowOff>
    </xdr:to>
    <xdr:sp macro="" textlink="">
      <xdr:nvSpPr>
        <xdr:cNvPr id="15" name="Watts11"/>
        <xdr:cNvSpPr txBox="1">
          <a:spLocks noChangeArrowheads="1"/>
        </xdr:cNvSpPr>
      </xdr:nvSpPr>
      <xdr:spPr bwMode="auto">
        <a:xfrm>
          <a:off x="5924548" y="3952875"/>
          <a:ext cx="495301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1400</a:t>
          </a:r>
        </a:p>
      </xdr:txBody>
    </xdr:sp>
    <xdr:clientData/>
  </xdr:twoCellAnchor>
  <xdr:twoCellAnchor>
    <xdr:from>
      <xdr:col>5</xdr:col>
      <xdr:colOff>381000</xdr:colOff>
      <xdr:row>25</xdr:row>
      <xdr:rowOff>0</xdr:rowOff>
    </xdr:from>
    <xdr:to>
      <xdr:col>5</xdr:col>
      <xdr:colOff>851209</xdr:colOff>
      <xdr:row>25</xdr:row>
      <xdr:rowOff>200025</xdr:rowOff>
    </xdr:to>
    <xdr:sp macro="" textlink="">
      <xdr:nvSpPr>
        <xdr:cNvPr id="16" name="Watts6"/>
        <xdr:cNvSpPr txBox="1">
          <a:spLocks noChangeArrowheads="1"/>
        </xdr:cNvSpPr>
      </xdr:nvSpPr>
      <xdr:spPr bwMode="auto">
        <a:xfrm>
          <a:off x="5953125" y="6038850"/>
          <a:ext cx="470209" cy="2000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700</a:t>
          </a:r>
        </a:p>
      </xdr:txBody>
    </xdr:sp>
    <xdr:clientData/>
  </xdr:twoCellAnchor>
  <xdr:twoCellAnchor>
    <xdr:from>
      <xdr:col>5</xdr:col>
      <xdr:colOff>371474</xdr:colOff>
      <xdr:row>26</xdr:row>
      <xdr:rowOff>180975</xdr:rowOff>
    </xdr:from>
    <xdr:to>
      <xdr:col>5</xdr:col>
      <xdr:colOff>788250</xdr:colOff>
      <xdr:row>27</xdr:row>
      <xdr:rowOff>133350</xdr:rowOff>
    </xdr:to>
    <xdr:sp macro="" textlink="">
      <xdr:nvSpPr>
        <xdr:cNvPr id="17" name="Watts5"/>
        <xdr:cNvSpPr txBox="1">
          <a:spLocks noChangeArrowheads="1"/>
        </xdr:cNvSpPr>
      </xdr:nvSpPr>
      <xdr:spPr bwMode="auto">
        <a:xfrm>
          <a:off x="5943599" y="6457950"/>
          <a:ext cx="416776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560</a:t>
          </a:r>
        </a:p>
      </xdr:txBody>
    </xdr:sp>
    <xdr:clientData/>
  </xdr:twoCellAnchor>
  <xdr:twoCellAnchor>
    <xdr:from>
      <xdr:col>5</xdr:col>
      <xdr:colOff>380999</xdr:colOff>
      <xdr:row>28</xdr:row>
      <xdr:rowOff>114300</xdr:rowOff>
    </xdr:from>
    <xdr:to>
      <xdr:col>5</xdr:col>
      <xdr:colOff>797775</xdr:colOff>
      <xdr:row>29</xdr:row>
      <xdr:rowOff>66675</xdr:rowOff>
    </xdr:to>
    <xdr:sp macro="" textlink="">
      <xdr:nvSpPr>
        <xdr:cNvPr id="18" name="Watts4"/>
        <xdr:cNvSpPr txBox="1">
          <a:spLocks noChangeArrowheads="1"/>
        </xdr:cNvSpPr>
      </xdr:nvSpPr>
      <xdr:spPr bwMode="auto">
        <a:xfrm>
          <a:off x="5953124" y="6867525"/>
          <a:ext cx="416776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420</a:t>
          </a:r>
        </a:p>
      </xdr:txBody>
    </xdr:sp>
    <xdr:clientData/>
  </xdr:twoCellAnchor>
  <xdr:twoCellAnchor>
    <xdr:from>
      <xdr:col>5</xdr:col>
      <xdr:colOff>371474</xdr:colOff>
      <xdr:row>30</xdr:row>
      <xdr:rowOff>38100</xdr:rowOff>
    </xdr:from>
    <xdr:to>
      <xdr:col>5</xdr:col>
      <xdr:colOff>788250</xdr:colOff>
      <xdr:row>30</xdr:row>
      <xdr:rowOff>228600</xdr:rowOff>
    </xdr:to>
    <xdr:sp macro="" textlink="">
      <xdr:nvSpPr>
        <xdr:cNvPr id="19" name="Watts3"/>
        <xdr:cNvSpPr txBox="1">
          <a:spLocks noChangeArrowheads="1"/>
        </xdr:cNvSpPr>
      </xdr:nvSpPr>
      <xdr:spPr bwMode="auto">
        <a:xfrm>
          <a:off x="5943599" y="7267575"/>
          <a:ext cx="416776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280</a:t>
          </a:r>
        </a:p>
      </xdr:txBody>
    </xdr:sp>
    <xdr:clientData/>
  </xdr:twoCellAnchor>
  <xdr:twoCellAnchor>
    <xdr:from>
      <xdr:col>5</xdr:col>
      <xdr:colOff>371474</xdr:colOff>
      <xdr:row>31</xdr:row>
      <xdr:rowOff>219075</xdr:rowOff>
    </xdr:from>
    <xdr:to>
      <xdr:col>5</xdr:col>
      <xdr:colOff>788250</xdr:colOff>
      <xdr:row>32</xdr:row>
      <xdr:rowOff>171450</xdr:rowOff>
    </xdr:to>
    <xdr:sp macro="" textlink="">
      <xdr:nvSpPr>
        <xdr:cNvPr id="20" name="Watts2"/>
        <xdr:cNvSpPr txBox="1">
          <a:spLocks noChangeArrowheads="1"/>
        </xdr:cNvSpPr>
      </xdr:nvSpPr>
      <xdr:spPr bwMode="auto">
        <a:xfrm>
          <a:off x="5943599" y="7686675"/>
          <a:ext cx="416776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140</a:t>
          </a:r>
        </a:p>
      </xdr:txBody>
    </xdr:sp>
    <xdr:clientData/>
  </xdr:twoCellAnchor>
  <xdr:twoCellAnchor>
    <xdr:from>
      <xdr:col>5</xdr:col>
      <xdr:colOff>733425</xdr:colOff>
      <xdr:row>23</xdr:row>
      <xdr:rowOff>9525</xdr:rowOff>
    </xdr:from>
    <xdr:to>
      <xdr:col>5</xdr:col>
      <xdr:colOff>952500</xdr:colOff>
      <xdr:row>28</xdr:row>
      <xdr:rowOff>142875</xdr:rowOff>
    </xdr:to>
    <xdr:sp macro="" textlink="">
      <xdr:nvSpPr>
        <xdr:cNvPr id="21" name="Input Watts"/>
        <xdr:cNvSpPr txBox="1">
          <a:spLocks noChangeArrowheads="1"/>
        </xdr:cNvSpPr>
      </xdr:nvSpPr>
      <xdr:spPr bwMode="auto">
        <a:xfrm>
          <a:off x="6305550" y="5572125"/>
          <a:ext cx="219075" cy="1323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="vert270"/>
        <a:lstStyle/>
        <a:p>
          <a:r>
            <a:rPr lang="en-US"/>
            <a:t>Input Watts (kW)</a:t>
          </a:r>
        </a:p>
      </xdr:txBody>
    </xdr:sp>
    <xdr:clientData/>
  </xdr:twoCellAnchor>
  <xdr:twoCellAnchor>
    <xdr:from>
      <xdr:col>5</xdr:col>
      <xdr:colOff>371474</xdr:colOff>
      <xdr:row>23</xdr:row>
      <xdr:rowOff>66675</xdr:rowOff>
    </xdr:from>
    <xdr:to>
      <xdr:col>5</xdr:col>
      <xdr:colOff>788250</xdr:colOff>
      <xdr:row>24</xdr:row>
      <xdr:rowOff>19050</xdr:rowOff>
    </xdr:to>
    <xdr:sp macro="" textlink="">
      <xdr:nvSpPr>
        <xdr:cNvPr id="22" name="Watts7"/>
        <xdr:cNvSpPr txBox="1">
          <a:spLocks noChangeArrowheads="1"/>
        </xdr:cNvSpPr>
      </xdr:nvSpPr>
      <xdr:spPr bwMode="auto">
        <a:xfrm>
          <a:off x="5943599" y="5629275"/>
          <a:ext cx="416776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840</a:t>
          </a:r>
        </a:p>
      </xdr:txBody>
    </xdr:sp>
    <xdr:clientData/>
  </xdr:twoCellAnchor>
  <xdr:twoCellAnchor>
    <xdr:from>
      <xdr:col>5</xdr:col>
      <xdr:colOff>371474</xdr:colOff>
      <xdr:row>21</xdr:row>
      <xdr:rowOff>133350</xdr:rowOff>
    </xdr:from>
    <xdr:to>
      <xdr:col>5</xdr:col>
      <xdr:colOff>788250</xdr:colOff>
      <xdr:row>22</xdr:row>
      <xdr:rowOff>85725</xdr:rowOff>
    </xdr:to>
    <xdr:sp macro="" textlink="">
      <xdr:nvSpPr>
        <xdr:cNvPr id="23" name="Watts8"/>
        <xdr:cNvSpPr txBox="1">
          <a:spLocks noChangeArrowheads="1"/>
        </xdr:cNvSpPr>
      </xdr:nvSpPr>
      <xdr:spPr bwMode="auto">
        <a:xfrm>
          <a:off x="5943599" y="5219700"/>
          <a:ext cx="416776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980</a:t>
          </a:r>
        </a:p>
      </xdr:txBody>
    </xdr:sp>
    <xdr:clientData/>
  </xdr:twoCellAnchor>
  <xdr:twoCellAnchor>
    <xdr:from>
      <xdr:col>5</xdr:col>
      <xdr:colOff>361948</xdr:colOff>
      <xdr:row>19</xdr:row>
      <xdr:rowOff>171450</xdr:rowOff>
    </xdr:from>
    <xdr:to>
      <xdr:col>5</xdr:col>
      <xdr:colOff>857249</xdr:colOff>
      <xdr:row>20</xdr:row>
      <xdr:rowOff>152400</xdr:rowOff>
    </xdr:to>
    <xdr:sp macro="" textlink="">
      <xdr:nvSpPr>
        <xdr:cNvPr id="24" name="Watts9"/>
        <xdr:cNvSpPr txBox="1">
          <a:spLocks noChangeArrowheads="1"/>
        </xdr:cNvSpPr>
      </xdr:nvSpPr>
      <xdr:spPr bwMode="auto">
        <a:xfrm>
          <a:off x="5934073" y="4781550"/>
          <a:ext cx="495301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1120</a:t>
          </a:r>
        </a:p>
      </xdr:txBody>
    </xdr:sp>
    <xdr:clientData/>
  </xdr:twoCellAnchor>
  <xdr:twoCellAnchor>
    <xdr:from>
      <xdr:col>5</xdr:col>
      <xdr:colOff>361948</xdr:colOff>
      <xdr:row>18</xdr:row>
      <xdr:rowOff>0</xdr:rowOff>
    </xdr:from>
    <xdr:to>
      <xdr:col>5</xdr:col>
      <xdr:colOff>857249</xdr:colOff>
      <xdr:row>18</xdr:row>
      <xdr:rowOff>219075</xdr:rowOff>
    </xdr:to>
    <xdr:sp macro="" textlink="">
      <xdr:nvSpPr>
        <xdr:cNvPr id="25" name="Watts10"/>
        <xdr:cNvSpPr txBox="1">
          <a:spLocks noChangeArrowheads="1"/>
        </xdr:cNvSpPr>
      </xdr:nvSpPr>
      <xdr:spPr bwMode="auto">
        <a:xfrm>
          <a:off x="5934073" y="4371975"/>
          <a:ext cx="495301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1260</a:t>
          </a:r>
        </a:p>
      </xdr:txBody>
    </xdr:sp>
    <xdr:clientData/>
  </xdr:twoCellAnchor>
  <xdr:twoCellAnchor>
    <xdr:from>
      <xdr:col>2</xdr:col>
      <xdr:colOff>857250</xdr:colOff>
      <xdr:row>17</xdr:row>
      <xdr:rowOff>19050</xdr:rowOff>
    </xdr:from>
    <xdr:to>
      <xdr:col>3</xdr:col>
      <xdr:colOff>85725</xdr:colOff>
      <xdr:row>17</xdr:row>
      <xdr:rowOff>161925</xdr:rowOff>
    </xdr:to>
    <xdr:sp macro="" textlink="" fLocksText="0">
      <xdr:nvSpPr>
        <xdr:cNvPr id="26" name="Text Box 26"/>
        <xdr:cNvSpPr txBox="1">
          <a:spLocks noChangeArrowheads="1"/>
        </xdr:cNvSpPr>
      </xdr:nvSpPr>
      <xdr:spPr bwMode="auto">
        <a:xfrm>
          <a:off x="3086100" y="4152900"/>
          <a:ext cx="3429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EFF.</a:t>
          </a:r>
        </a:p>
      </xdr:txBody>
    </xdr:sp>
    <xdr:clientData fLocksWithSheet="0"/>
  </xdr:twoCellAnchor>
  <xdr:twoCellAnchor>
    <xdr:from>
      <xdr:col>3</xdr:col>
      <xdr:colOff>209550</xdr:colOff>
      <xdr:row>19</xdr:row>
      <xdr:rowOff>133350</xdr:rowOff>
    </xdr:from>
    <xdr:to>
      <xdr:col>3</xdr:col>
      <xdr:colOff>542925</xdr:colOff>
      <xdr:row>20</xdr:row>
      <xdr:rowOff>66675</xdr:rowOff>
    </xdr:to>
    <xdr:sp macro="" textlink="" fLocksText="0">
      <xdr:nvSpPr>
        <xdr:cNvPr id="27" name="Text Box 27"/>
        <xdr:cNvSpPr txBox="1">
          <a:spLocks noChangeArrowheads="1"/>
        </xdr:cNvSpPr>
      </xdr:nvSpPr>
      <xdr:spPr bwMode="auto">
        <a:xfrm>
          <a:off x="3552825" y="4743450"/>
          <a:ext cx="333375" cy="17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P.F.</a:t>
          </a:r>
        </a:p>
      </xdr:txBody>
    </xdr:sp>
    <xdr:clientData fLocksWithSheet="0"/>
  </xdr:twoCellAnchor>
  <xdr:twoCellAnchor>
    <xdr:from>
      <xdr:col>2</xdr:col>
      <xdr:colOff>904875</xdr:colOff>
      <xdr:row>22</xdr:row>
      <xdr:rowOff>228600</xdr:rowOff>
    </xdr:from>
    <xdr:to>
      <xdr:col>3</xdr:col>
      <xdr:colOff>133350</xdr:colOff>
      <xdr:row>23</xdr:row>
      <xdr:rowOff>133350</xdr:rowOff>
    </xdr:to>
    <xdr:sp macro="" textlink="" fLocksText="0">
      <xdr:nvSpPr>
        <xdr:cNvPr id="28" name="Speed"/>
        <xdr:cNvSpPr txBox="1">
          <a:spLocks noChangeArrowheads="1"/>
        </xdr:cNvSpPr>
      </xdr:nvSpPr>
      <xdr:spPr bwMode="auto">
        <a:xfrm>
          <a:off x="3133725" y="5553075"/>
          <a:ext cx="342900" cy="1428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RPM</a:t>
          </a:r>
        </a:p>
      </xdr:txBody>
    </xdr:sp>
    <xdr:clientData fLocksWithSheet="0"/>
  </xdr:twoCellAnchor>
  <xdr:twoCellAnchor>
    <xdr:from>
      <xdr:col>2</xdr:col>
      <xdr:colOff>209550</xdr:colOff>
      <xdr:row>29</xdr:row>
      <xdr:rowOff>28575</xdr:rowOff>
    </xdr:from>
    <xdr:to>
      <xdr:col>2</xdr:col>
      <xdr:colOff>647700</xdr:colOff>
      <xdr:row>29</xdr:row>
      <xdr:rowOff>180975</xdr:rowOff>
    </xdr:to>
    <xdr:sp macro="" textlink="" fLocksText="0">
      <xdr:nvSpPr>
        <xdr:cNvPr id="29" name="Amps"/>
        <xdr:cNvSpPr txBox="1">
          <a:spLocks noChangeArrowheads="1"/>
        </xdr:cNvSpPr>
      </xdr:nvSpPr>
      <xdr:spPr bwMode="auto">
        <a:xfrm>
          <a:off x="2438400" y="7019925"/>
          <a:ext cx="438150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AMPS</a:t>
          </a:r>
        </a:p>
      </xdr:txBody>
    </xdr:sp>
    <xdr:clientData fLocksWithSheet="0"/>
  </xdr:twoCellAnchor>
  <xdr:twoCellAnchor>
    <xdr:from>
      <xdr:col>2</xdr:col>
      <xdr:colOff>542925</xdr:colOff>
      <xdr:row>31</xdr:row>
      <xdr:rowOff>180975</xdr:rowOff>
    </xdr:from>
    <xdr:to>
      <xdr:col>2</xdr:col>
      <xdr:colOff>1047750</xdr:colOff>
      <xdr:row>32</xdr:row>
      <xdr:rowOff>95250</xdr:rowOff>
    </xdr:to>
    <xdr:sp macro="" textlink="" fLocksText="0">
      <xdr:nvSpPr>
        <xdr:cNvPr id="30" name="Watts"/>
        <xdr:cNvSpPr txBox="1">
          <a:spLocks noChangeArrowheads="1"/>
        </xdr:cNvSpPr>
      </xdr:nvSpPr>
      <xdr:spPr bwMode="auto">
        <a:xfrm>
          <a:off x="2771775" y="7648575"/>
          <a:ext cx="504825" cy="152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1" i="0" u="none" strike="noStrike" baseline="0">
              <a:solidFill>
                <a:srgbClr val="000000"/>
              </a:solidFill>
              <a:latin typeface="Arial"/>
              <a:cs typeface="Arial"/>
            </a:rPr>
            <a:t>WATTS</a:t>
          </a:r>
        </a:p>
      </xdr:txBody>
    </xdr:sp>
    <xdr:clientData fLocksWithSheet="0"/>
  </xdr:twoCellAnchor>
  <xdr:twoCellAnchor>
    <xdr:from>
      <xdr:col>5</xdr:col>
      <xdr:colOff>361949</xdr:colOff>
      <xdr:row>33</xdr:row>
      <xdr:rowOff>142875</xdr:rowOff>
    </xdr:from>
    <xdr:to>
      <xdr:col>5</xdr:col>
      <xdr:colOff>800098</xdr:colOff>
      <xdr:row>34</xdr:row>
      <xdr:rowOff>104775</xdr:rowOff>
    </xdr:to>
    <xdr:sp macro="" textlink="">
      <xdr:nvSpPr>
        <xdr:cNvPr id="31" name="Watts1"/>
        <xdr:cNvSpPr txBox="1">
          <a:spLocks noChangeArrowheads="1"/>
        </xdr:cNvSpPr>
      </xdr:nvSpPr>
      <xdr:spPr bwMode="auto">
        <a:xfrm>
          <a:off x="5934074" y="8086725"/>
          <a:ext cx="438149" cy="2000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/>
        <a:lstStyle/>
        <a:p>
          <a:r>
            <a:rPr lang="en-US"/>
            <a:t>0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gram%20Files\DesPro\Destem\CustomerShee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Curve"/>
      <sheetName val="Performance"/>
      <sheetName val="Thermdam"/>
    </sheetNames>
    <sheetDataSet>
      <sheetData sheetId="0">
        <row r="54">
          <cell r="A54">
            <v>100</v>
          </cell>
          <cell r="B54">
            <v>0</v>
          </cell>
          <cell r="C54">
            <v>0.23980163037776947</v>
          </cell>
        </row>
        <row r="55">
          <cell r="A55">
            <v>99.416782846674323</v>
          </cell>
          <cell r="B55">
            <v>96.945425965936892</v>
          </cell>
          <cell r="C55">
            <v>108.75212860107422</v>
          </cell>
        </row>
        <row r="56">
          <cell r="A56">
            <v>97.083914093673229</v>
          </cell>
          <cell r="B56">
            <v>186.34879303697164</v>
          </cell>
          <cell r="C56">
            <v>324.15463256835937</v>
          </cell>
        </row>
        <row r="57">
          <cell r="A57">
            <v>91.667131334543228</v>
          </cell>
          <cell r="B57">
            <v>137.76095546567538</v>
          </cell>
          <cell r="C57">
            <v>381.46661376953125</v>
          </cell>
        </row>
        <row r="58">
          <cell r="A58">
            <v>86.250348389148712</v>
          </cell>
          <cell r="B58">
            <v>110.31394503026958</v>
          </cell>
          <cell r="C58">
            <v>398.822509765625</v>
          </cell>
        </row>
        <row r="59">
          <cell r="A59">
            <v>80.833564698696136</v>
          </cell>
          <cell r="B59">
            <v>97.134969099712777</v>
          </cell>
          <cell r="C59">
            <v>408.15411376953125</v>
          </cell>
        </row>
        <row r="60">
          <cell r="A60">
            <v>69.999998807907104</v>
          </cell>
          <cell r="B60">
            <v>88.574447769722184</v>
          </cell>
          <cell r="C60">
            <v>421.22097778320312</v>
          </cell>
        </row>
        <row r="61">
          <cell r="A61">
            <v>59.999999403953552</v>
          </cell>
          <cell r="B61">
            <v>88.892895915544926</v>
          </cell>
          <cell r="C61">
            <v>431.68954467773437</v>
          </cell>
        </row>
        <row r="62">
          <cell r="A62">
            <v>50</v>
          </cell>
          <cell r="B62">
            <v>90.2401370350794</v>
          </cell>
          <cell r="C62">
            <v>441.69143676757812</v>
          </cell>
        </row>
        <row r="63">
          <cell r="A63">
            <v>39.999997615814209</v>
          </cell>
          <cell r="B63">
            <v>92.883444426409213</v>
          </cell>
          <cell r="C63">
            <v>450.53271484375</v>
          </cell>
        </row>
        <row r="64">
          <cell r="A64">
            <v>30.000001192092896</v>
          </cell>
          <cell r="B64">
            <v>97.514926200712722</v>
          </cell>
          <cell r="C64">
            <v>458.3736572265625</v>
          </cell>
        </row>
        <row r="65">
          <cell r="A65">
            <v>19.999998807907104</v>
          </cell>
          <cell r="B65">
            <v>105.1546395583761</v>
          </cell>
          <cell r="C65">
            <v>464.68917846679687</v>
          </cell>
        </row>
        <row r="66">
          <cell r="A66">
            <v>10.000002384185791</v>
          </cell>
          <cell r="B66">
            <v>117.67507842474025</v>
          </cell>
          <cell r="C66">
            <v>469.78741455078125</v>
          </cell>
        </row>
        <row r="67">
          <cell r="A67">
            <v>0</v>
          </cell>
          <cell r="B67">
            <v>138.28708674246522</v>
          </cell>
          <cell r="C67">
            <v>474.07455444335937</v>
          </cell>
        </row>
      </sheetData>
      <sheetData sheetId="1">
        <row r="54">
          <cell r="A54">
            <v>0</v>
          </cell>
          <cell r="D54">
            <v>141</v>
          </cell>
          <cell r="E54">
            <v>100</v>
          </cell>
          <cell r="F54">
            <v>0</v>
          </cell>
        </row>
        <row r="55">
          <cell r="A55">
            <v>25</v>
          </cell>
          <cell r="B55">
            <v>90</v>
          </cell>
          <cell r="C55">
            <v>61</v>
          </cell>
          <cell r="D55">
            <v>176</v>
          </cell>
          <cell r="E55">
            <v>80</v>
          </cell>
          <cell r="F55">
            <v>8.5</v>
          </cell>
        </row>
        <row r="56">
          <cell r="A56">
            <v>50</v>
          </cell>
          <cell r="B56">
            <v>93.5</v>
          </cell>
          <cell r="C56">
            <v>79</v>
          </cell>
          <cell r="D56">
            <v>257</v>
          </cell>
          <cell r="E56">
            <v>66</v>
          </cell>
          <cell r="F56">
            <v>16.2</v>
          </cell>
        </row>
        <row r="57">
          <cell r="A57">
            <v>75</v>
          </cell>
          <cell r="B57">
            <v>95</v>
          </cell>
          <cell r="C57">
            <v>85</v>
          </cell>
          <cell r="D57">
            <v>354</v>
          </cell>
          <cell r="E57">
            <v>54</v>
          </cell>
          <cell r="F57">
            <v>24</v>
          </cell>
        </row>
        <row r="58">
          <cell r="A58">
            <v>100</v>
          </cell>
          <cell r="B58">
            <v>95.5</v>
          </cell>
          <cell r="C58">
            <v>86.5</v>
          </cell>
          <cell r="D58">
            <v>459</v>
          </cell>
          <cell r="E58">
            <v>40</v>
          </cell>
          <cell r="F58">
            <v>31.6</v>
          </cell>
        </row>
        <row r="59">
          <cell r="A59">
            <v>125</v>
          </cell>
          <cell r="B59">
            <v>95.6</v>
          </cell>
          <cell r="C59">
            <v>88</v>
          </cell>
          <cell r="D59">
            <v>572</v>
          </cell>
          <cell r="E59">
            <v>26</v>
          </cell>
          <cell r="F59">
            <v>40.1</v>
          </cell>
        </row>
      </sheetData>
      <sheetData sheetId="2">
        <row r="68">
          <cell r="A68">
            <v>600</v>
          </cell>
          <cell r="B68">
            <v>22.3</v>
          </cell>
          <cell r="C68">
            <v>15</v>
          </cell>
          <cell r="E68">
            <v>600</v>
          </cell>
          <cell r="F68">
            <v>1E-4</v>
          </cell>
        </row>
        <row r="69">
          <cell r="A69">
            <v>600</v>
          </cell>
          <cell r="B69">
            <v>22.3</v>
          </cell>
          <cell r="C69">
            <v>15</v>
          </cell>
          <cell r="E69">
            <v>558</v>
          </cell>
          <cell r="F69">
            <v>1</v>
          </cell>
        </row>
        <row r="70">
          <cell r="A70">
            <v>500</v>
          </cell>
          <cell r="B70">
            <v>32.112000000000002</v>
          </cell>
          <cell r="C70">
            <v>21.599999999999998</v>
          </cell>
          <cell r="E70">
            <v>547</v>
          </cell>
          <cell r="F70">
            <v>2</v>
          </cell>
        </row>
        <row r="71">
          <cell r="A71">
            <v>400</v>
          </cell>
          <cell r="B71">
            <v>50.175000000000004</v>
          </cell>
          <cell r="C71">
            <v>33.75</v>
          </cell>
          <cell r="E71">
            <v>535</v>
          </cell>
          <cell r="F71">
            <v>3</v>
          </cell>
        </row>
        <row r="72">
          <cell r="A72">
            <v>300</v>
          </cell>
          <cell r="E72">
            <v>522</v>
          </cell>
          <cell r="F72">
            <v>4.0999999999999996</v>
          </cell>
        </row>
        <row r="73">
          <cell r="A73">
            <v>200</v>
          </cell>
          <cell r="E73">
            <v>509</v>
          </cell>
          <cell r="F73">
            <v>5.2</v>
          </cell>
        </row>
        <row r="74">
          <cell r="A74">
            <v>315.999999</v>
          </cell>
          <cell r="C74">
            <v>54.077872478140669</v>
          </cell>
          <cell r="E74">
            <v>496</v>
          </cell>
          <cell r="F74">
            <v>6.6</v>
          </cell>
        </row>
        <row r="75">
          <cell r="A75">
            <v>180</v>
          </cell>
          <cell r="C75">
            <v>166.66666666666669</v>
          </cell>
          <cell r="E75">
            <v>481</v>
          </cell>
          <cell r="F75">
            <v>8.1</v>
          </cell>
        </row>
        <row r="76">
          <cell r="A76">
            <v>120</v>
          </cell>
          <cell r="C76">
            <v>375</v>
          </cell>
          <cell r="E76">
            <v>464</v>
          </cell>
          <cell r="F76">
            <v>9.6</v>
          </cell>
        </row>
        <row r="77">
          <cell r="A77">
            <v>110</v>
          </cell>
          <cell r="C77">
            <v>800</v>
          </cell>
          <cell r="E77">
            <v>447</v>
          </cell>
          <cell r="F77">
            <v>10.4</v>
          </cell>
        </row>
        <row r="78">
          <cell r="A78">
            <v>110</v>
          </cell>
          <cell r="C78">
            <v>1600</v>
          </cell>
          <cell r="E78">
            <v>425</v>
          </cell>
          <cell r="F78">
            <v>11</v>
          </cell>
        </row>
        <row r="79">
          <cell r="A79">
            <v>110</v>
          </cell>
          <cell r="C79">
            <v>10000</v>
          </cell>
          <cell r="E79">
            <v>367</v>
          </cell>
          <cell r="F79">
            <v>11.5</v>
          </cell>
        </row>
        <row r="80">
          <cell r="E80">
            <v>0</v>
          </cell>
          <cell r="F80">
            <v>11.7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O113"/>
  <sheetViews>
    <sheetView zoomScale="95" zoomScaleNormal="95" workbookViewId="0">
      <selection activeCell="A99" sqref="A99:I113"/>
    </sheetView>
  </sheetViews>
  <sheetFormatPr defaultRowHeight="12.75"/>
  <cols>
    <col min="1" max="6" width="12.28515625" customWidth="1"/>
    <col min="7" max="7" width="12.42578125" customWidth="1"/>
    <col min="8" max="8" width="12.7109375" customWidth="1"/>
    <col min="9" max="10" width="12.28515625" customWidth="1"/>
    <col min="12" max="12" width="13.42578125" bestFit="1" customWidth="1"/>
    <col min="13" max="13" width="9" bestFit="1" customWidth="1"/>
  </cols>
  <sheetData>
    <row r="1" spans="1:10" ht="18.75">
      <c r="A1" s="33" t="s">
        <v>167</v>
      </c>
      <c r="B1" s="2"/>
      <c r="C1" s="2"/>
      <c r="D1" s="2"/>
      <c r="E1" s="2"/>
      <c r="F1" s="2"/>
      <c r="G1" s="2"/>
      <c r="H1" s="2"/>
      <c r="I1" s="124" t="s">
        <v>0</v>
      </c>
      <c r="J1" s="124" t="s">
        <v>220</v>
      </c>
    </row>
    <row r="2" spans="1:10" ht="18.75">
      <c r="A2" s="33" t="s">
        <v>173</v>
      </c>
      <c r="B2" s="2"/>
      <c r="C2" s="2"/>
      <c r="D2" s="2"/>
      <c r="E2" s="2"/>
      <c r="F2" s="2"/>
      <c r="G2" s="2"/>
      <c r="H2" s="2"/>
      <c r="I2" s="2"/>
      <c r="J2" s="130" t="s">
        <v>221</v>
      </c>
    </row>
    <row r="3" spans="1:10" ht="15" customHeight="1" thickBot="1">
      <c r="A3" s="49" t="s">
        <v>1</v>
      </c>
      <c r="B3" s="96" t="s">
        <v>219</v>
      </c>
      <c r="C3" s="1"/>
      <c r="D3" s="49"/>
      <c r="E3" s="1"/>
      <c r="F3" s="1"/>
      <c r="G3" s="49" t="s">
        <v>2</v>
      </c>
      <c r="H3" s="171">
        <v>43578</v>
      </c>
      <c r="I3" s="49" t="s">
        <v>3</v>
      </c>
      <c r="J3" s="172">
        <v>0.47424768518518517</v>
      </c>
    </row>
    <row r="4" spans="1:10" ht="15" customHeight="1" thickBot="1">
      <c r="A4" s="12" t="s">
        <v>4</v>
      </c>
      <c r="B4" s="12" t="s">
        <v>171</v>
      </c>
      <c r="C4" s="12" t="s">
        <v>5</v>
      </c>
      <c r="D4" s="12" t="s">
        <v>172</v>
      </c>
      <c r="E4" s="157" t="s">
        <v>6</v>
      </c>
      <c r="F4" s="12" t="s">
        <v>7</v>
      </c>
      <c r="G4" s="12" t="s">
        <v>175</v>
      </c>
      <c r="H4" s="12" t="s">
        <v>8</v>
      </c>
      <c r="I4" s="12" t="s">
        <v>9</v>
      </c>
      <c r="J4" s="12" t="s">
        <v>10</v>
      </c>
    </row>
    <row r="5" spans="1:10" ht="15" customHeight="1" thickBot="1">
      <c r="A5" s="50">
        <v>2</v>
      </c>
      <c r="B5" s="112">
        <v>700</v>
      </c>
      <c r="C5" s="140">
        <v>3600</v>
      </c>
      <c r="D5" s="50" t="s">
        <v>192</v>
      </c>
      <c r="E5" s="158">
        <v>4000</v>
      </c>
      <c r="F5" s="140">
        <v>60</v>
      </c>
      <c r="G5" s="50">
        <v>105</v>
      </c>
      <c r="H5" s="78" t="s">
        <v>254</v>
      </c>
      <c r="I5" s="77" t="s">
        <v>259</v>
      </c>
      <c r="J5" s="50" t="s">
        <v>193</v>
      </c>
    </row>
    <row r="6" spans="1:10" ht="15" customHeight="1" thickBot="1">
      <c r="A6" s="23" t="s">
        <v>11</v>
      </c>
      <c r="B6" s="24"/>
      <c r="C6" s="25"/>
      <c r="D6" s="108" t="s">
        <v>12</v>
      </c>
      <c r="E6" s="154" t="s">
        <v>270</v>
      </c>
      <c r="F6" s="14"/>
      <c r="G6" s="15"/>
      <c r="H6" s="42" t="s">
        <v>13</v>
      </c>
      <c r="I6" s="18"/>
      <c r="J6" s="29"/>
    </row>
    <row r="7" spans="1:10" ht="15" customHeight="1" thickBot="1">
      <c r="A7" s="142"/>
      <c r="B7" s="4" t="s">
        <v>14</v>
      </c>
      <c r="C7" s="16" t="s">
        <v>15</v>
      </c>
      <c r="D7" s="142"/>
      <c r="E7" s="159"/>
      <c r="F7" s="4" t="s">
        <v>16</v>
      </c>
      <c r="G7" s="16" t="s">
        <v>17</v>
      </c>
      <c r="H7" s="10" t="s">
        <v>18</v>
      </c>
      <c r="I7" s="68">
        <v>25.431919047619047</v>
      </c>
      <c r="J7" s="106" t="s">
        <v>19</v>
      </c>
    </row>
    <row r="8" spans="1:10" ht="15" customHeight="1">
      <c r="A8" s="10" t="s">
        <v>20</v>
      </c>
      <c r="B8" s="69">
        <v>2.9000000953674316</v>
      </c>
      <c r="C8" s="52"/>
      <c r="D8" s="6"/>
      <c r="E8" s="51"/>
      <c r="F8" s="4"/>
      <c r="G8" s="16"/>
      <c r="H8" s="10" t="s">
        <v>21</v>
      </c>
      <c r="I8" s="68">
        <v>30.879981688258507</v>
      </c>
      <c r="J8" s="103" t="s">
        <v>22</v>
      </c>
    </row>
    <row r="9" spans="1:10" ht="15" customHeight="1" thickBot="1">
      <c r="A9" s="10" t="s">
        <v>23</v>
      </c>
      <c r="B9" s="69">
        <v>0.93000000715255737</v>
      </c>
      <c r="C9" s="52"/>
      <c r="D9" s="10" t="s">
        <v>24</v>
      </c>
      <c r="E9" s="53" t="s">
        <v>201</v>
      </c>
      <c r="F9" s="107" t="s">
        <v>25</v>
      </c>
      <c r="G9" s="30"/>
      <c r="H9" s="10" t="s">
        <v>26</v>
      </c>
      <c r="I9" s="69">
        <v>28.155950367938779</v>
      </c>
      <c r="J9" s="104">
        <v>641.70426288852548</v>
      </c>
    </row>
    <row r="10" spans="1:10" ht="15" customHeight="1">
      <c r="A10" s="10" t="s">
        <v>27</v>
      </c>
      <c r="B10" s="69">
        <v>452</v>
      </c>
      <c r="C10" s="73">
        <v>452</v>
      </c>
      <c r="D10" s="6"/>
      <c r="E10" s="51"/>
      <c r="F10" s="116" t="s">
        <v>215</v>
      </c>
      <c r="G10" s="114" t="s">
        <v>216</v>
      </c>
      <c r="H10" s="10" t="s">
        <v>28</v>
      </c>
      <c r="I10" s="68">
        <v>18.247458461573483</v>
      </c>
      <c r="J10" s="103" t="s">
        <v>29</v>
      </c>
    </row>
    <row r="11" spans="1:10" ht="15" customHeight="1" thickBot="1">
      <c r="A11" s="10" t="s">
        <v>30</v>
      </c>
      <c r="B11" s="69">
        <v>590</v>
      </c>
      <c r="C11" s="73">
        <v>334.19999980926514</v>
      </c>
      <c r="D11" s="10" t="s">
        <v>31</v>
      </c>
      <c r="E11" s="68">
        <v>0.61898571428571425</v>
      </c>
      <c r="F11" s="117"/>
      <c r="G11" s="113"/>
      <c r="H11" s="10" t="s">
        <v>32</v>
      </c>
      <c r="I11" s="68">
        <v>30.408333216002376</v>
      </c>
      <c r="J11" s="104">
        <v>26458.497086640997</v>
      </c>
    </row>
    <row r="12" spans="1:10" ht="15" customHeight="1">
      <c r="A12" s="10" t="s">
        <v>33</v>
      </c>
      <c r="B12" s="69">
        <v>340</v>
      </c>
      <c r="C12" s="73">
        <v>155</v>
      </c>
      <c r="D12" s="10" t="s">
        <v>34</v>
      </c>
      <c r="E12" s="153" t="s">
        <v>174</v>
      </c>
      <c r="F12" s="123" t="s">
        <v>209</v>
      </c>
      <c r="G12" s="115" t="s">
        <v>208</v>
      </c>
      <c r="H12" s="10" t="s">
        <v>35</v>
      </c>
      <c r="I12" s="68">
        <v>1.3937239041357459</v>
      </c>
      <c r="J12" s="103" t="s">
        <v>36</v>
      </c>
    </row>
    <row r="13" spans="1:10" ht="15" customHeight="1" thickBot="1">
      <c r="A13" s="10" t="s">
        <v>37</v>
      </c>
      <c r="B13" s="69">
        <v>68</v>
      </c>
      <c r="C13" s="73">
        <v>53.190000057220459</v>
      </c>
      <c r="D13" s="10" t="s">
        <v>38</v>
      </c>
      <c r="E13" s="70">
        <v>18</v>
      </c>
      <c r="F13" s="123"/>
      <c r="G13" s="115" t="s">
        <v>210</v>
      </c>
      <c r="H13" s="10" t="s">
        <v>40</v>
      </c>
      <c r="I13" s="68">
        <v>1.0155105006547325</v>
      </c>
      <c r="J13" s="104">
        <v>86.367752075195313</v>
      </c>
    </row>
    <row r="14" spans="1:10" ht="15" customHeight="1" thickBot="1">
      <c r="A14" s="162" t="s">
        <v>41</v>
      </c>
      <c r="B14" s="133">
        <v>353.39999389648438</v>
      </c>
      <c r="C14" s="134">
        <v>360.83999633789062</v>
      </c>
      <c r="D14" s="10" t="s">
        <v>42</v>
      </c>
      <c r="E14" s="51" t="s">
        <v>202</v>
      </c>
      <c r="F14" s="51"/>
      <c r="G14" s="115" t="s">
        <v>211</v>
      </c>
      <c r="H14" s="49" t="s">
        <v>43</v>
      </c>
      <c r="I14" s="68">
        <v>1.4153412596633597</v>
      </c>
      <c r="J14" s="103" t="s">
        <v>44</v>
      </c>
    </row>
    <row r="15" spans="1:10" ht="15" customHeight="1" thickBot="1">
      <c r="A15" s="13" t="s">
        <v>45</v>
      </c>
      <c r="B15" s="138"/>
      <c r="C15" s="139"/>
      <c r="D15" s="10" t="s">
        <v>46</v>
      </c>
      <c r="E15" s="51" t="s">
        <v>203</v>
      </c>
      <c r="F15" s="51"/>
      <c r="G15" s="115"/>
      <c r="H15" s="10" t="s">
        <v>47</v>
      </c>
      <c r="I15" s="68">
        <v>0.82618353059296434</v>
      </c>
      <c r="J15" s="104">
        <v>18.329117063492063</v>
      </c>
    </row>
    <row r="16" spans="1:10" ht="15" customHeight="1">
      <c r="A16" s="10" t="s">
        <v>48</v>
      </c>
      <c r="B16" s="51">
        <v>42</v>
      </c>
      <c r="C16" s="52">
        <v>34</v>
      </c>
      <c r="D16" s="10" t="s">
        <v>49</v>
      </c>
      <c r="E16" s="51">
        <v>1</v>
      </c>
      <c r="F16" s="51"/>
      <c r="G16" s="115"/>
      <c r="H16" s="10" t="s">
        <v>50</v>
      </c>
      <c r="I16" s="68">
        <v>0.9556462151235352</v>
      </c>
      <c r="J16" s="105" t="s">
        <v>51</v>
      </c>
    </row>
    <row r="17" spans="1:14" ht="15" customHeight="1" thickBot="1">
      <c r="A17" s="10" t="s">
        <v>52</v>
      </c>
      <c r="B17" s="51" t="s">
        <v>194</v>
      </c>
      <c r="C17" s="52" t="s">
        <v>195</v>
      </c>
      <c r="D17" s="49" t="s">
        <v>53</v>
      </c>
      <c r="E17" s="51" t="s">
        <v>204</v>
      </c>
      <c r="F17" s="51"/>
      <c r="G17" s="115"/>
      <c r="H17" s="10" t="s">
        <v>54</v>
      </c>
      <c r="I17" s="68">
        <v>0.78953916400856583</v>
      </c>
      <c r="J17" s="104">
        <v>611.2867591480715</v>
      </c>
    </row>
    <row r="18" spans="1:14" ht="15" customHeight="1">
      <c r="A18" s="10" t="s">
        <v>55</v>
      </c>
      <c r="B18" s="51" t="s">
        <v>174</v>
      </c>
      <c r="C18" s="73">
        <v>0</v>
      </c>
      <c r="D18" s="10" t="s">
        <v>56</v>
      </c>
      <c r="E18" s="137">
        <v>1071</v>
      </c>
      <c r="F18" s="70">
        <v>602</v>
      </c>
      <c r="G18" s="74"/>
      <c r="H18" s="13" t="s">
        <v>57</v>
      </c>
      <c r="I18" s="131" t="s">
        <v>217</v>
      </c>
      <c r="J18" s="132"/>
    </row>
    <row r="19" spans="1:14" ht="15" customHeight="1">
      <c r="A19" s="10" t="s">
        <v>58</v>
      </c>
      <c r="B19" s="69">
        <v>57</v>
      </c>
      <c r="C19" s="73">
        <v>36.409999847412109</v>
      </c>
      <c r="D19" s="10" t="s">
        <v>59</v>
      </c>
      <c r="E19" s="70">
        <v>252</v>
      </c>
      <c r="F19" s="51"/>
      <c r="G19" s="52"/>
      <c r="H19" s="143"/>
      <c r="I19" s="4" t="s">
        <v>60</v>
      </c>
      <c r="J19" s="31" t="s">
        <v>61</v>
      </c>
    </row>
    <row r="20" spans="1:14" ht="15" customHeight="1">
      <c r="A20" s="10" t="s">
        <v>62</v>
      </c>
      <c r="B20" s="69" t="s">
        <v>196</v>
      </c>
      <c r="C20" s="73"/>
      <c r="D20" s="10" t="s">
        <v>166</v>
      </c>
      <c r="E20" s="161">
        <v>0.24044362789573911</v>
      </c>
      <c r="F20" s="51"/>
      <c r="G20" s="52"/>
      <c r="H20" s="10" t="s">
        <v>63</v>
      </c>
      <c r="I20" s="68">
        <v>11.78604793548584</v>
      </c>
      <c r="J20" s="72">
        <v>11.78604793548584</v>
      </c>
    </row>
    <row r="21" spans="1:14" ht="15" customHeight="1">
      <c r="A21" s="10" t="s">
        <v>64</v>
      </c>
      <c r="B21" s="69">
        <v>14</v>
      </c>
      <c r="C21" s="73">
        <v>3</v>
      </c>
      <c r="D21" s="10" t="s">
        <v>205</v>
      </c>
      <c r="E21" s="67">
        <v>0.32074896530688968</v>
      </c>
      <c r="F21" s="67">
        <v>0.16247287392616272</v>
      </c>
      <c r="G21" s="71">
        <v>1.8250628975028306E-2</v>
      </c>
      <c r="H21" s="10" t="s">
        <v>65</v>
      </c>
      <c r="I21" s="68">
        <v>16.43341064453125</v>
      </c>
      <c r="J21" s="72">
        <v>14.468874931335449</v>
      </c>
    </row>
    <row r="22" spans="1:14" ht="15" customHeight="1">
      <c r="A22" s="10" t="s">
        <v>66</v>
      </c>
      <c r="B22" s="69">
        <v>2.8299999237060547</v>
      </c>
      <c r="C22" s="73">
        <v>3</v>
      </c>
      <c r="D22" s="10" t="s">
        <v>67</v>
      </c>
      <c r="E22" s="51" t="s">
        <v>206</v>
      </c>
      <c r="F22" s="51" t="s">
        <v>207</v>
      </c>
      <c r="G22" s="52" t="s">
        <v>207</v>
      </c>
      <c r="H22" s="10" t="s">
        <v>68</v>
      </c>
      <c r="I22" s="68">
        <v>6.7679719924926758</v>
      </c>
      <c r="J22" s="72">
        <v>6.0388569831848145</v>
      </c>
    </row>
    <row r="23" spans="1:14" ht="15" customHeight="1">
      <c r="A23" s="10" t="s">
        <v>69</v>
      </c>
      <c r="B23" s="69">
        <v>11.431919097900391</v>
      </c>
      <c r="C23" s="73">
        <v>10.031435012817383</v>
      </c>
      <c r="D23" s="10" t="s">
        <v>70</v>
      </c>
      <c r="E23" s="68">
        <v>1.7419999837875366</v>
      </c>
      <c r="F23" s="68">
        <v>1.7239999771118164</v>
      </c>
      <c r="G23" s="72">
        <v>1.7239999771118164</v>
      </c>
      <c r="H23" s="10" t="s">
        <v>71</v>
      </c>
      <c r="I23" s="68">
        <v>21.324104853092532</v>
      </c>
      <c r="J23" s="16" t="s">
        <v>218</v>
      </c>
    </row>
    <row r="24" spans="1:14" ht="15" customHeight="1">
      <c r="A24" s="10" t="s">
        <v>72</v>
      </c>
      <c r="B24" s="69">
        <v>0</v>
      </c>
      <c r="C24" s="73">
        <v>0.80000001192092896</v>
      </c>
      <c r="D24" s="10" t="s">
        <v>73</v>
      </c>
      <c r="E24" s="68">
        <v>8.8900003433227539</v>
      </c>
      <c r="F24" s="68">
        <v>8.8900003433227539</v>
      </c>
      <c r="G24" s="72">
        <v>8.8900003433227539</v>
      </c>
      <c r="H24" s="10" t="s">
        <v>74</v>
      </c>
      <c r="I24" s="68">
        <v>5.7711436150482589</v>
      </c>
      <c r="J24" s="72">
        <v>5.1494172454981486</v>
      </c>
    </row>
    <row r="25" spans="1:14" ht="15" customHeight="1">
      <c r="A25" s="10" t="s">
        <v>75</v>
      </c>
      <c r="B25" s="51" t="s">
        <v>174</v>
      </c>
      <c r="C25" s="73">
        <v>4.7199997901916504</v>
      </c>
      <c r="D25" s="109" t="s">
        <v>76</v>
      </c>
      <c r="E25" s="53"/>
      <c r="F25" s="53"/>
      <c r="G25" s="60"/>
      <c r="H25" s="10" t="s">
        <v>77</v>
      </c>
      <c r="I25" s="68">
        <v>0.50147247314453125</v>
      </c>
      <c r="J25" s="72">
        <v>1.182335376739502</v>
      </c>
    </row>
    <row r="26" spans="1:14" ht="15" customHeight="1">
      <c r="A26" s="10" t="s">
        <v>78</v>
      </c>
      <c r="B26" s="53" t="s">
        <v>197</v>
      </c>
      <c r="C26" s="60" t="s">
        <v>198</v>
      </c>
      <c r="D26" s="10" t="s">
        <v>79</v>
      </c>
      <c r="E26" s="69">
        <v>66.235609059613012</v>
      </c>
      <c r="F26" s="69">
        <v>61.748093264648432</v>
      </c>
      <c r="G26" s="73">
        <v>23.106281313810701</v>
      </c>
      <c r="H26" s="10" t="s">
        <v>80</v>
      </c>
      <c r="I26" s="68">
        <v>4.356266975402832</v>
      </c>
      <c r="J26" s="72">
        <v>4.1236310005187988</v>
      </c>
    </row>
    <row r="27" spans="1:14" ht="15" customHeight="1" thickBot="1">
      <c r="A27" s="10" t="s">
        <v>81</v>
      </c>
      <c r="B27" s="51" t="s">
        <v>199</v>
      </c>
      <c r="C27" s="52" t="s">
        <v>200</v>
      </c>
      <c r="D27" s="11" t="s">
        <v>82</v>
      </c>
      <c r="E27" s="80">
        <v>74.510996690288351</v>
      </c>
      <c r="F27" s="80" t="s">
        <v>174</v>
      </c>
      <c r="G27" s="82" t="s">
        <v>174</v>
      </c>
      <c r="H27" s="11" t="s">
        <v>83</v>
      </c>
      <c r="I27" s="79">
        <v>4.385035514831543</v>
      </c>
      <c r="J27" s="81">
        <v>4.2897839546203613</v>
      </c>
    </row>
    <row r="28" spans="1:14" ht="15" customHeight="1">
      <c r="A28" s="6" t="s">
        <v>84</v>
      </c>
      <c r="B28" s="3"/>
      <c r="C28" s="38"/>
      <c r="D28" s="13" t="s">
        <v>85</v>
      </c>
      <c r="E28" s="22"/>
      <c r="F28" s="19"/>
      <c r="G28" s="41"/>
      <c r="H28" s="15"/>
      <c r="I28" s="28" t="s">
        <v>86</v>
      </c>
      <c r="J28" s="15"/>
    </row>
    <row r="29" spans="1:14" ht="15" customHeight="1">
      <c r="A29" s="7"/>
      <c r="B29" s="34" t="s">
        <v>87</v>
      </c>
      <c r="C29" s="75">
        <v>33.371401521852249</v>
      </c>
      <c r="D29" s="7"/>
      <c r="E29" s="4" t="s">
        <v>88</v>
      </c>
      <c r="F29" s="4" t="s">
        <v>89</v>
      </c>
      <c r="G29" s="4" t="s">
        <v>90</v>
      </c>
      <c r="H29" s="16" t="s">
        <v>91</v>
      </c>
      <c r="I29" s="4" t="s">
        <v>92</v>
      </c>
      <c r="J29" s="16" t="s">
        <v>93</v>
      </c>
      <c r="M29" s="152" t="str">
        <f>RIGHT(F$41,SEARCH("/",F$41,1)-1)</f>
        <v xml:space="preserve"> 3569.4</v>
      </c>
      <c r="N29" t="s">
        <v>186</v>
      </c>
    </row>
    <row r="30" spans="1:14" ht="15" customHeight="1" thickBot="1">
      <c r="A30" s="8"/>
      <c r="B30" s="63" t="s">
        <v>94</v>
      </c>
      <c r="C30" s="76">
        <v>33.398959330820517</v>
      </c>
      <c r="D30" s="10" t="s">
        <v>95</v>
      </c>
      <c r="E30" s="165">
        <v>46.338452500000002</v>
      </c>
      <c r="F30" s="165">
        <v>480.62399169921878</v>
      </c>
      <c r="G30" s="165">
        <v>18.131268987782786</v>
      </c>
      <c r="H30" s="166">
        <v>929.53908399402394</v>
      </c>
      <c r="I30" s="70">
        <v>39409.004030749304</v>
      </c>
      <c r="J30" s="74">
        <v>3666.1740802746958</v>
      </c>
      <c r="M30" s="152" t="str">
        <f>RIGHT(E$41,SEARCH("/",E$41,1)-1)</f>
        <v xml:space="preserve"> 3575.0</v>
      </c>
      <c r="N30" t="s">
        <v>187</v>
      </c>
    </row>
    <row r="31" spans="1:14" ht="15" customHeight="1">
      <c r="A31" s="23" t="s">
        <v>96</v>
      </c>
      <c r="B31" s="144"/>
      <c r="C31" s="27"/>
      <c r="D31" s="10" t="s">
        <v>97</v>
      </c>
      <c r="E31" s="165">
        <v>5.7</v>
      </c>
      <c r="F31" s="165">
        <v>848.40842927885126</v>
      </c>
      <c r="G31" s="165">
        <v>10.27137705702383</v>
      </c>
      <c r="H31" s="166">
        <v>14.827701900047844</v>
      </c>
      <c r="I31" s="70">
        <v>9671.8560937789043</v>
      </c>
      <c r="J31" s="74">
        <v>358.35396409250984</v>
      </c>
      <c r="M31" s="152" t="str">
        <f>RIGHT(D$41,SEARCH("/",D$41,1)-1)</f>
        <v xml:space="preserve"> 3580.5</v>
      </c>
      <c r="N31" t="s">
        <v>188</v>
      </c>
    </row>
    <row r="32" spans="1:14" ht="15" customHeight="1">
      <c r="A32" s="6" t="s">
        <v>98</v>
      </c>
      <c r="B32" s="68" t="s">
        <v>261</v>
      </c>
      <c r="C32" s="110"/>
      <c r="D32" s="10" t="s">
        <v>99</v>
      </c>
      <c r="E32" s="165">
        <v>20.528719863988162</v>
      </c>
      <c r="F32" s="165">
        <v>570.29558662510681</v>
      </c>
      <c r="G32" s="165">
        <v>15.280361763011364</v>
      </c>
      <c r="H32" s="166">
        <v>201.22997379082537</v>
      </c>
      <c r="I32" s="9" t="s">
        <v>100</v>
      </c>
      <c r="J32" s="74">
        <v>4024.5280443672054</v>
      </c>
      <c r="M32" s="152" t="str">
        <f>RIGHT(C$41,SEARCH("/",C$41,1)-1)</f>
        <v xml:space="preserve"> 3586.0</v>
      </c>
      <c r="N32" t="s">
        <v>189</v>
      </c>
    </row>
    <row r="33" spans="1:15" ht="15" customHeight="1">
      <c r="A33" s="6" t="s">
        <v>101</v>
      </c>
      <c r="B33" s="68" t="s">
        <v>262</v>
      </c>
      <c r="C33" s="111" t="s">
        <v>102</v>
      </c>
      <c r="D33" s="10" t="s">
        <v>97</v>
      </c>
      <c r="E33" s="165">
        <v>3.6409999847412111</v>
      </c>
      <c r="F33" s="165">
        <v>615.35630545909805</v>
      </c>
      <c r="G33" s="165">
        <v>14.161426149649891</v>
      </c>
      <c r="H33" s="166">
        <v>25.937573341529831</v>
      </c>
      <c r="I33" s="9" t="s">
        <v>103</v>
      </c>
      <c r="J33" s="73" t="s">
        <v>229</v>
      </c>
      <c r="M33" s="152" t="str">
        <f>RIGHT(B$41,SEARCH("/",B$41,1)-1)</f>
        <v xml:space="preserve"> 3591.4</v>
      </c>
      <c r="N33" t="s">
        <v>190</v>
      </c>
    </row>
    <row r="34" spans="1:15" ht="15" customHeight="1" thickBot="1">
      <c r="A34" s="17" t="s">
        <v>104</v>
      </c>
      <c r="B34" s="79" t="s">
        <v>263</v>
      </c>
      <c r="C34" s="160">
        <v>8.7143228754804163</v>
      </c>
      <c r="D34" s="11" t="s">
        <v>20</v>
      </c>
      <c r="E34" s="167">
        <v>0.29000000953674315</v>
      </c>
      <c r="F34" s="168">
        <v>1449.0003297775634</v>
      </c>
      <c r="G34" s="168">
        <v>6.0140240801864806</v>
      </c>
      <c r="H34" s="169">
        <v>1387.8856252791441</v>
      </c>
      <c r="I34" s="9" t="s">
        <v>105</v>
      </c>
      <c r="J34" s="73">
        <v>6.0500001907348633</v>
      </c>
    </row>
    <row r="35" spans="1:15" ht="15" customHeight="1">
      <c r="A35" s="13" t="s">
        <v>106</v>
      </c>
      <c r="B35" s="14"/>
      <c r="C35" s="14"/>
      <c r="D35" s="135" t="s">
        <v>231</v>
      </c>
      <c r="E35" s="145" t="s">
        <v>230</v>
      </c>
      <c r="F35" s="15"/>
      <c r="G35" s="26" t="s">
        <v>107</v>
      </c>
      <c r="H35" s="85" t="s">
        <v>224</v>
      </c>
      <c r="I35" s="10" t="s">
        <v>108</v>
      </c>
      <c r="J35" s="74" t="s">
        <v>228</v>
      </c>
    </row>
    <row r="36" spans="1:15" ht="15" customHeight="1">
      <c r="A36" s="6" t="s">
        <v>109</v>
      </c>
      <c r="B36" s="4">
        <v>25</v>
      </c>
      <c r="C36" s="4">
        <v>50</v>
      </c>
      <c r="D36" s="4">
        <v>75</v>
      </c>
      <c r="E36" s="4">
        <v>100</v>
      </c>
      <c r="F36" s="16">
        <v>125</v>
      </c>
      <c r="G36" s="10" t="s">
        <v>110</v>
      </c>
      <c r="H36" s="74" t="s">
        <v>222</v>
      </c>
      <c r="I36" s="10" t="s">
        <v>111</v>
      </c>
      <c r="J36" s="74" t="s">
        <v>227</v>
      </c>
    </row>
    <row r="37" spans="1:15" ht="15" customHeight="1" thickBot="1">
      <c r="A37" s="10" t="s">
        <v>112</v>
      </c>
      <c r="B37" s="173" t="s">
        <v>243</v>
      </c>
      <c r="C37" s="173" t="s">
        <v>244</v>
      </c>
      <c r="D37" s="173" t="s">
        <v>245</v>
      </c>
      <c r="E37" s="173" t="s">
        <v>246</v>
      </c>
      <c r="F37" s="174" t="s">
        <v>247</v>
      </c>
      <c r="G37" s="10" t="s">
        <v>113</v>
      </c>
      <c r="H37" s="74" t="s">
        <v>223</v>
      </c>
      <c r="I37" s="11" t="s">
        <v>114</v>
      </c>
      <c r="J37" s="83" t="s">
        <v>226</v>
      </c>
      <c r="O37" s="150"/>
    </row>
    <row r="38" spans="1:15" ht="15" customHeight="1" thickBot="1">
      <c r="A38" s="10" t="s">
        <v>115</v>
      </c>
      <c r="B38" s="175" t="s">
        <v>233</v>
      </c>
      <c r="C38" s="175" t="s">
        <v>234</v>
      </c>
      <c r="D38" s="175" t="s">
        <v>235</v>
      </c>
      <c r="E38" s="175" t="s">
        <v>236</v>
      </c>
      <c r="F38" s="176" t="s">
        <v>237</v>
      </c>
      <c r="G38" s="17" t="s">
        <v>116</v>
      </c>
      <c r="H38" s="83" t="s">
        <v>225</v>
      </c>
      <c r="I38" s="136" t="s">
        <v>232</v>
      </c>
      <c r="J38" s="84">
        <v>4642.8994140625</v>
      </c>
      <c r="L38" t="str">
        <f>LEFT(E38,SEARCH("/",E38,1)-1)</f>
        <v xml:space="preserve">0.962 </v>
      </c>
      <c r="M38" t="str">
        <f>RIGHT(E38,SEARCH("/",E38,1)-1)</f>
        <v xml:space="preserve"> 0.954</v>
      </c>
      <c r="N38" s="151">
        <f>M38/L38</f>
        <v>0.99168399168399168</v>
      </c>
      <c r="O38" s="150" t="s">
        <v>177</v>
      </c>
    </row>
    <row r="39" spans="1:15" ht="15" customHeight="1">
      <c r="A39" s="10" t="s">
        <v>117</v>
      </c>
      <c r="B39" s="175" t="s">
        <v>238</v>
      </c>
      <c r="C39" s="175" t="s">
        <v>239</v>
      </c>
      <c r="D39" s="175" t="s">
        <v>240</v>
      </c>
      <c r="E39" s="175" t="s">
        <v>241</v>
      </c>
      <c r="F39" s="176" t="s">
        <v>242</v>
      </c>
      <c r="G39" s="13" t="s">
        <v>118</v>
      </c>
      <c r="H39" s="14"/>
      <c r="I39" s="39" t="s">
        <v>119</v>
      </c>
      <c r="J39" s="40" t="s">
        <v>120</v>
      </c>
      <c r="L39" t="str">
        <f>LEFT(E39,SEARCH("/",E39,1)-1)</f>
        <v xml:space="preserve">0.9076 </v>
      </c>
      <c r="M39" t="str">
        <f>RIGHT(E39,SEARCH("/",E39,1)-1)</f>
        <v xml:space="preserve"> 0.8960</v>
      </c>
      <c r="N39" s="151">
        <f>M39/L39</f>
        <v>0.98721903922432797</v>
      </c>
      <c r="O39" s="150" t="s">
        <v>178</v>
      </c>
    </row>
    <row r="40" spans="1:15" ht="15" customHeight="1">
      <c r="A40" s="10" t="s">
        <v>119</v>
      </c>
      <c r="B40" s="177" t="s">
        <v>256</v>
      </c>
      <c r="C40" s="177" t="s">
        <v>257</v>
      </c>
      <c r="D40" s="177" t="s">
        <v>258</v>
      </c>
      <c r="E40" s="177" t="s">
        <v>259</v>
      </c>
      <c r="F40" s="178" t="s">
        <v>260</v>
      </c>
      <c r="G40" s="35" t="s">
        <v>121</v>
      </c>
      <c r="H40" s="91" t="s">
        <v>264</v>
      </c>
      <c r="I40" s="55"/>
      <c r="J40" s="56"/>
      <c r="L40" t="str">
        <f>LEFT(E37,SEARCH("/",E37,1)-1)</f>
        <v xml:space="preserve">86.37 </v>
      </c>
      <c r="M40" t="str">
        <f>RIGHT(E37,SEARCH("/",E37,1)-1)</f>
        <v xml:space="preserve"> 88.18</v>
      </c>
      <c r="N40" s="151">
        <f>M40/L40</f>
        <v>1.0209563505846937</v>
      </c>
      <c r="O40" s="150" t="s">
        <v>176</v>
      </c>
    </row>
    <row r="41" spans="1:15" ht="15" customHeight="1">
      <c r="A41" s="10" t="s">
        <v>5</v>
      </c>
      <c r="B41" s="179" t="s">
        <v>251</v>
      </c>
      <c r="C41" s="179" t="s">
        <v>252</v>
      </c>
      <c r="D41" s="179" t="s">
        <v>253</v>
      </c>
      <c r="E41" s="179" t="s">
        <v>254</v>
      </c>
      <c r="F41" s="180" t="s">
        <v>255</v>
      </c>
      <c r="G41" s="36" t="s">
        <v>122</v>
      </c>
      <c r="H41" s="92" t="s">
        <v>265</v>
      </c>
      <c r="I41" s="57"/>
      <c r="J41" s="58"/>
      <c r="L41" t="str">
        <f>LEFT(E41,SEARCH("/",E41,1)-1)</f>
        <v xml:space="preserve">3578.1 </v>
      </c>
      <c r="M41" t="str">
        <f>RIGHT(E41,SEARCH("/",E41,1)-1)</f>
        <v xml:space="preserve"> 3575.0</v>
      </c>
      <c r="N41" s="151">
        <f>M41/L41</f>
        <v>0.99913361840082726</v>
      </c>
      <c r="O41" s="150" t="s">
        <v>5</v>
      </c>
    </row>
    <row r="42" spans="1:15" ht="15" customHeight="1">
      <c r="A42" s="10" t="s">
        <v>123</v>
      </c>
      <c r="B42" s="175">
        <v>9.9661937746603577</v>
      </c>
      <c r="C42" s="175">
        <v>9.9661937746603577</v>
      </c>
      <c r="D42" s="175">
        <v>9.9661937746603577</v>
      </c>
      <c r="E42" s="175">
        <v>9.9661937746603577</v>
      </c>
      <c r="F42" s="176">
        <v>9.9661937746603577</v>
      </c>
      <c r="G42" s="35" t="s">
        <v>124</v>
      </c>
      <c r="H42" s="91" t="s">
        <v>266</v>
      </c>
      <c r="I42" s="55"/>
      <c r="J42" s="97">
        <v>0.27562474564954148</v>
      </c>
    </row>
    <row r="43" spans="1:15" ht="15" customHeight="1" thickBot="1">
      <c r="A43" s="11" t="s">
        <v>125</v>
      </c>
      <c r="B43" s="181">
        <v>9.9661937746603577</v>
      </c>
      <c r="C43" s="182"/>
      <c r="D43" s="183" t="s">
        <v>269</v>
      </c>
      <c r="E43" s="183"/>
      <c r="F43" s="184"/>
      <c r="G43" s="36" t="s">
        <v>122</v>
      </c>
      <c r="H43" s="92" t="s">
        <v>267</v>
      </c>
      <c r="I43" s="57"/>
      <c r="J43" s="58"/>
    </row>
    <row r="44" spans="1:15" ht="15" customHeight="1">
      <c r="A44" s="5" t="s">
        <v>126</v>
      </c>
      <c r="B44" s="141"/>
      <c r="C44" s="3"/>
      <c r="D44" s="3"/>
      <c r="E44" s="5" t="s">
        <v>127</v>
      </c>
      <c r="F44" s="20"/>
      <c r="G44" s="35" t="s">
        <v>128</v>
      </c>
      <c r="H44" s="93">
        <v>1629.3421608030449</v>
      </c>
      <c r="I44" s="90">
        <v>4.1373866539413245E-2</v>
      </c>
      <c r="J44" s="97">
        <v>0.62475052229958905</v>
      </c>
    </row>
    <row r="45" spans="1:15" ht="15" customHeight="1">
      <c r="A45" s="10" t="s">
        <v>129</v>
      </c>
      <c r="B45" s="68">
        <v>0.31077608466148376</v>
      </c>
      <c r="C45" s="163" t="s">
        <v>130</v>
      </c>
      <c r="D45" s="72">
        <v>1.1885397136211395E-2</v>
      </c>
      <c r="E45" s="10" t="s">
        <v>131</v>
      </c>
      <c r="F45" s="74">
        <v>326.23548371389205</v>
      </c>
      <c r="G45" s="37" t="s">
        <v>122</v>
      </c>
      <c r="H45" s="86" t="s">
        <v>268</v>
      </c>
      <c r="I45" s="59"/>
      <c r="J45" s="60"/>
    </row>
    <row r="46" spans="1:15" ht="15" customHeight="1">
      <c r="A46" s="10" t="s">
        <v>132</v>
      </c>
      <c r="B46" s="68">
        <v>0.14678443968296051</v>
      </c>
      <c r="C46" s="163" t="s">
        <v>133</v>
      </c>
      <c r="D46" s="72">
        <v>6.0894791968166828E-3</v>
      </c>
      <c r="E46" s="10" t="s">
        <v>134</v>
      </c>
      <c r="F46" s="74">
        <v>511.32728770670747</v>
      </c>
      <c r="G46" s="36" t="s">
        <v>135</v>
      </c>
      <c r="H46" s="94">
        <v>360.84574373857481</v>
      </c>
      <c r="I46" s="57"/>
      <c r="J46" s="58"/>
      <c r="L46" s="146" t="s">
        <v>179</v>
      </c>
      <c r="M46" s="148">
        <f>B5^0.95</f>
        <v>504.47905283690608</v>
      </c>
    </row>
    <row r="47" spans="1:15" ht="15" customHeight="1">
      <c r="A47" s="10" t="s">
        <v>136</v>
      </c>
      <c r="B47" s="68">
        <v>0.45756053924560547</v>
      </c>
      <c r="C47" s="163" t="s">
        <v>137</v>
      </c>
      <c r="D47" s="72">
        <v>5.7449252344667912E-3</v>
      </c>
      <c r="E47" s="10" t="s">
        <v>138</v>
      </c>
      <c r="F47" s="74">
        <v>185.1431492505364</v>
      </c>
      <c r="G47" s="64" t="s">
        <v>139</v>
      </c>
      <c r="H47" s="93">
        <v>1563.4217647470909</v>
      </c>
      <c r="I47" s="90">
        <v>3.9582356487900462E-2</v>
      </c>
      <c r="J47" s="95">
        <v>0.63963407177570208</v>
      </c>
      <c r="L47" s="146" t="s">
        <v>180</v>
      </c>
      <c r="M47" s="148">
        <f>B5^1.5</f>
        <v>18520.259177452117</v>
      </c>
    </row>
    <row r="48" spans="1:15" ht="15" customHeight="1">
      <c r="A48" s="10" t="s">
        <v>140</v>
      </c>
      <c r="B48" s="68">
        <v>1.3022582978010178E-2</v>
      </c>
      <c r="C48" s="163" t="s">
        <v>100</v>
      </c>
      <c r="D48" s="72">
        <v>3.6742385476827621E-2</v>
      </c>
      <c r="E48" s="10" t="s">
        <v>141</v>
      </c>
      <c r="F48" s="74">
        <v>82.517119826484318</v>
      </c>
      <c r="G48" s="65" t="s">
        <v>122</v>
      </c>
      <c r="H48" s="86">
        <v>299.39136886256091</v>
      </c>
      <c r="I48" s="59"/>
      <c r="J48" s="60"/>
      <c r="L48" s="146" t="s">
        <v>181</v>
      </c>
      <c r="M48" s="147">
        <f>IF(A5="",0,(7200/(1000*A5))^2.4)</f>
        <v>21.633460842025631</v>
      </c>
    </row>
    <row r="49" spans="1:13" ht="15" customHeight="1" thickBot="1">
      <c r="A49" s="8"/>
      <c r="B49" s="54"/>
      <c r="C49" s="164" t="s">
        <v>142</v>
      </c>
      <c r="D49" s="81">
        <v>0.96325761079788208</v>
      </c>
      <c r="E49" s="11" t="s">
        <v>143</v>
      </c>
      <c r="F49" s="83">
        <v>200.1765196633813</v>
      </c>
      <c r="G49" s="66" t="s">
        <v>135</v>
      </c>
      <c r="H49" s="94">
        <v>352.78590012735134</v>
      </c>
      <c r="I49" s="57"/>
      <c r="J49" s="61"/>
      <c r="L49" s="146" t="s">
        <v>182</v>
      </c>
      <c r="M49" s="147">
        <f>IF(A5="",0,(7200/(1000*A5))^1.8)</f>
        <v>10.031006258647469</v>
      </c>
    </row>
    <row r="50" spans="1:13" ht="15" customHeight="1">
      <c r="A50" s="13" t="s">
        <v>214</v>
      </c>
      <c r="B50" s="14"/>
      <c r="C50" s="14"/>
      <c r="D50" s="14"/>
      <c r="E50" s="14"/>
      <c r="F50" s="15"/>
      <c r="G50" s="13" t="s">
        <v>144</v>
      </c>
      <c r="H50" s="14"/>
      <c r="I50" s="41"/>
      <c r="J50" s="27"/>
      <c r="L50" s="146" t="s">
        <v>183</v>
      </c>
      <c r="M50" s="149">
        <f>IF(A5=2,27,24)</f>
        <v>27</v>
      </c>
    </row>
    <row r="51" spans="1:13" ht="15" customHeight="1">
      <c r="A51" s="10" t="s">
        <v>145</v>
      </c>
      <c r="B51" s="51">
        <v>34</v>
      </c>
      <c r="C51" s="9" t="s">
        <v>146</v>
      </c>
      <c r="D51" s="69" t="s">
        <v>174</v>
      </c>
      <c r="E51" s="9" t="s">
        <v>147</v>
      </c>
      <c r="F51" s="73" t="s">
        <v>174</v>
      </c>
      <c r="G51" s="9" t="s">
        <v>148</v>
      </c>
      <c r="H51" s="67">
        <v>0.10977118795470116</v>
      </c>
      <c r="I51" s="44" t="s">
        <v>149</v>
      </c>
      <c r="J51" s="38"/>
      <c r="L51" s="146" t="s">
        <v>184</v>
      </c>
      <c r="M51" s="149">
        <v>6.8500000000000005E-2</v>
      </c>
    </row>
    <row r="52" spans="1:13" ht="15" customHeight="1">
      <c r="A52" s="10" t="s">
        <v>58</v>
      </c>
      <c r="B52" s="69">
        <v>36.409999847412109</v>
      </c>
      <c r="C52" s="9" t="s">
        <v>150</v>
      </c>
      <c r="D52" s="69" t="s">
        <v>174</v>
      </c>
      <c r="E52" s="9" t="s">
        <v>151</v>
      </c>
      <c r="F52" s="73" t="s">
        <v>174</v>
      </c>
      <c r="G52" s="9" t="s">
        <v>168</v>
      </c>
      <c r="H52" s="69">
        <v>43335.580270534978</v>
      </c>
      <c r="I52" s="98" t="s">
        <v>248</v>
      </c>
      <c r="J52" s="62"/>
      <c r="L52" s="146" t="s">
        <v>191</v>
      </c>
      <c r="M52" s="170">
        <f>F5</f>
        <v>60</v>
      </c>
    </row>
    <row r="53" spans="1:13" ht="15" customHeight="1">
      <c r="A53" s="10" t="s">
        <v>64</v>
      </c>
      <c r="B53" s="69">
        <v>3</v>
      </c>
      <c r="C53" s="9" t="s">
        <v>152</v>
      </c>
      <c r="D53" s="69" t="s">
        <v>174</v>
      </c>
      <c r="E53" s="9" t="s">
        <v>153</v>
      </c>
      <c r="F53" s="73" t="s">
        <v>174</v>
      </c>
      <c r="G53" s="9" t="s">
        <v>169</v>
      </c>
      <c r="H53" s="68">
        <v>19.360541416329689</v>
      </c>
      <c r="I53" s="43" t="s">
        <v>154</v>
      </c>
      <c r="J53" s="38"/>
      <c r="L53" s="146" t="s">
        <v>185</v>
      </c>
      <c r="M53" s="152">
        <f>IF(F5=60,M50*M46/M48-M51*M47/M49,IF(F5&lt;&gt;60,(60/M52)^2*(M50*M46/M48-M51*M47/M49),0))</f>
        <v>503.15182398075945</v>
      </c>
    </row>
    <row r="54" spans="1:13" ht="15" customHeight="1">
      <c r="A54" s="10" t="s">
        <v>66</v>
      </c>
      <c r="B54" s="69">
        <v>3</v>
      </c>
      <c r="C54" s="9" t="s">
        <v>155</v>
      </c>
      <c r="D54" s="69" t="s">
        <v>174</v>
      </c>
      <c r="E54" s="9" t="s">
        <v>153</v>
      </c>
      <c r="F54" s="73" t="s">
        <v>174</v>
      </c>
      <c r="G54" s="9" t="s">
        <v>170</v>
      </c>
      <c r="H54" s="70">
        <v>132278</v>
      </c>
      <c r="I54" s="99" t="s">
        <v>249</v>
      </c>
      <c r="J54" s="100" t="s">
        <v>212</v>
      </c>
    </row>
    <row r="55" spans="1:13" ht="15" customHeight="1">
      <c r="A55" s="10" t="s">
        <v>156</v>
      </c>
      <c r="B55" s="69">
        <v>14.119999885559082</v>
      </c>
      <c r="C55" s="9" t="s">
        <v>157</v>
      </c>
      <c r="D55" s="69" t="s">
        <v>174</v>
      </c>
      <c r="E55" s="9" t="s">
        <v>158</v>
      </c>
      <c r="F55" s="73" t="s">
        <v>174</v>
      </c>
      <c r="G55" s="9" t="s">
        <v>159</v>
      </c>
      <c r="H55" s="69">
        <v>1</v>
      </c>
      <c r="I55" s="43" t="s">
        <v>160</v>
      </c>
      <c r="J55" s="38"/>
    </row>
    <row r="56" spans="1:13" ht="15" customHeight="1" thickBot="1">
      <c r="A56" s="11" t="s">
        <v>161</v>
      </c>
      <c r="B56" s="80" t="s">
        <v>174</v>
      </c>
      <c r="C56" s="21" t="s">
        <v>162</v>
      </c>
      <c r="D56" s="80" t="s">
        <v>174</v>
      </c>
      <c r="E56" s="21" t="s">
        <v>163</v>
      </c>
      <c r="F56" s="82" t="s">
        <v>174</v>
      </c>
      <c r="G56" s="21" t="s">
        <v>164</v>
      </c>
      <c r="H56" s="79">
        <v>0.67847857142857138</v>
      </c>
      <c r="I56" s="101" t="s">
        <v>250</v>
      </c>
      <c r="J56" s="61" t="s">
        <v>213</v>
      </c>
    </row>
    <row r="57" spans="1:13" ht="15" customHeight="1">
      <c r="A57" s="23" t="s">
        <v>400</v>
      </c>
      <c r="B57" s="41"/>
      <c r="C57" s="41"/>
      <c r="D57" s="41"/>
      <c r="E57" s="41"/>
      <c r="F57" s="27"/>
      <c r="G57" s="118"/>
      <c r="H57" s="119"/>
      <c r="I57" s="119"/>
      <c r="J57" s="120"/>
    </row>
    <row r="58" spans="1:13" ht="15" customHeight="1">
      <c r="A58" s="102" t="s">
        <v>119</v>
      </c>
      <c r="B58" s="4" t="s">
        <v>165</v>
      </c>
      <c r="C58" s="16" t="s">
        <v>398</v>
      </c>
      <c r="D58" s="4" t="s">
        <v>119</v>
      </c>
      <c r="E58" s="4" t="s">
        <v>165</v>
      </c>
      <c r="F58" s="16" t="s">
        <v>399</v>
      </c>
      <c r="G58" s="121"/>
      <c r="H58" s="45"/>
      <c r="I58" s="45"/>
      <c r="J58" s="46"/>
    </row>
    <row r="59" spans="1:13" ht="15" customHeight="1">
      <c r="A59" s="125">
        <v>0</v>
      </c>
      <c r="B59" s="86">
        <v>0</v>
      </c>
      <c r="C59" s="87">
        <v>0.27510794997215271</v>
      </c>
      <c r="D59" s="127">
        <v>0.69715785980224609</v>
      </c>
      <c r="E59" s="86">
        <v>87.102331552045285</v>
      </c>
      <c r="F59" s="87">
        <v>520.3431396484375</v>
      </c>
      <c r="G59" s="121"/>
      <c r="H59" s="45"/>
      <c r="I59" s="45"/>
      <c r="J59" s="46"/>
    </row>
    <row r="60" spans="1:13" ht="15" customHeight="1">
      <c r="A60" s="129">
        <v>8.2000000402331352E-3</v>
      </c>
      <c r="B60" s="86">
        <v>129.72441860858342</v>
      </c>
      <c r="C60" s="87">
        <v>123.72718811035156</v>
      </c>
      <c r="D60" s="127">
        <v>0.79810529947280884</v>
      </c>
      <c r="E60" s="86">
        <v>86.007776462303553</v>
      </c>
      <c r="F60" s="87">
        <v>523.39019775390625</v>
      </c>
      <c r="G60" s="121"/>
      <c r="H60" s="45"/>
      <c r="I60" s="45"/>
      <c r="J60" s="46"/>
    </row>
    <row r="61" spans="1:13" ht="15" customHeight="1">
      <c r="A61" s="129">
        <v>4.1000001132488251E-2</v>
      </c>
      <c r="B61" s="86">
        <v>275</v>
      </c>
      <c r="C61" s="87">
        <v>386.89324951171875</v>
      </c>
      <c r="D61" s="127">
        <v>0.89905261993408203</v>
      </c>
      <c r="E61" s="86">
        <v>85.362144814174087</v>
      </c>
      <c r="F61" s="87">
        <v>526.0626220703125</v>
      </c>
      <c r="G61" s="121"/>
      <c r="H61" s="45"/>
      <c r="I61" s="45"/>
      <c r="J61" s="46"/>
    </row>
    <row r="62" spans="1:13" ht="15" customHeight="1">
      <c r="A62" s="125">
        <v>9.1473683714866638E-2</v>
      </c>
      <c r="B62" s="86">
        <v>182.3006743572237</v>
      </c>
      <c r="C62" s="87">
        <v>465.41970825195312</v>
      </c>
      <c r="D62" s="128">
        <v>1</v>
      </c>
      <c r="E62" s="86">
        <v>85</v>
      </c>
      <c r="F62" s="87">
        <v>528.4090576171875</v>
      </c>
      <c r="G62" s="121"/>
      <c r="H62" s="45"/>
      <c r="I62" s="45"/>
      <c r="J62" s="46"/>
    </row>
    <row r="63" spans="1:13" ht="15" customHeight="1" thickBot="1">
      <c r="A63" s="125">
        <v>0.14194737374782562</v>
      </c>
      <c r="B63" s="86">
        <v>137.49738508959916</v>
      </c>
      <c r="C63" s="87">
        <v>487.29736328125</v>
      </c>
      <c r="D63" s="645"/>
      <c r="E63" s="646"/>
      <c r="F63" s="647"/>
      <c r="G63" s="121"/>
      <c r="H63" s="45"/>
      <c r="I63" s="45"/>
      <c r="J63" s="46"/>
    </row>
    <row r="64" spans="1:13" ht="15" customHeight="1">
      <c r="A64" s="125">
        <v>0.19242104887962341</v>
      </c>
      <c r="B64" s="86">
        <v>116.46110587373609</v>
      </c>
      <c r="C64" s="87">
        <v>496.16641235351562</v>
      </c>
      <c r="D64" s="648" t="s">
        <v>408</v>
      </c>
      <c r="E64" s="649"/>
      <c r="F64" s="649"/>
      <c r="G64" s="121"/>
      <c r="H64" s="45"/>
      <c r="I64" s="45"/>
      <c r="J64" s="46"/>
    </row>
    <row r="65" spans="1:10" ht="15" customHeight="1">
      <c r="A65" s="125">
        <v>0.29336842894554138</v>
      </c>
      <c r="B65" s="86">
        <v>103.02878805629179</v>
      </c>
      <c r="C65" s="87">
        <v>504.03134155273438</v>
      </c>
      <c r="D65" s="650" t="s">
        <v>402</v>
      </c>
      <c r="E65" s="652" t="s">
        <v>406</v>
      </c>
      <c r="F65" s="653"/>
      <c r="G65" s="121"/>
      <c r="H65" s="45"/>
      <c r="I65" s="45"/>
      <c r="J65" s="46"/>
    </row>
    <row r="66" spans="1:10" ht="15" customHeight="1">
      <c r="A66" s="125">
        <v>0.39431580901145935</v>
      </c>
      <c r="B66" s="86">
        <v>96.083922273865824</v>
      </c>
      <c r="C66" s="87">
        <v>508.84597778320312</v>
      </c>
      <c r="D66" s="650" t="s">
        <v>403</v>
      </c>
      <c r="E66" s="652" t="s">
        <v>407</v>
      </c>
      <c r="F66" s="653"/>
      <c r="G66" s="121"/>
      <c r="H66" s="45"/>
      <c r="I66" s="45"/>
      <c r="J66" s="46"/>
    </row>
    <row r="67" spans="1:10" ht="15" customHeight="1">
      <c r="A67" s="125">
        <v>0.49526315927505493</v>
      </c>
      <c r="B67" s="86">
        <v>91.713218680081624</v>
      </c>
      <c r="C67" s="87">
        <v>513.04864501953125</v>
      </c>
      <c r="D67" s="650" t="s">
        <v>404</v>
      </c>
      <c r="E67" s="652" t="s">
        <v>409</v>
      </c>
      <c r="F67" s="653"/>
      <c r="G67" s="121"/>
      <c r="H67" s="45"/>
      <c r="I67" s="45"/>
      <c r="J67" s="46"/>
    </row>
    <row r="68" spans="1:10" ht="15" customHeight="1" thickBot="1">
      <c r="A68" s="126">
        <v>0.5962105393409729</v>
      </c>
      <c r="B68" s="88">
        <v>88.888860018637317</v>
      </c>
      <c r="C68" s="89">
        <v>516.8922119140625</v>
      </c>
      <c r="D68" s="651" t="s">
        <v>405</v>
      </c>
      <c r="E68" s="654" t="s">
        <v>410</v>
      </c>
      <c r="F68" s="654"/>
      <c r="G68" s="122"/>
      <c r="H68" s="47"/>
      <c r="I68" s="47"/>
      <c r="J68" s="48"/>
    </row>
    <row r="69" spans="1:10" ht="15" customHeight="1">
      <c r="A69" s="155" t="s">
        <v>271</v>
      </c>
      <c r="B69" s="156"/>
      <c r="C69" s="32"/>
      <c r="D69" s="32"/>
      <c r="E69" s="32"/>
      <c r="F69" s="32"/>
      <c r="G69" s="32"/>
      <c r="H69" s="32"/>
      <c r="I69" s="32"/>
      <c r="J69" s="32"/>
    </row>
    <row r="70" spans="1:10" ht="15" customHeight="1">
      <c r="A70" s="32"/>
      <c r="B70" s="32"/>
      <c r="C70" s="32"/>
      <c r="D70" s="32"/>
      <c r="E70" s="32"/>
      <c r="F70" s="32"/>
      <c r="G70" s="32"/>
      <c r="H70" s="32"/>
      <c r="I70" s="32"/>
      <c r="J70" s="32"/>
    </row>
    <row r="71" spans="1:10">
      <c r="A71" s="1"/>
      <c r="B71" s="1"/>
      <c r="C71" s="1"/>
      <c r="D71" s="1"/>
      <c r="E71" s="1"/>
      <c r="F71" s="1"/>
      <c r="G71" s="1"/>
      <c r="H71" s="1"/>
      <c r="I71" s="1"/>
      <c r="J71" s="1"/>
    </row>
    <row r="99" spans="1:9">
      <c r="A99" s="644" t="s">
        <v>401</v>
      </c>
      <c r="B99" s="644"/>
      <c r="C99" s="644"/>
      <c r="D99" s="644"/>
      <c r="E99" s="644"/>
      <c r="F99" s="644"/>
      <c r="G99" s="644"/>
      <c r="H99" s="644"/>
      <c r="I99" s="644"/>
    </row>
    <row r="100" spans="1:9">
      <c r="A100" s="644">
        <v>100</v>
      </c>
      <c r="B100" s="644"/>
      <c r="C100" s="644"/>
      <c r="D100" s="644"/>
      <c r="E100" s="644"/>
      <c r="F100" s="644"/>
      <c r="G100" s="644"/>
      <c r="H100" s="644"/>
      <c r="I100" s="644"/>
    </row>
    <row r="101" spans="1:9">
      <c r="A101" s="644">
        <v>98.360000610351563</v>
      </c>
      <c r="B101" s="644"/>
      <c r="C101" s="644"/>
      <c r="D101" s="644"/>
      <c r="E101" s="644"/>
      <c r="F101" s="644"/>
      <c r="G101" s="644"/>
      <c r="H101" s="644"/>
      <c r="I101" s="644"/>
    </row>
    <row r="102" spans="1:9">
      <c r="A102" s="644">
        <v>89.474998474121094</v>
      </c>
      <c r="B102" s="644"/>
      <c r="C102" s="644"/>
      <c r="D102" s="644"/>
      <c r="E102" s="644"/>
      <c r="F102" s="644"/>
      <c r="G102" s="644"/>
      <c r="H102" s="644"/>
      <c r="I102" s="644"/>
    </row>
    <row r="103" spans="1:9">
      <c r="A103" s="644">
        <v>76.216842651367188</v>
      </c>
      <c r="B103" s="644"/>
      <c r="C103" s="644"/>
      <c r="D103" s="644"/>
      <c r="E103" s="644"/>
      <c r="F103" s="644"/>
      <c r="G103" s="644"/>
      <c r="H103" s="644"/>
      <c r="I103" s="644"/>
    </row>
    <row r="104" spans="1:9">
      <c r="A104" s="644">
        <v>63.093681335449219</v>
      </c>
      <c r="B104" s="644"/>
      <c r="C104" s="644"/>
      <c r="D104" s="644"/>
      <c r="E104" s="644"/>
      <c r="F104" s="644"/>
      <c r="G104" s="644"/>
      <c r="H104" s="644"/>
      <c r="I104" s="644"/>
    </row>
    <row r="105" spans="1:9">
      <c r="A105" s="644">
        <v>51.667369842529297</v>
      </c>
      <c r="B105" s="644"/>
      <c r="C105" s="644"/>
      <c r="D105" s="644"/>
      <c r="E105" s="644"/>
      <c r="F105" s="644"/>
      <c r="G105" s="644"/>
      <c r="H105" s="644"/>
      <c r="I105" s="644"/>
    </row>
    <row r="106" spans="1:9">
      <c r="A106" s="644">
        <v>34.127368927001953</v>
      </c>
      <c r="B106" s="644"/>
      <c r="C106" s="644"/>
      <c r="D106" s="644"/>
      <c r="E106" s="644"/>
      <c r="F106" s="644"/>
      <c r="G106" s="644"/>
      <c r="H106" s="644"/>
      <c r="I106" s="644"/>
    </row>
    <row r="107" spans="1:9">
      <c r="A107" s="644">
        <v>22.625261306762695</v>
      </c>
      <c r="B107" s="644"/>
      <c r="C107" s="644"/>
      <c r="D107" s="644"/>
      <c r="E107" s="644"/>
      <c r="F107" s="644"/>
      <c r="G107" s="644"/>
      <c r="H107" s="644"/>
      <c r="I107" s="644"/>
    </row>
    <row r="108" spans="1:9">
      <c r="A108" s="644">
        <v>14.378947257995605</v>
      </c>
      <c r="B108" s="644"/>
      <c r="C108" s="644"/>
      <c r="D108" s="644"/>
      <c r="E108" s="644"/>
      <c r="F108" s="644"/>
      <c r="G108" s="644"/>
      <c r="H108" s="644"/>
      <c r="I108" s="644"/>
    </row>
    <row r="109" spans="1:9">
      <c r="A109" s="644">
        <v>8.2273674011230469</v>
      </c>
      <c r="B109" s="644"/>
      <c r="C109" s="644"/>
      <c r="D109" s="644"/>
      <c r="E109" s="644"/>
      <c r="F109" s="644"/>
      <c r="G109" s="644"/>
      <c r="H109" s="644"/>
      <c r="I109" s="644"/>
    </row>
    <row r="110" spans="1:9">
      <c r="A110" s="644">
        <v>6.0568428039550781</v>
      </c>
      <c r="B110" s="644"/>
      <c r="C110" s="644"/>
      <c r="D110" s="644"/>
      <c r="E110" s="644"/>
      <c r="F110" s="644"/>
      <c r="G110" s="644"/>
      <c r="H110" s="644"/>
      <c r="I110" s="644"/>
    </row>
    <row r="111" spans="1:9">
      <c r="A111" s="644">
        <v>7.9621057510375977</v>
      </c>
      <c r="B111" s="644"/>
      <c r="C111" s="644"/>
      <c r="D111" s="644"/>
      <c r="E111" s="644"/>
      <c r="F111" s="644"/>
      <c r="G111" s="644"/>
      <c r="H111" s="644"/>
      <c r="I111" s="644"/>
    </row>
    <row r="112" spans="1:9">
      <c r="A112" s="644">
        <v>14.933683395385742</v>
      </c>
      <c r="B112" s="644"/>
      <c r="C112" s="644"/>
      <c r="D112" s="644"/>
      <c r="E112" s="644"/>
      <c r="F112" s="644"/>
      <c r="G112" s="644"/>
      <c r="H112" s="644"/>
      <c r="I112" s="644"/>
    </row>
    <row r="113" spans="1:9">
      <c r="A113" s="644">
        <v>30</v>
      </c>
      <c r="B113" s="644"/>
      <c r="C113" s="644"/>
      <c r="D113" s="644"/>
      <c r="E113" s="644"/>
      <c r="F113" s="644"/>
      <c r="G113" s="644"/>
      <c r="H113" s="644"/>
      <c r="I113" s="644"/>
    </row>
  </sheetData>
  <phoneticPr fontId="8" type="noConversion"/>
  <printOptions horizontalCentered="1"/>
  <pageMargins left="0.86614173228346503" right="0" top="0.23622047244094499" bottom="0.23622047244094499" header="0" footer="0"/>
  <pageSetup scale="74" orientation="portrait" horizontalDpi="4294967292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Z53"/>
  <sheetViews>
    <sheetView workbookViewId="0">
      <selection activeCell="N22" sqref="N22"/>
    </sheetView>
  </sheetViews>
  <sheetFormatPr defaultRowHeight="15.75"/>
  <cols>
    <col min="1" max="1" width="11.85546875" style="402" customWidth="1"/>
    <col min="2" max="2" width="6.140625" style="402" customWidth="1"/>
    <col min="3" max="3" width="7.42578125" style="402" customWidth="1"/>
    <col min="4" max="5" width="12.5703125" style="402" customWidth="1"/>
    <col min="6" max="6" width="9.42578125" style="402" customWidth="1"/>
    <col min="7" max="7" width="5.7109375" style="402" customWidth="1"/>
    <col min="8" max="8" width="7.85546875" style="402" customWidth="1"/>
    <col min="9" max="9" width="6.5703125" style="402" customWidth="1"/>
    <col min="10" max="10" width="12" style="403" customWidth="1"/>
    <col min="11" max="11" width="12" style="402" customWidth="1"/>
    <col min="12" max="26" width="9.140625" style="186"/>
    <col min="27" max="16384" width="9.140625" style="187"/>
  </cols>
  <sheetData>
    <row r="1" spans="1:26" ht="20.25" customHeight="1">
      <c r="A1" s="185" t="s">
        <v>272</v>
      </c>
      <c r="B1" s="185"/>
      <c r="C1" s="185"/>
      <c r="D1" s="185"/>
      <c r="E1" s="185"/>
      <c r="F1" s="185"/>
      <c r="G1" s="185"/>
      <c r="H1" s="185"/>
      <c r="I1" s="185"/>
      <c r="J1" s="185"/>
      <c r="K1" s="185"/>
    </row>
    <row r="2" spans="1:26" ht="20.25" customHeight="1">
      <c r="A2" s="188" t="s">
        <v>273</v>
      </c>
      <c r="B2" s="188"/>
      <c r="C2" s="188"/>
      <c r="D2" s="188"/>
      <c r="E2" s="188"/>
      <c r="F2" s="188"/>
      <c r="G2" s="188"/>
      <c r="H2" s="188"/>
      <c r="I2" s="188"/>
      <c r="J2" s="188"/>
      <c r="K2" s="188"/>
    </row>
    <row r="3" spans="1:26" ht="18.75" customHeight="1" thickBot="1">
      <c r="A3" s="189" t="s">
        <v>1</v>
      </c>
      <c r="B3" s="190" t="s">
        <v>382</v>
      </c>
      <c r="C3" s="191"/>
      <c r="D3" s="191"/>
      <c r="E3" s="191"/>
      <c r="F3" s="192"/>
      <c r="G3" s="191"/>
      <c r="H3" s="191"/>
      <c r="I3" s="189" t="s">
        <v>274</v>
      </c>
      <c r="J3" s="193" t="s">
        <v>393</v>
      </c>
      <c r="K3" s="193"/>
    </row>
    <row r="4" spans="1:26" s="202" customFormat="1" ht="18.399999999999999" customHeight="1" thickBot="1">
      <c r="A4" s="194" t="s">
        <v>383</v>
      </c>
      <c r="B4" s="195"/>
      <c r="C4" s="196"/>
      <c r="D4" s="196"/>
      <c r="E4" s="196"/>
      <c r="F4" s="196"/>
      <c r="G4" s="196"/>
      <c r="H4" s="196"/>
      <c r="I4" s="196"/>
      <c r="J4" s="196"/>
      <c r="K4" s="197"/>
      <c r="L4" s="198"/>
      <c r="M4" s="198"/>
      <c r="N4" s="198"/>
      <c r="O4" s="198"/>
      <c r="P4" s="198"/>
      <c r="Q4" s="199" t="s">
        <v>275</v>
      </c>
      <c r="R4" s="200"/>
      <c r="S4" s="198"/>
      <c r="T4" s="199" t="s">
        <v>276</v>
      </c>
      <c r="U4" s="201"/>
      <c r="V4" s="198"/>
      <c r="W4" s="198"/>
      <c r="X4" s="198"/>
      <c r="Y4" s="198"/>
      <c r="Z4" s="198"/>
    </row>
    <row r="5" spans="1:26" s="202" customFormat="1" ht="18.399999999999999" customHeight="1">
      <c r="A5" s="203" t="s">
        <v>277</v>
      </c>
      <c r="B5" s="204"/>
      <c r="C5" s="204"/>
      <c r="D5" s="205"/>
      <c r="E5" s="206"/>
      <c r="F5" s="207" t="s">
        <v>278</v>
      </c>
      <c r="G5" s="208"/>
      <c r="H5" s="208"/>
      <c r="I5" s="209"/>
      <c r="J5" s="210" t="s">
        <v>279</v>
      </c>
      <c r="K5" s="211" t="s">
        <v>280</v>
      </c>
      <c r="L5" s="198"/>
      <c r="M5" s="198"/>
      <c r="N5" s="198"/>
      <c r="O5" s="198"/>
      <c r="P5" s="198"/>
      <c r="Q5" s="212" t="s">
        <v>281</v>
      </c>
      <c r="R5" s="213"/>
      <c r="S5" s="198"/>
      <c r="T5" s="212" t="s">
        <v>282</v>
      </c>
      <c r="U5" s="214"/>
      <c r="V5" s="198"/>
      <c r="W5" s="198"/>
      <c r="X5" s="198"/>
      <c r="Y5" s="198"/>
      <c r="Z5" s="198"/>
    </row>
    <row r="6" spans="1:26" s="202" customFormat="1" ht="18.399999999999999" customHeight="1">
      <c r="A6" s="215" t="s">
        <v>67</v>
      </c>
      <c r="B6" s="216"/>
      <c r="C6" s="216"/>
      <c r="D6" s="217" t="s">
        <v>282</v>
      </c>
      <c r="E6" s="218"/>
      <c r="F6" s="219" t="s">
        <v>284</v>
      </c>
      <c r="G6" s="220"/>
      <c r="H6" s="220"/>
      <c r="I6" s="220"/>
      <c r="J6" s="220"/>
      <c r="K6" s="221"/>
      <c r="L6" s="198"/>
      <c r="M6" s="198"/>
      <c r="N6" s="198"/>
      <c r="O6" s="198"/>
      <c r="P6" s="198"/>
      <c r="Q6" s="212" t="s">
        <v>285</v>
      </c>
      <c r="R6" s="213"/>
      <c r="S6" s="198"/>
      <c r="T6" s="212" t="s">
        <v>286</v>
      </c>
      <c r="U6" s="214"/>
      <c r="V6" s="198"/>
      <c r="W6" s="198"/>
      <c r="X6" s="198"/>
      <c r="Y6" s="198"/>
      <c r="Z6" s="198"/>
    </row>
    <row r="7" spans="1:26" s="202" customFormat="1" ht="18.399999999999999" customHeight="1">
      <c r="A7" s="222" t="s">
        <v>20</v>
      </c>
      <c r="B7" s="223"/>
      <c r="C7" s="223"/>
      <c r="D7" s="224">
        <v>2.9000000953674299</v>
      </c>
      <c r="E7" s="225"/>
      <c r="F7" s="226" t="s">
        <v>287</v>
      </c>
      <c r="G7" s="227"/>
      <c r="H7" s="228"/>
      <c r="I7" s="229"/>
      <c r="J7" s="230" t="s">
        <v>388</v>
      </c>
      <c r="K7" s="231" t="s">
        <v>174</v>
      </c>
      <c r="L7" s="198"/>
      <c r="M7" s="198"/>
      <c r="N7" s="198"/>
      <c r="O7" s="198"/>
      <c r="P7" s="198"/>
      <c r="Q7" s="212" t="s">
        <v>288</v>
      </c>
      <c r="R7" s="213"/>
      <c r="S7" s="198"/>
      <c r="T7" s="212" t="s">
        <v>283</v>
      </c>
      <c r="U7" s="214"/>
      <c r="V7" s="198"/>
      <c r="W7" s="198"/>
      <c r="X7" s="198"/>
      <c r="Y7" s="198"/>
      <c r="Z7" s="198"/>
    </row>
    <row r="8" spans="1:26" s="202" customFormat="1" ht="18.399999999999999" customHeight="1">
      <c r="A8" s="222" t="s">
        <v>289</v>
      </c>
      <c r="B8" s="223"/>
      <c r="C8" s="223"/>
      <c r="D8" s="232">
        <v>452</v>
      </c>
      <c r="E8" s="233"/>
      <c r="F8" s="234" t="s">
        <v>290</v>
      </c>
      <c r="G8" s="235"/>
      <c r="H8" s="236"/>
      <c r="I8" s="237"/>
      <c r="J8" s="238">
        <v>10500</v>
      </c>
      <c r="K8" s="239" t="s">
        <v>174</v>
      </c>
      <c r="L8" s="198"/>
      <c r="M8" s="198"/>
      <c r="N8" s="198"/>
      <c r="O8" s="198"/>
      <c r="P8" s="198"/>
      <c r="Q8" s="212" t="s">
        <v>291</v>
      </c>
      <c r="R8" s="213"/>
      <c r="S8" s="198"/>
      <c r="T8" s="212" t="s">
        <v>292</v>
      </c>
      <c r="U8" s="214"/>
      <c r="V8" s="198"/>
      <c r="W8" s="198"/>
      <c r="X8" s="198"/>
      <c r="Y8" s="198"/>
      <c r="Z8" s="198"/>
    </row>
    <row r="9" spans="1:26" s="202" customFormat="1" ht="18.399999999999999" customHeight="1">
      <c r="A9" s="240" t="s">
        <v>293</v>
      </c>
      <c r="B9" s="241"/>
      <c r="C9" s="242"/>
      <c r="D9" s="232">
        <v>9</v>
      </c>
      <c r="E9" s="233"/>
      <c r="F9" s="226" t="s">
        <v>294</v>
      </c>
      <c r="G9" s="227"/>
      <c r="H9" s="243">
        <v>3</v>
      </c>
      <c r="I9" s="244" t="s">
        <v>295</v>
      </c>
      <c r="J9" s="245">
        <v>155</v>
      </c>
      <c r="K9" s="239" t="s">
        <v>174</v>
      </c>
      <c r="L9" s="198"/>
      <c r="M9" s="198"/>
      <c r="N9" s="198"/>
      <c r="O9" s="198"/>
      <c r="P9" s="198"/>
      <c r="Q9" s="212" t="s">
        <v>296</v>
      </c>
      <c r="R9" s="213"/>
      <c r="S9" s="198"/>
      <c r="T9" s="212" t="s">
        <v>297</v>
      </c>
      <c r="U9" s="214"/>
      <c r="V9" s="198"/>
      <c r="W9" s="198"/>
      <c r="X9" s="198"/>
      <c r="Y9" s="198"/>
      <c r="Z9" s="198"/>
    </row>
    <row r="10" spans="1:26" s="202" customFormat="1" ht="18.399999999999999" customHeight="1" thickBot="1">
      <c r="A10" s="240" t="s">
        <v>298</v>
      </c>
      <c r="B10" s="241"/>
      <c r="C10" s="242"/>
      <c r="D10" s="246" t="s">
        <v>202</v>
      </c>
      <c r="E10" s="247"/>
      <c r="F10" s="226" t="s">
        <v>299</v>
      </c>
      <c r="G10" s="227"/>
      <c r="H10" s="243">
        <v>3</v>
      </c>
      <c r="I10" s="244" t="s">
        <v>295</v>
      </c>
      <c r="J10" s="245">
        <v>1150</v>
      </c>
      <c r="K10" s="239" t="s">
        <v>174</v>
      </c>
      <c r="L10" s="198"/>
      <c r="M10" s="198"/>
      <c r="N10" s="198"/>
      <c r="O10" s="198"/>
      <c r="P10" s="198"/>
      <c r="Q10" s="212" t="s">
        <v>300</v>
      </c>
      <c r="R10" s="213"/>
      <c r="S10" s="198"/>
      <c r="T10" s="248" t="s">
        <v>301</v>
      </c>
      <c r="U10" s="249"/>
      <c r="V10" s="198"/>
      <c r="W10" s="198"/>
      <c r="X10" s="198"/>
      <c r="Y10" s="198"/>
      <c r="Z10" s="198"/>
    </row>
    <row r="11" spans="1:26" s="202" customFormat="1" ht="18.399999999999999" customHeight="1" thickBot="1">
      <c r="A11" s="240" t="s">
        <v>302</v>
      </c>
      <c r="B11" s="241"/>
      <c r="C11" s="242"/>
      <c r="D11" s="250" t="s">
        <v>203</v>
      </c>
      <c r="E11" s="251"/>
      <c r="F11" s="252" t="s">
        <v>303</v>
      </c>
      <c r="G11" s="253"/>
      <c r="H11" s="254">
        <v>3</v>
      </c>
      <c r="I11" s="244" t="s">
        <v>295</v>
      </c>
      <c r="J11" s="255">
        <v>26459</v>
      </c>
      <c r="K11" s="256" t="s">
        <v>174</v>
      </c>
      <c r="L11" s="198"/>
      <c r="M11" s="198"/>
      <c r="N11" s="198"/>
      <c r="O11" s="198"/>
      <c r="P11" s="198"/>
      <c r="Q11" s="248" t="s">
        <v>304</v>
      </c>
      <c r="R11" s="257"/>
      <c r="S11" s="198"/>
      <c r="T11" s="198"/>
      <c r="U11" s="198"/>
      <c r="V11" s="198"/>
      <c r="W11" s="198"/>
      <c r="X11" s="198"/>
      <c r="Y11" s="198"/>
      <c r="Z11" s="198"/>
    </row>
    <row r="12" spans="1:26" s="202" customFormat="1" ht="18.399999999999999" customHeight="1">
      <c r="A12" s="258" t="s">
        <v>305</v>
      </c>
      <c r="C12" s="259"/>
      <c r="D12" s="260" t="s">
        <v>174</v>
      </c>
      <c r="E12" s="261"/>
      <c r="F12" s="262" t="s">
        <v>306</v>
      </c>
      <c r="G12" s="263"/>
      <c r="H12" s="263"/>
      <c r="I12" s="263"/>
      <c r="J12" s="263"/>
      <c r="K12" s="264"/>
      <c r="L12" s="198"/>
      <c r="M12" s="198"/>
      <c r="N12" s="198"/>
      <c r="O12" s="198"/>
      <c r="P12" s="198"/>
      <c r="Q12" s="198"/>
      <c r="R12" s="198"/>
      <c r="S12" s="198"/>
      <c r="T12" s="198"/>
      <c r="U12" s="198"/>
      <c r="V12" s="198"/>
      <c r="W12" s="198"/>
      <c r="X12" s="198"/>
      <c r="Y12" s="198"/>
      <c r="Z12" s="198"/>
    </row>
    <row r="13" spans="1:26" s="202" customFormat="1" ht="18.399999999999999" customHeight="1">
      <c r="A13" s="240" t="s">
        <v>53</v>
      </c>
      <c r="B13" s="241"/>
      <c r="C13" s="242"/>
      <c r="D13" s="265" t="s">
        <v>385</v>
      </c>
      <c r="E13" s="266"/>
      <c r="F13" s="267"/>
      <c r="G13" s="268" t="s">
        <v>307</v>
      </c>
      <c r="H13" s="269"/>
      <c r="I13" s="270" t="s">
        <v>308</v>
      </c>
      <c r="J13" s="271" t="s">
        <v>390</v>
      </c>
      <c r="K13" s="272" t="s">
        <v>174</v>
      </c>
      <c r="L13" s="198"/>
      <c r="M13" s="198"/>
      <c r="N13" s="198"/>
      <c r="O13" s="198"/>
      <c r="P13" s="198"/>
      <c r="Q13" s="198"/>
      <c r="R13" s="198"/>
      <c r="S13" s="198"/>
      <c r="T13" s="198"/>
      <c r="U13" s="198"/>
      <c r="V13" s="198"/>
      <c r="W13" s="198"/>
      <c r="X13" s="198"/>
      <c r="Y13" s="198"/>
      <c r="Z13" s="198"/>
    </row>
    <row r="14" spans="1:26" s="202" customFormat="1" ht="18.399999999999999" customHeight="1">
      <c r="A14" s="240" t="s">
        <v>56</v>
      </c>
      <c r="B14" s="241"/>
      <c r="C14" s="242"/>
      <c r="D14" s="260">
        <v>1071</v>
      </c>
      <c r="E14" s="261"/>
      <c r="F14" s="267"/>
      <c r="G14" s="273" t="s">
        <v>10</v>
      </c>
      <c r="H14" s="274"/>
      <c r="I14" s="274"/>
      <c r="J14" s="245" t="s">
        <v>174</v>
      </c>
      <c r="K14" s="239" t="s">
        <v>174</v>
      </c>
      <c r="L14" s="198"/>
      <c r="M14" s="198"/>
      <c r="N14" s="198"/>
      <c r="O14" s="198"/>
      <c r="P14" s="198"/>
      <c r="Q14" s="198"/>
      <c r="R14" s="198"/>
      <c r="S14" s="198"/>
      <c r="T14" s="198"/>
      <c r="U14" s="198"/>
      <c r="V14" s="198"/>
      <c r="W14" s="198"/>
      <c r="X14" s="198"/>
      <c r="Y14" s="198"/>
      <c r="Z14" s="198"/>
    </row>
    <row r="15" spans="1:26" s="202" customFormat="1" ht="18.399999999999999" customHeight="1">
      <c r="A15" s="275" t="s">
        <v>309</v>
      </c>
      <c r="B15" s="276"/>
      <c r="C15" s="277"/>
      <c r="D15" s="278">
        <v>13.536800384521484</v>
      </c>
      <c r="E15" s="279"/>
      <c r="F15" s="267"/>
      <c r="G15" s="273" t="s">
        <v>310</v>
      </c>
      <c r="H15" s="274"/>
      <c r="I15" s="274"/>
      <c r="J15" s="245" t="s">
        <v>174</v>
      </c>
      <c r="K15" s="239" t="s">
        <v>174</v>
      </c>
      <c r="L15" s="198"/>
      <c r="M15" s="198"/>
      <c r="N15" s="198"/>
      <c r="O15" s="198"/>
      <c r="P15" s="198"/>
      <c r="Q15" s="198"/>
      <c r="R15" s="198"/>
      <c r="S15" s="198"/>
      <c r="T15" s="198"/>
      <c r="U15" s="198"/>
      <c r="V15" s="198"/>
      <c r="W15" s="198"/>
      <c r="X15" s="198"/>
      <c r="Y15" s="198"/>
      <c r="Z15" s="198"/>
    </row>
    <row r="16" spans="1:26" s="202" customFormat="1" ht="18.399999999999999" customHeight="1">
      <c r="A16" s="280" t="s">
        <v>311</v>
      </c>
      <c r="B16" s="281"/>
      <c r="C16" s="282"/>
      <c r="D16" s="278">
        <v>3.7956001758575439</v>
      </c>
      <c r="E16" s="279"/>
      <c r="F16" s="283"/>
      <c r="G16" s="284" t="s">
        <v>17</v>
      </c>
      <c r="H16" s="285"/>
      <c r="I16" s="285"/>
      <c r="J16" s="255" t="s">
        <v>174</v>
      </c>
      <c r="K16" s="256" t="s">
        <v>174</v>
      </c>
      <c r="L16" s="198"/>
      <c r="M16" s="198"/>
      <c r="N16" s="198"/>
      <c r="O16" s="198"/>
      <c r="P16" s="198"/>
      <c r="Q16" s="198"/>
      <c r="R16" s="198"/>
      <c r="S16" s="198"/>
      <c r="T16" s="198"/>
      <c r="U16" s="198"/>
      <c r="V16" s="198"/>
      <c r="W16" s="198"/>
      <c r="X16" s="198"/>
      <c r="Y16" s="198"/>
      <c r="Z16" s="198"/>
    </row>
    <row r="17" spans="1:26" s="202" customFormat="1" ht="18.399999999999999" customHeight="1">
      <c r="A17" s="286" t="s">
        <v>312</v>
      </c>
      <c r="B17" s="287"/>
      <c r="C17" s="288"/>
      <c r="D17" s="250" t="s">
        <v>384</v>
      </c>
      <c r="E17" s="251"/>
      <c r="F17" s="262" t="s">
        <v>313</v>
      </c>
      <c r="G17" s="263"/>
      <c r="H17" s="263"/>
      <c r="I17" s="263"/>
      <c r="J17" s="263"/>
      <c r="K17" s="264"/>
      <c r="L17" s="198"/>
      <c r="M17" s="198"/>
      <c r="N17" s="198"/>
      <c r="O17" s="198"/>
      <c r="P17" s="198"/>
      <c r="Q17" s="198"/>
      <c r="R17" s="198"/>
      <c r="S17" s="198"/>
      <c r="T17" s="198"/>
      <c r="U17" s="198"/>
      <c r="V17" s="198"/>
      <c r="W17" s="198"/>
      <c r="X17" s="198"/>
      <c r="Y17" s="198"/>
      <c r="Z17" s="198"/>
    </row>
    <row r="18" spans="1:26" s="202" customFormat="1" ht="18.399999999999999" customHeight="1">
      <c r="A18" s="289" t="s">
        <v>314</v>
      </c>
      <c r="B18" s="290"/>
      <c r="C18" s="288"/>
      <c r="D18" s="246" t="s">
        <v>174</v>
      </c>
      <c r="E18" s="247"/>
      <c r="F18" s="291"/>
      <c r="G18" s="292"/>
      <c r="H18" s="293" t="s">
        <v>315</v>
      </c>
      <c r="I18" s="294"/>
      <c r="J18" s="238" t="s">
        <v>387</v>
      </c>
      <c r="K18" s="239"/>
      <c r="L18" s="198"/>
      <c r="M18" s="198"/>
      <c r="N18" s="198"/>
      <c r="O18" s="198"/>
      <c r="P18" s="198"/>
      <c r="Q18" s="198"/>
      <c r="R18" s="198"/>
      <c r="S18" s="198"/>
      <c r="T18" s="198"/>
      <c r="U18" s="198"/>
      <c r="V18" s="198"/>
      <c r="W18" s="198"/>
      <c r="X18" s="198"/>
      <c r="Y18" s="198"/>
      <c r="Z18" s="198"/>
    </row>
    <row r="19" spans="1:26" s="202" customFormat="1" ht="18.399999999999999" customHeight="1">
      <c r="A19" s="295" t="s">
        <v>316</v>
      </c>
      <c r="B19" s="296"/>
      <c r="C19" s="297"/>
      <c r="D19" s="298" t="s">
        <v>174</v>
      </c>
      <c r="E19" s="251"/>
      <c r="F19" s="299"/>
      <c r="G19" s="300"/>
      <c r="H19" s="293" t="s">
        <v>5</v>
      </c>
      <c r="I19" s="229"/>
      <c r="J19" s="238">
        <v>3575</v>
      </c>
      <c r="K19" s="239"/>
      <c r="L19" s="198"/>
      <c r="M19" s="198"/>
      <c r="N19" s="198"/>
      <c r="O19" s="198"/>
      <c r="P19" s="198"/>
      <c r="Q19" s="198"/>
      <c r="R19" s="198"/>
      <c r="S19" s="198"/>
      <c r="T19" s="198"/>
      <c r="U19" s="198"/>
      <c r="V19" s="198"/>
      <c r="W19" s="198"/>
      <c r="X19" s="198"/>
      <c r="Y19" s="198"/>
      <c r="Z19" s="198"/>
    </row>
    <row r="20" spans="1:26" s="202" customFormat="1" ht="18.399999999999999" customHeight="1" thickBot="1">
      <c r="A20" s="301" t="s">
        <v>317</v>
      </c>
      <c r="C20" s="302"/>
      <c r="D20" s="303" t="s">
        <v>201</v>
      </c>
      <c r="E20" s="233"/>
      <c r="F20" s="299"/>
      <c r="G20" s="300"/>
      <c r="H20" s="293" t="s">
        <v>318</v>
      </c>
      <c r="I20" s="229"/>
      <c r="J20" s="245" t="s">
        <v>359</v>
      </c>
      <c r="K20" s="239"/>
      <c r="L20" s="198"/>
      <c r="M20" s="198"/>
      <c r="N20" s="198"/>
      <c r="O20" s="198"/>
      <c r="P20" s="198"/>
      <c r="Q20" s="198"/>
      <c r="R20" s="198"/>
      <c r="S20" s="198"/>
      <c r="T20" s="198"/>
      <c r="U20" s="198"/>
      <c r="V20" s="198"/>
      <c r="W20" s="198"/>
      <c r="X20" s="198"/>
      <c r="Y20" s="198"/>
      <c r="Z20" s="198"/>
    </row>
    <row r="21" spans="1:26" s="202" customFormat="1" ht="18.399999999999999" customHeight="1" thickBot="1">
      <c r="A21" s="275" t="s">
        <v>319</v>
      </c>
      <c r="B21" s="276"/>
      <c r="C21" s="277"/>
      <c r="D21" s="232" t="s">
        <v>174</v>
      </c>
      <c r="E21" s="233"/>
      <c r="F21" s="299"/>
      <c r="G21" s="300"/>
      <c r="H21" s="304" t="s">
        <v>320</v>
      </c>
      <c r="I21" s="229"/>
      <c r="J21" s="245">
        <v>1.1499999999999999</v>
      </c>
      <c r="K21" s="239"/>
      <c r="L21" s="198"/>
      <c r="M21" s="198"/>
      <c r="N21" s="198"/>
      <c r="O21" s="198"/>
      <c r="P21" s="198"/>
      <c r="Q21" s="199" t="s">
        <v>321</v>
      </c>
      <c r="R21" s="201"/>
      <c r="S21" s="198"/>
      <c r="T21" s="198"/>
      <c r="U21" s="198"/>
      <c r="V21" s="198"/>
      <c r="W21" s="198"/>
      <c r="X21" s="198"/>
      <c r="Y21" s="198"/>
      <c r="Z21" s="198"/>
    </row>
    <row r="22" spans="1:26" s="202" customFormat="1" ht="18.399999999999999" customHeight="1">
      <c r="A22" s="289" t="s">
        <v>322</v>
      </c>
      <c r="B22" s="305"/>
      <c r="C22" s="305"/>
      <c r="D22" s="306">
        <v>0.24040000140666962</v>
      </c>
      <c r="E22" s="307"/>
      <c r="F22" s="299"/>
      <c r="G22" s="300"/>
      <c r="H22" s="293" t="s">
        <v>279</v>
      </c>
      <c r="I22" s="229"/>
      <c r="J22" s="245" t="s">
        <v>174</v>
      </c>
      <c r="K22" s="239"/>
      <c r="L22" s="198"/>
      <c r="M22" s="198"/>
      <c r="N22" s="198"/>
      <c r="O22" s="198"/>
      <c r="P22" s="198"/>
      <c r="Q22" s="212" t="s">
        <v>324</v>
      </c>
      <c r="R22" s="214"/>
      <c r="S22" s="198"/>
      <c r="T22" s="198"/>
      <c r="U22" s="198"/>
      <c r="V22" s="198"/>
      <c r="W22" s="198"/>
      <c r="X22" s="198"/>
      <c r="Y22" s="198"/>
      <c r="Z22" s="198"/>
    </row>
    <row r="23" spans="1:26" s="202" customFormat="1" ht="18.399999999999999" customHeight="1">
      <c r="A23" s="308" t="s">
        <v>325</v>
      </c>
      <c r="B23" s="309" t="s">
        <v>326</v>
      </c>
      <c r="C23" s="310"/>
      <c r="D23" s="265">
        <v>145.69999999999999</v>
      </c>
      <c r="E23" s="266"/>
      <c r="F23" s="299"/>
      <c r="G23" s="300"/>
      <c r="H23" s="311" t="s">
        <v>327</v>
      </c>
      <c r="I23" s="312"/>
      <c r="J23" s="313" t="s">
        <v>174</v>
      </c>
      <c r="K23" s="314"/>
      <c r="L23" s="198"/>
      <c r="Q23" s="212" t="s">
        <v>328</v>
      </c>
      <c r="R23" s="214"/>
      <c r="S23" s="198"/>
      <c r="T23" s="198"/>
      <c r="U23" s="198"/>
      <c r="V23" s="198"/>
      <c r="W23" s="198"/>
      <c r="X23" s="198"/>
      <c r="Y23" s="198"/>
      <c r="Z23" s="198"/>
    </row>
    <row r="24" spans="1:26" s="202" customFormat="1" ht="18.399999999999999" customHeight="1" thickBot="1">
      <c r="A24" s="315" t="s">
        <v>329</v>
      </c>
      <c r="B24" s="316" t="s">
        <v>330</v>
      </c>
      <c r="C24" s="317"/>
      <c r="D24" s="318">
        <v>163.9</v>
      </c>
      <c r="E24" s="319"/>
      <c r="F24" s="299"/>
      <c r="G24" s="300"/>
      <c r="H24" s="293" t="s">
        <v>331</v>
      </c>
      <c r="I24" s="259"/>
      <c r="J24" s="320" t="s">
        <v>174</v>
      </c>
      <c r="K24" s="321"/>
      <c r="Q24" s="322" t="s">
        <v>174</v>
      </c>
      <c r="R24" s="323"/>
      <c r="S24" s="198"/>
      <c r="T24" s="198"/>
      <c r="U24" s="198"/>
      <c r="V24" s="198"/>
      <c r="W24" s="198"/>
      <c r="X24" s="198"/>
      <c r="Y24" s="198"/>
      <c r="Z24" s="198"/>
    </row>
    <row r="25" spans="1:26" s="202" customFormat="1" ht="18.399999999999999" customHeight="1">
      <c r="A25" s="324" t="s">
        <v>332</v>
      </c>
      <c r="B25" s="325"/>
      <c r="C25" s="325"/>
      <c r="D25" s="326"/>
      <c r="E25" s="326" t="s">
        <v>333</v>
      </c>
      <c r="F25" s="299"/>
      <c r="G25" s="300"/>
      <c r="H25" s="293" t="s">
        <v>334</v>
      </c>
      <c r="I25" s="259"/>
      <c r="J25" s="327" t="s">
        <v>174</v>
      </c>
      <c r="K25" s="321"/>
      <c r="R25" s="198"/>
      <c r="S25" s="198"/>
      <c r="T25" s="198"/>
      <c r="U25" s="198"/>
      <c r="V25" s="198"/>
      <c r="W25" s="198"/>
      <c r="X25" s="198"/>
      <c r="Y25" s="198"/>
      <c r="Z25" s="198"/>
    </row>
    <row r="26" spans="1:26" s="202" customFormat="1" ht="18.399999999999999" customHeight="1">
      <c r="A26" s="328" t="s">
        <v>335</v>
      </c>
      <c r="B26" s="329"/>
      <c r="C26" s="330"/>
      <c r="D26" s="331" t="s">
        <v>391</v>
      </c>
      <c r="E26" s="331" t="s">
        <v>392</v>
      </c>
      <c r="F26" s="332"/>
      <c r="G26" s="333"/>
      <c r="H26" s="334"/>
      <c r="I26" s="335"/>
      <c r="J26" s="336"/>
      <c r="K26" s="337"/>
      <c r="R26" s="198"/>
      <c r="S26" s="198"/>
      <c r="T26" s="198"/>
      <c r="U26" s="198"/>
      <c r="V26" s="198"/>
      <c r="W26" s="198"/>
      <c r="X26" s="198"/>
      <c r="Y26" s="198"/>
      <c r="Z26" s="198"/>
    </row>
    <row r="27" spans="1:26" s="202" customFormat="1" ht="18.399999999999999" customHeight="1">
      <c r="A27" s="338" t="s">
        <v>336</v>
      </c>
      <c r="B27" s="339"/>
      <c r="C27" s="339"/>
      <c r="D27" s="339"/>
      <c r="E27" s="339"/>
      <c r="F27" s="219" t="s">
        <v>337</v>
      </c>
      <c r="G27" s="220"/>
      <c r="H27" s="220"/>
      <c r="I27" s="220"/>
      <c r="J27" s="220"/>
      <c r="K27" s="221"/>
      <c r="R27" s="198"/>
      <c r="S27" s="198"/>
      <c r="T27" s="198"/>
      <c r="U27" s="198"/>
      <c r="V27" s="198"/>
      <c r="W27" s="198"/>
      <c r="X27" s="198"/>
      <c r="Y27" s="198"/>
      <c r="Z27" s="198"/>
    </row>
    <row r="28" spans="1:26" s="202" customFormat="1" ht="18.399999999999999" customHeight="1">
      <c r="A28" s="340"/>
      <c r="B28" s="341"/>
      <c r="C28" s="341"/>
      <c r="D28" s="341"/>
      <c r="E28" s="342"/>
      <c r="F28" s="343"/>
      <c r="G28" s="344"/>
      <c r="H28" s="273" t="s">
        <v>338</v>
      </c>
      <c r="I28" s="345" t="s">
        <v>386</v>
      </c>
      <c r="J28" s="238" t="s">
        <v>389</v>
      </c>
      <c r="K28" s="346" t="s">
        <v>174</v>
      </c>
      <c r="M28" s="473">
        <f>465/88</f>
        <v>5.2840909090909092</v>
      </c>
      <c r="N28" s="473">
        <f>805/152</f>
        <v>5.2960526315789478</v>
      </c>
      <c r="R28" s="198"/>
      <c r="S28" s="198"/>
      <c r="T28" s="198"/>
      <c r="U28" s="198"/>
      <c r="V28" s="198"/>
      <c r="W28" s="198"/>
      <c r="X28" s="198"/>
      <c r="Y28" s="198"/>
      <c r="Z28" s="198"/>
    </row>
    <row r="29" spans="1:26" s="202" customFormat="1" ht="18.399999999999999" customHeight="1">
      <c r="A29" s="340"/>
      <c r="B29" s="341"/>
      <c r="C29" s="341"/>
      <c r="D29" s="341"/>
      <c r="E29" s="342"/>
      <c r="F29" s="347"/>
      <c r="G29" s="348"/>
      <c r="H29" s="273" t="s">
        <v>339</v>
      </c>
      <c r="I29" s="349">
        <v>60</v>
      </c>
      <c r="J29" s="238">
        <v>88</v>
      </c>
      <c r="K29" s="231" t="s">
        <v>174</v>
      </c>
      <c r="Q29" s="198"/>
      <c r="R29" s="198"/>
      <c r="S29" s="198"/>
      <c r="T29" s="198"/>
      <c r="U29" s="198"/>
      <c r="V29" s="198"/>
      <c r="W29" s="198"/>
      <c r="X29" s="198"/>
      <c r="Y29" s="198"/>
      <c r="Z29" s="198"/>
    </row>
    <row r="30" spans="1:26" s="202" customFormat="1" ht="18.399999999999999" customHeight="1">
      <c r="A30" s="340"/>
      <c r="B30" s="341"/>
      <c r="C30" s="341"/>
      <c r="D30" s="341"/>
      <c r="E30" s="342"/>
      <c r="F30" s="347"/>
      <c r="G30" s="348"/>
      <c r="H30" s="273" t="s">
        <v>340</v>
      </c>
      <c r="I30" s="349">
        <v>175</v>
      </c>
      <c r="J30" s="238">
        <v>277</v>
      </c>
      <c r="K30" s="231" t="s">
        <v>174</v>
      </c>
      <c r="L30" s="198"/>
      <c r="R30" s="198"/>
      <c r="S30" s="198"/>
      <c r="T30" s="198"/>
      <c r="U30" s="198"/>
      <c r="V30" s="198"/>
      <c r="W30" s="198"/>
      <c r="X30" s="198"/>
      <c r="Y30" s="198"/>
      <c r="Z30" s="198"/>
    </row>
    <row r="31" spans="1:26" s="202" customFormat="1" ht="18.399999999999999" customHeight="1">
      <c r="A31" s="340"/>
      <c r="B31" s="341"/>
      <c r="C31" s="341"/>
      <c r="D31" s="341"/>
      <c r="E31" s="342"/>
      <c r="F31" s="347"/>
      <c r="G31" s="348"/>
      <c r="H31" s="273" t="s">
        <v>341</v>
      </c>
      <c r="I31" s="274"/>
      <c r="J31" s="350">
        <v>0.69</v>
      </c>
      <c r="K31" s="231" t="s">
        <v>174</v>
      </c>
      <c r="L31" s="198"/>
      <c r="R31" s="198"/>
      <c r="S31" s="198"/>
      <c r="T31" s="198"/>
      <c r="U31" s="198"/>
      <c r="V31" s="198"/>
      <c r="W31" s="198"/>
      <c r="X31" s="198"/>
      <c r="Y31" s="198"/>
      <c r="Z31" s="198"/>
    </row>
    <row r="32" spans="1:26" s="202" customFormat="1" ht="18.399999999999999" customHeight="1">
      <c r="A32" s="351"/>
      <c r="B32" s="352"/>
      <c r="C32" s="352"/>
      <c r="D32" s="352"/>
      <c r="E32" s="353"/>
      <c r="F32" s="347"/>
      <c r="G32" s="354" t="s">
        <v>342</v>
      </c>
      <c r="H32" s="273" t="s">
        <v>343</v>
      </c>
      <c r="I32" s="355"/>
      <c r="J32" s="230">
        <v>95.4</v>
      </c>
      <c r="K32" s="231" t="s">
        <v>174</v>
      </c>
      <c r="L32" s="198"/>
      <c r="N32" s="356"/>
      <c r="R32" s="198"/>
      <c r="S32" s="198"/>
      <c r="T32" s="198"/>
      <c r="U32" s="198"/>
      <c r="V32" s="198"/>
      <c r="W32" s="198"/>
      <c r="X32" s="198"/>
      <c r="Y32" s="198"/>
      <c r="Z32" s="198"/>
    </row>
    <row r="33" spans="1:26" s="202" customFormat="1" ht="18.399999999999999" customHeight="1">
      <c r="A33" s="338" t="s">
        <v>344</v>
      </c>
      <c r="B33" s="339"/>
      <c r="C33" s="339"/>
      <c r="D33" s="339"/>
      <c r="E33" s="357"/>
      <c r="F33" s="358"/>
      <c r="G33" s="359"/>
      <c r="H33" s="360" t="s">
        <v>345</v>
      </c>
      <c r="I33" s="361"/>
      <c r="J33" s="362">
        <v>89.6</v>
      </c>
      <c r="K33" s="346" t="s">
        <v>174</v>
      </c>
      <c r="L33" s="198"/>
      <c r="R33" s="198"/>
      <c r="S33" s="198"/>
      <c r="T33" s="198"/>
      <c r="U33" s="198"/>
      <c r="V33" s="198"/>
      <c r="W33" s="198"/>
      <c r="X33" s="198"/>
      <c r="Y33" s="198"/>
      <c r="Z33" s="198"/>
    </row>
    <row r="34" spans="1:26" s="202" customFormat="1" ht="18.399999999999999" customHeight="1">
      <c r="A34" s="340"/>
      <c r="B34" s="341"/>
      <c r="C34" s="341"/>
      <c r="D34" s="341"/>
      <c r="E34" s="342"/>
      <c r="F34" s="234" t="s">
        <v>346</v>
      </c>
      <c r="G34" s="363"/>
      <c r="H34" s="364" t="s">
        <v>14</v>
      </c>
      <c r="I34" s="365"/>
      <c r="J34" s="366">
        <v>6632</v>
      </c>
      <c r="K34" s="346" t="s">
        <v>174</v>
      </c>
      <c r="L34" s="367"/>
      <c r="M34" s="368"/>
      <c r="R34" s="198"/>
      <c r="S34" s="198"/>
      <c r="T34" s="198"/>
      <c r="U34" s="198"/>
      <c r="V34" s="198"/>
      <c r="W34" s="198"/>
      <c r="X34" s="198"/>
      <c r="Y34" s="198"/>
      <c r="Z34" s="198"/>
    </row>
    <row r="35" spans="1:26" s="202" customFormat="1" ht="18.399999999999999" customHeight="1">
      <c r="A35" s="340"/>
      <c r="B35" s="341"/>
      <c r="C35" s="341"/>
      <c r="D35" s="341"/>
      <c r="E35" s="342"/>
      <c r="F35" s="267"/>
      <c r="G35" s="369"/>
      <c r="H35" s="370" t="s">
        <v>15</v>
      </c>
      <c r="I35" s="371"/>
      <c r="J35" s="238">
        <v>3718</v>
      </c>
      <c r="K35" s="346" t="s">
        <v>174</v>
      </c>
      <c r="M35" s="368"/>
      <c r="R35" s="198"/>
      <c r="S35" s="198"/>
      <c r="T35" s="198"/>
      <c r="U35" s="198"/>
      <c r="V35" s="198"/>
      <c r="W35" s="198"/>
      <c r="X35" s="198"/>
      <c r="Y35" s="198"/>
      <c r="Z35" s="198"/>
    </row>
    <row r="36" spans="1:26" s="202" customFormat="1" ht="18.399999999999999" customHeight="1">
      <c r="A36" s="340"/>
      <c r="B36" s="341"/>
      <c r="C36" s="341"/>
      <c r="D36" s="341"/>
      <c r="E36" s="342"/>
      <c r="F36" s="267"/>
      <c r="G36" s="369"/>
      <c r="H36" s="370" t="s">
        <v>347</v>
      </c>
      <c r="I36" s="371"/>
      <c r="J36" s="238">
        <v>3969</v>
      </c>
      <c r="K36" s="346" t="s">
        <v>174</v>
      </c>
      <c r="Q36" s="198"/>
      <c r="R36" s="198"/>
      <c r="S36" s="198"/>
      <c r="T36" s="198"/>
      <c r="U36" s="198"/>
      <c r="V36" s="198"/>
      <c r="W36" s="198"/>
      <c r="X36" s="198"/>
      <c r="Y36" s="198"/>
      <c r="Z36" s="198"/>
    </row>
    <row r="37" spans="1:26" s="202" customFormat="1" ht="18.399999999999999" customHeight="1">
      <c r="A37" s="340"/>
      <c r="B37" s="341"/>
      <c r="C37" s="341"/>
      <c r="D37" s="341"/>
      <c r="E37" s="342"/>
      <c r="F37" s="347"/>
      <c r="G37" s="369"/>
      <c r="H37" s="370" t="s">
        <v>348</v>
      </c>
      <c r="I37" s="371"/>
      <c r="J37" s="238">
        <v>6255</v>
      </c>
      <c r="K37" s="372" t="s">
        <v>174</v>
      </c>
      <c r="M37" s="373"/>
      <c r="R37" s="198"/>
      <c r="S37" s="198"/>
      <c r="T37" s="198"/>
      <c r="U37" s="198"/>
      <c r="V37" s="198"/>
      <c r="W37" s="198"/>
      <c r="X37" s="198"/>
      <c r="Y37" s="198"/>
      <c r="Z37" s="198"/>
    </row>
    <row r="38" spans="1:26" s="202" customFormat="1" ht="18.399999999999999" customHeight="1">
      <c r="A38" s="351"/>
      <c r="B38" s="352"/>
      <c r="C38" s="352"/>
      <c r="D38" s="352"/>
      <c r="E38" s="353"/>
      <c r="F38" s="283"/>
      <c r="G38" s="374"/>
      <c r="H38" s="375" t="s">
        <v>349</v>
      </c>
      <c r="I38" s="376"/>
      <c r="J38" s="377">
        <v>4643</v>
      </c>
      <c r="K38" s="346" t="s">
        <v>174</v>
      </c>
      <c r="R38" s="198"/>
      <c r="S38" s="198"/>
      <c r="T38" s="198"/>
      <c r="U38" s="198"/>
      <c r="V38" s="198"/>
      <c r="W38" s="198"/>
      <c r="X38" s="198"/>
      <c r="Y38" s="198"/>
      <c r="Z38" s="198"/>
    </row>
    <row r="39" spans="1:26" s="202" customFormat="1" ht="18.399999999999999" customHeight="1">
      <c r="A39" s="338" t="s">
        <v>350</v>
      </c>
      <c r="B39" s="339"/>
      <c r="C39" s="339"/>
      <c r="D39" s="339"/>
      <c r="E39" s="339"/>
      <c r="F39" s="378" t="s">
        <v>351</v>
      </c>
      <c r="G39" s="475" t="s">
        <v>393</v>
      </c>
      <c r="H39" s="379"/>
      <c r="I39" s="379"/>
      <c r="J39" s="379"/>
      <c r="K39" s="380"/>
      <c r="R39" s="198"/>
      <c r="S39" s="198"/>
      <c r="T39" s="198"/>
      <c r="U39" s="198"/>
      <c r="V39" s="198"/>
      <c r="W39" s="198"/>
      <c r="X39" s="198"/>
      <c r="Y39" s="198"/>
      <c r="Z39" s="198"/>
    </row>
    <row r="40" spans="1:26" s="202" customFormat="1" ht="18.399999999999999" customHeight="1">
      <c r="A40" s="340"/>
      <c r="B40" s="341"/>
      <c r="C40" s="341"/>
      <c r="D40" s="341"/>
      <c r="E40" s="342"/>
      <c r="F40" s="381" t="s">
        <v>394</v>
      </c>
      <c r="G40" s="382" t="s">
        <v>395</v>
      </c>
      <c r="H40" s="382"/>
      <c r="I40" s="382"/>
      <c r="J40" s="382"/>
      <c r="K40" s="383"/>
      <c r="R40" s="198"/>
      <c r="S40" s="198"/>
      <c r="T40" s="198"/>
      <c r="U40" s="198"/>
      <c r="V40" s="198"/>
      <c r="W40" s="198"/>
      <c r="X40" s="198"/>
      <c r="Y40" s="198"/>
      <c r="Z40" s="198"/>
    </row>
    <row r="41" spans="1:26" s="202" customFormat="1" ht="18.399999999999999" customHeight="1">
      <c r="A41" s="340"/>
      <c r="B41" s="341"/>
      <c r="C41" s="341"/>
      <c r="D41" s="341"/>
      <c r="E41" s="342"/>
      <c r="F41" s="381"/>
      <c r="G41" s="384"/>
      <c r="H41" s="384"/>
      <c r="I41" s="384"/>
      <c r="J41" s="384"/>
      <c r="K41" s="385"/>
      <c r="L41" s="386"/>
      <c r="R41" s="198"/>
      <c r="S41" s="198"/>
      <c r="T41" s="198"/>
      <c r="U41" s="198"/>
      <c r="V41" s="198"/>
      <c r="W41" s="198"/>
      <c r="X41" s="198"/>
      <c r="Y41" s="198"/>
      <c r="Z41" s="198"/>
    </row>
    <row r="42" spans="1:26" s="202" customFormat="1" ht="18.399999999999999" customHeight="1">
      <c r="A42" s="340"/>
      <c r="B42" s="341"/>
      <c r="C42" s="341"/>
      <c r="D42" s="341"/>
      <c r="E42" s="342"/>
      <c r="F42" s="381"/>
      <c r="G42" s="384"/>
      <c r="H42" s="384"/>
      <c r="I42" s="384"/>
      <c r="J42" s="384"/>
      <c r="K42" s="385"/>
      <c r="L42" s="198"/>
      <c r="M42" s="198"/>
      <c r="N42" s="198"/>
      <c r="O42" s="198"/>
      <c r="P42" s="198"/>
      <c r="Q42" s="198"/>
      <c r="R42" s="198"/>
      <c r="S42" s="198"/>
      <c r="T42" s="198"/>
      <c r="U42" s="198"/>
      <c r="V42" s="198"/>
      <c r="W42" s="198"/>
      <c r="X42" s="198"/>
      <c r="Y42" s="198"/>
      <c r="Z42" s="198"/>
    </row>
    <row r="43" spans="1:26" s="202" customFormat="1" ht="18.399999999999999" customHeight="1">
      <c r="A43" s="340"/>
      <c r="B43" s="341"/>
      <c r="C43" s="341"/>
      <c r="D43" s="341"/>
      <c r="E43" s="342"/>
      <c r="F43" s="381"/>
      <c r="G43" s="384"/>
      <c r="H43" s="384"/>
      <c r="I43" s="384"/>
      <c r="J43" s="384"/>
      <c r="K43" s="385"/>
      <c r="L43" s="198"/>
      <c r="M43" s="198"/>
      <c r="N43" s="198"/>
      <c r="O43" s="198"/>
      <c r="P43" s="198"/>
      <c r="Q43" s="198"/>
      <c r="R43" s="198"/>
      <c r="S43" s="198"/>
      <c r="T43" s="198"/>
      <c r="U43" s="198"/>
      <c r="V43" s="198"/>
      <c r="W43" s="198"/>
      <c r="X43" s="198"/>
      <c r="Y43" s="198"/>
      <c r="Z43" s="198"/>
    </row>
    <row r="44" spans="1:26" s="202" customFormat="1" ht="17.100000000000001" customHeight="1" thickBot="1">
      <c r="A44" s="387"/>
      <c r="B44" s="388"/>
      <c r="C44" s="388"/>
      <c r="D44" s="388"/>
      <c r="E44" s="389"/>
      <c r="F44" s="381"/>
      <c r="G44" s="384"/>
      <c r="H44" s="384"/>
      <c r="I44" s="384"/>
      <c r="J44" s="384"/>
      <c r="K44" s="385"/>
      <c r="L44" s="198"/>
      <c r="M44" s="198"/>
      <c r="N44" s="198"/>
      <c r="O44" s="198"/>
      <c r="P44" s="198"/>
      <c r="Q44" s="198"/>
      <c r="R44" s="198"/>
      <c r="S44" s="198"/>
      <c r="T44" s="198"/>
      <c r="U44" s="198"/>
      <c r="V44" s="198"/>
      <c r="W44" s="198"/>
      <c r="X44" s="198"/>
      <c r="Y44" s="198"/>
      <c r="Z44" s="198"/>
    </row>
    <row r="45" spans="1:26" s="202" customFormat="1" ht="17.100000000000001" customHeight="1">
      <c r="A45" s="390" t="s">
        <v>352</v>
      </c>
      <c r="B45" s="391"/>
      <c r="C45" s="392"/>
      <c r="D45" s="393" t="s">
        <v>353</v>
      </c>
      <c r="E45" s="599" t="s">
        <v>396</v>
      </c>
      <c r="F45" s="394"/>
      <c r="G45" s="384"/>
      <c r="H45" s="384"/>
      <c r="I45" s="384"/>
      <c r="J45" s="384"/>
      <c r="K45" s="385"/>
      <c r="L45" s="198"/>
      <c r="M45" s="198"/>
      <c r="N45" s="198"/>
      <c r="O45" s="198"/>
      <c r="P45" s="198"/>
      <c r="Q45" s="198"/>
      <c r="R45" s="198"/>
      <c r="S45" s="198"/>
      <c r="T45" s="198"/>
      <c r="U45" s="198"/>
      <c r="V45" s="198"/>
      <c r="W45" s="198"/>
      <c r="X45" s="198"/>
      <c r="Y45" s="198"/>
      <c r="Z45" s="198"/>
    </row>
    <row r="46" spans="1:26" s="202" customFormat="1" ht="17.100000000000001" customHeight="1" thickBot="1">
      <c r="A46" s="395" t="s">
        <v>354</v>
      </c>
      <c r="B46" s="396"/>
      <c r="C46" s="397"/>
      <c r="D46" s="398" t="s">
        <v>354</v>
      </c>
      <c r="E46" s="600">
        <v>38553</v>
      </c>
      <c r="F46" s="399"/>
      <c r="G46" s="400" t="s">
        <v>397</v>
      </c>
      <c r="H46" s="400"/>
      <c r="I46" s="400"/>
      <c r="J46" s="400"/>
      <c r="K46" s="401"/>
      <c r="L46" s="198"/>
      <c r="M46" s="198"/>
      <c r="N46" s="198"/>
      <c r="O46" s="198"/>
      <c r="P46" s="198"/>
      <c r="Q46" s="198"/>
      <c r="R46" s="198"/>
      <c r="S46" s="198"/>
      <c r="T46" s="198"/>
      <c r="U46" s="198"/>
      <c r="V46" s="198"/>
      <c r="W46" s="198"/>
      <c r="X46" s="198"/>
      <c r="Y46" s="198"/>
      <c r="Z46" s="198"/>
    </row>
    <row r="47" spans="1:26" s="202" customFormat="1" ht="17.100000000000001" customHeight="1">
      <c r="F47" s="402"/>
      <c r="G47" s="198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198"/>
      <c r="U47" s="198"/>
    </row>
    <row r="48" spans="1:26" s="202" customFormat="1" ht="17.100000000000001" customHeight="1">
      <c r="F48" s="198"/>
      <c r="G48" s="198"/>
      <c r="H48" s="198"/>
      <c r="I48" s="198"/>
      <c r="J48" s="198"/>
      <c r="K48" s="198"/>
    </row>
    <row r="49" spans="2:26" ht="17.100000000000001" customHeight="1">
      <c r="F49" s="186"/>
      <c r="G49" s="186"/>
      <c r="H49" s="186"/>
      <c r="I49" s="186"/>
      <c r="J49" s="186"/>
      <c r="K49" s="186"/>
      <c r="L49" s="187"/>
      <c r="M49" s="187"/>
      <c r="N49" s="187"/>
      <c r="O49" s="187"/>
      <c r="P49" s="187"/>
      <c r="Q49" s="187"/>
      <c r="R49" s="187"/>
      <c r="S49" s="187"/>
      <c r="T49" s="187"/>
      <c r="U49" s="187"/>
      <c r="V49" s="187"/>
      <c r="W49" s="187"/>
      <c r="X49" s="187"/>
      <c r="Y49" s="187"/>
      <c r="Z49" s="187"/>
    </row>
    <row r="50" spans="2:26">
      <c r="F50" s="186"/>
      <c r="G50" s="186"/>
      <c r="H50" s="186"/>
      <c r="I50" s="186"/>
      <c r="J50" s="186"/>
      <c r="K50" s="186"/>
      <c r="L50" s="187"/>
      <c r="M50" s="187"/>
      <c r="N50" s="187"/>
      <c r="O50" s="187"/>
      <c r="P50" s="187"/>
      <c r="Q50" s="187"/>
      <c r="R50" s="187"/>
      <c r="S50" s="187"/>
      <c r="T50" s="187"/>
      <c r="U50" s="187"/>
      <c r="V50" s="187"/>
      <c r="W50" s="187"/>
      <c r="X50" s="187"/>
      <c r="Y50" s="187"/>
      <c r="Z50" s="187"/>
    </row>
    <row r="51" spans="2:26">
      <c r="F51" s="186"/>
      <c r="G51" s="186"/>
      <c r="H51" s="186"/>
      <c r="I51" s="186"/>
      <c r="J51" s="186"/>
      <c r="K51" s="186"/>
      <c r="L51" s="187"/>
      <c r="M51" s="187"/>
      <c r="N51" s="187"/>
      <c r="O51" s="187"/>
      <c r="P51" s="187"/>
      <c r="Q51" s="187"/>
      <c r="R51" s="187"/>
      <c r="S51" s="187"/>
      <c r="T51" s="187"/>
      <c r="U51" s="187"/>
      <c r="V51" s="187"/>
      <c r="W51" s="187"/>
      <c r="X51" s="187"/>
      <c r="Y51" s="187"/>
      <c r="Z51" s="187"/>
    </row>
    <row r="52" spans="2:26">
      <c r="B52" s="186"/>
      <c r="C52" s="186"/>
      <c r="D52" s="186"/>
      <c r="E52" s="186"/>
      <c r="F52" s="186"/>
      <c r="G52" s="186"/>
      <c r="H52" s="186"/>
      <c r="I52" s="186"/>
      <c r="J52" s="186"/>
      <c r="K52" s="186"/>
      <c r="Q52" s="187"/>
      <c r="R52" s="187"/>
      <c r="S52" s="187"/>
      <c r="T52" s="187"/>
      <c r="U52" s="187"/>
      <c r="V52" s="187"/>
      <c r="W52" s="187"/>
      <c r="X52" s="187"/>
      <c r="Y52" s="187"/>
      <c r="Z52" s="187"/>
    </row>
    <row r="53" spans="2:26">
      <c r="F53" s="186"/>
      <c r="G53" s="186"/>
      <c r="H53" s="186"/>
      <c r="I53" s="186"/>
      <c r="J53" s="186"/>
      <c r="K53" s="186"/>
      <c r="Q53" s="187"/>
      <c r="R53" s="187"/>
      <c r="S53" s="187"/>
      <c r="T53" s="187"/>
      <c r="U53" s="187"/>
      <c r="V53" s="187"/>
      <c r="W53" s="187"/>
      <c r="X53" s="187"/>
      <c r="Y53" s="187"/>
      <c r="Z53" s="187"/>
    </row>
  </sheetData>
  <mergeCells count="49">
    <mergeCell ref="B46:C46"/>
    <mergeCell ref="D6:E6"/>
    <mergeCell ref="J3:K3"/>
    <mergeCell ref="A28:E32"/>
    <mergeCell ref="A33:E33"/>
    <mergeCell ref="A34:E38"/>
    <mergeCell ref="A39:E39"/>
    <mergeCell ref="A40:E44"/>
    <mergeCell ref="B45:C45"/>
    <mergeCell ref="D21:E21"/>
    <mergeCell ref="D22:E22"/>
    <mergeCell ref="D23:E23"/>
    <mergeCell ref="D24:E24"/>
    <mergeCell ref="H26:I26"/>
    <mergeCell ref="A27:E27"/>
    <mergeCell ref="F27:K27"/>
    <mergeCell ref="A16:C16"/>
    <mergeCell ref="D16:E16"/>
    <mergeCell ref="D17:E17"/>
    <mergeCell ref="F17:K17"/>
    <mergeCell ref="D18:E18"/>
    <mergeCell ref="F18:G26"/>
    <mergeCell ref="A19:C19"/>
    <mergeCell ref="D19:E19"/>
    <mergeCell ref="D20:E20"/>
    <mergeCell ref="A21:C21"/>
    <mergeCell ref="A13:C13"/>
    <mergeCell ref="D13:E13"/>
    <mergeCell ref="A14:C14"/>
    <mergeCell ref="D14:E14"/>
    <mergeCell ref="A15:C15"/>
    <mergeCell ref="D15:E15"/>
    <mergeCell ref="A10:C10"/>
    <mergeCell ref="D10:E10"/>
    <mergeCell ref="A11:C11"/>
    <mergeCell ref="D11:E11"/>
    <mergeCell ref="D12:E12"/>
    <mergeCell ref="F12:K12"/>
    <mergeCell ref="A7:C7"/>
    <mergeCell ref="D7:E7"/>
    <mergeCell ref="A8:C8"/>
    <mergeCell ref="D8:E8"/>
    <mergeCell ref="A9:C9"/>
    <mergeCell ref="D9:E9"/>
    <mergeCell ref="A1:K1"/>
    <mergeCell ref="A2:K2"/>
    <mergeCell ref="A5:C5"/>
    <mergeCell ref="A6:C6"/>
    <mergeCell ref="F6:K6"/>
  </mergeCells>
  <dataValidations count="3">
    <dataValidation type="list" allowBlank="1" showInputMessage="1" sqref="D6:E6">
      <formula1>$T$5:$T$10</formula1>
    </dataValidation>
    <dataValidation type="list" allowBlank="1" showErrorMessage="1" error="Choose from list!" sqref="D21">
      <formula1>$Q$22:$Q$24</formula1>
    </dataValidation>
    <dataValidation type="list" allowBlank="1" showInputMessage="1" errorTitle="Hold on!" error="Enter a valid motor type!" prompt="Motor Type  Select one from the list or input name" sqref="K4">
      <formula1>$Q$5:$Q$11</formula1>
    </dataValidation>
  </dataValidations>
  <printOptions horizontalCentered="1" verticalCentered="1"/>
  <pageMargins left="0.25" right="0.25" top="0.5" bottom="0.5" header="0.5" footer="0.5"/>
  <pageSetup scale="82" orientation="portrait" blackAndWhite="1" horizontalDpi="300" r:id="rId1"/>
  <headerFooter alignWithMargins="0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79"/>
  <sheetViews>
    <sheetView zoomScale="75" zoomScaleNormal="75" workbookViewId="0"/>
  </sheetViews>
  <sheetFormatPr defaultColWidth="9.140625" defaultRowHeight="12.75"/>
  <cols>
    <col min="1" max="1" width="9.140625" style="409" customWidth="1"/>
    <col min="2" max="2" width="18.140625" style="409" customWidth="1"/>
    <col min="3" max="3" width="21.5703125" style="409" customWidth="1"/>
    <col min="4" max="4" width="21.28515625" style="409" bestFit="1" customWidth="1"/>
    <col min="5" max="5" width="6.85546875" style="409" bestFit="1" customWidth="1"/>
    <col min="6" max="6" width="29.85546875" style="409" customWidth="1"/>
    <col min="7" max="7" width="43.7109375" style="409" customWidth="1"/>
    <col min="8" max="8" width="17.140625" style="409" customWidth="1"/>
    <col min="9" max="9" width="7.85546875" style="409" customWidth="1"/>
    <col min="10" max="10" width="2.28515625" style="409" bestFit="1" customWidth="1"/>
    <col min="11" max="12" width="2.28515625" style="409" customWidth="1"/>
    <col min="13" max="13" width="2.5703125" style="409" bestFit="1" customWidth="1"/>
    <col min="14" max="14" width="2.28515625" style="409" bestFit="1" customWidth="1"/>
    <col min="15" max="16384" width="9.140625" style="409"/>
  </cols>
  <sheetData>
    <row r="1" spans="2:14" ht="12.75" customHeight="1">
      <c r="B1" s="404"/>
      <c r="C1" s="405"/>
      <c r="D1" s="405"/>
      <c r="E1" s="405"/>
      <c r="F1" s="405"/>
      <c r="G1" s="405"/>
      <c r="H1" s="406"/>
      <c r="I1" s="407"/>
      <c r="J1" s="408" t="s">
        <v>355</v>
      </c>
      <c r="K1" s="408" t="s">
        <v>356</v>
      </c>
      <c r="L1" s="408" t="s">
        <v>357</v>
      </c>
      <c r="M1" s="408" t="s">
        <v>356</v>
      </c>
      <c r="N1" s="408"/>
    </row>
    <row r="2" spans="2:14" ht="12.75" customHeight="1">
      <c r="B2" s="410" t="s">
        <v>358</v>
      </c>
      <c r="C2" s="411"/>
      <c r="D2" s="411"/>
      <c r="E2" s="411"/>
      <c r="F2" s="411"/>
      <c r="G2" s="411"/>
      <c r="H2" s="412"/>
      <c r="I2" s="413"/>
      <c r="J2" s="414" t="s">
        <v>359</v>
      </c>
      <c r="K2" s="414" t="s">
        <v>360</v>
      </c>
      <c r="L2" s="414" t="s">
        <v>361</v>
      </c>
      <c r="M2" s="414" t="s">
        <v>362</v>
      </c>
      <c r="N2" s="414" t="s">
        <v>363</v>
      </c>
    </row>
    <row r="3" spans="2:14" ht="12.75" customHeight="1">
      <c r="B3" s="410"/>
      <c r="C3" s="411"/>
      <c r="D3" s="411"/>
      <c r="E3" s="411"/>
      <c r="F3" s="411"/>
      <c r="G3" s="411"/>
      <c r="H3" s="412"/>
      <c r="I3" s="413"/>
      <c r="J3" s="414" t="s">
        <v>364</v>
      </c>
      <c r="K3" s="414"/>
      <c r="L3" s="414" t="s">
        <v>365</v>
      </c>
      <c r="M3" s="414" t="s">
        <v>355</v>
      </c>
      <c r="N3" s="414"/>
    </row>
    <row r="4" spans="2:14" ht="12.75" customHeight="1">
      <c r="B4" s="410"/>
      <c r="C4" s="411"/>
      <c r="D4" s="411"/>
      <c r="E4" s="411"/>
      <c r="F4" s="411"/>
      <c r="G4" s="411"/>
      <c r="H4" s="412"/>
      <c r="I4" s="413"/>
      <c r="J4" s="414" t="s">
        <v>366</v>
      </c>
      <c r="K4" s="414"/>
      <c r="L4" s="414" t="s">
        <v>361</v>
      </c>
      <c r="M4" s="414" t="s">
        <v>359</v>
      </c>
      <c r="N4" s="414"/>
    </row>
    <row r="5" spans="2:14" ht="12.75" customHeight="1">
      <c r="B5" s="415"/>
      <c r="C5" s="416"/>
      <c r="D5" s="416"/>
      <c r="E5" s="416"/>
      <c r="F5" s="416"/>
      <c r="G5" s="416"/>
      <c r="H5" s="412"/>
      <c r="I5" s="413"/>
      <c r="J5" s="414"/>
      <c r="K5" s="414" t="s">
        <v>367</v>
      </c>
      <c r="L5" s="414" t="s">
        <v>356</v>
      </c>
      <c r="M5" s="414"/>
      <c r="N5" s="414" t="s">
        <v>361</v>
      </c>
    </row>
    <row r="6" spans="2:14" ht="12" customHeight="1">
      <c r="B6" s="417"/>
      <c r="C6" s="418"/>
      <c r="D6" s="418"/>
      <c r="F6" s="418"/>
      <c r="H6" s="419"/>
      <c r="I6" s="413"/>
      <c r="J6" s="414" t="s">
        <v>360</v>
      </c>
      <c r="K6" s="414" t="s">
        <v>368</v>
      </c>
      <c r="L6" s="414"/>
      <c r="M6" s="414" t="s">
        <v>356</v>
      </c>
      <c r="N6" s="414" t="s">
        <v>369</v>
      </c>
    </row>
    <row r="7" spans="2:14" ht="12.75" customHeight="1">
      <c r="B7" s="417"/>
      <c r="D7" s="420"/>
      <c r="H7" s="419"/>
      <c r="I7" s="413"/>
      <c r="J7" s="414" t="s">
        <v>183</v>
      </c>
      <c r="K7" s="414" t="s">
        <v>364</v>
      </c>
      <c r="L7" s="414" t="s">
        <v>364</v>
      </c>
      <c r="M7" s="414" t="s">
        <v>359</v>
      </c>
      <c r="N7" s="414" t="s">
        <v>370</v>
      </c>
    </row>
    <row r="8" spans="2:14" ht="12.75" customHeight="1">
      <c r="B8" s="417"/>
      <c r="G8" s="420"/>
      <c r="H8" s="421"/>
      <c r="I8" s="414" t="s">
        <v>370</v>
      </c>
      <c r="J8" s="414" t="s">
        <v>356</v>
      </c>
      <c r="K8" s="414" t="s">
        <v>371</v>
      </c>
      <c r="L8" s="414" t="s">
        <v>359</v>
      </c>
      <c r="M8" s="414" t="s">
        <v>370</v>
      </c>
      <c r="N8" s="414" t="s">
        <v>368</v>
      </c>
    </row>
    <row r="9" spans="2:14">
      <c r="B9" s="414" t="s">
        <v>372</v>
      </c>
      <c r="C9" s="421" t="s">
        <v>373</v>
      </c>
      <c r="D9" s="421" t="s">
        <v>374</v>
      </c>
      <c r="E9" s="421" t="s">
        <v>375</v>
      </c>
      <c r="F9" s="414" t="s">
        <v>376</v>
      </c>
      <c r="G9" s="414" t="s">
        <v>377</v>
      </c>
      <c r="H9" s="414" t="s">
        <v>378</v>
      </c>
      <c r="I9" s="414" t="s">
        <v>366</v>
      </c>
      <c r="J9" s="414" t="s">
        <v>183</v>
      </c>
      <c r="K9" s="414" t="s">
        <v>359</v>
      </c>
      <c r="L9" s="414" t="s">
        <v>371</v>
      </c>
      <c r="M9" s="414" t="s">
        <v>356</v>
      </c>
      <c r="N9" s="414" t="s">
        <v>357</v>
      </c>
    </row>
    <row r="10" spans="2:14" ht="15" customHeight="1">
      <c r="B10" s="422"/>
      <c r="C10" s="423"/>
      <c r="D10" s="423"/>
      <c r="E10" s="423"/>
      <c r="F10" s="424"/>
      <c r="G10" s="425"/>
      <c r="H10" s="425"/>
      <c r="I10" s="426"/>
      <c r="J10" s="427"/>
      <c r="K10" s="427"/>
      <c r="L10" s="427"/>
      <c r="M10" s="427"/>
      <c r="N10" s="428"/>
    </row>
    <row r="11" spans="2:14" ht="15" customHeight="1">
      <c r="B11" s="422"/>
      <c r="C11" s="424"/>
      <c r="D11" s="424"/>
      <c r="E11" s="424"/>
      <c r="F11" s="424"/>
      <c r="G11" s="424"/>
      <c r="H11" s="424"/>
      <c r="I11" s="429"/>
      <c r="J11" s="427"/>
      <c r="K11" s="427"/>
      <c r="L11" s="427"/>
      <c r="M11" s="427"/>
      <c r="N11" s="428"/>
    </row>
    <row r="12" spans="2:14" ht="15" customHeight="1">
      <c r="B12" s="422"/>
      <c r="C12" s="424"/>
      <c r="D12" s="424"/>
      <c r="E12" s="424"/>
      <c r="F12" s="424"/>
      <c r="G12" s="424"/>
      <c r="H12" s="424"/>
      <c r="I12" s="429"/>
      <c r="J12" s="430"/>
      <c r="K12" s="427"/>
      <c r="L12" s="427"/>
      <c r="M12" s="427"/>
      <c r="N12" s="428"/>
    </row>
    <row r="13" spans="2:14" ht="15" customHeight="1">
      <c r="B13" s="422"/>
      <c r="C13" s="424"/>
      <c r="D13" s="424"/>
      <c r="E13" s="424"/>
      <c r="F13" s="424"/>
      <c r="G13" s="424"/>
      <c r="H13" s="424"/>
      <c r="I13" s="429"/>
      <c r="J13" s="427"/>
      <c r="K13" s="427"/>
      <c r="L13" s="427"/>
      <c r="M13" s="427"/>
      <c r="N13" s="428"/>
    </row>
    <row r="14" spans="2:14" ht="15" customHeight="1">
      <c r="B14" s="422"/>
      <c r="C14" s="424"/>
      <c r="D14" s="424"/>
      <c r="E14" s="424"/>
      <c r="F14" s="424"/>
      <c r="G14" s="424"/>
      <c r="H14" s="424"/>
      <c r="I14" s="429"/>
      <c r="J14" s="427"/>
      <c r="K14" s="427"/>
      <c r="L14" s="427"/>
      <c r="M14" s="427"/>
      <c r="N14" s="428"/>
    </row>
    <row r="15" spans="2:14" ht="15" customHeight="1">
      <c r="B15" s="422"/>
      <c r="C15" s="424"/>
      <c r="D15" s="424"/>
      <c r="E15" s="424"/>
      <c r="F15" s="424"/>
      <c r="G15" s="424"/>
      <c r="H15" s="424"/>
      <c r="I15" s="429"/>
      <c r="J15" s="427"/>
      <c r="K15" s="427"/>
      <c r="L15" s="427"/>
      <c r="M15" s="427"/>
      <c r="N15" s="428"/>
    </row>
    <row r="16" spans="2:14" ht="15" customHeight="1">
      <c r="B16" s="422"/>
      <c r="C16" s="424"/>
      <c r="D16" s="424"/>
      <c r="E16" s="424"/>
      <c r="F16" s="424"/>
      <c r="G16" s="424"/>
      <c r="H16" s="424"/>
      <c r="I16" s="429"/>
      <c r="J16" s="427"/>
      <c r="K16" s="427"/>
      <c r="L16" s="427"/>
      <c r="M16" s="427"/>
      <c r="N16" s="428"/>
    </row>
    <row r="17" spans="2:14" ht="15" customHeight="1">
      <c r="B17" s="422"/>
      <c r="C17" s="424"/>
      <c r="D17" s="424"/>
      <c r="E17" s="424"/>
      <c r="F17" s="424"/>
      <c r="G17" s="424"/>
      <c r="H17" s="424"/>
      <c r="I17" s="429"/>
      <c r="J17" s="427"/>
      <c r="K17" s="427"/>
      <c r="L17" s="427"/>
      <c r="M17" s="427"/>
      <c r="N17" s="428"/>
    </row>
    <row r="18" spans="2:14" ht="15" customHeight="1">
      <c r="B18" s="422"/>
      <c r="C18" s="424"/>
      <c r="D18" s="424"/>
      <c r="E18" s="424"/>
      <c r="F18" s="424"/>
      <c r="G18" s="424"/>
      <c r="H18" s="424"/>
      <c r="I18" s="429"/>
      <c r="J18" s="427"/>
      <c r="K18" s="427"/>
      <c r="L18" s="427"/>
      <c r="M18" s="427"/>
      <c r="N18" s="428"/>
    </row>
    <row r="19" spans="2:14" ht="15" customHeight="1">
      <c r="B19" s="422"/>
      <c r="C19" s="424"/>
      <c r="D19" s="424"/>
      <c r="E19" s="424"/>
      <c r="F19" s="424"/>
      <c r="G19" s="424"/>
      <c r="H19" s="424"/>
      <c r="I19" s="429"/>
      <c r="J19" s="427"/>
      <c r="K19" s="427"/>
      <c r="L19" s="427"/>
      <c r="M19" s="427"/>
      <c r="N19" s="428"/>
    </row>
    <row r="20" spans="2:14" ht="15" customHeight="1">
      <c r="B20" s="422"/>
      <c r="C20" s="424"/>
      <c r="D20" s="424"/>
      <c r="E20" s="424"/>
      <c r="F20" s="424"/>
      <c r="G20" s="424"/>
      <c r="H20" s="424"/>
      <c r="I20" s="429"/>
      <c r="J20" s="427"/>
      <c r="K20" s="427"/>
      <c r="L20" s="427"/>
      <c r="M20" s="427"/>
      <c r="N20" s="428"/>
    </row>
    <row r="21" spans="2:14" ht="15" customHeight="1">
      <c r="B21" s="422"/>
      <c r="C21" s="424"/>
      <c r="D21" s="424"/>
      <c r="E21" s="424"/>
      <c r="F21" s="424"/>
      <c r="G21" s="424"/>
      <c r="H21" s="424"/>
      <c r="I21" s="429"/>
      <c r="J21" s="427"/>
      <c r="K21" s="427"/>
      <c r="L21" s="427"/>
      <c r="M21" s="427"/>
      <c r="N21" s="428"/>
    </row>
    <row r="22" spans="2:14" ht="15" customHeight="1">
      <c r="B22" s="422"/>
      <c r="C22" s="424"/>
      <c r="D22" s="424"/>
      <c r="E22" s="424"/>
      <c r="F22" s="424"/>
      <c r="G22" s="424"/>
      <c r="H22" s="424"/>
      <c r="I22" s="429"/>
      <c r="J22" s="427"/>
      <c r="K22" s="427"/>
      <c r="L22" s="427"/>
      <c r="M22" s="427"/>
      <c r="N22" s="428"/>
    </row>
    <row r="23" spans="2:14" ht="15" customHeight="1">
      <c r="B23" s="422"/>
      <c r="C23" s="424"/>
      <c r="D23" s="424"/>
      <c r="E23" s="424"/>
      <c r="F23" s="424"/>
      <c r="G23" s="424"/>
      <c r="H23" s="424"/>
      <c r="I23" s="429"/>
      <c r="J23" s="427"/>
      <c r="K23" s="427"/>
      <c r="L23" s="427"/>
      <c r="M23" s="427"/>
      <c r="N23" s="428"/>
    </row>
    <row r="24" spans="2:14" ht="15" customHeight="1">
      <c r="B24" s="422"/>
      <c r="C24" s="424"/>
      <c r="D24" s="424"/>
      <c r="E24" s="424"/>
      <c r="F24" s="424"/>
      <c r="G24" s="424"/>
      <c r="H24" s="424"/>
      <c r="I24" s="429"/>
      <c r="J24" s="427"/>
      <c r="K24" s="427"/>
      <c r="L24" s="427"/>
      <c r="M24" s="427"/>
      <c r="N24" s="428"/>
    </row>
    <row r="25" spans="2:14" ht="15" customHeight="1">
      <c r="B25" s="422"/>
      <c r="C25" s="424"/>
      <c r="D25" s="424"/>
      <c r="E25" s="424"/>
      <c r="F25" s="424"/>
      <c r="G25" s="424"/>
      <c r="H25" s="424"/>
      <c r="I25" s="429"/>
      <c r="J25" s="427"/>
      <c r="K25" s="427"/>
      <c r="L25" s="427"/>
      <c r="M25" s="427"/>
      <c r="N25" s="428"/>
    </row>
    <row r="26" spans="2:14" ht="15" customHeight="1">
      <c r="B26" s="422"/>
      <c r="C26" s="424"/>
      <c r="D26" s="424"/>
      <c r="E26" s="424"/>
      <c r="F26" s="424"/>
      <c r="G26" s="424"/>
      <c r="H26" s="424"/>
      <c r="I26" s="429"/>
      <c r="J26" s="427"/>
      <c r="K26" s="427"/>
      <c r="L26" s="427"/>
      <c r="M26" s="427"/>
      <c r="N26" s="428"/>
    </row>
    <row r="27" spans="2:14" ht="15" customHeight="1">
      <c r="B27" s="422"/>
      <c r="C27" s="424"/>
      <c r="D27" s="424"/>
      <c r="E27" s="424"/>
      <c r="F27" s="424"/>
      <c r="G27" s="424"/>
      <c r="H27" s="424"/>
      <c r="I27" s="429"/>
      <c r="J27" s="427"/>
      <c r="K27" s="427"/>
      <c r="L27" s="427"/>
      <c r="M27" s="427"/>
      <c r="N27" s="428"/>
    </row>
    <row r="28" spans="2:14" ht="15" customHeight="1">
      <c r="B28" s="422"/>
      <c r="C28" s="424"/>
      <c r="D28" s="424"/>
      <c r="E28" s="424"/>
      <c r="F28" s="424"/>
      <c r="G28" s="424"/>
      <c r="H28" s="424"/>
      <c r="I28" s="429"/>
      <c r="J28" s="427"/>
      <c r="K28" s="427"/>
      <c r="L28" s="427"/>
      <c r="M28" s="427"/>
      <c r="N28" s="428"/>
    </row>
    <row r="29" spans="2:14" ht="15" customHeight="1">
      <c r="B29" s="422"/>
      <c r="C29" s="424"/>
      <c r="D29" s="424"/>
      <c r="E29" s="424"/>
      <c r="F29" s="424"/>
      <c r="G29" s="424"/>
      <c r="H29" s="424"/>
      <c r="I29" s="429"/>
      <c r="J29" s="427"/>
      <c r="K29" s="427"/>
      <c r="L29" s="427"/>
      <c r="M29" s="427"/>
      <c r="N29" s="428"/>
    </row>
    <row r="30" spans="2:14" ht="15" customHeight="1">
      <c r="B30" s="422"/>
      <c r="C30" s="424"/>
      <c r="D30" s="424"/>
      <c r="E30" s="424"/>
      <c r="F30" s="424"/>
      <c r="G30" s="424"/>
      <c r="H30" s="424"/>
      <c r="I30" s="429"/>
      <c r="J30" s="427"/>
      <c r="K30" s="427"/>
      <c r="L30" s="427"/>
      <c r="M30" s="427"/>
      <c r="N30" s="428"/>
    </row>
    <row r="31" spans="2:14" ht="15" customHeight="1">
      <c r="B31" s="422"/>
      <c r="C31" s="424"/>
      <c r="D31" s="424"/>
      <c r="E31" s="424"/>
      <c r="F31" s="424"/>
      <c r="G31" s="424"/>
      <c r="H31" s="424"/>
      <c r="I31" s="429"/>
      <c r="J31" s="427"/>
      <c r="K31" s="427"/>
      <c r="L31" s="427"/>
      <c r="M31" s="427"/>
      <c r="N31" s="428"/>
    </row>
    <row r="32" spans="2:14" ht="15" customHeight="1">
      <c r="B32" s="422"/>
      <c r="C32" s="424"/>
      <c r="D32" s="424"/>
      <c r="E32" s="424"/>
      <c r="F32" s="424"/>
      <c r="G32" s="424"/>
      <c r="H32" s="424"/>
      <c r="I32" s="429"/>
      <c r="J32" s="427"/>
      <c r="K32" s="427"/>
      <c r="L32" s="427"/>
      <c r="M32" s="427"/>
      <c r="N32" s="428"/>
    </row>
    <row r="33" spans="2:14" ht="15" customHeight="1">
      <c r="B33" s="422"/>
      <c r="C33" s="424"/>
      <c r="D33" s="424"/>
      <c r="E33" s="424"/>
      <c r="F33" s="424"/>
      <c r="G33" s="424"/>
      <c r="H33" s="424"/>
      <c r="I33" s="429"/>
      <c r="J33" s="427"/>
      <c r="K33" s="427"/>
      <c r="L33" s="427"/>
      <c r="M33" s="427"/>
      <c r="N33" s="428"/>
    </row>
    <row r="34" spans="2:14" ht="15" customHeight="1">
      <c r="B34" s="422"/>
      <c r="C34" s="424"/>
      <c r="D34" s="424"/>
      <c r="E34" s="424"/>
      <c r="F34" s="424"/>
      <c r="G34" s="424"/>
      <c r="H34" s="424"/>
      <c r="I34" s="429"/>
      <c r="J34" s="427"/>
      <c r="K34" s="427"/>
      <c r="L34" s="427"/>
      <c r="M34" s="427"/>
      <c r="N34" s="428"/>
    </row>
    <row r="35" spans="2:14" ht="15" customHeight="1">
      <c r="B35" s="422"/>
      <c r="C35" s="424"/>
      <c r="D35" s="424"/>
      <c r="E35" s="424"/>
      <c r="F35" s="424"/>
      <c r="G35" s="424"/>
      <c r="H35" s="424"/>
      <c r="I35" s="429"/>
      <c r="J35" s="427"/>
      <c r="K35" s="427"/>
      <c r="L35" s="427"/>
      <c r="M35" s="427"/>
      <c r="N35" s="428"/>
    </row>
    <row r="36" spans="2:14" ht="15" customHeight="1">
      <c r="B36" s="422"/>
      <c r="C36" s="424"/>
      <c r="D36" s="424"/>
      <c r="E36" s="424"/>
      <c r="F36" s="424"/>
      <c r="G36" s="424"/>
      <c r="H36" s="424"/>
      <c r="I36" s="429"/>
      <c r="J36" s="427"/>
      <c r="K36" s="427"/>
      <c r="L36" s="427"/>
      <c r="M36" s="427"/>
      <c r="N36" s="428"/>
    </row>
    <row r="37" spans="2:14" ht="15" customHeight="1">
      <c r="B37" s="422"/>
      <c r="C37" s="424"/>
      <c r="D37" s="424"/>
      <c r="E37" s="424"/>
      <c r="F37" s="424"/>
      <c r="G37" s="424"/>
      <c r="H37" s="424"/>
      <c r="I37" s="429"/>
      <c r="J37" s="427"/>
      <c r="K37" s="427"/>
      <c r="L37" s="427"/>
      <c r="M37" s="427"/>
      <c r="N37" s="428"/>
    </row>
    <row r="38" spans="2:14" ht="15" customHeight="1">
      <c r="B38" s="422"/>
      <c r="C38" s="424"/>
      <c r="D38" s="424"/>
      <c r="E38" s="424"/>
      <c r="F38" s="424"/>
      <c r="G38" s="424"/>
      <c r="H38" s="424"/>
      <c r="I38" s="429"/>
      <c r="J38" s="427"/>
      <c r="K38" s="427"/>
      <c r="L38" s="427"/>
      <c r="M38" s="427"/>
      <c r="N38" s="428"/>
    </row>
    <row r="39" spans="2:14" ht="15" customHeight="1">
      <c r="B39" s="422"/>
      <c r="C39" s="424"/>
      <c r="D39" s="424"/>
      <c r="E39" s="424"/>
      <c r="F39" s="424"/>
      <c r="G39" s="424"/>
      <c r="H39" s="424"/>
      <c r="I39" s="429"/>
      <c r="J39" s="427"/>
      <c r="K39" s="427"/>
      <c r="L39" s="427"/>
      <c r="M39" s="427"/>
      <c r="N39" s="428"/>
    </row>
    <row r="40" spans="2:14" ht="15" customHeight="1">
      <c r="B40" s="422"/>
      <c r="C40" s="424"/>
      <c r="D40" s="424"/>
      <c r="E40" s="424"/>
      <c r="F40" s="424"/>
      <c r="G40" s="424"/>
      <c r="H40" s="424"/>
      <c r="I40" s="429"/>
      <c r="J40" s="427"/>
      <c r="K40" s="427"/>
      <c r="L40" s="427"/>
      <c r="M40" s="427"/>
      <c r="N40" s="428"/>
    </row>
    <row r="41" spans="2:14" ht="15" customHeight="1">
      <c r="B41" s="422"/>
      <c r="C41" s="424"/>
      <c r="D41" s="424"/>
      <c r="E41" s="424"/>
      <c r="F41" s="424"/>
      <c r="G41" s="424"/>
      <c r="H41" s="424"/>
      <c r="I41" s="429"/>
      <c r="J41" s="427"/>
      <c r="K41" s="427"/>
      <c r="L41" s="427"/>
      <c r="M41" s="427"/>
      <c r="N41" s="428"/>
    </row>
    <row r="42" spans="2:14" ht="15" customHeight="1">
      <c r="B42" s="422"/>
      <c r="C42" s="424"/>
      <c r="D42" s="424"/>
      <c r="E42" s="424"/>
      <c r="F42" s="424"/>
      <c r="G42" s="424"/>
      <c r="H42" s="424"/>
      <c r="I42" s="429"/>
      <c r="J42" s="427"/>
      <c r="K42" s="427"/>
      <c r="L42" s="427"/>
      <c r="M42" s="427"/>
      <c r="N42" s="428"/>
    </row>
    <row r="43" spans="2:14" ht="15" customHeight="1">
      <c r="B43" s="422"/>
      <c r="C43" s="424"/>
      <c r="D43" s="424"/>
      <c r="E43" s="424"/>
      <c r="F43" s="424"/>
      <c r="G43" s="424"/>
      <c r="H43" s="424"/>
      <c r="I43" s="429"/>
      <c r="J43" s="427"/>
      <c r="K43" s="427"/>
      <c r="L43" s="427"/>
      <c r="M43" s="427"/>
      <c r="N43" s="428"/>
    </row>
    <row r="44" spans="2:14" ht="15" customHeight="1">
      <c r="B44" s="422"/>
      <c r="C44" s="424"/>
      <c r="D44" s="424"/>
      <c r="E44" s="424"/>
      <c r="F44" s="424"/>
      <c r="G44" s="424"/>
      <c r="H44" s="424"/>
      <c r="I44" s="429"/>
      <c r="J44" s="427"/>
      <c r="K44" s="427"/>
      <c r="L44" s="427"/>
      <c r="M44" s="427"/>
      <c r="N44" s="428"/>
    </row>
    <row r="45" spans="2:14" ht="15" customHeight="1">
      <c r="B45" s="422"/>
      <c r="C45" s="424"/>
      <c r="D45" s="424"/>
      <c r="E45" s="424"/>
      <c r="F45" s="424"/>
      <c r="G45" s="424"/>
      <c r="H45" s="424"/>
      <c r="I45" s="429"/>
      <c r="J45" s="427"/>
      <c r="K45" s="427"/>
      <c r="L45" s="427"/>
      <c r="M45" s="427"/>
      <c r="N45" s="428"/>
    </row>
    <row r="46" spans="2:14" ht="15" customHeight="1">
      <c r="B46" s="422"/>
      <c r="C46" s="424"/>
      <c r="D46" s="424"/>
      <c r="E46" s="424"/>
      <c r="F46" s="424"/>
      <c r="G46" s="424"/>
      <c r="H46" s="424"/>
      <c r="I46" s="429"/>
      <c r="J46" s="427"/>
      <c r="K46" s="427"/>
      <c r="L46" s="427"/>
      <c r="M46" s="427"/>
      <c r="N46" s="428"/>
    </row>
    <row r="47" spans="2:14" ht="15" customHeight="1">
      <c r="B47" s="422"/>
      <c r="C47" s="424"/>
      <c r="D47" s="424"/>
      <c r="E47" s="424"/>
      <c r="F47" s="424"/>
      <c r="G47" s="424"/>
      <c r="H47" s="424"/>
      <c r="I47" s="429"/>
      <c r="J47" s="427"/>
      <c r="K47" s="427"/>
      <c r="L47" s="427"/>
      <c r="M47" s="427"/>
      <c r="N47" s="428"/>
    </row>
    <row r="48" spans="2:14" ht="15" customHeight="1">
      <c r="B48" s="422"/>
      <c r="C48" s="424"/>
      <c r="D48" s="424"/>
      <c r="E48" s="424"/>
      <c r="F48" s="424"/>
      <c r="G48" s="424"/>
      <c r="H48" s="424"/>
      <c r="I48" s="429"/>
      <c r="J48" s="427"/>
      <c r="K48" s="427"/>
      <c r="L48" s="427"/>
      <c r="M48" s="427"/>
      <c r="N48" s="428"/>
    </row>
    <row r="49" spans="2:14" ht="15" customHeight="1">
      <c r="B49" s="422"/>
      <c r="C49" s="424"/>
      <c r="D49" s="424"/>
      <c r="E49" s="424"/>
      <c r="F49" s="424"/>
      <c r="G49" s="424"/>
      <c r="H49" s="424"/>
      <c r="I49" s="429"/>
      <c r="J49" s="427"/>
      <c r="K49" s="427"/>
      <c r="L49" s="427"/>
      <c r="M49" s="427"/>
      <c r="N49" s="428"/>
    </row>
    <row r="50" spans="2:14" ht="15" customHeight="1">
      <c r="B50" s="422"/>
      <c r="C50" s="424"/>
      <c r="D50" s="424"/>
      <c r="E50" s="424"/>
      <c r="F50" s="424"/>
      <c r="G50" s="424"/>
      <c r="H50" s="424"/>
      <c r="I50" s="429"/>
      <c r="J50" s="427"/>
      <c r="K50" s="427"/>
      <c r="L50" s="427"/>
      <c r="M50" s="427"/>
      <c r="N50" s="428"/>
    </row>
    <row r="51" spans="2:14" ht="15" customHeight="1">
      <c r="B51" s="422"/>
      <c r="C51" s="424"/>
      <c r="D51" s="424"/>
      <c r="E51" s="424"/>
      <c r="F51" s="424"/>
      <c r="G51" s="424"/>
      <c r="H51" s="424"/>
      <c r="I51" s="429"/>
      <c r="J51" s="427"/>
      <c r="K51" s="427"/>
      <c r="L51" s="427"/>
      <c r="M51" s="427"/>
      <c r="N51" s="428"/>
    </row>
    <row r="52" spans="2:14" ht="15" customHeight="1" thickBot="1">
      <c r="B52" s="431"/>
      <c r="C52" s="432"/>
      <c r="D52" s="432"/>
      <c r="E52" s="432"/>
      <c r="F52" s="432"/>
      <c r="G52" s="432"/>
      <c r="H52" s="432"/>
      <c r="I52" s="433"/>
      <c r="J52" s="434"/>
      <c r="K52" s="434"/>
      <c r="L52" s="434"/>
      <c r="M52" s="434"/>
      <c r="N52" s="435"/>
    </row>
    <row r="53" spans="2:14" ht="20.25" customHeight="1" thickBot="1">
      <c r="B53" s="436" t="s">
        <v>379</v>
      </c>
      <c r="C53" s="436"/>
      <c r="D53" s="436"/>
      <c r="E53" s="436"/>
      <c r="F53" s="436"/>
      <c r="G53" s="436"/>
      <c r="H53" s="436"/>
      <c r="I53" s="436"/>
      <c r="J53" s="436"/>
      <c r="K53" s="436"/>
      <c r="L53" s="436"/>
      <c r="M53" s="436"/>
      <c r="N53" s="436"/>
    </row>
    <row r="54" spans="2:14" ht="15" customHeight="1" thickBot="1">
      <c r="B54" s="437" t="s">
        <v>380</v>
      </c>
      <c r="C54" s="438" t="s">
        <v>377</v>
      </c>
      <c r="D54" s="439"/>
      <c r="E54" s="439"/>
      <c r="F54" s="439"/>
      <c r="G54" s="439"/>
      <c r="H54" s="440"/>
      <c r="I54" s="438" t="s">
        <v>372</v>
      </c>
      <c r="J54" s="439"/>
      <c r="K54" s="441"/>
      <c r="L54" s="438" t="s">
        <v>381</v>
      </c>
      <c r="M54" s="439"/>
      <c r="N54" s="442"/>
    </row>
    <row r="55" spans="2:14" ht="15" customHeight="1">
      <c r="B55" s="443"/>
      <c r="C55" s="444"/>
      <c r="D55" s="445"/>
      <c r="E55" s="445"/>
      <c r="F55" s="445"/>
      <c r="G55" s="445"/>
      <c r="H55" s="446"/>
      <c r="I55" s="447"/>
      <c r="J55" s="448"/>
      <c r="K55" s="449"/>
      <c r="L55" s="450"/>
      <c r="M55" s="451"/>
      <c r="N55" s="452"/>
    </row>
    <row r="56" spans="2:14" ht="15" customHeight="1">
      <c r="B56" s="453"/>
      <c r="C56" s="454"/>
      <c r="D56" s="455"/>
      <c r="E56" s="455"/>
      <c r="F56" s="455"/>
      <c r="G56" s="455"/>
      <c r="H56" s="456"/>
      <c r="I56" s="457"/>
      <c r="J56" s="458"/>
      <c r="K56" s="459"/>
      <c r="L56" s="460"/>
      <c r="M56" s="461"/>
      <c r="N56" s="462"/>
    </row>
    <row r="57" spans="2:14" ht="15" customHeight="1">
      <c r="B57" s="453"/>
      <c r="C57" s="454"/>
      <c r="D57" s="455"/>
      <c r="E57" s="455"/>
      <c r="F57" s="455"/>
      <c r="G57" s="455"/>
      <c r="H57" s="456"/>
      <c r="I57" s="457"/>
      <c r="J57" s="458"/>
      <c r="K57" s="459"/>
      <c r="L57" s="460"/>
      <c r="M57" s="461"/>
      <c r="N57" s="462"/>
    </row>
    <row r="58" spans="2:14" ht="15" customHeight="1">
      <c r="B58" s="453"/>
      <c r="C58" s="454"/>
      <c r="D58" s="455"/>
      <c r="E58" s="455"/>
      <c r="F58" s="455"/>
      <c r="G58" s="455"/>
      <c r="H58" s="456"/>
      <c r="I58" s="457"/>
      <c r="J58" s="458"/>
      <c r="K58" s="459"/>
      <c r="L58" s="460"/>
      <c r="M58" s="461"/>
      <c r="N58" s="462"/>
    </row>
    <row r="59" spans="2:14" ht="15" customHeight="1">
      <c r="B59" s="453"/>
      <c r="C59" s="454"/>
      <c r="D59" s="455"/>
      <c r="E59" s="455"/>
      <c r="F59" s="455"/>
      <c r="G59" s="455"/>
      <c r="H59" s="456"/>
      <c r="I59" s="457"/>
      <c r="J59" s="458"/>
      <c r="K59" s="459"/>
      <c r="L59" s="460"/>
      <c r="M59" s="461"/>
      <c r="N59" s="462"/>
    </row>
    <row r="60" spans="2:14" ht="15" customHeight="1">
      <c r="B60" s="453"/>
      <c r="C60" s="454"/>
      <c r="D60" s="455"/>
      <c r="E60" s="455"/>
      <c r="F60" s="455"/>
      <c r="G60" s="455"/>
      <c r="H60" s="456"/>
      <c r="I60" s="457"/>
      <c r="J60" s="458"/>
      <c r="K60" s="459"/>
      <c r="L60" s="460"/>
      <c r="M60" s="461"/>
      <c r="N60" s="462"/>
    </row>
    <row r="61" spans="2:14" ht="15" customHeight="1">
      <c r="B61" s="453"/>
      <c r="C61" s="454"/>
      <c r="D61" s="455"/>
      <c r="E61" s="455"/>
      <c r="F61" s="455"/>
      <c r="G61" s="455"/>
      <c r="H61" s="456"/>
      <c r="I61" s="457"/>
      <c r="J61" s="458"/>
      <c r="K61" s="459"/>
      <c r="L61" s="460"/>
      <c r="M61" s="461"/>
      <c r="N61" s="462"/>
    </row>
    <row r="62" spans="2:14" ht="15" customHeight="1">
      <c r="B62" s="453"/>
      <c r="C62" s="454"/>
      <c r="D62" s="455"/>
      <c r="E62" s="455"/>
      <c r="F62" s="455"/>
      <c r="G62" s="455"/>
      <c r="H62" s="456"/>
      <c r="I62" s="457"/>
      <c r="J62" s="458"/>
      <c r="K62" s="459"/>
      <c r="L62" s="460"/>
      <c r="M62" s="461"/>
      <c r="N62" s="462"/>
    </row>
    <row r="63" spans="2:14" ht="15" customHeight="1">
      <c r="B63" s="453"/>
      <c r="C63" s="454"/>
      <c r="D63" s="455"/>
      <c r="E63" s="455"/>
      <c r="F63" s="455"/>
      <c r="G63" s="455"/>
      <c r="H63" s="456"/>
      <c r="I63" s="457"/>
      <c r="J63" s="458"/>
      <c r="K63" s="459"/>
      <c r="L63" s="460"/>
      <c r="M63" s="461"/>
      <c r="N63" s="462"/>
    </row>
    <row r="64" spans="2:14" ht="15" customHeight="1">
      <c r="B64" s="453"/>
      <c r="C64" s="454"/>
      <c r="D64" s="455"/>
      <c r="E64" s="455"/>
      <c r="F64" s="455"/>
      <c r="G64" s="455"/>
      <c r="H64" s="456"/>
      <c r="I64" s="457"/>
      <c r="J64" s="458"/>
      <c r="K64" s="459"/>
      <c r="L64" s="460"/>
      <c r="M64" s="461"/>
      <c r="N64" s="462"/>
    </row>
    <row r="65" spans="2:14" ht="15" customHeight="1">
      <c r="B65" s="453"/>
      <c r="C65" s="454"/>
      <c r="D65" s="455"/>
      <c r="E65" s="455"/>
      <c r="F65" s="455"/>
      <c r="G65" s="455"/>
      <c r="H65" s="456"/>
      <c r="I65" s="457"/>
      <c r="J65" s="458"/>
      <c r="K65" s="459"/>
      <c r="L65" s="460"/>
      <c r="M65" s="461"/>
      <c r="N65" s="462"/>
    </row>
    <row r="66" spans="2:14" ht="15" customHeight="1">
      <c r="B66" s="453"/>
      <c r="C66" s="454"/>
      <c r="D66" s="455"/>
      <c r="E66" s="455"/>
      <c r="F66" s="455"/>
      <c r="G66" s="455"/>
      <c r="H66" s="456"/>
      <c r="I66" s="457"/>
      <c r="J66" s="458"/>
      <c r="K66" s="459"/>
      <c r="L66" s="460"/>
      <c r="M66" s="461"/>
      <c r="N66" s="462"/>
    </row>
    <row r="67" spans="2:14" ht="15" customHeight="1">
      <c r="B67" s="453"/>
      <c r="C67" s="454"/>
      <c r="D67" s="455"/>
      <c r="E67" s="455"/>
      <c r="F67" s="455"/>
      <c r="G67" s="455"/>
      <c r="H67" s="456"/>
      <c r="I67" s="457"/>
      <c r="J67" s="458"/>
      <c r="K67" s="459"/>
      <c r="L67" s="460"/>
      <c r="M67" s="461"/>
      <c r="N67" s="462"/>
    </row>
    <row r="68" spans="2:14" ht="15" customHeight="1">
      <c r="B68" s="453"/>
      <c r="C68" s="454"/>
      <c r="D68" s="455"/>
      <c r="E68" s="455"/>
      <c r="F68" s="455"/>
      <c r="G68" s="455"/>
      <c r="H68" s="456"/>
      <c r="I68" s="457"/>
      <c r="J68" s="458"/>
      <c r="K68" s="459"/>
      <c r="L68" s="460"/>
      <c r="M68" s="461"/>
      <c r="N68" s="462"/>
    </row>
    <row r="69" spans="2:14" ht="15" customHeight="1">
      <c r="B69" s="453"/>
      <c r="C69" s="454"/>
      <c r="D69" s="455"/>
      <c r="E69" s="455"/>
      <c r="F69" s="455"/>
      <c r="G69" s="455"/>
      <c r="H69" s="456"/>
      <c r="I69" s="457"/>
      <c r="J69" s="458"/>
      <c r="K69" s="459"/>
      <c r="L69" s="460"/>
      <c r="M69" s="461"/>
      <c r="N69" s="462"/>
    </row>
    <row r="70" spans="2:14" ht="15" customHeight="1">
      <c r="B70" s="453"/>
      <c r="C70" s="454"/>
      <c r="D70" s="455"/>
      <c r="E70" s="455"/>
      <c r="F70" s="455"/>
      <c r="G70" s="455"/>
      <c r="H70" s="456"/>
      <c r="I70" s="457"/>
      <c r="J70" s="458"/>
      <c r="K70" s="459"/>
      <c r="L70" s="460"/>
      <c r="M70" s="461"/>
      <c r="N70" s="462"/>
    </row>
    <row r="71" spans="2:14" ht="15" customHeight="1">
      <c r="B71" s="453"/>
      <c r="C71" s="454"/>
      <c r="D71" s="455"/>
      <c r="E71" s="455"/>
      <c r="F71" s="455"/>
      <c r="G71" s="455"/>
      <c r="H71" s="456"/>
      <c r="I71" s="457"/>
      <c r="J71" s="458"/>
      <c r="K71" s="459"/>
      <c r="L71" s="460"/>
      <c r="M71" s="461"/>
      <c r="N71" s="462"/>
    </row>
    <row r="72" spans="2:14">
      <c r="B72" s="453"/>
      <c r="C72" s="454"/>
      <c r="D72" s="455"/>
      <c r="E72" s="455"/>
      <c r="F72" s="455"/>
      <c r="G72" s="455"/>
      <c r="H72" s="456"/>
      <c r="I72" s="457"/>
      <c r="J72" s="458"/>
      <c r="K72" s="459"/>
      <c r="L72" s="460"/>
      <c r="M72" s="461"/>
      <c r="N72" s="462"/>
    </row>
    <row r="73" spans="2:14">
      <c r="B73" s="453"/>
      <c r="C73" s="454"/>
      <c r="D73" s="455"/>
      <c r="E73" s="455"/>
      <c r="F73" s="455"/>
      <c r="G73" s="455"/>
      <c r="H73" s="456"/>
      <c r="I73" s="457"/>
      <c r="J73" s="458"/>
      <c r="K73" s="459"/>
      <c r="L73" s="460"/>
      <c r="M73" s="461"/>
      <c r="N73" s="462"/>
    </row>
    <row r="74" spans="2:14">
      <c r="B74" s="453"/>
      <c r="C74" s="454"/>
      <c r="D74" s="455"/>
      <c r="E74" s="455"/>
      <c r="F74" s="455"/>
      <c r="G74" s="455"/>
      <c r="H74" s="456"/>
      <c r="I74" s="457"/>
      <c r="J74" s="458"/>
      <c r="K74" s="459"/>
      <c r="L74" s="460"/>
      <c r="M74" s="461"/>
      <c r="N74" s="462"/>
    </row>
    <row r="75" spans="2:14">
      <c r="B75" s="453"/>
      <c r="C75" s="454"/>
      <c r="D75" s="455"/>
      <c r="E75" s="455"/>
      <c r="F75" s="455"/>
      <c r="G75" s="455"/>
      <c r="H75" s="456"/>
      <c r="I75" s="457"/>
      <c r="J75" s="458"/>
      <c r="K75" s="459"/>
      <c r="L75" s="460"/>
      <c r="M75" s="461"/>
      <c r="N75" s="462"/>
    </row>
    <row r="76" spans="2:14">
      <c r="B76" s="453"/>
      <c r="C76" s="454"/>
      <c r="D76" s="455"/>
      <c r="E76" s="455"/>
      <c r="F76" s="455"/>
      <c r="G76" s="455"/>
      <c r="H76" s="456"/>
      <c r="I76" s="457"/>
      <c r="J76" s="458"/>
      <c r="K76" s="459"/>
      <c r="L76" s="460"/>
      <c r="M76" s="461"/>
      <c r="N76" s="462"/>
    </row>
    <row r="77" spans="2:14">
      <c r="B77" s="453"/>
      <c r="C77" s="454"/>
      <c r="D77" s="455"/>
      <c r="E77" s="455"/>
      <c r="F77" s="455"/>
      <c r="G77" s="455"/>
      <c r="H77" s="456"/>
      <c r="I77" s="457"/>
      <c r="J77" s="458"/>
      <c r="K77" s="459"/>
      <c r="L77" s="460"/>
      <c r="M77" s="461"/>
      <c r="N77" s="462"/>
    </row>
    <row r="78" spans="2:14">
      <c r="B78" s="453"/>
      <c r="C78" s="454"/>
      <c r="D78" s="455"/>
      <c r="E78" s="455"/>
      <c r="F78" s="455"/>
      <c r="G78" s="455"/>
      <c r="H78" s="456"/>
      <c r="I78" s="457"/>
      <c r="J78" s="458"/>
      <c r="K78" s="459"/>
      <c r="L78" s="460"/>
      <c r="M78" s="461"/>
      <c r="N78" s="462"/>
    </row>
    <row r="79" spans="2:14" ht="13.5" thickBot="1">
      <c r="B79" s="463"/>
      <c r="C79" s="464"/>
      <c r="D79" s="465"/>
      <c r="E79" s="465"/>
      <c r="F79" s="465"/>
      <c r="G79" s="465"/>
      <c r="H79" s="466"/>
      <c r="I79" s="467"/>
      <c r="J79" s="468"/>
      <c r="K79" s="469"/>
      <c r="L79" s="470"/>
      <c r="M79" s="471"/>
      <c r="N79" s="472"/>
    </row>
  </sheetData>
  <mergeCells count="80">
    <mergeCell ref="C78:G78"/>
    <mergeCell ref="I78:K78"/>
    <mergeCell ref="L78:N78"/>
    <mergeCell ref="C79:G79"/>
    <mergeCell ref="I79:K79"/>
    <mergeCell ref="L79:N79"/>
    <mergeCell ref="C76:G76"/>
    <mergeCell ref="I76:K76"/>
    <mergeCell ref="L76:N76"/>
    <mergeCell ref="C77:G77"/>
    <mergeCell ref="I77:K77"/>
    <mergeCell ref="L77:N77"/>
    <mergeCell ref="C74:G74"/>
    <mergeCell ref="I74:K74"/>
    <mergeCell ref="L74:N74"/>
    <mergeCell ref="C75:G75"/>
    <mergeCell ref="I75:K75"/>
    <mergeCell ref="L75:N75"/>
    <mergeCell ref="C72:G72"/>
    <mergeCell ref="I72:K72"/>
    <mergeCell ref="L72:N72"/>
    <mergeCell ref="C73:G73"/>
    <mergeCell ref="I73:K73"/>
    <mergeCell ref="L73:N73"/>
    <mergeCell ref="C70:G70"/>
    <mergeCell ref="I70:K70"/>
    <mergeCell ref="L70:N70"/>
    <mergeCell ref="C71:G71"/>
    <mergeCell ref="I71:K71"/>
    <mergeCell ref="L71:N71"/>
    <mergeCell ref="C68:G68"/>
    <mergeCell ref="I68:K68"/>
    <mergeCell ref="L68:N68"/>
    <mergeCell ref="C69:G69"/>
    <mergeCell ref="I69:K69"/>
    <mergeCell ref="L69:N69"/>
    <mergeCell ref="C66:G66"/>
    <mergeCell ref="I66:K66"/>
    <mergeCell ref="L66:N66"/>
    <mergeCell ref="C67:G67"/>
    <mergeCell ref="I67:K67"/>
    <mergeCell ref="L67:N67"/>
    <mergeCell ref="C64:G64"/>
    <mergeCell ref="I64:K64"/>
    <mergeCell ref="L64:N64"/>
    <mergeCell ref="C65:G65"/>
    <mergeCell ref="I65:K65"/>
    <mergeCell ref="L65:N65"/>
    <mergeCell ref="C62:G62"/>
    <mergeCell ref="I62:K62"/>
    <mergeCell ref="L62:N62"/>
    <mergeCell ref="C63:G63"/>
    <mergeCell ref="I63:K63"/>
    <mergeCell ref="L63:N63"/>
    <mergeCell ref="C60:G60"/>
    <mergeCell ref="I60:K60"/>
    <mergeCell ref="L60:N60"/>
    <mergeCell ref="C61:G61"/>
    <mergeCell ref="I61:K61"/>
    <mergeCell ref="L61:N61"/>
    <mergeCell ref="C58:G58"/>
    <mergeCell ref="I58:K58"/>
    <mergeCell ref="L58:N58"/>
    <mergeCell ref="C59:G59"/>
    <mergeCell ref="I59:K59"/>
    <mergeCell ref="L59:N59"/>
    <mergeCell ref="C56:G56"/>
    <mergeCell ref="I56:K56"/>
    <mergeCell ref="L56:N56"/>
    <mergeCell ref="C57:G57"/>
    <mergeCell ref="I57:K57"/>
    <mergeCell ref="L57:N57"/>
    <mergeCell ref="B2:G4"/>
    <mergeCell ref="B53:N53"/>
    <mergeCell ref="C54:G54"/>
    <mergeCell ref="I54:K54"/>
    <mergeCell ref="L54:N54"/>
    <mergeCell ref="C55:G55"/>
    <mergeCell ref="I55:K55"/>
    <mergeCell ref="L55:N55"/>
  </mergeCells>
  <printOptions horizontalCentered="1"/>
  <pageMargins left="0" right="0" top="0.5" bottom="0.5" header="0.5" footer="0.5"/>
  <pageSetup scale="53" orientation="portrait" horizontalDpi="0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61"/>
  <sheetViews>
    <sheetView workbookViewId="0"/>
  </sheetViews>
  <sheetFormatPr defaultRowHeight="12.75"/>
  <cols>
    <col min="1" max="1" width="19.7109375" style="474" customWidth="1"/>
    <col min="2" max="7" width="10.7109375" style="474" customWidth="1"/>
    <col min="8" max="16384" width="9.140625" style="474"/>
  </cols>
  <sheetData>
    <row r="1" spans="1:12" ht="21" customHeight="1">
      <c r="A1" s="625" t="s">
        <v>411</v>
      </c>
      <c r="B1" s="655" t="s">
        <v>450</v>
      </c>
      <c r="C1" s="655"/>
      <c r="D1" s="655"/>
      <c r="E1" s="655"/>
      <c r="F1" s="655"/>
      <c r="G1" s="655"/>
    </row>
    <row r="2" spans="1:12" ht="15" customHeight="1"/>
    <row r="3" spans="1:12" ht="20.25">
      <c r="A3" s="626" t="s">
        <v>412</v>
      </c>
    </row>
    <row r="4" spans="1:12" ht="12" customHeight="1">
      <c r="A4" s="598"/>
      <c r="B4" s="598"/>
      <c r="C4" s="598"/>
      <c r="D4" s="598" t="s">
        <v>464</v>
      </c>
      <c r="E4" s="598"/>
      <c r="F4" s="598"/>
      <c r="G4" s="598"/>
      <c r="H4" s="598"/>
      <c r="I4" s="598"/>
      <c r="J4" s="598"/>
      <c r="K4" s="598"/>
      <c r="L4" s="598"/>
    </row>
    <row r="5" spans="1:12" ht="15.6" customHeight="1">
      <c r="A5" s="627" t="s">
        <v>5</v>
      </c>
      <c r="B5" s="627" t="s">
        <v>413</v>
      </c>
      <c r="C5" s="627" t="s">
        <v>414</v>
      </c>
      <c r="D5" s="627" t="s">
        <v>415</v>
      </c>
      <c r="E5" s="627" t="s">
        <v>416</v>
      </c>
      <c r="F5" s="627" t="s">
        <v>417</v>
      </c>
      <c r="G5" s="627" t="s">
        <v>418</v>
      </c>
      <c r="H5" s="598"/>
      <c r="I5" s="598"/>
      <c r="J5" s="598"/>
      <c r="K5" s="598"/>
      <c r="L5" s="598"/>
    </row>
    <row r="6" spans="1:12" ht="15.6" customHeight="1">
      <c r="A6" s="628" t="s">
        <v>419</v>
      </c>
      <c r="B6" s="628" t="s">
        <v>165</v>
      </c>
      <c r="C6" s="628" t="s">
        <v>165</v>
      </c>
      <c r="D6" s="628" t="s">
        <v>420</v>
      </c>
      <c r="E6" s="628" t="s">
        <v>135</v>
      </c>
      <c r="F6" s="628" t="s">
        <v>421</v>
      </c>
      <c r="G6" s="628" t="s">
        <v>421</v>
      </c>
      <c r="H6" s="598"/>
      <c r="I6" s="598"/>
      <c r="J6" s="598"/>
      <c r="K6" s="598"/>
      <c r="L6" s="598"/>
    </row>
    <row r="7" spans="1:12" ht="15.95" customHeight="1">
      <c r="A7" s="629" t="s">
        <v>451</v>
      </c>
      <c r="B7" s="629" t="s">
        <v>465</v>
      </c>
      <c r="C7" s="629" t="s">
        <v>478</v>
      </c>
      <c r="D7" s="629" t="s">
        <v>490</v>
      </c>
      <c r="E7" s="629" t="s">
        <v>503</v>
      </c>
      <c r="F7" s="629" t="s">
        <v>516</v>
      </c>
      <c r="G7" s="629" t="s">
        <v>528</v>
      </c>
      <c r="H7" s="598"/>
      <c r="I7" s="598"/>
      <c r="J7" s="598"/>
      <c r="K7" s="598"/>
      <c r="L7" s="598"/>
    </row>
    <row r="8" spans="1:12" ht="15.95" customHeight="1">
      <c r="A8" s="629" t="s">
        <v>452</v>
      </c>
      <c r="B8" s="629" t="s">
        <v>466</v>
      </c>
      <c r="C8" s="629" t="s">
        <v>479</v>
      </c>
      <c r="D8" s="629" t="s">
        <v>491</v>
      </c>
      <c r="E8" s="629" t="s">
        <v>504</v>
      </c>
      <c r="F8" s="629" t="s">
        <v>517</v>
      </c>
      <c r="G8" s="629" t="s">
        <v>529</v>
      </c>
      <c r="H8" s="598"/>
      <c r="I8" s="598"/>
      <c r="J8" s="598"/>
      <c r="K8" s="598"/>
      <c r="L8" s="598"/>
    </row>
    <row r="9" spans="1:12" ht="15.95" customHeight="1">
      <c r="A9" s="629" t="s">
        <v>453</v>
      </c>
      <c r="B9" s="629" t="s">
        <v>467</v>
      </c>
      <c r="C9" s="629" t="s">
        <v>480</v>
      </c>
      <c r="D9" s="629" t="s">
        <v>492</v>
      </c>
      <c r="E9" s="629" t="s">
        <v>505</v>
      </c>
      <c r="F9" s="629" t="s">
        <v>518</v>
      </c>
      <c r="G9" s="629" t="s">
        <v>530</v>
      </c>
      <c r="H9" s="598"/>
      <c r="I9" s="598"/>
      <c r="J9" s="598"/>
      <c r="K9" s="598"/>
      <c r="L9" s="598"/>
    </row>
    <row r="10" spans="1:12" ht="15.95" customHeight="1">
      <c r="A10" s="629" t="s">
        <v>454</v>
      </c>
      <c r="B10" s="629" t="s">
        <v>468</v>
      </c>
      <c r="C10" s="629" t="s">
        <v>481</v>
      </c>
      <c r="D10" s="629" t="s">
        <v>493</v>
      </c>
      <c r="E10" s="629" t="s">
        <v>506</v>
      </c>
      <c r="F10" s="629" t="s">
        <v>519</v>
      </c>
      <c r="G10" s="629" t="s">
        <v>531</v>
      </c>
      <c r="H10" s="598"/>
      <c r="I10" s="598"/>
      <c r="J10" s="598"/>
      <c r="K10" s="598"/>
      <c r="L10" s="598"/>
    </row>
    <row r="11" spans="1:12" ht="15.95" customHeight="1">
      <c r="A11" s="629" t="s">
        <v>455</v>
      </c>
      <c r="B11" s="629" t="s">
        <v>469</v>
      </c>
      <c r="C11" s="629" t="s">
        <v>482</v>
      </c>
      <c r="D11" s="629" t="s">
        <v>494</v>
      </c>
      <c r="E11" s="629" t="s">
        <v>507</v>
      </c>
      <c r="F11" s="629" t="s">
        <v>520</v>
      </c>
      <c r="G11" s="629" t="s">
        <v>532</v>
      </c>
      <c r="H11" s="598"/>
      <c r="I11" s="598"/>
      <c r="J11" s="598"/>
      <c r="K11" s="598"/>
      <c r="L11" s="598"/>
    </row>
    <row r="12" spans="1:12" ht="15.95" customHeight="1">
      <c r="A12" s="629" t="s">
        <v>456</v>
      </c>
      <c r="B12" s="629" t="s">
        <v>470</v>
      </c>
      <c r="C12" s="629" t="s">
        <v>483</v>
      </c>
      <c r="D12" s="629" t="s">
        <v>495</v>
      </c>
      <c r="E12" s="629" t="s">
        <v>508</v>
      </c>
      <c r="F12" s="629" t="s">
        <v>521</v>
      </c>
      <c r="G12" s="629" t="s">
        <v>533</v>
      </c>
      <c r="H12" s="598"/>
      <c r="I12" s="598"/>
      <c r="J12" s="598"/>
      <c r="K12" s="598"/>
      <c r="L12" s="598"/>
    </row>
    <row r="13" spans="1:12" ht="15.95" customHeight="1">
      <c r="A13" s="629" t="s">
        <v>457</v>
      </c>
      <c r="B13" s="629" t="s">
        <v>471</v>
      </c>
      <c r="C13" s="629" t="s">
        <v>484</v>
      </c>
      <c r="D13" s="629" t="s">
        <v>496</v>
      </c>
      <c r="E13" s="629" t="s">
        <v>509</v>
      </c>
      <c r="F13" s="629" t="s">
        <v>522</v>
      </c>
      <c r="G13" s="629" t="s">
        <v>534</v>
      </c>
      <c r="H13" s="598"/>
      <c r="I13" s="598"/>
      <c r="J13" s="598"/>
      <c r="K13" s="598"/>
      <c r="L13" s="598"/>
    </row>
    <row r="14" spans="1:12" ht="15.95" customHeight="1">
      <c r="A14" s="629" t="s">
        <v>458</v>
      </c>
      <c r="B14" s="629" t="s">
        <v>472</v>
      </c>
      <c r="C14" s="629" t="s">
        <v>485</v>
      </c>
      <c r="D14" s="629" t="s">
        <v>497</v>
      </c>
      <c r="E14" s="629" t="s">
        <v>510</v>
      </c>
      <c r="F14" s="629" t="s">
        <v>523</v>
      </c>
      <c r="G14" s="629" t="s">
        <v>535</v>
      </c>
      <c r="H14" s="598"/>
      <c r="I14" s="598"/>
      <c r="J14" s="598"/>
      <c r="K14" s="598"/>
      <c r="L14" s="598"/>
    </row>
    <row r="15" spans="1:12" ht="15.95" customHeight="1">
      <c r="A15" s="629" t="s">
        <v>459</v>
      </c>
      <c r="B15" s="629" t="s">
        <v>473</v>
      </c>
      <c r="C15" s="629" t="s">
        <v>486</v>
      </c>
      <c r="D15" s="629" t="s">
        <v>498</v>
      </c>
      <c r="E15" s="629" t="s">
        <v>511</v>
      </c>
      <c r="F15" s="629" t="s">
        <v>524</v>
      </c>
      <c r="G15" s="629" t="s">
        <v>536</v>
      </c>
      <c r="H15" s="598"/>
      <c r="I15" s="598"/>
      <c r="J15" s="598"/>
      <c r="K15" s="598"/>
      <c r="L15" s="598"/>
    </row>
    <row r="16" spans="1:12" ht="15.95" customHeight="1">
      <c r="A16" s="629" t="s">
        <v>460</v>
      </c>
      <c r="B16" s="629" t="s">
        <v>474</v>
      </c>
      <c r="C16" s="629" t="s">
        <v>487</v>
      </c>
      <c r="D16" s="629" t="s">
        <v>499</v>
      </c>
      <c r="E16" s="629" t="s">
        <v>512</v>
      </c>
      <c r="F16" s="629" t="s">
        <v>487</v>
      </c>
      <c r="G16" s="629" t="s">
        <v>537</v>
      </c>
      <c r="H16" s="598"/>
      <c r="I16" s="598"/>
      <c r="J16" s="598"/>
      <c r="K16" s="598"/>
      <c r="L16" s="598"/>
    </row>
    <row r="17" spans="1:12" ht="15.95" customHeight="1">
      <c r="A17" s="629" t="s">
        <v>461</v>
      </c>
      <c r="B17" s="629" t="s">
        <v>475</v>
      </c>
      <c r="C17" s="629" t="s">
        <v>488</v>
      </c>
      <c r="D17" s="629" t="s">
        <v>500</v>
      </c>
      <c r="E17" s="629" t="s">
        <v>513</v>
      </c>
      <c r="F17" s="629" t="s">
        <v>525</v>
      </c>
      <c r="G17" s="629" t="s">
        <v>538</v>
      </c>
      <c r="H17" s="598"/>
      <c r="I17" s="598"/>
      <c r="J17" s="598"/>
      <c r="K17" s="598"/>
      <c r="L17" s="598"/>
    </row>
    <row r="18" spans="1:12" ht="15.95" customHeight="1">
      <c r="A18" s="629" t="s">
        <v>462</v>
      </c>
      <c r="B18" s="629" t="s">
        <v>476</v>
      </c>
      <c r="C18" s="629" t="s">
        <v>470</v>
      </c>
      <c r="D18" s="629" t="s">
        <v>501</v>
      </c>
      <c r="E18" s="629" t="s">
        <v>514</v>
      </c>
      <c r="F18" s="629" t="s">
        <v>526</v>
      </c>
      <c r="G18" s="629" t="s">
        <v>539</v>
      </c>
      <c r="H18" s="598"/>
      <c r="I18" s="598"/>
      <c r="J18" s="598"/>
      <c r="K18" s="598"/>
      <c r="L18" s="598"/>
    </row>
    <row r="19" spans="1:12" ht="15.95" customHeight="1">
      <c r="A19" s="629" t="s">
        <v>463</v>
      </c>
      <c r="B19" s="629" t="s">
        <v>477</v>
      </c>
      <c r="C19" s="629" t="s">
        <v>489</v>
      </c>
      <c r="D19" s="629" t="s">
        <v>502</v>
      </c>
      <c r="E19" s="629" t="s">
        <v>515</v>
      </c>
      <c r="F19" s="629" t="s">
        <v>527</v>
      </c>
      <c r="G19" s="629" t="s">
        <v>540</v>
      </c>
      <c r="H19" s="598"/>
      <c r="I19" s="598"/>
      <c r="J19" s="598"/>
      <c r="K19" s="598"/>
      <c r="L19" s="598"/>
    </row>
    <row r="20" spans="1:12" ht="15.75">
      <c r="A20" s="598"/>
      <c r="B20" s="598"/>
      <c r="C20" s="598"/>
      <c r="D20" s="598"/>
      <c r="E20" s="598"/>
      <c r="F20" s="598"/>
      <c r="G20" s="598"/>
      <c r="H20" s="598"/>
      <c r="I20" s="598"/>
      <c r="J20" s="598"/>
      <c r="K20" s="598"/>
      <c r="L20" s="598"/>
    </row>
    <row r="21" spans="1:12" ht="15.75">
      <c r="A21" s="598"/>
      <c r="B21" s="598"/>
      <c r="C21" s="598"/>
      <c r="D21" s="656" t="s">
        <v>550</v>
      </c>
      <c r="E21" s="657"/>
      <c r="F21" s="657"/>
      <c r="G21" s="658"/>
      <c r="H21" s="598"/>
      <c r="I21" s="598"/>
      <c r="J21" s="598"/>
      <c r="K21" s="598"/>
      <c r="L21" s="598"/>
    </row>
    <row r="22" spans="1:12" ht="17.25" customHeight="1">
      <c r="A22" s="598"/>
      <c r="B22" s="659" t="s">
        <v>422</v>
      </c>
      <c r="C22" s="659"/>
      <c r="D22" s="659" t="s">
        <v>423</v>
      </c>
      <c r="E22" s="659"/>
      <c r="F22" s="659" t="s">
        <v>424</v>
      </c>
      <c r="G22" s="659"/>
      <c r="H22" s="598"/>
      <c r="I22" s="598"/>
      <c r="J22" s="598"/>
      <c r="K22" s="598"/>
      <c r="L22" s="598"/>
    </row>
    <row r="23" spans="1:12" ht="15.75">
      <c r="A23" s="631" t="s">
        <v>425</v>
      </c>
      <c r="B23" s="660" t="s">
        <v>541</v>
      </c>
      <c r="C23" s="660"/>
      <c r="D23" s="660" t="s">
        <v>544</v>
      </c>
      <c r="E23" s="660"/>
      <c r="F23" s="660" t="s">
        <v>547</v>
      </c>
      <c r="G23" s="660"/>
      <c r="H23" s="598"/>
      <c r="I23" s="598"/>
      <c r="J23" s="598"/>
      <c r="K23" s="598"/>
      <c r="L23" s="598"/>
    </row>
    <row r="24" spans="1:12" ht="18" customHeight="1">
      <c r="A24" s="631" t="s">
        <v>426</v>
      </c>
      <c r="B24" s="660" t="s">
        <v>542</v>
      </c>
      <c r="C24" s="660"/>
      <c r="D24" s="660" t="s">
        <v>545</v>
      </c>
      <c r="E24" s="660"/>
      <c r="F24" s="660" t="s">
        <v>548</v>
      </c>
      <c r="G24" s="660"/>
      <c r="H24" s="598"/>
      <c r="I24" s="598"/>
      <c r="J24" s="598"/>
      <c r="K24" s="598"/>
      <c r="L24" s="598"/>
    </row>
    <row r="25" spans="1:12" ht="15.75">
      <c r="A25" s="631" t="s">
        <v>427</v>
      </c>
      <c r="B25" s="660" t="s">
        <v>543</v>
      </c>
      <c r="C25" s="660"/>
      <c r="D25" s="660" t="s">
        <v>546</v>
      </c>
      <c r="E25" s="660"/>
      <c r="F25" s="660" t="s">
        <v>549</v>
      </c>
      <c r="G25" s="660"/>
      <c r="H25" s="598"/>
      <c r="I25" s="598"/>
      <c r="J25" s="598"/>
      <c r="K25" s="598"/>
      <c r="L25" s="598"/>
    </row>
    <row r="26" spans="1:12" ht="15.75">
      <c r="A26" s="598"/>
      <c r="B26" s="598"/>
      <c r="C26" s="598"/>
      <c r="D26" s="598"/>
      <c r="E26" s="598"/>
      <c r="F26" s="598"/>
      <c r="G26" s="598"/>
      <c r="H26" s="598"/>
      <c r="I26" s="598"/>
      <c r="J26" s="598"/>
      <c r="K26" s="598"/>
      <c r="L26" s="598"/>
    </row>
    <row r="27" spans="1:12" ht="20.25">
      <c r="A27" s="626" t="s">
        <v>428</v>
      </c>
      <c r="B27" s="598"/>
      <c r="C27" s="598"/>
      <c r="D27" s="598"/>
      <c r="E27" s="598"/>
      <c r="F27" s="598"/>
      <c r="G27" s="598"/>
      <c r="H27" s="598"/>
      <c r="I27" s="598"/>
      <c r="J27" s="598"/>
      <c r="K27" s="598"/>
      <c r="L27" s="598"/>
    </row>
    <row r="28" spans="1:12" ht="15.75">
      <c r="A28" s="598"/>
      <c r="B28" s="598"/>
      <c r="C28" s="598"/>
      <c r="D28" s="598"/>
      <c r="E28" s="661" t="s">
        <v>429</v>
      </c>
      <c r="F28" s="657"/>
      <c r="G28" s="658"/>
      <c r="H28" s="598"/>
      <c r="I28" s="598"/>
      <c r="J28" s="598"/>
      <c r="K28" s="598"/>
      <c r="L28" s="598"/>
    </row>
    <row r="29" spans="1:12" ht="15.75">
      <c r="A29" s="598"/>
      <c r="B29" s="659" t="s">
        <v>430</v>
      </c>
      <c r="C29" s="659"/>
      <c r="D29" s="630" t="s">
        <v>431</v>
      </c>
      <c r="E29" s="630" t="s">
        <v>432</v>
      </c>
      <c r="F29" s="659" t="s">
        <v>433</v>
      </c>
      <c r="G29" s="659"/>
      <c r="H29" s="598"/>
      <c r="I29" s="598"/>
      <c r="J29" s="598"/>
      <c r="K29" s="598"/>
      <c r="L29" s="598"/>
    </row>
    <row r="30" spans="1:12" ht="15.75">
      <c r="A30" s="631" t="s">
        <v>434</v>
      </c>
      <c r="B30" s="660" t="s">
        <v>551</v>
      </c>
      <c r="C30" s="660"/>
      <c r="D30" s="629" t="s">
        <v>554</v>
      </c>
      <c r="E30" s="629" t="s">
        <v>435</v>
      </c>
      <c r="F30" s="660" t="s">
        <v>557</v>
      </c>
      <c r="G30" s="660"/>
      <c r="H30" s="598"/>
      <c r="I30" s="598"/>
      <c r="J30" s="598"/>
      <c r="K30" s="598"/>
      <c r="L30" s="598"/>
    </row>
    <row r="31" spans="1:12" ht="15.75">
      <c r="A31" s="631" t="s">
        <v>436</v>
      </c>
      <c r="B31" s="660" t="s">
        <v>552</v>
      </c>
      <c r="C31" s="660"/>
      <c r="D31" s="629" t="s">
        <v>555</v>
      </c>
      <c r="E31" s="629" t="s">
        <v>437</v>
      </c>
      <c r="F31" s="660" t="s">
        <v>558</v>
      </c>
      <c r="G31" s="660"/>
      <c r="H31" s="598"/>
      <c r="I31" s="598"/>
      <c r="J31" s="598"/>
      <c r="K31" s="598"/>
      <c r="L31" s="598"/>
    </row>
    <row r="32" spans="1:12" ht="15.75">
      <c r="A32" s="631" t="s">
        <v>438</v>
      </c>
      <c r="B32" s="660" t="s">
        <v>553</v>
      </c>
      <c r="C32" s="660"/>
      <c r="D32" s="629" t="s">
        <v>556</v>
      </c>
      <c r="E32" s="629" t="s">
        <v>439</v>
      </c>
      <c r="F32" s="660" t="s">
        <v>559</v>
      </c>
      <c r="G32" s="660"/>
      <c r="H32" s="598"/>
      <c r="I32" s="598"/>
      <c r="J32" s="598"/>
      <c r="K32" s="598"/>
      <c r="L32" s="598"/>
    </row>
    <row r="33" spans="1:12" ht="15.75">
      <c r="A33" s="598"/>
      <c r="B33" s="598"/>
      <c r="C33" s="598"/>
      <c r="D33" s="598"/>
      <c r="E33" s="598"/>
      <c r="F33" s="598"/>
      <c r="G33" s="598"/>
      <c r="H33" s="598"/>
      <c r="I33" s="598"/>
      <c r="J33" s="598"/>
      <c r="K33" s="598"/>
      <c r="L33" s="598"/>
    </row>
    <row r="34" spans="1:12" ht="15.75">
      <c r="A34" s="598"/>
      <c r="B34" s="598"/>
      <c r="C34" s="598"/>
      <c r="D34" s="598"/>
      <c r="E34" s="661" t="s">
        <v>440</v>
      </c>
      <c r="F34" s="657"/>
      <c r="G34" s="658"/>
      <c r="H34" s="598"/>
      <c r="I34" s="598"/>
      <c r="J34" s="598"/>
      <c r="K34" s="598"/>
      <c r="L34" s="598"/>
    </row>
    <row r="35" spans="1:12" ht="15.75">
      <c r="A35" s="598"/>
      <c r="B35" s="659" t="s">
        <v>441</v>
      </c>
      <c r="C35" s="659"/>
      <c r="D35" s="630" t="s">
        <v>432</v>
      </c>
      <c r="E35" s="630" t="s">
        <v>442</v>
      </c>
      <c r="F35" s="630" t="s">
        <v>100</v>
      </c>
      <c r="G35" s="630" t="s">
        <v>443</v>
      </c>
      <c r="H35" s="598"/>
      <c r="I35" s="598"/>
      <c r="J35" s="598"/>
      <c r="K35" s="598"/>
      <c r="L35" s="598"/>
    </row>
    <row r="36" spans="1:12" ht="15.75">
      <c r="A36" s="631" t="s">
        <v>434</v>
      </c>
      <c r="B36" s="662" t="s">
        <v>560</v>
      </c>
      <c r="C36" s="663"/>
      <c r="D36" s="632" t="s">
        <v>562</v>
      </c>
      <c r="E36" s="632" t="s">
        <v>444</v>
      </c>
      <c r="F36" s="633" t="s">
        <v>445</v>
      </c>
      <c r="G36" s="629" t="s">
        <v>565</v>
      </c>
      <c r="H36" s="598"/>
      <c r="I36" s="598"/>
      <c r="J36" s="598"/>
      <c r="K36" s="598"/>
      <c r="L36" s="598"/>
    </row>
    <row r="37" spans="1:12" ht="15.75">
      <c r="A37" s="631" t="s">
        <v>436</v>
      </c>
      <c r="B37" s="662" t="s">
        <v>561</v>
      </c>
      <c r="C37" s="663"/>
      <c r="D37" s="632" t="s">
        <v>563</v>
      </c>
      <c r="E37" s="632" t="s">
        <v>444</v>
      </c>
      <c r="F37" s="633" t="s">
        <v>446</v>
      </c>
      <c r="G37" s="634" t="s">
        <v>566</v>
      </c>
      <c r="H37" s="598"/>
      <c r="I37" s="598"/>
      <c r="J37" s="598"/>
      <c r="K37" s="598"/>
      <c r="L37" s="598"/>
    </row>
    <row r="38" spans="1:12" ht="15.75">
      <c r="A38" s="631" t="s">
        <v>438</v>
      </c>
      <c r="B38" s="662" t="s">
        <v>561</v>
      </c>
      <c r="C38" s="663"/>
      <c r="D38" s="632" t="s">
        <v>564</v>
      </c>
      <c r="E38" s="632" t="s">
        <v>444</v>
      </c>
      <c r="F38" s="633" t="s">
        <v>447</v>
      </c>
      <c r="G38" s="629" t="s">
        <v>567</v>
      </c>
      <c r="H38" s="598"/>
      <c r="I38" s="598"/>
      <c r="J38" s="598"/>
      <c r="K38" s="598"/>
      <c r="L38" s="598"/>
    </row>
    <row r="39" spans="1:12" ht="15.75">
      <c r="A39" s="598"/>
      <c r="B39" s="598"/>
      <c r="C39" s="598"/>
      <c r="D39" s="598"/>
      <c r="E39" s="598"/>
      <c r="F39" s="598"/>
      <c r="G39" s="598"/>
      <c r="H39" s="598"/>
      <c r="I39" s="598"/>
      <c r="J39" s="598"/>
      <c r="K39" s="598"/>
      <c r="L39" s="598"/>
    </row>
    <row r="40" spans="1:12" ht="15.75">
      <c r="A40" s="635" t="s">
        <v>448</v>
      </c>
      <c r="B40" s="664" t="s">
        <v>568</v>
      </c>
      <c r="C40" s="664"/>
      <c r="D40" s="665" t="s">
        <v>449</v>
      </c>
      <c r="E40" s="665"/>
      <c r="F40" s="664" t="s">
        <v>569</v>
      </c>
      <c r="G40" s="664"/>
      <c r="H40" s="598"/>
      <c r="I40" s="598"/>
      <c r="J40" s="598"/>
      <c r="K40" s="598"/>
      <c r="L40" s="598"/>
    </row>
    <row r="41" spans="1:12" ht="15.75">
      <c r="A41" s="598"/>
      <c r="B41" s="598"/>
      <c r="C41" s="598"/>
      <c r="D41" s="598"/>
      <c r="E41" s="598"/>
      <c r="F41" s="598"/>
      <c r="G41" s="598"/>
      <c r="H41" s="598"/>
      <c r="I41" s="598"/>
      <c r="J41" s="598"/>
      <c r="K41" s="598"/>
      <c r="L41" s="598"/>
    </row>
    <row r="42" spans="1:12" ht="15.75">
      <c r="A42" s="598"/>
      <c r="B42" s="598"/>
      <c r="C42" s="598"/>
      <c r="D42" s="598"/>
      <c r="E42" s="598"/>
      <c r="F42" s="598"/>
      <c r="G42" s="598"/>
      <c r="H42" s="598"/>
      <c r="I42" s="598"/>
      <c r="J42" s="598"/>
      <c r="K42" s="598"/>
      <c r="L42" s="598"/>
    </row>
    <row r="43" spans="1:12" ht="15.75">
      <c r="A43" s="598"/>
      <c r="B43" s="598"/>
      <c r="C43" s="598"/>
      <c r="D43" s="598"/>
      <c r="E43" s="598"/>
      <c r="F43" s="598"/>
      <c r="G43" s="598"/>
      <c r="H43" s="598"/>
      <c r="I43" s="598"/>
      <c r="J43" s="598"/>
      <c r="K43" s="598"/>
      <c r="L43" s="598"/>
    </row>
    <row r="44" spans="1:12" ht="15.75">
      <c r="A44" s="598"/>
      <c r="B44" s="598"/>
      <c r="C44" s="598"/>
      <c r="D44" s="598"/>
      <c r="E44" s="598"/>
      <c r="F44" s="598"/>
      <c r="G44" s="598"/>
      <c r="H44" s="598"/>
      <c r="I44" s="598"/>
      <c r="J44" s="598"/>
      <c r="K44" s="598"/>
      <c r="L44" s="598"/>
    </row>
    <row r="45" spans="1:12" ht="15.75">
      <c r="A45" s="598"/>
      <c r="B45" s="598"/>
      <c r="C45" s="598"/>
      <c r="D45" s="598"/>
      <c r="E45" s="598"/>
      <c r="F45" s="598"/>
      <c r="G45" s="598"/>
      <c r="H45" s="598"/>
      <c r="I45" s="598"/>
      <c r="J45" s="598"/>
      <c r="K45" s="598"/>
      <c r="L45" s="598"/>
    </row>
    <row r="46" spans="1:12" ht="15.75">
      <c r="A46" s="598"/>
      <c r="B46" s="598"/>
      <c r="C46" s="598"/>
      <c r="D46" s="598"/>
      <c r="E46" s="598"/>
      <c r="F46" s="598"/>
      <c r="G46" s="598"/>
      <c r="H46" s="598"/>
      <c r="I46" s="598"/>
      <c r="J46" s="598"/>
      <c r="K46" s="598"/>
      <c r="L46" s="598"/>
    </row>
    <row r="47" spans="1:12" ht="15.75">
      <c r="A47" s="598"/>
      <c r="B47" s="598"/>
      <c r="C47" s="598"/>
      <c r="D47" s="598"/>
      <c r="E47" s="598"/>
      <c r="F47" s="598"/>
      <c r="G47" s="598"/>
      <c r="H47" s="598"/>
      <c r="I47" s="598"/>
      <c r="J47" s="598"/>
      <c r="K47" s="598"/>
      <c r="L47" s="598"/>
    </row>
    <row r="48" spans="1:12" ht="15.75">
      <c r="A48" s="598"/>
      <c r="B48" s="598"/>
      <c r="C48" s="598"/>
      <c r="D48" s="598"/>
      <c r="E48" s="598"/>
      <c r="F48" s="598"/>
      <c r="G48" s="598"/>
      <c r="H48" s="598"/>
      <c r="I48" s="598"/>
      <c r="J48" s="598"/>
      <c r="K48" s="598"/>
      <c r="L48" s="598"/>
    </row>
    <row r="49" spans="1:12" ht="15.75">
      <c r="A49" s="598"/>
      <c r="B49" s="598"/>
      <c r="C49" s="598"/>
      <c r="D49" s="598"/>
      <c r="E49" s="598"/>
      <c r="F49" s="598"/>
      <c r="G49" s="598"/>
      <c r="H49" s="598"/>
      <c r="I49" s="598"/>
      <c r="J49" s="598"/>
      <c r="K49" s="598"/>
      <c r="L49" s="598"/>
    </row>
    <row r="50" spans="1:12" ht="15.75">
      <c r="A50" s="598"/>
      <c r="B50" s="598"/>
      <c r="C50" s="598"/>
      <c r="D50" s="598"/>
      <c r="E50" s="598"/>
      <c r="F50" s="598"/>
      <c r="G50" s="598"/>
      <c r="H50" s="598"/>
      <c r="I50" s="598"/>
      <c r="J50" s="598"/>
      <c r="K50" s="598"/>
      <c r="L50" s="598"/>
    </row>
    <row r="51" spans="1:12" ht="15.75">
      <c r="A51" s="598"/>
      <c r="B51" s="598"/>
      <c r="C51" s="598"/>
      <c r="D51" s="598"/>
      <c r="E51" s="598"/>
      <c r="F51" s="598"/>
      <c r="G51" s="598"/>
      <c r="H51" s="598"/>
      <c r="I51" s="598"/>
      <c r="J51" s="598"/>
      <c r="K51" s="598"/>
      <c r="L51" s="598"/>
    </row>
    <row r="52" spans="1:12" ht="15.75">
      <c r="A52" s="598"/>
      <c r="B52" s="598"/>
      <c r="C52" s="598"/>
      <c r="D52" s="598"/>
      <c r="E52" s="598"/>
      <c r="F52" s="598"/>
      <c r="G52" s="598"/>
      <c r="H52" s="598"/>
      <c r="I52" s="598"/>
      <c r="J52" s="598"/>
      <c r="K52" s="598"/>
      <c r="L52" s="598"/>
    </row>
    <row r="53" spans="1:12" ht="15.75">
      <c r="A53" s="598"/>
      <c r="B53" s="598"/>
      <c r="C53" s="598"/>
      <c r="D53" s="598"/>
      <c r="E53" s="598"/>
      <c r="F53" s="598"/>
      <c r="G53" s="598"/>
      <c r="H53" s="598"/>
      <c r="I53" s="598"/>
      <c r="J53" s="598"/>
      <c r="K53" s="598"/>
      <c r="L53" s="598"/>
    </row>
    <row r="54" spans="1:12" ht="15.75">
      <c r="A54" s="598"/>
      <c r="B54" s="598"/>
      <c r="C54" s="598"/>
      <c r="D54" s="598"/>
      <c r="E54" s="598"/>
      <c r="F54" s="598"/>
      <c r="G54" s="598"/>
      <c r="H54" s="598"/>
      <c r="I54" s="598"/>
      <c r="J54" s="598"/>
      <c r="K54" s="598"/>
      <c r="L54" s="598"/>
    </row>
    <row r="55" spans="1:12" ht="15.75">
      <c r="A55" s="598"/>
      <c r="B55" s="598"/>
      <c r="C55" s="598"/>
      <c r="D55" s="598"/>
      <c r="E55" s="598"/>
      <c r="F55" s="598"/>
      <c r="G55" s="598"/>
      <c r="H55" s="598"/>
      <c r="I55" s="598"/>
      <c r="J55" s="598"/>
      <c r="K55" s="598"/>
      <c r="L55" s="598"/>
    </row>
    <row r="56" spans="1:12" ht="15.75">
      <c r="A56" s="598"/>
      <c r="B56" s="598"/>
      <c r="C56" s="598"/>
      <c r="D56" s="598"/>
      <c r="E56" s="598"/>
      <c r="F56" s="598"/>
      <c r="G56" s="598"/>
      <c r="H56" s="598"/>
      <c r="I56" s="598"/>
      <c r="J56" s="598"/>
      <c r="K56" s="598"/>
      <c r="L56" s="598"/>
    </row>
    <row r="57" spans="1:12" ht="15.75">
      <c r="A57" s="598"/>
      <c r="B57" s="598"/>
      <c r="C57" s="598"/>
      <c r="D57" s="598"/>
      <c r="E57" s="598"/>
      <c r="F57" s="598"/>
      <c r="G57" s="598"/>
      <c r="H57" s="598"/>
      <c r="I57" s="598"/>
      <c r="J57" s="598"/>
      <c r="K57" s="598"/>
      <c r="L57" s="598"/>
    </row>
    <row r="58" spans="1:12" ht="15.75">
      <c r="A58" s="598"/>
      <c r="B58" s="598"/>
      <c r="C58" s="598"/>
      <c r="D58" s="598"/>
      <c r="E58" s="598"/>
      <c r="F58" s="598"/>
      <c r="G58" s="598"/>
      <c r="H58" s="598"/>
      <c r="I58" s="598"/>
      <c r="J58" s="598"/>
      <c r="K58" s="598"/>
      <c r="L58" s="598"/>
    </row>
    <row r="59" spans="1:12" ht="15.75">
      <c r="A59" s="598"/>
      <c r="B59" s="598"/>
      <c r="C59" s="598"/>
      <c r="D59" s="598"/>
      <c r="E59" s="598"/>
      <c r="F59" s="598"/>
      <c r="G59" s="598"/>
      <c r="H59" s="598"/>
      <c r="I59" s="598"/>
      <c r="J59" s="598"/>
      <c r="K59" s="598"/>
      <c r="L59" s="598"/>
    </row>
    <row r="60" spans="1:12" ht="15.75">
      <c r="A60" s="598"/>
      <c r="B60" s="598"/>
      <c r="C60" s="598"/>
      <c r="D60" s="598"/>
      <c r="E60" s="598"/>
      <c r="F60" s="598"/>
      <c r="G60" s="598"/>
      <c r="H60" s="598"/>
      <c r="I60" s="598"/>
      <c r="J60" s="598"/>
      <c r="K60" s="598"/>
      <c r="L60" s="598"/>
    </row>
    <row r="61" spans="1:12" ht="15.75">
      <c r="A61" s="598"/>
      <c r="B61" s="598"/>
      <c r="C61" s="598"/>
      <c r="D61" s="598"/>
      <c r="E61" s="598"/>
      <c r="F61" s="598"/>
      <c r="G61" s="598"/>
      <c r="H61" s="598"/>
      <c r="I61" s="598"/>
      <c r="J61" s="598"/>
      <c r="K61" s="598"/>
      <c r="L61" s="598"/>
    </row>
  </sheetData>
  <mergeCells count="31">
    <mergeCell ref="B38:C38"/>
    <mergeCell ref="B40:C40"/>
    <mergeCell ref="D40:E40"/>
    <mergeCell ref="F40:G40"/>
    <mergeCell ref="B32:C32"/>
    <mergeCell ref="F32:G32"/>
    <mergeCell ref="E34:G34"/>
    <mergeCell ref="B35:C35"/>
    <mergeCell ref="B36:C36"/>
    <mergeCell ref="B37:C37"/>
    <mergeCell ref="E28:G28"/>
    <mergeCell ref="B29:C29"/>
    <mergeCell ref="F29:G29"/>
    <mergeCell ref="B30:C30"/>
    <mergeCell ref="F30:G30"/>
    <mergeCell ref="B31:C31"/>
    <mergeCell ref="F31:G31"/>
    <mergeCell ref="B24:C24"/>
    <mergeCell ref="D24:E24"/>
    <mergeCell ref="F24:G24"/>
    <mergeCell ref="B25:C25"/>
    <mergeCell ref="D25:E25"/>
    <mergeCell ref="F25:G25"/>
    <mergeCell ref="B1:G1"/>
    <mergeCell ref="D21:G21"/>
    <mergeCell ref="B22:C22"/>
    <mergeCell ref="D22:E22"/>
    <mergeCell ref="F22:G22"/>
    <mergeCell ref="B23:C23"/>
    <mergeCell ref="D23:E23"/>
    <mergeCell ref="F23:G23"/>
  </mergeCells>
  <printOptions horizontalCentered="1"/>
  <pageMargins left="0.75" right="0.75" top="1" bottom="1" header="0.5" footer="0.5"/>
  <pageSetup scale="98" orientation="portrait" horizontalDpi="0" verticalDpi="300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1" transitionEvaluation="1"/>
  <dimension ref="A1:N120"/>
  <sheetViews>
    <sheetView showGridLines="0" tabSelected="1" zoomScaleNormal="100" workbookViewId="0">
      <selection activeCell="C11" sqref="C11"/>
    </sheetView>
  </sheetViews>
  <sheetFormatPr defaultColWidth="12.5703125" defaultRowHeight="15.75"/>
  <cols>
    <col min="1" max="13" width="7" style="494" customWidth="1"/>
    <col min="14" max="14" width="7.140625" style="494" customWidth="1"/>
    <col min="15" max="16384" width="12.5703125" style="494"/>
  </cols>
  <sheetData>
    <row r="1" spans="1:14" ht="17.100000000000001" customHeight="1">
      <c r="A1" s="487" t="s">
        <v>272</v>
      </c>
      <c r="B1" s="488"/>
      <c r="C1" s="488"/>
      <c r="D1" s="488"/>
      <c r="E1" s="488"/>
      <c r="F1" s="488"/>
      <c r="G1" s="488"/>
      <c r="H1" s="488"/>
      <c r="I1" s="488"/>
      <c r="J1" s="489" t="s">
        <v>602</v>
      </c>
      <c r="K1" s="490"/>
      <c r="L1" s="491" t="s">
        <v>603</v>
      </c>
      <c r="M1" s="492"/>
      <c r="N1" s="493"/>
    </row>
    <row r="2" spans="1:14" ht="17.100000000000001" customHeight="1">
      <c r="A2" s="495" t="s">
        <v>604</v>
      </c>
      <c r="B2" s="496"/>
      <c r="C2" s="496"/>
      <c r="D2" s="496"/>
      <c r="E2" s="496"/>
      <c r="F2" s="496"/>
      <c r="G2" s="496"/>
      <c r="H2" s="496"/>
      <c r="I2" s="496"/>
      <c r="J2" s="497" t="s">
        <v>605</v>
      </c>
      <c r="K2" s="498"/>
      <c r="L2" s="499" t="s">
        <v>606</v>
      </c>
      <c r="M2" s="500"/>
      <c r="N2" s="493"/>
    </row>
    <row r="3" spans="1:14" ht="15.95" customHeight="1">
      <c r="A3" s="501"/>
      <c r="B3" s="502"/>
      <c r="C3" s="502"/>
      <c r="D3" s="502"/>
      <c r="E3" s="502"/>
      <c r="F3" s="502"/>
      <c r="G3" s="502"/>
      <c r="H3" s="502"/>
      <c r="I3" s="502"/>
      <c r="J3" s="497" t="s">
        <v>607</v>
      </c>
      <c r="K3" s="498"/>
      <c r="L3" s="503" t="s">
        <v>608</v>
      </c>
      <c r="M3" s="500"/>
      <c r="N3" s="493"/>
    </row>
    <row r="4" spans="1:14" ht="15.95" customHeight="1">
      <c r="A4" s="504"/>
      <c r="B4" s="502"/>
      <c r="C4" s="502"/>
      <c r="D4" s="502"/>
      <c r="E4" s="502"/>
      <c r="F4" s="502"/>
      <c r="G4" s="502"/>
      <c r="H4" s="502"/>
      <c r="I4" s="502"/>
      <c r="J4" s="497" t="s">
        <v>609</v>
      </c>
      <c r="K4" s="498"/>
      <c r="L4" s="505" t="s">
        <v>610</v>
      </c>
      <c r="M4" s="500"/>
      <c r="N4" s="493"/>
    </row>
    <row r="5" spans="1:14" ht="15.95" customHeight="1">
      <c r="A5" s="501"/>
      <c r="B5" s="502"/>
      <c r="C5" s="502"/>
      <c r="D5" s="502"/>
      <c r="E5" s="502"/>
      <c r="F5" s="502"/>
      <c r="G5" s="502"/>
      <c r="H5" s="502"/>
      <c r="I5" s="502"/>
      <c r="J5" s="497" t="s">
        <v>611</v>
      </c>
      <c r="K5" s="498"/>
      <c r="L5" s="499">
        <v>2</v>
      </c>
      <c r="M5" s="500"/>
      <c r="N5" s="493"/>
    </row>
    <row r="6" spans="1:14" ht="15.95" customHeight="1">
      <c r="A6" s="506" t="s">
        <v>612</v>
      </c>
      <c r="B6" s="502"/>
      <c r="C6" s="502"/>
      <c r="D6" s="502"/>
      <c r="E6" s="502"/>
      <c r="F6" s="502"/>
      <c r="G6" s="502"/>
      <c r="H6" s="502"/>
      <c r="I6" s="502"/>
      <c r="J6" s="497" t="s">
        <v>613</v>
      </c>
      <c r="K6" s="498"/>
      <c r="L6" s="507" t="s">
        <v>614</v>
      </c>
      <c r="M6" s="500"/>
      <c r="N6" s="493"/>
    </row>
    <row r="7" spans="1:14" ht="15.95" customHeight="1" thickBot="1">
      <c r="A7" s="508" t="s">
        <v>615</v>
      </c>
      <c r="B7" s="509"/>
      <c r="C7" s="509"/>
      <c r="D7" s="509"/>
      <c r="E7" s="509"/>
      <c r="F7" s="509"/>
      <c r="G7" s="509"/>
      <c r="H7" s="509"/>
      <c r="I7" s="509"/>
      <c r="J7" s="510" t="s">
        <v>616</v>
      </c>
      <c r="K7" s="511"/>
      <c r="L7" s="512" t="s">
        <v>617</v>
      </c>
      <c r="M7" s="513"/>
      <c r="N7" s="493"/>
    </row>
    <row r="8" spans="1:14" ht="15.95" customHeight="1">
      <c r="A8" s="514"/>
      <c r="B8" s="502"/>
      <c r="C8" s="502"/>
      <c r="D8" s="502"/>
      <c r="E8" s="502"/>
      <c r="F8" s="502"/>
      <c r="G8" s="502"/>
      <c r="H8" s="502"/>
      <c r="I8" s="502"/>
      <c r="J8" s="502"/>
      <c r="K8" s="515"/>
      <c r="L8" s="516"/>
      <c r="M8" s="517"/>
      <c r="N8" s="502"/>
    </row>
    <row r="9" spans="1:14" ht="12" customHeight="1">
      <c r="A9" s="518"/>
      <c r="B9" s="519" t="s">
        <v>618</v>
      </c>
      <c r="C9" s="520" t="s">
        <v>174</v>
      </c>
      <c r="D9" s="521"/>
      <c r="E9" s="521"/>
      <c r="F9" s="521"/>
      <c r="G9" s="521"/>
      <c r="H9" s="521"/>
      <c r="I9" s="521"/>
      <c r="J9" s="521"/>
      <c r="K9" s="522"/>
      <c r="L9" s="523"/>
      <c r="M9" s="521"/>
      <c r="N9" s="502"/>
    </row>
    <row r="10" spans="1:14" ht="12" customHeight="1">
      <c r="A10" s="518"/>
      <c r="B10" s="519" t="s">
        <v>619</v>
      </c>
      <c r="C10" s="524" t="s">
        <v>174</v>
      </c>
      <c r="D10" s="523"/>
      <c r="E10" s="523"/>
      <c r="F10" s="523"/>
      <c r="G10" s="523"/>
      <c r="H10" s="523"/>
      <c r="I10" s="523"/>
      <c r="J10" s="523"/>
      <c r="K10" s="523"/>
      <c r="L10" s="523"/>
      <c r="M10" s="523"/>
      <c r="N10" s="516"/>
    </row>
    <row r="11" spans="1:14" ht="16.5" thickBot="1">
      <c r="A11" s="525"/>
      <c r="B11" s="525"/>
      <c r="C11" s="525"/>
      <c r="D11" s="525"/>
      <c r="E11" s="525"/>
      <c r="F11" s="525"/>
      <c r="G11" s="525"/>
      <c r="H11" s="525"/>
      <c r="I11" s="525"/>
      <c r="J11" s="525"/>
      <c r="K11" s="525"/>
      <c r="L11" s="525"/>
      <c r="M11" s="525"/>
      <c r="N11" s="525"/>
    </row>
    <row r="12" spans="1:14" ht="20.100000000000001" customHeight="1" thickBot="1">
      <c r="A12" s="526" t="s">
        <v>620</v>
      </c>
      <c r="B12" s="527"/>
      <c r="C12" s="527"/>
      <c r="D12" s="527"/>
      <c r="E12" s="527"/>
      <c r="F12" s="527"/>
      <c r="G12" s="527"/>
      <c r="H12" s="527"/>
      <c r="I12" s="527"/>
      <c r="J12" s="527"/>
      <c r="K12" s="527"/>
      <c r="L12" s="527"/>
      <c r="M12" s="528"/>
      <c r="N12" s="493"/>
    </row>
    <row r="13" spans="1:14" ht="12.95" customHeight="1" thickTop="1">
      <c r="A13" s="529"/>
      <c r="B13" s="530" t="s">
        <v>621</v>
      </c>
      <c r="C13" s="531">
        <v>700</v>
      </c>
      <c r="D13" s="523"/>
      <c r="E13" s="530" t="s">
        <v>622</v>
      </c>
      <c r="F13" s="537" t="s">
        <v>709</v>
      </c>
      <c r="G13" s="523"/>
      <c r="H13" s="530" t="s">
        <v>623</v>
      </c>
      <c r="I13" s="531" t="s">
        <v>708</v>
      </c>
      <c r="J13" s="523"/>
      <c r="K13" s="523"/>
      <c r="L13" s="530" t="s">
        <v>624</v>
      </c>
      <c r="M13" s="532">
        <v>3600</v>
      </c>
      <c r="N13" s="493"/>
    </row>
    <row r="14" spans="1:14" ht="12.95" customHeight="1">
      <c r="A14" s="529"/>
      <c r="B14" s="530" t="s">
        <v>625</v>
      </c>
      <c r="C14" s="531" t="s">
        <v>193</v>
      </c>
      <c r="D14" s="523"/>
      <c r="E14" s="530" t="s">
        <v>626</v>
      </c>
      <c r="F14" s="533" t="s">
        <v>712</v>
      </c>
      <c r="G14" s="523"/>
      <c r="H14" s="530" t="s">
        <v>627</v>
      </c>
      <c r="I14" s="531" t="s">
        <v>710</v>
      </c>
      <c r="J14" s="523"/>
      <c r="K14" s="523"/>
      <c r="L14" s="530" t="s">
        <v>582</v>
      </c>
      <c r="M14" s="532">
        <v>3575</v>
      </c>
      <c r="N14" s="493"/>
    </row>
    <row r="15" spans="1:14" ht="12.95" customHeight="1">
      <c r="A15" s="529"/>
      <c r="B15" s="530" t="s">
        <v>628</v>
      </c>
      <c r="C15" s="531" t="s">
        <v>192</v>
      </c>
      <c r="D15" s="523"/>
      <c r="E15" s="530" t="s">
        <v>629</v>
      </c>
      <c r="F15" s="534" t="s">
        <v>713</v>
      </c>
      <c r="G15" s="523"/>
      <c r="H15" s="530" t="s">
        <v>630</v>
      </c>
      <c r="I15" s="533" t="s">
        <v>174</v>
      </c>
      <c r="J15" s="523"/>
      <c r="K15" s="523"/>
      <c r="L15" s="530" t="s">
        <v>631</v>
      </c>
      <c r="M15" s="532" t="s">
        <v>366</v>
      </c>
      <c r="N15" s="493"/>
    </row>
    <row r="16" spans="1:14" ht="12.95" customHeight="1">
      <c r="A16" s="529"/>
      <c r="B16" s="530" t="s">
        <v>632</v>
      </c>
      <c r="C16" s="531" t="s">
        <v>707</v>
      </c>
      <c r="D16" s="523"/>
      <c r="E16" s="530" t="s">
        <v>633</v>
      </c>
      <c r="F16" s="531" t="s">
        <v>444</v>
      </c>
      <c r="G16" s="523"/>
      <c r="H16" s="535" t="s">
        <v>634</v>
      </c>
      <c r="I16" s="536" t="s">
        <v>359</v>
      </c>
      <c r="J16" s="523"/>
      <c r="K16" s="523"/>
      <c r="L16" s="530" t="s">
        <v>635</v>
      </c>
      <c r="M16" s="532" t="s">
        <v>636</v>
      </c>
      <c r="N16" s="493"/>
    </row>
    <row r="17" spans="1:14" ht="12.95" customHeight="1">
      <c r="A17" s="529"/>
      <c r="B17" s="530" t="s">
        <v>637</v>
      </c>
      <c r="C17" s="537" t="s">
        <v>393</v>
      </c>
      <c r="D17" s="523"/>
      <c r="E17" s="530"/>
      <c r="F17" s="533"/>
      <c r="G17" s="523"/>
      <c r="H17" s="530" t="s">
        <v>638</v>
      </c>
      <c r="I17" s="536" t="s">
        <v>174</v>
      </c>
      <c r="J17" s="523"/>
      <c r="K17" s="523"/>
      <c r="L17" s="530"/>
      <c r="M17" s="538"/>
      <c r="N17" s="493"/>
    </row>
    <row r="18" spans="1:14" ht="12.95" customHeight="1" thickBot="1">
      <c r="A18" s="539"/>
      <c r="B18" s="540" t="s">
        <v>639</v>
      </c>
      <c r="C18" s="541" t="s">
        <v>174</v>
      </c>
      <c r="D18" s="542"/>
      <c r="E18" s="543" t="s">
        <v>640</v>
      </c>
      <c r="F18" s="541" t="s">
        <v>174</v>
      </c>
      <c r="G18" s="544"/>
      <c r="H18" s="543" t="s">
        <v>641</v>
      </c>
      <c r="I18" s="541" t="s">
        <v>174</v>
      </c>
      <c r="J18" s="542"/>
      <c r="K18" s="542"/>
      <c r="L18" s="542"/>
      <c r="M18" s="545"/>
      <c r="N18" s="493"/>
    </row>
    <row r="19" spans="1:14" ht="16.5" thickBot="1">
      <c r="A19" s="493"/>
      <c r="B19" s="493"/>
      <c r="C19" s="493"/>
      <c r="D19" s="493"/>
      <c r="E19" s="493"/>
      <c r="F19" s="493"/>
      <c r="G19" s="493"/>
      <c r="H19" s="493"/>
      <c r="I19" s="493"/>
      <c r="J19" s="493"/>
      <c r="K19" s="493"/>
      <c r="L19" s="493"/>
      <c r="M19" s="493"/>
      <c r="N19" s="493"/>
    </row>
    <row r="20" spans="1:14" ht="20.100000000000001" customHeight="1" thickBot="1">
      <c r="A20" s="526"/>
      <c r="B20" s="527"/>
      <c r="C20" s="527"/>
      <c r="D20" s="527"/>
      <c r="E20" s="527"/>
      <c r="F20" s="527"/>
      <c r="G20" s="527"/>
      <c r="H20" s="527"/>
      <c r="I20" s="527"/>
      <c r="J20" s="527"/>
      <c r="K20" s="527"/>
      <c r="L20" s="527"/>
      <c r="M20" s="528"/>
    </row>
    <row r="21" spans="1:14" ht="15.95" customHeight="1" thickTop="1">
      <c r="A21" s="546" t="s">
        <v>642</v>
      </c>
      <c r="B21" s="547"/>
      <c r="C21" s="516"/>
      <c r="D21" s="548"/>
      <c r="E21" s="549" t="s">
        <v>643</v>
      </c>
      <c r="F21" s="550"/>
      <c r="G21" s="550"/>
      <c r="H21" s="551"/>
      <c r="I21" s="552" t="s">
        <v>644</v>
      </c>
      <c r="J21" s="553"/>
      <c r="K21" s="553"/>
      <c r="L21" s="516"/>
      <c r="M21" s="554"/>
    </row>
    <row r="22" spans="1:14" ht="15.95" customHeight="1">
      <c r="A22" s="555"/>
      <c r="B22" s="523"/>
      <c r="C22" s="556" t="s">
        <v>645</v>
      </c>
      <c r="D22" s="557" t="s">
        <v>711</v>
      </c>
      <c r="E22" s="530"/>
      <c r="G22" s="535" t="s">
        <v>646</v>
      </c>
      <c r="H22" s="558">
        <v>1028</v>
      </c>
      <c r="I22" s="556"/>
      <c r="J22" s="523"/>
      <c r="K22" s="556" t="s">
        <v>647</v>
      </c>
      <c r="L22" s="523" t="s">
        <v>648</v>
      </c>
      <c r="M22" s="538"/>
    </row>
    <row r="23" spans="1:14" ht="15.95" customHeight="1">
      <c r="A23" s="555"/>
      <c r="B23" s="556"/>
      <c r="C23" s="559"/>
      <c r="D23" s="560"/>
      <c r="E23" s="530"/>
      <c r="G23" s="530" t="s">
        <v>649</v>
      </c>
      <c r="H23" s="557">
        <v>85</v>
      </c>
      <c r="I23" s="523"/>
      <c r="J23" s="523"/>
      <c r="K23" s="530" t="s">
        <v>650</v>
      </c>
      <c r="L23" s="523" t="s">
        <v>648</v>
      </c>
      <c r="M23" s="538"/>
    </row>
    <row r="24" spans="1:14" ht="15.95" customHeight="1">
      <c r="A24" s="529"/>
      <c r="B24" s="530"/>
      <c r="C24" s="523"/>
      <c r="D24" s="560"/>
      <c r="E24" s="530"/>
      <c r="G24" s="535" t="s">
        <v>651</v>
      </c>
      <c r="H24" s="557">
        <v>275</v>
      </c>
      <c r="I24" s="523"/>
      <c r="J24" s="530"/>
      <c r="K24" s="523"/>
      <c r="L24" s="523"/>
      <c r="M24" s="538"/>
    </row>
    <row r="25" spans="1:14" ht="15.95" customHeight="1" thickBot="1">
      <c r="A25" s="539"/>
      <c r="B25" s="540"/>
      <c r="C25" s="542"/>
      <c r="D25" s="561"/>
      <c r="E25" s="543"/>
      <c r="F25" s="543"/>
      <c r="G25" s="543"/>
      <c r="H25" s="562"/>
      <c r="I25" s="542"/>
      <c r="J25" s="543"/>
      <c r="K25" s="542"/>
      <c r="L25" s="542"/>
      <c r="M25" s="545"/>
    </row>
    <row r="26" spans="1:14" ht="18.95" customHeight="1" thickBot="1">
      <c r="A26" s="563"/>
      <c r="B26" s="563"/>
      <c r="C26" s="563"/>
      <c r="D26" s="564"/>
      <c r="E26" s="564"/>
      <c r="F26" s="564"/>
      <c r="G26" s="564"/>
      <c r="H26" s="564"/>
      <c r="I26" s="564"/>
      <c r="J26" s="564"/>
      <c r="K26" s="564"/>
      <c r="L26" s="564"/>
      <c r="M26" s="493"/>
      <c r="N26" s="493"/>
    </row>
    <row r="27" spans="1:14" ht="20.100000000000001" customHeight="1" thickBot="1">
      <c r="A27" s="565"/>
      <c r="B27" s="566"/>
      <c r="C27" s="566"/>
      <c r="D27" s="566"/>
      <c r="E27" s="566"/>
      <c r="F27" s="566"/>
      <c r="G27" s="567"/>
      <c r="H27" s="566"/>
      <c r="I27" s="566"/>
      <c r="J27" s="566"/>
      <c r="K27" s="566"/>
      <c r="L27" s="566"/>
      <c r="M27" s="568"/>
    </row>
    <row r="28" spans="1:14" ht="15.95" customHeight="1" thickTop="1">
      <c r="A28" s="569" t="s">
        <v>652</v>
      </c>
      <c r="B28" s="547"/>
      <c r="C28" s="516"/>
      <c r="D28" s="516"/>
      <c r="E28" s="550"/>
      <c r="F28" s="550"/>
      <c r="G28" s="570"/>
      <c r="H28" s="549" t="s">
        <v>653</v>
      </c>
      <c r="I28" s="550"/>
      <c r="J28" s="553"/>
      <c r="K28" s="549"/>
      <c r="L28" s="553"/>
      <c r="M28" s="554"/>
    </row>
    <row r="29" spans="1:14" ht="15.95" customHeight="1">
      <c r="A29" s="529"/>
      <c r="B29" s="556"/>
      <c r="C29" s="556" t="s">
        <v>654</v>
      </c>
      <c r="D29" s="571">
        <v>95.4</v>
      </c>
      <c r="E29" s="530"/>
      <c r="F29" s="530"/>
      <c r="G29" s="570"/>
      <c r="H29" s="535"/>
      <c r="I29" s="556"/>
      <c r="J29" s="556" t="s">
        <v>654</v>
      </c>
      <c r="K29" s="571">
        <v>89.6</v>
      </c>
      <c r="L29" s="523"/>
      <c r="M29" s="538"/>
    </row>
    <row r="30" spans="1:14" ht="15.95" customHeight="1">
      <c r="A30" s="572"/>
      <c r="B30" s="523"/>
      <c r="C30" s="556" t="s">
        <v>655</v>
      </c>
      <c r="D30" s="571">
        <v>95.1</v>
      </c>
      <c r="E30" s="530"/>
      <c r="F30" s="530"/>
      <c r="G30" s="570"/>
      <c r="H30" s="530"/>
      <c r="I30" s="523"/>
      <c r="J30" s="556" t="s">
        <v>655</v>
      </c>
      <c r="K30" s="571">
        <v>87.3</v>
      </c>
      <c r="L30" s="523"/>
      <c r="M30" s="538"/>
    </row>
    <row r="31" spans="1:14" ht="15.95" customHeight="1">
      <c r="A31" s="529"/>
      <c r="B31" s="530"/>
      <c r="C31" s="556" t="s">
        <v>656</v>
      </c>
      <c r="D31" s="571">
        <v>94.2</v>
      </c>
      <c r="E31" s="530"/>
      <c r="F31" s="530"/>
      <c r="G31" s="570"/>
      <c r="H31" s="530"/>
      <c r="I31" s="523"/>
      <c r="J31" s="556" t="s">
        <v>656</v>
      </c>
      <c r="K31" s="571">
        <v>80.900000000000006</v>
      </c>
      <c r="L31" s="530"/>
      <c r="M31" s="538"/>
    </row>
    <row r="32" spans="1:14" ht="15.95" customHeight="1" thickBot="1">
      <c r="A32" s="539"/>
      <c r="B32" s="540"/>
      <c r="C32" s="542"/>
      <c r="D32" s="542"/>
      <c r="E32" s="543"/>
      <c r="F32" s="543"/>
      <c r="G32" s="573"/>
      <c r="H32" s="543"/>
      <c r="I32" s="542"/>
      <c r="J32" s="543"/>
      <c r="K32" s="542"/>
      <c r="L32" s="543"/>
      <c r="M32" s="545"/>
    </row>
    <row r="33" spans="1:14" ht="20.100000000000001" customHeight="1" thickBot="1">
      <c r="A33" s="574"/>
      <c r="B33" s="574"/>
      <c r="C33" s="574"/>
      <c r="D33" s="574"/>
      <c r="E33" s="574"/>
      <c r="F33" s="574"/>
      <c r="G33" s="574"/>
      <c r="H33" s="574"/>
      <c r="I33" s="574"/>
      <c r="J33" s="574"/>
      <c r="K33" s="574"/>
      <c r="L33" s="574"/>
      <c r="M33" s="575"/>
      <c r="N33" s="575"/>
    </row>
    <row r="34" spans="1:14" ht="20.100000000000001" customHeight="1" thickBot="1">
      <c r="A34" s="576"/>
      <c r="B34" s="577"/>
      <c r="C34" s="577"/>
      <c r="D34" s="577"/>
      <c r="E34" s="577"/>
      <c r="F34" s="577"/>
      <c r="G34" s="577"/>
      <c r="H34" s="577"/>
      <c r="I34" s="577"/>
      <c r="J34" s="577"/>
      <c r="K34" s="577"/>
      <c r="L34" s="577"/>
      <c r="M34" s="578"/>
    </row>
    <row r="35" spans="1:14" ht="15.95" customHeight="1" thickTop="1">
      <c r="A35" s="579" t="s">
        <v>657</v>
      </c>
      <c r="B35" s="559"/>
      <c r="C35" s="559"/>
      <c r="D35" s="559"/>
      <c r="E35" s="559"/>
      <c r="F35" s="559"/>
      <c r="G35" s="559"/>
      <c r="H35" s="559"/>
      <c r="I35" s="559"/>
      <c r="J35" s="559"/>
      <c r="K35" s="559"/>
      <c r="L35" s="559"/>
      <c r="M35" s="580"/>
    </row>
    <row r="36" spans="1:14" ht="15.95" customHeight="1">
      <c r="A36" s="572" t="s">
        <v>658</v>
      </c>
      <c r="B36" s="559"/>
      <c r="C36" s="559"/>
      <c r="D36" s="559"/>
      <c r="E36" s="559"/>
      <c r="F36" s="559"/>
      <c r="G36" s="559"/>
      <c r="H36" s="559"/>
      <c r="I36" s="559"/>
      <c r="J36" s="559"/>
      <c r="K36" s="559"/>
      <c r="L36" s="559"/>
      <c r="M36" s="580"/>
    </row>
    <row r="37" spans="1:14" ht="15.95" customHeight="1">
      <c r="A37" s="581" t="s">
        <v>659</v>
      </c>
      <c r="B37" s="559"/>
      <c r="C37" s="559"/>
      <c r="D37" s="559"/>
      <c r="E37" s="582"/>
      <c r="F37" s="559"/>
      <c r="G37" s="559"/>
      <c r="H37" s="559"/>
      <c r="I37" s="559"/>
      <c r="J37" s="559"/>
      <c r="K37" s="559"/>
      <c r="L37" s="559"/>
      <c r="M37" s="580"/>
    </row>
    <row r="38" spans="1:14" ht="15.95" customHeight="1">
      <c r="A38" s="583" t="s">
        <v>660</v>
      </c>
      <c r="B38" s="559"/>
      <c r="C38" s="559"/>
      <c r="D38" s="559"/>
      <c r="E38" s="559"/>
      <c r="F38" s="559"/>
      <c r="G38" s="559"/>
      <c r="H38" s="559"/>
      <c r="I38" s="559"/>
      <c r="J38" s="559"/>
      <c r="K38" s="559"/>
      <c r="L38" s="559"/>
      <c r="M38" s="580"/>
    </row>
    <row r="39" spans="1:14" ht="15.95" customHeight="1">
      <c r="A39" s="584" t="s">
        <v>661</v>
      </c>
      <c r="B39" s="559"/>
      <c r="C39" s="559"/>
      <c r="D39" s="559"/>
      <c r="E39" s="559"/>
      <c r="F39" s="559"/>
      <c r="G39" s="559"/>
      <c r="H39" s="559"/>
      <c r="I39" s="559"/>
      <c r="J39" s="559"/>
      <c r="K39" s="559"/>
      <c r="L39" s="559"/>
      <c r="M39" s="580"/>
    </row>
    <row r="40" spans="1:14" ht="15.95" customHeight="1" thickBot="1">
      <c r="A40" s="585" t="s">
        <v>662</v>
      </c>
      <c r="B40" s="586"/>
      <c r="C40" s="586"/>
      <c r="D40" s="586"/>
      <c r="E40" s="586"/>
      <c r="F40" s="586"/>
      <c r="G40" s="586"/>
      <c r="H40" s="586"/>
      <c r="I40" s="586"/>
      <c r="J40" s="586"/>
      <c r="K40" s="586"/>
      <c r="L40" s="586"/>
      <c r="M40" s="587"/>
    </row>
    <row r="41" spans="1:14" ht="15.95" customHeight="1"/>
    <row r="42" spans="1:14" ht="18">
      <c r="A42" s="588"/>
      <c r="B42" s="588"/>
      <c r="C42" s="588"/>
      <c r="D42" s="588"/>
      <c r="E42" s="588"/>
      <c r="F42" s="588"/>
      <c r="G42" s="588"/>
      <c r="H42" s="493"/>
      <c r="I42" s="493"/>
      <c r="J42" s="589" t="s">
        <v>663</v>
      </c>
      <c r="K42" s="677" t="s">
        <v>664</v>
      </c>
      <c r="L42" s="677"/>
      <c r="M42" s="677"/>
      <c r="N42" s="588"/>
    </row>
    <row r="43" spans="1:14" ht="7.5" customHeight="1">
      <c r="H43" s="493"/>
      <c r="I43" s="493"/>
      <c r="J43" s="493"/>
      <c r="K43" s="493"/>
      <c r="L43" s="493"/>
      <c r="M43" s="493"/>
    </row>
    <row r="44" spans="1:14" ht="16.5">
      <c r="H44" s="493"/>
      <c r="I44" s="493"/>
      <c r="J44" s="589" t="s">
        <v>665</v>
      </c>
      <c r="K44" s="678">
        <v>43578</v>
      </c>
      <c r="L44" s="678"/>
      <c r="M44" s="678"/>
    </row>
    <row r="59" spans="1:5">
      <c r="A59" s="494" t="s">
        <v>174</v>
      </c>
      <c r="B59" s="494" t="s">
        <v>666</v>
      </c>
      <c r="D59" s="494">
        <v>1</v>
      </c>
      <c r="E59" s="590" t="s">
        <v>174</v>
      </c>
    </row>
    <row r="60" spans="1:5">
      <c r="A60" s="494" t="s">
        <v>667</v>
      </c>
      <c r="B60" s="494" t="s">
        <v>668</v>
      </c>
      <c r="D60" s="494">
        <v>1.1499999999999999</v>
      </c>
      <c r="E60" s="590" t="s">
        <v>183</v>
      </c>
    </row>
    <row r="61" spans="1:5">
      <c r="A61" s="494" t="s">
        <v>669</v>
      </c>
      <c r="B61" s="494" t="s">
        <v>670</v>
      </c>
      <c r="E61" s="590" t="s">
        <v>323</v>
      </c>
    </row>
    <row r="62" spans="1:5">
      <c r="B62" s="494" t="s">
        <v>671</v>
      </c>
    </row>
    <row r="63" spans="1:5">
      <c r="B63" s="494" t="s">
        <v>672</v>
      </c>
    </row>
    <row r="64" spans="1:5">
      <c r="B64" s="494" t="s">
        <v>673</v>
      </c>
    </row>
    <row r="65" spans="2:2">
      <c r="B65" s="494" t="s">
        <v>674</v>
      </c>
    </row>
    <row r="66" spans="2:2">
      <c r="B66" s="494" t="s">
        <v>675</v>
      </c>
    </row>
    <row r="67" spans="2:2">
      <c r="B67" s="494" t="s">
        <v>676</v>
      </c>
    </row>
    <row r="68" spans="2:2">
      <c r="B68" s="494" t="s">
        <v>677</v>
      </c>
    </row>
    <row r="69" spans="2:2">
      <c r="B69" s="494" t="s">
        <v>678</v>
      </c>
    </row>
    <row r="70" spans="2:2">
      <c r="B70" s="494" t="s">
        <v>679</v>
      </c>
    </row>
    <row r="71" spans="2:2">
      <c r="B71" s="494" t="s">
        <v>680</v>
      </c>
    </row>
    <row r="72" spans="2:2">
      <c r="B72" s="494" t="s">
        <v>681</v>
      </c>
    </row>
    <row r="73" spans="2:2">
      <c r="B73" s="494" t="s">
        <v>682</v>
      </c>
    </row>
    <row r="74" spans="2:2">
      <c r="B74" s="494" t="s">
        <v>683</v>
      </c>
    </row>
    <row r="75" spans="2:2">
      <c r="B75" s="494" t="s">
        <v>684</v>
      </c>
    </row>
    <row r="76" spans="2:2">
      <c r="B76" s="494" t="s">
        <v>685</v>
      </c>
    </row>
    <row r="77" spans="2:2">
      <c r="B77" s="494" t="s">
        <v>686</v>
      </c>
    </row>
    <row r="78" spans="2:2">
      <c r="B78" s="494" t="s">
        <v>687</v>
      </c>
    </row>
    <row r="79" spans="2:2">
      <c r="B79" s="494" t="s">
        <v>688</v>
      </c>
    </row>
    <row r="80" spans="2:2">
      <c r="B80" s="494">
        <v>6312</v>
      </c>
    </row>
    <row r="81" spans="2:2">
      <c r="B81" s="494" t="s">
        <v>689</v>
      </c>
    </row>
    <row r="82" spans="2:2">
      <c r="B82" s="494" t="s">
        <v>690</v>
      </c>
    </row>
    <row r="83" spans="2:2">
      <c r="B83" s="494" t="s">
        <v>691</v>
      </c>
    </row>
    <row r="84" spans="2:2">
      <c r="B84" s="494" t="s">
        <v>692</v>
      </c>
    </row>
    <row r="85" spans="2:2">
      <c r="B85" s="494">
        <v>6313</v>
      </c>
    </row>
    <row r="86" spans="2:2">
      <c r="B86" s="494" t="s">
        <v>693</v>
      </c>
    </row>
    <row r="87" spans="2:2">
      <c r="B87" s="494" t="s">
        <v>694</v>
      </c>
    </row>
    <row r="88" spans="2:2">
      <c r="B88" s="494" t="s">
        <v>695</v>
      </c>
    </row>
    <row r="89" spans="2:2">
      <c r="B89" s="494">
        <v>6314</v>
      </c>
    </row>
    <row r="90" spans="2:2">
      <c r="B90" s="494" t="s">
        <v>696</v>
      </c>
    </row>
    <row r="91" spans="2:2">
      <c r="B91" s="494">
        <v>6317</v>
      </c>
    </row>
    <row r="92" spans="2:2">
      <c r="B92" s="494" t="s">
        <v>697</v>
      </c>
    </row>
    <row r="93" spans="2:2">
      <c r="B93" s="494">
        <v>6318</v>
      </c>
    </row>
    <row r="94" spans="2:2">
      <c r="B94" s="494" t="s">
        <v>698</v>
      </c>
    </row>
    <row r="95" spans="2:2">
      <c r="B95" s="494" t="s">
        <v>699</v>
      </c>
    </row>
    <row r="96" spans="2:2">
      <c r="B96" s="494" t="s">
        <v>700</v>
      </c>
    </row>
    <row r="97" spans="2:2">
      <c r="B97" s="494">
        <v>6320</v>
      </c>
    </row>
    <row r="98" spans="2:2">
      <c r="B98" s="494" t="s">
        <v>701</v>
      </c>
    </row>
    <row r="99" spans="2:2">
      <c r="B99" s="494" t="s">
        <v>702</v>
      </c>
    </row>
    <row r="100" spans="2:2">
      <c r="B100" s="494" t="s">
        <v>703</v>
      </c>
    </row>
    <row r="101" spans="2:2">
      <c r="B101" s="494" t="s">
        <v>704</v>
      </c>
    </row>
    <row r="102" spans="2:2">
      <c r="B102" s="494" t="s">
        <v>704</v>
      </c>
    </row>
    <row r="118" spans="2:2">
      <c r="B118" s="494" t="s">
        <v>705</v>
      </c>
    </row>
    <row r="120" spans="2:2">
      <c r="B120" s="494" t="s">
        <v>706</v>
      </c>
    </row>
  </sheetData>
  <mergeCells count="2">
    <mergeCell ref="K42:M42"/>
    <mergeCell ref="K44:M44"/>
  </mergeCells>
  <printOptions horizontalCentered="1" gridLinesSet="0"/>
  <pageMargins left="0.5" right="0.5" top="0.5" bottom="0.5" header="0.5" footer="0.5"/>
  <pageSetup orientation="portrait" horizontalDpi="4294967292" r:id="rId1"/>
  <headerFooter alignWithMargins="0">
    <oddFooter>&amp;L&amp;"Univers (WN),Regular"&amp;7N:\ELECTRIC\PERFORMA&amp;C&amp;"Univers (WN),Regular"&amp;7&amp;F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67"/>
  <sheetViews>
    <sheetView workbookViewId="0">
      <selection activeCell="R21" sqref="R21"/>
    </sheetView>
  </sheetViews>
  <sheetFormatPr defaultRowHeight="12.75"/>
  <cols>
    <col min="1" max="6" width="16.7109375" style="474" customWidth="1"/>
    <col min="7" max="16384" width="9.140625" style="474"/>
  </cols>
  <sheetData>
    <row r="1" spans="1:6" ht="18.95" customHeight="1">
      <c r="A1" s="601"/>
      <c r="B1" s="602"/>
      <c r="C1" s="602"/>
      <c r="D1" s="602"/>
      <c r="E1" s="602"/>
      <c r="F1" s="603"/>
    </row>
    <row r="2" spans="1:6" ht="26.1" customHeight="1">
      <c r="A2" s="604" t="s">
        <v>272</v>
      </c>
      <c r="B2" s="605"/>
      <c r="C2" s="605"/>
      <c r="D2" s="605"/>
      <c r="E2" s="605"/>
      <c r="F2" s="606"/>
    </row>
    <row r="3" spans="1:6" ht="18.95" customHeight="1">
      <c r="A3" s="607" t="s">
        <v>570</v>
      </c>
      <c r="B3" s="605"/>
      <c r="C3" s="605"/>
      <c r="D3" s="605"/>
      <c r="E3" s="605"/>
      <c r="F3" s="606"/>
    </row>
    <row r="4" spans="1:6" ht="18.95" customHeight="1">
      <c r="A4" s="608"/>
      <c r="B4" s="609"/>
      <c r="C4" s="609"/>
      <c r="D4" s="609"/>
      <c r="E4" s="609"/>
      <c r="F4" s="610"/>
    </row>
    <row r="5" spans="1:6" ht="18.95" customHeight="1">
      <c r="A5" s="608"/>
      <c r="B5" s="609"/>
      <c r="C5" s="609"/>
      <c r="D5" s="609"/>
      <c r="E5" s="609"/>
      <c r="F5" s="610"/>
    </row>
    <row r="6" spans="1:6" ht="18.95" customHeight="1">
      <c r="A6" s="611" t="s">
        <v>571</v>
      </c>
      <c r="B6" s="666" t="str">
        <f>'Performance Data Sheet'!C17</f>
        <v>7003WTQK11F-C</v>
      </c>
      <c r="C6" s="667"/>
      <c r="D6" s="668"/>
      <c r="E6" s="611" t="s">
        <v>572</v>
      </c>
      <c r="F6" s="612" t="str">
        <f>'Performance Data Sheet'!I14</f>
        <v>152/88</v>
      </c>
    </row>
    <row r="7" spans="1:6" ht="18.95" customHeight="1">
      <c r="A7" s="611" t="s">
        <v>573</v>
      </c>
      <c r="B7" s="612" t="str">
        <f>'Performance Data Sheet'!F14</f>
        <v>WP-II</v>
      </c>
      <c r="C7" s="611" t="s">
        <v>574</v>
      </c>
      <c r="D7" s="612" t="str">
        <f>'Performance Data Sheet'!F13 &amp; " V"</f>
        <v>2300/4000 V</v>
      </c>
      <c r="E7" s="611" t="s">
        <v>575</v>
      </c>
      <c r="F7" s="612" t="str">
        <f>'Performance Data Sheet'!C14</f>
        <v>5011/12</v>
      </c>
    </row>
    <row r="8" spans="1:6" ht="18.95" customHeight="1">
      <c r="A8" s="611" t="s">
        <v>576</v>
      </c>
      <c r="B8" s="612">
        <v>2</v>
      </c>
      <c r="C8" s="611" t="s">
        <v>577</v>
      </c>
      <c r="D8" s="612" t="s">
        <v>578</v>
      </c>
      <c r="E8" s="611" t="s">
        <v>579</v>
      </c>
      <c r="F8" s="612" t="str">
        <f>'Performance Data Sheet'!M15</f>
        <v>F</v>
      </c>
    </row>
    <row r="9" spans="1:6" ht="18.95" customHeight="1">
      <c r="A9" s="611" t="s">
        <v>580</v>
      </c>
      <c r="B9" s="612">
        <f>'Performance Data Sheet'!C13</f>
        <v>700</v>
      </c>
      <c r="C9" s="611" t="s">
        <v>581</v>
      </c>
      <c r="D9" s="612" t="s">
        <v>591</v>
      </c>
      <c r="E9" s="611" t="s">
        <v>2</v>
      </c>
      <c r="F9" s="613">
        <f>'Performance Data Sheet'!K44</f>
        <v>43578</v>
      </c>
    </row>
    <row r="10" spans="1:6" ht="18.95" customHeight="1">
      <c r="A10" s="611" t="s">
        <v>582</v>
      </c>
      <c r="B10" s="612">
        <f>'Performance Data Sheet'!M14</f>
        <v>3575</v>
      </c>
      <c r="C10" s="611" t="s">
        <v>403</v>
      </c>
      <c r="D10" s="612" t="s">
        <v>592</v>
      </c>
      <c r="E10" s="611" t="s">
        <v>1</v>
      </c>
      <c r="F10" s="612" t="s">
        <v>714</v>
      </c>
    </row>
    <row r="11" spans="1:6" ht="18.95" customHeight="1">
      <c r="A11" s="608"/>
      <c r="B11" s="609"/>
      <c r="C11" s="609"/>
      <c r="D11" s="609"/>
      <c r="E11" s="609"/>
      <c r="F11" s="610"/>
    </row>
    <row r="12" spans="1:6" ht="18.95" customHeight="1">
      <c r="A12" s="608"/>
      <c r="B12" s="614" t="s">
        <v>583</v>
      </c>
      <c r="C12" s="615" t="str">
        <f>'Performance Data Sheet'!D22 &amp; " A"</f>
        <v>805/465 A</v>
      </c>
      <c r="D12" s="614" t="s">
        <v>402</v>
      </c>
      <c r="E12" s="615" t="s">
        <v>406</v>
      </c>
      <c r="F12" s="610"/>
    </row>
    <row r="13" spans="1:6" ht="18.95" customHeight="1">
      <c r="A13" s="608"/>
      <c r="B13" s="614" t="s">
        <v>584</v>
      </c>
      <c r="C13" s="616">
        <f>'Performance Data Sheet'!H23/100</f>
        <v>0.85</v>
      </c>
      <c r="D13" s="614" t="s">
        <v>585</v>
      </c>
      <c r="E13" s="615" t="s">
        <v>593</v>
      </c>
      <c r="F13" s="610"/>
    </row>
    <row r="14" spans="1:6" ht="18.95" customHeight="1">
      <c r="A14" s="608"/>
      <c r="B14" s="614" t="s">
        <v>586</v>
      </c>
      <c r="C14" s="616">
        <v>2.75</v>
      </c>
      <c r="D14" s="614" t="s">
        <v>404</v>
      </c>
      <c r="E14" s="615" t="s">
        <v>409</v>
      </c>
      <c r="F14" s="610"/>
    </row>
    <row r="15" spans="1:6" ht="18.95" customHeight="1">
      <c r="A15" s="608"/>
      <c r="B15" s="614" t="s">
        <v>405</v>
      </c>
      <c r="C15" s="615" t="str">
        <f>'Performance Data Sheet'!H22 &amp; " lb-ft"</f>
        <v>1028 lb-ft</v>
      </c>
      <c r="D15" s="609"/>
      <c r="E15" s="609"/>
      <c r="F15" s="610"/>
    </row>
    <row r="16" spans="1:6" ht="18.95" customHeight="1">
      <c r="A16" s="608"/>
      <c r="B16" s="609"/>
      <c r="C16" s="609"/>
      <c r="D16" s="609"/>
      <c r="E16" s="609"/>
      <c r="F16" s="610"/>
    </row>
    <row r="17" spans="1:6" ht="18.95" customHeight="1">
      <c r="A17" s="608"/>
      <c r="B17" s="609"/>
      <c r="C17" s="609"/>
      <c r="D17" s="609"/>
      <c r="E17" s="609"/>
      <c r="F17" s="610"/>
    </row>
    <row r="18" spans="1:6" ht="18.95" customHeight="1">
      <c r="A18" s="608"/>
      <c r="B18" s="609"/>
      <c r="C18" s="609"/>
      <c r="D18" s="609"/>
      <c r="E18" s="609"/>
      <c r="F18" s="610"/>
    </row>
    <row r="19" spans="1:6" ht="18.95" customHeight="1">
      <c r="A19" s="608"/>
      <c r="B19" s="609"/>
      <c r="C19" s="609"/>
      <c r="D19" s="609"/>
      <c r="E19" s="609"/>
      <c r="F19" s="610"/>
    </row>
    <row r="20" spans="1:6" ht="18.95" customHeight="1">
      <c r="A20" s="608"/>
      <c r="B20" s="609"/>
      <c r="C20" s="609"/>
      <c r="D20" s="609"/>
      <c r="E20" s="609"/>
      <c r="F20" s="610"/>
    </row>
    <row r="21" spans="1:6" ht="18.95" customHeight="1">
      <c r="A21" s="608"/>
      <c r="B21" s="609"/>
      <c r="C21" s="609"/>
      <c r="D21" s="609"/>
      <c r="E21" s="609"/>
      <c r="F21" s="610"/>
    </row>
    <row r="22" spans="1:6" ht="18.95" customHeight="1">
      <c r="A22" s="608"/>
      <c r="B22" s="609"/>
      <c r="C22" s="609"/>
      <c r="D22" s="609"/>
      <c r="E22" s="609"/>
      <c r="F22" s="610"/>
    </row>
    <row r="23" spans="1:6" ht="18.95" customHeight="1">
      <c r="A23" s="608"/>
      <c r="B23" s="609"/>
      <c r="C23" s="609"/>
      <c r="D23" s="609"/>
      <c r="E23" s="609"/>
      <c r="F23" s="610"/>
    </row>
    <row r="24" spans="1:6" ht="18.95" customHeight="1">
      <c r="A24" s="608"/>
      <c r="B24" s="609"/>
      <c r="C24" s="609"/>
      <c r="D24" s="609"/>
      <c r="E24" s="609"/>
      <c r="F24" s="610"/>
    </row>
    <row r="25" spans="1:6" ht="18.95" customHeight="1">
      <c r="A25" s="608"/>
      <c r="B25" s="609"/>
      <c r="C25" s="609"/>
      <c r="D25" s="609"/>
      <c r="E25" s="609"/>
      <c r="F25" s="610"/>
    </row>
    <row r="26" spans="1:6" ht="18.95" customHeight="1">
      <c r="A26" s="608"/>
      <c r="B26" s="609"/>
      <c r="C26" s="609"/>
      <c r="D26" s="609"/>
      <c r="E26" s="609"/>
      <c r="F26" s="610"/>
    </row>
    <row r="27" spans="1:6" ht="18.95" customHeight="1">
      <c r="A27" s="608"/>
      <c r="B27" s="609"/>
      <c r="C27" s="609"/>
      <c r="D27" s="609"/>
      <c r="E27" s="609"/>
      <c r="F27" s="610"/>
    </row>
    <row r="28" spans="1:6" ht="18.95" customHeight="1">
      <c r="A28" s="608"/>
      <c r="B28" s="609"/>
      <c r="C28" s="609"/>
      <c r="D28" s="609"/>
      <c r="E28" s="609"/>
      <c r="F28" s="610"/>
    </row>
    <row r="29" spans="1:6" ht="18.95" customHeight="1">
      <c r="A29" s="608"/>
      <c r="B29" s="609"/>
      <c r="C29" s="609"/>
      <c r="D29" s="609"/>
      <c r="E29" s="609"/>
      <c r="F29" s="610"/>
    </row>
    <row r="30" spans="1:6" ht="18.95" customHeight="1">
      <c r="A30" s="608"/>
      <c r="B30" s="609"/>
      <c r="C30" s="609"/>
      <c r="D30" s="609"/>
      <c r="E30" s="609"/>
      <c r="F30" s="610"/>
    </row>
    <row r="31" spans="1:6" ht="18.95" customHeight="1">
      <c r="A31" s="608"/>
      <c r="B31" s="609"/>
      <c r="C31" s="609"/>
      <c r="D31" s="609"/>
      <c r="E31" s="609"/>
      <c r="F31" s="610"/>
    </row>
    <row r="32" spans="1:6" ht="18.95" customHeight="1">
      <c r="A32" s="608"/>
      <c r="B32" s="609"/>
      <c r="C32" s="609"/>
      <c r="D32" s="609"/>
      <c r="E32" s="609"/>
      <c r="F32" s="610"/>
    </row>
    <row r="33" spans="1:6" ht="18.95" customHeight="1">
      <c r="A33" s="608"/>
      <c r="B33" s="609"/>
      <c r="C33" s="609"/>
      <c r="D33" s="609"/>
      <c r="E33" s="609"/>
      <c r="F33" s="610"/>
    </row>
    <row r="34" spans="1:6" ht="18.95" customHeight="1">
      <c r="A34" s="608"/>
      <c r="B34" s="609"/>
      <c r="C34" s="609"/>
      <c r="D34" s="609"/>
      <c r="E34" s="609"/>
      <c r="F34" s="610"/>
    </row>
    <row r="35" spans="1:6" ht="18.95" customHeight="1">
      <c r="A35" s="608"/>
      <c r="B35" s="609"/>
      <c r="C35" s="609"/>
      <c r="D35" s="609"/>
      <c r="E35" s="609"/>
      <c r="F35" s="610"/>
    </row>
    <row r="36" spans="1:6" ht="18.95" customHeight="1">
      <c r="A36" s="608"/>
      <c r="B36" s="609"/>
      <c r="C36" s="609"/>
      <c r="D36" s="609"/>
      <c r="E36" s="609"/>
      <c r="F36" s="610"/>
    </row>
    <row r="37" spans="1:6" ht="18.95" customHeight="1">
      <c r="A37" s="608"/>
      <c r="B37" s="609"/>
      <c r="C37" s="609"/>
      <c r="D37" s="609"/>
      <c r="E37" s="609"/>
      <c r="F37" s="610"/>
    </row>
    <row r="38" spans="1:6" ht="18.95" customHeight="1">
      <c r="A38" s="608"/>
      <c r="B38" s="609"/>
      <c r="C38" s="609"/>
      <c r="D38" s="609"/>
      <c r="E38" s="609"/>
      <c r="F38" s="610"/>
    </row>
    <row r="39" spans="1:6" ht="18.95" customHeight="1">
      <c r="A39" s="617" t="s">
        <v>587</v>
      </c>
      <c r="B39" s="618" t="s">
        <v>373</v>
      </c>
      <c r="C39" s="591" t="str">
        <f>'Performance Data Sheet'!C10</f>
        <v>-</v>
      </c>
      <c r="D39" s="609"/>
      <c r="E39" s="614" t="s">
        <v>588</v>
      </c>
      <c r="F39" s="619" t="str">
        <f>F10</f>
        <v>DT2700K</v>
      </c>
    </row>
    <row r="40" spans="1:6" ht="18.95" customHeight="1">
      <c r="A40" s="608"/>
      <c r="B40" s="618"/>
      <c r="C40" s="618"/>
      <c r="D40" s="609"/>
      <c r="E40" s="609"/>
      <c r="F40" s="610"/>
    </row>
    <row r="41" spans="1:6" ht="18.95" customHeight="1">
      <c r="A41" s="608"/>
      <c r="B41" s="618"/>
      <c r="C41" s="618"/>
      <c r="D41" s="609"/>
      <c r="E41" s="609"/>
      <c r="F41" s="610"/>
    </row>
    <row r="42" spans="1:6" ht="18.95" customHeight="1">
      <c r="A42" s="608"/>
      <c r="B42" s="609"/>
      <c r="C42" s="609"/>
      <c r="D42" s="609"/>
      <c r="E42" s="609"/>
      <c r="F42" s="610"/>
    </row>
    <row r="43" spans="1:6" ht="18.95" customHeight="1">
      <c r="A43" s="620"/>
      <c r="B43" s="618"/>
      <c r="C43" s="621" t="s">
        <v>589</v>
      </c>
      <c r="D43" s="622" t="str">
        <f>'Performance Data Sheet'!K42</f>
        <v>Zichao Xie</v>
      </c>
      <c r="E43" s="621" t="s">
        <v>590</v>
      </c>
      <c r="F43" s="622"/>
    </row>
    <row r="44" spans="1:6" ht="15" customHeight="1"/>
    <row r="45" spans="1:6" ht="15" customHeight="1"/>
    <row r="46" spans="1:6" ht="15" customHeight="1"/>
    <row r="47" spans="1:6" ht="15" customHeight="1"/>
    <row r="48" spans="1:6" ht="15" customHeight="1"/>
    <row r="49" spans="1:12" ht="15" customHeight="1"/>
    <row r="50" spans="1:12" ht="15" customHeight="1"/>
    <row r="51" spans="1:12" ht="15" customHeight="1"/>
    <row r="52" spans="1:12" ht="15" customHeight="1"/>
    <row r="53" spans="1:12" ht="15" customHeight="1">
      <c r="D53" s="644" t="s">
        <v>401</v>
      </c>
      <c r="E53" s="644"/>
      <c r="F53" s="644"/>
      <c r="G53" s="644"/>
      <c r="H53" s="644"/>
      <c r="I53" s="644"/>
      <c r="J53" s="644"/>
      <c r="K53" s="644"/>
      <c r="L53" s="644"/>
    </row>
    <row r="54" spans="1:12" ht="15" customHeight="1">
      <c r="A54" s="669">
        <v>100</v>
      </c>
      <c r="B54" s="643">
        <v>0</v>
      </c>
      <c r="C54" s="643">
        <v>0.27510794997215271</v>
      </c>
      <c r="D54" s="644">
        <v>100</v>
      </c>
      <c r="E54" s="644"/>
      <c r="F54" s="644"/>
      <c r="G54" s="644"/>
      <c r="H54" s="644"/>
      <c r="I54" s="644"/>
      <c r="J54" s="644"/>
      <c r="K54" s="644"/>
      <c r="L54" s="644"/>
    </row>
    <row r="55" spans="1:12" ht="15" customHeight="1">
      <c r="A55" s="669">
        <v>99.179999995976686</v>
      </c>
      <c r="B55" s="643">
        <v>129.72441860858342</v>
      </c>
      <c r="C55" s="643">
        <v>123.72718811035156</v>
      </c>
      <c r="D55" s="644">
        <v>98.360000610351563</v>
      </c>
      <c r="E55" s="644"/>
      <c r="F55" s="644"/>
      <c r="G55" s="644"/>
      <c r="H55" s="644"/>
      <c r="I55" s="644"/>
      <c r="J55" s="644"/>
      <c r="K55" s="644"/>
      <c r="L55" s="644"/>
    </row>
    <row r="56" spans="1:12" ht="15" customHeight="1">
      <c r="A56" s="669">
        <v>95.899999886751175</v>
      </c>
      <c r="B56" s="643">
        <v>275</v>
      </c>
      <c r="C56" s="643">
        <v>386.89324951171875</v>
      </c>
      <c r="D56" s="644">
        <v>89.474998474121094</v>
      </c>
      <c r="E56" s="644"/>
      <c r="F56" s="644"/>
      <c r="G56" s="644"/>
      <c r="H56" s="644"/>
      <c r="I56" s="644"/>
      <c r="J56" s="644"/>
      <c r="K56" s="644"/>
      <c r="L56" s="644"/>
    </row>
    <row r="57" spans="1:12">
      <c r="A57" s="669">
        <v>90.852631628513336</v>
      </c>
      <c r="B57" s="643">
        <v>182.3006743572237</v>
      </c>
      <c r="C57" s="643">
        <v>465.41970825195312</v>
      </c>
      <c r="D57" s="644">
        <v>76.216842651367188</v>
      </c>
      <c r="E57" s="644"/>
      <c r="F57" s="644"/>
      <c r="G57" s="644"/>
      <c r="H57" s="644"/>
      <c r="I57" s="644"/>
      <c r="J57" s="644"/>
      <c r="K57" s="644"/>
      <c r="L57" s="644"/>
    </row>
    <row r="58" spans="1:12">
      <c r="A58" s="669">
        <v>85.805262625217438</v>
      </c>
      <c r="B58" s="643">
        <v>137.49738508959916</v>
      </c>
      <c r="C58" s="643">
        <v>487.29736328125</v>
      </c>
      <c r="D58" s="644">
        <v>63.093681335449219</v>
      </c>
      <c r="E58" s="644"/>
      <c r="F58" s="644"/>
      <c r="G58" s="644"/>
      <c r="H58" s="644"/>
      <c r="I58" s="644"/>
      <c r="J58" s="644"/>
      <c r="K58" s="644"/>
      <c r="L58" s="644"/>
    </row>
    <row r="59" spans="1:12">
      <c r="A59" s="669">
        <v>80.757895112037659</v>
      </c>
      <c r="B59" s="643">
        <v>116.46110587373609</v>
      </c>
      <c r="C59" s="643">
        <v>496.16641235351562</v>
      </c>
      <c r="D59" s="644">
        <v>51.667369842529297</v>
      </c>
      <c r="E59" s="644"/>
      <c r="F59" s="644"/>
      <c r="G59" s="644"/>
      <c r="H59" s="644"/>
      <c r="I59" s="644"/>
      <c r="J59" s="644"/>
      <c r="K59" s="644"/>
      <c r="L59" s="644"/>
    </row>
    <row r="60" spans="1:12">
      <c r="A60" s="669">
        <v>70.663157105445862</v>
      </c>
      <c r="B60" s="643">
        <v>103.02878805629179</v>
      </c>
      <c r="C60" s="643">
        <v>504.03134155273438</v>
      </c>
      <c r="D60" s="644">
        <v>34.127368927001953</v>
      </c>
      <c r="E60" s="644"/>
      <c r="F60" s="644"/>
      <c r="G60" s="644"/>
      <c r="H60" s="644"/>
      <c r="I60" s="644"/>
      <c r="J60" s="644"/>
      <c r="K60" s="644"/>
      <c r="L60" s="644"/>
    </row>
    <row r="61" spans="1:12">
      <c r="A61" s="669">
        <v>60.568419098854065</v>
      </c>
      <c r="B61" s="643">
        <v>96.083922273865824</v>
      </c>
      <c r="C61" s="643">
        <v>508.84597778320312</v>
      </c>
      <c r="D61" s="644">
        <v>22.625261306762695</v>
      </c>
      <c r="E61" s="644"/>
      <c r="F61" s="644"/>
      <c r="G61" s="644"/>
      <c r="H61" s="644"/>
      <c r="I61" s="644"/>
      <c r="J61" s="644"/>
      <c r="K61" s="644"/>
      <c r="L61" s="644"/>
    </row>
    <row r="62" spans="1:12">
      <c r="A62" s="669">
        <v>50.473684072494507</v>
      </c>
      <c r="B62" s="643">
        <v>91.713218680081624</v>
      </c>
      <c r="C62" s="643">
        <v>513.04864501953125</v>
      </c>
      <c r="D62" s="644">
        <v>14.378947257995605</v>
      </c>
      <c r="E62" s="644"/>
      <c r="F62" s="644"/>
      <c r="G62" s="644"/>
      <c r="H62" s="644"/>
      <c r="I62" s="644"/>
      <c r="J62" s="644"/>
      <c r="K62" s="644"/>
      <c r="L62" s="644"/>
    </row>
    <row r="63" spans="1:12">
      <c r="A63" s="669">
        <v>40.37894606590271</v>
      </c>
      <c r="B63" s="643">
        <v>88.888860018637317</v>
      </c>
      <c r="C63" s="643">
        <v>516.8922119140625</v>
      </c>
      <c r="D63" s="644">
        <v>8.2273674011230469</v>
      </c>
      <c r="E63" s="644"/>
      <c r="F63" s="644"/>
      <c r="G63" s="644"/>
      <c r="H63" s="644"/>
      <c r="I63" s="644"/>
      <c r="J63" s="644"/>
      <c r="K63" s="644"/>
      <c r="L63" s="644"/>
    </row>
    <row r="64" spans="1:12">
      <c r="A64" s="669">
        <v>30.284214019775391</v>
      </c>
      <c r="B64" s="643">
        <v>87.102331552045285</v>
      </c>
      <c r="C64" s="643">
        <v>520.3431396484375</v>
      </c>
      <c r="D64" s="644">
        <v>6.0568428039550781</v>
      </c>
      <c r="E64" s="644"/>
      <c r="F64" s="644"/>
      <c r="G64" s="644"/>
      <c r="H64" s="644"/>
      <c r="I64" s="644"/>
      <c r="J64" s="644"/>
      <c r="K64" s="644"/>
      <c r="L64" s="644"/>
    </row>
    <row r="65" spans="1:12">
      <c r="A65" s="669">
        <v>20.189470052719116</v>
      </c>
      <c r="B65" s="643">
        <v>86.007776462303553</v>
      </c>
      <c r="C65" s="643">
        <v>523.39019775390625</v>
      </c>
      <c r="D65" s="644">
        <v>7.9621057510375977</v>
      </c>
      <c r="E65" s="644"/>
      <c r="F65" s="644"/>
      <c r="G65" s="644"/>
      <c r="H65" s="644"/>
      <c r="I65" s="644"/>
      <c r="J65" s="644"/>
      <c r="K65" s="644"/>
      <c r="L65" s="644"/>
    </row>
    <row r="66" spans="1:12">
      <c r="A66" s="669">
        <v>10.094738006591797</v>
      </c>
      <c r="B66" s="643">
        <v>85.362144814174087</v>
      </c>
      <c r="C66" s="643">
        <v>526.0626220703125</v>
      </c>
      <c r="D66" s="644">
        <v>14.933683395385742</v>
      </c>
      <c r="E66" s="644"/>
      <c r="F66" s="644"/>
      <c r="G66" s="644"/>
      <c r="H66" s="644"/>
      <c r="I66" s="644"/>
      <c r="J66" s="644"/>
      <c r="K66" s="644"/>
      <c r="L66" s="644"/>
    </row>
    <row r="67" spans="1:12">
      <c r="A67" s="670">
        <v>0</v>
      </c>
      <c r="B67" s="643">
        <v>85</v>
      </c>
      <c r="C67" s="643">
        <v>528.4090576171875</v>
      </c>
      <c r="D67" s="644">
        <v>30</v>
      </c>
      <c r="E67" s="644"/>
      <c r="F67" s="644"/>
      <c r="G67" s="644"/>
      <c r="H67" s="644"/>
      <c r="I67" s="644"/>
      <c r="J67" s="644"/>
      <c r="K67" s="644"/>
      <c r="L67" s="644"/>
    </row>
  </sheetData>
  <mergeCells count="1">
    <mergeCell ref="B6:D6"/>
  </mergeCells>
  <printOptions horizontalCentered="1" verticalCentered="1"/>
  <pageMargins left="0.59055118110236204" right="0.59055118110236204" top="0.59055118110236204" bottom="0.59055118110236204" header="0" footer="0"/>
  <pageSetup scale="87" orientation="portrait" horizontalDpi="0" verticalDpi="300" r:id="rId1"/>
  <headerFooter alignWithMargins="0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81"/>
  <sheetViews>
    <sheetView workbookViewId="0">
      <selection activeCell="R21" sqref="R21"/>
    </sheetView>
  </sheetViews>
  <sheetFormatPr defaultRowHeight="12.75"/>
  <cols>
    <col min="1" max="6" width="16.7109375" style="474" customWidth="1"/>
    <col min="7" max="16384" width="9.140625" style="474"/>
  </cols>
  <sheetData>
    <row r="1" spans="1:6" ht="18.95" customHeight="1">
      <c r="A1" s="601"/>
      <c r="B1" s="602"/>
      <c r="C1" s="602"/>
      <c r="D1" s="602"/>
      <c r="E1" s="602"/>
      <c r="F1" s="603"/>
    </row>
    <row r="2" spans="1:6" ht="26.1" customHeight="1">
      <c r="A2" s="604" t="s">
        <v>272</v>
      </c>
      <c r="B2" s="605"/>
      <c r="C2" s="605"/>
      <c r="D2" s="605"/>
      <c r="E2" s="605"/>
      <c r="F2" s="606"/>
    </row>
    <row r="3" spans="1:6" ht="18.95" customHeight="1">
      <c r="A3" s="671" t="s">
        <v>594</v>
      </c>
      <c r="B3" s="672"/>
      <c r="C3" s="672"/>
      <c r="D3" s="672"/>
      <c r="E3" s="672"/>
      <c r="F3" s="673"/>
    </row>
    <row r="4" spans="1:6" ht="18.95" customHeight="1">
      <c r="A4" s="674" t="s">
        <v>595</v>
      </c>
      <c r="B4" s="675"/>
      <c r="C4" s="675"/>
      <c r="D4" s="675"/>
      <c r="E4" s="675"/>
      <c r="F4" s="676"/>
    </row>
    <row r="5" spans="1:6" ht="18.95" customHeight="1">
      <c r="A5" s="608"/>
      <c r="B5" s="609"/>
      <c r="C5" s="609"/>
      <c r="D5" s="609"/>
      <c r="E5" s="609"/>
      <c r="F5" s="610"/>
    </row>
    <row r="6" spans="1:6" ht="18.95" customHeight="1">
      <c r="A6" s="611" t="s">
        <v>571</v>
      </c>
      <c r="B6" s="666" t="str">
        <f>'Performance Data Sheet'!C17</f>
        <v>7003WTQK11F-C</v>
      </c>
      <c r="C6" s="667"/>
      <c r="D6" s="668"/>
      <c r="E6" s="611" t="s">
        <v>572</v>
      </c>
      <c r="F6" s="612" t="str">
        <f>'Performance Data Sheet'!I14</f>
        <v>152/88</v>
      </c>
    </row>
    <row r="7" spans="1:6" ht="18.95" customHeight="1">
      <c r="A7" s="611" t="s">
        <v>573</v>
      </c>
      <c r="B7" s="612" t="str">
        <f>'Performance Data Sheet'!F14</f>
        <v>WP-II</v>
      </c>
      <c r="C7" s="611" t="s">
        <v>574</v>
      </c>
      <c r="D7" s="612" t="str">
        <f>'Performance Data Sheet'!F13 &amp; " V"</f>
        <v>2300/4000 V</v>
      </c>
      <c r="E7" s="611" t="s">
        <v>575</v>
      </c>
      <c r="F7" s="612" t="str">
        <f>'Performance Data Sheet'!C14</f>
        <v>5011/12</v>
      </c>
    </row>
    <row r="8" spans="1:6" ht="18.95" customHeight="1">
      <c r="A8" s="611" t="s">
        <v>576</v>
      </c>
      <c r="B8" s="612">
        <v>2</v>
      </c>
      <c r="C8" s="611" t="s">
        <v>577</v>
      </c>
      <c r="D8" s="612" t="s">
        <v>578</v>
      </c>
      <c r="E8" s="611" t="s">
        <v>579</v>
      </c>
      <c r="F8" s="612" t="str">
        <f>'Performance Data Sheet'!M15</f>
        <v>F</v>
      </c>
    </row>
    <row r="9" spans="1:6" ht="18.95" customHeight="1">
      <c r="A9" s="611" t="s">
        <v>580</v>
      </c>
      <c r="B9" s="612">
        <f>'Performance Data Sheet'!C13</f>
        <v>700</v>
      </c>
      <c r="C9" s="611" t="s">
        <v>581</v>
      </c>
      <c r="D9" s="612" t="s">
        <v>591</v>
      </c>
      <c r="E9" s="611" t="s">
        <v>2</v>
      </c>
      <c r="F9" s="613">
        <f>'Performance Data Sheet'!K44</f>
        <v>43578</v>
      </c>
    </row>
    <row r="10" spans="1:6" ht="18.95" customHeight="1">
      <c r="A10" s="611" t="s">
        <v>582</v>
      </c>
      <c r="B10" s="612">
        <f>'Performance Data Sheet'!M14</f>
        <v>3575</v>
      </c>
      <c r="C10" s="611" t="s">
        <v>403</v>
      </c>
      <c r="D10" s="612" t="s">
        <v>592</v>
      </c>
      <c r="E10" s="611" t="s">
        <v>1</v>
      </c>
      <c r="F10" s="612" t="s">
        <v>714</v>
      </c>
    </row>
    <row r="11" spans="1:6" ht="18.95" customHeight="1">
      <c r="A11" s="608"/>
      <c r="B11" s="609"/>
      <c r="C11" s="609"/>
      <c r="D11" s="609"/>
      <c r="E11" s="609"/>
      <c r="F11" s="610"/>
    </row>
    <row r="12" spans="1:6" ht="18.95" customHeight="1">
      <c r="A12" s="608"/>
      <c r="B12" s="614"/>
      <c r="C12" s="615" t="str">
        <f>'Performance Data Sheet'!D22 &amp; " A"</f>
        <v>805/465 A</v>
      </c>
      <c r="D12" s="614"/>
      <c r="E12" s="615"/>
      <c r="F12" s="610"/>
    </row>
    <row r="13" spans="1:6" ht="18.95" customHeight="1">
      <c r="A13" s="608"/>
      <c r="B13" s="614"/>
      <c r="C13" s="616">
        <f>'Performance Data Sheet'!H23/100</f>
        <v>0.85</v>
      </c>
      <c r="D13" s="614"/>
      <c r="E13" s="615"/>
      <c r="F13" s="610"/>
    </row>
    <row r="14" spans="1:6" ht="18.95" customHeight="1">
      <c r="A14" s="608"/>
      <c r="B14" s="614"/>
      <c r="C14" s="616"/>
      <c r="D14" s="614"/>
      <c r="E14" s="615"/>
      <c r="F14" s="610"/>
    </row>
    <row r="15" spans="1:6" ht="18.95" customHeight="1">
      <c r="A15" s="608"/>
      <c r="B15" s="614"/>
      <c r="C15" s="615" t="str">
        <f>'Performance Data Sheet'!H22 &amp; " lb-ft"</f>
        <v>1028 lb-ft</v>
      </c>
      <c r="D15" s="609"/>
      <c r="E15" s="609"/>
      <c r="F15" s="610"/>
    </row>
    <row r="16" spans="1:6" ht="18.95" customHeight="1">
      <c r="A16" s="608"/>
      <c r="B16" s="609"/>
      <c r="C16" s="609"/>
      <c r="D16" s="609"/>
      <c r="E16" s="609"/>
      <c r="F16" s="610"/>
    </row>
    <row r="17" spans="1:6" ht="18.95" customHeight="1">
      <c r="A17" s="608"/>
      <c r="B17" s="609"/>
      <c r="C17" s="609"/>
      <c r="D17" s="609"/>
      <c r="E17" s="609"/>
      <c r="F17" s="610"/>
    </row>
    <row r="18" spans="1:6" ht="18.95" customHeight="1">
      <c r="A18" s="608"/>
      <c r="B18" s="609"/>
      <c r="C18" s="609"/>
      <c r="D18" s="609"/>
      <c r="E18" s="609"/>
      <c r="F18" s="610"/>
    </row>
    <row r="19" spans="1:6" ht="18.95" customHeight="1">
      <c r="A19" s="608"/>
      <c r="B19" s="609"/>
      <c r="C19" s="609"/>
      <c r="D19" s="609"/>
      <c r="E19" s="609"/>
      <c r="F19" s="610"/>
    </row>
    <row r="20" spans="1:6" ht="18.95" customHeight="1">
      <c r="A20" s="608"/>
      <c r="B20" s="609"/>
      <c r="C20" s="609"/>
      <c r="D20" s="609"/>
      <c r="E20" s="609"/>
      <c r="F20" s="610"/>
    </row>
    <row r="21" spans="1:6" ht="18.95" customHeight="1">
      <c r="A21" s="608"/>
      <c r="B21" s="609"/>
      <c r="C21" s="609"/>
      <c r="D21" s="609"/>
      <c r="E21" s="609"/>
      <c r="F21" s="610"/>
    </row>
    <row r="22" spans="1:6" ht="18.95" customHeight="1">
      <c r="A22" s="608"/>
      <c r="B22" s="609"/>
      <c r="C22" s="609"/>
      <c r="D22" s="609"/>
      <c r="E22" s="609"/>
      <c r="F22" s="610"/>
    </row>
    <row r="23" spans="1:6" ht="18.95" customHeight="1">
      <c r="A23" s="608"/>
      <c r="B23" s="609"/>
      <c r="C23" s="609"/>
      <c r="D23" s="609"/>
      <c r="E23" s="609"/>
      <c r="F23" s="610"/>
    </row>
    <row r="24" spans="1:6" ht="18.95" customHeight="1">
      <c r="A24" s="608"/>
      <c r="B24" s="609"/>
      <c r="C24" s="609"/>
      <c r="D24" s="609"/>
      <c r="E24" s="609"/>
      <c r="F24" s="610"/>
    </row>
    <row r="25" spans="1:6" ht="18.95" customHeight="1">
      <c r="A25" s="608"/>
      <c r="B25" s="609"/>
      <c r="C25" s="609"/>
      <c r="D25" s="609"/>
      <c r="E25" s="609"/>
      <c r="F25" s="610"/>
    </row>
    <row r="26" spans="1:6" ht="18.95" customHeight="1">
      <c r="A26" s="608"/>
      <c r="B26" s="609"/>
      <c r="C26" s="609"/>
      <c r="D26" s="609"/>
      <c r="E26" s="609"/>
      <c r="F26" s="610"/>
    </row>
    <row r="27" spans="1:6" ht="18.95" customHeight="1">
      <c r="A27" s="608"/>
      <c r="B27" s="609"/>
      <c r="C27" s="609"/>
      <c r="D27" s="609"/>
      <c r="E27" s="609"/>
      <c r="F27" s="610"/>
    </row>
    <row r="28" spans="1:6" ht="18.95" customHeight="1">
      <c r="A28" s="608"/>
      <c r="B28" s="609"/>
      <c r="C28" s="609"/>
      <c r="D28" s="609"/>
      <c r="E28" s="609"/>
      <c r="F28" s="610"/>
    </row>
    <row r="29" spans="1:6" ht="18.95" customHeight="1">
      <c r="A29" s="608"/>
      <c r="B29" s="609"/>
      <c r="C29" s="609"/>
      <c r="D29" s="609"/>
      <c r="E29" s="609"/>
      <c r="F29" s="610"/>
    </row>
    <row r="30" spans="1:6" ht="18.95" customHeight="1">
      <c r="A30" s="608"/>
      <c r="B30" s="609"/>
      <c r="C30" s="609"/>
      <c r="D30" s="609"/>
      <c r="E30" s="609"/>
      <c r="F30" s="610"/>
    </row>
    <row r="31" spans="1:6" ht="18.95" customHeight="1">
      <c r="A31" s="608"/>
      <c r="B31" s="609"/>
      <c r="C31" s="609"/>
      <c r="D31" s="609"/>
      <c r="E31" s="609"/>
      <c r="F31" s="610"/>
    </row>
    <row r="32" spans="1:6" ht="18.95" customHeight="1">
      <c r="A32" s="608"/>
      <c r="B32" s="609"/>
      <c r="C32" s="609"/>
      <c r="D32" s="609"/>
      <c r="E32" s="609"/>
      <c r="F32" s="610"/>
    </row>
    <row r="33" spans="1:6" ht="18.95" customHeight="1">
      <c r="A33" s="608"/>
      <c r="B33" s="609"/>
      <c r="C33" s="609"/>
      <c r="D33" s="609"/>
      <c r="E33" s="609"/>
      <c r="F33" s="610"/>
    </row>
    <row r="34" spans="1:6" ht="18.95" customHeight="1">
      <c r="A34" s="608"/>
      <c r="B34" s="609"/>
      <c r="C34" s="609"/>
      <c r="D34" s="609"/>
      <c r="E34" s="609"/>
      <c r="F34" s="610"/>
    </row>
    <row r="35" spans="1:6" ht="18.95" customHeight="1">
      <c r="A35" s="608"/>
      <c r="B35" s="609"/>
      <c r="C35" s="609"/>
      <c r="D35" s="609"/>
      <c r="E35" s="609"/>
      <c r="F35" s="610"/>
    </row>
    <row r="36" spans="1:6" ht="18.95" customHeight="1">
      <c r="A36" s="608"/>
      <c r="B36" s="609"/>
      <c r="C36" s="609"/>
      <c r="D36" s="609"/>
      <c r="E36" s="609"/>
      <c r="F36" s="610"/>
    </row>
    <row r="37" spans="1:6" ht="18.95" customHeight="1">
      <c r="A37" s="608"/>
      <c r="B37" s="609"/>
      <c r="C37" s="609"/>
      <c r="D37" s="609"/>
      <c r="E37" s="609"/>
      <c r="F37" s="610"/>
    </row>
    <row r="38" spans="1:6" ht="18.95" customHeight="1">
      <c r="A38" s="608"/>
      <c r="B38" s="609"/>
      <c r="C38" s="609"/>
      <c r="D38" s="609"/>
      <c r="E38" s="609"/>
      <c r="F38" s="610"/>
    </row>
    <row r="39" spans="1:6" ht="18.95" customHeight="1">
      <c r="A39" s="617" t="s">
        <v>587</v>
      </c>
      <c r="B39" s="618" t="s">
        <v>373</v>
      </c>
      <c r="C39" s="591" t="str">
        <f>'Performance Data Sheet'!C10</f>
        <v>-</v>
      </c>
      <c r="D39" s="609"/>
      <c r="E39" s="614" t="s">
        <v>588</v>
      </c>
      <c r="F39" s="619" t="str">
        <f>F10</f>
        <v>DT2700K</v>
      </c>
    </row>
    <row r="40" spans="1:6" ht="18.95" customHeight="1">
      <c r="A40" s="608"/>
      <c r="B40" s="618"/>
      <c r="C40" s="618"/>
      <c r="D40" s="609"/>
      <c r="E40" s="609"/>
      <c r="F40" s="610"/>
    </row>
    <row r="41" spans="1:6" ht="18.95" customHeight="1">
      <c r="A41" s="608"/>
      <c r="B41" s="618"/>
      <c r="C41" s="618"/>
      <c r="D41" s="609"/>
      <c r="E41" s="609"/>
      <c r="F41" s="610"/>
    </row>
    <row r="42" spans="1:6" ht="18.95" customHeight="1">
      <c r="A42" s="608"/>
      <c r="B42" s="609"/>
      <c r="C42" s="609"/>
      <c r="D42" s="609"/>
      <c r="E42" s="609"/>
      <c r="F42" s="610"/>
    </row>
    <row r="43" spans="1:6" ht="18.95" customHeight="1">
      <c r="A43" s="620"/>
      <c r="B43" s="618"/>
      <c r="C43" s="621" t="s">
        <v>589</v>
      </c>
      <c r="D43" s="622" t="str">
        <f>'Performance Data Sheet'!K42</f>
        <v>Zichao Xie</v>
      </c>
      <c r="E43" s="621" t="s">
        <v>590</v>
      </c>
      <c r="F43" s="622"/>
    </row>
    <row r="44" spans="1:6" ht="15" customHeight="1"/>
    <row r="45" spans="1:6" ht="15" customHeight="1"/>
    <row r="46" spans="1:6" ht="15" customHeight="1"/>
    <row r="47" spans="1:6" ht="15" customHeight="1"/>
    <row r="48" spans="1:6" ht="15" customHeight="1"/>
    <row r="49" spans="6:9" ht="15" customHeight="1"/>
    <row r="50" spans="6:9" ht="15" customHeight="1">
      <c r="F50" s="636" t="e">
        <f>5252.1*B50/D53</f>
        <v>#DIV/0!</v>
      </c>
      <c r="G50" s="636"/>
    </row>
    <row r="51" spans="6:9" ht="15" customHeight="1">
      <c r="G51" s="637"/>
    </row>
    <row r="52" spans="6:9" ht="15" customHeight="1"/>
    <row r="53" spans="6:9" ht="15" customHeight="1"/>
    <row r="54" spans="6:9" ht="15" customHeight="1"/>
    <row r="55" spans="6:9" ht="15" customHeight="1"/>
    <row r="56" spans="6:9" ht="15" customHeight="1"/>
    <row r="62" spans="6:9">
      <c r="I62" s="638"/>
    </row>
    <row r="63" spans="6:9">
      <c r="I63" s="639" t="s">
        <v>39</v>
      </c>
    </row>
    <row r="64" spans="6:9">
      <c r="I64" s="639"/>
    </row>
    <row r="65" spans="1:9">
      <c r="I65" s="639"/>
    </row>
    <row r="66" spans="1:9">
      <c r="D66" s="636" t="e">
        <f>D65/D64</f>
        <v>#DIV/0!</v>
      </c>
    </row>
    <row r="67" spans="1:9">
      <c r="A67" s="592" t="s">
        <v>398</v>
      </c>
      <c r="B67" s="592" t="s">
        <v>596</v>
      </c>
      <c r="C67" s="592" t="s">
        <v>597</v>
      </c>
      <c r="E67" s="592" t="s">
        <v>598</v>
      </c>
      <c r="F67" s="592" t="s">
        <v>599</v>
      </c>
    </row>
    <row r="68" spans="1:9">
      <c r="A68" s="640">
        <v>528.40909090909088</v>
      </c>
      <c r="B68" s="641">
        <v>35</v>
      </c>
      <c r="C68" s="641">
        <v>15</v>
      </c>
      <c r="E68" s="640">
        <f>A68</f>
        <v>528.40909090909088</v>
      </c>
      <c r="F68" s="641">
        <v>1E-4</v>
      </c>
    </row>
    <row r="69" spans="1:9">
      <c r="A69" s="640">
        <v>492.94294090909091</v>
      </c>
      <c r="B69" s="641">
        <f>((A68/A69)^2)*B68</f>
        <v>40.217521466291672</v>
      </c>
      <c r="C69" s="641">
        <f>((A68/A69)^2)*C68</f>
        <v>17.236080628410715</v>
      </c>
      <c r="E69" s="640">
        <v>527.27272727272725</v>
      </c>
      <c r="F69" s="641">
        <v>1.1330000162124634</v>
      </c>
    </row>
    <row r="70" spans="1:9">
      <c r="A70" s="640">
        <v>457.46614999999997</v>
      </c>
      <c r="B70" s="641">
        <f>((A68/A70)^2)*B68</f>
        <v>46.697182449587856</v>
      </c>
      <c r="C70" s="641">
        <f>((A68/A70)^2)*C68</f>
        <v>20.01307819268051</v>
      </c>
      <c r="E70" s="640">
        <v>524.77272727272725</v>
      </c>
      <c r="F70" s="641">
        <v>2.0899999141693115</v>
      </c>
    </row>
    <row r="71" spans="1:9">
      <c r="A71" s="640">
        <v>422</v>
      </c>
      <c r="B71" s="641">
        <f>((A68/A71)^2)*B68</f>
        <v>54.876158764616783</v>
      </c>
      <c r="C71" s="641">
        <f>((A68/A71)^2)*C68</f>
        <v>23.518353756264336</v>
      </c>
      <c r="E71" s="640">
        <v>521.81818181818187</v>
      </c>
      <c r="F71" s="641">
        <v>2.9829998016357422</v>
      </c>
    </row>
    <row r="72" spans="1:9">
      <c r="A72" s="640">
        <f>A71-100</f>
        <v>322</v>
      </c>
      <c r="B72" s="641">
        <f>((A68/A72)^2)*B68</f>
        <v>94.253364621716116</v>
      </c>
      <c r="C72" s="641"/>
      <c r="E72" s="640">
        <v>518.63636363636363</v>
      </c>
      <c r="F72" s="641">
        <v>3.8609998226165771</v>
      </c>
    </row>
    <row r="73" spans="1:9">
      <c r="A73" s="640">
        <f>A72-100</f>
        <v>222</v>
      </c>
      <c r="B73" s="641">
        <f>((A68/A73)^2)*B68</f>
        <v>198.29084200629038</v>
      </c>
      <c r="C73" s="641"/>
      <c r="E73" s="640">
        <v>515</v>
      </c>
      <c r="F73" s="641">
        <v>4.7599997520446777</v>
      </c>
    </row>
    <row r="74" spans="1:9">
      <c r="A74" s="640">
        <v>275</v>
      </c>
      <c r="B74" s="641">
        <f>((A68/A74)^2)*B68</f>
        <v>129.22401133802336</v>
      </c>
      <c r="C74" s="641">
        <f>((A68/A74)^2)*C68</f>
        <v>55.381719144867155</v>
      </c>
      <c r="E74" s="640">
        <v>510.90909090909093</v>
      </c>
      <c r="F74" s="641">
        <v>5.7019996643066406</v>
      </c>
    </row>
    <row r="75" spans="1:9">
      <c r="A75" s="642">
        <v>180</v>
      </c>
      <c r="B75" s="641">
        <f>((A68/A75)^2)*B69</f>
        <v>346.5858705046407</v>
      </c>
      <c r="C75" s="641">
        <f>((A68/A75)^2)*C68</f>
        <v>129.26674414600552</v>
      </c>
      <c r="E75" s="640">
        <v>506.47727272727275</v>
      </c>
      <c r="F75" s="641">
        <v>6.6999998092651367</v>
      </c>
    </row>
    <row r="76" spans="1:9">
      <c r="A76" s="642">
        <v>145</v>
      </c>
      <c r="B76" s="641">
        <f>((A68/A76)^2)*B68</f>
        <v>464.80693733355599</v>
      </c>
      <c r="C76" s="641">
        <f>((A68/A76)^2)*C68</f>
        <v>199.20297314295257</v>
      </c>
      <c r="E76" s="640">
        <v>500.11363636363637</v>
      </c>
      <c r="F76" s="641">
        <v>7.7630000114440918</v>
      </c>
    </row>
    <row r="77" spans="1:9">
      <c r="A77" s="642">
        <v>125</v>
      </c>
      <c r="B77" s="641"/>
      <c r="C77" s="640">
        <f>CEILING(C76*2,100)</f>
        <v>400</v>
      </c>
      <c r="E77" s="640">
        <v>491.70454545454544</v>
      </c>
      <c r="F77" s="641">
        <v>8.2729997634887695</v>
      </c>
    </row>
    <row r="78" spans="1:9">
      <c r="A78" s="642">
        <v>125</v>
      </c>
      <c r="B78" s="641"/>
      <c r="C78" s="640">
        <f>2*C77</f>
        <v>800</v>
      </c>
      <c r="E78" s="640">
        <v>476.36363636363637</v>
      </c>
      <c r="F78" s="641">
        <v>8.6669998168945313</v>
      </c>
    </row>
    <row r="79" spans="1:9">
      <c r="A79" s="642">
        <v>125</v>
      </c>
      <c r="B79" s="642"/>
      <c r="C79" s="642">
        <v>10000</v>
      </c>
      <c r="E79" s="640">
        <v>426.13636363636363</v>
      </c>
      <c r="F79" s="641">
        <v>8.9110002517700195</v>
      </c>
    </row>
    <row r="80" spans="1:9">
      <c r="E80" s="640">
        <f>A77</f>
        <v>125</v>
      </c>
      <c r="F80" s="641">
        <v>9.1240005493164062</v>
      </c>
    </row>
    <row r="81" spans="5:6">
      <c r="E81" s="640">
        <v>0</v>
      </c>
      <c r="F81" s="641">
        <v>9.2190008163452148</v>
      </c>
    </row>
  </sheetData>
  <mergeCells count="3">
    <mergeCell ref="A3:F3"/>
    <mergeCell ref="A4:F4"/>
    <mergeCell ref="B6:D6"/>
  </mergeCells>
  <printOptions horizontalCentered="1" verticalCentered="1"/>
  <pageMargins left="0.59055118110236204" right="0.59055118110236204" top="0.59055118110236204" bottom="0.59055118110236204" header="0" footer="0"/>
  <pageSetup scale="87" orientation="portrait" horizontalDpi="0" verticalDpi="300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67"/>
  <sheetViews>
    <sheetView workbookViewId="0">
      <selection activeCell="R21" sqref="R21"/>
    </sheetView>
  </sheetViews>
  <sheetFormatPr defaultRowHeight="12.75"/>
  <cols>
    <col min="1" max="6" width="16.7109375" style="474" customWidth="1"/>
    <col min="7" max="16384" width="9.140625" style="474"/>
  </cols>
  <sheetData>
    <row r="1" spans="1:6" ht="18.95" customHeight="1">
      <c r="A1" s="601"/>
      <c r="B1" s="602"/>
      <c r="C1" s="602"/>
      <c r="D1" s="602"/>
      <c r="E1" s="602"/>
      <c r="F1" s="603"/>
    </row>
    <row r="2" spans="1:6" ht="26.1" customHeight="1">
      <c r="A2" s="604" t="s">
        <v>272</v>
      </c>
      <c r="B2" s="605"/>
      <c r="C2" s="605"/>
      <c r="D2" s="605"/>
      <c r="E2" s="605"/>
      <c r="F2" s="606"/>
    </row>
    <row r="3" spans="1:6" ht="18.95" customHeight="1">
      <c r="A3" s="607" t="s">
        <v>600</v>
      </c>
      <c r="B3" s="605"/>
      <c r="C3" s="605"/>
      <c r="D3" s="605"/>
      <c r="E3" s="605"/>
      <c r="F3" s="606"/>
    </row>
    <row r="4" spans="1:6" ht="18.95" customHeight="1">
      <c r="A4" s="674" t="s">
        <v>595</v>
      </c>
      <c r="B4" s="675"/>
      <c r="C4" s="675"/>
      <c r="D4" s="675"/>
      <c r="E4" s="675"/>
      <c r="F4" s="676"/>
    </row>
    <row r="5" spans="1:6" ht="18.95" customHeight="1">
      <c r="A5" s="608"/>
      <c r="B5" s="609"/>
      <c r="C5" s="609"/>
      <c r="D5" s="609"/>
      <c r="E5" s="609"/>
      <c r="F5" s="610"/>
    </row>
    <row r="6" spans="1:6" ht="18.95" customHeight="1">
      <c r="A6" s="611" t="s">
        <v>571</v>
      </c>
      <c r="B6" s="666" t="str">
        <f>'Performance Data Sheet'!C17</f>
        <v>7003WTQK11F-C</v>
      </c>
      <c r="C6" s="667"/>
      <c r="D6" s="668"/>
      <c r="E6" s="611" t="s">
        <v>572</v>
      </c>
      <c r="F6" s="612" t="str">
        <f>'Performance Data Sheet'!I14</f>
        <v>152/88</v>
      </c>
    </row>
    <row r="7" spans="1:6" ht="18.95" customHeight="1">
      <c r="A7" s="611" t="s">
        <v>573</v>
      </c>
      <c r="B7" s="612" t="str">
        <f>'Performance Data Sheet'!F14</f>
        <v>WP-II</v>
      </c>
      <c r="C7" s="611" t="s">
        <v>574</v>
      </c>
      <c r="D7" s="612" t="str">
        <f>'Performance Data Sheet'!F13 &amp; " V"</f>
        <v>2300/4000 V</v>
      </c>
      <c r="E7" s="611" t="s">
        <v>575</v>
      </c>
      <c r="F7" s="612" t="str">
        <f>'Performance Data Sheet'!C14</f>
        <v>5011/12</v>
      </c>
    </row>
    <row r="8" spans="1:6" ht="18.95" customHeight="1">
      <c r="A8" s="611" t="s">
        <v>576</v>
      </c>
      <c r="B8" s="612">
        <v>2</v>
      </c>
      <c r="C8" s="611" t="s">
        <v>577</v>
      </c>
      <c r="D8" s="612" t="s">
        <v>578</v>
      </c>
      <c r="E8" s="611" t="s">
        <v>579</v>
      </c>
      <c r="F8" s="612" t="str">
        <f>'Performance Data Sheet'!M15</f>
        <v>F</v>
      </c>
    </row>
    <row r="9" spans="1:6" ht="18.95" customHeight="1">
      <c r="A9" s="611" t="s">
        <v>580</v>
      </c>
      <c r="B9" s="612">
        <f>'Performance Data Sheet'!C13</f>
        <v>700</v>
      </c>
      <c r="C9" s="611" t="s">
        <v>581</v>
      </c>
      <c r="D9" s="612" t="s">
        <v>591</v>
      </c>
      <c r="E9" s="611" t="s">
        <v>2</v>
      </c>
      <c r="F9" s="613">
        <f>'Performance Data Sheet'!K44</f>
        <v>43578</v>
      </c>
    </row>
    <row r="10" spans="1:6" ht="18.95" customHeight="1">
      <c r="A10" s="611" t="s">
        <v>582</v>
      </c>
      <c r="B10" s="612">
        <f>'Performance Data Sheet'!M14</f>
        <v>3575</v>
      </c>
      <c r="C10" s="611" t="s">
        <v>403</v>
      </c>
      <c r="D10" s="612" t="s">
        <v>592</v>
      </c>
      <c r="E10" s="611" t="s">
        <v>1</v>
      </c>
      <c r="F10" s="612" t="s">
        <v>714</v>
      </c>
    </row>
    <row r="11" spans="1:6" ht="18.95" customHeight="1">
      <c r="A11" s="608"/>
      <c r="B11" s="609"/>
      <c r="C11" s="609"/>
      <c r="D11" s="609"/>
      <c r="E11" s="609"/>
      <c r="F11" s="610"/>
    </row>
    <row r="12" spans="1:6" ht="18.95" customHeight="1">
      <c r="A12" s="608"/>
      <c r="B12" s="614" t="s">
        <v>583</v>
      </c>
      <c r="C12" s="615" t="str">
        <f>'Performance Data Sheet'!D22 &amp; " A"</f>
        <v>805/465 A</v>
      </c>
      <c r="D12" s="614" t="s">
        <v>402</v>
      </c>
      <c r="E12" s="615" t="s">
        <v>406</v>
      </c>
      <c r="F12" s="610"/>
    </row>
    <row r="13" spans="1:6" ht="18.95" customHeight="1">
      <c r="A13" s="608"/>
      <c r="B13" s="614" t="s">
        <v>584</v>
      </c>
      <c r="C13" s="616">
        <f>'Performance Data Sheet'!H23/100</f>
        <v>0.85</v>
      </c>
      <c r="D13" s="614" t="s">
        <v>585</v>
      </c>
      <c r="E13" s="615" t="s">
        <v>593</v>
      </c>
      <c r="F13" s="610"/>
    </row>
    <row r="14" spans="1:6" ht="18.95" customHeight="1">
      <c r="A14" s="608"/>
      <c r="B14" s="614" t="s">
        <v>586</v>
      </c>
      <c r="C14" s="616">
        <v>2.75</v>
      </c>
      <c r="D14" s="614" t="s">
        <v>404</v>
      </c>
      <c r="E14" s="615" t="s">
        <v>409</v>
      </c>
      <c r="F14" s="610"/>
    </row>
    <row r="15" spans="1:6" ht="18.95" customHeight="1">
      <c r="A15" s="608"/>
      <c r="B15" s="614" t="s">
        <v>405</v>
      </c>
      <c r="C15" s="615" t="str">
        <f>'Performance Data Sheet'!H22 &amp; " lb-ft"</f>
        <v>1028 lb-ft</v>
      </c>
      <c r="D15" s="609"/>
      <c r="E15" s="609"/>
      <c r="F15" s="610"/>
    </row>
    <row r="16" spans="1:6" ht="18.95" customHeight="1">
      <c r="A16" s="608"/>
      <c r="B16" s="609"/>
      <c r="C16" s="609"/>
      <c r="D16" s="609"/>
      <c r="E16" s="609"/>
      <c r="F16" s="610"/>
    </row>
    <row r="17" spans="1:8" ht="18.95" customHeight="1">
      <c r="A17" s="608"/>
      <c r="B17" s="609"/>
      <c r="C17" s="609"/>
      <c r="D17" s="609"/>
      <c r="E17" s="609"/>
      <c r="F17" s="610"/>
    </row>
    <row r="18" spans="1:8" ht="18.95" customHeight="1">
      <c r="A18" s="608"/>
      <c r="B18" s="609"/>
      <c r="C18" s="609"/>
      <c r="D18" s="609"/>
      <c r="E18" s="609"/>
      <c r="F18" s="610"/>
    </row>
    <row r="19" spans="1:8" ht="18.95" customHeight="1">
      <c r="A19" s="608"/>
      <c r="B19" s="609"/>
      <c r="C19" s="609"/>
      <c r="D19" s="609"/>
      <c r="E19" s="609"/>
      <c r="F19" s="610"/>
    </row>
    <row r="20" spans="1:8" ht="18.95" customHeight="1">
      <c r="A20" s="608"/>
      <c r="B20" s="609"/>
      <c r="C20" s="609"/>
      <c r="D20" s="609"/>
      <c r="E20" s="609"/>
      <c r="F20" s="610"/>
    </row>
    <row r="21" spans="1:8" ht="18.95" customHeight="1">
      <c r="A21" s="608"/>
      <c r="B21" s="609"/>
      <c r="C21" s="609"/>
      <c r="D21" s="609"/>
      <c r="E21" s="609"/>
      <c r="F21" s="610"/>
    </row>
    <row r="22" spans="1:8" ht="18.95" customHeight="1">
      <c r="A22" s="608"/>
      <c r="B22" s="609"/>
      <c r="C22" s="609"/>
      <c r="D22" s="609"/>
      <c r="E22" s="609"/>
      <c r="F22" s="610"/>
    </row>
    <row r="23" spans="1:8" ht="18.95" customHeight="1">
      <c r="A23" s="608"/>
      <c r="B23" s="609"/>
      <c r="C23" s="609"/>
      <c r="D23" s="609"/>
      <c r="E23" s="609"/>
      <c r="F23" s="610"/>
    </row>
    <row r="24" spans="1:8" ht="18.95" customHeight="1">
      <c r="A24" s="608"/>
      <c r="B24" s="609"/>
      <c r="C24" s="609"/>
      <c r="D24" s="609"/>
      <c r="E24" s="609"/>
      <c r="F24" s="610"/>
      <c r="H24" s="476"/>
    </row>
    <row r="25" spans="1:8" ht="18.95" customHeight="1">
      <c r="A25" s="608"/>
      <c r="B25" s="609"/>
      <c r="C25" s="609"/>
      <c r="D25" s="609"/>
      <c r="E25" s="609"/>
      <c r="F25" s="610"/>
    </row>
    <row r="26" spans="1:8" ht="18.95" customHeight="1">
      <c r="A26" s="608"/>
      <c r="B26" s="609"/>
      <c r="C26" s="609"/>
      <c r="D26" s="609"/>
      <c r="E26" s="609"/>
      <c r="F26" s="610"/>
    </row>
    <row r="27" spans="1:8" ht="18.95" customHeight="1">
      <c r="A27" s="608"/>
      <c r="B27" s="609"/>
      <c r="C27" s="609"/>
      <c r="D27" s="609"/>
      <c r="E27" s="609"/>
      <c r="F27" s="610"/>
    </row>
    <row r="28" spans="1:8" ht="18.95" customHeight="1">
      <c r="A28" s="608"/>
      <c r="B28" s="609"/>
      <c r="C28" s="609"/>
      <c r="D28" s="609"/>
      <c r="E28" s="609"/>
      <c r="F28" s="610"/>
    </row>
    <row r="29" spans="1:8" ht="18.95" customHeight="1">
      <c r="A29" s="608"/>
      <c r="B29" s="609"/>
      <c r="C29" s="609"/>
      <c r="D29" s="609"/>
      <c r="E29" s="609"/>
      <c r="F29" s="610"/>
    </row>
    <row r="30" spans="1:8" ht="18.95" customHeight="1">
      <c r="A30" s="608"/>
      <c r="B30" s="609"/>
      <c r="C30" s="609"/>
      <c r="D30" s="609"/>
      <c r="E30" s="609"/>
      <c r="F30" s="610"/>
    </row>
    <row r="31" spans="1:8" ht="18.95" customHeight="1">
      <c r="A31" s="608"/>
      <c r="B31" s="609"/>
      <c r="C31" s="609"/>
      <c r="D31" s="609"/>
      <c r="E31" s="609"/>
      <c r="F31" s="610"/>
    </row>
    <row r="32" spans="1:8" ht="18.95" customHeight="1">
      <c r="A32" s="608"/>
      <c r="B32" s="609"/>
      <c r="C32" s="609"/>
      <c r="D32" s="609"/>
      <c r="E32" s="609"/>
      <c r="F32" s="610"/>
    </row>
    <row r="33" spans="1:6" ht="18.95" customHeight="1">
      <c r="A33" s="608"/>
      <c r="B33" s="609"/>
      <c r="C33" s="609"/>
      <c r="D33" s="609"/>
      <c r="E33" s="609"/>
      <c r="F33" s="610"/>
    </row>
    <row r="34" spans="1:6" ht="18.95" customHeight="1">
      <c r="A34" s="608"/>
      <c r="B34" s="609"/>
      <c r="C34" s="609"/>
      <c r="D34" s="609"/>
      <c r="E34" s="609"/>
      <c r="F34" s="610"/>
    </row>
    <row r="35" spans="1:6" ht="18.95" customHeight="1">
      <c r="A35" s="608"/>
      <c r="B35" s="609"/>
      <c r="C35" s="609"/>
      <c r="D35" s="609"/>
      <c r="E35" s="609"/>
      <c r="F35" s="610"/>
    </row>
    <row r="36" spans="1:6" ht="18.95" customHeight="1">
      <c r="A36" s="608"/>
      <c r="B36" s="609"/>
      <c r="C36" s="609"/>
      <c r="D36" s="609"/>
      <c r="E36" s="609"/>
      <c r="F36" s="610"/>
    </row>
    <row r="37" spans="1:6" ht="18.95" customHeight="1">
      <c r="A37" s="608"/>
      <c r="B37" s="609"/>
      <c r="C37" s="609"/>
      <c r="D37" s="609"/>
      <c r="E37" s="609"/>
      <c r="F37" s="610"/>
    </row>
    <row r="38" spans="1:6" ht="18.95" customHeight="1">
      <c r="A38" s="608"/>
      <c r="B38" s="609"/>
      <c r="C38" s="609"/>
      <c r="D38" s="609"/>
      <c r="E38" s="609"/>
      <c r="F38" s="610"/>
    </row>
    <row r="39" spans="1:6" ht="18.95" customHeight="1">
      <c r="A39" s="617" t="s">
        <v>587</v>
      </c>
      <c r="B39" s="618" t="s">
        <v>373</v>
      </c>
      <c r="C39" s="591" t="str">
        <f>'Performance Data Sheet'!C10</f>
        <v>-</v>
      </c>
      <c r="D39" s="609"/>
      <c r="E39" s="614" t="s">
        <v>588</v>
      </c>
      <c r="F39" s="619" t="str">
        <f>F10</f>
        <v>DT2700K</v>
      </c>
    </row>
    <row r="40" spans="1:6" ht="18.95" customHeight="1">
      <c r="A40" s="608"/>
      <c r="B40" s="618"/>
      <c r="C40" s="618"/>
      <c r="D40" s="609"/>
      <c r="E40" s="609"/>
      <c r="F40" s="610"/>
    </row>
    <row r="41" spans="1:6" ht="18.95" customHeight="1">
      <c r="A41" s="608"/>
      <c r="B41" s="618"/>
      <c r="C41" s="618"/>
      <c r="D41" s="609"/>
      <c r="E41" s="609"/>
      <c r="F41" s="610"/>
    </row>
    <row r="42" spans="1:6" ht="18.95" customHeight="1">
      <c r="A42" s="608"/>
      <c r="B42" s="609"/>
      <c r="C42" s="609"/>
      <c r="D42" s="609"/>
      <c r="E42" s="609"/>
      <c r="F42" s="610"/>
    </row>
    <row r="43" spans="1:6" ht="18.95" customHeight="1">
      <c r="A43" s="620"/>
      <c r="B43" s="618"/>
      <c r="C43" s="621" t="s">
        <v>589</v>
      </c>
      <c r="D43" s="622" t="str">
        <f>'Performance Data Sheet'!K42</f>
        <v>Zichao Xie</v>
      </c>
      <c r="E43" s="621" t="s">
        <v>590</v>
      </c>
      <c r="F43" s="622"/>
    </row>
    <row r="44" spans="1:6" ht="15" customHeight="1"/>
    <row r="45" spans="1:6" ht="15" customHeight="1"/>
    <row r="46" spans="1:6" ht="15" customHeight="1"/>
    <row r="47" spans="1:6" ht="15" customHeight="1"/>
    <row r="48" spans="1:6" ht="15" customHeight="1"/>
    <row r="49" spans="1:6" ht="15" customHeight="1"/>
    <row r="50" spans="1:6" ht="15" customHeight="1"/>
    <row r="51" spans="1:6" ht="15" customHeight="1"/>
    <row r="52" spans="1:6" ht="15" customHeight="1" thickBot="1"/>
    <row r="53" spans="1:6" ht="15" customHeight="1" thickBot="1">
      <c r="A53" s="477" t="s">
        <v>401</v>
      </c>
      <c r="B53" s="477" t="s">
        <v>142</v>
      </c>
      <c r="C53" s="477" t="s">
        <v>120</v>
      </c>
      <c r="D53" s="477" t="s">
        <v>135</v>
      </c>
      <c r="E53" s="477" t="s">
        <v>5</v>
      </c>
      <c r="F53" s="478" t="s">
        <v>601</v>
      </c>
    </row>
    <row r="54" spans="1:6" ht="15" customHeight="1">
      <c r="A54" s="479">
        <v>0</v>
      </c>
      <c r="B54" s="596"/>
      <c r="C54" s="480"/>
      <c r="D54" s="480">
        <v>24.717900167930161</v>
      </c>
      <c r="E54" s="480">
        <v>100</v>
      </c>
      <c r="F54" s="481">
        <f>10500/14000</f>
        <v>0.75</v>
      </c>
    </row>
    <row r="55" spans="1:6" ht="15" customHeight="1">
      <c r="A55" s="482">
        <v>25</v>
      </c>
      <c r="B55" s="483">
        <v>90.845504760742187</v>
      </c>
      <c r="C55" s="593">
        <v>60.976840972900391</v>
      </c>
      <c r="D55" s="593">
        <v>34.000255584716797</v>
      </c>
      <c r="E55" s="593">
        <v>82.500937407564777</v>
      </c>
      <c r="F55" s="594">
        <v>10.259517644350799</v>
      </c>
    </row>
    <row r="56" spans="1:6" ht="15" customHeight="1">
      <c r="A56" s="482">
        <v>50</v>
      </c>
      <c r="B56" s="483">
        <v>94.222488403320312</v>
      </c>
      <c r="C56" s="593">
        <v>80.865036010742187</v>
      </c>
      <c r="D56" s="593">
        <v>49.438480377197266</v>
      </c>
      <c r="E56" s="593">
        <v>71.754360266507831</v>
      </c>
      <c r="F56" s="594">
        <v>19.783619192883098</v>
      </c>
    </row>
    <row r="57" spans="1:6">
      <c r="A57" s="482">
        <v>75</v>
      </c>
      <c r="B57" s="483">
        <v>95.122550964355469</v>
      </c>
      <c r="C57" s="593">
        <v>87.268814086914063</v>
      </c>
      <c r="D57" s="593">
        <v>68.065826416015625</v>
      </c>
      <c r="E57" s="593">
        <v>60.792943114381323</v>
      </c>
      <c r="F57" s="594">
        <v>29.394633240944575</v>
      </c>
    </row>
    <row r="58" spans="1:6">
      <c r="A58" s="482">
        <v>100</v>
      </c>
      <c r="B58" s="483">
        <v>95.352523803710938</v>
      </c>
      <c r="C58" s="593">
        <v>89.598526000976563</v>
      </c>
      <c r="D58" s="593">
        <v>88.181480407714844</v>
      </c>
      <c r="E58" s="593">
        <v>49.715420489551285</v>
      </c>
      <c r="F58" s="594">
        <v>39.09831816416775</v>
      </c>
    </row>
    <row r="59" spans="1:6" ht="13.5" thickBot="1">
      <c r="A59" s="484">
        <v>125</v>
      </c>
      <c r="B59" s="485">
        <v>95.301795959472656</v>
      </c>
      <c r="C59" s="486">
        <v>90.38427734375</v>
      </c>
      <c r="D59" s="486">
        <v>109.32675170898437</v>
      </c>
      <c r="E59" s="486">
        <v>38.436511262518877</v>
      </c>
      <c r="F59" s="595">
        <v>48.898908823468659</v>
      </c>
    </row>
    <row r="60" spans="1:6">
      <c r="A60" s="623"/>
      <c r="B60" s="597"/>
      <c r="C60" s="597"/>
    </row>
    <row r="61" spans="1:6">
      <c r="A61" s="623"/>
      <c r="B61" s="597"/>
      <c r="C61" s="597"/>
    </row>
    <row r="62" spans="1:6">
      <c r="A62" s="623"/>
      <c r="B62" s="597"/>
      <c r="C62" s="597"/>
    </row>
    <row r="63" spans="1:6">
      <c r="A63" s="623"/>
      <c r="B63" s="597"/>
      <c r="C63" s="597"/>
    </row>
    <row r="64" spans="1:6">
      <c r="A64" s="623"/>
      <c r="B64" s="597"/>
      <c r="C64" s="597"/>
    </row>
    <row r="65" spans="1:3">
      <c r="A65" s="623"/>
      <c r="B65" s="597"/>
      <c r="C65" s="597"/>
    </row>
    <row r="66" spans="1:3">
      <c r="A66" s="623"/>
      <c r="B66" s="597"/>
      <c r="C66" s="597"/>
    </row>
    <row r="67" spans="1:3">
      <c r="A67" s="624"/>
      <c r="B67" s="597"/>
      <c r="C67" s="597"/>
    </row>
  </sheetData>
  <mergeCells count="2">
    <mergeCell ref="A4:F4"/>
    <mergeCell ref="B6:D6"/>
  </mergeCells>
  <printOptions horizontalCentered="1" verticalCentered="1"/>
  <pageMargins left="0.59055118110236204" right="0.59055118110236204" top="0.59055118110236204" bottom="0.59055118110236204" header="0" footer="0"/>
  <pageSetup scale="87" orientation="portrait" horizontalDpi="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9</vt:i4>
      </vt:variant>
    </vt:vector>
  </HeadingPairs>
  <TitlesOfParts>
    <vt:vector size="17" baseType="lpstr">
      <vt:lpstr>DesignSheet</vt:lpstr>
      <vt:lpstr>Data Sheet</vt:lpstr>
      <vt:lpstr>LoginSheet</vt:lpstr>
      <vt:lpstr>StallTime</vt:lpstr>
      <vt:lpstr>Performance Data Sheet</vt:lpstr>
      <vt:lpstr>STCurve</vt:lpstr>
      <vt:lpstr>Thermdam</vt:lpstr>
      <vt:lpstr>Performance</vt:lpstr>
      <vt:lpstr>'Data Sheet'!Print_Area</vt:lpstr>
      <vt:lpstr>DesignSheet!Print_Area</vt:lpstr>
      <vt:lpstr>LoginSheet!Print_Area</vt:lpstr>
      <vt:lpstr>Performance!Print_Area</vt:lpstr>
      <vt:lpstr>'Performance Data Sheet'!Print_Area</vt:lpstr>
      <vt:lpstr>StallTime!Print_Area</vt:lpstr>
      <vt:lpstr>STCurve!Print_Area</vt:lpstr>
      <vt:lpstr>Thermdam!Print_Area</vt:lpstr>
      <vt:lpstr>Print_Area_MI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DesOut</dc:title>
  <dc:creator>Xie, Zichao</dc:creator>
  <cp:lastModifiedBy>Xie, Zichao</cp:lastModifiedBy>
  <cp:lastPrinted>2017-05-22T14:20:14Z</cp:lastPrinted>
  <dcterms:created xsi:type="dcterms:W3CDTF">1997-10-03T20:37:30Z</dcterms:created>
  <dcterms:modified xsi:type="dcterms:W3CDTF">2019-04-23T16:40:42Z</dcterms:modified>
</cp:coreProperties>
</file>