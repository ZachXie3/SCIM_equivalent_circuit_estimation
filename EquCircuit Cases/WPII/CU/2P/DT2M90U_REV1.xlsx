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6800 FRAME\Electrical Design\2P\SERIES\"/>
    </mc:Choice>
  </mc:AlternateContent>
  <xr:revisionPtr revIDLastSave="0" documentId="13_ncr:1_{18F5AF29-6016-4B54-8FD4-ABB345F9EA57}" xr6:coauthVersionLast="47" xr6:coauthVersionMax="47" xr10:uidLastSave="{00000000-0000-0000-0000-000000000000}"/>
  <bookViews>
    <workbookView xWindow="30885" yWindow="915" windowWidth="21600" windowHeight="12735" activeTab="1" xr2:uid="{00000000-000D-0000-FFFF-FFFF00000000}"/>
  </bookViews>
  <sheets>
    <sheet name="DesignSheet" sheetId="2" r:id="rId1"/>
    <sheet name="Data Sheet" sheetId="3" r:id="rId2"/>
    <sheet name="LoginSheet" sheetId="4" r:id="rId3"/>
    <sheet name="Form" sheetId="10" r:id="rId4"/>
    <sheet name="StallTime" sheetId="5" r:id="rId5"/>
    <sheet name="Performance Data Sheet" sheetId="9" r:id="rId6"/>
    <sheet name="STCurve" sheetId="6" r:id="rId7"/>
    <sheet name="Thermdam" sheetId="7" r:id="rId8"/>
    <sheet name="Performance" sheetId="8" r:id="rId9"/>
    <sheet name="MagNoise" sheetId="11" r:id="rId10"/>
  </sheets>
  <definedNames>
    <definedName name="_Regression_Int" localSheetId="5" hidden="1">1</definedName>
    <definedName name="_xlnm.Print_Area" localSheetId="1">'Data Sheet'!$A$1:$K$46</definedName>
    <definedName name="_xlnm.Print_Area" localSheetId="0">DesignSheet!$A$1:$J$69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5">'Performance Data Sheet'!$A$1:$M$44</definedName>
    <definedName name="_xlnm.Print_Area" localSheetId="4">StallTime!$A$1:$G$40</definedName>
    <definedName name="_xlnm.Print_Area" localSheetId="6">STCurve!$A$1:$F$43</definedName>
    <definedName name="_xlnm.Print_Area" localSheetId="7">Thermdam!$A$1:$F$43</definedName>
    <definedName name="Print_Area_MI">'Performance Data Sheet'!$A$10:$N$42</definedName>
    <definedName name="Z_852987ED_B4F5_11D1_ABEC_0000832EB49E_.wvu.PrintArea" localSheetId="8" hidden="1">Performance!$A$1:$F$43</definedName>
    <definedName name="Z_852987ED_B4F5_11D1_ABEC_0000832EB49E_.wvu.PrintArea" localSheetId="6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8" l="1"/>
  <c r="F54" i="8"/>
  <c r="E80" i="7"/>
  <c r="D43" i="8"/>
  <c r="D43" i="7"/>
  <c r="D43" i="6"/>
  <c r="C39" i="8"/>
  <c r="C39" i="7"/>
  <c r="C39" i="6"/>
  <c r="C15" i="8"/>
  <c r="C15" i="7"/>
  <c r="C15" i="6"/>
  <c r="C13" i="8"/>
  <c r="C13" i="7"/>
  <c r="C13" i="6"/>
  <c r="C12" i="8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8"/>
  <c r="F6" i="7"/>
  <c r="F6" i="6"/>
  <c r="D7" i="8"/>
  <c r="D7" i="7"/>
  <c r="D7" i="6"/>
  <c r="B10" i="8"/>
  <c r="B10" i="7"/>
  <c r="B10" i="6"/>
  <c r="B9" i="8"/>
  <c r="B9" i="7"/>
  <c r="B9" i="6"/>
  <c r="B7" i="8"/>
  <c r="B7" i="7"/>
  <c r="B7" i="6"/>
  <c r="B6" i="8"/>
  <c r="B6" i="7"/>
  <c r="B6" i="6"/>
  <c r="C76" i="7"/>
  <c r="C77" i="7" s="1"/>
  <c r="C78" i="7" s="1"/>
  <c r="B76" i="7"/>
  <c r="C75" i="7"/>
  <c r="C74" i="7"/>
  <c r="B74" i="7"/>
  <c r="A69" i="7"/>
  <c r="A70" i="7" s="1"/>
  <c r="E68" i="7"/>
  <c r="D66" i="7"/>
  <c r="F50" i="7"/>
  <c r="M28" i="3"/>
  <c r="M18" i="3"/>
  <c r="M52" i="2"/>
  <c r="L41" i="2"/>
  <c r="N41" i="2" s="1"/>
  <c r="M40" i="2"/>
  <c r="L40" i="2"/>
  <c r="M39" i="2"/>
  <c r="L39" i="2"/>
  <c r="M38" i="2"/>
  <c r="L38" i="2"/>
  <c r="M33" i="2"/>
  <c r="M32" i="2"/>
  <c r="M31" i="2"/>
  <c r="M30" i="2"/>
  <c r="M29" i="2"/>
  <c r="M50" i="2"/>
  <c r="M53" i="2" s="1"/>
  <c r="M49" i="2"/>
  <c r="M48" i="2"/>
  <c r="M46" i="2"/>
  <c r="M47" i="2"/>
  <c r="A71" i="7" l="1"/>
  <c r="C70" i="7"/>
  <c r="B70" i="7"/>
  <c r="B69" i="7"/>
  <c r="B75" i="7" s="1"/>
  <c r="C69" i="7"/>
  <c r="N40" i="2"/>
  <c r="N39" i="2"/>
  <c r="N38" i="2"/>
  <c r="C71" i="7" l="1"/>
  <c r="B71" i="7"/>
  <c r="A72" i="7"/>
  <c r="A73" i="7" l="1"/>
  <c r="B73" i="7" s="1"/>
  <c r="B7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Xie, Zichao</author>
  </authors>
  <commentList>
    <comment ref="L5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Xie, Zichao:</t>
        </r>
        <r>
          <rPr>
            <sz val="9"/>
            <color indexed="81"/>
            <rFont val="Tahoma"/>
            <family val="2"/>
          </rPr>
          <t xml:space="preserve">
DESPRO OUTPUT RPM
@ 25% LOAD</t>
        </r>
      </text>
    </comment>
  </commentList>
</comments>
</file>

<file path=xl/sharedStrings.xml><?xml version="1.0" encoding="utf-8"?>
<sst xmlns="http://schemas.openxmlformats.org/spreadsheetml/2006/main" count="1014" uniqueCount="771">
  <si>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</si>
  <si>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</si>
  <si>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</si>
  <si>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</si>
  <si>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</si>
  <si>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</si>
  <si>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</si>
  <si>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</si>
  <si>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</si>
  <si>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</si>
  <si>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</si>
  <si>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</si>
  <si>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</si>
  <si>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</si>
  <si>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</si>
  <si>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</si>
  <si>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</si>
  <si>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</si>
  <si>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</si>
  <si>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</si>
  <si>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</si>
  <si>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</si>
  <si>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</si>
  <si>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</si>
  <si>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</si>
  <si>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</si>
  <si>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</si>
  <si>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</si>
  <si>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</si>
  <si>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</si>
  <si>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</si>
  <si>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</si>
  <si>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</si>
  <si>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</si>
  <si>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</si>
  <si>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</si>
  <si>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</si>
  <si>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</si>
  <si>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</si>
  <si>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</si>
  <si>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</si>
  <si>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</si>
  <si>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</si>
  <si>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</si>
  <si>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</si>
  <si>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</si>
  <si>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</si>
  <si>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</si>
  <si>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</si>
  <si>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</si>
  <si>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</si>
  <si>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</si>
  <si>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</si>
  <si>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</si>
  <si>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</si>
  <si>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</si>
  <si>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</si>
  <si>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</si>
  <si>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</si>
  <si>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</si>
  <si>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</si>
  <si>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</si>
  <si>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</si>
  <si>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</si>
  <si>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</si>
  <si>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</si>
  <si>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</si>
  <si>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</si>
  <si>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</si>
  <si>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</si>
  <si>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</si>
  <si>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</si>
  <si>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</si>
  <si>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</si>
  <si>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</si>
  <si>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</si>
  <si>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</si>
  <si>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</si>
  <si>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</si>
  <si>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</si>
  <si>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</si>
  <si>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</si>
  <si>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</si>
  <si>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</si>
  <si>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</si>
  <si>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</si>
  <si>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</si>
  <si>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</si>
  <si>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</si>
  <si>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</si>
  <si>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</si>
  <si>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</si>
  <si>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</si>
  <si>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</si>
  <si>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</si>
  <si>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</si>
  <si>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</si>
  <si>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</si>
  <si>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</si>
  <si>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</si>
  <si>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</si>
  <si>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</si>
  <si>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</si>
  <si>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</si>
  <si>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</si>
  <si>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</si>
  <si>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</si>
  <si>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</si>
  <si>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</si>
  <si>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</si>
  <si>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</si>
  <si>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</si>
  <si>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</si>
  <si>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</si>
  <si>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</si>
  <si>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</si>
  <si>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</si>
  <si>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</si>
  <si>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</si>
  <si>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</si>
  <si>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</si>
  <si>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</si>
  <si>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</si>
  <si>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</si>
  <si>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</si>
  <si>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</si>
  <si>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</si>
  <si>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</si>
  <si>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</si>
  <si>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</si>
  <si>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</si>
  <si>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</si>
  <si>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</si>
  <si>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</si>
  <si>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</si>
  <si>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</si>
  <si>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</si>
  <si>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</si>
  <si>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</si>
  <si>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</si>
  <si>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</si>
  <si>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</si>
  <si>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</si>
  <si>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</si>
  <si>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</si>
  <si>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</si>
  <si>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</si>
  <si>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</si>
  <si>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</si>
  <si>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</si>
  <si>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</si>
  <si>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</si>
  <si>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</si>
  <si>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</si>
  <si>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</si>
  <si>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</si>
  <si>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</si>
  <si>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</si>
  <si>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</si>
  <si>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</si>
  <si>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</si>
  <si>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</si>
  <si>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</si>
  <si>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</si>
  <si>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</si>
  <si>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</si>
  <si>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</si>
  <si>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</si>
  <si>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</si>
  <si>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</si>
  <si>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</si>
  <si>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</si>
  <si>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</si>
  <si>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</si>
  <si>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</si>
  <si>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</si>
  <si>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</si>
  <si>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</si>
  <si>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</si>
  <si>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</si>
  <si>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</si>
  <si>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</si>
  <si>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</si>
  <si>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</si>
  <si>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</si>
  <si>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</si>
  <si>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</si>
  <si>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</si>
  <si>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</si>
  <si>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</si>
  <si>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</si>
  <si>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</si>
  <si>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t>DCW</t>
  </si>
  <si>
    <t>6813USS</t>
  </si>
  <si>
    <t>Open</t>
  </si>
  <si>
    <t>Trapeze</t>
  </si>
  <si>
    <t>17.30 - 17.30</t>
  </si>
  <si>
    <t>0.80 - 2.40</t>
  </si>
  <si>
    <t>Normal</t>
  </si>
  <si>
    <t>28 x 6</t>
  </si>
  <si>
    <t>18 x 6</t>
  </si>
  <si>
    <t>1 ~ 18</t>
  </si>
  <si>
    <t>(.081"x.258")x2</t>
  </si>
  <si>
    <t>Wye</t>
  </si>
  <si>
    <t>(105°C)</t>
  </si>
  <si>
    <t>CU</t>
  </si>
  <si>
    <t>ERD1: 328.0</t>
  </si>
  <si>
    <t>EBL: 62.5</t>
  </si>
  <si>
    <t>ERT: 65.54</t>
  </si>
  <si>
    <t>ERH: 57.50</t>
  </si>
  <si>
    <t>LB:  -</t>
  </si>
  <si>
    <t>LER:  -</t>
  </si>
  <si>
    <t>Single Cage Data</t>
  </si>
  <si>
    <t>UB: 322.1</t>
  </si>
  <si>
    <t>UER: 3768.4</t>
  </si>
  <si>
    <t>(Coeff.: 0.0133)</t>
  </si>
  <si>
    <t>Skew R.: 0.00</t>
  </si>
  <si>
    <t>G:\Motor R&amp;D\Active Projects\6810 Development\Electrical Design\2P\SERIES\DT2M90U.rat</t>
  </si>
  <si>
    <t>2-2-2-0-1-2</t>
  </si>
  <si>
    <t>B.L.-1  P.F.-1</t>
  </si>
  <si>
    <t>29097.4 / 31937.4</t>
  </si>
  <si>
    <t>24429.0 / 16909.7</t>
  </si>
  <si>
    <t>46560.9 / 45197.3</t>
  </si>
  <si>
    <t>10700.0 / 27352.0</t>
  </si>
  <si>
    <t>35334.1 / 19286.2</t>
  </si>
  <si>
    <t>9717.1 / 5303.8</t>
  </si>
  <si>
    <t>25617.0 / 13982.3</t>
  </si>
  <si>
    <t>1.75 / 0.96</t>
  </si>
  <si>
    <t>75 / 73</t>
  </si>
  <si>
    <t>Temp. Rise @ 100%:</t>
  </si>
  <si>
    <t>Stray Loss</t>
  </si>
  <si>
    <t>0.944 / 0.936</t>
  </si>
  <si>
    <t>0.966 / 0.958</t>
  </si>
  <si>
    <t>0.971 / 0.963</t>
  </si>
  <si>
    <t>0.972 / 0.963</t>
  </si>
  <si>
    <t>0.970 / 0.962</t>
  </si>
  <si>
    <t>0.815 / 0.786</t>
  </si>
  <si>
    <t>0.920 / 0.887</t>
  </si>
  <si>
    <t>0.941 / 0.907</t>
  </si>
  <si>
    <t>0.943 / 0.909</t>
  </si>
  <si>
    <t>0.937 / 0.904</t>
  </si>
  <si>
    <t>157.51 / 164.80</t>
  </si>
  <si>
    <t>272.61 / 285.23</t>
  </si>
  <si>
    <t>397.83 / 416.24</t>
  </si>
  <si>
    <t>528.93 / 553.40</t>
  </si>
  <si>
    <t>665.82 / 696.63</t>
  </si>
  <si>
    <t>5.02 / 5.25</t>
  </si>
  <si>
    <t>UB: 7.33 / 7.67</t>
  </si>
  <si>
    <t>UER: 4.59 / 4.81</t>
  </si>
  <si>
    <t>3593.8 / 3600.6</t>
  </si>
  <si>
    <t>3587.7 / 3594.5</t>
  </si>
  <si>
    <t>3581.5 / 3588.2</t>
  </si>
  <si>
    <t>3574.8 / 3581.6</t>
  </si>
  <si>
    <t>3568.4 / 3575.1</t>
  </si>
  <si>
    <t>0.0017 / -0.0002</t>
  </si>
  <si>
    <t>0.0034 / 0.0015</t>
  </si>
  <si>
    <t>0.0051 / 0.0033</t>
  </si>
  <si>
    <t>0.0070 / 0.0051</t>
  </si>
  <si>
    <t>0.0088 / 0.0069</t>
  </si>
  <si>
    <t>82.198 / 97.893</t>
  </si>
  <si>
    <t>5.095 / 6.068</t>
  </si>
  <si>
    <t>82.36 / 98.08</t>
  </si>
  <si>
    <t>2862.0 / 2825.6</t>
  </si>
  <si>
    <t>541.1 / 534.2</t>
  </si>
  <si>
    <t>937.3 / 644.5</t>
  </si>
  <si>
    <t>102.5 / 70.5</t>
  </si>
  <si>
    <t>260.5 / 177.9</t>
  </si>
  <si>
    <t>Correlated to: H402122_Lab#1133_byRM.dat</t>
  </si>
  <si>
    <t>USA Wire Std</t>
  </si>
  <si>
    <t>DesPro8AX Draft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</si>
  <si>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</si>
  <si>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</si>
  <si>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</si>
  <si>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</si>
  <si>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</si>
  <si>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</si>
  <si>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</si>
  <si>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</si>
  <si>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</si>
  <si>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</si>
  <si>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</si>
  <si>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</si>
  <si>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</si>
  <si>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</si>
  <si>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</si>
  <si>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</si>
  <si>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</si>
  <si>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</si>
  <si>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</si>
  <si>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</si>
  <si>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</si>
  <si>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</si>
  <si>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</si>
  <si>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</si>
  <si>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</si>
  <si>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</si>
  <si>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</si>
  <si>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</si>
  <si>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</si>
  <si>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</si>
  <si>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</si>
  <si>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</si>
  <si>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</si>
  <si>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</si>
  <si>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</si>
  <si>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</si>
  <si>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</si>
  <si>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</si>
  <si>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</si>
  <si>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</si>
  <si>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</si>
  <si>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</si>
  <si>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</si>
  <si>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</si>
  <si>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</si>
  <si>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</si>
  <si>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</si>
  <si>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</si>
  <si>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</si>
  <si>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</si>
  <si>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</si>
  <si>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</si>
  <si>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</si>
  <si>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</si>
  <si>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</si>
  <si>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</si>
  <si>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</si>
  <si>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</si>
  <si>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</si>
  <si>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</si>
  <si>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</si>
  <si>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</si>
  <si>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</si>
  <si>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</si>
  <si>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</si>
  <si>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</si>
  <si>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</si>
  <si>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</si>
  <si>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</si>
  <si>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</si>
  <si>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</si>
  <si>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</si>
  <si>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</si>
  <si>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</si>
  <si>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</si>
  <si>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</si>
  <si>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</si>
  <si>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</si>
  <si>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</si>
  <si>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</si>
  <si>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</si>
  <si>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</si>
  <si>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</si>
  <si>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</si>
  <si>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</si>
  <si>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</si>
  <si>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</si>
  <si>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</si>
  <si>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</si>
  <si>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</si>
  <si>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</si>
  <si>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</si>
  <si>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</si>
  <si>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</si>
  <si>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</si>
  <si>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</si>
  <si>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</si>
  <si>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</si>
  <si>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</si>
  <si>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</si>
  <si>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</si>
  <si>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</si>
  <si>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</si>
  <si>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</si>
  <si>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</si>
  <si>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</si>
  <si>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</si>
  <si>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</si>
  <si>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</si>
  <si>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</si>
  <si>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DT2M90U</t>
  </si>
  <si>
    <t>Type: TIKE - Form: DCW - 2 Pole - 4500 HP - 4000 V - 60 Hz - 6813USS - Class F</t>
  </si>
  <si>
    <t>20 x 2</t>
  </si>
  <si>
    <t>2 x Wye</t>
  </si>
  <si>
    <t xml:space="preserve"> - </t>
  </si>
  <si>
    <t>75 / 99</t>
  </si>
  <si>
    <t>525 / 2683</t>
  </si>
  <si>
    <t>767 / 481</t>
  </si>
  <si>
    <t>M903WTQL11F-C</t>
  </si>
  <si>
    <t>Interspersed</t>
  </si>
  <si>
    <t>QC Limits: DT2M90U</t>
  </si>
  <si>
    <t>Install RTD's in winding (2/Ph)</t>
  </si>
  <si>
    <t>350-TB13-02U</t>
  </si>
  <si>
    <t>RSO2:400-TB13-01P</t>
  </si>
  <si>
    <t>TOP HAT ASSY: 135-M127-100</t>
  </si>
  <si>
    <t>A. Gracia</t>
  </si>
  <si>
    <t>J. Dougherty</t>
  </si>
  <si>
    <t>REV.1 RE-RUN ALL CURVES.  Z.X 02/20/18</t>
  </si>
  <si>
    <t>H402122.rat &amp; H402122_Lab#1133_byRM.dat --&gt; DT2M90U.rat</t>
  </si>
  <si>
    <t>BASE DT2M90U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</si>
  <si>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</si>
  <si>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</si>
  <si>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</si>
  <si>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</si>
  <si>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</si>
  <si>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</si>
  <si>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</si>
  <si>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</si>
  <si>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</si>
  <si>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Acceleration Data (FV V)</t>
  </si>
  <si>
    <t>914.7 kg.m</t>
  </si>
  <si>
    <t>137.1 kg.m²</t>
  </si>
  <si>
    <t>6.0 (s)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</si>
  <si>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</si>
  <si>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</si>
  <si>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</si>
  <si>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</si>
  <si>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</si>
  <si>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</si>
  <si>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</si>
  <si>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</si>
  <si>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</si>
  <si>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</si>
  <si>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</si>
  <si>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</si>
  <si>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</si>
  <si>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</si>
  <si>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</si>
  <si>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</si>
  <si>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</si>
  <si>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</si>
  <si>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</si>
  <si>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</si>
  <si>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</si>
  <si>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</si>
  <si>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</si>
  <si>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</si>
  <si>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</si>
  <si>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</si>
  <si>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</si>
  <si>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</si>
  <si>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</si>
  <si>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</si>
  <si>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</si>
  <si>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</si>
  <si>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</si>
  <si>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</si>
  <si>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</si>
  <si>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</si>
  <si>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</si>
  <si>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</si>
  <si>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</si>
  <si>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- 4500.0 HP - 3600 RPM - 4000 V - 60 Hz</t>
  </si>
  <si>
    <t>0~375</t>
  </si>
  <si>
    <t>375~750</t>
  </si>
  <si>
    <t>750~1125</t>
  </si>
  <si>
    <t>1125~1501</t>
  </si>
  <si>
    <t>1501~1876</t>
  </si>
  <si>
    <t>1876~2251</t>
  </si>
  <si>
    <t>2251~2626</t>
  </si>
  <si>
    <t>2626~3001</t>
  </si>
  <si>
    <t>3001~3189</t>
  </si>
  <si>
    <t>3189~3376</t>
  </si>
  <si>
    <t>3376~3564</t>
  </si>
  <si>
    <t>3564~3575</t>
  </si>
  <si>
    <t/>
  </si>
  <si>
    <t>Load Type: Fan / Pump - 813.3 lb-ft²</t>
  </si>
  <si>
    <t>71.1</t>
  </si>
  <si>
    <t>71.2</t>
  </si>
  <si>
    <t>71.5</t>
  </si>
  <si>
    <t>71.9</t>
  </si>
  <si>
    <t>72.6</t>
  </si>
  <si>
    <t>73.8</t>
  </si>
  <si>
    <t>75.7</t>
  </si>
  <si>
    <t>79.4</t>
  </si>
  <si>
    <t>85.9</t>
  </si>
  <si>
    <t>99.5</t>
  </si>
  <si>
    <t>143.5</t>
  </si>
  <si>
    <t>139.0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</si>
  <si>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</si>
  <si>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</si>
  <si>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</si>
  <si>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</si>
  <si>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</si>
  <si>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</si>
  <si>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</si>
  <si>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</si>
  <si>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</si>
  <si>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</si>
  <si>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</si>
  <si>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</si>
  <si>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0.575</t>
  </si>
  <si>
    <t>0.467</t>
  </si>
  <si>
    <t>0.435</t>
  </si>
  <si>
    <t>0.436</t>
  </si>
  <si>
    <t>0.464</t>
  </si>
  <si>
    <t>0.522</t>
  </si>
  <si>
    <t>0.632</t>
  </si>
  <si>
    <t>0.883</t>
  </si>
  <si>
    <t>0.634</t>
  </si>
  <si>
    <t>0.625</t>
  </si>
  <si>
    <t>0.266</t>
  </si>
  <si>
    <t>0.020</t>
  </si>
  <si>
    <t>2820.1</t>
  </si>
  <si>
    <t>2807.3</t>
  </si>
  <si>
    <t>2792.4</t>
  </si>
  <si>
    <t>2774.9</t>
  </si>
  <si>
    <t>2754.3</t>
  </si>
  <si>
    <t>2730.1</t>
  </si>
  <si>
    <t>2701.8</t>
  </si>
  <si>
    <t>2663.8</t>
  </si>
  <si>
    <t>2619.9</t>
  </si>
  <si>
    <t>2548.3</t>
  </si>
  <si>
    <t>2309.9</t>
  </si>
  <si>
    <t>1408.7</t>
  </si>
  <si>
    <t>477.6</t>
  </si>
  <si>
    <t>385.1</t>
  </si>
  <si>
    <t>354.7</t>
  </si>
  <si>
    <t>351.2</t>
  </si>
  <si>
    <t>369.4</t>
  </si>
  <si>
    <t>408.9</t>
  </si>
  <si>
    <t>485.4</t>
  </si>
  <si>
    <t>663.1</t>
  </si>
  <si>
    <t>459.7</t>
  </si>
  <si>
    <t>439.0</t>
  </si>
  <si>
    <t>172.8</t>
  </si>
  <si>
    <t>0.6</t>
  </si>
  <si>
    <t>1643.6</t>
  </si>
  <si>
    <t>1198.7</t>
  </si>
  <si>
    <t>987.9</t>
  </si>
  <si>
    <t>863.2</t>
  </si>
  <si>
    <t>787.0</t>
  </si>
  <si>
    <t>736.3</t>
  </si>
  <si>
    <t>711.0</t>
  </si>
  <si>
    <t>740.2</t>
  </si>
  <si>
    <t>694.4</t>
  </si>
  <si>
    <t>517.4</t>
  </si>
  <si>
    <t>145.1</t>
  </si>
  <si>
    <t>34.9</t>
  </si>
  <si>
    <t>4568 kW / s</t>
  </si>
  <si>
    <t>7498 kW / s</t>
  </si>
  <si>
    <t>1562 kW / s</t>
  </si>
  <si>
    <t>27°C</t>
  </si>
  <si>
    <t>130°C</t>
  </si>
  <si>
    <t>48°C</t>
  </si>
  <si>
    <t>54°C</t>
  </si>
  <si>
    <t>96°C</t>
  </si>
  <si>
    <t>Acceleration Time:  6.0 s</t>
  </si>
  <si>
    <t>5.8°C / s</t>
  </si>
  <si>
    <t>34.2°C / s</t>
  </si>
  <si>
    <t>12.6°C / s</t>
  </si>
  <si>
    <t>990.7 kW</t>
  </si>
  <si>
    <t>1972.7 kW</t>
  </si>
  <si>
    <t>410.8 kW</t>
  </si>
  <si>
    <t>27.5 s</t>
  </si>
  <si>
    <t>7.6 s</t>
  </si>
  <si>
    <t>14.3 s</t>
  </si>
  <si>
    <t>75°C    +</t>
  </si>
  <si>
    <t>101°C    +</t>
  </si>
  <si>
    <t>85°C    +</t>
  </si>
  <si>
    <t>159°C   +</t>
  </si>
  <si>
    <t>79°C   +</t>
  </si>
  <si>
    <t>14.6 s</t>
  </si>
  <si>
    <t>4.6 s</t>
  </si>
  <si>
    <t>6.2 s</t>
  </si>
  <si>
    <t>12.4 s</t>
  </si>
  <si>
    <t>5.4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</si>
  <si>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</si>
  <si>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</si>
  <si>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</si>
  <si>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</si>
  <si>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</si>
  <si>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</si>
  <si>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</si>
  <si>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</si>
  <si>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</si>
  <si>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</si>
  <si>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</si>
  <si>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</si>
  <si>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</si>
  <si>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</si>
  <si>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</si>
  <si>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</si>
  <si>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</si>
  <si>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</si>
  <si>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</si>
  <si>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</si>
  <si>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</si>
  <si>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705.5 lb-ft²</t>
  </si>
  <si>
    <t>813.3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</si>
  <si>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</si>
  <si>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</si>
  <si>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</si>
  <si>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</si>
  <si>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</si>
  <si>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</si>
  <si>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</si>
  <si>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</si>
  <si>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</si>
  <si>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</si>
  <si>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</si>
  <si>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</si>
  <si>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</si>
  <si>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</si>
  <si>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</si>
  <si>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</si>
  <si>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</si>
  <si>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</si>
  <si>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</si>
  <si>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</si>
  <si>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</si>
  <si>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</si>
  <si>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</si>
  <si>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</si>
  <si>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</si>
  <si>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</si>
  <si>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</si>
  <si>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</si>
  <si>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</si>
  <si>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</si>
  <si>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</si>
  <si>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</si>
  <si>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</si>
  <si>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</si>
  <si>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</si>
  <si>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</si>
  <si>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</si>
  <si>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</si>
  <si>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</si>
  <si>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</si>
  <si>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</si>
  <si>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</si>
  <si>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</si>
  <si>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</si>
  <si>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</si>
  <si>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</si>
  <si>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</si>
  <si>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</si>
  <si>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</si>
  <si>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</si>
  <si>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</si>
  <si>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</si>
  <si>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</si>
  <si>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</si>
  <si>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</si>
  <si>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</si>
  <si>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</si>
  <si>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</si>
  <si>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</si>
  <si>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</si>
  <si>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</si>
  <si>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</si>
  <si>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</si>
  <si>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</si>
  <si>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</si>
  <si>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</si>
  <si>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</si>
  <si>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</si>
  <si>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</si>
  <si>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</si>
  <si>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</si>
  <si>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</si>
  <si>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</si>
  <si>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</si>
  <si>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</si>
  <si>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</si>
  <si>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</si>
  <si>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</si>
  <si>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</si>
  <si>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</si>
  <si>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</si>
  <si>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</si>
  <si>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</si>
  <si>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</si>
  <si>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</si>
  <si>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</si>
  <si>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</si>
  <si>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</si>
  <si>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</si>
  <si>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</si>
  <si>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</si>
  <si>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</si>
  <si>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</si>
  <si>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</si>
  <si>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</si>
  <si>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</si>
  <si>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</si>
  <si>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</si>
  <si>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</si>
  <si>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</si>
  <si>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</si>
  <si>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</si>
  <si>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</si>
  <si>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</si>
  <si>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</si>
  <si>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</si>
  <si>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</si>
  <si>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</si>
  <si>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</si>
  <si>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</si>
  <si>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</si>
  <si>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</si>
  <si>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</si>
  <si>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</si>
  <si>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</si>
  <si>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</si>
  <si>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DCKW4</t>
  </si>
  <si>
    <t>WPII</t>
  </si>
  <si>
    <t>QUOTE # 17548</t>
  </si>
  <si>
    <t>Winding Data Calculation</t>
  </si>
  <si>
    <t>MCL: 1747.0</t>
  </si>
  <si>
    <t>Coil Resistance</t>
  </si>
  <si>
    <t>Lead Resistance</t>
  </si>
  <si>
    <t xml:space="preserve">5T: </t>
  </si>
  <si>
    <t>0.0059 ~ 0.0057</t>
  </si>
  <si>
    <t>AWG. (4/0 x 2) x 3</t>
  </si>
  <si>
    <t>0.00068/2 = 0.00034</t>
  </si>
  <si>
    <t>Coil Dimensions</t>
  </si>
  <si>
    <t>HM:</t>
  </si>
  <si>
    <t>5T: 11.29</t>
  </si>
  <si>
    <t>WM:</t>
  </si>
  <si>
    <t>5T: 27.01</t>
  </si>
  <si>
    <t>WT:</t>
  </si>
  <si>
    <t>17.40 ~ 17.00</t>
  </si>
  <si>
    <t>Insulation Allowance</t>
  </si>
  <si>
    <t>Wire Weight</t>
  </si>
  <si>
    <t>Depth:</t>
  </si>
  <si>
    <t xml:space="preserve"> (.081"x.258")x 2: </t>
  </si>
  <si>
    <t>499 lbs.</t>
  </si>
  <si>
    <t>Width:</t>
  </si>
  <si>
    <t>QC Resistance</t>
  </si>
  <si>
    <t xml:space="preserve">1-2, 2-3, 3-1: </t>
  </si>
  <si>
    <t>0.056 ~ 0.052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</si>
  <si>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</si>
  <si>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</si>
  <si>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</si>
  <si>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</si>
  <si>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</si>
  <si>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</si>
  <si>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</si>
  <si>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2880.0 Hz</t>
  </si>
  <si>
    <t>2860.7 Hz</t>
  </si>
  <si>
    <t>Mode B</t>
  </si>
  <si>
    <t>2640.0 Hz</t>
  </si>
  <si>
    <t>2620.7 Hz</t>
  </si>
  <si>
    <t>Mode C</t>
  </si>
  <si>
    <t>2760.0 Hz</t>
  </si>
  <si>
    <t>2740.7 Hz</t>
  </si>
  <si>
    <t>Natural Frequencies of Stator Core</t>
  </si>
  <si>
    <t>Mode 0  =</t>
  </si>
  <si>
    <t>1483.0 Hz</t>
  </si>
  <si>
    <t>Mode 6  =</t>
  </si>
  <si>
    <t>4554.3 Hz</t>
  </si>
  <si>
    <t>Mode 2  =</t>
  </si>
  <si>
    <t>354.0 Hz</t>
  </si>
  <si>
    <t>Mode 7  =</t>
  </si>
  <si>
    <t>6268.4 Hz</t>
  </si>
  <si>
    <t>Mode 3  =</t>
  </si>
  <si>
    <t>1001.2 Hz</t>
  </si>
  <si>
    <t>Mode 8  =</t>
  </si>
  <si>
    <t>8246.6 Hz</t>
  </si>
  <si>
    <t>Mode 4  =</t>
  </si>
  <si>
    <t>1919.7 Hz</t>
  </si>
  <si>
    <t>Mode 9  =</t>
  </si>
  <si>
    <t>10488.8 Hz</t>
  </si>
  <si>
    <t>Mode 5  =</t>
  </si>
  <si>
    <t>3104.5 Hz</t>
  </si>
  <si>
    <t>Mode 10  =</t>
  </si>
  <si>
    <t>12995.0 Hz</t>
  </si>
  <si>
    <t>Analysis Results</t>
  </si>
  <si>
    <t>No matching frequencies detected.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</si>
</sst>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84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sz val="10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u/>
      <sz val="16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3" fillId="0" borderId="0"/>
    <xf numFmtId="0" fontId="23" fillId="0" borderId="0"/>
    <xf numFmtId="0" fontId="53" fillId="0" borderId="0"/>
    <xf numFmtId="0" fontId="1" fillId="0" borderId="0"/>
    <xf numFmtId="172" fontId="67" fillId="0" borderId="0"/>
  </cellStyleXfs>
  <cellXfs count="708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165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2" fontId="20" fillId="0" borderId="1" xfId="0" applyNumberFormat="1" applyFont="1" applyBorder="1" applyAlignment="1">
      <alignment horizontal="center"/>
    </xf>
    <xf numFmtId="167" fontId="20" fillId="0" borderId="9" xfId="0" applyNumberFormat="1" applyFont="1" applyBorder="1" applyAlignment="1">
      <alignment horizontal="center"/>
    </xf>
    <xf numFmtId="166" fontId="20" fillId="0" borderId="11" xfId="0" applyNumberFormat="1" applyFont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167" fontId="20" fillId="0" borderId="33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1" fillId="0" borderId="1" xfId="0" applyNumberFormat="1" applyFont="1" applyBorder="1" applyAlignment="1">
      <alignment horizontal="center"/>
    </xf>
    <xf numFmtId="2" fontId="21" fillId="0" borderId="9" xfId="0" applyNumberFormat="1" applyFont="1" applyBorder="1" applyAlignment="1">
      <alignment horizontal="center"/>
    </xf>
    <xf numFmtId="166" fontId="21" fillId="0" borderId="1" xfId="0" applyNumberFormat="1" applyFont="1" applyBorder="1" applyAlignment="1">
      <alignment horizontal="center"/>
    </xf>
    <xf numFmtId="166" fontId="21" fillId="0" borderId="9" xfId="0" applyNumberFormat="1" applyFont="1" applyBorder="1" applyAlignment="1">
      <alignment horizontal="center"/>
    </xf>
    <xf numFmtId="165" fontId="21" fillId="0" borderId="1" xfId="0" applyNumberFormat="1" applyFont="1" applyBorder="1" applyAlignment="1">
      <alignment horizontal="center"/>
    </xf>
    <xf numFmtId="165" fontId="21" fillId="0" borderId="9" xfId="0" applyNumberFormat="1" applyFont="1" applyBorder="1" applyAlignment="1">
      <alignment horizontal="center"/>
    </xf>
    <xf numFmtId="167" fontId="21" fillId="0" borderId="1" xfId="0" applyNumberFormat="1" applyFont="1" applyBorder="1" applyAlignment="1">
      <alignment horizontal="center"/>
    </xf>
    <xf numFmtId="167" fontId="21" fillId="0" borderId="9" xfId="0" applyNumberFormat="1" applyFont="1" applyBorder="1" applyAlignment="1">
      <alignment horizontal="center"/>
    </xf>
    <xf numFmtId="166" fontId="21" fillId="0" borderId="11" xfId="0" applyNumberFormat="1" applyFont="1" applyBorder="1" applyAlignment="1">
      <alignment horizontal="center"/>
    </xf>
    <xf numFmtId="166" fontId="22" fillId="0" borderId="31" xfId="0" applyNumberFormat="1" applyFont="1" applyBorder="1" applyAlignment="1">
      <alignment horizontal="center"/>
    </xf>
    <xf numFmtId="166" fontId="22" fillId="0" borderId="51" xfId="0" applyNumberFormat="1" applyFont="1" applyBorder="1" applyAlignment="1">
      <alignment horizontal="center"/>
    </xf>
    <xf numFmtId="166" fontId="22" fillId="0" borderId="32" xfId="0" applyNumberFormat="1" applyFont="1" applyBorder="1" applyAlignment="1">
      <alignment horizontal="center"/>
    </xf>
    <xf numFmtId="0" fontId="25" fillId="0" borderId="0" xfId="1" applyFont="1"/>
    <xf numFmtId="0" fontId="26" fillId="0" borderId="0" xfId="1" applyFont="1"/>
    <xf numFmtId="0" fontId="28" fillId="5" borderId="0" xfId="1" applyFont="1" applyFill="1" applyAlignment="1">
      <alignment horizontal="right"/>
    </xf>
    <xf numFmtId="0" fontId="29" fillId="5" borderId="0" xfId="1" applyFont="1" applyFill="1"/>
    <xf numFmtId="0" fontId="30" fillId="5" borderId="0" xfId="1" applyFont="1" applyFill="1"/>
    <xf numFmtId="0" fontId="27" fillId="5" borderId="0" xfId="1" applyFont="1" applyFill="1" applyAlignment="1">
      <alignment horizontal="center"/>
    </xf>
    <xf numFmtId="0" fontId="31" fillId="0" borderId="52" xfId="1" applyFont="1" applyBorder="1" applyAlignment="1">
      <alignment horizontal="left" vertical="center"/>
    </xf>
    <xf numFmtId="0" fontId="31" fillId="0" borderId="53" xfId="1" applyFont="1" applyBorder="1" applyAlignment="1">
      <alignment vertical="center"/>
    </xf>
    <xf numFmtId="0" fontId="23" fillId="0" borderId="53" xfId="1" applyBorder="1"/>
    <xf numFmtId="0" fontId="31" fillId="0" borderId="54" xfId="1" applyFont="1" applyBorder="1" applyAlignment="1">
      <alignment horizontal="right" vertical="center"/>
    </xf>
    <xf numFmtId="0" fontId="19" fillId="0" borderId="0" xfId="1" applyFont="1"/>
    <xf numFmtId="0" fontId="32" fillId="0" borderId="52" xfId="1" applyFont="1" applyBorder="1"/>
    <xf numFmtId="0" fontId="19" fillId="0" borderId="54" xfId="1" applyFont="1" applyBorder="1"/>
    <xf numFmtId="0" fontId="32" fillId="0" borderId="54" xfId="1" applyFont="1" applyBorder="1"/>
    <xf numFmtId="0" fontId="33" fillId="0" borderId="0" xfId="1" applyFont="1"/>
    <xf numFmtId="0" fontId="34" fillId="5" borderId="13" xfId="1" applyFont="1" applyFill="1" applyBorder="1" applyAlignment="1">
      <alignment horizontal="center"/>
    </xf>
    <xf numFmtId="0" fontId="34" fillId="5" borderId="55" xfId="1" applyFont="1" applyFill="1" applyBorder="1" applyAlignment="1">
      <alignment horizontal="center"/>
    </xf>
    <xf numFmtId="0" fontId="34" fillId="5" borderId="0" xfId="1" quotePrefix="1" applyFont="1" applyFill="1" applyAlignment="1">
      <alignment horizontal="left"/>
    </xf>
    <xf numFmtId="0" fontId="35" fillId="5" borderId="56" xfId="1" applyFont="1" applyFill="1" applyBorder="1" applyAlignment="1">
      <alignment horizontal="right"/>
    </xf>
    <xf numFmtId="0" fontId="34" fillId="5" borderId="57" xfId="1" applyFont="1" applyFill="1" applyBorder="1" applyAlignment="1">
      <alignment horizontal="center"/>
    </xf>
    <xf numFmtId="0" fontId="34" fillId="5" borderId="21" xfId="1" applyFont="1" applyFill="1" applyBorder="1" applyAlignment="1">
      <alignment horizontal="center"/>
    </xf>
    <xf numFmtId="0" fontId="32" fillId="0" borderId="45" xfId="1" applyFont="1" applyBorder="1"/>
    <xf numFmtId="0" fontId="19" fillId="0" borderId="21" xfId="1" applyFont="1" applyBorder="1"/>
    <xf numFmtId="0" fontId="32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2" fillId="0" borderId="46" xfId="1" applyFont="1" applyBorder="1"/>
    <xf numFmtId="0" fontId="32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19" fillId="0" borderId="24" xfId="1" applyFont="1" applyBorder="1"/>
    <xf numFmtId="0" fontId="36" fillId="5" borderId="63" xfId="1" quotePrefix="1" applyFont="1" applyFill="1" applyBorder="1" applyAlignment="1">
      <alignment horizontal="left"/>
    </xf>
    <xf numFmtId="0" fontId="33" fillId="0" borderId="69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43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43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3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3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4" fillId="0" borderId="24" xfId="1" applyFont="1" applyBorder="1"/>
    <xf numFmtId="0" fontId="28" fillId="0" borderId="102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0" fontId="46" fillId="5" borderId="103" xfId="1" applyFont="1" applyFill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3" fillId="0" borderId="78" xfId="1" applyFont="1" applyBorder="1"/>
    <xf numFmtId="0" fontId="33" fillId="0" borderId="79" xfId="1" applyFont="1" applyBorder="1"/>
    <xf numFmtId="0" fontId="33" fillId="0" borderId="87" xfId="1" applyFont="1" applyBorder="1"/>
    <xf numFmtId="0" fontId="36" fillId="5" borderId="96" xfId="1" applyFont="1" applyFill="1" applyBorder="1"/>
    <xf numFmtId="0" fontId="43" fillId="5" borderId="64" xfId="1" applyFont="1" applyFill="1" applyBorder="1" applyAlignment="1">
      <alignment horizontal="right" shrinkToFit="1"/>
    </xf>
    <xf numFmtId="0" fontId="38" fillId="5" borderId="109" xfId="1" applyFont="1" applyFill="1" applyBorder="1" applyAlignment="1">
      <alignment horizontal="center"/>
    </xf>
    <xf numFmtId="2" fontId="33" fillId="0" borderId="0" xfId="1" applyNumberFormat="1" applyFont="1"/>
    <xf numFmtId="0" fontId="36" fillId="5" borderId="83" xfId="1" applyFont="1" applyFill="1" applyBorder="1"/>
    <xf numFmtId="0" fontId="36" fillId="5" borderId="56" xfId="1" applyFont="1" applyFill="1" applyBorder="1"/>
    <xf numFmtId="0" fontId="43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43" fillId="5" borderId="56" xfId="1" applyFont="1" applyFill="1" applyBorder="1" applyAlignment="1">
      <alignment horizontal="right"/>
    </xf>
    <xf numFmtId="0" fontId="43" fillId="5" borderId="64" xfId="1" applyFont="1" applyFill="1" applyBorder="1"/>
    <xf numFmtId="0" fontId="47" fillId="0" borderId="0" xfId="1" applyFont="1"/>
    <xf numFmtId="0" fontId="36" fillId="5" borderId="111" xfId="1" applyFont="1" applyFill="1" applyBorder="1"/>
    <xf numFmtId="0" fontId="36" fillId="5" borderId="112" xfId="1" applyFont="1" applyFill="1" applyBorder="1"/>
    <xf numFmtId="0" fontId="36" fillId="5" borderId="113" xfId="1" applyFont="1" applyFill="1" applyBorder="1"/>
    <xf numFmtId="0" fontId="43" fillId="5" borderId="113" xfId="1" applyFont="1" applyFill="1" applyBorder="1"/>
    <xf numFmtId="167" fontId="38" fillId="5" borderId="113" xfId="1" applyNumberFormat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48" fillId="0" borderId="0" xfId="1" quotePrefix="1" applyFont="1" applyAlignment="1">
      <alignment horizontal="left"/>
    </xf>
    <xf numFmtId="0" fontId="33" fillId="0" borderId="0" xfId="2" applyFont="1"/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167" fontId="38" fillId="5" borderId="70" xfId="1" applyNumberFormat="1" applyFont="1" applyFill="1" applyBorder="1" applyAlignment="1">
      <alignment horizontal="center"/>
    </xf>
    <xf numFmtId="1" fontId="33" fillId="0" borderId="0" xfId="1" applyNumberFormat="1" applyFont="1"/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28" fillId="5" borderId="80" xfId="1" applyFont="1" applyFill="1" applyBorder="1" applyAlignment="1">
      <alignment horizontal="left"/>
    </xf>
    <xf numFmtId="0" fontId="28" fillId="5" borderId="81" xfId="1" applyFont="1" applyFill="1" applyBorder="1" applyAlignment="1">
      <alignment horizontal="left"/>
    </xf>
    <xf numFmtId="0" fontId="28" fillId="5" borderId="82" xfId="1" applyFont="1" applyFill="1" applyBorder="1" applyAlignment="1">
      <alignment horizontal="left"/>
    </xf>
    <xf numFmtId="0" fontId="30" fillId="5" borderId="83" xfId="1" applyFont="1" applyFill="1" applyBorder="1"/>
    <xf numFmtId="0" fontId="33" fillId="5" borderId="72" xfId="1" applyFont="1" applyFill="1" applyBorder="1" applyAlignment="1">
      <alignment horizontal="left"/>
    </xf>
    <xf numFmtId="0" fontId="33" fillId="5" borderId="84" xfId="1" applyFont="1" applyFill="1" applyBorder="1" applyAlignment="1">
      <alignment horizontal="left"/>
    </xf>
    <xf numFmtId="0" fontId="30" fillId="5" borderId="68" xfId="1" applyFont="1" applyFill="1" applyBorder="1" applyAlignment="1">
      <alignment horizontal="left"/>
    </xf>
    <xf numFmtId="0" fontId="30" fillId="5" borderId="74" xfId="1" applyFont="1" applyFill="1" applyBorder="1" applyAlignment="1">
      <alignment horizontal="left"/>
    </xf>
    <xf numFmtId="0" fontId="49" fillId="0" borderId="0" xfId="1" applyFont="1"/>
    <xf numFmtId="0" fontId="36" fillId="0" borderId="114" xfId="1" applyFont="1" applyBorder="1"/>
    <xf numFmtId="0" fontId="30" fillId="5" borderId="45" xfId="1" applyFont="1" applyFill="1" applyBorder="1"/>
    <xf numFmtId="0" fontId="36" fillId="5" borderId="119" xfId="1" applyFont="1" applyFill="1" applyBorder="1"/>
    <xf numFmtId="0" fontId="30" fillId="0" borderId="23" xfId="1" applyFont="1" applyBorder="1"/>
    <xf numFmtId="0" fontId="30" fillId="5" borderId="123" xfId="1" applyFont="1" applyFill="1" applyBorder="1" applyAlignment="1">
      <alignment horizontal="left"/>
    </xf>
    <xf numFmtId="0" fontId="30" fillId="5" borderId="124" xfId="1" applyFont="1" applyFill="1" applyBorder="1" applyAlignment="1">
      <alignment horizontal="left"/>
    </xf>
    <xf numFmtId="0" fontId="30" fillId="0" borderId="0" xfId="1" applyFont="1"/>
    <xf numFmtId="0" fontId="53" fillId="0" borderId="6" xfId="3" applyBorder="1"/>
    <xf numFmtId="0" fontId="53" fillId="0" borderId="7" xfId="3" applyBorder="1"/>
    <xf numFmtId="0" fontId="53" fillId="0" borderId="41" xfId="3" applyBorder="1"/>
    <xf numFmtId="0" fontId="53" fillId="0" borderId="41" xfId="3" applyBorder="1" applyAlignment="1">
      <alignment horizontal="center"/>
    </xf>
    <xf numFmtId="0" fontId="54" fillId="0" borderId="41" xfId="3" applyFont="1" applyBorder="1" applyAlignment="1">
      <alignment horizontal="center"/>
    </xf>
    <xf numFmtId="0" fontId="53" fillId="0" borderId="0" xfId="3"/>
    <xf numFmtId="0" fontId="55" fillId="0" borderId="125" xfId="3" applyFont="1" applyBorder="1" applyAlignment="1">
      <alignment horizontal="center"/>
    </xf>
    <xf numFmtId="0" fontId="53" fillId="0" borderId="125" xfId="3" applyBorder="1" applyAlignment="1">
      <alignment horizontal="center"/>
    </xf>
    <xf numFmtId="0" fontId="54" fillId="0" borderId="125" xfId="3" applyFont="1" applyBorder="1" applyAlignment="1">
      <alignment horizontal="center"/>
    </xf>
    <xf numFmtId="0" fontId="55" fillId="0" borderId="45" xfId="3" applyFont="1" applyBorder="1" applyAlignment="1">
      <alignment horizontal="center"/>
    </xf>
    <xf numFmtId="0" fontId="55" fillId="0" borderId="0" xfId="3" applyFont="1" applyAlignment="1">
      <alignment horizontal="center"/>
    </xf>
    <xf numFmtId="0" fontId="53" fillId="0" borderId="45" xfId="3" applyBorder="1"/>
    <xf numFmtId="0" fontId="56" fillId="0" borderId="0" xfId="3" applyFont="1"/>
    <xf numFmtId="0" fontId="53" fillId="0" borderId="125" xfId="3" applyBorder="1"/>
    <xf numFmtId="0" fontId="54" fillId="0" borderId="0" xfId="3" applyFont="1"/>
    <xf numFmtId="0" fontId="54" fillId="0" borderId="125" xfId="3" applyFont="1" applyBorder="1"/>
    <xf numFmtId="170" fontId="53" fillId="0" borderId="3" xfId="3" applyNumberFormat="1" applyBorder="1"/>
    <xf numFmtId="49" fontId="53" fillId="0" borderId="1" xfId="3" applyNumberFormat="1" applyBorder="1" applyAlignment="1">
      <alignment horizontal="center"/>
    </xf>
    <xf numFmtId="49" fontId="53" fillId="0" borderId="1" xfId="3" applyNumberFormat="1" applyBorder="1"/>
    <xf numFmtId="49" fontId="54" fillId="0" borderId="1" xfId="3" applyNumberFormat="1" applyFont="1" applyBorder="1"/>
    <xf numFmtId="171" fontId="54" fillId="0" borderId="1" xfId="3" applyNumberFormat="1" applyFont="1" applyBorder="1"/>
    <xf numFmtId="0" fontId="53" fillId="0" borderId="1" xfId="3" applyBorder="1"/>
    <xf numFmtId="0" fontId="53" fillId="0" borderId="9" xfId="3" applyBorder="1"/>
    <xf numFmtId="171" fontId="53" fillId="0" borderId="1" xfId="3" applyNumberFormat="1" applyBorder="1"/>
    <xf numFmtId="0" fontId="53" fillId="0" borderId="1" xfId="3" applyBorder="1" applyAlignment="1">
      <alignment horizontal="center"/>
    </xf>
    <xf numFmtId="170" fontId="53" fillId="0" borderId="18" xfId="3" applyNumberFormat="1" applyBorder="1"/>
    <xf numFmtId="49" fontId="53" fillId="0" borderId="26" xfId="3" applyNumberFormat="1" applyBorder="1"/>
    <xf numFmtId="171" fontId="53" fillId="0" borderId="26" xfId="3" applyNumberFormat="1" applyBorder="1"/>
    <xf numFmtId="0" fontId="53" fillId="0" borderId="26" xfId="3" applyBorder="1"/>
    <xf numFmtId="0" fontId="53" fillId="0" borderId="126" xfId="3" applyBorder="1"/>
    <xf numFmtId="0" fontId="54" fillId="0" borderId="127" xfId="3" applyFont="1" applyBorder="1" applyAlignment="1">
      <alignment horizontal="center"/>
    </xf>
    <xf numFmtId="0" fontId="54" fillId="0" borderId="128" xfId="3" applyFont="1" applyBorder="1" applyAlignment="1">
      <alignment horizontal="center"/>
    </xf>
    <xf numFmtId="49" fontId="54" fillId="0" borderId="2" xfId="3" applyNumberFormat="1" applyFont="1" applyBorder="1" applyAlignment="1">
      <alignment horizontal="center"/>
    </xf>
    <xf numFmtId="0" fontId="53" fillId="0" borderId="55" xfId="3" applyBorder="1" applyAlignment="1">
      <alignment horizontal="left"/>
    </xf>
    <xf numFmtId="49" fontId="53" fillId="0" borderId="3" xfId="3" applyNumberFormat="1" applyBorder="1"/>
    <xf numFmtId="0" fontId="53" fillId="0" borderId="130" xfId="3" applyBorder="1" applyAlignment="1">
      <alignment horizontal="left"/>
    </xf>
    <xf numFmtId="49" fontId="53" fillId="0" borderId="4" xfId="3" applyNumberFormat="1" applyBorder="1"/>
    <xf numFmtId="0" fontId="53" fillId="0" borderId="131" xfId="3" applyBorder="1" applyAlignment="1">
      <alignment horizontal="left"/>
    </xf>
    <xf numFmtId="0" fontId="36" fillId="5" borderId="117" xfId="1" applyFont="1" applyFill="1" applyBorder="1"/>
    <xf numFmtId="0" fontId="50" fillId="5" borderId="118" xfId="1" applyFont="1" applyFill="1" applyBorder="1" applyAlignment="1">
      <alignment horizontal="center" shrinkToFit="1"/>
    </xf>
    <xf numFmtId="0" fontId="36" fillId="5" borderId="23" xfId="1" applyFont="1" applyFill="1" applyBorder="1"/>
    <xf numFmtId="14" fontId="19" fillId="5" borderId="122" xfId="1" applyNumberFormat="1" applyFont="1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167" fontId="2" fillId="0" borderId="132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" fillId="0" borderId="0" xfId="4"/>
    <xf numFmtId="0" fontId="24" fillId="0" borderId="0" xfId="4" applyFont="1"/>
    <xf numFmtId="0" fontId="57" fillId="0" borderId="0" xfId="4" applyFont="1"/>
    <xf numFmtId="0" fontId="63" fillId="0" borderId="26" xfId="4" applyFont="1" applyBorder="1" applyAlignment="1">
      <alignment horizontal="center"/>
    </xf>
    <xf numFmtId="0" fontId="63" fillId="0" borderId="28" xfId="4" applyFont="1" applyBorder="1" applyAlignment="1">
      <alignment horizontal="center"/>
    </xf>
    <xf numFmtId="0" fontId="57" fillId="0" borderId="1" xfId="4" applyFont="1" applyBorder="1" applyAlignment="1">
      <alignment horizontal="center"/>
    </xf>
    <xf numFmtId="0" fontId="63" fillId="0" borderId="1" xfId="4" applyFont="1" applyBorder="1" applyAlignment="1">
      <alignment horizontal="right"/>
    </xf>
    <xf numFmtId="0" fontId="63" fillId="0" borderId="1" xfId="4" applyFont="1" applyBorder="1" applyAlignment="1">
      <alignment horizontal="center"/>
    </xf>
    <xf numFmtId="0" fontId="57" fillId="0" borderId="129" xfId="4" applyFont="1" applyBorder="1" applyAlignment="1">
      <alignment horizontal="center"/>
    </xf>
    <xf numFmtId="0" fontId="57" fillId="0" borderId="130" xfId="4" quotePrefix="1" applyFont="1" applyBorder="1" applyAlignment="1">
      <alignment horizontal="center"/>
    </xf>
    <xf numFmtId="0" fontId="63" fillId="0" borderId="0" xfId="4" applyFont="1" applyAlignment="1">
      <alignment horizontal="right"/>
    </xf>
    <xf numFmtId="0" fontId="57" fillId="0" borderId="62" xfId="4" applyFont="1" applyBorder="1" applyAlignment="1">
      <alignment horizontal="center"/>
    </xf>
    <xf numFmtId="0" fontId="60" fillId="0" borderId="61" xfId="4" applyFont="1" applyBorder="1"/>
    <xf numFmtId="0" fontId="60" fillId="0" borderId="62" xfId="4" applyFont="1" applyBorder="1"/>
    <xf numFmtId="0" fontId="60" fillId="0" borderId="38" xfId="4" applyFont="1" applyBorder="1"/>
    <xf numFmtId="0" fontId="61" fillId="0" borderId="83" xfId="4" applyFont="1" applyBorder="1" applyAlignment="1">
      <alignment horizontal="centerContinuous"/>
    </xf>
    <xf numFmtId="0" fontId="60" fillId="0" borderId="0" xfId="4" applyFont="1" applyAlignment="1">
      <alignment horizontal="centerContinuous"/>
    </xf>
    <xf numFmtId="0" fontId="60" fillId="0" borderId="108" xfId="4" applyFont="1" applyBorder="1" applyAlignment="1">
      <alignment horizontal="centerContinuous"/>
    </xf>
    <xf numFmtId="0" fontId="60" fillId="0" borderId="83" xfId="4" applyFont="1" applyBorder="1"/>
    <xf numFmtId="0" fontId="60" fillId="0" borderId="0" xfId="4" applyFont="1"/>
    <xf numFmtId="0" fontId="60" fillId="0" borderId="108" xfId="4" applyFont="1" applyBorder="1"/>
    <xf numFmtId="0" fontId="58" fillId="0" borderId="1" xfId="4" applyFont="1" applyBorder="1" applyAlignment="1">
      <alignment horizontal="right"/>
    </xf>
    <xf numFmtId="0" fontId="60" fillId="0" borderId="1" xfId="4" applyFont="1" applyBorder="1" applyAlignment="1">
      <alignment horizontal="center"/>
    </xf>
    <xf numFmtId="14" fontId="60" fillId="0" borderId="1" xfId="4" applyNumberFormat="1" applyFont="1" applyBorder="1" applyAlignment="1">
      <alignment horizontal="center"/>
    </xf>
    <xf numFmtId="0" fontId="58" fillId="0" borderId="0" xfId="4" applyFont="1" applyAlignment="1">
      <alignment horizontal="right"/>
    </xf>
    <xf numFmtId="0" fontId="60" fillId="0" borderId="0" xfId="4" applyFont="1" applyAlignment="1">
      <alignment horizontal="center"/>
    </xf>
    <xf numFmtId="9" fontId="60" fillId="0" borderId="0" xfId="4" applyNumberFormat="1" applyFont="1" applyAlignment="1">
      <alignment horizontal="center"/>
    </xf>
    <xf numFmtId="0" fontId="58" fillId="0" borderId="83" xfId="4" applyFont="1" applyBorder="1" applyAlignment="1">
      <alignment horizontal="right"/>
    </xf>
    <xf numFmtId="0" fontId="60" fillId="0" borderId="40" xfId="4" applyFont="1" applyBorder="1"/>
    <xf numFmtId="0" fontId="60" fillId="0" borderId="39" xfId="4" applyFont="1" applyBorder="1" applyAlignment="1">
      <alignment horizontal="center"/>
    </xf>
    <xf numFmtId="0" fontId="60" fillId="0" borderId="85" xfId="4" applyFont="1" applyBorder="1"/>
    <xf numFmtId="0" fontId="58" fillId="0" borderId="17" xfId="4" applyFont="1" applyBorder="1" applyAlignment="1">
      <alignment horizontal="right"/>
    </xf>
    <xf numFmtId="0" fontId="60" fillId="0" borderId="130" xfId="4" applyFont="1" applyBorder="1"/>
    <xf numFmtId="0" fontId="65" fillId="0" borderId="0" xfId="4" applyFont="1"/>
    <xf numFmtId="0" fontId="66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57" fillId="0" borderId="130" xfId="4" applyFont="1" applyBorder="1" applyAlignment="1">
      <alignment horizontal="center"/>
    </xf>
    <xf numFmtId="2" fontId="7" fillId="0" borderId="36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0" fontId="62" fillId="0" borderId="83" xfId="4" applyFont="1" applyBorder="1" applyAlignment="1">
      <alignment horizontal="centerContinuous"/>
    </xf>
    <xf numFmtId="167" fontId="3" fillId="0" borderId="0" xfId="4" quotePrefix="1" applyNumberFormat="1" applyFont="1" applyAlignment="1">
      <alignment horizontal="center"/>
    </xf>
    <xf numFmtId="167" fontId="2" fillId="0" borderId="0" xfId="4" applyNumberFormat="1" applyFont="1" applyAlignment="1">
      <alignment horizontal="center"/>
    </xf>
    <xf numFmtId="167" fontId="3" fillId="0" borderId="0" xfId="4" applyNumberFormat="1" applyFont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18" fillId="0" borderId="0" xfId="4" applyFont="1"/>
    <xf numFmtId="0" fontId="2" fillId="0" borderId="44" xfId="4" applyFont="1" applyBorder="1" applyAlignment="1">
      <alignment horizontal="center"/>
    </xf>
    <xf numFmtId="0" fontId="2" fillId="0" borderId="54" xfId="4" applyFont="1" applyBorder="1" applyAlignment="1">
      <alignment horizontal="center"/>
    </xf>
    <xf numFmtId="167" fontId="3" fillId="0" borderId="133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4" xfId="4" applyNumberFormat="1" applyFont="1" applyBorder="1" applyAlignment="1">
      <alignment horizontal="center"/>
    </xf>
    <xf numFmtId="167" fontId="3" fillId="0" borderId="135" xfId="4" quotePrefix="1" applyNumberFormat="1" applyFont="1" applyBorder="1" applyAlignment="1">
      <alignment horizontal="center"/>
    </xf>
    <xf numFmtId="167" fontId="2" fillId="0" borderId="130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1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72" fontId="68" fillId="0" borderId="6" xfId="5" applyFont="1" applyBorder="1" applyAlignment="1">
      <alignment horizontal="centerContinuous"/>
    </xf>
    <xf numFmtId="172" fontId="68" fillId="0" borderId="7" xfId="5" applyFont="1" applyBorder="1" applyAlignment="1">
      <alignment horizontal="centerContinuous"/>
    </xf>
    <xf numFmtId="172" fontId="69" fillId="0" borderId="12" xfId="5" applyFont="1" applyBorder="1" applyAlignment="1">
      <alignment horizontal="left"/>
    </xf>
    <xf numFmtId="172" fontId="70" fillId="0" borderId="55" xfId="5" applyFont="1" applyBorder="1"/>
    <xf numFmtId="172" fontId="69" fillId="0" borderId="13" xfId="5" applyFont="1" applyBorder="1" applyAlignment="1">
      <alignment horizontal="centerContinuous"/>
    </xf>
    <xf numFmtId="172" fontId="70" fillId="0" borderId="14" xfId="5" applyFont="1" applyBorder="1" applyAlignment="1">
      <alignment horizontal="centerContinuous"/>
    </xf>
    <xf numFmtId="172" fontId="71" fillId="0" borderId="0" xfId="5" applyFont="1"/>
    <xf numFmtId="172" fontId="67" fillId="0" borderId="0" xfId="5"/>
    <xf numFmtId="172" fontId="68" fillId="0" borderId="45" xfId="5" applyFont="1" applyBorder="1" applyAlignment="1">
      <alignment horizontal="centerContinuous"/>
    </xf>
    <xf numFmtId="172" fontId="68" fillId="0" borderId="0" xfId="5" applyFont="1" applyAlignment="1">
      <alignment horizontal="centerContinuous"/>
    </xf>
    <xf numFmtId="172" fontId="69" fillId="0" borderId="110" xfId="5" applyFont="1" applyBorder="1" applyAlignment="1">
      <alignment horizontal="left"/>
    </xf>
    <xf numFmtId="172" fontId="70" fillId="0" borderId="39" xfId="5" applyFont="1" applyBorder="1"/>
    <xf numFmtId="172" fontId="69" fillId="0" borderId="40" xfId="5" applyFont="1" applyBorder="1" applyAlignment="1">
      <alignment horizontal="centerContinuous"/>
    </xf>
    <xf numFmtId="172" fontId="70" fillId="0" borderId="29" xfId="5" applyFont="1" applyBorder="1" applyAlignment="1">
      <alignment horizontal="centerContinuous"/>
    </xf>
    <xf numFmtId="172" fontId="70" fillId="0" borderId="45" xfId="5" applyFont="1" applyBorder="1" applyAlignment="1">
      <alignment horizontal="centerContinuous"/>
    </xf>
    <xf numFmtId="172" fontId="70" fillId="0" borderId="0" xfId="5" applyFont="1" applyAlignment="1">
      <alignment horizontal="centerContinuous"/>
    </xf>
    <xf numFmtId="172" fontId="69" fillId="0" borderId="40" xfId="5" quotePrefix="1" applyFont="1" applyBorder="1" applyAlignment="1">
      <alignment horizontal="centerContinuous"/>
    </xf>
    <xf numFmtId="172" fontId="72" fillId="0" borderId="45" xfId="5" applyFont="1" applyBorder="1" applyAlignment="1">
      <alignment horizontal="centerContinuous"/>
    </xf>
    <xf numFmtId="172" fontId="71" fillId="0" borderId="45" xfId="5" applyFont="1" applyBorder="1" applyAlignment="1">
      <alignment horizontal="centerContinuous"/>
    </xf>
    <xf numFmtId="172" fontId="71" fillId="0" borderId="46" xfId="5" applyFont="1" applyBorder="1" applyAlignment="1">
      <alignment horizontal="centerContinuous"/>
    </xf>
    <xf numFmtId="172" fontId="70" fillId="0" borderId="23" xfId="5" applyFont="1" applyBorder="1" applyAlignment="1">
      <alignment horizontal="centerContinuous"/>
    </xf>
    <xf numFmtId="172" fontId="69" fillId="0" borderId="46" xfId="5" applyFont="1" applyBorder="1" applyAlignment="1">
      <alignment horizontal="left"/>
    </xf>
    <xf numFmtId="172" fontId="70" fillId="0" borderId="48" xfId="5" applyFont="1" applyBorder="1"/>
    <xf numFmtId="172" fontId="73" fillId="0" borderId="23" xfId="5" applyFont="1" applyBorder="1" applyAlignment="1">
      <alignment horizontal="centerContinuous"/>
    </xf>
    <xf numFmtId="172" fontId="70" fillId="0" borderId="24" xfId="5" applyFont="1" applyBorder="1" applyAlignment="1">
      <alignment horizontal="centerContinuous"/>
    </xf>
    <xf numFmtId="172" fontId="71" fillId="0" borderId="0" xfId="5" applyFont="1" applyAlignment="1">
      <alignment horizontal="centerContinuous"/>
    </xf>
    <xf numFmtId="172" fontId="69" fillId="0" borderId="0" xfId="5" applyFont="1" applyAlignment="1">
      <alignment horizontal="left"/>
    </xf>
    <xf numFmtId="172" fontId="70" fillId="0" borderId="0" xfId="5" applyFont="1"/>
    <xf numFmtId="172" fontId="69" fillId="0" borderId="0" xfId="5" applyFont="1" applyAlignment="1">
      <alignment horizontal="centerContinuous"/>
    </xf>
    <xf numFmtId="172" fontId="74" fillId="0" borderId="0" xfId="5" applyFont="1"/>
    <xf numFmtId="172" fontId="74" fillId="0" borderId="0" xfId="5" applyFont="1" applyAlignment="1">
      <alignment horizontal="right"/>
    </xf>
    <xf numFmtId="172" fontId="74" fillId="0" borderId="0" xfId="5" applyFont="1" applyAlignment="1" applyProtection="1">
      <alignment horizontal="left"/>
      <protection locked="0"/>
    </xf>
    <xf numFmtId="172" fontId="74" fillId="0" borderId="0" xfId="5" applyFont="1" applyAlignment="1">
      <alignment horizontal="centerContinuous"/>
    </xf>
    <xf numFmtId="172" fontId="74" fillId="0" borderId="0" xfId="5" applyFont="1" applyAlignment="1">
      <alignment horizontal="left"/>
    </xf>
    <xf numFmtId="49" fontId="74" fillId="0" borderId="0" xfId="5" quotePrefix="1" applyNumberFormat="1" applyFont="1" applyAlignment="1" applyProtection="1">
      <alignment horizontal="left"/>
      <protection locked="0"/>
    </xf>
    <xf numFmtId="172" fontId="75" fillId="0" borderId="136" xfId="5" applyFont="1" applyBorder="1" applyAlignment="1">
      <alignment horizontal="centerContinuous"/>
    </xf>
    <xf numFmtId="172" fontId="71" fillId="0" borderId="137" xfId="5" applyFont="1" applyBorder="1" applyAlignment="1">
      <alignment horizontal="centerContinuous"/>
    </xf>
    <xf numFmtId="172" fontId="71" fillId="0" borderId="138" xfId="5" applyFont="1" applyBorder="1" applyAlignment="1">
      <alignment horizontal="centerContinuous"/>
    </xf>
    <xf numFmtId="172" fontId="74" fillId="0" borderId="45" xfId="5" applyFont="1" applyBorder="1"/>
    <xf numFmtId="172" fontId="74" fillId="0" borderId="0" xfId="5" applyFont="1" applyAlignment="1" applyProtection="1">
      <alignment horizontal="center"/>
      <protection locked="0"/>
    </xf>
    <xf numFmtId="172" fontId="74" fillId="0" borderId="21" xfId="5" applyFont="1" applyBorder="1" applyAlignment="1" applyProtection="1">
      <alignment horizontal="center"/>
      <protection locked="0"/>
    </xf>
    <xf numFmtId="172" fontId="74" fillId="0" borderId="0" xfId="5" applyFont="1" applyAlignment="1">
      <alignment horizontal="center"/>
    </xf>
    <xf numFmtId="172" fontId="74" fillId="0" borderId="0" xfId="5" quotePrefix="1" applyFont="1" applyAlignment="1">
      <alignment horizontal="right"/>
    </xf>
    <xf numFmtId="172" fontId="74" fillId="0" borderId="0" xfId="5" quotePrefix="1" applyFont="1" applyAlignment="1" applyProtection="1">
      <alignment horizontal="center"/>
      <protection locked="0"/>
    </xf>
    <xf numFmtId="172" fontId="74" fillId="0" borderId="21" xfId="5" applyFont="1" applyBorder="1"/>
    <xf numFmtId="172" fontId="74" fillId="0" borderId="46" xfId="5" applyFont="1" applyBorder="1"/>
    <xf numFmtId="172" fontId="74" fillId="0" borderId="23" xfId="5" applyFont="1" applyBorder="1" applyAlignment="1">
      <alignment horizontal="right"/>
    </xf>
    <xf numFmtId="167" fontId="74" fillId="0" borderId="23" xfId="5" quotePrefix="1" applyNumberFormat="1" applyFont="1" applyBorder="1" applyAlignment="1" applyProtection="1">
      <alignment horizontal="center"/>
      <protection locked="0"/>
    </xf>
    <xf numFmtId="172" fontId="74" fillId="0" borderId="23" xfId="5" applyFont="1" applyBorder="1"/>
    <xf numFmtId="167" fontId="74" fillId="0" borderId="23" xfId="5" applyNumberFormat="1" applyFont="1" applyBorder="1"/>
    <xf numFmtId="172" fontId="74" fillId="0" borderId="24" xfId="5" applyFont="1" applyBorder="1"/>
    <xf numFmtId="172" fontId="76" fillId="0" borderId="45" xfId="5" quotePrefix="1" applyFont="1" applyBorder="1" applyAlignment="1">
      <alignment horizontal="left"/>
    </xf>
    <xf numFmtId="172" fontId="70" fillId="0" borderId="0" xfId="5" quotePrefix="1" applyFont="1" applyAlignment="1">
      <alignment horizontal="right"/>
    </xf>
    <xf numFmtId="172" fontId="70" fillId="0" borderId="108" xfId="5" applyFont="1" applyBorder="1"/>
    <xf numFmtId="172" fontId="76" fillId="0" borderId="0" xfId="5" applyFont="1" applyAlignment="1">
      <alignment horizontal="left"/>
    </xf>
    <xf numFmtId="172" fontId="70" fillId="0" borderId="0" xfId="5" applyFont="1" applyAlignment="1">
      <alignment horizontal="right"/>
    </xf>
    <xf numFmtId="172" fontId="70" fillId="0" borderId="108" xfId="5" applyFont="1" applyBorder="1" applyAlignment="1">
      <alignment horizontal="right"/>
    </xf>
    <xf numFmtId="172" fontId="76" fillId="0" borderId="0" xfId="5" quotePrefix="1" applyFont="1" applyAlignment="1">
      <alignment horizontal="left"/>
    </xf>
    <xf numFmtId="172" fontId="70" fillId="0" borderId="21" xfId="5" applyFont="1" applyBorder="1"/>
    <xf numFmtId="172" fontId="67" fillId="0" borderId="45" xfId="5" applyBorder="1"/>
    <xf numFmtId="172" fontId="74" fillId="0" borderId="108" xfId="5" applyFont="1" applyBorder="1" applyAlignment="1" applyProtection="1">
      <alignment horizontal="center"/>
      <protection locked="0"/>
    </xf>
    <xf numFmtId="1" fontId="74" fillId="0" borderId="108" xfId="5" applyNumberFormat="1" applyFont="1" applyBorder="1" applyAlignment="1">
      <alignment horizontal="center"/>
    </xf>
    <xf numFmtId="172" fontId="74" fillId="0" borderId="108" xfId="5" applyFont="1" applyBorder="1"/>
    <xf numFmtId="172" fontId="74" fillId="0" borderId="48" xfId="5" applyFont="1" applyBorder="1"/>
    <xf numFmtId="172" fontId="74" fillId="0" borderId="48" xfId="5" applyFont="1" applyBorder="1" applyAlignment="1">
      <alignment horizontal="left"/>
    </xf>
    <xf numFmtId="172" fontId="75" fillId="0" borderId="139" xfId="5" applyFont="1" applyBorder="1" applyAlignment="1">
      <alignment horizontal="centerContinuous"/>
    </xf>
    <xf numFmtId="172" fontId="71" fillId="0" borderId="140" xfId="5" applyFont="1" applyBorder="1" applyAlignment="1">
      <alignment horizontal="centerContinuous"/>
    </xf>
    <xf numFmtId="172" fontId="67" fillId="0" borderId="141" xfId="5" applyBorder="1"/>
    <xf numFmtId="172" fontId="71" fillId="0" borderId="142" xfId="5" applyFont="1" applyBorder="1" applyAlignment="1">
      <alignment horizontal="centerContinuous"/>
    </xf>
    <xf numFmtId="172" fontId="76" fillId="0" borderId="45" xfId="5" applyFont="1" applyBorder="1" applyAlignment="1">
      <alignment horizontal="left"/>
    </xf>
    <xf numFmtId="172" fontId="67" fillId="0" borderId="108" xfId="5" applyBorder="1"/>
    <xf numFmtId="167" fontId="74" fillId="0" borderId="0" xfId="5" applyNumberFormat="1" applyFont="1" applyAlignment="1" applyProtection="1">
      <alignment horizontal="center"/>
      <protection locked="0"/>
    </xf>
    <xf numFmtId="172" fontId="74" fillId="0" borderId="45" xfId="5" applyFont="1" applyBorder="1" applyAlignment="1">
      <alignment horizontal="left"/>
    </xf>
    <xf numFmtId="172" fontId="67" fillId="0" borderId="48" xfId="5" applyBorder="1"/>
    <xf numFmtId="172" fontId="71" fillId="0" borderId="0" xfId="5" applyFont="1" applyAlignment="1">
      <alignment horizontal="left"/>
    </xf>
    <xf numFmtId="172" fontId="71" fillId="0" borderId="139" xfId="5" applyFont="1" applyBorder="1"/>
    <xf numFmtId="172" fontId="70" fillId="0" borderId="140" xfId="5" applyFont="1" applyBorder="1" applyAlignment="1">
      <alignment horizontal="left"/>
    </xf>
    <xf numFmtId="172" fontId="70" fillId="0" borderId="142" xfId="5" applyFont="1" applyBorder="1" applyAlignment="1">
      <alignment horizontal="left"/>
    </xf>
    <xf numFmtId="172" fontId="74" fillId="0" borderId="45" xfId="5" quotePrefix="1" applyFont="1" applyBorder="1" applyAlignment="1">
      <alignment horizontal="left"/>
    </xf>
    <xf numFmtId="172" fontId="74" fillId="0" borderId="21" xfId="5" applyFont="1" applyBorder="1" applyAlignment="1">
      <alignment horizontal="left"/>
    </xf>
    <xf numFmtId="172" fontId="77" fillId="0" borderId="143" xfId="5" applyFont="1" applyBorder="1"/>
    <xf numFmtId="172" fontId="74" fillId="0" borderId="0" xfId="5" quotePrefix="1" applyFont="1" applyAlignment="1">
      <alignment horizontal="left"/>
    </xf>
    <xf numFmtId="172" fontId="74" fillId="0" borderId="144" xfId="5" quotePrefix="1" applyFont="1" applyBorder="1" applyAlignment="1">
      <alignment horizontal="left"/>
    </xf>
    <xf numFmtId="172" fontId="74" fillId="0" borderId="145" xfId="5" quotePrefix="1" applyFont="1" applyBorder="1" applyAlignment="1">
      <alignment horizontal="left"/>
    </xf>
    <xf numFmtId="172" fontId="74" fillId="0" borderId="46" xfId="5" applyFont="1" applyBorder="1" applyAlignment="1">
      <alignment horizontal="left"/>
    </xf>
    <xf numFmtId="172" fontId="74" fillId="0" borderId="23" xfId="5" applyFont="1" applyBorder="1" applyAlignment="1">
      <alignment horizontal="left"/>
    </xf>
    <xf numFmtId="172" fontId="74" fillId="0" borderId="24" xfId="5" applyFont="1" applyBorder="1" applyAlignment="1">
      <alignment horizontal="left"/>
    </xf>
    <xf numFmtId="172" fontId="70" fillId="0" borderId="0" xfId="5" applyFont="1" applyAlignment="1">
      <alignment horizontal="left"/>
    </xf>
    <xf numFmtId="172" fontId="78" fillId="0" borderId="0" xfId="5" applyFont="1" applyAlignment="1">
      <alignment horizontal="right"/>
    </xf>
    <xf numFmtId="172" fontId="67" fillId="0" borderId="0" xfId="5" applyAlignment="1">
      <alignment horizontal="right"/>
    </xf>
    <xf numFmtId="49" fontId="60" fillId="0" borderId="40" xfId="4" applyNumberFormat="1" applyFont="1" applyBorder="1"/>
    <xf numFmtId="167" fontId="80" fillId="0" borderId="1" xfId="4" applyNumberFormat="1" applyFont="1" applyBorder="1" applyAlignment="1">
      <alignment horizontal="center"/>
    </xf>
    <xf numFmtId="0" fontId="57" fillId="0" borderId="0" xfId="0" applyFont="1"/>
    <xf numFmtId="0" fontId="59" fillId="0" borderId="20" xfId="0" applyFont="1" applyBorder="1" applyAlignment="1">
      <alignment horizontal="right"/>
    </xf>
    <xf numFmtId="0" fontId="59" fillId="0" borderId="47" xfId="0" applyFont="1" applyBorder="1" applyAlignment="1">
      <alignment horizontal="right"/>
    </xf>
    <xf numFmtId="0" fontId="59" fillId="0" borderId="102" xfId="0" applyFont="1" applyBorder="1" applyAlignment="1">
      <alignment horizontal="center"/>
    </xf>
    <xf numFmtId="0" fontId="31" fillId="0" borderId="38" xfId="0" applyFont="1" applyBorder="1" applyAlignment="1">
      <alignment horizontal="center"/>
    </xf>
    <xf numFmtId="0" fontId="59" fillId="0" borderId="61" xfId="0" applyFont="1" applyBorder="1" applyAlignment="1">
      <alignment horizontal="center"/>
    </xf>
    <xf numFmtId="0" fontId="31" fillId="0" borderId="38" xfId="0" applyFont="1" applyBorder="1"/>
    <xf numFmtId="0" fontId="0" fillId="0" borderId="46" xfId="0" applyBorder="1"/>
    <xf numFmtId="0" fontId="31" fillId="0" borderId="48" xfId="0" applyFont="1" applyBorder="1" applyAlignment="1">
      <alignment horizontal="center"/>
    </xf>
    <xf numFmtId="0" fontId="57" fillId="0" borderId="132" xfId="0" applyFont="1" applyBorder="1" applyAlignment="1">
      <alignment horizontal="center"/>
    </xf>
    <xf numFmtId="0" fontId="31" fillId="0" borderId="48" xfId="0" applyFont="1" applyBorder="1"/>
    <xf numFmtId="0" fontId="59" fillId="0" borderId="102" xfId="0" applyFont="1" applyBorder="1" applyAlignment="1">
      <alignment horizontal="right"/>
    </xf>
    <xf numFmtId="0" fontId="31" fillId="0" borderId="27" xfId="0" applyFont="1" applyBorder="1" applyAlignment="1">
      <alignment horizontal="center"/>
    </xf>
    <xf numFmtId="0" fontId="59" fillId="0" borderId="46" xfId="0" applyFont="1" applyBorder="1" applyAlignment="1">
      <alignment horizontal="right"/>
    </xf>
    <xf numFmtId="0" fontId="31" fillId="0" borderId="24" xfId="0" applyFont="1" applyBorder="1" applyAlignment="1">
      <alignment horizontal="center"/>
    </xf>
    <xf numFmtId="0" fontId="31" fillId="0" borderId="32" xfId="0" applyFont="1" applyBorder="1" applyAlignment="1">
      <alignment horizontal="center"/>
    </xf>
    <xf numFmtId="0" fontId="57" fillId="0" borderId="0" xfId="0" applyFont="1" applyAlignment="1">
      <alignment horizontal="center"/>
    </xf>
    <xf numFmtId="0" fontId="6" fillId="0" borderId="0" xfId="4" applyFont="1"/>
    <xf numFmtId="0" fontId="58" fillId="0" borderId="0" xfId="4" applyFont="1"/>
    <xf numFmtId="0" fontId="31" fillId="0" borderId="17" xfId="4" applyFont="1" applyBorder="1" applyAlignment="1">
      <alignment horizontal="right"/>
    </xf>
    <xf numFmtId="0" fontId="31" fillId="0" borderId="130" xfId="4" applyFont="1" applyBorder="1" applyAlignment="1">
      <alignment horizontal="left"/>
    </xf>
    <xf numFmtId="0" fontId="31" fillId="0" borderId="130" xfId="4" quotePrefix="1" applyFont="1" applyBorder="1" applyAlignment="1">
      <alignment horizontal="left"/>
    </xf>
    <xf numFmtId="0" fontId="38" fillId="0" borderId="65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28" fillId="0" borderId="80" xfId="1" applyFont="1" applyBorder="1" applyAlignment="1">
      <alignment horizontal="left"/>
    </xf>
    <xf numFmtId="0" fontId="28" fillId="0" borderId="81" xfId="1" applyFont="1" applyBorder="1" applyAlignment="1">
      <alignment horizontal="left"/>
    </xf>
    <xf numFmtId="0" fontId="28" fillId="0" borderId="82" xfId="1" applyFont="1" applyBorder="1" applyAlignment="1">
      <alignment horizontal="left"/>
    </xf>
    <xf numFmtId="14" fontId="19" fillId="5" borderId="120" xfId="1" applyNumberFormat="1" applyFont="1" applyFill="1" applyBorder="1" applyAlignment="1">
      <alignment horizontal="center"/>
    </xf>
    <xf numFmtId="14" fontId="19" fillId="5" borderId="121" xfId="1" applyNumberFormat="1" applyFont="1" applyFill="1" applyBorder="1" applyAlignment="1">
      <alignment horizontal="center"/>
    </xf>
    <xf numFmtId="0" fontId="50" fillId="5" borderId="115" xfId="1" applyFont="1" applyFill="1" applyBorder="1" applyAlignment="1">
      <alignment horizontal="center"/>
    </xf>
    <xf numFmtId="0" fontId="50" fillId="5" borderId="116" xfId="1" applyFont="1" applyFill="1" applyBorder="1" applyAlignment="1">
      <alignment horizontal="center"/>
    </xf>
    <xf numFmtId="0" fontId="33" fillId="0" borderId="45" xfId="1" applyFont="1" applyBorder="1" applyAlignment="1">
      <alignment horizontal="center"/>
    </xf>
    <xf numFmtId="0" fontId="33" fillId="0" borderId="0" xfId="1" applyFont="1" applyAlignment="1">
      <alignment horizontal="center"/>
    </xf>
    <xf numFmtId="0" fontId="33" fillId="0" borderId="108" xfId="1" applyFont="1" applyBorder="1" applyAlignment="1">
      <alignment horizontal="center"/>
    </xf>
    <xf numFmtId="0" fontId="33" fillId="0" borderId="110" xfId="1" applyFont="1" applyBorder="1" applyAlignment="1">
      <alignment horizontal="center"/>
    </xf>
    <xf numFmtId="0" fontId="33" fillId="0" borderId="40" xfId="1" applyFont="1" applyBorder="1" applyAlignment="1">
      <alignment horizontal="center"/>
    </xf>
    <xf numFmtId="0" fontId="33" fillId="0" borderId="39" xfId="1" applyFont="1" applyBorder="1" applyAlignment="1">
      <alignment horizontal="center"/>
    </xf>
    <xf numFmtId="0" fontId="28" fillId="0" borderId="102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0" fontId="28" fillId="0" borderId="38" xfId="1" applyFont="1" applyBorder="1" applyAlignment="1">
      <alignment horizontal="left"/>
    </xf>
    <xf numFmtId="0" fontId="33" fillId="0" borderId="46" xfId="1" applyFont="1" applyBorder="1" applyAlignment="1">
      <alignment horizontal="center"/>
    </xf>
    <xf numFmtId="0" fontId="33" fillId="0" borderId="23" xfId="1" applyFont="1" applyBorder="1" applyAlignment="1">
      <alignment horizontal="center"/>
    </xf>
    <xf numFmtId="0" fontId="33" fillId="0" borderId="48" xfId="1" applyFont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3" fillId="0" borderId="107" xfId="1" applyFont="1" applyBorder="1" applyAlignment="1">
      <alignment horizontal="left"/>
    </xf>
    <xf numFmtId="0" fontId="33" fillId="0" borderId="77" xfId="1" applyFont="1" applyBorder="1" applyAlignment="1">
      <alignment horizontal="left"/>
    </xf>
    <xf numFmtId="0" fontId="28" fillId="5" borderId="61" xfId="1" applyFont="1" applyFill="1" applyBorder="1" applyAlignment="1">
      <alignment horizontal="left"/>
    </xf>
    <xf numFmtId="0" fontId="28" fillId="5" borderId="62" xfId="1" applyFont="1" applyFill="1" applyBorder="1" applyAlignment="1">
      <alignment horizontal="left"/>
    </xf>
    <xf numFmtId="0" fontId="28" fillId="5" borderId="27" xfId="1" applyFont="1" applyFill="1" applyBorder="1" applyAlignment="1">
      <alignment horizontal="left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24" fillId="0" borderId="0" xfId="1" applyFont="1" applyAlignment="1">
      <alignment horizontal="center"/>
    </xf>
    <xf numFmtId="0" fontId="27" fillId="5" borderId="0" xfId="1" applyFont="1" applyFill="1" applyAlignment="1">
      <alignment horizontal="center"/>
    </xf>
    <xf numFmtId="0" fontId="34" fillId="5" borderId="12" xfId="1" applyFont="1" applyFill="1" applyBorder="1" applyAlignment="1">
      <alignment horizontal="left"/>
    </xf>
    <xf numFmtId="0" fontId="34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29" fillId="5" borderId="23" xfId="1" applyFont="1" applyFill="1" applyBorder="1" applyAlignment="1">
      <alignment horizontal="center"/>
    </xf>
    <xf numFmtId="0" fontId="53" fillId="0" borderId="17" xfId="3" applyBorder="1" applyAlignment="1">
      <alignment horizontal="left"/>
    </xf>
    <xf numFmtId="0" fontId="53" fillId="0" borderId="129" xfId="3" applyBorder="1" applyAlignment="1">
      <alignment horizontal="left"/>
    </xf>
    <xf numFmtId="170" fontId="53" fillId="0" borderId="17" xfId="3" applyNumberFormat="1" applyBorder="1" applyAlignment="1">
      <alignment horizontal="center"/>
    </xf>
    <xf numFmtId="170" fontId="53" fillId="0" borderId="129" xfId="3" applyNumberFormat="1" applyBorder="1" applyAlignment="1">
      <alignment horizontal="center"/>
    </xf>
    <xf numFmtId="170" fontId="53" fillId="0" borderId="130" xfId="3" applyNumberFormat="1" applyBorder="1" applyAlignment="1">
      <alignment horizontal="center"/>
    </xf>
    <xf numFmtId="49" fontId="53" fillId="0" borderId="17" xfId="3" applyNumberFormat="1" applyBorder="1" applyAlignment="1">
      <alignment horizontal="center"/>
    </xf>
    <xf numFmtId="49" fontId="53" fillId="0" borderId="129" xfId="3" applyNumberFormat="1" applyBorder="1" applyAlignment="1">
      <alignment horizontal="center"/>
    </xf>
    <xf numFmtId="49" fontId="53" fillId="0" borderId="16" xfId="3" applyNumberFormat="1" applyBorder="1" applyAlignment="1">
      <alignment horizontal="center"/>
    </xf>
    <xf numFmtId="0" fontId="53" fillId="0" borderId="31" xfId="3" applyBorder="1" applyAlignment="1">
      <alignment horizontal="left"/>
    </xf>
    <xf numFmtId="0" fontId="53" fillId="0" borderId="51" xfId="3" applyBorder="1" applyAlignment="1">
      <alignment horizontal="left"/>
    </xf>
    <xf numFmtId="170" fontId="53" fillId="0" borderId="31" xfId="3" applyNumberFormat="1" applyBorder="1" applyAlignment="1">
      <alignment horizontal="center"/>
    </xf>
    <xf numFmtId="170" fontId="53" fillId="0" borderId="51" xfId="3" applyNumberFormat="1" applyBorder="1" applyAlignment="1">
      <alignment horizontal="center"/>
    </xf>
    <xf numFmtId="170" fontId="53" fillId="0" borderId="131" xfId="3" applyNumberFormat="1" applyBorder="1" applyAlignment="1">
      <alignment horizontal="center"/>
    </xf>
    <xf numFmtId="49" fontId="53" fillId="0" borderId="31" xfId="3" applyNumberFormat="1" applyBorder="1" applyAlignment="1">
      <alignment horizontal="center"/>
    </xf>
    <xf numFmtId="49" fontId="53" fillId="0" borderId="51" xfId="3" applyNumberFormat="1" applyBorder="1" applyAlignment="1">
      <alignment horizontal="center"/>
    </xf>
    <xf numFmtId="49" fontId="53" fillId="0" borderId="32" xfId="3" applyNumberFormat="1" applyBorder="1" applyAlignment="1">
      <alignment horizontal="center"/>
    </xf>
    <xf numFmtId="0" fontId="53" fillId="0" borderId="50" xfId="3" applyBorder="1" applyAlignment="1">
      <alignment horizontal="left"/>
    </xf>
    <xf numFmtId="0" fontId="53" fillId="0" borderId="13" xfId="3" applyBorder="1" applyAlignment="1">
      <alignment horizontal="left"/>
    </xf>
    <xf numFmtId="170" fontId="53" fillId="0" borderId="50" xfId="3" applyNumberFormat="1" applyBorder="1" applyAlignment="1">
      <alignment horizontal="center"/>
    </xf>
    <xf numFmtId="170" fontId="53" fillId="0" borderId="13" xfId="3" applyNumberFormat="1" applyBorder="1" applyAlignment="1">
      <alignment horizontal="center"/>
    </xf>
    <xf numFmtId="170" fontId="53" fillId="0" borderId="55" xfId="3" applyNumberFormat="1" applyBorder="1" applyAlignment="1">
      <alignment horizontal="center"/>
    </xf>
    <xf numFmtId="49" fontId="53" fillId="0" borderId="50" xfId="3" applyNumberFormat="1" applyBorder="1" applyAlignment="1">
      <alignment horizontal="center"/>
    </xf>
    <xf numFmtId="49" fontId="53" fillId="0" borderId="13" xfId="3" applyNumberFormat="1" applyBorder="1" applyAlignment="1">
      <alignment horizontal="center"/>
    </xf>
    <xf numFmtId="49" fontId="53" fillId="0" borderId="14" xfId="3" applyNumberFormat="1" applyBorder="1" applyAlignment="1">
      <alignment horizontal="center"/>
    </xf>
    <xf numFmtId="0" fontId="55" fillId="0" borderId="45" xfId="3" applyFont="1" applyBorder="1" applyAlignment="1">
      <alignment horizontal="center"/>
    </xf>
    <xf numFmtId="0" fontId="55" fillId="0" borderId="0" xfId="3" applyFont="1" applyAlignment="1">
      <alignment horizontal="center"/>
    </xf>
    <xf numFmtId="0" fontId="55" fillId="0" borderId="53" xfId="3" applyFont="1" applyBorder="1" applyAlignment="1">
      <alignment horizontal="center"/>
    </xf>
    <xf numFmtId="0" fontId="54" fillId="0" borderId="15" xfId="3" applyFont="1" applyBorder="1" applyAlignment="1">
      <alignment horizontal="center"/>
    </xf>
    <xf numFmtId="0" fontId="54" fillId="0" borderId="7" xfId="3" applyFont="1" applyBorder="1" applyAlignment="1">
      <alignment horizontal="center"/>
    </xf>
    <xf numFmtId="0" fontId="54" fillId="0" borderId="128" xfId="3" applyFont="1" applyBorder="1" applyAlignment="1">
      <alignment horizontal="center"/>
    </xf>
    <xf numFmtId="0" fontId="54" fillId="0" borderId="8" xfId="3" applyFont="1" applyBorder="1" applyAlignment="1">
      <alignment horizontal="center"/>
    </xf>
    <xf numFmtId="0" fontId="2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8" fillId="0" borderId="12" xfId="0" applyFont="1" applyBorder="1" applyAlignment="1">
      <alignment horizontal="left"/>
    </xf>
    <xf numFmtId="0" fontId="58" fillId="0" borderId="13" xfId="0" applyFont="1" applyBorder="1" applyAlignment="1">
      <alignment horizontal="left"/>
    </xf>
    <xf numFmtId="0" fontId="58" fillId="0" borderId="14" xfId="0" applyFont="1" applyBorder="1" applyAlignment="1">
      <alignment horizontal="left"/>
    </xf>
    <xf numFmtId="0" fontId="31" fillId="0" borderId="61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59" fillId="0" borderId="102" xfId="0" applyFont="1" applyBorder="1" applyAlignment="1">
      <alignment horizontal="center"/>
    </xf>
    <xf numFmtId="0" fontId="59" fillId="0" borderId="62" xfId="0" applyFont="1" applyBorder="1" applyAlignment="1">
      <alignment horizontal="center"/>
    </xf>
    <xf numFmtId="0" fontId="59" fillId="0" borderId="27" xfId="0" applyFont="1" applyBorder="1" applyAlignment="1">
      <alignment horizontal="center"/>
    </xf>
    <xf numFmtId="0" fontId="4" fillId="0" borderId="147" xfId="0" applyFont="1" applyBorder="1" applyAlignment="1">
      <alignment horizontal="right"/>
    </xf>
    <xf numFmtId="0" fontId="4" fillId="0" borderId="51" xfId="0" applyFont="1" applyBorder="1" applyAlignment="1">
      <alignment horizontal="right"/>
    </xf>
    <xf numFmtId="0" fontId="31" fillId="0" borderId="51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31" fillId="0" borderId="37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31" fillId="0" borderId="23" xfId="0" applyFont="1" applyBorder="1" applyAlignment="1">
      <alignment horizontal="center"/>
    </xf>
    <xf numFmtId="0" fontId="31" fillId="0" borderId="24" xfId="0" applyFont="1" applyBorder="1" applyAlignment="1">
      <alignment horizontal="center"/>
    </xf>
    <xf numFmtId="0" fontId="59" fillId="0" borderId="61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1" fillId="0" borderId="132" xfId="0" applyFont="1" applyBorder="1" applyAlignment="1">
      <alignment horizontal="center"/>
    </xf>
    <xf numFmtId="0" fontId="31" fillId="0" borderId="62" xfId="0" applyFont="1" applyBorder="1" applyAlignment="1">
      <alignment horizontal="center"/>
    </xf>
    <xf numFmtId="0" fontId="59" fillId="0" borderId="102" xfId="0" applyFont="1" applyBorder="1" applyAlignment="1">
      <alignment horizontal="right"/>
    </xf>
    <xf numFmtId="0" fontId="59" fillId="0" borderId="62" xfId="0" applyFont="1" applyBorder="1" applyAlignment="1">
      <alignment horizontal="right"/>
    </xf>
    <xf numFmtId="0" fontId="59" fillId="0" borderId="46" xfId="0" applyFont="1" applyBorder="1" applyAlignment="1">
      <alignment horizontal="right"/>
    </xf>
    <xf numFmtId="0" fontId="59" fillId="0" borderId="23" xfId="0" applyFont="1" applyBorder="1" applyAlignment="1">
      <alignment horizontal="right"/>
    </xf>
    <xf numFmtId="0" fontId="57" fillId="0" borderId="17" xfId="4" applyFont="1" applyBorder="1" applyAlignment="1">
      <alignment horizontal="right"/>
    </xf>
    <xf numFmtId="0" fontId="57" fillId="0" borderId="129" xfId="4" applyFont="1" applyBorder="1" applyAlignment="1">
      <alignment horizontal="right"/>
    </xf>
    <xf numFmtId="0" fontId="31" fillId="0" borderId="0" xfId="4" applyFont="1" applyAlignment="1">
      <alignment horizontal="center"/>
    </xf>
    <xf numFmtId="0" fontId="63" fillId="0" borderId="0" xfId="4" applyFont="1" applyAlignment="1">
      <alignment horizontal="right"/>
    </xf>
    <xf numFmtId="0" fontId="57" fillId="0" borderId="1" xfId="4" applyFont="1" applyBorder="1" applyAlignment="1">
      <alignment horizontal="center"/>
    </xf>
    <xf numFmtId="0" fontId="31" fillId="0" borderId="17" xfId="4" applyFont="1" applyBorder="1" applyAlignment="1">
      <alignment horizontal="center"/>
    </xf>
    <xf numFmtId="0" fontId="31" fillId="0" borderId="129" xfId="4" applyFont="1" applyBorder="1" applyAlignment="1">
      <alignment horizontal="center"/>
    </xf>
    <xf numFmtId="0" fontId="31" fillId="0" borderId="130" xfId="4" applyFont="1" applyBorder="1" applyAlignment="1">
      <alignment horizontal="center"/>
    </xf>
    <xf numFmtId="0" fontId="63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9" fillId="0" borderId="17" xfId="4" applyFont="1" applyBorder="1" applyAlignment="1">
      <alignment horizontal="center"/>
    </xf>
    <xf numFmtId="172" fontId="79" fillId="0" borderId="146" xfId="5" applyFont="1" applyBorder="1" applyAlignment="1" applyProtection="1">
      <alignment horizontal="center"/>
      <protection locked="0"/>
    </xf>
    <xf numFmtId="14" fontId="23" fillId="0" borderId="146" xfId="5" quotePrefix="1" applyNumberFormat="1" applyFont="1" applyBorder="1" applyAlignment="1" applyProtection="1">
      <alignment horizontal="center"/>
      <protection locked="0"/>
    </xf>
    <xf numFmtId="0" fontId="60" fillId="0" borderId="17" xfId="4" applyFont="1" applyBorder="1" applyAlignment="1">
      <alignment horizontal="center"/>
    </xf>
    <xf numFmtId="0" fontId="60" fillId="0" borderId="129" xfId="4" applyFont="1" applyBorder="1" applyAlignment="1">
      <alignment horizontal="center"/>
    </xf>
    <xf numFmtId="0" fontId="60" fillId="0" borderId="130" xfId="4" applyFont="1" applyBorder="1" applyAlignment="1">
      <alignment horizontal="center"/>
    </xf>
    <xf numFmtId="0" fontId="62" fillId="0" borderId="83" xfId="4" applyFont="1" applyBorder="1" applyAlignment="1">
      <alignment horizontal="center"/>
    </xf>
    <xf numFmtId="0" fontId="62" fillId="0" borderId="0" xfId="4" applyFont="1" applyAlignment="1">
      <alignment horizontal="center"/>
    </xf>
    <xf numFmtId="0" fontId="62" fillId="0" borderId="108" xfId="4" applyFont="1" applyBorder="1" applyAlignment="1">
      <alignment horizontal="center"/>
    </xf>
    <xf numFmtId="0" fontId="64" fillId="0" borderId="83" xfId="4" applyFont="1" applyBorder="1" applyAlignment="1">
      <alignment horizontal="center"/>
    </xf>
    <xf numFmtId="0" fontId="64" fillId="0" borderId="0" xfId="4" applyFont="1" applyAlignment="1">
      <alignment horizontal="center"/>
    </xf>
    <xf numFmtId="0" fontId="64" fillId="0" borderId="108" xfId="4" applyFont="1" applyBorder="1" applyAlignment="1">
      <alignment horizontal="center"/>
    </xf>
    <xf numFmtId="0" fontId="83" fillId="0" borderId="0" xfId="4" applyFont="1" applyAlignment="1">
      <alignment horizontal="center"/>
    </xf>
    <xf numFmtId="0" fontId="57" fillId="0" borderId="1" xfId="4" applyFont="1" applyBorder="1" applyAlignment="1">
      <alignment horizontal="right"/>
    </xf>
    <xf numFmtId="0" fontId="57" fillId="0" borderId="130" xfId="4" applyFont="1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2" xr:uid="{00000000-0005-0000-0000-000004000000}"/>
    <cellStyle name="Normal_PROJ_REV_HIST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5037246067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89.930042218356235</c:v>
                </c:pt>
                <c:pt idx="2">
                  <c:v>178</c:v>
                </c:pt>
                <c:pt idx="3">
                  <c:v>108.9935013277499</c:v>
                </c:pt>
                <c:pt idx="4">
                  <c:v>90.013690579724098</c:v>
                </c:pt>
                <c:pt idx="5">
                  <c:v>81.847084298606873</c:v>
                </c:pt>
                <c:pt idx="6">
                  <c:v>76.937716330122271</c:v>
                </c:pt>
                <c:pt idx="7">
                  <c:v>74.550921249540806</c:v>
                </c:pt>
                <c:pt idx="8">
                  <c:v>73.095198178502329</c:v>
                </c:pt>
                <c:pt idx="9">
                  <c:v>72.181218907155568</c:v>
                </c:pt>
                <c:pt idx="10">
                  <c:v>71.621274120223021</c:v>
                </c:pt>
                <c:pt idx="11">
                  <c:v>71.28987837118251</c:v>
                </c:pt>
                <c:pt idx="12">
                  <c:v>71.101487491117794</c:v>
                </c:pt>
                <c:pt idx="13">
                  <c:v>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C4-465E-B41F-ADBB29C904B4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99.599998474121094</c:v>
                </c:pt>
                <c:pt idx="2">
                  <c:v>98</c:v>
                </c:pt>
                <c:pt idx="3">
                  <c:v>83.852630615234375</c:v>
                </c:pt>
                <c:pt idx="4">
                  <c:v>70.305259704589844</c:v>
                </c:pt>
                <c:pt idx="5">
                  <c:v>57.410526275634766</c:v>
                </c:pt>
                <c:pt idx="6">
                  <c:v>38.010524749755859</c:v>
                </c:pt>
                <c:pt idx="7">
                  <c:v>24.778947830200195</c:v>
                </c:pt>
                <c:pt idx="8">
                  <c:v>15.684209823608398</c:v>
                </c:pt>
                <c:pt idx="9">
                  <c:v>9.0105257034301758</c:v>
                </c:pt>
                <c:pt idx="10">
                  <c:v>6.2526321411132813</c:v>
                </c:pt>
                <c:pt idx="11">
                  <c:v>7.8315787315368652</c:v>
                </c:pt>
                <c:pt idx="12">
                  <c:v>14.70526123046875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C4-465E-B41F-ADBB29C90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81056"/>
        <c:axId val="159449472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0.14892543852329254</c:v>
                </c:pt>
                <c:pt idx="1">
                  <c:v>125.78456878662109</c:v>
                </c:pt>
                <c:pt idx="2">
                  <c:v>383.68643188476563</c:v>
                </c:pt>
                <c:pt idx="3">
                  <c:v>451.71124267578125</c:v>
                </c:pt>
                <c:pt idx="4">
                  <c:v>469.89956665039063</c:v>
                </c:pt>
                <c:pt idx="5">
                  <c:v>477.61764526367188</c:v>
                </c:pt>
                <c:pt idx="6">
                  <c:v>485.79959106445313</c:v>
                </c:pt>
                <c:pt idx="7">
                  <c:v>491.33999633789063</c:v>
                </c:pt>
                <c:pt idx="8">
                  <c:v>496.04159545898438</c:v>
                </c:pt>
                <c:pt idx="9">
                  <c:v>500.07461547851563</c:v>
                </c:pt>
                <c:pt idx="10">
                  <c:v>503.50103759765625</c:v>
                </c:pt>
                <c:pt idx="11">
                  <c:v>506.40765380859375</c:v>
                </c:pt>
                <c:pt idx="12">
                  <c:v>508.88922119140625</c:v>
                </c:pt>
                <c:pt idx="13">
                  <c:v>511.03076171875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C4-465E-B41F-ADBB29C90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51392"/>
        <c:axId val="159457280"/>
      </c:scatterChart>
      <c:valAx>
        <c:axId val="15918105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65798856065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9449472"/>
        <c:crossesAt val="0"/>
        <c:crossBetween val="midCat"/>
        <c:majorUnit val="0.2"/>
        <c:minorUnit val="0.2"/>
      </c:valAx>
      <c:valAx>
        <c:axId val="159449472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98147558146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9181056"/>
        <c:crosses val="max"/>
        <c:crossBetween val="midCat"/>
        <c:majorUnit val="50"/>
        <c:minorUnit val="50"/>
      </c:valAx>
      <c:valAx>
        <c:axId val="159451392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59457280"/>
        <c:crosses val="autoZero"/>
        <c:crossBetween val="midCat"/>
      </c:valAx>
      <c:valAx>
        <c:axId val="15945728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203616888932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9451392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99.599998474121094</c:v>
                </c:pt>
                <c:pt idx="2">
                  <c:v>98</c:v>
                </c:pt>
                <c:pt idx="3">
                  <c:v>83.852630615234375</c:v>
                </c:pt>
                <c:pt idx="4">
                  <c:v>70.305259704589844</c:v>
                </c:pt>
                <c:pt idx="5">
                  <c:v>57.410526275634766</c:v>
                </c:pt>
                <c:pt idx="6">
                  <c:v>38.010524749755859</c:v>
                </c:pt>
                <c:pt idx="7">
                  <c:v>24.778947830200195</c:v>
                </c:pt>
                <c:pt idx="8">
                  <c:v>15.684209823608398</c:v>
                </c:pt>
                <c:pt idx="9">
                  <c:v>9.0105257034301758</c:v>
                </c:pt>
                <c:pt idx="10">
                  <c:v>6.2526321411132813</c:v>
                </c:pt>
                <c:pt idx="11">
                  <c:v>7.8315787315368652</c:v>
                </c:pt>
                <c:pt idx="12">
                  <c:v>14.70526123046875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0D-4B01-AE2C-D9EBC8561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49216"/>
        <c:axId val="161055488"/>
      </c:scatterChar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89.930042218356235</c:v>
                </c:pt>
                <c:pt idx="2">
                  <c:v>178</c:v>
                </c:pt>
                <c:pt idx="3">
                  <c:v>108.9935013277499</c:v>
                </c:pt>
                <c:pt idx="4">
                  <c:v>90.013690579724098</c:v>
                </c:pt>
                <c:pt idx="5">
                  <c:v>81.847084298606873</c:v>
                </c:pt>
                <c:pt idx="6">
                  <c:v>76.937716330122271</c:v>
                </c:pt>
                <c:pt idx="7">
                  <c:v>74.550921249540806</c:v>
                </c:pt>
                <c:pt idx="8">
                  <c:v>73.095198178502329</c:v>
                </c:pt>
                <c:pt idx="9">
                  <c:v>72.181218907155568</c:v>
                </c:pt>
                <c:pt idx="10">
                  <c:v>71.621274120223021</c:v>
                </c:pt>
                <c:pt idx="11">
                  <c:v>71.28987837118251</c:v>
                </c:pt>
                <c:pt idx="12">
                  <c:v>71.101487491117794</c:v>
                </c:pt>
                <c:pt idx="13">
                  <c:v>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0D-4B01-AE2C-D9EBC8561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49216"/>
        <c:axId val="161055488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0.14892543852329254</c:v>
                </c:pt>
                <c:pt idx="1">
                  <c:v>125.78456878662109</c:v>
                </c:pt>
                <c:pt idx="2">
                  <c:v>383.68643188476563</c:v>
                </c:pt>
                <c:pt idx="3">
                  <c:v>451.71124267578125</c:v>
                </c:pt>
                <c:pt idx="4">
                  <c:v>469.89956665039063</c:v>
                </c:pt>
                <c:pt idx="5">
                  <c:v>477.61764526367188</c:v>
                </c:pt>
                <c:pt idx="6">
                  <c:v>485.79959106445313</c:v>
                </c:pt>
                <c:pt idx="7">
                  <c:v>491.33999633789063</c:v>
                </c:pt>
                <c:pt idx="8">
                  <c:v>496.04159545898438</c:v>
                </c:pt>
                <c:pt idx="9">
                  <c:v>500.07461547851563</c:v>
                </c:pt>
                <c:pt idx="10">
                  <c:v>503.50103759765625</c:v>
                </c:pt>
                <c:pt idx="11">
                  <c:v>506.40765380859375</c:v>
                </c:pt>
                <c:pt idx="12">
                  <c:v>508.88922119140625</c:v>
                </c:pt>
                <c:pt idx="13">
                  <c:v>511.03076171875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0D-4B01-AE2C-D9EBC8561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57408"/>
        <c:axId val="161071488"/>
      </c:scatterChart>
      <c:valAx>
        <c:axId val="161049216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1055488"/>
        <c:crosses val="autoZero"/>
        <c:crossBetween val="midCat"/>
        <c:majorUnit val="20"/>
        <c:minorUnit val="20"/>
      </c:valAx>
      <c:valAx>
        <c:axId val="1610554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1049216"/>
        <c:crosses val="autoZero"/>
        <c:crossBetween val="midCat"/>
      </c:valAx>
      <c:valAx>
        <c:axId val="16105740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61071488"/>
        <c:crosses val="autoZero"/>
        <c:crossBetween val="midCat"/>
      </c:valAx>
      <c:valAx>
        <c:axId val="161071488"/>
        <c:scaling>
          <c:orientation val="minMax"/>
          <c:max val="6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1057408"/>
        <c:crosses val="max"/>
        <c:crossBetween val="midCat"/>
        <c:majorUnit val="6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89797291498258536"/>
          <c:w val="0.25090132154533312"/>
          <c:h val="0.1020270850174146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511.03074141048825</c:v>
                </c:pt>
                <c:pt idx="1">
                  <c:v>500</c:v>
                </c:pt>
                <c:pt idx="2">
                  <c:v>400</c:v>
                </c:pt>
                <c:pt idx="3">
                  <c:v>300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17.767125538417272</c:v>
                </c:pt>
                <c:pt idx="1">
                  <c:v>18.559711228439831</c:v>
                </c:pt>
                <c:pt idx="2">
                  <c:v>28.999548794437242</c:v>
                </c:pt>
                <c:pt idx="3">
                  <c:v>51.554753412332879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F4-484D-B44B-B45C31C1EC07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511.03074141048825</c:v>
                </c:pt>
                <c:pt idx="1">
                  <c:v>500</c:v>
                </c:pt>
                <c:pt idx="2">
                  <c:v>400</c:v>
                </c:pt>
                <c:pt idx="3">
                  <c:v>300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7.7517986297607431</c:v>
                </c:pt>
                <c:pt idx="1">
                  <c:v>8.0976038447123653</c:v>
                </c:pt>
                <c:pt idx="2">
                  <c:v>12.652506007363074</c:v>
                </c:pt>
                <c:pt idx="3">
                  <c:v>22.49334401308991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F4-484D-B44B-B45C31C1EC07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200</c:v>
                </c:pt>
                <c:pt idx="1">
                  <c:v>100</c:v>
                </c:pt>
                <c:pt idx="2">
                  <c:v>178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63.893478133382523</c:v>
                </c:pt>
                <c:pt idx="3">
                  <c:v>62.481511147471977</c:v>
                </c:pt>
                <c:pt idx="4">
                  <c:v>96.28542027006381</c:v>
                </c:pt>
                <c:pt idx="5" formatCode="0">
                  <c:v>200</c:v>
                </c:pt>
                <c:pt idx="6" formatCode="0">
                  <c:v>400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F4-484D-B44B-B45C31C1EC07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511.03074141048825</c:v>
                </c:pt>
                <c:pt idx="1">
                  <c:v>509.96383363471972</c:v>
                </c:pt>
                <c:pt idx="2">
                  <c:v>507.64918625678121</c:v>
                </c:pt>
                <c:pt idx="3">
                  <c:v>504.95479204339966</c:v>
                </c:pt>
                <c:pt idx="4">
                  <c:v>501.79023508137431</c:v>
                </c:pt>
                <c:pt idx="5">
                  <c:v>498.06509945750452</c:v>
                </c:pt>
                <c:pt idx="6">
                  <c:v>493.68896925858951</c:v>
                </c:pt>
                <c:pt idx="7">
                  <c:v>488.57142857142856</c:v>
                </c:pt>
                <c:pt idx="8">
                  <c:v>481.69981916817358</c:v>
                </c:pt>
                <c:pt idx="9">
                  <c:v>473.76130198915007</c:v>
                </c:pt>
                <c:pt idx="10">
                  <c:v>460.81374321880656</c:v>
                </c:pt>
                <c:pt idx="11">
                  <c:v>417.70343580470166</c:v>
                </c:pt>
                <c:pt idx="12">
                  <c:v>125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0.57499998807907104</c:v>
                </c:pt>
                <c:pt idx="2">
                  <c:v>1.0419999361038208</c:v>
                </c:pt>
                <c:pt idx="3">
                  <c:v>1.4769998788833618</c:v>
                </c:pt>
                <c:pt idx="4">
                  <c:v>1.9129998683929443</c:v>
                </c:pt>
                <c:pt idx="5">
                  <c:v>2.3769998550415039</c:v>
                </c:pt>
                <c:pt idx="6">
                  <c:v>2.8989999294281006</c:v>
                </c:pt>
                <c:pt idx="7">
                  <c:v>3.5309998989105225</c:v>
                </c:pt>
                <c:pt idx="8">
                  <c:v>4.4140000343322754</c:v>
                </c:pt>
                <c:pt idx="9">
                  <c:v>5.0479998588562012</c:v>
                </c:pt>
                <c:pt idx="10">
                  <c:v>5.6729998588562012</c:v>
                </c:pt>
                <c:pt idx="11">
                  <c:v>5.9389996528625488</c:v>
                </c:pt>
                <c:pt idx="12">
                  <c:v>5.9589996337890625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F4-484D-B44B-B45C31C1E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11776"/>
        <c:axId val="161613696"/>
      </c:scatterChart>
      <c:valAx>
        <c:axId val="16161177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13696"/>
        <c:crossesAt val="0.1"/>
        <c:crossBetween val="midCat"/>
      </c:valAx>
      <c:valAx>
        <c:axId val="161613696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11776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93.49346923828125</c:v>
                </c:pt>
                <c:pt idx="2">
                  <c:v>95.685478210449219</c:v>
                </c:pt>
                <c:pt idx="3">
                  <c:v>96.201011657714844</c:v>
                </c:pt>
                <c:pt idx="4">
                  <c:v>96.264556884765625</c:v>
                </c:pt>
                <c:pt idx="5">
                  <c:v>96.145889282226563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78-4DE1-B961-78A150972D07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78.549224853515625</c:v>
                </c:pt>
                <c:pt idx="1">
                  <c:v>88.688095092773438</c:v>
                </c:pt>
                <c:pt idx="2">
                  <c:v>90.671096801757813</c:v>
                </c:pt>
                <c:pt idx="3">
                  <c:v>90.871307373046875</c:v>
                </c:pt>
                <c:pt idx="4">
                  <c:v>90.346931457519531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78-4DE1-B961-78A150972D07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91.362639858385876</c:v>
                </c:pt>
                <c:pt idx="2">
                  <c:v>82.725279716771738</c:v>
                </c:pt>
                <c:pt idx="3">
                  <c:v>67.110443974844742</c:v>
                </c:pt>
                <c:pt idx="4">
                  <c:v>50.479110627150959</c:v>
                </c:pt>
                <c:pt idx="5">
                  <c:v>34.384138133537604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78-4DE1-B961-78A150972D07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0.45196999999999998</c:v>
                </c:pt>
                <c:pt idx="1">
                  <c:v>8.9683113013559712</c:v>
                </c:pt>
                <c:pt idx="2">
                  <c:v>17.525720332718137</c:v>
                </c:pt>
                <c:pt idx="3">
                  <c:v>26.147703642471466</c:v>
                </c:pt>
                <c:pt idx="4">
                  <c:v>34.840590472483818</c:v>
                </c:pt>
                <c:pt idx="5">
                  <c:v>43.604496366579014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78-4DE1-B961-78A150972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46592"/>
        <c:axId val="162922496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86.168841837534643</c:v>
                </c:pt>
                <c:pt idx="1">
                  <c:v>164.8013916015625</c:v>
                </c:pt>
                <c:pt idx="2">
                  <c:v>285.23489379882813</c:v>
                </c:pt>
                <c:pt idx="3">
                  <c:v>416.25244140625</c:v>
                </c:pt>
                <c:pt idx="4">
                  <c:v>553.41485595703125</c:v>
                </c:pt>
                <c:pt idx="5">
                  <c:v>696.64251708984375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D78-4DE1-B961-78A150972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24416"/>
        <c:axId val="162925952"/>
      </c:scatterChart>
      <c:valAx>
        <c:axId val="16284659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922496"/>
        <c:crossesAt val="0"/>
        <c:crossBetween val="midCat"/>
        <c:majorUnit val="25"/>
        <c:minorUnit val="12.5"/>
      </c:valAx>
      <c:valAx>
        <c:axId val="16292249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846592"/>
        <c:crosses val="autoZero"/>
        <c:crossBetween val="midCat"/>
        <c:majorUnit val="10"/>
        <c:minorUnit val="5"/>
      </c:valAx>
      <c:valAx>
        <c:axId val="16292441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62925952"/>
        <c:crosses val="autoZero"/>
        <c:crossBetween val="midCat"/>
      </c:valAx>
      <c:valAx>
        <c:axId val="162925952"/>
        <c:scaling>
          <c:orientation val="minMax"/>
          <c:max val="7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924416"/>
        <c:crosses val="max"/>
        <c:crossBetween val="midCat"/>
        <c:majorUnit val="7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4" name="Chart 1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7" name="Radiu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443.0</a:t>
          </a:r>
        </a:p>
      </xdr:txBody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8" name="Heigh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9" name="Clear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0" name="Thickness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65.5</a:t>
          </a:r>
        </a:p>
      </xdr:txBody>
    </xdr:sp>
    <xdr:clientData/>
  </xdr:twoCellAnchor>
  <xdr:twoCellAnchor>
    <xdr:from>
      <xdr:col>1</xdr:col>
      <xdr:colOff>133350</xdr:colOff>
      <xdr:row>39</xdr:row>
      <xdr:rowOff>180975</xdr:rowOff>
    </xdr:from>
    <xdr:to>
      <xdr:col>3</xdr:col>
      <xdr:colOff>371475</xdr:colOff>
      <xdr:row>43</xdr:row>
      <xdr:rowOff>19050</xdr:rowOff>
    </xdr:to>
    <xdr:grpSp>
      <xdr:nvGrpSpPr>
        <xdr:cNvPr id="11" name="Group 19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923925" y="9163050"/>
          <a:ext cx="1143000" cy="752475"/>
          <a:chOff x="93" y="938"/>
          <a:chExt cx="120" cy="79"/>
        </a:xfrm>
      </xdr:grpSpPr>
      <xdr:sp macro="" textlink="">
        <xdr:nvSpPr>
          <xdr:cNvPr id="12" name="Line 10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" y="96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0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986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0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" y="98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0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5" y="991"/>
            <a:ext cx="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06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965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07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2" y="96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Text 583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0" y="1007"/>
            <a:ext cx="13" cy="1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grpSp>
        <xdr:nvGrpSpPr>
          <xdr:cNvPr id="19" name="Group 11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pSpPr>
            <a:grpSpLocks/>
          </xdr:cNvGrpSpPr>
        </xdr:nvGrpSpPr>
        <xdr:grpSpPr bwMode="auto">
          <a:xfrm>
            <a:off x="93" y="938"/>
            <a:ext cx="93" cy="77"/>
            <a:chOff x="13440000" y="15720000"/>
            <a:chExt cx="1900000" cy="1540000"/>
          </a:xfrm>
        </xdr:grpSpPr>
        <xdr:grpSp>
          <xdr:nvGrpSpPr>
            <xdr:cNvPr id="21" name="Group 113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40000" y="15720000"/>
              <a:ext cx="1900000" cy="1540000"/>
              <a:chOff x="13440000" y="15720000"/>
              <a:chExt cx="1900000" cy="1540000"/>
            </a:xfrm>
          </xdr:grpSpPr>
          <xdr:sp macro="" textlink="">
            <xdr:nvSpPr>
              <xdr:cNvPr id="23" name="Line 114">
                <a:extLst>
                  <a:ext uri="{FF2B5EF4-FFF2-40B4-BE49-F238E27FC236}">
                    <a16:creationId xmlns:a16="http://schemas.microsoft.com/office/drawing/2014/main" id="{00000000-0008-0000-0100-00001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4" name="Line 115">
                <a:extLst>
                  <a:ext uri="{FF2B5EF4-FFF2-40B4-BE49-F238E27FC236}">
                    <a16:creationId xmlns:a16="http://schemas.microsoft.com/office/drawing/2014/main" id="{00000000-0008-0000-0100-00001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5" name="Line 116">
                <a:extLst>
                  <a:ext uri="{FF2B5EF4-FFF2-40B4-BE49-F238E27FC236}">
                    <a16:creationId xmlns:a16="http://schemas.microsoft.com/office/drawing/2014/main" id="{00000000-0008-0000-0100-00001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4060000" y="15820000"/>
                <a:ext cx="126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6" name="Line 117">
                <a:extLst>
                  <a:ext uri="{FF2B5EF4-FFF2-40B4-BE49-F238E27FC236}">
                    <a16:creationId xmlns:a16="http://schemas.microsoft.com/office/drawing/2014/main" id="{00000000-0008-0000-0100-00001A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7" name="Line 118">
                <a:extLst>
                  <a:ext uri="{FF2B5EF4-FFF2-40B4-BE49-F238E27FC236}">
                    <a16:creationId xmlns:a16="http://schemas.microsoft.com/office/drawing/2014/main" id="{00000000-0008-0000-0100-00001B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4060000" y="16260000"/>
                <a:ext cx="126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8" name="Line 119">
                <a:extLst>
                  <a:ext uri="{FF2B5EF4-FFF2-40B4-BE49-F238E27FC236}">
                    <a16:creationId xmlns:a16="http://schemas.microsoft.com/office/drawing/2014/main" id="{00000000-0008-0000-0100-00001C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4700000" y="16280000"/>
                <a:ext cx="0" cy="36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2" name="Line 120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0" name="Line 121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" y="975"/>
            <a:ext cx="2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>
          <a:grpSpLocks/>
        </xdr:cNvGrpSpPr>
      </xdr:nvGrpSpPr>
      <xdr:grpSpPr bwMode="auto">
        <a:xfrm>
          <a:off x="1181100" y="7781925"/>
          <a:ext cx="866775" cy="952500"/>
          <a:chOff x="120" y="793"/>
          <a:chExt cx="91" cy="100"/>
        </a:xfrm>
      </xdr:grpSpPr>
      <xdr:sp macro="" textlink="">
        <xdr:nvSpPr>
          <xdr:cNvPr id="35" name="Line 10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73.0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13.15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17.3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GrpSpPr>
          <a:grpSpLocks/>
        </xdr:cNvGrpSpPr>
      </xdr:nvGrpSpPr>
      <xdr:grpSpPr bwMode="auto">
        <a:xfrm>
          <a:off x="1123950" y="6296025"/>
          <a:ext cx="942975" cy="1076325"/>
          <a:chOff x="118" y="637"/>
          <a:chExt cx="99" cy="113"/>
        </a:xfrm>
      </xdr:grpSpPr>
      <xdr:sp macro="" textlink="">
        <xdr:nvSpPr>
          <xdr:cNvPr id="73" name="Line 229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0.70395</cdr:x>
      <cdr:y>0.63472</cdr:y>
    </cdr:from>
    <cdr:to>
      <cdr:x>0.9398</cdr:x>
      <cdr:y>0.65541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6934" y="408688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0.70721</cdr:x>
      <cdr:y>0.54236</cdr:y>
    </cdr:from>
    <cdr:to>
      <cdr:x>0.99003</cdr:x>
      <cdr:y>0.56749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35984" y="34922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0.5705</cdr:x>
      <cdr:y>0.76059</cdr:y>
    </cdr:from>
    <cdr:to>
      <cdr:x>0.81594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36484" y="4897363"/>
          <a:ext cx="1435419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0.36284</cdr:x>
      <cdr:y>0.36034</cdr:y>
    </cdr:from>
    <cdr:to>
      <cdr:x>0.68796</cdr:x>
      <cdr:y>0.38842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22003" y="2320198"/>
          <a:ext cx="1901416" cy="1808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628650" y="39624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619125" y="43815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3596</a:t>
          </a:r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609600" y="47910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3592</a:t>
          </a:r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609600" y="52006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619125" y="56102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3584</a:t>
          </a:r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619125" y="60198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609600" y="64293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600075" y="68389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3572</a:t>
          </a:r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600075" y="72580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3568</a:t>
          </a:r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600075" y="76676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3564</a:t>
          </a:r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609600" y="80772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352423</xdr:colOff>
      <xdr:row>16</xdr:row>
      <xdr:rowOff>85725</xdr:rowOff>
    </xdr:from>
    <xdr:to>
      <xdr:col>5</xdr:col>
      <xdr:colOff>950409</xdr:colOff>
      <xdr:row>17</xdr:row>
      <xdr:rowOff>38100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5924548" y="3981450"/>
          <a:ext cx="59798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933450</xdr:colOff>
      <xdr:row>25</xdr:row>
      <xdr:rowOff>209550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524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5000</a:t>
          </a:r>
        </a:p>
      </xdr:txBody>
    </xdr:sp>
    <xdr:clientData/>
  </xdr:twoCellAnchor>
  <xdr:twoCellAnchor>
    <xdr:from>
      <xdr:col>5</xdr:col>
      <xdr:colOff>371473</xdr:colOff>
      <xdr:row>26</xdr:row>
      <xdr:rowOff>180975</xdr:rowOff>
    </xdr:from>
    <xdr:to>
      <xdr:col>5</xdr:col>
      <xdr:colOff>969459</xdr:colOff>
      <xdr:row>27</xdr:row>
      <xdr:rowOff>133350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5943598" y="6457950"/>
          <a:ext cx="59798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380998</xdr:colOff>
      <xdr:row>28</xdr:row>
      <xdr:rowOff>114300</xdr:rowOff>
    </xdr:from>
    <xdr:to>
      <xdr:col>5</xdr:col>
      <xdr:colOff>978984</xdr:colOff>
      <xdr:row>29</xdr:row>
      <xdr:rowOff>66675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5953123" y="6867525"/>
          <a:ext cx="59798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3000</a:t>
          </a:r>
        </a:p>
      </xdr:txBody>
    </xdr:sp>
    <xdr:clientData/>
  </xdr:twoCellAnchor>
  <xdr:twoCellAnchor>
    <xdr:from>
      <xdr:col>5</xdr:col>
      <xdr:colOff>371473</xdr:colOff>
      <xdr:row>30</xdr:row>
      <xdr:rowOff>38100</xdr:rowOff>
    </xdr:from>
    <xdr:to>
      <xdr:col>5</xdr:col>
      <xdr:colOff>969459</xdr:colOff>
      <xdr:row>30</xdr:row>
      <xdr:rowOff>228600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5943598" y="7267575"/>
          <a:ext cx="59798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371473</xdr:colOff>
      <xdr:row>31</xdr:row>
      <xdr:rowOff>219075</xdr:rowOff>
    </xdr:from>
    <xdr:to>
      <xdr:col>5</xdr:col>
      <xdr:colOff>969459</xdr:colOff>
      <xdr:row>32</xdr:row>
      <xdr:rowOff>171450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5943598" y="7686675"/>
          <a:ext cx="59798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371473</xdr:colOff>
      <xdr:row>23</xdr:row>
      <xdr:rowOff>66675</xdr:rowOff>
    </xdr:from>
    <xdr:to>
      <xdr:col>5</xdr:col>
      <xdr:colOff>969459</xdr:colOff>
      <xdr:row>24</xdr:row>
      <xdr:rowOff>19050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5943598" y="5629275"/>
          <a:ext cx="59798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6000</a:t>
          </a:r>
        </a:p>
      </xdr:txBody>
    </xdr:sp>
    <xdr:clientData/>
  </xdr:twoCellAnchor>
  <xdr:twoCellAnchor>
    <xdr:from>
      <xdr:col>5</xdr:col>
      <xdr:colOff>371473</xdr:colOff>
      <xdr:row>21</xdr:row>
      <xdr:rowOff>133350</xdr:rowOff>
    </xdr:from>
    <xdr:to>
      <xdr:col>5</xdr:col>
      <xdr:colOff>969459</xdr:colOff>
      <xdr:row>22</xdr:row>
      <xdr:rowOff>85725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5943598" y="5219700"/>
          <a:ext cx="59798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7000</a:t>
          </a:r>
        </a:p>
      </xdr:txBody>
    </xdr:sp>
    <xdr:clientData/>
  </xdr:twoCellAnchor>
  <xdr:twoCellAnchor>
    <xdr:from>
      <xdr:col>5</xdr:col>
      <xdr:colOff>361948</xdr:colOff>
      <xdr:row>19</xdr:row>
      <xdr:rowOff>200025</xdr:rowOff>
    </xdr:from>
    <xdr:to>
      <xdr:col>5</xdr:col>
      <xdr:colOff>959934</xdr:colOff>
      <xdr:row>20</xdr:row>
      <xdr:rowOff>152400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5934073" y="4810125"/>
          <a:ext cx="59798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8000</a:t>
          </a:r>
        </a:p>
      </xdr:txBody>
    </xdr:sp>
    <xdr:clientData/>
  </xdr:twoCellAnchor>
  <xdr:twoCellAnchor>
    <xdr:from>
      <xdr:col>5</xdr:col>
      <xdr:colOff>361948</xdr:colOff>
      <xdr:row>18</xdr:row>
      <xdr:rowOff>28575</xdr:rowOff>
    </xdr:from>
    <xdr:to>
      <xdr:col>5</xdr:col>
      <xdr:colOff>959934</xdr:colOff>
      <xdr:row>18</xdr:row>
      <xdr:rowOff>219075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5934073" y="4400550"/>
          <a:ext cx="59798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9000</a:t>
          </a:r>
        </a:p>
      </xdr:txBody>
    </xdr:sp>
    <xdr:clientData/>
  </xdr:twoCellAnchor>
  <xdr:twoCellAnchor>
    <xdr:from>
      <xdr:col>2</xdr:col>
      <xdr:colOff>847725</xdr:colOff>
      <xdr:row>17</xdr:row>
      <xdr:rowOff>180975</xdr:rowOff>
    </xdr:from>
    <xdr:to>
      <xdr:col>3</xdr:col>
      <xdr:colOff>76200</xdr:colOff>
      <xdr:row>18</xdr:row>
      <xdr:rowOff>85725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3076575" y="43148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504825</xdr:colOff>
      <xdr:row>18</xdr:row>
      <xdr:rowOff>142875</xdr:rowOff>
    </xdr:from>
    <xdr:to>
      <xdr:col>3</xdr:col>
      <xdr:colOff>838200</xdr:colOff>
      <xdr:row>19</xdr:row>
      <xdr:rowOff>76200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3848100" y="45148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1057275</xdr:colOff>
      <xdr:row>22</xdr:row>
      <xdr:rowOff>38100</xdr:rowOff>
    </xdr:from>
    <xdr:to>
      <xdr:col>3</xdr:col>
      <xdr:colOff>285750</xdr:colOff>
      <xdr:row>22</xdr:row>
      <xdr:rowOff>180975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3286125" y="536257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1028700</xdr:colOff>
      <xdr:row>28</xdr:row>
      <xdr:rowOff>38100</xdr:rowOff>
    </xdr:from>
    <xdr:to>
      <xdr:col>2</xdr:col>
      <xdr:colOff>352425</xdr:colOff>
      <xdr:row>28</xdr:row>
      <xdr:rowOff>190500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2143125" y="67913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685800</xdr:colOff>
      <xdr:row>31</xdr:row>
      <xdr:rowOff>190500</xdr:rowOff>
    </xdr:from>
    <xdr:to>
      <xdr:col>3</xdr:col>
      <xdr:colOff>76200</xdr:colOff>
      <xdr:row>32</xdr:row>
      <xdr:rowOff>104775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2914650" y="765810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361948</xdr:colOff>
      <xdr:row>33</xdr:row>
      <xdr:rowOff>142875</xdr:rowOff>
    </xdr:from>
    <xdr:to>
      <xdr:col>5</xdr:col>
      <xdr:colOff>990600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5934073" y="8086725"/>
          <a:ext cx="628652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O113"/>
  <sheetViews>
    <sheetView topLeftCell="A26" zoomScale="95" zoomScaleNormal="95" workbookViewId="0">
      <selection activeCell="N49" sqref="N49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2" t="s">
        <v>167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218</v>
      </c>
    </row>
    <row r="2" spans="1:10" ht="18.75">
      <c r="A2" s="32" t="s">
        <v>173</v>
      </c>
      <c r="B2" s="2"/>
      <c r="C2" s="2"/>
      <c r="D2" s="2"/>
      <c r="E2" s="2"/>
      <c r="F2" s="2"/>
      <c r="G2" s="2"/>
      <c r="H2" s="2"/>
      <c r="I2" s="2"/>
      <c r="J2" s="128" t="s">
        <v>219</v>
      </c>
    </row>
    <row r="3" spans="1:10" ht="15" customHeight="1" thickBot="1">
      <c r="A3" s="47" t="s">
        <v>1</v>
      </c>
      <c r="B3" s="94" t="s">
        <v>217</v>
      </c>
      <c r="C3" s="1"/>
      <c r="D3" s="47"/>
      <c r="E3" s="1"/>
      <c r="F3" s="1"/>
      <c r="G3" s="47" t="s">
        <v>2</v>
      </c>
      <c r="H3" s="169">
        <v>43151</v>
      </c>
      <c r="I3" s="47" t="s">
        <v>3</v>
      </c>
      <c r="J3" s="170">
        <v>0.36837962962962961</v>
      </c>
    </row>
    <row r="4" spans="1:10" ht="15" customHeight="1" thickBot="1">
      <c r="A4" s="11" t="s">
        <v>4</v>
      </c>
      <c r="B4" s="11" t="s">
        <v>171</v>
      </c>
      <c r="C4" s="11" t="s">
        <v>5</v>
      </c>
      <c r="D4" s="11" t="s">
        <v>172</v>
      </c>
      <c r="E4" s="155" t="s">
        <v>6</v>
      </c>
      <c r="F4" s="11" t="s">
        <v>7</v>
      </c>
      <c r="G4" s="11" t="s">
        <v>175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2</v>
      </c>
      <c r="B5" s="110">
        <v>4500</v>
      </c>
      <c r="C5" s="138">
        <v>3600</v>
      </c>
      <c r="D5" s="48" t="s">
        <v>192</v>
      </c>
      <c r="E5" s="156">
        <v>4000</v>
      </c>
      <c r="F5" s="138">
        <v>60</v>
      </c>
      <c r="G5" s="48">
        <v>105</v>
      </c>
      <c r="H5" s="76" t="s">
        <v>252</v>
      </c>
      <c r="I5" s="75" t="s">
        <v>257</v>
      </c>
      <c r="J5" s="48" t="s">
        <v>193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 t="s">
        <v>268</v>
      </c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26.179916666666667</v>
      </c>
      <c r="J7" s="104" t="s">
        <v>19</v>
      </c>
    </row>
    <row r="8" spans="1:10" ht="15" customHeight="1">
      <c r="A8" s="9" t="s">
        <v>20</v>
      </c>
      <c r="B8" s="67">
        <v>3.5</v>
      </c>
      <c r="C8" s="50"/>
      <c r="D8" s="5"/>
      <c r="E8" s="49"/>
      <c r="F8" s="3"/>
      <c r="G8" s="15"/>
      <c r="H8" s="9" t="s">
        <v>21</v>
      </c>
      <c r="I8" s="66">
        <v>30.254877608695651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201</v>
      </c>
      <c r="F9" s="105" t="s">
        <v>25</v>
      </c>
      <c r="G9" s="29"/>
      <c r="H9" s="9" t="s">
        <v>26</v>
      </c>
      <c r="I9" s="67">
        <v>28.217397137681161</v>
      </c>
      <c r="J9" s="102">
        <v>739.2266796033515</v>
      </c>
    </row>
    <row r="10" spans="1:10" ht="15" customHeight="1">
      <c r="A10" s="9" t="s">
        <v>27</v>
      </c>
      <c r="B10" s="67">
        <v>880</v>
      </c>
      <c r="C10" s="71">
        <v>880</v>
      </c>
      <c r="D10" s="5"/>
      <c r="E10" s="49"/>
      <c r="F10" s="114" t="s">
        <v>213</v>
      </c>
      <c r="G10" s="112" t="s">
        <v>214</v>
      </c>
      <c r="H10" s="9" t="s">
        <v>28</v>
      </c>
      <c r="I10" s="66">
        <v>17.127578248316492</v>
      </c>
      <c r="J10" s="101" t="s">
        <v>29</v>
      </c>
    </row>
    <row r="11" spans="1:10" ht="15" customHeight="1" thickBot="1">
      <c r="A11" s="9" t="s">
        <v>30</v>
      </c>
      <c r="B11" s="67">
        <v>815</v>
      </c>
      <c r="C11" s="71">
        <v>443</v>
      </c>
      <c r="D11" s="9" t="s">
        <v>31</v>
      </c>
      <c r="E11" s="66">
        <v>0.62956666666666661</v>
      </c>
      <c r="F11" s="115"/>
      <c r="G11" s="111"/>
      <c r="H11" s="9" t="s">
        <v>32</v>
      </c>
      <c r="I11" s="66">
        <v>29.859305480929297</v>
      </c>
      <c r="J11" s="102">
        <v>147178.7404876214</v>
      </c>
    </row>
    <row r="12" spans="1:10" ht="15" customHeight="1">
      <c r="A12" s="9" t="s">
        <v>33</v>
      </c>
      <c r="B12" s="67">
        <v>450</v>
      </c>
      <c r="C12" s="71">
        <v>170</v>
      </c>
      <c r="D12" s="9" t="s">
        <v>34</v>
      </c>
      <c r="E12" s="151" t="s">
        <v>174</v>
      </c>
      <c r="F12" s="121" t="s">
        <v>207</v>
      </c>
      <c r="G12" s="113" t="s">
        <v>206</v>
      </c>
      <c r="H12" s="9" t="s">
        <v>35</v>
      </c>
      <c r="I12" s="66">
        <v>1.5285241314976885</v>
      </c>
      <c r="J12" s="101" t="s">
        <v>36</v>
      </c>
    </row>
    <row r="13" spans="1:10" ht="15" customHeight="1" thickBot="1">
      <c r="A13" s="9" t="s">
        <v>37</v>
      </c>
      <c r="B13" s="67">
        <v>109.5</v>
      </c>
      <c r="C13" s="71">
        <v>98.090000152587891</v>
      </c>
      <c r="D13" s="9" t="s">
        <v>38</v>
      </c>
      <c r="E13" s="68">
        <v>10</v>
      </c>
      <c r="F13" s="121"/>
      <c r="G13" s="113" t="s">
        <v>208</v>
      </c>
      <c r="H13" s="9" t="s">
        <v>40</v>
      </c>
      <c r="I13" s="66">
        <v>1.0132478676712358</v>
      </c>
      <c r="J13" s="102">
        <v>528.92559814453125</v>
      </c>
    </row>
    <row r="14" spans="1:10" ht="15" customHeight="1" thickBot="1">
      <c r="A14" s="160" t="s">
        <v>41</v>
      </c>
      <c r="B14" s="131">
        <v>662.1600341796875</v>
      </c>
      <c r="C14" s="132">
        <v>717.96002197265625</v>
      </c>
      <c r="D14" s="9" t="s">
        <v>42</v>
      </c>
      <c r="E14" s="49" t="s">
        <v>202</v>
      </c>
      <c r="F14" s="49"/>
      <c r="G14" s="113" t="s">
        <v>209</v>
      </c>
      <c r="H14" s="47" t="s">
        <v>43</v>
      </c>
      <c r="I14" s="66">
        <v>1.5487738169240604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202</v>
      </c>
      <c r="F15" s="49"/>
      <c r="G15" s="113"/>
      <c r="H15" s="9" t="s">
        <v>47</v>
      </c>
      <c r="I15" s="66">
        <v>0.83543300071747506</v>
      </c>
      <c r="J15" s="102">
        <v>51.321527777777774</v>
      </c>
    </row>
    <row r="16" spans="1:10" ht="15" customHeight="1">
      <c r="A16" s="9" t="s">
        <v>48</v>
      </c>
      <c r="B16" s="49">
        <v>54</v>
      </c>
      <c r="C16" s="50">
        <v>46</v>
      </c>
      <c r="D16" s="9" t="s">
        <v>49</v>
      </c>
      <c r="E16" s="49">
        <v>2</v>
      </c>
      <c r="F16" s="49"/>
      <c r="G16" s="113"/>
      <c r="H16" s="9" t="s">
        <v>50</v>
      </c>
      <c r="I16" s="66">
        <v>0.95529270900034158</v>
      </c>
      <c r="J16" s="103" t="s">
        <v>51</v>
      </c>
    </row>
    <row r="17" spans="1:14" ht="15" customHeight="1" thickBot="1">
      <c r="A17" s="9" t="s">
        <v>52</v>
      </c>
      <c r="B17" s="49" t="s">
        <v>194</v>
      </c>
      <c r="C17" s="50" t="s">
        <v>195</v>
      </c>
      <c r="D17" s="47" t="s">
        <v>53</v>
      </c>
      <c r="E17" s="49" t="s">
        <v>203</v>
      </c>
      <c r="F17" s="49"/>
      <c r="G17" s="113"/>
      <c r="H17" s="9" t="s">
        <v>54</v>
      </c>
      <c r="I17" s="66">
        <v>0.79808305444368111</v>
      </c>
      <c r="J17" s="102">
        <v>1010.1743349282331</v>
      </c>
    </row>
    <row r="18" spans="1:14" ht="15" customHeight="1">
      <c r="A18" s="9" t="s">
        <v>55</v>
      </c>
      <c r="B18" s="49" t="s">
        <v>174</v>
      </c>
      <c r="C18" s="71">
        <v>0</v>
      </c>
      <c r="D18" s="9" t="s">
        <v>56</v>
      </c>
      <c r="E18" s="135">
        <v>1747</v>
      </c>
      <c r="F18" s="68">
        <v>1070.5370025634766</v>
      </c>
      <c r="G18" s="72"/>
      <c r="H18" s="12" t="s">
        <v>57</v>
      </c>
      <c r="I18" s="129" t="s">
        <v>215</v>
      </c>
      <c r="J18" s="130"/>
    </row>
    <row r="19" spans="1:14" ht="15" customHeight="1">
      <c r="A19" s="9" t="s">
        <v>58</v>
      </c>
      <c r="B19" s="67">
        <v>73</v>
      </c>
      <c r="C19" s="71">
        <v>38.409999847412109</v>
      </c>
      <c r="D19" s="9" t="s">
        <v>59</v>
      </c>
      <c r="E19" s="68">
        <v>90</v>
      </c>
      <c r="F19" s="49"/>
      <c r="G19" s="50"/>
      <c r="H19" s="141"/>
      <c r="I19" s="3" t="s">
        <v>60</v>
      </c>
      <c r="J19" s="30" t="s">
        <v>61</v>
      </c>
    </row>
    <row r="20" spans="1:14" ht="15" customHeight="1">
      <c r="A20" s="9" t="s">
        <v>62</v>
      </c>
      <c r="B20" s="67" t="s">
        <v>196</v>
      </c>
      <c r="C20" s="71"/>
      <c r="D20" s="9" t="s">
        <v>166</v>
      </c>
      <c r="E20" s="159">
        <v>2.5989118994285534E-2</v>
      </c>
      <c r="F20" s="49"/>
      <c r="G20" s="50"/>
      <c r="H20" s="9" t="s">
        <v>63</v>
      </c>
      <c r="I20" s="66">
        <v>14.993256568908691</v>
      </c>
      <c r="J20" s="70">
        <v>14.993256568908691</v>
      </c>
    </row>
    <row r="21" spans="1:14" ht="15" customHeight="1">
      <c r="A21" s="9" t="s">
        <v>64</v>
      </c>
      <c r="B21" s="67">
        <v>17.299999237060547</v>
      </c>
      <c r="C21" s="71">
        <v>3</v>
      </c>
      <c r="D21" s="9" t="s">
        <v>204</v>
      </c>
      <c r="E21" s="65">
        <v>3.466917838333964E-2</v>
      </c>
      <c r="F21" s="65">
        <v>2.6501135900616646E-2</v>
      </c>
      <c r="G21" s="69">
        <v>5.5189454971167964E-3</v>
      </c>
      <c r="H21" s="9" t="s">
        <v>65</v>
      </c>
      <c r="I21" s="66">
        <v>16.318153381347656</v>
      </c>
      <c r="J21" s="70">
        <v>13.79779052734375</v>
      </c>
    </row>
    <row r="22" spans="1:14" ht="15" customHeight="1">
      <c r="A22" s="9" t="s">
        <v>66</v>
      </c>
      <c r="B22" s="67">
        <v>13.149999618530273</v>
      </c>
      <c r="C22" s="71">
        <v>3</v>
      </c>
      <c r="D22" s="9" t="s">
        <v>67</v>
      </c>
      <c r="E22" s="49" t="s">
        <v>205</v>
      </c>
      <c r="F22" s="49" t="s">
        <v>205</v>
      </c>
      <c r="G22" s="50" t="s">
        <v>205</v>
      </c>
      <c r="H22" s="9" t="s">
        <v>68</v>
      </c>
      <c r="I22" s="66">
        <v>4.6907854080200195</v>
      </c>
      <c r="J22" s="70">
        <v>3.9407780170440674</v>
      </c>
    </row>
    <row r="23" spans="1:14" ht="15" customHeight="1">
      <c r="A23" s="9" t="s">
        <v>69</v>
      </c>
      <c r="B23" s="67">
        <v>8.8799171447753906</v>
      </c>
      <c r="C23" s="71">
        <v>10.888422012329102</v>
      </c>
      <c r="D23" s="9" t="s">
        <v>70</v>
      </c>
      <c r="E23" s="66">
        <v>1.7419999837875366</v>
      </c>
      <c r="F23" s="66">
        <v>1.7419999837875366</v>
      </c>
      <c r="G23" s="70">
        <v>1.7419999837875366</v>
      </c>
      <c r="H23" s="9" t="s">
        <v>71</v>
      </c>
      <c r="I23" s="66">
        <v>20.574921367292003</v>
      </c>
      <c r="J23" s="15" t="s">
        <v>216</v>
      </c>
    </row>
    <row r="24" spans="1:14" ht="15" customHeight="1">
      <c r="A24" s="9" t="s">
        <v>72</v>
      </c>
      <c r="B24" s="67">
        <v>0</v>
      </c>
      <c r="C24" s="71">
        <v>0.80000001192092896</v>
      </c>
      <c r="D24" s="9" t="s">
        <v>73</v>
      </c>
      <c r="E24" s="66">
        <v>8.8900003433227539</v>
      </c>
      <c r="F24" s="66">
        <v>8.8900003433227539</v>
      </c>
      <c r="G24" s="70">
        <v>8.8900003433227539</v>
      </c>
      <c r="H24" s="9" t="s">
        <v>74</v>
      </c>
      <c r="I24" s="66">
        <v>6.7857612215462551</v>
      </c>
      <c r="J24" s="70">
        <v>5.7389827250296674</v>
      </c>
    </row>
    <row r="25" spans="1:14" ht="15" customHeight="1">
      <c r="A25" s="9" t="s">
        <v>75</v>
      </c>
      <c r="B25" s="49" t="s">
        <v>174</v>
      </c>
      <c r="C25" s="71">
        <v>5.7199997901916504</v>
      </c>
      <c r="D25" s="107" t="s">
        <v>76</v>
      </c>
      <c r="E25" s="51"/>
      <c r="F25" s="51"/>
      <c r="G25" s="58"/>
      <c r="H25" s="9" t="s">
        <v>77</v>
      </c>
      <c r="I25" s="66">
        <v>6.6689260303974152E-2</v>
      </c>
      <c r="J25" s="70">
        <v>0.17536166310310364</v>
      </c>
    </row>
    <row r="26" spans="1:14" ht="15" customHeight="1">
      <c r="A26" s="9" t="s">
        <v>78</v>
      </c>
      <c r="B26" s="51" t="s">
        <v>197</v>
      </c>
      <c r="C26" s="58" t="s">
        <v>198</v>
      </c>
      <c r="D26" s="9" t="s">
        <v>79</v>
      </c>
      <c r="E26" s="67">
        <v>220.96345639067746</v>
      </c>
      <c r="F26" s="67">
        <v>149.66178001718828</v>
      </c>
      <c r="G26" s="71">
        <v>84.531503356144583</v>
      </c>
      <c r="H26" s="9" t="s">
        <v>80</v>
      </c>
      <c r="I26" s="66">
        <v>0.84577935934066772</v>
      </c>
      <c r="J26" s="70">
        <v>0.78764349222183228</v>
      </c>
    </row>
    <row r="27" spans="1:14" ht="15" customHeight="1" thickBot="1">
      <c r="A27" s="9" t="s">
        <v>81</v>
      </c>
      <c r="B27" s="49" t="s">
        <v>199</v>
      </c>
      <c r="C27" s="50" t="s">
        <v>200</v>
      </c>
      <c r="D27" s="10" t="s">
        <v>82</v>
      </c>
      <c r="E27" s="78">
        <v>220.96345639067746</v>
      </c>
      <c r="F27" s="78" t="s">
        <v>174</v>
      </c>
      <c r="G27" s="80" t="s">
        <v>174</v>
      </c>
      <c r="H27" s="10" t="s">
        <v>83</v>
      </c>
      <c r="I27" s="77">
        <v>0.84840452671051025</v>
      </c>
      <c r="J27" s="79">
        <v>0.80692869424819946</v>
      </c>
    </row>
    <row r="28" spans="1:14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</row>
    <row r="29" spans="1:14" ht="15" customHeight="1">
      <c r="A29" s="6"/>
      <c r="B29" s="33" t="s">
        <v>87</v>
      </c>
      <c r="C29" s="73">
        <v>35.359193128881586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50" t="str">
        <f>RIGHT(F$41,SEARCH("/",F$41,1)-1)</f>
        <v xml:space="preserve"> 3575.1</v>
      </c>
      <c r="N29" t="s">
        <v>186</v>
      </c>
    </row>
    <row r="30" spans="1:14" ht="15" customHeight="1" thickBot="1">
      <c r="A30" s="7"/>
      <c r="B30" s="61" t="s">
        <v>94</v>
      </c>
      <c r="C30" s="74">
        <v>35.395463326989393</v>
      </c>
      <c r="D30" s="9" t="s">
        <v>95</v>
      </c>
      <c r="E30" s="163">
        <v>64.009896249999997</v>
      </c>
      <c r="F30" s="163">
        <v>1450.1304748535156</v>
      </c>
      <c r="G30" s="163">
        <v>16.646011362486924</v>
      </c>
      <c r="H30" s="164">
        <v>902.58454966465911</v>
      </c>
      <c r="I30" s="68">
        <v>160702.86068191309</v>
      </c>
      <c r="J30" s="72">
        <v>13016.974321284179</v>
      </c>
      <c r="M30" s="150" t="str">
        <f>RIGHT(E$41,SEARCH("/",E$41,1)-1)</f>
        <v xml:space="preserve"> 3581.6</v>
      </c>
      <c r="N30" t="s">
        <v>187</v>
      </c>
    </row>
    <row r="31" spans="1:14" ht="15" customHeight="1">
      <c r="A31" s="22" t="s">
        <v>96</v>
      </c>
      <c r="B31" s="142"/>
      <c r="C31" s="26"/>
      <c r="D31" s="9" t="s">
        <v>97</v>
      </c>
      <c r="E31" s="163">
        <v>7.3000000000000007</v>
      </c>
      <c r="F31" s="163">
        <v>1587.5800848262618</v>
      </c>
      <c r="G31" s="163">
        <v>15.204831927670496</v>
      </c>
      <c r="H31" s="164">
        <v>70.06284856075267</v>
      </c>
      <c r="I31" s="68">
        <v>23178.669238463423</v>
      </c>
      <c r="J31" s="72">
        <v>1621.2973267661991</v>
      </c>
      <c r="M31" s="150" t="str">
        <f>RIGHT(D$41,SEARCH("/",D$41,1)-1)</f>
        <v xml:space="preserve"> 3588.2</v>
      </c>
      <c r="N31" t="s">
        <v>188</v>
      </c>
    </row>
    <row r="32" spans="1:14" ht="15" customHeight="1">
      <c r="A32" s="5" t="s">
        <v>98</v>
      </c>
      <c r="B32" s="66" t="s">
        <v>259</v>
      </c>
      <c r="C32" s="108"/>
      <c r="D32" s="9" t="s">
        <v>99</v>
      </c>
      <c r="E32" s="163">
        <v>28.759685678968431</v>
      </c>
      <c r="F32" s="163">
        <v>1815.3379857481691</v>
      </c>
      <c r="G32" s="163">
        <v>13.297186832980655</v>
      </c>
      <c r="H32" s="164">
        <v>160.32632308913287</v>
      </c>
      <c r="I32" s="8" t="s">
        <v>100</v>
      </c>
      <c r="J32" s="72">
        <v>14638.271648050377</v>
      </c>
      <c r="M32" s="150" t="str">
        <f>RIGHT(C$41,SEARCH("/",C$41,1)-1)</f>
        <v xml:space="preserve"> 3594.5</v>
      </c>
      <c r="N32" t="s">
        <v>189</v>
      </c>
    </row>
    <row r="33" spans="1:15" ht="15" customHeight="1">
      <c r="A33" s="5" t="s">
        <v>101</v>
      </c>
      <c r="B33" s="66" t="s">
        <v>260</v>
      </c>
      <c r="C33" s="109" t="s">
        <v>102</v>
      </c>
      <c r="D33" s="9" t="s">
        <v>97</v>
      </c>
      <c r="E33" s="163">
        <v>3.8409999847412113</v>
      </c>
      <c r="F33" s="163">
        <v>1798.0138926604518</v>
      </c>
      <c r="G33" s="163">
        <v>13.425306923398015</v>
      </c>
      <c r="H33" s="164">
        <v>22.184567564867812</v>
      </c>
      <c r="I33" s="8" t="s">
        <v>103</v>
      </c>
      <c r="J33" s="71" t="s">
        <v>227</v>
      </c>
      <c r="M33" s="150" t="str">
        <f>RIGHT(B$41,SEARCH("/",B$41,1)-1)</f>
        <v xml:space="preserve"> 3600.6</v>
      </c>
      <c r="N33" t="s">
        <v>190</v>
      </c>
    </row>
    <row r="34" spans="1:15" ht="15" customHeight="1" thickBot="1">
      <c r="A34" s="16" t="s">
        <v>104</v>
      </c>
      <c r="B34" s="77" t="s">
        <v>261</v>
      </c>
      <c r="C34" s="158">
        <v>24.138888361500175</v>
      </c>
      <c r="D34" s="10" t="s">
        <v>20</v>
      </c>
      <c r="E34" s="165">
        <v>0.35000000000000003</v>
      </c>
      <c r="F34" s="166">
        <v>3386.4754476651692</v>
      </c>
      <c r="G34" s="166">
        <v>7.1280269810144103</v>
      </c>
      <c r="H34" s="167">
        <v>1985.3079518293632</v>
      </c>
      <c r="I34" s="8" t="s">
        <v>105</v>
      </c>
      <c r="J34" s="71">
        <v>6.0500001907348633</v>
      </c>
    </row>
    <row r="35" spans="1:15" ht="15" customHeight="1">
      <c r="A35" s="12" t="s">
        <v>106</v>
      </c>
      <c r="B35" s="13"/>
      <c r="C35" s="13"/>
      <c r="D35" s="133" t="s">
        <v>229</v>
      </c>
      <c r="E35" s="143" t="s">
        <v>228</v>
      </c>
      <c r="F35" s="14"/>
      <c r="G35" s="25" t="s">
        <v>107</v>
      </c>
      <c r="H35" s="83" t="s">
        <v>222</v>
      </c>
      <c r="I35" s="9" t="s">
        <v>108</v>
      </c>
      <c r="J35" s="72" t="s">
        <v>226</v>
      </c>
    </row>
    <row r="36" spans="1:15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220</v>
      </c>
      <c r="I36" s="9" t="s">
        <v>111</v>
      </c>
      <c r="J36" s="72" t="s">
        <v>225</v>
      </c>
    </row>
    <row r="37" spans="1:15" ht="15" customHeight="1" thickBot="1">
      <c r="A37" s="9" t="s">
        <v>112</v>
      </c>
      <c r="B37" s="171" t="s">
        <v>241</v>
      </c>
      <c r="C37" s="171" t="s">
        <v>242</v>
      </c>
      <c r="D37" s="171" t="s">
        <v>243</v>
      </c>
      <c r="E37" s="171" t="s">
        <v>244</v>
      </c>
      <c r="F37" s="172" t="s">
        <v>245</v>
      </c>
      <c r="G37" s="9" t="s">
        <v>113</v>
      </c>
      <c r="H37" s="72" t="s">
        <v>221</v>
      </c>
      <c r="I37" s="10" t="s">
        <v>114</v>
      </c>
      <c r="J37" s="81" t="s">
        <v>224</v>
      </c>
      <c r="O37" s="148"/>
    </row>
    <row r="38" spans="1:15" ht="15" customHeight="1" thickBot="1">
      <c r="A38" s="9" t="s">
        <v>115</v>
      </c>
      <c r="B38" s="173" t="s">
        <v>231</v>
      </c>
      <c r="C38" s="173" t="s">
        <v>232</v>
      </c>
      <c r="D38" s="173" t="s">
        <v>233</v>
      </c>
      <c r="E38" s="173" t="s">
        <v>234</v>
      </c>
      <c r="F38" s="174" t="s">
        <v>235</v>
      </c>
      <c r="G38" s="16" t="s">
        <v>116</v>
      </c>
      <c r="H38" s="81" t="s">
        <v>223</v>
      </c>
      <c r="I38" s="134" t="s">
        <v>230</v>
      </c>
      <c r="J38" s="82">
        <v>32227.68359375</v>
      </c>
      <c r="L38" t="str">
        <f>LEFT(E38,SEARCH("/",E38,1)-1)</f>
        <v xml:space="preserve">0.972 </v>
      </c>
      <c r="M38" t="str">
        <f>RIGHT(E38,SEARCH("/",E38,1)-1)</f>
        <v xml:space="preserve"> 0.963</v>
      </c>
      <c r="N38" s="149">
        <f>M38/L38</f>
        <v>0.9907407407407407</v>
      </c>
      <c r="O38" s="148" t="s">
        <v>177</v>
      </c>
    </row>
    <row r="39" spans="1:15" ht="15" customHeight="1">
      <c r="A39" s="9" t="s">
        <v>117</v>
      </c>
      <c r="B39" s="173" t="s">
        <v>236</v>
      </c>
      <c r="C39" s="173" t="s">
        <v>237</v>
      </c>
      <c r="D39" s="173" t="s">
        <v>238</v>
      </c>
      <c r="E39" s="173" t="s">
        <v>239</v>
      </c>
      <c r="F39" s="174" t="s">
        <v>240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0.943 </v>
      </c>
      <c r="M39" t="str">
        <f>RIGHT(E39,SEARCH("/",E39,1)-1)</f>
        <v xml:space="preserve"> 0.909</v>
      </c>
      <c r="N39" s="149">
        <f>M39/L39</f>
        <v>0.96394485683987285</v>
      </c>
      <c r="O39" s="148" t="s">
        <v>178</v>
      </c>
    </row>
    <row r="40" spans="1:15" ht="15" customHeight="1">
      <c r="A40" s="9" t="s">
        <v>119</v>
      </c>
      <c r="B40" s="175" t="s">
        <v>254</v>
      </c>
      <c r="C40" s="175" t="s">
        <v>255</v>
      </c>
      <c r="D40" s="175" t="s">
        <v>256</v>
      </c>
      <c r="E40" s="175" t="s">
        <v>257</v>
      </c>
      <c r="F40" s="176" t="s">
        <v>258</v>
      </c>
      <c r="G40" s="34" t="s">
        <v>121</v>
      </c>
      <c r="H40" s="89" t="s">
        <v>262</v>
      </c>
      <c r="I40" s="53"/>
      <c r="J40" s="54"/>
      <c r="L40" t="str">
        <f>LEFT(E37,SEARCH("/",E37,1)-1)</f>
        <v xml:space="preserve">528.93 </v>
      </c>
      <c r="M40" t="str">
        <f>RIGHT(E37,SEARCH("/",E37,1)-1)</f>
        <v xml:space="preserve"> 553.40</v>
      </c>
      <c r="N40" s="149">
        <f>M40/L40</f>
        <v>1.0462632106327869</v>
      </c>
      <c r="O40" s="148" t="s">
        <v>176</v>
      </c>
    </row>
    <row r="41" spans="1:15" ht="15" customHeight="1">
      <c r="A41" s="9" t="s">
        <v>5</v>
      </c>
      <c r="B41" s="177" t="s">
        <v>249</v>
      </c>
      <c r="C41" s="177" t="s">
        <v>250</v>
      </c>
      <c r="D41" s="177" t="s">
        <v>251</v>
      </c>
      <c r="E41" s="177" t="s">
        <v>252</v>
      </c>
      <c r="F41" s="178" t="s">
        <v>253</v>
      </c>
      <c r="G41" s="35" t="s">
        <v>122</v>
      </c>
      <c r="H41" s="90" t="s">
        <v>263</v>
      </c>
      <c r="I41" s="55"/>
      <c r="J41" s="56"/>
      <c r="L41" t="str">
        <f>LEFT(E41,SEARCH("/",E41,1)-1)</f>
        <v xml:space="preserve">3574.8 </v>
      </c>
      <c r="M41">
        <v>3580</v>
      </c>
      <c r="N41" s="149">
        <f>M41/L41</f>
        <v>1.0014546268322704</v>
      </c>
      <c r="O41" s="148" t="s">
        <v>5</v>
      </c>
    </row>
    <row r="42" spans="1:15" ht="15" customHeight="1">
      <c r="A42" s="9" t="s">
        <v>123</v>
      </c>
      <c r="B42" s="173">
        <v>1.9035822374744367</v>
      </c>
      <c r="C42" s="173">
        <v>1.9035822374744367</v>
      </c>
      <c r="D42" s="173">
        <v>1.9035822374744367</v>
      </c>
      <c r="E42" s="173">
        <v>1.9035822374744367</v>
      </c>
      <c r="F42" s="174">
        <v>1.9035822374744367</v>
      </c>
      <c r="G42" s="34" t="s">
        <v>124</v>
      </c>
      <c r="H42" s="89" t="s">
        <v>264</v>
      </c>
      <c r="I42" s="53"/>
      <c r="J42" s="95">
        <v>0.21732637627886436</v>
      </c>
    </row>
    <row r="43" spans="1:15" ht="15" customHeight="1" thickBot="1">
      <c r="A43" s="10" t="s">
        <v>125</v>
      </c>
      <c r="B43" s="179">
        <v>1.9035822374744367</v>
      </c>
      <c r="C43" s="180"/>
      <c r="D43" s="181" t="s">
        <v>267</v>
      </c>
      <c r="E43" s="181"/>
      <c r="F43" s="182"/>
      <c r="G43" s="35" t="s">
        <v>122</v>
      </c>
      <c r="H43" s="90" t="s">
        <v>265</v>
      </c>
      <c r="I43" s="55"/>
      <c r="J43" s="56"/>
    </row>
    <row r="44" spans="1:15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8808.2250597960065</v>
      </c>
      <c r="I44" s="88">
        <v>3.7826904364209282E-2</v>
      </c>
      <c r="J44" s="95">
        <v>0.64691777524419125</v>
      </c>
    </row>
    <row r="45" spans="1:15" ht="15" customHeight="1">
      <c r="A45" s="9" t="s">
        <v>129</v>
      </c>
      <c r="B45" s="66">
        <v>0.16299714148044586</v>
      </c>
      <c r="C45" s="161" t="s">
        <v>130</v>
      </c>
      <c r="D45" s="70">
        <v>7.9881278797984123E-3</v>
      </c>
      <c r="E45" s="9" t="s">
        <v>131</v>
      </c>
      <c r="F45" s="72">
        <v>1136.5002471089254</v>
      </c>
      <c r="G45" s="36" t="s">
        <v>122</v>
      </c>
      <c r="H45" s="84" t="s">
        <v>266</v>
      </c>
      <c r="I45" s="57"/>
      <c r="J45" s="58"/>
    </row>
    <row r="46" spans="1:15" ht="15" customHeight="1">
      <c r="A46" s="9" t="s">
        <v>132</v>
      </c>
      <c r="B46" s="66">
        <v>0.18468277156352997</v>
      </c>
      <c r="C46" s="161" t="s">
        <v>133</v>
      </c>
      <c r="D46" s="70">
        <v>6.9918436929583549E-3</v>
      </c>
      <c r="E46" s="9" t="s">
        <v>134</v>
      </c>
      <c r="F46" s="72">
        <v>1627.8353584760976</v>
      </c>
      <c r="G46" s="35" t="s">
        <v>135</v>
      </c>
      <c r="H46" s="92">
        <v>1890.859163738734</v>
      </c>
      <c r="I46" s="55"/>
      <c r="J46" s="56"/>
      <c r="L46" s="144" t="s">
        <v>179</v>
      </c>
      <c r="M46" s="146">
        <f>B5^0.95</f>
        <v>2954.9619165904205</v>
      </c>
    </row>
    <row r="47" spans="1:15" ht="15" customHeight="1">
      <c r="A47" s="9" t="s">
        <v>136</v>
      </c>
      <c r="B47" s="66">
        <v>0.34767991304397583</v>
      </c>
      <c r="C47" s="161" t="s">
        <v>137</v>
      </c>
      <c r="D47" s="70">
        <v>3.1873697880655527E-3</v>
      </c>
      <c r="E47" s="9" t="s">
        <v>138</v>
      </c>
      <c r="F47" s="72">
        <v>555.48023104559161</v>
      </c>
      <c r="G47" s="62" t="s">
        <v>139</v>
      </c>
      <c r="H47" s="91">
        <v>8481.5845251431601</v>
      </c>
      <c r="I47" s="88">
        <v>3.6368909780391097E-2</v>
      </c>
      <c r="J47" s="93">
        <v>0.66051218288766145</v>
      </c>
      <c r="L47" s="144" t="s">
        <v>180</v>
      </c>
      <c r="M47" s="146">
        <f>B5^1.5</f>
        <v>301869.17696247174</v>
      </c>
    </row>
    <row r="48" spans="1:15" ht="15" customHeight="1">
      <c r="A48" s="9" t="s">
        <v>140</v>
      </c>
      <c r="B48" s="66">
        <v>9.5744282007217407E-3</v>
      </c>
      <c r="C48" s="161" t="s">
        <v>100</v>
      </c>
      <c r="D48" s="70">
        <v>2.7741769328713417E-2</v>
      </c>
      <c r="E48" s="9" t="s">
        <v>141</v>
      </c>
      <c r="F48" s="72">
        <v>411.13773465463493</v>
      </c>
      <c r="G48" s="63" t="s">
        <v>122</v>
      </c>
      <c r="H48" s="84">
        <v>252.65369452318023</v>
      </c>
      <c r="I48" s="57"/>
      <c r="J48" s="58"/>
      <c r="L48" s="144" t="s">
        <v>181</v>
      </c>
      <c r="M48" s="145">
        <f>IF(A5="",0,(7200/(1000*A5))^2.4)</f>
        <v>21.633460842025631</v>
      </c>
    </row>
    <row r="49" spans="1:13" ht="15" customHeight="1" thickBot="1">
      <c r="A49" s="7"/>
      <c r="B49" s="52"/>
      <c r="C49" s="162" t="s">
        <v>142</v>
      </c>
      <c r="D49" s="79">
        <v>0.97225821018218994</v>
      </c>
      <c r="E49" s="10" t="s">
        <v>143</v>
      </c>
      <c r="F49" s="81">
        <v>1048.78212796137</v>
      </c>
      <c r="G49" s="64" t="s">
        <v>135</v>
      </c>
      <c r="H49" s="92">
        <v>1853.3729375980581</v>
      </c>
      <c r="I49" s="55"/>
      <c r="J49" s="59"/>
      <c r="L49" s="144" t="s">
        <v>182</v>
      </c>
      <c r="M49" s="145">
        <f>IF(A5="",0,(7200/(1000*A5))^1.8)</f>
        <v>10.031006258647469</v>
      </c>
    </row>
    <row r="50" spans="1:13" ht="15" customHeight="1">
      <c r="A50" s="12" t="s">
        <v>212</v>
      </c>
      <c r="B50" s="13"/>
      <c r="C50" s="13"/>
      <c r="D50" s="13"/>
      <c r="E50" s="13"/>
      <c r="F50" s="14"/>
      <c r="G50" s="12" t="s">
        <v>144</v>
      </c>
      <c r="H50" s="13"/>
      <c r="I50" s="40"/>
      <c r="J50" s="26"/>
      <c r="L50" s="144" t="s">
        <v>183</v>
      </c>
      <c r="M50" s="147">
        <f>IF(A5=2,27,24)</f>
        <v>27</v>
      </c>
    </row>
    <row r="51" spans="1:13" ht="15" customHeight="1">
      <c r="A51" s="9" t="s">
        <v>145</v>
      </c>
      <c r="B51" s="49">
        <v>46</v>
      </c>
      <c r="C51" s="8" t="s">
        <v>146</v>
      </c>
      <c r="D51" s="67" t="s">
        <v>174</v>
      </c>
      <c r="E51" s="8" t="s">
        <v>147</v>
      </c>
      <c r="F51" s="71" t="s">
        <v>174</v>
      </c>
      <c r="G51" s="8" t="s">
        <v>148</v>
      </c>
      <c r="H51" s="65">
        <v>0.16683043702949743</v>
      </c>
      <c r="I51" s="43" t="s">
        <v>149</v>
      </c>
      <c r="J51" s="37"/>
      <c r="L51" s="144" t="s">
        <v>184</v>
      </c>
      <c r="M51" s="147">
        <v>6.8500000000000005E-2</v>
      </c>
    </row>
    <row r="52" spans="1:13" ht="15" customHeight="1">
      <c r="A52" s="9" t="s">
        <v>58</v>
      </c>
      <c r="B52" s="67">
        <v>38.409999847412109</v>
      </c>
      <c r="C52" s="8" t="s">
        <v>150</v>
      </c>
      <c r="D52" s="67" t="s">
        <v>174</v>
      </c>
      <c r="E52" s="8" t="s">
        <v>151</v>
      </c>
      <c r="F52" s="71" t="s">
        <v>174</v>
      </c>
      <c r="G52" s="8" t="s">
        <v>168</v>
      </c>
      <c r="H52" s="67">
        <v>151504.228</v>
      </c>
      <c r="I52" s="96" t="s">
        <v>246</v>
      </c>
      <c r="J52" s="60"/>
      <c r="L52" s="144" t="s">
        <v>191</v>
      </c>
      <c r="M52" s="168">
        <f>F5</f>
        <v>60</v>
      </c>
    </row>
    <row r="53" spans="1:13" ht="15" customHeight="1">
      <c r="A53" s="9" t="s">
        <v>64</v>
      </c>
      <c r="B53" s="67">
        <v>3</v>
      </c>
      <c r="C53" s="8" t="s">
        <v>152</v>
      </c>
      <c r="D53" s="67" t="s">
        <v>174</v>
      </c>
      <c r="E53" s="8" t="s">
        <v>153</v>
      </c>
      <c r="F53" s="71" t="s">
        <v>174</v>
      </c>
      <c r="G53" s="8" t="s">
        <v>169</v>
      </c>
      <c r="H53" s="66">
        <v>118.930212963088</v>
      </c>
      <c r="I53" s="42" t="s">
        <v>154</v>
      </c>
      <c r="J53" s="37"/>
      <c r="L53" s="144" t="s">
        <v>185</v>
      </c>
      <c r="M53" s="150">
        <f>IF(F5=60,M50*M46/M48-M51*M47/M49,IF(F5&lt;&gt;60,(60/M52)^2*(M50*M46/M48-M51*M47/M49),0))</f>
        <v>1626.5770891603966</v>
      </c>
    </row>
    <row r="54" spans="1:13" ht="15" customHeight="1">
      <c r="A54" s="9" t="s">
        <v>66</v>
      </c>
      <c r="B54" s="67">
        <v>3</v>
      </c>
      <c r="C54" s="8" t="s">
        <v>155</v>
      </c>
      <c r="D54" s="67" t="s">
        <v>174</v>
      </c>
      <c r="E54" s="8" t="s">
        <v>153</v>
      </c>
      <c r="F54" s="71" t="s">
        <v>174</v>
      </c>
      <c r="G54" s="8" t="s">
        <v>170</v>
      </c>
      <c r="H54" s="68">
        <v>472928.2</v>
      </c>
      <c r="I54" s="97" t="s">
        <v>247</v>
      </c>
      <c r="J54" s="98" t="s">
        <v>210</v>
      </c>
    </row>
    <row r="55" spans="1:13" ht="15" customHeight="1">
      <c r="A55" s="9" t="s">
        <v>156</v>
      </c>
      <c r="B55" s="67">
        <v>14.119999885559082</v>
      </c>
      <c r="C55" s="8" t="s">
        <v>157</v>
      </c>
      <c r="D55" s="67" t="s">
        <v>174</v>
      </c>
      <c r="E55" s="8" t="s">
        <v>158</v>
      </c>
      <c r="F55" s="71" t="s">
        <v>174</v>
      </c>
      <c r="G55" s="8" t="s">
        <v>159</v>
      </c>
      <c r="H55" s="67">
        <v>1</v>
      </c>
      <c r="I55" s="42" t="s">
        <v>160</v>
      </c>
      <c r="J55" s="37"/>
    </row>
    <row r="56" spans="1:13" ht="15" customHeight="1" thickBot="1">
      <c r="A56" s="10" t="s">
        <v>161</v>
      </c>
      <c r="B56" s="78" t="s">
        <v>174</v>
      </c>
      <c r="C56" s="20" t="s">
        <v>162</v>
      </c>
      <c r="D56" s="78" t="s">
        <v>174</v>
      </c>
      <c r="E56" s="20" t="s">
        <v>163</v>
      </c>
      <c r="F56" s="80" t="s">
        <v>174</v>
      </c>
      <c r="G56" s="20" t="s">
        <v>164</v>
      </c>
      <c r="H56" s="77">
        <v>0.69434999999999991</v>
      </c>
      <c r="I56" s="99" t="s">
        <v>248</v>
      </c>
      <c r="J56" s="59" t="s">
        <v>211</v>
      </c>
    </row>
    <row r="57" spans="1:13" ht="15" customHeight="1">
      <c r="A57" s="22" t="s">
        <v>402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165</v>
      </c>
      <c r="C58" s="15" t="s">
        <v>400</v>
      </c>
      <c r="D58" s="3" t="s">
        <v>119</v>
      </c>
      <c r="E58" s="3" t="s">
        <v>165</v>
      </c>
      <c r="F58" s="15" t="s">
        <v>401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0.14892543852329254</v>
      </c>
      <c r="D59" s="125">
        <v>0.68736839294433594</v>
      </c>
      <c r="E59" s="84">
        <v>71.621274120223021</v>
      </c>
      <c r="F59" s="85">
        <v>503.50103759765625</v>
      </c>
      <c r="G59" s="119"/>
      <c r="H59" s="31"/>
      <c r="I59" s="31"/>
      <c r="J59" s="44"/>
    </row>
    <row r="60" spans="1:13" ht="15" customHeight="1">
      <c r="A60" s="127">
        <v>2.0000003278255463E-3</v>
      </c>
      <c r="B60" s="84">
        <v>89.930042218356235</v>
      </c>
      <c r="C60" s="85">
        <v>125.78456878662109</v>
      </c>
      <c r="D60" s="125">
        <v>0.79157894849777222</v>
      </c>
      <c r="E60" s="84">
        <v>71.28987837118251</v>
      </c>
      <c r="F60" s="85">
        <v>506.40765380859375</v>
      </c>
      <c r="G60" s="119"/>
      <c r="H60" s="31"/>
      <c r="I60" s="31"/>
      <c r="J60" s="44"/>
    </row>
    <row r="61" spans="1:13" ht="15" customHeight="1">
      <c r="A61" s="127">
        <v>1.0000001639127731E-2</v>
      </c>
      <c r="B61" s="84">
        <v>178</v>
      </c>
      <c r="C61" s="85">
        <v>383.68643188476563</v>
      </c>
      <c r="D61" s="125">
        <v>0.89578944444656372</v>
      </c>
      <c r="E61" s="84">
        <v>71.101487491117794</v>
      </c>
      <c r="F61" s="85">
        <v>508.88922119140625</v>
      </c>
      <c r="G61" s="119"/>
      <c r="H61" s="31"/>
      <c r="I61" s="31"/>
      <c r="J61" s="44"/>
    </row>
    <row r="62" spans="1:13" ht="15" customHeight="1">
      <c r="A62" s="123">
        <v>6.2105264514684677E-2</v>
      </c>
      <c r="B62" s="84">
        <v>108.9935013277499</v>
      </c>
      <c r="C62" s="85">
        <v>451.71124267578125</v>
      </c>
      <c r="D62" s="126">
        <v>1</v>
      </c>
      <c r="E62" s="84">
        <v>71</v>
      </c>
      <c r="F62" s="85">
        <v>511.03076171875</v>
      </c>
      <c r="G62" s="119"/>
      <c r="H62" s="31"/>
      <c r="I62" s="31"/>
      <c r="J62" s="44"/>
    </row>
    <row r="63" spans="1:13" ht="15" customHeight="1" thickBot="1">
      <c r="A63" s="123">
        <v>0.11421053111553192</v>
      </c>
      <c r="B63" s="84">
        <v>90.013690579724098</v>
      </c>
      <c r="C63" s="85">
        <v>469.89956665039063</v>
      </c>
      <c r="D63" s="415"/>
      <c r="E63" s="86"/>
      <c r="F63" s="369"/>
      <c r="G63" s="119"/>
      <c r="H63" s="31"/>
      <c r="I63" s="31"/>
      <c r="J63" s="44"/>
    </row>
    <row r="64" spans="1:13" ht="15" customHeight="1">
      <c r="A64" s="123">
        <v>0.16631579399108887</v>
      </c>
      <c r="B64" s="84">
        <v>81.847084298606873</v>
      </c>
      <c r="C64" s="85">
        <v>477.61764526367188</v>
      </c>
      <c r="D64" s="370" t="s">
        <v>409</v>
      </c>
      <c r="E64" s="371"/>
      <c r="F64" s="371"/>
      <c r="G64" s="119"/>
      <c r="H64" s="31"/>
      <c r="I64" s="31"/>
      <c r="J64" s="44"/>
    </row>
    <row r="65" spans="1:10" ht="15" customHeight="1">
      <c r="A65" s="123">
        <v>0.27052631974220276</v>
      </c>
      <c r="B65" s="84">
        <v>76.937716330122271</v>
      </c>
      <c r="C65" s="85">
        <v>485.79959106445313</v>
      </c>
      <c r="D65" s="416" t="s">
        <v>404</v>
      </c>
      <c r="E65" s="372" t="s">
        <v>408</v>
      </c>
      <c r="F65" s="372"/>
      <c r="G65" s="119"/>
      <c r="H65" s="31"/>
      <c r="I65" s="31"/>
      <c r="J65" s="44"/>
    </row>
    <row r="66" spans="1:10" ht="15" customHeight="1">
      <c r="A66" s="123">
        <v>0.37473684549331665</v>
      </c>
      <c r="B66" s="84">
        <v>74.550921249540806</v>
      </c>
      <c r="C66" s="85">
        <v>491.33999633789063</v>
      </c>
      <c r="D66" s="416" t="s">
        <v>405</v>
      </c>
      <c r="E66" s="372" t="s">
        <v>411</v>
      </c>
      <c r="F66" s="372"/>
      <c r="G66" s="119"/>
      <c r="H66" s="31"/>
      <c r="I66" s="31"/>
      <c r="J66" s="44"/>
    </row>
    <row r="67" spans="1:10" ht="15" customHeight="1">
      <c r="A67" s="123">
        <v>0.47894737124443054</v>
      </c>
      <c r="B67" s="84">
        <v>73.095198178502329</v>
      </c>
      <c r="C67" s="85">
        <v>496.04159545898438</v>
      </c>
      <c r="D67" s="416" t="s">
        <v>406</v>
      </c>
      <c r="E67" s="372" t="s">
        <v>412</v>
      </c>
      <c r="F67" s="372"/>
      <c r="G67" s="119"/>
      <c r="H67" s="31"/>
      <c r="I67" s="31"/>
      <c r="J67" s="44"/>
    </row>
    <row r="68" spans="1:10" ht="15" customHeight="1" thickBot="1">
      <c r="A68" s="124">
        <v>0.58315789699554443</v>
      </c>
      <c r="B68" s="86">
        <v>72.181218907155568</v>
      </c>
      <c r="C68" s="87">
        <v>500.07461547851563</v>
      </c>
      <c r="D68" s="417" t="s">
        <v>407</v>
      </c>
      <c r="E68" s="373" t="s">
        <v>410</v>
      </c>
      <c r="F68" s="373"/>
      <c r="G68" s="120"/>
      <c r="H68" s="45"/>
      <c r="I68" s="45"/>
      <c r="J68" s="46"/>
    </row>
    <row r="69" spans="1:10" ht="15" customHeight="1">
      <c r="A69" s="153" t="s">
        <v>269</v>
      </c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68" t="s">
        <v>403</v>
      </c>
      <c r="B99" s="368"/>
      <c r="C99" s="368"/>
      <c r="D99" s="368"/>
      <c r="E99" s="368"/>
      <c r="F99" s="368"/>
      <c r="G99" s="368"/>
      <c r="H99" s="368"/>
      <c r="I99" s="368"/>
    </row>
    <row r="100" spans="1:9">
      <c r="A100" s="368">
        <v>100</v>
      </c>
      <c r="B100" s="368"/>
      <c r="C100" s="368"/>
      <c r="D100" s="368"/>
      <c r="E100" s="368"/>
      <c r="F100" s="368"/>
      <c r="G100" s="368"/>
      <c r="H100" s="368"/>
      <c r="I100" s="368"/>
    </row>
    <row r="101" spans="1:9">
      <c r="A101" s="368">
        <v>99.599998474121094</v>
      </c>
      <c r="B101" s="368"/>
      <c r="C101" s="368"/>
      <c r="D101" s="368"/>
      <c r="E101" s="368"/>
      <c r="F101" s="368"/>
      <c r="G101" s="368"/>
      <c r="H101" s="368"/>
      <c r="I101" s="368"/>
    </row>
    <row r="102" spans="1:9">
      <c r="A102" s="368">
        <v>98</v>
      </c>
      <c r="B102" s="368"/>
      <c r="C102" s="368"/>
      <c r="D102" s="368"/>
      <c r="E102" s="368"/>
      <c r="F102" s="368"/>
      <c r="G102" s="368"/>
      <c r="H102" s="368"/>
      <c r="I102" s="368"/>
    </row>
    <row r="103" spans="1:9">
      <c r="A103" s="368">
        <v>83.852630615234375</v>
      </c>
      <c r="B103" s="368"/>
      <c r="C103" s="368"/>
      <c r="D103" s="368"/>
      <c r="E103" s="368"/>
      <c r="F103" s="368"/>
      <c r="G103" s="368"/>
      <c r="H103" s="368"/>
      <c r="I103" s="368"/>
    </row>
    <row r="104" spans="1:9">
      <c r="A104" s="368">
        <v>70.305259704589844</v>
      </c>
      <c r="B104" s="368"/>
      <c r="C104" s="368"/>
      <c r="D104" s="368"/>
      <c r="E104" s="368"/>
      <c r="F104" s="368"/>
      <c r="G104" s="368"/>
      <c r="H104" s="368"/>
      <c r="I104" s="368"/>
    </row>
    <row r="105" spans="1:9">
      <c r="A105" s="368">
        <v>57.410526275634766</v>
      </c>
      <c r="B105" s="368"/>
      <c r="C105" s="368"/>
      <c r="D105" s="368"/>
      <c r="E105" s="368"/>
      <c r="F105" s="368"/>
      <c r="G105" s="368"/>
      <c r="H105" s="368"/>
      <c r="I105" s="368"/>
    </row>
    <row r="106" spans="1:9">
      <c r="A106" s="368">
        <v>38.010524749755859</v>
      </c>
      <c r="B106" s="368"/>
      <c r="C106" s="368"/>
      <c r="D106" s="368"/>
      <c r="E106" s="368"/>
      <c r="F106" s="368"/>
      <c r="G106" s="368"/>
      <c r="H106" s="368"/>
      <c r="I106" s="368"/>
    </row>
    <row r="107" spans="1:9">
      <c r="A107" s="368">
        <v>24.778947830200195</v>
      </c>
      <c r="B107" s="368"/>
      <c r="C107" s="368"/>
      <c r="D107" s="368"/>
      <c r="E107" s="368"/>
      <c r="F107" s="368"/>
      <c r="G107" s="368"/>
      <c r="H107" s="368"/>
      <c r="I107" s="368"/>
    </row>
    <row r="108" spans="1:9">
      <c r="A108" s="368">
        <v>15.684209823608398</v>
      </c>
      <c r="B108" s="368"/>
      <c r="C108" s="368"/>
      <c r="D108" s="368"/>
      <c r="E108" s="368"/>
      <c r="F108" s="368"/>
      <c r="G108" s="368"/>
      <c r="H108" s="368"/>
      <c r="I108" s="368"/>
    </row>
    <row r="109" spans="1:9">
      <c r="A109" s="368">
        <v>9.0105257034301758</v>
      </c>
      <c r="B109" s="368"/>
      <c r="C109" s="368"/>
      <c r="D109" s="368"/>
      <c r="E109" s="368"/>
      <c r="F109" s="368"/>
      <c r="G109" s="368"/>
      <c r="H109" s="368"/>
      <c r="I109" s="368"/>
    </row>
    <row r="110" spans="1:9">
      <c r="A110" s="368">
        <v>6.2526321411132813</v>
      </c>
      <c r="B110" s="368"/>
      <c r="C110" s="368"/>
      <c r="D110" s="368"/>
      <c r="E110" s="368"/>
      <c r="F110" s="368"/>
      <c r="G110" s="368"/>
      <c r="H110" s="368"/>
      <c r="I110" s="368"/>
    </row>
    <row r="111" spans="1:9">
      <c r="A111" s="368">
        <v>7.8315787315368652</v>
      </c>
      <c r="B111" s="368"/>
      <c r="C111" s="368"/>
      <c r="D111" s="368"/>
      <c r="E111" s="368"/>
      <c r="F111" s="368"/>
      <c r="G111" s="368"/>
      <c r="H111" s="368"/>
      <c r="I111" s="368"/>
    </row>
    <row r="112" spans="1:9">
      <c r="A112" s="368">
        <v>14.70526123046875</v>
      </c>
      <c r="B112" s="368"/>
      <c r="C112" s="368"/>
      <c r="D112" s="368"/>
      <c r="E112" s="368"/>
      <c r="F112" s="368"/>
      <c r="G112" s="368"/>
      <c r="H112" s="368"/>
      <c r="I112" s="368"/>
    </row>
    <row r="113" spans="1:9">
      <c r="A113" s="368">
        <v>30</v>
      </c>
      <c r="B113" s="368"/>
      <c r="C113" s="368"/>
      <c r="D113" s="368"/>
      <c r="E113" s="368"/>
      <c r="F113" s="368"/>
      <c r="G113" s="368"/>
      <c r="H113" s="368"/>
      <c r="I113" s="368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workbookViewId="0">
      <selection activeCell="M18" sqref="M18"/>
    </sheetView>
  </sheetViews>
  <sheetFormatPr defaultRowHeight="15.75"/>
  <cols>
    <col min="1" max="1" width="11.85546875" style="325" customWidth="1"/>
    <col min="2" max="2" width="6.140625" style="325" customWidth="1"/>
    <col min="3" max="3" width="7.42578125" style="325" customWidth="1"/>
    <col min="4" max="5" width="12.5703125" style="325" customWidth="1"/>
    <col min="6" max="6" width="9.42578125" style="325" customWidth="1"/>
    <col min="7" max="7" width="5.7109375" style="325" customWidth="1"/>
    <col min="8" max="8" width="7.85546875" style="325" customWidth="1"/>
    <col min="9" max="9" width="6.5703125" style="325" customWidth="1"/>
    <col min="10" max="11" width="12" style="325" customWidth="1"/>
    <col min="12" max="26" width="9.140625" style="183"/>
    <col min="27" max="16384" width="9.140625" style="184"/>
  </cols>
  <sheetData>
    <row r="1" spans="1:26" ht="20.25" customHeight="1">
      <c r="A1" s="617" t="s">
        <v>270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</row>
    <row r="2" spans="1:26" ht="20.25" customHeight="1">
      <c r="A2" s="618" t="s">
        <v>271</v>
      </c>
      <c r="B2" s="618"/>
      <c r="C2" s="618"/>
      <c r="D2" s="618"/>
      <c r="E2" s="618"/>
      <c r="F2" s="618"/>
      <c r="G2" s="618"/>
      <c r="H2" s="618"/>
      <c r="I2" s="618"/>
      <c r="J2" s="618"/>
      <c r="K2" s="618"/>
    </row>
    <row r="3" spans="1:26" ht="18.75" customHeight="1" thickBot="1">
      <c r="A3" s="185" t="s">
        <v>1</v>
      </c>
      <c r="B3" s="186" t="s">
        <v>380</v>
      </c>
      <c r="C3" s="187"/>
      <c r="D3" s="187"/>
      <c r="E3" s="187"/>
      <c r="F3" s="188"/>
      <c r="G3" s="187"/>
      <c r="H3" s="187"/>
      <c r="I3" s="185" t="s">
        <v>272</v>
      </c>
      <c r="J3" s="625" t="s">
        <v>388</v>
      </c>
      <c r="K3" s="625"/>
    </row>
    <row r="4" spans="1:26" s="197" customFormat="1" ht="18.399999999999999" customHeight="1" thickBot="1">
      <c r="A4" s="189" t="s">
        <v>381</v>
      </c>
      <c r="B4" s="190"/>
      <c r="C4" s="191"/>
      <c r="D4" s="191"/>
      <c r="E4" s="191"/>
      <c r="F4" s="191"/>
      <c r="G4" s="191"/>
      <c r="H4" s="191"/>
      <c r="I4" s="191"/>
      <c r="J4" s="191"/>
      <c r="K4" s="192"/>
      <c r="L4" s="193"/>
      <c r="M4" s="193"/>
      <c r="N4" s="193"/>
      <c r="O4" s="193"/>
      <c r="P4" s="193"/>
      <c r="Q4" s="194" t="s">
        <v>273</v>
      </c>
      <c r="R4" s="195"/>
      <c r="S4" s="193"/>
      <c r="T4" s="194" t="s">
        <v>274</v>
      </c>
      <c r="U4" s="196"/>
      <c r="V4" s="193"/>
      <c r="W4" s="193"/>
      <c r="X4" s="193"/>
      <c r="Y4" s="193"/>
      <c r="Z4" s="193"/>
    </row>
    <row r="5" spans="1:26" s="197" customFormat="1" ht="18.399999999999999" customHeight="1">
      <c r="A5" s="619" t="s">
        <v>275</v>
      </c>
      <c r="B5" s="620"/>
      <c r="C5" s="620"/>
      <c r="D5" s="198"/>
      <c r="E5" s="199"/>
      <c r="F5" s="200" t="s">
        <v>276</v>
      </c>
      <c r="G5" s="187"/>
      <c r="H5" s="187"/>
      <c r="I5" s="201"/>
      <c r="J5" s="202" t="s">
        <v>277</v>
      </c>
      <c r="K5" s="203" t="s">
        <v>278</v>
      </c>
      <c r="L5" s="193"/>
      <c r="M5" s="193"/>
      <c r="N5" s="193"/>
      <c r="O5" s="193"/>
      <c r="P5" s="193"/>
      <c r="Q5" s="204" t="s">
        <v>279</v>
      </c>
      <c r="R5" s="205"/>
      <c r="S5" s="193"/>
      <c r="T5" s="204" t="s">
        <v>280</v>
      </c>
      <c r="U5" s="206"/>
      <c r="V5" s="193"/>
      <c r="W5" s="193"/>
      <c r="X5" s="193"/>
      <c r="Y5" s="193"/>
      <c r="Z5" s="193"/>
    </row>
    <row r="6" spans="1:26" s="197" customFormat="1" ht="18.399999999999999" customHeight="1">
      <c r="A6" s="621" t="s">
        <v>67</v>
      </c>
      <c r="B6" s="622"/>
      <c r="C6" s="622"/>
      <c r="D6" s="623" t="s">
        <v>284</v>
      </c>
      <c r="E6" s="624"/>
      <c r="F6" s="578" t="s">
        <v>282</v>
      </c>
      <c r="G6" s="579"/>
      <c r="H6" s="579"/>
      <c r="I6" s="579"/>
      <c r="J6" s="579"/>
      <c r="K6" s="580"/>
      <c r="L6" s="193"/>
      <c r="M6" s="193"/>
      <c r="N6" s="193"/>
      <c r="O6" s="193"/>
      <c r="P6" s="193"/>
      <c r="Q6" s="204" t="s">
        <v>283</v>
      </c>
      <c r="R6" s="205"/>
      <c r="S6" s="193"/>
      <c r="T6" s="204" t="s">
        <v>284</v>
      </c>
      <c r="U6" s="206"/>
      <c r="V6" s="193"/>
      <c r="W6" s="193"/>
      <c r="X6" s="193"/>
      <c r="Y6" s="193"/>
      <c r="Z6" s="193"/>
    </row>
    <row r="7" spans="1:26" s="197" customFormat="1" ht="18.399999999999999" customHeight="1">
      <c r="A7" s="613" t="s">
        <v>20</v>
      </c>
      <c r="B7" s="614"/>
      <c r="C7" s="614"/>
      <c r="D7" s="615">
        <v>3.5</v>
      </c>
      <c r="E7" s="616"/>
      <c r="F7" s="207" t="s">
        <v>285</v>
      </c>
      <c r="G7" s="208"/>
      <c r="H7" s="209"/>
      <c r="I7" s="210"/>
      <c r="J7" s="211">
        <v>98</v>
      </c>
      <c r="K7" s="212" t="s">
        <v>174</v>
      </c>
      <c r="L7" s="193"/>
      <c r="M7" s="193"/>
      <c r="N7" s="193"/>
      <c r="O7" s="193"/>
      <c r="P7" s="193"/>
      <c r="Q7" s="204" t="s">
        <v>286</v>
      </c>
      <c r="R7" s="205"/>
      <c r="S7" s="193"/>
      <c r="T7" s="204" t="s">
        <v>281</v>
      </c>
      <c r="U7" s="206"/>
      <c r="V7" s="193"/>
      <c r="W7" s="193"/>
      <c r="X7" s="193"/>
      <c r="Y7" s="193"/>
      <c r="Z7" s="193"/>
    </row>
    <row r="8" spans="1:26" s="197" customFormat="1" ht="18.399999999999999" customHeight="1">
      <c r="A8" s="613" t="s">
        <v>287</v>
      </c>
      <c r="B8" s="614"/>
      <c r="C8" s="614"/>
      <c r="D8" s="553">
        <v>880</v>
      </c>
      <c r="E8" s="554"/>
      <c r="F8" s="213" t="s">
        <v>288</v>
      </c>
      <c r="G8" s="214"/>
      <c r="H8" s="215"/>
      <c r="I8" s="216"/>
      <c r="J8" s="217">
        <v>45197</v>
      </c>
      <c r="K8" s="218" t="s">
        <v>174</v>
      </c>
      <c r="L8" s="193"/>
      <c r="M8" s="193"/>
      <c r="N8" s="193"/>
      <c r="O8" s="193"/>
      <c r="P8" s="193"/>
      <c r="Q8" s="204" t="s">
        <v>289</v>
      </c>
      <c r="R8" s="205"/>
      <c r="S8" s="193"/>
      <c r="T8" s="204" t="s">
        <v>290</v>
      </c>
      <c r="U8" s="206"/>
      <c r="V8" s="193"/>
      <c r="W8" s="193"/>
      <c r="X8" s="193"/>
      <c r="Y8" s="193"/>
      <c r="Z8" s="193"/>
    </row>
    <row r="9" spans="1:26" s="197" customFormat="1" ht="18.399999999999999" customHeight="1">
      <c r="A9" s="608" t="s">
        <v>291</v>
      </c>
      <c r="B9" s="609"/>
      <c r="C9" s="610"/>
      <c r="D9" s="553">
        <v>5</v>
      </c>
      <c r="E9" s="554"/>
      <c r="F9" s="207" t="s">
        <v>292</v>
      </c>
      <c r="G9" s="208"/>
      <c r="H9" s="219">
        <v>1</v>
      </c>
      <c r="I9" s="220" t="s">
        <v>293</v>
      </c>
      <c r="J9" s="221">
        <v>823</v>
      </c>
      <c r="K9" s="218" t="s">
        <v>174</v>
      </c>
      <c r="L9" s="193"/>
      <c r="M9" s="193"/>
      <c r="N9" s="193"/>
      <c r="O9" s="193"/>
      <c r="P9" s="193"/>
      <c r="Q9" s="204" t="s">
        <v>294</v>
      </c>
      <c r="R9" s="205"/>
      <c r="S9" s="193"/>
      <c r="T9" s="204" t="s">
        <v>295</v>
      </c>
      <c r="U9" s="206"/>
      <c r="V9" s="193"/>
      <c r="W9" s="193"/>
      <c r="X9" s="193"/>
      <c r="Y9" s="193"/>
      <c r="Z9" s="193"/>
    </row>
    <row r="10" spans="1:26" s="197" customFormat="1" ht="18.399999999999999" customHeight="1" thickBot="1">
      <c r="A10" s="608" t="s">
        <v>296</v>
      </c>
      <c r="B10" s="609"/>
      <c r="C10" s="610"/>
      <c r="D10" s="588" t="s">
        <v>202</v>
      </c>
      <c r="E10" s="589"/>
      <c r="F10" s="207" t="s">
        <v>297</v>
      </c>
      <c r="G10" s="208"/>
      <c r="H10" s="219">
        <v>1</v>
      </c>
      <c r="I10" s="220" t="s">
        <v>293</v>
      </c>
      <c r="J10" s="221">
        <v>1150</v>
      </c>
      <c r="K10" s="218" t="s">
        <v>174</v>
      </c>
      <c r="L10" s="193"/>
      <c r="M10" s="193"/>
      <c r="N10" s="193"/>
      <c r="O10" s="193"/>
      <c r="P10" s="193"/>
      <c r="Q10" s="204" t="s">
        <v>298</v>
      </c>
      <c r="R10" s="205"/>
      <c r="S10" s="193"/>
      <c r="T10" s="222" t="s">
        <v>299</v>
      </c>
      <c r="U10" s="223"/>
      <c r="V10" s="193"/>
      <c r="W10" s="193"/>
      <c r="X10" s="193"/>
      <c r="Y10" s="193"/>
      <c r="Z10" s="193"/>
    </row>
    <row r="11" spans="1:26" s="197" customFormat="1" ht="18.399999999999999" customHeight="1" thickBot="1">
      <c r="A11" s="608" t="s">
        <v>300</v>
      </c>
      <c r="B11" s="609"/>
      <c r="C11" s="610"/>
      <c r="D11" s="586" t="s">
        <v>202</v>
      </c>
      <c r="E11" s="587"/>
      <c r="F11" s="224" t="s">
        <v>301</v>
      </c>
      <c r="G11" s="225"/>
      <c r="H11" s="226">
        <v>1</v>
      </c>
      <c r="I11" s="220" t="s">
        <v>293</v>
      </c>
      <c r="J11" s="227">
        <v>147179</v>
      </c>
      <c r="K11" s="228" t="s">
        <v>174</v>
      </c>
      <c r="L11" s="193"/>
      <c r="M11" s="193"/>
      <c r="N11" s="193"/>
      <c r="O11" s="193"/>
      <c r="P11" s="193"/>
      <c r="Q11" s="222" t="s">
        <v>302</v>
      </c>
      <c r="R11" s="229"/>
      <c r="S11" s="193"/>
      <c r="T11" s="193"/>
      <c r="U11" s="193"/>
      <c r="V11" s="193"/>
      <c r="W11" s="193"/>
      <c r="X11" s="193"/>
      <c r="Y11" s="193"/>
      <c r="Z11" s="193"/>
    </row>
    <row r="12" spans="1:26" s="197" customFormat="1" ht="18.399999999999999" customHeight="1">
      <c r="A12" s="230" t="s">
        <v>303</v>
      </c>
      <c r="C12" s="231"/>
      <c r="D12" s="611" t="s">
        <v>174</v>
      </c>
      <c r="E12" s="612"/>
      <c r="F12" s="555" t="s">
        <v>304</v>
      </c>
      <c r="G12" s="556"/>
      <c r="H12" s="556"/>
      <c r="I12" s="556"/>
      <c r="J12" s="556"/>
      <c r="K12" s="557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</row>
    <row r="13" spans="1:26" s="197" customFormat="1" ht="18.399999999999999" customHeight="1">
      <c r="A13" s="608" t="s">
        <v>53</v>
      </c>
      <c r="B13" s="609"/>
      <c r="C13" s="610"/>
      <c r="D13" s="606" t="s">
        <v>383</v>
      </c>
      <c r="E13" s="607"/>
      <c r="F13" s="232"/>
      <c r="G13" s="233" t="s">
        <v>305</v>
      </c>
      <c r="H13" s="234"/>
      <c r="I13" s="235" t="s">
        <v>306</v>
      </c>
      <c r="J13" s="236" t="s">
        <v>385</v>
      </c>
      <c r="K13" s="237" t="s">
        <v>174</v>
      </c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</row>
    <row r="14" spans="1:26" s="197" customFormat="1" ht="18.399999999999999" customHeight="1">
      <c r="A14" s="608" t="s">
        <v>56</v>
      </c>
      <c r="B14" s="609"/>
      <c r="C14" s="610"/>
      <c r="D14" s="611">
        <v>1747</v>
      </c>
      <c r="E14" s="612"/>
      <c r="F14" s="232"/>
      <c r="G14" s="238" t="s">
        <v>10</v>
      </c>
      <c r="H14" s="239"/>
      <c r="I14" s="239"/>
      <c r="J14" s="221" t="s">
        <v>174</v>
      </c>
      <c r="K14" s="218" t="s">
        <v>174</v>
      </c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</row>
    <row r="15" spans="1:26" s="197" customFormat="1" ht="18.399999999999999" customHeight="1">
      <c r="A15" s="599" t="s">
        <v>307</v>
      </c>
      <c r="B15" s="600"/>
      <c r="C15" s="601"/>
      <c r="D15" s="584">
        <v>14.702000617980957</v>
      </c>
      <c r="E15" s="585"/>
      <c r="F15" s="232"/>
      <c r="G15" s="238" t="s">
        <v>308</v>
      </c>
      <c r="H15" s="239"/>
      <c r="I15" s="239"/>
      <c r="J15" s="221" t="s">
        <v>174</v>
      </c>
      <c r="K15" s="218" t="s">
        <v>174</v>
      </c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</row>
    <row r="16" spans="1:26" s="197" customFormat="1" ht="18.399999999999999" customHeight="1">
      <c r="A16" s="581" t="s">
        <v>309</v>
      </c>
      <c r="B16" s="582"/>
      <c r="C16" s="583"/>
      <c r="D16" s="584">
        <v>3.7935998439788818</v>
      </c>
      <c r="E16" s="585"/>
      <c r="F16" s="240"/>
      <c r="G16" s="241" t="s">
        <v>17</v>
      </c>
      <c r="H16" s="242"/>
      <c r="I16" s="242"/>
      <c r="J16" s="227" t="s">
        <v>174</v>
      </c>
      <c r="K16" s="228" t="s">
        <v>174</v>
      </c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</row>
    <row r="17" spans="1:26" s="197" customFormat="1" ht="18.399999999999999" customHeight="1">
      <c r="A17" s="243" t="s">
        <v>310</v>
      </c>
      <c r="B17" s="244"/>
      <c r="C17" s="245"/>
      <c r="D17" s="586" t="s">
        <v>382</v>
      </c>
      <c r="E17" s="587"/>
      <c r="F17" s="555" t="s">
        <v>311</v>
      </c>
      <c r="G17" s="556"/>
      <c r="H17" s="556"/>
      <c r="I17" s="556"/>
      <c r="J17" s="556"/>
      <c r="K17" s="557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</row>
    <row r="18" spans="1:26" s="197" customFormat="1" ht="18.399999999999999" customHeight="1">
      <c r="A18" s="246" t="s">
        <v>312</v>
      </c>
      <c r="B18" s="247"/>
      <c r="C18" s="245"/>
      <c r="D18" s="588" t="s">
        <v>174</v>
      </c>
      <c r="E18" s="589"/>
      <c r="F18" s="590"/>
      <c r="G18" s="591"/>
      <c r="H18" s="248" t="s">
        <v>313</v>
      </c>
      <c r="I18" s="249"/>
      <c r="J18" s="217">
        <v>553</v>
      </c>
      <c r="K18" s="218"/>
      <c r="L18" s="193"/>
      <c r="M18" s="193">
        <f>J18*6.5</f>
        <v>3594.5</v>
      </c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</row>
    <row r="19" spans="1:26" s="197" customFormat="1" ht="18.399999999999999" customHeight="1">
      <c r="A19" s="596" t="s">
        <v>314</v>
      </c>
      <c r="B19" s="597"/>
      <c r="C19" s="598"/>
      <c r="D19" s="602" t="s">
        <v>389</v>
      </c>
      <c r="E19" s="587"/>
      <c r="F19" s="592"/>
      <c r="G19" s="593"/>
      <c r="H19" s="248" t="s">
        <v>5</v>
      </c>
      <c r="I19" s="210"/>
      <c r="J19" s="217">
        <v>3580</v>
      </c>
      <c r="K19" s="218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</row>
    <row r="20" spans="1:26" s="197" customFormat="1" ht="18.399999999999999" customHeight="1" thickBot="1">
      <c r="A20" s="250" t="s">
        <v>315</v>
      </c>
      <c r="C20" s="251"/>
      <c r="D20" s="603" t="s">
        <v>201</v>
      </c>
      <c r="E20" s="554"/>
      <c r="F20" s="592"/>
      <c r="G20" s="593"/>
      <c r="H20" s="248" t="s">
        <v>316</v>
      </c>
      <c r="I20" s="210"/>
      <c r="J20" s="221" t="s">
        <v>358</v>
      </c>
      <c r="K20" s="218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</row>
    <row r="21" spans="1:26" s="197" customFormat="1" ht="18.399999999999999" customHeight="1" thickBot="1">
      <c r="A21" s="599" t="s">
        <v>317</v>
      </c>
      <c r="B21" s="600"/>
      <c r="C21" s="601"/>
      <c r="D21" s="553" t="s">
        <v>174</v>
      </c>
      <c r="E21" s="554"/>
      <c r="F21" s="592"/>
      <c r="G21" s="593"/>
      <c r="H21" s="252" t="s">
        <v>318</v>
      </c>
      <c r="I21" s="210"/>
      <c r="J21" s="221">
        <v>1.1499999999999999</v>
      </c>
      <c r="K21" s="218"/>
      <c r="L21" s="193"/>
      <c r="M21" s="193"/>
      <c r="N21" s="193"/>
      <c r="O21" s="193"/>
      <c r="P21" s="193"/>
      <c r="Q21" s="194" t="s">
        <v>319</v>
      </c>
      <c r="R21" s="196"/>
      <c r="S21" s="193"/>
      <c r="T21" s="193"/>
      <c r="U21" s="193"/>
      <c r="V21" s="193"/>
      <c r="W21" s="193"/>
      <c r="X21" s="193"/>
      <c r="Y21" s="193"/>
      <c r="Z21" s="193"/>
    </row>
    <row r="22" spans="1:26" s="197" customFormat="1" ht="18.399999999999999" customHeight="1">
      <c r="A22" s="246" t="s">
        <v>320</v>
      </c>
      <c r="B22" s="253"/>
      <c r="C22" s="253"/>
      <c r="D22" s="604">
        <v>2.7E-2</v>
      </c>
      <c r="E22" s="605"/>
      <c r="F22" s="592"/>
      <c r="G22" s="593"/>
      <c r="H22" s="248" t="s">
        <v>277</v>
      </c>
      <c r="I22" s="210"/>
      <c r="J22" s="221" t="s">
        <v>174</v>
      </c>
      <c r="K22" s="218"/>
      <c r="L22" s="193"/>
      <c r="M22" s="193"/>
      <c r="N22" s="193"/>
      <c r="O22" s="193"/>
      <c r="P22" s="193"/>
      <c r="Q22" s="204" t="s">
        <v>322</v>
      </c>
      <c r="R22" s="206"/>
      <c r="S22" s="193"/>
      <c r="T22" s="193"/>
      <c r="U22" s="193"/>
      <c r="V22" s="193"/>
      <c r="W22" s="193"/>
      <c r="X22" s="193"/>
      <c r="Y22" s="193"/>
      <c r="Z22" s="193"/>
    </row>
    <row r="23" spans="1:26" s="197" customFormat="1" ht="18.399999999999999" customHeight="1">
      <c r="A23" s="254" t="s">
        <v>323</v>
      </c>
      <c r="B23" s="255" t="s">
        <v>324</v>
      </c>
      <c r="C23" s="256"/>
      <c r="D23" s="606">
        <v>998</v>
      </c>
      <c r="E23" s="607"/>
      <c r="F23" s="592"/>
      <c r="G23" s="593"/>
      <c r="H23" s="257" t="s">
        <v>325</v>
      </c>
      <c r="I23" s="258"/>
      <c r="J23" s="259" t="s">
        <v>174</v>
      </c>
      <c r="K23" s="260"/>
      <c r="L23" s="193"/>
      <c r="Q23" s="204" t="s">
        <v>326</v>
      </c>
      <c r="R23" s="206"/>
      <c r="S23" s="193"/>
      <c r="T23" s="193"/>
      <c r="U23" s="193"/>
      <c r="V23" s="193"/>
      <c r="W23" s="193"/>
      <c r="X23" s="193"/>
      <c r="Y23" s="193"/>
      <c r="Z23" s="193"/>
    </row>
    <row r="24" spans="1:26" s="197" customFormat="1" ht="18.399999999999999" customHeight="1" thickBot="1">
      <c r="A24" s="261" t="s">
        <v>327</v>
      </c>
      <c r="B24" s="262" t="s">
        <v>328</v>
      </c>
      <c r="C24" s="263"/>
      <c r="D24" s="574"/>
      <c r="E24" s="575"/>
      <c r="F24" s="592"/>
      <c r="G24" s="593"/>
      <c r="H24" s="248" t="s">
        <v>329</v>
      </c>
      <c r="I24" s="231"/>
      <c r="J24" s="264" t="s">
        <v>174</v>
      </c>
      <c r="K24" s="265"/>
      <c r="Q24" s="266" t="s">
        <v>174</v>
      </c>
      <c r="R24" s="267"/>
      <c r="S24" s="193"/>
      <c r="T24" s="193"/>
      <c r="U24" s="193"/>
      <c r="V24" s="193"/>
      <c r="W24" s="193"/>
      <c r="X24" s="193"/>
      <c r="Y24" s="193"/>
      <c r="Z24" s="193"/>
    </row>
    <row r="25" spans="1:26" s="197" customFormat="1" ht="18.399999999999999" customHeight="1">
      <c r="A25" s="268" t="s">
        <v>330</v>
      </c>
      <c r="B25" s="269"/>
      <c r="C25" s="269"/>
      <c r="D25" s="270"/>
      <c r="E25" s="270" t="s">
        <v>331</v>
      </c>
      <c r="F25" s="592"/>
      <c r="G25" s="593"/>
      <c r="H25" s="248" t="s">
        <v>332</v>
      </c>
      <c r="I25" s="231"/>
      <c r="J25" s="271" t="s">
        <v>174</v>
      </c>
      <c r="K25" s="265"/>
      <c r="R25" s="193"/>
      <c r="S25" s="193"/>
      <c r="T25" s="193"/>
      <c r="U25" s="193"/>
      <c r="V25" s="193"/>
      <c r="W25" s="193"/>
      <c r="X25" s="193"/>
      <c r="Y25" s="193"/>
      <c r="Z25" s="193"/>
    </row>
    <row r="26" spans="1:26" s="197" customFormat="1" ht="18.399999999999999" customHeight="1">
      <c r="A26" s="272" t="s">
        <v>333</v>
      </c>
      <c r="B26" s="273"/>
      <c r="C26" s="274"/>
      <c r="D26" s="275" t="s">
        <v>386</v>
      </c>
      <c r="E26" s="275" t="s">
        <v>387</v>
      </c>
      <c r="F26" s="594"/>
      <c r="G26" s="595"/>
      <c r="H26" s="576"/>
      <c r="I26" s="577"/>
      <c r="J26" s="276"/>
      <c r="K26" s="277"/>
      <c r="R26" s="193"/>
      <c r="S26" s="193"/>
      <c r="T26" s="193"/>
      <c r="U26" s="193"/>
      <c r="V26" s="193"/>
      <c r="W26" s="193"/>
      <c r="X26" s="193"/>
      <c r="Y26" s="193"/>
      <c r="Z26" s="193"/>
    </row>
    <row r="27" spans="1:26" s="197" customFormat="1" ht="18.399999999999999" customHeight="1">
      <c r="A27" s="568" t="s">
        <v>334</v>
      </c>
      <c r="B27" s="569"/>
      <c r="C27" s="569"/>
      <c r="D27" s="569"/>
      <c r="E27" s="569"/>
      <c r="F27" s="578" t="s">
        <v>335</v>
      </c>
      <c r="G27" s="579"/>
      <c r="H27" s="579"/>
      <c r="I27" s="579"/>
      <c r="J27" s="579"/>
      <c r="K27" s="580"/>
      <c r="R27" s="193"/>
      <c r="S27" s="193"/>
      <c r="T27" s="193"/>
      <c r="U27" s="193"/>
      <c r="V27" s="193"/>
      <c r="W27" s="193"/>
      <c r="X27" s="193"/>
      <c r="Y27" s="193"/>
      <c r="Z27" s="193"/>
    </row>
    <row r="28" spans="1:26" s="197" customFormat="1" ht="18.399999999999999" customHeight="1">
      <c r="A28" s="562"/>
      <c r="B28" s="563"/>
      <c r="C28" s="563"/>
      <c r="D28" s="563"/>
      <c r="E28" s="564"/>
      <c r="F28" s="278"/>
      <c r="G28" s="279"/>
      <c r="H28" s="238" t="s">
        <v>336</v>
      </c>
      <c r="I28" s="280" t="s">
        <v>384</v>
      </c>
      <c r="J28" s="217">
        <v>2826</v>
      </c>
      <c r="K28" s="281" t="s">
        <v>174</v>
      </c>
      <c r="M28" s="197">
        <f>(J28/J18)*100</f>
        <v>511.03074141048825</v>
      </c>
      <c r="N28" s="282"/>
      <c r="R28" s="193"/>
      <c r="S28" s="193"/>
      <c r="T28" s="193"/>
      <c r="U28" s="193"/>
      <c r="V28" s="193"/>
      <c r="W28" s="193"/>
      <c r="X28" s="193"/>
      <c r="Y28" s="193"/>
      <c r="Z28" s="193"/>
    </row>
    <row r="29" spans="1:26" s="197" customFormat="1" ht="18.399999999999999" customHeight="1">
      <c r="A29" s="562"/>
      <c r="B29" s="563"/>
      <c r="C29" s="563"/>
      <c r="D29" s="563"/>
      <c r="E29" s="564"/>
      <c r="F29" s="283"/>
      <c r="G29" s="284"/>
      <c r="H29" s="238" t="s">
        <v>337</v>
      </c>
      <c r="I29" s="285">
        <v>60</v>
      </c>
      <c r="J29" s="217">
        <v>70</v>
      </c>
      <c r="K29" s="212" t="s">
        <v>174</v>
      </c>
      <c r="Q29" s="193"/>
      <c r="R29" s="193"/>
      <c r="S29" s="193"/>
      <c r="T29" s="193"/>
      <c r="U29" s="193"/>
      <c r="V29" s="193"/>
      <c r="W29" s="193"/>
      <c r="X29" s="193"/>
      <c r="Y29" s="193"/>
      <c r="Z29" s="193"/>
    </row>
    <row r="30" spans="1:26" s="197" customFormat="1" ht="18.399999999999999" customHeight="1">
      <c r="A30" s="562"/>
      <c r="B30" s="563"/>
      <c r="C30" s="563"/>
      <c r="D30" s="563"/>
      <c r="E30" s="564"/>
      <c r="F30" s="283"/>
      <c r="G30" s="284"/>
      <c r="H30" s="238" t="s">
        <v>338</v>
      </c>
      <c r="I30" s="285">
        <v>175</v>
      </c>
      <c r="J30" s="217">
        <v>177</v>
      </c>
      <c r="K30" s="212" t="s">
        <v>174</v>
      </c>
      <c r="L30" s="193"/>
      <c r="R30" s="193"/>
      <c r="S30" s="193"/>
      <c r="T30" s="193"/>
      <c r="U30" s="193"/>
      <c r="V30" s="193"/>
      <c r="W30" s="193"/>
      <c r="X30" s="193"/>
      <c r="Y30" s="193"/>
      <c r="Z30" s="193"/>
    </row>
    <row r="31" spans="1:26" s="197" customFormat="1" ht="18.399999999999999" customHeight="1">
      <c r="A31" s="562"/>
      <c r="B31" s="563"/>
      <c r="C31" s="563"/>
      <c r="D31" s="563"/>
      <c r="E31" s="564"/>
      <c r="F31" s="283"/>
      <c r="G31" s="284"/>
      <c r="H31" s="238" t="s">
        <v>339</v>
      </c>
      <c r="I31" s="239"/>
      <c r="J31" s="286">
        <v>0.51</v>
      </c>
      <c r="K31" s="212" t="s">
        <v>174</v>
      </c>
      <c r="L31" s="193"/>
      <c r="R31" s="193"/>
      <c r="S31" s="193"/>
      <c r="T31" s="193"/>
      <c r="U31" s="193"/>
      <c r="V31" s="193"/>
      <c r="W31" s="193"/>
      <c r="X31" s="193"/>
      <c r="Y31" s="193"/>
      <c r="Z31" s="193"/>
    </row>
    <row r="32" spans="1:26" s="197" customFormat="1" ht="18.399999999999999" customHeight="1">
      <c r="A32" s="565"/>
      <c r="B32" s="566"/>
      <c r="C32" s="566"/>
      <c r="D32" s="566"/>
      <c r="E32" s="567"/>
      <c r="F32" s="283"/>
      <c r="G32" s="287" t="s">
        <v>340</v>
      </c>
      <c r="H32" s="238" t="s">
        <v>341</v>
      </c>
      <c r="I32" s="288"/>
      <c r="J32" s="211">
        <v>96.3</v>
      </c>
      <c r="K32" s="212" t="s">
        <v>174</v>
      </c>
      <c r="L32" s="193"/>
      <c r="N32" s="289"/>
      <c r="R32" s="193"/>
      <c r="S32" s="193"/>
      <c r="T32" s="193"/>
      <c r="U32" s="193"/>
      <c r="V32" s="193"/>
      <c r="W32" s="193"/>
      <c r="X32" s="193"/>
      <c r="Y32" s="193"/>
      <c r="Z32" s="193"/>
    </row>
    <row r="33" spans="1:26" s="197" customFormat="1" ht="18.399999999999999" customHeight="1">
      <c r="A33" s="568" t="s">
        <v>342</v>
      </c>
      <c r="B33" s="569"/>
      <c r="C33" s="569"/>
      <c r="D33" s="569"/>
      <c r="E33" s="570"/>
      <c r="F33" s="290"/>
      <c r="G33" s="291"/>
      <c r="H33" s="292" t="s">
        <v>343</v>
      </c>
      <c r="I33" s="293"/>
      <c r="J33" s="294">
        <v>90.9</v>
      </c>
      <c r="K33" s="281" t="s">
        <v>174</v>
      </c>
      <c r="L33" s="193"/>
      <c r="R33" s="193"/>
      <c r="S33" s="193"/>
      <c r="T33" s="193"/>
      <c r="U33" s="193"/>
      <c r="V33" s="193"/>
      <c r="W33" s="193"/>
      <c r="X33" s="193"/>
      <c r="Y33" s="193"/>
      <c r="Z33" s="193"/>
    </row>
    <row r="34" spans="1:26" s="197" customFormat="1" ht="18.399999999999999" customHeight="1">
      <c r="A34" s="562"/>
      <c r="B34" s="563"/>
      <c r="C34" s="563"/>
      <c r="D34" s="563"/>
      <c r="E34" s="564"/>
      <c r="F34" s="213" t="s">
        <v>344</v>
      </c>
      <c r="G34" s="295"/>
      <c r="H34" s="296" t="s">
        <v>14</v>
      </c>
      <c r="I34" s="297"/>
      <c r="J34" s="298">
        <v>31937</v>
      </c>
      <c r="K34" s="281" t="s">
        <v>174</v>
      </c>
      <c r="L34" s="299"/>
      <c r="M34" s="300"/>
      <c r="R34" s="193"/>
      <c r="S34" s="193"/>
      <c r="T34" s="193"/>
      <c r="U34" s="193"/>
      <c r="V34" s="193"/>
      <c r="W34" s="193"/>
      <c r="X34" s="193"/>
      <c r="Y34" s="193"/>
      <c r="Z34" s="193"/>
    </row>
    <row r="35" spans="1:26" s="197" customFormat="1" ht="18.399999999999999" customHeight="1">
      <c r="A35" s="562"/>
      <c r="B35" s="563"/>
      <c r="C35" s="563"/>
      <c r="D35" s="563"/>
      <c r="E35" s="564"/>
      <c r="F35" s="232"/>
      <c r="G35" s="301"/>
      <c r="H35" s="302" t="s">
        <v>15</v>
      </c>
      <c r="I35" s="303"/>
      <c r="J35" s="217">
        <v>16910</v>
      </c>
      <c r="K35" s="281" t="s">
        <v>174</v>
      </c>
      <c r="M35" s="300"/>
      <c r="R35" s="193"/>
      <c r="S35" s="193"/>
      <c r="T35" s="193"/>
      <c r="U35" s="193"/>
      <c r="V35" s="193"/>
      <c r="W35" s="193"/>
      <c r="X35" s="193"/>
      <c r="Y35" s="193"/>
      <c r="Z35" s="193"/>
    </row>
    <row r="36" spans="1:26" s="197" customFormat="1" ht="18.399999999999999" customHeight="1">
      <c r="A36" s="562"/>
      <c r="B36" s="563"/>
      <c r="C36" s="563"/>
      <c r="D36" s="563"/>
      <c r="E36" s="564"/>
      <c r="F36" s="232"/>
      <c r="G36" s="301"/>
      <c r="H36" s="302" t="s">
        <v>345</v>
      </c>
      <c r="I36" s="303"/>
      <c r="J36" s="217">
        <v>19286</v>
      </c>
      <c r="K36" s="281" t="s">
        <v>174</v>
      </c>
      <c r="Q36" s="193"/>
      <c r="R36" s="193"/>
      <c r="S36" s="193"/>
      <c r="T36" s="193"/>
      <c r="U36" s="193"/>
      <c r="V36" s="193"/>
      <c r="W36" s="193"/>
      <c r="X36" s="193"/>
      <c r="Y36" s="193"/>
      <c r="Z36" s="193"/>
    </row>
    <row r="37" spans="1:26" s="197" customFormat="1" ht="18.399999999999999" customHeight="1">
      <c r="A37" s="562"/>
      <c r="B37" s="563"/>
      <c r="C37" s="563"/>
      <c r="D37" s="563"/>
      <c r="E37" s="564"/>
      <c r="F37" s="283"/>
      <c r="G37" s="301"/>
      <c r="H37" s="302" t="s">
        <v>346</v>
      </c>
      <c r="I37" s="303"/>
      <c r="J37" s="217">
        <v>27352</v>
      </c>
      <c r="K37" s="304" t="s">
        <v>174</v>
      </c>
      <c r="M37" s="305"/>
      <c r="R37" s="193"/>
      <c r="S37" s="193"/>
      <c r="T37" s="193"/>
      <c r="U37" s="193"/>
      <c r="V37" s="193"/>
      <c r="W37" s="193"/>
      <c r="X37" s="193"/>
      <c r="Y37" s="193"/>
      <c r="Z37" s="193"/>
    </row>
    <row r="38" spans="1:26" s="197" customFormat="1" ht="18.399999999999999" customHeight="1">
      <c r="A38" s="565"/>
      <c r="B38" s="566"/>
      <c r="C38" s="566"/>
      <c r="D38" s="566"/>
      <c r="E38" s="567"/>
      <c r="F38" s="240"/>
      <c r="G38" s="306"/>
      <c r="H38" s="307" t="s">
        <v>347</v>
      </c>
      <c r="I38" s="308"/>
      <c r="J38" s="309">
        <v>32228</v>
      </c>
      <c r="K38" s="281" t="s">
        <v>174</v>
      </c>
      <c r="R38" s="193"/>
      <c r="S38" s="193"/>
      <c r="T38" s="193"/>
      <c r="U38" s="193"/>
      <c r="V38" s="193"/>
      <c r="W38" s="193"/>
      <c r="X38" s="193"/>
      <c r="Y38" s="193"/>
      <c r="Z38" s="193"/>
    </row>
    <row r="39" spans="1:26" s="197" customFormat="1" ht="18.399999999999999" customHeight="1">
      <c r="A39" s="568" t="s">
        <v>348</v>
      </c>
      <c r="B39" s="569"/>
      <c r="C39" s="569"/>
      <c r="D39" s="569"/>
      <c r="E39" s="569"/>
      <c r="F39" s="310" t="s">
        <v>349</v>
      </c>
      <c r="G39" s="311" t="s">
        <v>399</v>
      </c>
      <c r="H39" s="311"/>
      <c r="I39" s="311"/>
      <c r="J39" s="311"/>
      <c r="K39" s="312"/>
      <c r="R39" s="193"/>
      <c r="S39" s="193"/>
      <c r="T39" s="193"/>
      <c r="U39" s="193"/>
      <c r="V39" s="193"/>
      <c r="W39" s="193"/>
      <c r="X39" s="193"/>
      <c r="Y39" s="193"/>
      <c r="Z39" s="193"/>
    </row>
    <row r="40" spans="1:26" s="197" customFormat="1" ht="18.399999999999999" customHeight="1">
      <c r="A40" s="562"/>
      <c r="B40" s="563"/>
      <c r="C40" s="563"/>
      <c r="D40" s="563"/>
      <c r="E40" s="564"/>
      <c r="F40" s="313"/>
      <c r="G40" s="314"/>
      <c r="H40" s="314" t="s">
        <v>390</v>
      </c>
      <c r="I40" s="314"/>
      <c r="J40" s="314"/>
      <c r="K40" s="315"/>
      <c r="R40" s="193"/>
      <c r="S40" s="193"/>
      <c r="T40" s="193"/>
      <c r="U40" s="193"/>
      <c r="V40" s="193"/>
      <c r="W40" s="193"/>
      <c r="X40" s="193"/>
      <c r="Y40" s="193"/>
      <c r="Z40" s="193"/>
    </row>
    <row r="41" spans="1:26" s="197" customFormat="1" ht="18.399999999999999" customHeight="1">
      <c r="A41" s="562"/>
      <c r="B41" s="563"/>
      <c r="C41" s="563"/>
      <c r="D41" s="563"/>
      <c r="E41" s="564"/>
      <c r="F41" s="313"/>
      <c r="G41" s="316"/>
      <c r="H41" s="316" t="s">
        <v>391</v>
      </c>
      <c r="I41" s="316"/>
      <c r="J41" s="316"/>
      <c r="K41" s="317"/>
      <c r="L41" s="318"/>
      <c r="R41" s="193"/>
      <c r="S41" s="193"/>
      <c r="T41" s="193"/>
      <c r="U41" s="193"/>
      <c r="V41" s="193"/>
      <c r="W41" s="193"/>
      <c r="X41" s="193"/>
      <c r="Y41" s="193"/>
      <c r="Z41" s="193"/>
    </row>
    <row r="42" spans="1:26" s="197" customFormat="1" ht="18.399999999999999" customHeight="1">
      <c r="A42" s="562"/>
      <c r="B42" s="563"/>
      <c r="C42" s="563"/>
      <c r="D42" s="563"/>
      <c r="E42" s="564"/>
      <c r="F42" s="313"/>
      <c r="G42" s="316"/>
      <c r="H42" s="316" t="s">
        <v>392</v>
      </c>
      <c r="I42" s="316"/>
      <c r="J42" s="316"/>
      <c r="K42" s="317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</row>
    <row r="43" spans="1:26" s="197" customFormat="1" ht="18.399999999999999" customHeight="1">
      <c r="A43" s="562"/>
      <c r="B43" s="563"/>
      <c r="C43" s="563"/>
      <c r="D43" s="563"/>
      <c r="E43" s="564"/>
      <c r="F43" s="313"/>
      <c r="G43" s="316"/>
      <c r="H43" s="316" t="s">
        <v>393</v>
      </c>
      <c r="I43" s="316"/>
      <c r="J43" s="316"/>
      <c r="K43" s="317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</row>
    <row r="44" spans="1:26" s="197" customFormat="1" ht="17.100000000000001" customHeight="1" thickBot="1">
      <c r="A44" s="571"/>
      <c r="B44" s="572"/>
      <c r="C44" s="572"/>
      <c r="D44" s="572"/>
      <c r="E44" s="573"/>
      <c r="F44" s="313"/>
      <c r="G44" s="316"/>
      <c r="H44" s="316" t="s">
        <v>394</v>
      </c>
      <c r="I44" s="316"/>
      <c r="J44" s="316"/>
      <c r="K44" s="317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</row>
    <row r="45" spans="1:26" s="197" customFormat="1" ht="17.100000000000001" customHeight="1">
      <c r="A45" s="319" t="s">
        <v>350</v>
      </c>
      <c r="B45" s="560" t="s">
        <v>395</v>
      </c>
      <c r="C45" s="561"/>
      <c r="D45" s="364" t="s">
        <v>351</v>
      </c>
      <c r="E45" s="365" t="s">
        <v>396</v>
      </c>
      <c r="F45" s="320"/>
      <c r="G45" s="316" t="s">
        <v>398</v>
      </c>
      <c r="H45" s="316"/>
      <c r="I45" s="316"/>
      <c r="J45" s="316"/>
      <c r="K45" s="317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</row>
    <row r="46" spans="1:26" s="197" customFormat="1" ht="17.100000000000001" customHeight="1" thickBot="1">
      <c r="A46" s="321" t="s">
        <v>352</v>
      </c>
      <c r="B46" s="558">
        <v>41360</v>
      </c>
      <c r="C46" s="559"/>
      <c r="D46" s="366" t="s">
        <v>352</v>
      </c>
      <c r="E46" s="367">
        <v>41347</v>
      </c>
      <c r="F46" s="322"/>
      <c r="G46" s="323" t="s">
        <v>397</v>
      </c>
      <c r="H46" s="323"/>
      <c r="I46" s="323"/>
      <c r="J46" s="323"/>
      <c r="K46" s="324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</row>
    <row r="47" spans="1:26" s="197" customFormat="1" ht="17.100000000000001" customHeight="1">
      <c r="F47" s="325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</row>
    <row r="48" spans="1:26" s="197" customFormat="1" ht="17.100000000000001" customHeight="1">
      <c r="F48" s="193"/>
      <c r="G48" s="193"/>
      <c r="H48" s="193"/>
      <c r="I48" s="193"/>
      <c r="J48" s="193"/>
      <c r="K48" s="193"/>
    </row>
    <row r="49" spans="2:26" ht="17.100000000000001" customHeight="1">
      <c r="F49" s="183"/>
      <c r="G49" s="183"/>
      <c r="H49" s="183"/>
      <c r="I49" s="183"/>
      <c r="J49" s="183"/>
      <c r="K49" s="183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spans="2:26">
      <c r="F50" s="183"/>
      <c r="G50" s="183"/>
      <c r="H50" s="183"/>
      <c r="I50" s="183"/>
      <c r="J50" s="183"/>
      <c r="K50" s="183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spans="2:26">
      <c r="F51" s="183"/>
      <c r="G51" s="183"/>
      <c r="H51" s="183"/>
      <c r="I51" s="183"/>
      <c r="J51" s="183"/>
      <c r="K51" s="183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spans="2:26"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spans="2:26">
      <c r="F53" s="183"/>
      <c r="G53" s="183"/>
      <c r="H53" s="183"/>
      <c r="I53" s="183"/>
      <c r="J53" s="183"/>
      <c r="K53" s="183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</sheetData>
  <mergeCells count="49">
    <mergeCell ref="A1:K1"/>
    <mergeCell ref="A2:K2"/>
    <mergeCell ref="A5:C5"/>
    <mergeCell ref="A6:C6"/>
    <mergeCell ref="D6:E6"/>
    <mergeCell ref="F6:K6"/>
    <mergeCell ref="J3:K3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F17:K17"/>
    <mergeCell ref="D18:E18"/>
    <mergeCell ref="F18:G26"/>
    <mergeCell ref="A19:C19"/>
    <mergeCell ref="A21:C21"/>
    <mergeCell ref="D19:E19"/>
    <mergeCell ref="D20:E20"/>
    <mergeCell ref="D22:E22"/>
    <mergeCell ref="D23:E23"/>
    <mergeCell ref="D21:E21"/>
    <mergeCell ref="F12:K12"/>
    <mergeCell ref="B46:C46"/>
    <mergeCell ref="B45:C45"/>
    <mergeCell ref="A28:E32"/>
    <mergeCell ref="A33:E33"/>
    <mergeCell ref="A34:E38"/>
    <mergeCell ref="A39:E39"/>
    <mergeCell ref="A40:E44"/>
    <mergeCell ref="D24:E24"/>
    <mergeCell ref="H26:I26"/>
    <mergeCell ref="A27:E27"/>
    <mergeCell ref="F27:K27"/>
    <mergeCell ref="A16:C16"/>
    <mergeCell ref="D16:E16"/>
    <mergeCell ref="D17:E17"/>
  </mergeCells>
  <dataValidations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40" zoomScale="75" zoomScaleNormal="75" workbookViewId="0"/>
  </sheetViews>
  <sheetFormatPr defaultColWidth="9.140625" defaultRowHeight="12.75"/>
  <cols>
    <col min="1" max="1" width="9.140625" style="331" customWidth="1"/>
    <col min="2" max="2" width="18.140625" style="331" customWidth="1"/>
    <col min="3" max="3" width="21.5703125" style="331" customWidth="1"/>
    <col min="4" max="4" width="21.28515625" style="331" bestFit="1" customWidth="1"/>
    <col min="5" max="5" width="6.85546875" style="331" bestFit="1" customWidth="1"/>
    <col min="6" max="6" width="29.85546875" style="331" customWidth="1"/>
    <col min="7" max="7" width="43.7109375" style="331" customWidth="1"/>
    <col min="8" max="8" width="17.140625" style="331" customWidth="1"/>
    <col min="9" max="9" width="7.85546875" style="331" customWidth="1"/>
    <col min="10" max="10" width="2.28515625" style="331" bestFit="1" customWidth="1"/>
    <col min="11" max="12" width="2.28515625" style="331" customWidth="1"/>
    <col min="13" max="13" width="2.5703125" style="331" bestFit="1" customWidth="1"/>
    <col min="14" max="14" width="2.28515625" style="331" bestFit="1" customWidth="1"/>
    <col min="15" max="16384" width="9.140625" style="331"/>
  </cols>
  <sheetData>
    <row r="1" spans="2:14" ht="12.75" customHeight="1">
      <c r="B1" s="326"/>
      <c r="C1" s="327"/>
      <c r="D1" s="327"/>
      <c r="E1" s="327"/>
      <c r="F1" s="327"/>
      <c r="G1" s="327"/>
      <c r="H1" s="328"/>
      <c r="I1" s="329"/>
      <c r="J1" s="330" t="s">
        <v>353</v>
      </c>
      <c r="K1" s="330" t="s">
        <v>354</v>
      </c>
      <c r="L1" s="330" t="s">
        <v>355</v>
      </c>
      <c r="M1" s="330" t="s">
        <v>354</v>
      </c>
      <c r="N1" s="330"/>
    </row>
    <row r="2" spans="2:14" ht="12.75" customHeight="1">
      <c r="B2" s="650" t="s">
        <v>356</v>
      </c>
      <c r="C2" s="651"/>
      <c r="D2" s="651"/>
      <c r="E2" s="651"/>
      <c r="F2" s="651"/>
      <c r="G2" s="651"/>
      <c r="H2" s="332"/>
      <c r="I2" s="333"/>
      <c r="J2" s="334" t="s">
        <v>357</v>
      </c>
      <c r="K2" s="334" t="s">
        <v>358</v>
      </c>
      <c r="L2" s="334" t="s">
        <v>359</v>
      </c>
      <c r="M2" s="334" t="s">
        <v>360</v>
      </c>
      <c r="N2" s="334" t="s">
        <v>361</v>
      </c>
    </row>
    <row r="3" spans="2:14" ht="12.75" customHeight="1">
      <c r="B3" s="650"/>
      <c r="C3" s="651"/>
      <c r="D3" s="651"/>
      <c r="E3" s="651"/>
      <c r="F3" s="651"/>
      <c r="G3" s="651"/>
      <c r="H3" s="332"/>
      <c r="I3" s="333"/>
      <c r="J3" s="334" t="s">
        <v>362</v>
      </c>
      <c r="K3" s="334"/>
      <c r="L3" s="334" t="s">
        <v>363</v>
      </c>
      <c r="M3" s="334" t="s">
        <v>353</v>
      </c>
      <c r="N3" s="334"/>
    </row>
    <row r="4" spans="2:14" ht="12.75" customHeight="1">
      <c r="B4" s="650"/>
      <c r="C4" s="651"/>
      <c r="D4" s="651"/>
      <c r="E4" s="651"/>
      <c r="F4" s="651"/>
      <c r="G4" s="651"/>
      <c r="H4" s="332"/>
      <c r="I4" s="333"/>
      <c r="J4" s="334" t="s">
        <v>364</v>
      </c>
      <c r="K4" s="334"/>
      <c r="L4" s="334" t="s">
        <v>359</v>
      </c>
      <c r="M4" s="334" t="s">
        <v>357</v>
      </c>
      <c r="N4" s="334"/>
    </row>
    <row r="5" spans="2:14" ht="12.75" customHeight="1">
      <c r="B5" s="335"/>
      <c r="C5" s="336"/>
      <c r="D5" s="336"/>
      <c r="E5" s="336"/>
      <c r="F5" s="336"/>
      <c r="G5" s="336"/>
      <c r="H5" s="332"/>
      <c r="I5" s="333"/>
      <c r="J5" s="334"/>
      <c r="K5" s="334" t="s">
        <v>365</v>
      </c>
      <c r="L5" s="334" t="s">
        <v>354</v>
      </c>
      <c r="M5" s="334"/>
      <c r="N5" s="334" t="s">
        <v>359</v>
      </c>
    </row>
    <row r="6" spans="2:14" ht="12" customHeight="1">
      <c r="B6" s="337"/>
      <c r="C6" s="338"/>
      <c r="D6" s="338"/>
      <c r="F6" s="338"/>
      <c r="H6" s="339"/>
      <c r="I6" s="333"/>
      <c r="J6" s="334" t="s">
        <v>358</v>
      </c>
      <c r="K6" s="334" t="s">
        <v>366</v>
      </c>
      <c r="L6" s="334"/>
      <c r="M6" s="334" t="s">
        <v>354</v>
      </c>
      <c r="N6" s="334" t="s">
        <v>367</v>
      </c>
    </row>
    <row r="7" spans="2:14" ht="12.75" customHeight="1">
      <c r="B7" s="337"/>
      <c r="D7" s="340"/>
      <c r="H7" s="339"/>
      <c r="I7" s="333"/>
      <c r="J7" s="334" t="s">
        <v>183</v>
      </c>
      <c r="K7" s="334" t="s">
        <v>362</v>
      </c>
      <c r="L7" s="334" t="s">
        <v>362</v>
      </c>
      <c r="M7" s="334" t="s">
        <v>357</v>
      </c>
      <c r="N7" s="334" t="s">
        <v>368</v>
      </c>
    </row>
    <row r="8" spans="2:14" ht="12.75" customHeight="1">
      <c r="B8" s="337"/>
      <c r="G8" s="340"/>
      <c r="H8" s="341"/>
      <c r="I8" s="334" t="s">
        <v>368</v>
      </c>
      <c r="J8" s="334" t="s">
        <v>354</v>
      </c>
      <c r="K8" s="334" t="s">
        <v>369</v>
      </c>
      <c r="L8" s="334" t="s">
        <v>357</v>
      </c>
      <c r="M8" s="334" t="s">
        <v>368</v>
      </c>
      <c r="N8" s="334" t="s">
        <v>366</v>
      </c>
    </row>
    <row r="9" spans="2:14">
      <c r="B9" s="334" t="s">
        <v>370</v>
      </c>
      <c r="C9" s="341" t="s">
        <v>371</v>
      </c>
      <c r="D9" s="341" t="s">
        <v>372</v>
      </c>
      <c r="E9" s="341" t="s">
        <v>373</v>
      </c>
      <c r="F9" s="334" t="s">
        <v>374</v>
      </c>
      <c r="G9" s="334" t="s">
        <v>375</v>
      </c>
      <c r="H9" s="334" t="s">
        <v>376</v>
      </c>
      <c r="I9" s="334" t="s">
        <v>364</v>
      </c>
      <c r="J9" s="334" t="s">
        <v>183</v>
      </c>
      <c r="K9" s="334" t="s">
        <v>357</v>
      </c>
      <c r="L9" s="334" t="s">
        <v>369</v>
      </c>
      <c r="M9" s="334" t="s">
        <v>354</v>
      </c>
      <c r="N9" s="334" t="s">
        <v>355</v>
      </c>
    </row>
    <row r="10" spans="2:14" ht="15" customHeight="1">
      <c r="B10" s="342"/>
      <c r="C10" s="343"/>
      <c r="D10" s="343"/>
      <c r="E10" s="343"/>
      <c r="F10" s="344"/>
      <c r="G10" s="345"/>
      <c r="H10" s="345"/>
      <c r="I10" s="346"/>
      <c r="J10" s="347"/>
      <c r="K10" s="347"/>
      <c r="L10" s="347"/>
      <c r="M10" s="347"/>
      <c r="N10" s="348"/>
    </row>
    <row r="11" spans="2:14" ht="15" customHeight="1">
      <c r="B11" s="342"/>
      <c r="C11" s="344"/>
      <c r="D11" s="344"/>
      <c r="E11" s="344"/>
      <c r="F11" s="344"/>
      <c r="G11" s="344"/>
      <c r="H11" s="344"/>
      <c r="I11" s="349"/>
      <c r="J11" s="347"/>
      <c r="K11" s="347"/>
      <c r="L11" s="347"/>
      <c r="M11" s="347"/>
      <c r="N11" s="348"/>
    </row>
    <row r="12" spans="2:14" ht="15" customHeight="1">
      <c r="B12" s="342"/>
      <c r="C12" s="344"/>
      <c r="D12" s="344"/>
      <c r="E12" s="344"/>
      <c r="F12" s="344"/>
      <c r="G12" s="344"/>
      <c r="H12" s="344"/>
      <c r="I12" s="349"/>
      <c r="J12" s="350"/>
      <c r="K12" s="347"/>
      <c r="L12" s="347"/>
      <c r="M12" s="347"/>
      <c r="N12" s="348"/>
    </row>
    <row r="13" spans="2:14" ht="15" customHeight="1">
      <c r="B13" s="342"/>
      <c r="C13" s="344"/>
      <c r="D13" s="344"/>
      <c r="E13" s="344"/>
      <c r="F13" s="344"/>
      <c r="G13" s="344"/>
      <c r="H13" s="344"/>
      <c r="I13" s="349"/>
      <c r="J13" s="347"/>
      <c r="K13" s="347"/>
      <c r="L13" s="347"/>
      <c r="M13" s="347"/>
      <c r="N13" s="348"/>
    </row>
    <row r="14" spans="2:14" ht="15" customHeight="1">
      <c r="B14" s="342"/>
      <c r="C14" s="344"/>
      <c r="D14" s="344"/>
      <c r="E14" s="344"/>
      <c r="F14" s="344"/>
      <c r="G14" s="344"/>
      <c r="H14" s="344"/>
      <c r="I14" s="349"/>
      <c r="J14" s="347"/>
      <c r="K14" s="347"/>
      <c r="L14" s="347"/>
      <c r="M14" s="347"/>
      <c r="N14" s="348"/>
    </row>
    <row r="15" spans="2:14" ht="15" customHeight="1">
      <c r="B15" s="342"/>
      <c r="C15" s="344"/>
      <c r="D15" s="344"/>
      <c r="E15" s="344"/>
      <c r="F15" s="344"/>
      <c r="G15" s="344"/>
      <c r="H15" s="344"/>
      <c r="I15" s="349"/>
      <c r="J15" s="347"/>
      <c r="K15" s="347"/>
      <c r="L15" s="347"/>
      <c r="M15" s="347"/>
      <c r="N15" s="348"/>
    </row>
    <row r="16" spans="2:14" ht="15" customHeight="1">
      <c r="B16" s="342"/>
      <c r="C16" s="344"/>
      <c r="D16" s="344"/>
      <c r="E16" s="344"/>
      <c r="F16" s="344"/>
      <c r="G16" s="344"/>
      <c r="H16" s="344"/>
      <c r="I16" s="349"/>
      <c r="J16" s="347"/>
      <c r="K16" s="347"/>
      <c r="L16" s="347"/>
      <c r="M16" s="347"/>
      <c r="N16" s="348"/>
    </row>
    <row r="17" spans="2:14" ht="15" customHeight="1">
      <c r="B17" s="342"/>
      <c r="C17" s="344"/>
      <c r="D17" s="344"/>
      <c r="E17" s="344"/>
      <c r="F17" s="344"/>
      <c r="G17" s="344"/>
      <c r="H17" s="344"/>
      <c r="I17" s="349"/>
      <c r="J17" s="347"/>
      <c r="K17" s="347"/>
      <c r="L17" s="347"/>
      <c r="M17" s="347"/>
      <c r="N17" s="348"/>
    </row>
    <row r="18" spans="2:14" ht="15" customHeight="1">
      <c r="B18" s="342"/>
      <c r="C18" s="344"/>
      <c r="D18" s="344"/>
      <c r="E18" s="344"/>
      <c r="F18" s="344"/>
      <c r="G18" s="344"/>
      <c r="H18" s="344"/>
      <c r="I18" s="349"/>
      <c r="J18" s="347"/>
      <c r="K18" s="347"/>
      <c r="L18" s="347"/>
      <c r="M18" s="347"/>
      <c r="N18" s="348"/>
    </row>
    <row r="19" spans="2:14" ht="15" customHeight="1">
      <c r="B19" s="342"/>
      <c r="C19" s="344"/>
      <c r="D19" s="344"/>
      <c r="E19" s="344"/>
      <c r="F19" s="344"/>
      <c r="G19" s="344"/>
      <c r="H19" s="344"/>
      <c r="I19" s="349"/>
      <c r="J19" s="347"/>
      <c r="K19" s="347"/>
      <c r="L19" s="347"/>
      <c r="M19" s="347"/>
      <c r="N19" s="348"/>
    </row>
    <row r="20" spans="2:14" ht="15" customHeight="1">
      <c r="B20" s="342"/>
      <c r="C20" s="344"/>
      <c r="D20" s="344"/>
      <c r="E20" s="344"/>
      <c r="F20" s="344"/>
      <c r="G20" s="344"/>
      <c r="H20" s="344"/>
      <c r="I20" s="349"/>
      <c r="J20" s="347"/>
      <c r="K20" s="347"/>
      <c r="L20" s="347"/>
      <c r="M20" s="347"/>
      <c r="N20" s="348"/>
    </row>
    <row r="21" spans="2:14" ht="15" customHeight="1">
      <c r="B21" s="342"/>
      <c r="C21" s="344"/>
      <c r="D21" s="344"/>
      <c r="E21" s="344"/>
      <c r="F21" s="344"/>
      <c r="G21" s="344"/>
      <c r="H21" s="344"/>
      <c r="I21" s="349"/>
      <c r="J21" s="347"/>
      <c r="K21" s="347"/>
      <c r="L21" s="347"/>
      <c r="M21" s="347"/>
      <c r="N21" s="348"/>
    </row>
    <row r="22" spans="2:14" ht="15" customHeight="1">
      <c r="B22" s="342"/>
      <c r="C22" s="344"/>
      <c r="D22" s="344"/>
      <c r="E22" s="344"/>
      <c r="F22" s="344"/>
      <c r="G22" s="344"/>
      <c r="H22" s="344"/>
      <c r="I22" s="349"/>
      <c r="J22" s="347"/>
      <c r="K22" s="347"/>
      <c r="L22" s="347"/>
      <c r="M22" s="347"/>
      <c r="N22" s="348"/>
    </row>
    <row r="23" spans="2:14" ht="15" customHeight="1">
      <c r="B23" s="342"/>
      <c r="C23" s="344"/>
      <c r="D23" s="344"/>
      <c r="E23" s="344"/>
      <c r="F23" s="344"/>
      <c r="G23" s="344"/>
      <c r="H23" s="344"/>
      <c r="I23" s="349"/>
      <c r="J23" s="347"/>
      <c r="K23" s="347"/>
      <c r="L23" s="347"/>
      <c r="M23" s="347"/>
      <c r="N23" s="348"/>
    </row>
    <row r="24" spans="2:14" ht="15" customHeight="1">
      <c r="B24" s="342"/>
      <c r="C24" s="344"/>
      <c r="D24" s="344"/>
      <c r="E24" s="344"/>
      <c r="F24" s="344"/>
      <c r="G24" s="344"/>
      <c r="H24" s="344"/>
      <c r="I24" s="349"/>
      <c r="J24" s="347"/>
      <c r="K24" s="347"/>
      <c r="L24" s="347"/>
      <c r="M24" s="347"/>
      <c r="N24" s="348"/>
    </row>
    <row r="25" spans="2:14" ht="15" customHeight="1">
      <c r="B25" s="342"/>
      <c r="C25" s="344"/>
      <c r="D25" s="344"/>
      <c r="E25" s="344"/>
      <c r="F25" s="344"/>
      <c r="G25" s="344"/>
      <c r="H25" s="344"/>
      <c r="I25" s="349"/>
      <c r="J25" s="347"/>
      <c r="K25" s="347"/>
      <c r="L25" s="347"/>
      <c r="M25" s="347"/>
      <c r="N25" s="348"/>
    </row>
    <row r="26" spans="2:14" ht="15" customHeight="1">
      <c r="B26" s="342"/>
      <c r="C26" s="344"/>
      <c r="D26" s="344"/>
      <c r="E26" s="344"/>
      <c r="F26" s="344"/>
      <c r="G26" s="344"/>
      <c r="H26" s="344"/>
      <c r="I26" s="349"/>
      <c r="J26" s="347"/>
      <c r="K26" s="347"/>
      <c r="L26" s="347"/>
      <c r="M26" s="347"/>
      <c r="N26" s="348"/>
    </row>
    <row r="27" spans="2:14" ht="15" customHeight="1">
      <c r="B27" s="342"/>
      <c r="C27" s="344"/>
      <c r="D27" s="344"/>
      <c r="E27" s="344"/>
      <c r="F27" s="344"/>
      <c r="G27" s="344"/>
      <c r="H27" s="344"/>
      <c r="I27" s="349"/>
      <c r="J27" s="347"/>
      <c r="K27" s="347"/>
      <c r="L27" s="347"/>
      <c r="M27" s="347"/>
      <c r="N27" s="348"/>
    </row>
    <row r="28" spans="2:14" ht="15" customHeight="1">
      <c r="B28" s="342"/>
      <c r="C28" s="344"/>
      <c r="D28" s="344"/>
      <c r="E28" s="344"/>
      <c r="F28" s="344"/>
      <c r="G28" s="344"/>
      <c r="H28" s="344"/>
      <c r="I28" s="349"/>
      <c r="J28" s="347"/>
      <c r="K28" s="347"/>
      <c r="L28" s="347"/>
      <c r="M28" s="347"/>
      <c r="N28" s="348"/>
    </row>
    <row r="29" spans="2:14" ht="15" customHeight="1">
      <c r="B29" s="342"/>
      <c r="C29" s="344"/>
      <c r="D29" s="344"/>
      <c r="E29" s="344"/>
      <c r="F29" s="344"/>
      <c r="G29" s="344"/>
      <c r="H29" s="344"/>
      <c r="I29" s="349"/>
      <c r="J29" s="347"/>
      <c r="K29" s="347"/>
      <c r="L29" s="347"/>
      <c r="M29" s="347"/>
      <c r="N29" s="348"/>
    </row>
    <row r="30" spans="2:14" ht="15" customHeight="1">
      <c r="B30" s="342"/>
      <c r="C30" s="344"/>
      <c r="D30" s="344"/>
      <c r="E30" s="344"/>
      <c r="F30" s="344"/>
      <c r="G30" s="344"/>
      <c r="H30" s="344"/>
      <c r="I30" s="349"/>
      <c r="J30" s="347"/>
      <c r="K30" s="347"/>
      <c r="L30" s="347"/>
      <c r="M30" s="347"/>
      <c r="N30" s="348"/>
    </row>
    <row r="31" spans="2:14" ht="15" customHeight="1">
      <c r="B31" s="342"/>
      <c r="C31" s="344"/>
      <c r="D31" s="344"/>
      <c r="E31" s="344"/>
      <c r="F31" s="344"/>
      <c r="G31" s="344"/>
      <c r="H31" s="344"/>
      <c r="I31" s="349"/>
      <c r="J31" s="347"/>
      <c r="K31" s="347"/>
      <c r="L31" s="347"/>
      <c r="M31" s="347"/>
      <c r="N31" s="348"/>
    </row>
    <row r="32" spans="2:14" ht="15" customHeight="1">
      <c r="B32" s="342"/>
      <c r="C32" s="344"/>
      <c r="D32" s="344"/>
      <c r="E32" s="344"/>
      <c r="F32" s="344"/>
      <c r="G32" s="344"/>
      <c r="H32" s="344"/>
      <c r="I32" s="349"/>
      <c r="J32" s="347"/>
      <c r="K32" s="347"/>
      <c r="L32" s="347"/>
      <c r="M32" s="347"/>
      <c r="N32" s="348"/>
    </row>
    <row r="33" spans="2:14" ht="15" customHeight="1">
      <c r="B33" s="342"/>
      <c r="C33" s="344"/>
      <c r="D33" s="344"/>
      <c r="E33" s="344"/>
      <c r="F33" s="344"/>
      <c r="G33" s="344"/>
      <c r="H33" s="344"/>
      <c r="I33" s="349"/>
      <c r="J33" s="347"/>
      <c r="K33" s="347"/>
      <c r="L33" s="347"/>
      <c r="M33" s="347"/>
      <c r="N33" s="348"/>
    </row>
    <row r="34" spans="2:14" ht="15" customHeight="1">
      <c r="B34" s="342"/>
      <c r="C34" s="344"/>
      <c r="D34" s="344"/>
      <c r="E34" s="344"/>
      <c r="F34" s="344"/>
      <c r="G34" s="344"/>
      <c r="H34" s="344"/>
      <c r="I34" s="349"/>
      <c r="J34" s="347"/>
      <c r="K34" s="347"/>
      <c r="L34" s="347"/>
      <c r="M34" s="347"/>
      <c r="N34" s="348"/>
    </row>
    <row r="35" spans="2:14" ht="15" customHeight="1">
      <c r="B35" s="342"/>
      <c r="C35" s="344"/>
      <c r="D35" s="344"/>
      <c r="E35" s="344"/>
      <c r="F35" s="344"/>
      <c r="G35" s="344"/>
      <c r="H35" s="344"/>
      <c r="I35" s="349"/>
      <c r="J35" s="347"/>
      <c r="K35" s="347"/>
      <c r="L35" s="347"/>
      <c r="M35" s="347"/>
      <c r="N35" s="348"/>
    </row>
    <row r="36" spans="2:14" ht="15" customHeight="1">
      <c r="B36" s="342"/>
      <c r="C36" s="344"/>
      <c r="D36" s="344"/>
      <c r="E36" s="344"/>
      <c r="F36" s="344"/>
      <c r="G36" s="344"/>
      <c r="H36" s="344"/>
      <c r="I36" s="349"/>
      <c r="J36" s="347"/>
      <c r="K36" s="347"/>
      <c r="L36" s="347"/>
      <c r="M36" s="347"/>
      <c r="N36" s="348"/>
    </row>
    <row r="37" spans="2:14" ht="15" customHeight="1">
      <c r="B37" s="342"/>
      <c r="C37" s="344"/>
      <c r="D37" s="344"/>
      <c r="E37" s="344"/>
      <c r="F37" s="344"/>
      <c r="G37" s="344"/>
      <c r="H37" s="344"/>
      <c r="I37" s="349"/>
      <c r="J37" s="347"/>
      <c r="K37" s="347"/>
      <c r="L37" s="347"/>
      <c r="M37" s="347"/>
      <c r="N37" s="348"/>
    </row>
    <row r="38" spans="2:14" ht="15" customHeight="1">
      <c r="B38" s="342"/>
      <c r="C38" s="344"/>
      <c r="D38" s="344"/>
      <c r="E38" s="344"/>
      <c r="F38" s="344"/>
      <c r="G38" s="344"/>
      <c r="H38" s="344"/>
      <c r="I38" s="349"/>
      <c r="J38" s="347"/>
      <c r="K38" s="347"/>
      <c r="L38" s="347"/>
      <c r="M38" s="347"/>
      <c r="N38" s="348"/>
    </row>
    <row r="39" spans="2:14" ht="15" customHeight="1">
      <c r="B39" s="342"/>
      <c r="C39" s="344"/>
      <c r="D39" s="344"/>
      <c r="E39" s="344"/>
      <c r="F39" s="344"/>
      <c r="G39" s="344"/>
      <c r="H39" s="344"/>
      <c r="I39" s="349"/>
      <c r="J39" s="347"/>
      <c r="K39" s="347"/>
      <c r="L39" s="347"/>
      <c r="M39" s="347"/>
      <c r="N39" s="348"/>
    </row>
    <row r="40" spans="2:14" ht="15" customHeight="1">
      <c r="B40" s="342"/>
      <c r="C40" s="344"/>
      <c r="D40" s="344"/>
      <c r="E40" s="344"/>
      <c r="F40" s="344"/>
      <c r="G40" s="344"/>
      <c r="H40" s="344"/>
      <c r="I40" s="349"/>
      <c r="J40" s="347"/>
      <c r="K40" s="347"/>
      <c r="L40" s="347"/>
      <c r="M40" s="347"/>
      <c r="N40" s="348"/>
    </row>
    <row r="41" spans="2:14" ht="15" customHeight="1">
      <c r="B41" s="342"/>
      <c r="C41" s="344"/>
      <c r="D41" s="344"/>
      <c r="E41" s="344"/>
      <c r="F41" s="344"/>
      <c r="G41" s="344"/>
      <c r="H41" s="344"/>
      <c r="I41" s="349"/>
      <c r="J41" s="347"/>
      <c r="K41" s="347"/>
      <c r="L41" s="347"/>
      <c r="M41" s="347"/>
      <c r="N41" s="348"/>
    </row>
    <row r="42" spans="2:14" ht="15" customHeight="1">
      <c r="B42" s="342"/>
      <c r="C42" s="344"/>
      <c r="D42" s="344"/>
      <c r="E42" s="344"/>
      <c r="F42" s="344"/>
      <c r="G42" s="344"/>
      <c r="H42" s="344"/>
      <c r="I42" s="349"/>
      <c r="J42" s="347"/>
      <c r="K42" s="347"/>
      <c r="L42" s="347"/>
      <c r="M42" s="347"/>
      <c r="N42" s="348"/>
    </row>
    <row r="43" spans="2:14" ht="15" customHeight="1">
      <c r="B43" s="342"/>
      <c r="C43" s="344"/>
      <c r="D43" s="344"/>
      <c r="E43" s="344"/>
      <c r="F43" s="344"/>
      <c r="G43" s="344"/>
      <c r="H43" s="344"/>
      <c r="I43" s="349"/>
      <c r="J43" s="347"/>
      <c r="K43" s="347"/>
      <c r="L43" s="347"/>
      <c r="M43" s="347"/>
      <c r="N43" s="348"/>
    </row>
    <row r="44" spans="2:14" ht="15" customHeight="1">
      <c r="B44" s="342"/>
      <c r="C44" s="344"/>
      <c r="D44" s="344"/>
      <c r="E44" s="344"/>
      <c r="F44" s="344"/>
      <c r="G44" s="344"/>
      <c r="H44" s="344"/>
      <c r="I44" s="349"/>
      <c r="J44" s="347"/>
      <c r="K44" s="347"/>
      <c r="L44" s="347"/>
      <c r="M44" s="347"/>
      <c r="N44" s="348"/>
    </row>
    <row r="45" spans="2:14" ht="15" customHeight="1">
      <c r="B45" s="342"/>
      <c r="C45" s="344"/>
      <c r="D45" s="344"/>
      <c r="E45" s="344"/>
      <c r="F45" s="344"/>
      <c r="G45" s="344"/>
      <c r="H45" s="344"/>
      <c r="I45" s="349"/>
      <c r="J45" s="347"/>
      <c r="K45" s="347"/>
      <c r="L45" s="347"/>
      <c r="M45" s="347"/>
      <c r="N45" s="348"/>
    </row>
    <row r="46" spans="2:14" ht="15" customHeight="1">
      <c r="B46" s="342"/>
      <c r="C46" s="344"/>
      <c r="D46" s="344"/>
      <c r="E46" s="344"/>
      <c r="F46" s="344"/>
      <c r="G46" s="344"/>
      <c r="H46" s="344"/>
      <c r="I46" s="349"/>
      <c r="J46" s="347"/>
      <c r="K46" s="347"/>
      <c r="L46" s="347"/>
      <c r="M46" s="347"/>
      <c r="N46" s="348"/>
    </row>
    <row r="47" spans="2:14" ht="15" customHeight="1">
      <c r="B47" s="342"/>
      <c r="C47" s="344"/>
      <c r="D47" s="344"/>
      <c r="E47" s="344"/>
      <c r="F47" s="344"/>
      <c r="G47" s="344"/>
      <c r="H47" s="344"/>
      <c r="I47" s="349"/>
      <c r="J47" s="347"/>
      <c r="K47" s="347"/>
      <c r="L47" s="347"/>
      <c r="M47" s="347"/>
      <c r="N47" s="348"/>
    </row>
    <row r="48" spans="2:14" ht="15" customHeight="1">
      <c r="B48" s="342"/>
      <c r="C48" s="344"/>
      <c r="D48" s="344"/>
      <c r="E48" s="344"/>
      <c r="F48" s="344"/>
      <c r="G48" s="344"/>
      <c r="H48" s="344"/>
      <c r="I48" s="349"/>
      <c r="J48" s="347"/>
      <c r="K48" s="347"/>
      <c r="L48" s="347"/>
      <c r="M48" s="347"/>
      <c r="N48" s="348"/>
    </row>
    <row r="49" spans="2:14" ht="15" customHeight="1">
      <c r="B49" s="342"/>
      <c r="C49" s="344"/>
      <c r="D49" s="344"/>
      <c r="E49" s="344"/>
      <c r="F49" s="344"/>
      <c r="G49" s="344"/>
      <c r="H49" s="344"/>
      <c r="I49" s="349"/>
      <c r="J49" s="347"/>
      <c r="K49" s="347"/>
      <c r="L49" s="347"/>
      <c r="M49" s="347"/>
      <c r="N49" s="348"/>
    </row>
    <row r="50" spans="2:14" ht="15" customHeight="1">
      <c r="B50" s="342"/>
      <c r="C50" s="344"/>
      <c r="D50" s="344"/>
      <c r="E50" s="344"/>
      <c r="F50" s="344"/>
      <c r="G50" s="344"/>
      <c r="H50" s="344"/>
      <c r="I50" s="349"/>
      <c r="J50" s="347"/>
      <c r="K50" s="347"/>
      <c r="L50" s="347"/>
      <c r="M50" s="347"/>
      <c r="N50" s="348"/>
    </row>
    <row r="51" spans="2:14" ht="15" customHeight="1">
      <c r="B51" s="342"/>
      <c r="C51" s="344"/>
      <c r="D51" s="344"/>
      <c r="E51" s="344"/>
      <c r="F51" s="344"/>
      <c r="G51" s="344"/>
      <c r="H51" s="344"/>
      <c r="I51" s="349"/>
      <c r="J51" s="347"/>
      <c r="K51" s="347"/>
      <c r="L51" s="347"/>
      <c r="M51" s="347"/>
      <c r="N51" s="348"/>
    </row>
    <row r="52" spans="2:14" ht="15" customHeight="1" thickBot="1">
      <c r="B52" s="351"/>
      <c r="C52" s="352"/>
      <c r="D52" s="352"/>
      <c r="E52" s="352"/>
      <c r="F52" s="352"/>
      <c r="G52" s="352"/>
      <c r="H52" s="352"/>
      <c r="I52" s="353"/>
      <c r="J52" s="354"/>
      <c r="K52" s="354"/>
      <c r="L52" s="354"/>
      <c r="M52" s="354"/>
      <c r="N52" s="355"/>
    </row>
    <row r="53" spans="2:14" ht="20.25" customHeight="1" thickBot="1">
      <c r="B53" s="652" t="s">
        <v>377</v>
      </c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</row>
    <row r="54" spans="2:14" ht="15" customHeight="1" thickBot="1">
      <c r="B54" s="356" t="s">
        <v>378</v>
      </c>
      <c r="C54" s="653" t="s">
        <v>375</v>
      </c>
      <c r="D54" s="654"/>
      <c r="E54" s="654"/>
      <c r="F54" s="654"/>
      <c r="G54" s="654"/>
      <c r="H54" s="357"/>
      <c r="I54" s="653" t="s">
        <v>370</v>
      </c>
      <c r="J54" s="654"/>
      <c r="K54" s="655"/>
      <c r="L54" s="653" t="s">
        <v>379</v>
      </c>
      <c r="M54" s="654"/>
      <c r="N54" s="656"/>
    </row>
    <row r="55" spans="2:14" ht="15" customHeight="1">
      <c r="B55" s="358"/>
      <c r="C55" s="642"/>
      <c r="D55" s="643"/>
      <c r="E55" s="643"/>
      <c r="F55" s="643"/>
      <c r="G55" s="643"/>
      <c r="H55" s="359"/>
      <c r="I55" s="644"/>
      <c r="J55" s="645"/>
      <c r="K55" s="646"/>
      <c r="L55" s="647"/>
      <c r="M55" s="648"/>
      <c r="N55" s="649"/>
    </row>
    <row r="56" spans="2:14" ht="15" customHeight="1">
      <c r="B56" s="360"/>
      <c r="C56" s="626"/>
      <c r="D56" s="627"/>
      <c r="E56" s="627"/>
      <c r="F56" s="627"/>
      <c r="G56" s="627"/>
      <c r="H56" s="361"/>
      <c r="I56" s="628"/>
      <c r="J56" s="629"/>
      <c r="K56" s="630"/>
      <c r="L56" s="631"/>
      <c r="M56" s="632"/>
      <c r="N56" s="633"/>
    </row>
    <row r="57" spans="2:14" ht="15" customHeight="1">
      <c r="B57" s="360"/>
      <c r="C57" s="626"/>
      <c r="D57" s="627"/>
      <c r="E57" s="627"/>
      <c r="F57" s="627"/>
      <c r="G57" s="627"/>
      <c r="H57" s="361"/>
      <c r="I57" s="628"/>
      <c r="J57" s="629"/>
      <c r="K57" s="630"/>
      <c r="L57" s="631"/>
      <c r="M57" s="632"/>
      <c r="N57" s="633"/>
    </row>
    <row r="58" spans="2:14" ht="15" customHeight="1">
      <c r="B58" s="360"/>
      <c r="C58" s="626"/>
      <c r="D58" s="627"/>
      <c r="E58" s="627"/>
      <c r="F58" s="627"/>
      <c r="G58" s="627"/>
      <c r="H58" s="361"/>
      <c r="I58" s="628"/>
      <c r="J58" s="629"/>
      <c r="K58" s="630"/>
      <c r="L58" s="631"/>
      <c r="M58" s="632"/>
      <c r="N58" s="633"/>
    </row>
    <row r="59" spans="2:14" ht="15" customHeight="1">
      <c r="B59" s="360"/>
      <c r="C59" s="626"/>
      <c r="D59" s="627"/>
      <c r="E59" s="627"/>
      <c r="F59" s="627"/>
      <c r="G59" s="627"/>
      <c r="H59" s="361"/>
      <c r="I59" s="628"/>
      <c r="J59" s="629"/>
      <c r="K59" s="630"/>
      <c r="L59" s="631"/>
      <c r="M59" s="632"/>
      <c r="N59" s="633"/>
    </row>
    <row r="60" spans="2:14" ht="15" customHeight="1">
      <c r="B60" s="360"/>
      <c r="C60" s="626"/>
      <c r="D60" s="627"/>
      <c r="E60" s="627"/>
      <c r="F60" s="627"/>
      <c r="G60" s="627"/>
      <c r="H60" s="361"/>
      <c r="I60" s="628"/>
      <c r="J60" s="629"/>
      <c r="K60" s="630"/>
      <c r="L60" s="631"/>
      <c r="M60" s="632"/>
      <c r="N60" s="633"/>
    </row>
    <row r="61" spans="2:14" ht="15" customHeight="1">
      <c r="B61" s="360"/>
      <c r="C61" s="626"/>
      <c r="D61" s="627"/>
      <c r="E61" s="627"/>
      <c r="F61" s="627"/>
      <c r="G61" s="627"/>
      <c r="H61" s="361"/>
      <c r="I61" s="628"/>
      <c r="J61" s="629"/>
      <c r="K61" s="630"/>
      <c r="L61" s="631"/>
      <c r="M61" s="632"/>
      <c r="N61" s="633"/>
    </row>
    <row r="62" spans="2:14" ht="15" customHeight="1">
      <c r="B62" s="360"/>
      <c r="C62" s="626"/>
      <c r="D62" s="627"/>
      <c r="E62" s="627"/>
      <c r="F62" s="627"/>
      <c r="G62" s="627"/>
      <c r="H62" s="361"/>
      <c r="I62" s="628"/>
      <c r="J62" s="629"/>
      <c r="K62" s="630"/>
      <c r="L62" s="631"/>
      <c r="M62" s="632"/>
      <c r="N62" s="633"/>
    </row>
    <row r="63" spans="2:14" ht="15" customHeight="1">
      <c r="B63" s="360"/>
      <c r="C63" s="626"/>
      <c r="D63" s="627"/>
      <c r="E63" s="627"/>
      <c r="F63" s="627"/>
      <c r="G63" s="627"/>
      <c r="H63" s="361"/>
      <c r="I63" s="628"/>
      <c r="J63" s="629"/>
      <c r="K63" s="630"/>
      <c r="L63" s="631"/>
      <c r="M63" s="632"/>
      <c r="N63" s="633"/>
    </row>
    <row r="64" spans="2:14" ht="15" customHeight="1">
      <c r="B64" s="360"/>
      <c r="C64" s="626"/>
      <c r="D64" s="627"/>
      <c r="E64" s="627"/>
      <c r="F64" s="627"/>
      <c r="G64" s="627"/>
      <c r="H64" s="361"/>
      <c r="I64" s="628"/>
      <c r="J64" s="629"/>
      <c r="K64" s="630"/>
      <c r="L64" s="631"/>
      <c r="M64" s="632"/>
      <c r="N64" s="633"/>
    </row>
    <row r="65" spans="2:14" ht="15" customHeight="1">
      <c r="B65" s="360"/>
      <c r="C65" s="626"/>
      <c r="D65" s="627"/>
      <c r="E65" s="627"/>
      <c r="F65" s="627"/>
      <c r="G65" s="627"/>
      <c r="H65" s="361"/>
      <c r="I65" s="628"/>
      <c r="J65" s="629"/>
      <c r="K65" s="630"/>
      <c r="L65" s="631"/>
      <c r="M65" s="632"/>
      <c r="N65" s="633"/>
    </row>
    <row r="66" spans="2:14" ht="15" customHeight="1">
      <c r="B66" s="360"/>
      <c r="C66" s="626"/>
      <c r="D66" s="627"/>
      <c r="E66" s="627"/>
      <c r="F66" s="627"/>
      <c r="G66" s="627"/>
      <c r="H66" s="361"/>
      <c r="I66" s="628"/>
      <c r="J66" s="629"/>
      <c r="K66" s="630"/>
      <c r="L66" s="631"/>
      <c r="M66" s="632"/>
      <c r="N66" s="633"/>
    </row>
    <row r="67" spans="2:14" ht="15" customHeight="1">
      <c r="B67" s="360"/>
      <c r="C67" s="626"/>
      <c r="D67" s="627"/>
      <c r="E67" s="627"/>
      <c r="F67" s="627"/>
      <c r="G67" s="627"/>
      <c r="H67" s="361"/>
      <c r="I67" s="628"/>
      <c r="J67" s="629"/>
      <c r="K67" s="630"/>
      <c r="L67" s="631"/>
      <c r="M67" s="632"/>
      <c r="N67" s="633"/>
    </row>
    <row r="68" spans="2:14" ht="15" customHeight="1">
      <c r="B68" s="360"/>
      <c r="C68" s="626"/>
      <c r="D68" s="627"/>
      <c r="E68" s="627"/>
      <c r="F68" s="627"/>
      <c r="G68" s="627"/>
      <c r="H68" s="361"/>
      <c r="I68" s="628"/>
      <c r="J68" s="629"/>
      <c r="K68" s="630"/>
      <c r="L68" s="631"/>
      <c r="M68" s="632"/>
      <c r="N68" s="633"/>
    </row>
    <row r="69" spans="2:14" ht="15" customHeight="1">
      <c r="B69" s="360"/>
      <c r="C69" s="626"/>
      <c r="D69" s="627"/>
      <c r="E69" s="627"/>
      <c r="F69" s="627"/>
      <c r="G69" s="627"/>
      <c r="H69" s="361"/>
      <c r="I69" s="628"/>
      <c r="J69" s="629"/>
      <c r="K69" s="630"/>
      <c r="L69" s="631"/>
      <c r="M69" s="632"/>
      <c r="N69" s="633"/>
    </row>
    <row r="70" spans="2:14" ht="15" customHeight="1">
      <c r="B70" s="360"/>
      <c r="C70" s="626"/>
      <c r="D70" s="627"/>
      <c r="E70" s="627"/>
      <c r="F70" s="627"/>
      <c r="G70" s="627"/>
      <c r="H70" s="361"/>
      <c r="I70" s="628"/>
      <c r="J70" s="629"/>
      <c r="K70" s="630"/>
      <c r="L70" s="631"/>
      <c r="M70" s="632"/>
      <c r="N70" s="633"/>
    </row>
    <row r="71" spans="2:14" ht="15" customHeight="1">
      <c r="B71" s="360"/>
      <c r="C71" s="626"/>
      <c r="D71" s="627"/>
      <c r="E71" s="627"/>
      <c r="F71" s="627"/>
      <c r="G71" s="627"/>
      <c r="H71" s="361"/>
      <c r="I71" s="628"/>
      <c r="J71" s="629"/>
      <c r="K71" s="630"/>
      <c r="L71" s="631"/>
      <c r="M71" s="632"/>
      <c r="N71" s="633"/>
    </row>
    <row r="72" spans="2:14">
      <c r="B72" s="360"/>
      <c r="C72" s="626"/>
      <c r="D72" s="627"/>
      <c r="E72" s="627"/>
      <c r="F72" s="627"/>
      <c r="G72" s="627"/>
      <c r="H72" s="361"/>
      <c r="I72" s="628"/>
      <c r="J72" s="629"/>
      <c r="K72" s="630"/>
      <c r="L72" s="631"/>
      <c r="M72" s="632"/>
      <c r="N72" s="633"/>
    </row>
    <row r="73" spans="2:14">
      <c r="B73" s="360"/>
      <c r="C73" s="626"/>
      <c r="D73" s="627"/>
      <c r="E73" s="627"/>
      <c r="F73" s="627"/>
      <c r="G73" s="627"/>
      <c r="H73" s="361"/>
      <c r="I73" s="628"/>
      <c r="J73" s="629"/>
      <c r="K73" s="630"/>
      <c r="L73" s="631"/>
      <c r="M73" s="632"/>
      <c r="N73" s="633"/>
    </row>
    <row r="74" spans="2:14">
      <c r="B74" s="360"/>
      <c r="C74" s="626"/>
      <c r="D74" s="627"/>
      <c r="E74" s="627"/>
      <c r="F74" s="627"/>
      <c r="G74" s="627"/>
      <c r="H74" s="361"/>
      <c r="I74" s="628"/>
      <c r="J74" s="629"/>
      <c r="K74" s="630"/>
      <c r="L74" s="631"/>
      <c r="M74" s="632"/>
      <c r="N74" s="633"/>
    </row>
    <row r="75" spans="2:14">
      <c r="B75" s="360"/>
      <c r="C75" s="626"/>
      <c r="D75" s="627"/>
      <c r="E75" s="627"/>
      <c r="F75" s="627"/>
      <c r="G75" s="627"/>
      <c r="H75" s="361"/>
      <c r="I75" s="628"/>
      <c r="J75" s="629"/>
      <c r="K75" s="630"/>
      <c r="L75" s="631"/>
      <c r="M75" s="632"/>
      <c r="N75" s="633"/>
    </row>
    <row r="76" spans="2:14">
      <c r="B76" s="360"/>
      <c r="C76" s="626"/>
      <c r="D76" s="627"/>
      <c r="E76" s="627"/>
      <c r="F76" s="627"/>
      <c r="G76" s="627"/>
      <c r="H76" s="361"/>
      <c r="I76" s="628"/>
      <c r="J76" s="629"/>
      <c r="K76" s="630"/>
      <c r="L76" s="631"/>
      <c r="M76" s="632"/>
      <c r="N76" s="633"/>
    </row>
    <row r="77" spans="2:14">
      <c r="B77" s="360"/>
      <c r="C77" s="626"/>
      <c r="D77" s="627"/>
      <c r="E77" s="627"/>
      <c r="F77" s="627"/>
      <c r="G77" s="627"/>
      <c r="H77" s="361"/>
      <c r="I77" s="628"/>
      <c r="J77" s="629"/>
      <c r="K77" s="630"/>
      <c r="L77" s="631"/>
      <c r="M77" s="632"/>
      <c r="N77" s="633"/>
    </row>
    <row r="78" spans="2:14">
      <c r="B78" s="360"/>
      <c r="C78" s="626"/>
      <c r="D78" s="627"/>
      <c r="E78" s="627"/>
      <c r="F78" s="627"/>
      <c r="G78" s="627"/>
      <c r="H78" s="361"/>
      <c r="I78" s="628"/>
      <c r="J78" s="629"/>
      <c r="K78" s="630"/>
      <c r="L78" s="631"/>
      <c r="M78" s="632"/>
      <c r="N78" s="633"/>
    </row>
    <row r="79" spans="2:14" ht="13.5" thickBot="1">
      <c r="B79" s="362"/>
      <c r="C79" s="634"/>
      <c r="D79" s="635"/>
      <c r="E79" s="635"/>
      <c r="F79" s="635"/>
      <c r="G79" s="635"/>
      <c r="H79" s="363"/>
      <c r="I79" s="636"/>
      <c r="J79" s="637"/>
      <c r="K79" s="638"/>
      <c r="L79" s="639"/>
      <c r="M79" s="640"/>
      <c r="N79" s="641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workbookViewId="0">
      <selection activeCell="H37" sqref="H37"/>
    </sheetView>
  </sheetViews>
  <sheetFormatPr defaultRowHeight="12.75"/>
  <cols>
    <col min="1" max="6" width="14.7109375" customWidth="1"/>
  </cols>
  <sheetData>
    <row r="1" spans="1:7" ht="20.25">
      <c r="A1" s="657" t="s">
        <v>709</v>
      </c>
      <c r="B1" s="657"/>
      <c r="C1" s="657"/>
      <c r="D1" s="657"/>
      <c r="E1" s="657"/>
      <c r="F1" s="657"/>
    </row>
    <row r="2" spans="1:7" ht="19.5" thickBot="1">
      <c r="A2" s="531"/>
      <c r="B2" s="531"/>
      <c r="C2" s="658" t="s">
        <v>710</v>
      </c>
      <c r="D2" s="658"/>
      <c r="E2" s="531"/>
      <c r="F2" s="531"/>
      <c r="G2" s="531"/>
    </row>
    <row r="3" spans="1:7" ht="19.5">
      <c r="A3" s="659" t="s">
        <v>711</v>
      </c>
      <c r="B3" s="660"/>
      <c r="C3" s="661"/>
      <c r="D3" s="659" t="s">
        <v>712</v>
      </c>
      <c r="E3" s="660"/>
      <c r="F3" s="661"/>
      <c r="G3" s="531"/>
    </row>
    <row r="4" spans="1:7" ht="15.75">
      <c r="A4" s="532" t="s">
        <v>713</v>
      </c>
      <c r="B4" s="662" t="s">
        <v>714</v>
      </c>
      <c r="C4" s="663"/>
      <c r="D4" s="664" t="s">
        <v>715</v>
      </c>
      <c r="E4" s="665"/>
      <c r="F4" s="666"/>
      <c r="G4" s="531"/>
    </row>
    <row r="5" spans="1:7" ht="16.5" thickBot="1">
      <c r="A5" s="533" t="s">
        <v>465</v>
      </c>
      <c r="B5" s="670" t="s">
        <v>465</v>
      </c>
      <c r="C5" s="671"/>
      <c r="D5" s="672" t="s">
        <v>716</v>
      </c>
      <c r="E5" s="673"/>
      <c r="F5" s="674"/>
      <c r="G5" s="531"/>
    </row>
    <row r="6" spans="1:7" ht="19.5">
      <c r="A6" s="659" t="s">
        <v>717</v>
      </c>
      <c r="B6" s="660"/>
      <c r="C6" s="660"/>
      <c r="D6" s="660"/>
      <c r="E6" s="660"/>
      <c r="F6" s="661"/>
      <c r="G6" s="531"/>
    </row>
    <row r="7" spans="1:7" ht="15.75">
      <c r="A7" s="534" t="s">
        <v>718</v>
      </c>
      <c r="B7" s="535" t="s">
        <v>719</v>
      </c>
      <c r="C7" s="536" t="s">
        <v>720</v>
      </c>
      <c r="D7" s="537" t="s">
        <v>721</v>
      </c>
      <c r="E7" s="675" t="s">
        <v>722</v>
      </c>
      <c r="F7" s="676"/>
      <c r="G7" s="531"/>
    </row>
    <row r="8" spans="1:7" ht="16.5" thickBot="1">
      <c r="A8" s="538"/>
      <c r="B8" s="539" t="s">
        <v>465</v>
      </c>
      <c r="C8" s="540"/>
      <c r="D8" s="541" t="s">
        <v>465</v>
      </c>
      <c r="E8" s="677" t="s">
        <v>723</v>
      </c>
      <c r="F8" s="674"/>
      <c r="G8" s="531"/>
    </row>
    <row r="9" spans="1:7" ht="19.5">
      <c r="A9" s="659" t="s">
        <v>724</v>
      </c>
      <c r="B9" s="660"/>
      <c r="C9" s="661"/>
      <c r="D9" s="659" t="s">
        <v>725</v>
      </c>
      <c r="E9" s="660"/>
      <c r="F9" s="661"/>
      <c r="G9" s="531"/>
    </row>
    <row r="10" spans="1:7" ht="15.75">
      <c r="A10" s="542" t="s">
        <v>726</v>
      </c>
      <c r="B10" s="678">
        <v>14.7</v>
      </c>
      <c r="C10" s="663"/>
      <c r="D10" s="679" t="s">
        <v>727</v>
      </c>
      <c r="E10" s="680"/>
      <c r="F10" s="543" t="s">
        <v>728</v>
      </c>
      <c r="G10" s="531"/>
    </row>
    <row r="11" spans="1:7" ht="16.5" thickBot="1">
      <c r="A11" s="544" t="s">
        <v>729</v>
      </c>
      <c r="B11" s="673">
        <v>3.79</v>
      </c>
      <c r="C11" s="674"/>
      <c r="D11" s="681" t="s">
        <v>727</v>
      </c>
      <c r="E11" s="682"/>
      <c r="F11" s="545" t="s">
        <v>728</v>
      </c>
      <c r="G11" s="531"/>
    </row>
    <row r="12" spans="1:7" ht="19.5">
      <c r="A12" s="659" t="s">
        <v>730</v>
      </c>
      <c r="B12" s="660"/>
      <c r="C12" s="660"/>
      <c r="D12" s="660"/>
      <c r="E12" s="660"/>
      <c r="F12" s="661"/>
      <c r="G12" s="531"/>
    </row>
    <row r="13" spans="1:7" ht="16.5" thickBot="1">
      <c r="A13" s="667" t="s">
        <v>731</v>
      </c>
      <c r="B13" s="668"/>
      <c r="C13" s="669" t="s">
        <v>732</v>
      </c>
      <c r="D13" s="669"/>
      <c r="E13" s="669"/>
      <c r="F13" s="546"/>
      <c r="G13" s="531"/>
    </row>
    <row r="14" spans="1:7" ht="18.95" customHeight="1">
      <c r="A14" s="547"/>
      <c r="B14" s="547"/>
      <c r="C14" s="547"/>
      <c r="D14" s="547"/>
      <c r="E14" s="547"/>
      <c r="F14" s="547"/>
      <c r="G14" s="531"/>
    </row>
    <row r="15" spans="1:7" ht="15.75">
      <c r="G15" s="531"/>
    </row>
    <row r="16" spans="1:7" ht="15.75">
      <c r="G16" s="531"/>
    </row>
    <row r="17" spans="7:7" ht="15.75">
      <c r="G17" s="531"/>
    </row>
    <row r="18" spans="7:7" ht="15.75">
      <c r="G18" s="531"/>
    </row>
    <row r="19" spans="7:7" ht="15.75">
      <c r="G19" s="531"/>
    </row>
    <row r="20" spans="7:7" ht="15.75">
      <c r="G20" s="531"/>
    </row>
    <row r="21" spans="7:7" ht="15.75">
      <c r="G21" s="531"/>
    </row>
    <row r="22" spans="7:7" ht="15.75">
      <c r="G22" s="531"/>
    </row>
    <row r="23" spans="7:7" ht="15.75">
      <c r="G23" s="531"/>
    </row>
    <row r="24" spans="7:7" ht="15.75">
      <c r="G24" s="531"/>
    </row>
    <row r="25" spans="7:7" ht="15.75">
      <c r="G25" s="531"/>
    </row>
    <row r="26" spans="7:7" ht="15.75">
      <c r="G26" s="531"/>
    </row>
    <row r="27" spans="7:7" ht="18.95" customHeight="1">
      <c r="G27" s="531"/>
    </row>
    <row r="28" spans="7:7" ht="15.75">
      <c r="G28" s="531"/>
    </row>
    <row r="29" spans="7:7" ht="15.75">
      <c r="G29" s="531"/>
    </row>
    <row r="30" spans="7:7" ht="15.75">
      <c r="G30" s="531"/>
    </row>
    <row r="31" spans="7:7" ht="15.75">
      <c r="G31" s="531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61"/>
  <sheetViews>
    <sheetView workbookViewId="0"/>
  </sheetViews>
  <sheetFormatPr defaultRowHeight="12.75"/>
  <cols>
    <col min="1" max="1" width="19.7109375" style="375" customWidth="1"/>
    <col min="2" max="7" width="10.7109375" style="375" customWidth="1"/>
    <col min="8" max="16384" width="9.140625" style="375"/>
  </cols>
  <sheetData>
    <row r="1" spans="1:12" ht="21" customHeight="1">
      <c r="A1" s="374" t="s">
        <v>413</v>
      </c>
      <c r="B1" s="692" t="s">
        <v>452</v>
      </c>
      <c r="C1" s="692"/>
      <c r="D1" s="692"/>
      <c r="E1" s="692"/>
      <c r="F1" s="692"/>
      <c r="G1" s="692"/>
    </row>
    <row r="2" spans="1:12" ht="15" customHeight="1"/>
    <row r="3" spans="1:12" ht="20.25">
      <c r="A3" s="376" t="s">
        <v>414</v>
      </c>
    </row>
    <row r="4" spans="1:12" ht="12" customHeight="1">
      <c r="A4" s="377"/>
      <c r="B4" s="377"/>
      <c r="C4" s="377"/>
      <c r="D4" s="377" t="s">
        <v>466</v>
      </c>
      <c r="E4" s="377"/>
      <c r="F4" s="377"/>
      <c r="G4" s="377"/>
      <c r="H4" s="377"/>
      <c r="I4" s="377"/>
      <c r="J4" s="377"/>
      <c r="K4" s="377"/>
      <c r="L4" s="377"/>
    </row>
    <row r="5" spans="1:12" ht="15.6" customHeight="1">
      <c r="A5" s="378" t="s">
        <v>5</v>
      </c>
      <c r="B5" s="378" t="s">
        <v>415</v>
      </c>
      <c r="C5" s="378" t="s">
        <v>416</v>
      </c>
      <c r="D5" s="378" t="s">
        <v>417</v>
      </c>
      <c r="E5" s="378" t="s">
        <v>418</v>
      </c>
      <c r="F5" s="378" t="s">
        <v>419</v>
      </c>
      <c r="G5" s="378" t="s">
        <v>420</v>
      </c>
      <c r="H5" s="377"/>
      <c r="I5" s="377"/>
      <c r="J5" s="377"/>
      <c r="K5" s="377"/>
      <c r="L5" s="377"/>
    </row>
    <row r="6" spans="1:12" ht="15.6" customHeight="1">
      <c r="A6" s="379" t="s">
        <v>421</v>
      </c>
      <c r="B6" s="379" t="s">
        <v>165</v>
      </c>
      <c r="C6" s="379" t="s">
        <v>165</v>
      </c>
      <c r="D6" s="379" t="s">
        <v>422</v>
      </c>
      <c r="E6" s="379" t="s">
        <v>135</v>
      </c>
      <c r="F6" s="379" t="s">
        <v>423</v>
      </c>
      <c r="G6" s="379" t="s">
        <v>423</v>
      </c>
      <c r="H6" s="377"/>
      <c r="I6" s="377"/>
      <c r="J6" s="377"/>
      <c r="K6" s="377"/>
      <c r="L6" s="377"/>
    </row>
    <row r="7" spans="1:12" ht="15.95" customHeight="1">
      <c r="A7" s="380" t="s">
        <v>453</v>
      </c>
      <c r="B7" s="380" t="s">
        <v>467</v>
      </c>
      <c r="C7" s="380" t="s">
        <v>479</v>
      </c>
      <c r="D7" s="380" t="s">
        <v>491</v>
      </c>
      <c r="E7" s="380" t="s">
        <v>503</v>
      </c>
      <c r="F7" s="380" t="s">
        <v>515</v>
      </c>
      <c r="G7" s="380" t="s">
        <v>527</v>
      </c>
      <c r="H7" s="377"/>
      <c r="I7" s="377"/>
      <c r="J7" s="377"/>
      <c r="K7" s="377"/>
      <c r="L7" s="377"/>
    </row>
    <row r="8" spans="1:12" ht="15.95" customHeight="1">
      <c r="A8" s="380" t="s">
        <v>454</v>
      </c>
      <c r="B8" s="380" t="s">
        <v>468</v>
      </c>
      <c r="C8" s="380" t="s">
        <v>480</v>
      </c>
      <c r="D8" s="380" t="s">
        <v>492</v>
      </c>
      <c r="E8" s="380" t="s">
        <v>504</v>
      </c>
      <c r="F8" s="380" t="s">
        <v>516</v>
      </c>
      <c r="G8" s="380" t="s">
        <v>528</v>
      </c>
      <c r="H8" s="377"/>
      <c r="I8" s="377"/>
      <c r="J8" s="377"/>
      <c r="K8" s="377"/>
      <c r="L8" s="377"/>
    </row>
    <row r="9" spans="1:12" ht="15.95" customHeight="1">
      <c r="A9" s="380" t="s">
        <v>455</v>
      </c>
      <c r="B9" s="380" t="s">
        <v>469</v>
      </c>
      <c r="C9" s="380" t="s">
        <v>481</v>
      </c>
      <c r="D9" s="380" t="s">
        <v>493</v>
      </c>
      <c r="E9" s="380" t="s">
        <v>505</v>
      </c>
      <c r="F9" s="380" t="s">
        <v>517</v>
      </c>
      <c r="G9" s="380" t="s">
        <v>529</v>
      </c>
      <c r="H9" s="377"/>
      <c r="I9" s="377"/>
      <c r="J9" s="377"/>
      <c r="K9" s="377"/>
      <c r="L9" s="377"/>
    </row>
    <row r="10" spans="1:12" ht="15.95" customHeight="1">
      <c r="A10" s="380" t="s">
        <v>456</v>
      </c>
      <c r="B10" s="380" t="s">
        <v>470</v>
      </c>
      <c r="C10" s="380" t="s">
        <v>482</v>
      </c>
      <c r="D10" s="380" t="s">
        <v>494</v>
      </c>
      <c r="E10" s="380" t="s">
        <v>506</v>
      </c>
      <c r="F10" s="380" t="s">
        <v>518</v>
      </c>
      <c r="G10" s="380" t="s">
        <v>530</v>
      </c>
      <c r="H10" s="377"/>
      <c r="I10" s="377"/>
      <c r="J10" s="377"/>
      <c r="K10" s="377"/>
      <c r="L10" s="377"/>
    </row>
    <row r="11" spans="1:12" ht="15.95" customHeight="1">
      <c r="A11" s="380" t="s">
        <v>457</v>
      </c>
      <c r="B11" s="380" t="s">
        <v>471</v>
      </c>
      <c r="C11" s="380" t="s">
        <v>483</v>
      </c>
      <c r="D11" s="380" t="s">
        <v>495</v>
      </c>
      <c r="E11" s="380" t="s">
        <v>507</v>
      </c>
      <c r="F11" s="380" t="s">
        <v>519</v>
      </c>
      <c r="G11" s="380" t="s">
        <v>531</v>
      </c>
      <c r="H11" s="377"/>
      <c r="I11" s="377"/>
      <c r="J11" s="377"/>
      <c r="K11" s="377"/>
      <c r="L11" s="377"/>
    </row>
    <row r="12" spans="1:12" ht="15.95" customHeight="1">
      <c r="A12" s="380" t="s">
        <v>458</v>
      </c>
      <c r="B12" s="380" t="s">
        <v>472</v>
      </c>
      <c r="C12" s="380" t="s">
        <v>484</v>
      </c>
      <c r="D12" s="380" t="s">
        <v>496</v>
      </c>
      <c r="E12" s="380" t="s">
        <v>508</v>
      </c>
      <c r="F12" s="380" t="s">
        <v>520</v>
      </c>
      <c r="G12" s="380" t="s">
        <v>532</v>
      </c>
      <c r="H12" s="377"/>
      <c r="I12" s="377"/>
      <c r="J12" s="377"/>
      <c r="K12" s="377"/>
      <c r="L12" s="377"/>
    </row>
    <row r="13" spans="1:12" ht="15.95" customHeight="1">
      <c r="A13" s="380" t="s">
        <v>459</v>
      </c>
      <c r="B13" s="380" t="s">
        <v>473</v>
      </c>
      <c r="C13" s="380" t="s">
        <v>485</v>
      </c>
      <c r="D13" s="380" t="s">
        <v>497</v>
      </c>
      <c r="E13" s="380" t="s">
        <v>509</v>
      </c>
      <c r="F13" s="380" t="s">
        <v>521</v>
      </c>
      <c r="G13" s="380" t="s">
        <v>533</v>
      </c>
      <c r="H13" s="377"/>
      <c r="I13" s="377"/>
      <c r="J13" s="377"/>
      <c r="K13" s="377"/>
      <c r="L13" s="377"/>
    </row>
    <row r="14" spans="1:12" ht="15.95" customHeight="1">
      <c r="A14" s="380" t="s">
        <v>460</v>
      </c>
      <c r="B14" s="380" t="s">
        <v>474</v>
      </c>
      <c r="C14" s="380" t="s">
        <v>486</v>
      </c>
      <c r="D14" s="380" t="s">
        <v>498</v>
      </c>
      <c r="E14" s="380" t="s">
        <v>510</v>
      </c>
      <c r="F14" s="380" t="s">
        <v>522</v>
      </c>
      <c r="G14" s="380" t="s">
        <v>534</v>
      </c>
      <c r="H14" s="377"/>
      <c r="I14" s="377"/>
      <c r="J14" s="377"/>
      <c r="K14" s="377"/>
      <c r="L14" s="377"/>
    </row>
    <row r="15" spans="1:12" ht="15.95" customHeight="1">
      <c r="A15" s="380" t="s">
        <v>461</v>
      </c>
      <c r="B15" s="380" t="s">
        <v>475</v>
      </c>
      <c r="C15" s="380" t="s">
        <v>487</v>
      </c>
      <c r="D15" s="380" t="s">
        <v>499</v>
      </c>
      <c r="E15" s="380" t="s">
        <v>511</v>
      </c>
      <c r="F15" s="380" t="s">
        <v>523</v>
      </c>
      <c r="G15" s="380" t="s">
        <v>535</v>
      </c>
      <c r="H15" s="377"/>
      <c r="I15" s="377"/>
      <c r="J15" s="377"/>
      <c r="K15" s="377"/>
      <c r="L15" s="377"/>
    </row>
    <row r="16" spans="1:12" ht="15.95" customHeight="1">
      <c r="A16" s="380" t="s">
        <v>462</v>
      </c>
      <c r="B16" s="380" t="s">
        <v>476</v>
      </c>
      <c r="C16" s="380" t="s">
        <v>488</v>
      </c>
      <c r="D16" s="380" t="s">
        <v>500</v>
      </c>
      <c r="E16" s="380" t="s">
        <v>512</v>
      </c>
      <c r="F16" s="380" t="s">
        <v>524</v>
      </c>
      <c r="G16" s="380" t="s">
        <v>536</v>
      </c>
      <c r="H16" s="377"/>
      <c r="I16" s="377"/>
      <c r="J16" s="377"/>
      <c r="K16" s="377"/>
      <c r="L16" s="377"/>
    </row>
    <row r="17" spans="1:12" ht="15.95" customHeight="1">
      <c r="A17" s="380" t="s">
        <v>463</v>
      </c>
      <c r="B17" s="380" t="s">
        <v>477</v>
      </c>
      <c r="C17" s="380" t="s">
        <v>489</v>
      </c>
      <c r="D17" s="380" t="s">
        <v>501</v>
      </c>
      <c r="E17" s="380" t="s">
        <v>513</v>
      </c>
      <c r="F17" s="380" t="s">
        <v>525</v>
      </c>
      <c r="G17" s="380" t="s">
        <v>537</v>
      </c>
      <c r="H17" s="377"/>
      <c r="I17" s="377"/>
      <c r="J17" s="377"/>
      <c r="K17" s="377"/>
      <c r="L17" s="377"/>
    </row>
    <row r="18" spans="1:12" ht="15.95" customHeight="1">
      <c r="A18" s="380" t="s">
        <v>464</v>
      </c>
      <c r="B18" s="380" t="s">
        <v>478</v>
      </c>
      <c r="C18" s="380" t="s">
        <v>490</v>
      </c>
      <c r="D18" s="380" t="s">
        <v>502</v>
      </c>
      <c r="E18" s="380" t="s">
        <v>514</v>
      </c>
      <c r="F18" s="380" t="s">
        <v>526</v>
      </c>
      <c r="G18" s="380" t="s">
        <v>538</v>
      </c>
      <c r="H18" s="377"/>
      <c r="I18" s="377"/>
      <c r="J18" s="377"/>
      <c r="K18" s="377"/>
      <c r="L18" s="377"/>
    </row>
    <row r="19" spans="1:12" ht="15.95" customHeight="1">
      <c r="A19" s="386" t="s">
        <v>465</v>
      </c>
      <c r="B19" s="386" t="s">
        <v>465</v>
      </c>
      <c r="C19" s="386" t="s">
        <v>465</v>
      </c>
      <c r="D19" s="386" t="s">
        <v>465</v>
      </c>
      <c r="E19" s="386" t="s">
        <v>465</v>
      </c>
      <c r="F19" s="386" t="s">
        <v>465</v>
      </c>
      <c r="G19" s="386" t="s">
        <v>465</v>
      </c>
      <c r="H19" s="377"/>
      <c r="I19" s="377"/>
      <c r="J19" s="377"/>
      <c r="K19" s="377"/>
      <c r="L19" s="377"/>
    </row>
    <row r="20" spans="1:12" ht="15.75">
      <c r="A20" s="377"/>
      <c r="B20" s="377"/>
      <c r="C20" s="377"/>
      <c r="D20" s="377"/>
      <c r="E20" s="377"/>
      <c r="F20" s="377"/>
      <c r="G20" s="377"/>
      <c r="H20" s="377"/>
      <c r="I20" s="377"/>
      <c r="J20" s="377"/>
      <c r="K20" s="377"/>
      <c r="L20" s="377"/>
    </row>
    <row r="21" spans="1:12" ht="15.75">
      <c r="A21" s="377"/>
      <c r="B21" s="377"/>
      <c r="C21" s="377"/>
      <c r="D21" s="693" t="s">
        <v>547</v>
      </c>
      <c r="E21" s="689"/>
      <c r="F21" s="689"/>
      <c r="G21" s="690"/>
      <c r="H21" s="377"/>
      <c r="I21" s="377"/>
      <c r="J21" s="377"/>
      <c r="K21" s="377"/>
      <c r="L21" s="377"/>
    </row>
    <row r="22" spans="1:12" ht="17.25" customHeight="1">
      <c r="A22" s="377"/>
      <c r="B22" s="691" t="s">
        <v>424</v>
      </c>
      <c r="C22" s="691"/>
      <c r="D22" s="691" t="s">
        <v>425</v>
      </c>
      <c r="E22" s="691"/>
      <c r="F22" s="691" t="s">
        <v>426</v>
      </c>
      <c r="G22" s="691"/>
      <c r="H22" s="377"/>
      <c r="I22" s="377"/>
      <c r="J22" s="377"/>
      <c r="K22" s="377"/>
      <c r="L22" s="377"/>
    </row>
    <row r="23" spans="1:12" ht="15.75">
      <c r="A23" s="381" t="s">
        <v>427</v>
      </c>
      <c r="B23" s="687" t="s">
        <v>539</v>
      </c>
      <c r="C23" s="687"/>
      <c r="D23" s="687" t="s">
        <v>542</v>
      </c>
      <c r="E23" s="687"/>
      <c r="F23" s="687" t="s">
        <v>545</v>
      </c>
      <c r="G23" s="687"/>
      <c r="H23" s="377"/>
      <c r="I23" s="377"/>
      <c r="J23" s="377"/>
      <c r="K23" s="377"/>
      <c r="L23" s="377"/>
    </row>
    <row r="24" spans="1:12" ht="18" customHeight="1">
      <c r="A24" s="381" t="s">
        <v>428</v>
      </c>
      <c r="B24" s="687" t="s">
        <v>540</v>
      </c>
      <c r="C24" s="687"/>
      <c r="D24" s="687" t="s">
        <v>543</v>
      </c>
      <c r="E24" s="687"/>
      <c r="F24" s="687" t="s">
        <v>439</v>
      </c>
      <c r="G24" s="687"/>
      <c r="H24" s="377"/>
      <c r="I24" s="377"/>
      <c r="J24" s="377"/>
      <c r="K24" s="377"/>
      <c r="L24" s="377"/>
    </row>
    <row r="25" spans="1:12" ht="15.75">
      <c r="A25" s="381" t="s">
        <v>429</v>
      </c>
      <c r="B25" s="687" t="s">
        <v>541</v>
      </c>
      <c r="C25" s="687"/>
      <c r="D25" s="687" t="s">
        <v>544</v>
      </c>
      <c r="E25" s="687"/>
      <c r="F25" s="687" t="s">
        <v>546</v>
      </c>
      <c r="G25" s="687"/>
      <c r="H25" s="377"/>
      <c r="I25" s="377"/>
      <c r="J25" s="377"/>
      <c r="K25" s="377"/>
      <c r="L25" s="377"/>
    </row>
    <row r="26" spans="1:12" ht="15.75">
      <c r="A26" s="377"/>
      <c r="B26" s="377"/>
      <c r="C26" s="377"/>
      <c r="D26" s="377"/>
      <c r="E26" s="377"/>
      <c r="F26" s="377"/>
      <c r="G26" s="377"/>
      <c r="H26" s="377"/>
      <c r="I26" s="377"/>
      <c r="J26" s="377"/>
      <c r="K26" s="377"/>
      <c r="L26" s="377"/>
    </row>
    <row r="27" spans="1:12" ht="20.25">
      <c r="A27" s="376" t="s">
        <v>430</v>
      </c>
      <c r="B27" s="377"/>
      <c r="C27" s="377"/>
      <c r="D27" s="377"/>
      <c r="E27" s="377"/>
      <c r="F27" s="377"/>
      <c r="G27" s="377"/>
      <c r="H27" s="377"/>
      <c r="I27" s="377"/>
      <c r="J27" s="377"/>
      <c r="K27" s="377"/>
      <c r="L27" s="377"/>
    </row>
    <row r="28" spans="1:12" ht="15.75">
      <c r="A28" s="377"/>
      <c r="B28" s="377"/>
      <c r="C28" s="377"/>
      <c r="D28" s="377"/>
      <c r="E28" s="688" t="s">
        <v>431</v>
      </c>
      <c r="F28" s="689"/>
      <c r="G28" s="690"/>
      <c r="H28" s="377"/>
      <c r="I28" s="377"/>
      <c r="J28" s="377"/>
      <c r="K28" s="377"/>
      <c r="L28" s="377"/>
    </row>
    <row r="29" spans="1:12" ht="15.75">
      <c r="A29" s="377"/>
      <c r="B29" s="691" t="s">
        <v>432</v>
      </c>
      <c r="C29" s="691"/>
      <c r="D29" s="382" t="s">
        <v>433</v>
      </c>
      <c r="E29" s="382" t="s">
        <v>434</v>
      </c>
      <c r="F29" s="691" t="s">
        <v>435</v>
      </c>
      <c r="G29" s="691"/>
      <c r="H29" s="377"/>
      <c r="I29" s="377"/>
      <c r="J29" s="377"/>
      <c r="K29" s="377"/>
      <c r="L29" s="377"/>
    </row>
    <row r="30" spans="1:12" ht="15.75">
      <c r="A30" s="381" t="s">
        <v>436</v>
      </c>
      <c r="B30" s="687" t="s">
        <v>548</v>
      </c>
      <c r="C30" s="687"/>
      <c r="D30" s="380" t="s">
        <v>551</v>
      </c>
      <c r="E30" s="380" t="s">
        <v>437</v>
      </c>
      <c r="F30" s="687" t="s">
        <v>554</v>
      </c>
      <c r="G30" s="687"/>
      <c r="H30" s="377"/>
      <c r="I30" s="377"/>
      <c r="J30" s="377"/>
      <c r="K30" s="377"/>
      <c r="L30" s="377"/>
    </row>
    <row r="31" spans="1:12" ht="15.75">
      <c r="A31" s="381" t="s">
        <v>438</v>
      </c>
      <c r="B31" s="687" t="s">
        <v>549</v>
      </c>
      <c r="C31" s="687"/>
      <c r="D31" s="380" t="s">
        <v>552</v>
      </c>
      <c r="E31" s="380" t="s">
        <v>439</v>
      </c>
      <c r="F31" s="687" t="s">
        <v>555</v>
      </c>
      <c r="G31" s="687"/>
      <c r="H31" s="377"/>
      <c r="I31" s="377"/>
      <c r="J31" s="377"/>
      <c r="K31" s="377"/>
      <c r="L31" s="377"/>
    </row>
    <row r="32" spans="1:12" ht="15.75">
      <c r="A32" s="381" t="s">
        <v>440</v>
      </c>
      <c r="B32" s="687" t="s">
        <v>550</v>
      </c>
      <c r="C32" s="687"/>
      <c r="D32" s="380" t="s">
        <v>553</v>
      </c>
      <c r="E32" s="380" t="s">
        <v>441</v>
      </c>
      <c r="F32" s="687" t="s">
        <v>556</v>
      </c>
      <c r="G32" s="687"/>
      <c r="H32" s="377"/>
      <c r="I32" s="377"/>
      <c r="J32" s="377"/>
      <c r="K32" s="377"/>
      <c r="L32" s="377"/>
    </row>
    <row r="33" spans="1:12" ht="15.75">
      <c r="A33" s="377"/>
      <c r="B33" s="377"/>
      <c r="C33" s="377"/>
      <c r="D33" s="377"/>
      <c r="E33" s="377"/>
      <c r="F33" s="377"/>
      <c r="G33" s="377"/>
      <c r="H33" s="377"/>
      <c r="I33" s="377"/>
      <c r="J33" s="377"/>
      <c r="K33" s="377"/>
      <c r="L33" s="377"/>
    </row>
    <row r="34" spans="1:12" ht="15.75">
      <c r="A34" s="377"/>
      <c r="B34" s="377"/>
      <c r="C34" s="377"/>
      <c r="D34" s="377"/>
      <c r="E34" s="688" t="s">
        <v>442</v>
      </c>
      <c r="F34" s="689"/>
      <c r="G34" s="690"/>
      <c r="H34" s="377"/>
      <c r="I34" s="377"/>
      <c r="J34" s="377"/>
      <c r="K34" s="377"/>
      <c r="L34" s="377"/>
    </row>
    <row r="35" spans="1:12" ht="15.75">
      <c r="A35" s="377"/>
      <c r="B35" s="691" t="s">
        <v>443</v>
      </c>
      <c r="C35" s="691"/>
      <c r="D35" s="382" t="s">
        <v>434</v>
      </c>
      <c r="E35" s="382" t="s">
        <v>444</v>
      </c>
      <c r="F35" s="382" t="s">
        <v>100</v>
      </c>
      <c r="G35" s="382" t="s">
        <v>445</v>
      </c>
      <c r="H35" s="377"/>
      <c r="I35" s="377"/>
      <c r="J35" s="377"/>
      <c r="K35" s="377"/>
      <c r="L35" s="377"/>
    </row>
    <row r="36" spans="1:12" ht="15.75">
      <c r="A36" s="381" t="s">
        <v>436</v>
      </c>
      <c r="B36" s="683" t="s">
        <v>557</v>
      </c>
      <c r="C36" s="684"/>
      <c r="D36" s="383" t="s">
        <v>559</v>
      </c>
      <c r="E36" s="383" t="s">
        <v>446</v>
      </c>
      <c r="F36" s="384" t="s">
        <v>447</v>
      </c>
      <c r="G36" s="380" t="s">
        <v>562</v>
      </c>
      <c r="H36" s="377"/>
      <c r="I36" s="377"/>
      <c r="J36" s="377"/>
      <c r="K36" s="377"/>
      <c r="L36" s="377"/>
    </row>
    <row r="37" spans="1:12" ht="15.75">
      <c r="A37" s="381" t="s">
        <v>438</v>
      </c>
      <c r="B37" s="683" t="s">
        <v>558</v>
      </c>
      <c r="C37" s="684"/>
      <c r="D37" s="383" t="s">
        <v>560</v>
      </c>
      <c r="E37" s="383" t="s">
        <v>446</v>
      </c>
      <c r="F37" s="384" t="s">
        <v>448</v>
      </c>
      <c r="G37" s="414" t="s">
        <v>563</v>
      </c>
      <c r="H37" s="377"/>
      <c r="I37" s="377"/>
      <c r="J37" s="377"/>
      <c r="K37" s="377"/>
      <c r="L37" s="377"/>
    </row>
    <row r="38" spans="1:12" ht="15.75">
      <c r="A38" s="381" t="s">
        <v>440</v>
      </c>
      <c r="B38" s="683" t="s">
        <v>558</v>
      </c>
      <c r="C38" s="684"/>
      <c r="D38" s="383" t="s">
        <v>561</v>
      </c>
      <c r="E38" s="383" t="s">
        <v>446</v>
      </c>
      <c r="F38" s="384" t="s">
        <v>449</v>
      </c>
      <c r="G38" s="380" t="s">
        <v>564</v>
      </c>
      <c r="H38" s="377"/>
      <c r="I38" s="377"/>
      <c r="J38" s="377"/>
      <c r="K38" s="377"/>
      <c r="L38" s="377"/>
    </row>
    <row r="39" spans="1:12" ht="15.75">
      <c r="A39" s="377"/>
      <c r="B39" s="377"/>
      <c r="C39" s="377"/>
      <c r="D39" s="377"/>
      <c r="E39" s="377"/>
      <c r="F39" s="377"/>
      <c r="G39" s="377"/>
      <c r="H39" s="377"/>
      <c r="I39" s="377"/>
      <c r="J39" s="377"/>
      <c r="K39" s="377"/>
      <c r="L39" s="377"/>
    </row>
    <row r="40" spans="1:12" ht="15.75">
      <c r="A40" s="385" t="s">
        <v>450</v>
      </c>
      <c r="B40" s="685" t="s">
        <v>565</v>
      </c>
      <c r="C40" s="685"/>
      <c r="D40" s="686" t="s">
        <v>451</v>
      </c>
      <c r="E40" s="686"/>
      <c r="F40" s="685" t="s">
        <v>566</v>
      </c>
      <c r="G40" s="685"/>
      <c r="H40" s="377"/>
      <c r="I40" s="377"/>
      <c r="J40" s="377"/>
      <c r="K40" s="377"/>
      <c r="L40" s="377"/>
    </row>
    <row r="41" spans="1:12" ht="15.75">
      <c r="A41" s="377"/>
      <c r="B41" s="377"/>
      <c r="C41" s="377"/>
      <c r="D41" s="377"/>
      <c r="E41" s="377"/>
      <c r="F41" s="377"/>
      <c r="G41" s="377"/>
      <c r="H41" s="377"/>
      <c r="I41" s="377"/>
      <c r="J41" s="377"/>
      <c r="K41" s="377"/>
      <c r="L41" s="377"/>
    </row>
    <row r="42" spans="1:12" ht="15.75">
      <c r="A42" s="377"/>
      <c r="B42" s="377"/>
      <c r="C42" s="377"/>
      <c r="D42" s="377"/>
      <c r="E42" s="377"/>
      <c r="F42" s="377"/>
      <c r="G42" s="377"/>
      <c r="H42" s="377"/>
      <c r="I42" s="377"/>
      <c r="J42" s="377"/>
      <c r="K42" s="377"/>
      <c r="L42" s="377"/>
    </row>
    <row r="43" spans="1:12" ht="15.75">
      <c r="A43" s="377"/>
      <c r="B43" s="377"/>
      <c r="C43" s="377"/>
      <c r="D43" s="377"/>
      <c r="E43" s="377"/>
      <c r="F43" s="377"/>
      <c r="G43" s="377"/>
      <c r="H43" s="377"/>
      <c r="I43" s="377"/>
      <c r="J43" s="377"/>
      <c r="K43" s="377"/>
      <c r="L43" s="377"/>
    </row>
    <row r="44" spans="1:12" ht="15.75">
      <c r="A44" s="377"/>
      <c r="B44" s="377"/>
      <c r="C44" s="377"/>
      <c r="D44" s="377"/>
      <c r="E44" s="377"/>
      <c r="F44" s="377"/>
      <c r="G44" s="377"/>
      <c r="H44" s="377"/>
      <c r="I44" s="377"/>
      <c r="J44" s="377"/>
      <c r="K44" s="377"/>
      <c r="L44" s="377"/>
    </row>
    <row r="45" spans="1:12" ht="15.75">
      <c r="A45" s="377"/>
      <c r="B45" s="377"/>
      <c r="C45" s="377"/>
      <c r="D45" s="377"/>
      <c r="E45" s="377"/>
      <c r="F45" s="377"/>
      <c r="G45" s="377"/>
      <c r="H45" s="377"/>
      <c r="I45" s="377"/>
      <c r="J45" s="377"/>
      <c r="K45" s="377"/>
      <c r="L45" s="377"/>
    </row>
    <row r="46" spans="1:12" ht="15.75">
      <c r="A46" s="377"/>
      <c r="B46" s="377"/>
      <c r="C46" s="377"/>
      <c r="D46" s="377"/>
      <c r="E46" s="377"/>
      <c r="F46" s="377"/>
      <c r="G46" s="377"/>
      <c r="H46" s="377"/>
      <c r="I46" s="377"/>
      <c r="J46" s="377"/>
      <c r="K46" s="377"/>
      <c r="L46" s="377"/>
    </row>
    <row r="47" spans="1:12" ht="15.75">
      <c r="A47" s="377"/>
      <c r="B47" s="377"/>
      <c r="C47" s="377"/>
      <c r="D47" s="377"/>
      <c r="E47" s="377"/>
      <c r="F47" s="377"/>
      <c r="G47" s="377"/>
      <c r="H47" s="377"/>
      <c r="I47" s="377"/>
      <c r="J47" s="377"/>
      <c r="K47" s="377"/>
      <c r="L47" s="377"/>
    </row>
    <row r="48" spans="1:12" ht="15.75">
      <c r="A48" s="377"/>
      <c r="B48" s="377"/>
      <c r="C48" s="377"/>
      <c r="D48" s="377"/>
      <c r="E48" s="377"/>
      <c r="F48" s="377"/>
      <c r="G48" s="377"/>
      <c r="H48" s="377"/>
      <c r="I48" s="377"/>
      <c r="J48" s="377"/>
      <c r="K48" s="377"/>
      <c r="L48" s="377"/>
    </row>
    <row r="49" spans="1:12" ht="15.75">
      <c r="A49" s="377"/>
      <c r="B49" s="377"/>
      <c r="C49" s="377"/>
      <c r="D49" s="377"/>
      <c r="E49" s="377"/>
      <c r="F49" s="377"/>
      <c r="G49" s="377"/>
      <c r="H49" s="377"/>
      <c r="I49" s="377"/>
      <c r="J49" s="377"/>
      <c r="K49" s="377"/>
      <c r="L49" s="377"/>
    </row>
    <row r="50" spans="1:12" ht="15.75">
      <c r="A50" s="377"/>
      <c r="B50" s="377"/>
      <c r="C50" s="377"/>
      <c r="D50" s="377"/>
      <c r="E50" s="377"/>
      <c r="F50" s="377"/>
      <c r="G50" s="377"/>
      <c r="H50" s="377"/>
      <c r="I50" s="377"/>
      <c r="J50" s="377"/>
      <c r="K50" s="377"/>
      <c r="L50" s="377"/>
    </row>
    <row r="51" spans="1:12" ht="15.75">
      <c r="A51" s="377"/>
      <c r="B51" s="377"/>
      <c r="C51" s="377"/>
      <c r="D51" s="377"/>
      <c r="E51" s="377"/>
      <c r="F51" s="377"/>
      <c r="G51" s="377"/>
      <c r="H51" s="377"/>
      <c r="I51" s="377"/>
      <c r="J51" s="377"/>
      <c r="K51" s="377"/>
      <c r="L51" s="377"/>
    </row>
    <row r="52" spans="1:12" ht="15.75">
      <c r="A52" s="377"/>
      <c r="B52" s="377"/>
      <c r="C52" s="377"/>
      <c r="D52" s="377"/>
      <c r="E52" s="377"/>
      <c r="F52" s="377"/>
      <c r="G52" s="377"/>
      <c r="H52" s="377"/>
      <c r="I52" s="377"/>
      <c r="J52" s="377"/>
      <c r="K52" s="377"/>
      <c r="L52" s="377"/>
    </row>
    <row r="53" spans="1:12" ht="15.75">
      <c r="A53" s="377"/>
      <c r="B53" s="377"/>
      <c r="C53" s="377"/>
      <c r="D53" s="377"/>
      <c r="E53" s="377"/>
      <c r="F53" s="377"/>
      <c r="G53" s="377"/>
      <c r="H53" s="377"/>
      <c r="I53" s="377"/>
      <c r="J53" s="377"/>
      <c r="K53" s="377"/>
      <c r="L53" s="377"/>
    </row>
    <row r="54" spans="1:12" ht="15.75">
      <c r="A54" s="377"/>
      <c r="B54" s="377"/>
      <c r="C54" s="377"/>
      <c r="D54" s="377"/>
      <c r="E54" s="377"/>
      <c r="F54" s="377"/>
      <c r="G54" s="377"/>
      <c r="H54" s="377"/>
      <c r="I54" s="377"/>
      <c r="J54" s="377"/>
      <c r="K54" s="377"/>
      <c r="L54" s="377"/>
    </row>
    <row r="55" spans="1:12" ht="15.75">
      <c r="A55" s="377"/>
      <c r="B55" s="377"/>
      <c r="C55" s="377"/>
      <c r="D55" s="377"/>
      <c r="E55" s="377"/>
      <c r="F55" s="377"/>
      <c r="G55" s="377"/>
      <c r="H55" s="377"/>
      <c r="I55" s="377"/>
      <c r="J55" s="377"/>
      <c r="K55" s="377"/>
      <c r="L55" s="377"/>
    </row>
    <row r="56" spans="1:12" ht="15.75">
      <c r="A56" s="377"/>
      <c r="B56" s="377"/>
      <c r="C56" s="377"/>
      <c r="D56" s="377"/>
      <c r="E56" s="377"/>
      <c r="F56" s="377"/>
      <c r="G56" s="377"/>
      <c r="H56" s="377"/>
      <c r="I56" s="377"/>
      <c r="J56" s="377"/>
      <c r="K56" s="377"/>
      <c r="L56" s="377"/>
    </row>
    <row r="57" spans="1:12" ht="15.75">
      <c r="A57" s="377"/>
      <c r="B57" s="377"/>
      <c r="C57" s="377"/>
      <c r="D57" s="377"/>
      <c r="E57" s="377"/>
      <c r="F57" s="377"/>
      <c r="G57" s="377"/>
      <c r="H57" s="377"/>
      <c r="I57" s="377"/>
      <c r="J57" s="377"/>
      <c r="K57" s="377"/>
      <c r="L57" s="377"/>
    </row>
    <row r="58" spans="1:12" ht="15.75">
      <c r="A58" s="377"/>
      <c r="B58" s="377"/>
      <c r="C58" s="377"/>
      <c r="D58" s="377"/>
      <c r="E58" s="377"/>
      <c r="F58" s="377"/>
      <c r="G58" s="377"/>
      <c r="H58" s="377"/>
      <c r="I58" s="377"/>
      <c r="J58" s="377"/>
      <c r="K58" s="377"/>
      <c r="L58" s="377"/>
    </row>
    <row r="59" spans="1:12" ht="15.75">
      <c r="A59" s="377"/>
      <c r="B59" s="377"/>
      <c r="C59" s="377"/>
      <c r="D59" s="377"/>
      <c r="E59" s="377"/>
      <c r="F59" s="377"/>
      <c r="G59" s="377"/>
      <c r="H59" s="377"/>
      <c r="I59" s="377"/>
      <c r="J59" s="377"/>
      <c r="K59" s="377"/>
      <c r="L59" s="377"/>
    </row>
    <row r="60" spans="1:12" ht="15.75">
      <c r="A60" s="377"/>
      <c r="B60" s="377"/>
      <c r="C60" s="377"/>
      <c r="D60" s="377"/>
      <c r="E60" s="377"/>
      <c r="F60" s="377"/>
      <c r="G60" s="377"/>
      <c r="H60" s="377"/>
      <c r="I60" s="377"/>
      <c r="J60" s="377"/>
      <c r="K60" s="377"/>
      <c r="L60" s="377"/>
    </row>
    <row r="61" spans="1:12" ht="15.75">
      <c r="A61" s="377"/>
      <c r="B61" s="377"/>
      <c r="C61" s="377"/>
      <c r="D61" s="377"/>
      <c r="E61" s="377"/>
      <c r="F61" s="377"/>
      <c r="G61" s="377"/>
      <c r="H61" s="377"/>
      <c r="I61" s="377"/>
      <c r="J61" s="377"/>
      <c r="K61" s="377"/>
      <c r="L61" s="377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syncVertical="1" syncRef="A1" transitionEvaluation="1"/>
  <dimension ref="A1:N120"/>
  <sheetViews>
    <sheetView showGridLines="0" zoomScaleNormal="100" workbookViewId="0">
      <selection activeCell="R21" sqref="R21"/>
    </sheetView>
  </sheetViews>
  <sheetFormatPr defaultColWidth="12.5703125" defaultRowHeight="15.75"/>
  <cols>
    <col min="1" max="13" width="7" style="446" customWidth="1"/>
    <col min="14" max="14" width="7.140625" style="446" customWidth="1"/>
    <col min="15" max="16384" width="12.5703125" style="446"/>
  </cols>
  <sheetData>
    <row r="1" spans="1:14" ht="17.100000000000001" customHeight="1">
      <c r="A1" s="439" t="s">
        <v>270</v>
      </c>
      <c r="B1" s="440"/>
      <c r="C1" s="440"/>
      <c r="D1" s="440"/>
      <c r="E1" s="440"/>
      <c r="F1" s="440"/>
      <c r="G1" s="440"/>
      <c r="H1" s="440"/>
      <c r="I1" s="440"/>
      <c r="J1" s="441" t="s">
        <v>599</v>
      </c>
      <c r="K1" s="442"/>
      <c r="L1" s="443" t="s">
        <v>600</v>
      </c>
      <c r="M1" s="444"/>
      <c r="N1" s="445"/>
    </row>
    <row r="2" spans="1:14" ht="17.100000000000001" customHeight="1">
      <c r="A2" s="447" t="s">
        <v>601</v>
      </c>
      <c r="B2" s="448"/>
      <c r="C2" s="448"/>
      <c r="D2" s="448"/>
      <c r="E2" s="448"/>
      <c r="F2" s="448"/>
      <c r="G2" s="448"/>
      <c r="H2" s="448"/>
      <c r="I2" s="448"/>
      <c r="J2" s="449" t="s">
        <v>602</v>
      </c>
      <c r="K2" s="450"/>
      <c r="L2" s="451" t="s">
        <v>603</v>
      </c>
      <c r="M2" s="452"/>
      <c r="N2" s="445"/>
    </row>
    <row r="3" spans="1:14" ht="15.95" customHeight="1">
      <c r="A3" s="453"/>
      <c r="B3" s="454"/>
      <c r="C3" s="454"/>
      <c r="D3" s="454"/>
      <c r="E3" s="454"/>
      <c r="F3" s="454"/>
      <c r="G3" s="454"/>
      <c r="H3" s="454"/>
      <c r="I3" s="454"/>
      <c r="J3" s="449" t="s">
        <v>604</v>
      </c>
      <c r="K3" s="450"/>
      <c r="L3" s="455" t="s">
        <v>605</v>
      </c>
      <c r="M3" s="452"/>
      <c r="N3" s="445"/>
    </row>
    <row r="4" spans="1:14" ht="15.95" customHeight="1">
      <c r="A4" s="456"/>
      <c r="B4" s="454"/>
      <c r="C4" s="454"/>
      <c r="D4" s="454"/>
      <c r="E4" s="454"/>
      <c r="F4" s="454"/>
      <c r="G4" s="454"/>
      <c r="H4" s="454"/>
      <c r="I4" s="454"/>
      <c r="J4" s="449" t="s">
        <v>606</v>
      </c>
      <c r="K4" s="450"/>
      <c r="L4" s="455" t="s">
        <v>607</v>
      </c>
      <c r="M4" s="452"/>
      <c r="N4" s="445"/>
    </row>
    <row r="5" spans="1:14" ht="15.95" customHeight="1">
      <c r="A5" s="453"/>
      <c r="B5" s="454"/>
      <c r="C5" s="454"/>
      <c r="D5" s="454"/>
      <c r="E5" s="454"/>
      <c r="F5" s="454"/>
      <c r="G5" s="454"/>
      <c r="H5" s="454"/>
      <c r="I5" s="454"/>
      <c r="J5" s="449" t="s">
        <v>608</v>
      </c>
      <c r="K5" s="450"/>
      <c r="L5" s="451">
        <v>2</v>
      </c>
      <c r="M5" s="452"/>
      <c r="N5" s="445"/>
    </row>
    <row r="6" spans="1:14" ht="15.95" customHeight="1">
      <c r="A6" s="457" t="s">
        <v>609</v>
      </c>
      <c r="B6" s="454"/>
      <c r="C6" s="454"/>
      <c r="D6" s="454"/>
      <c r="E6" s="454"/>
      <c r="F6" s="454"/>
      <c r="G6" s="454"/>
      <c r="H6" s="454"/>
      <c r="I6" s="454"/>
      <c r="J6" s="449" t="s">
        <v>610</v>
      </c>
      <c r="K6" s="450"/>
      <c r="L6" s="451" t="s">
        <v>611</v>
      </c>
      <c r="M6" s="452"/>
      <c r="N6" s="445"/>
    </row>
    <row r="7" spans="1:14" ht="15.95" customHeight="1" thickBot="1">
      <c r="A7" s="458" t="s">
        <v>612</v>
      </c>
      <c r="B7" s="459"/>
      <c r="C7" s="459"/>
      <c r="D7" s="459"/>
      <c r="E7" s="459"/>
      <c r="F7" s="459"/>
      <c r="G7" s="459"/>
      <c r="H7" s="459"/>
      <c r="I7" s="459"/>
      <c r="J7" s="460" t="s">
        <v>613</v>
      </c>
      <c r="K7" s="461"/>
      <c r="L7" s="462" t="s">
        <v>614</v>
      </c>
      <c r="M7" s="463"/>
      <c r="N7" s="445"/>
    </row>
    <row r="8" spans="1:14" ht="15.95" customHeight="1">
      <c r="A8" s="464"/>
      <c r="B8" s="454"/>
      <c r="C8" s="454"/>
      <c r="D8" s="454"/>
      <c r="E8" s="454"/>
      <c r="F8" s="454"/>
      <c r="G8" s="454"/>
      <c r="H8" s="454"/>
      <c r="I8" s="454"/>
      <c r="J8" s="454"/>
      <c r="K8" s="465"/>
      <c r="L8" s="466"/>
      <c r="M8" s="467"/>
      <c r="N8" s="454"/>
    </row>
    <row r="9" spans="1:14" ht="12" customHeight="1">
      <c r="A9" s="468"/>
      <c r="B9" s="469" t="s">
        <v>615</v>
      </c>
      <c r="C9" s="470" t="s">
        <v>174</v>
      </c>
      <c r="D9" s="471"/>
      <c r="E9" s="471"/>
      <c r="F9" s="471"/>
      <c r="G9" s="471"/>
      <c r="H9" s="471"/>
      <c r="I9" s="471"/>
      <c r="J9" s="471"/>
      <c r="K9" s="472"/>
      <c r="L9" s="468"/>
      <c r="M9" s="471"/>
      <c r="N9" s="454"/>
    </row>
    <row r="10" spans="1:14" ht="12" customHeight="1">
      <c r="A10" s="468"/>
      <c r="B10" s="469" t="s">
        <v>616</v>
      </c>
      <c r="C10" s="473" t="s">
        <v>174</v>
      </c>
      <c r="D10" s="468"/>
      <c r="E10" s="468"/>
      <c r="F10" s="468"/>
      <c r="G10" s="468"/>
      <c r="H10" s="468"/>
      <c r="I10" s="468"/>
      <c r="J10" s="468"/>
      <c r="K10" s="468"/>
      <c r="L10" s="468"/>
      <c r="M10" s="468"/>
      <c r="N10" s="466"/>
    </row>
    <row r="11" spans="1:14" ht="16.5" thickBot="1">
      <c r="A11" s="466"/>
      <c r="B11" s="466"/>
      <c r="C11" s="466"/>
      <c r="D11" s="466"/>
      <c r="E11" s="466"/>
      <c r="F11" s="466"/>
      <c r="G11" s="466"/>
      <c r="H11" s="466"/>
      <c r="I11" s="466"/>
      <c r="J11" s="466"/>
      <c r="K11" s="466"/>
      <c r="L11" s="466"/>
      <c r="M11" s="466"/>
      <c r="N11" s="466"/>
    </row>
    <row r="12" spans="1:14" ht="20.100000000000001" customHeight="1" thickBot="1">
      <c r="A12" s="474" t="s">
        <v>617</v>
      </c>
      <c r="B12" s="475"/>
      <c r="C12" s="475"/>
      <c r="D12" s="475"/>
      <c r="E12" s="475"/>
      <c r="F12" s="475"/>
      <c r="G12" s="475"/>
      <c r="H12" s="475"/>
      <c r="I12" s="475"/>
      <c r="J12" s="475"/>
      <c r="K12" s="475"/>
      <c r="L12" s="475"/>
      <c r="M12" s="476"/>
      <c r="N12" s="445"/>
    </row>
    <row r="13" spans="1:14" ht="12.95" customHeight="1" thickTop="1">
      <c r="A13" s="477"/>
      <c r="B13" s="469" t="s">
        <v>618</v>
      </c>
      <c r="C13" s="478">
        <v>4500</v>
      </c>
      <c r="D13" s="468"/>
      <c r="E13" s="469" t="s">
        <v>619</v>
      </c>
      <c r="F13" s="478">
        <v>4000</v>
      </c>
      <c r="G13" s="468"/>
      <c r="H13" s="469" t="s">
        <v>620</v>
      </c>
      <c r="I13" s="478" t="s">
        <v>705</v>
      </c>
      <c r="J13" s="468"/>
      <c r="K13" s="468"/>
      <c r="L13" s="469" t="s">
        <v>621</v>
      </c>
      <c r="M13" s="479">
        <v>3600</v>
      </c>
      <c r="N13" s="445"/>
    </row>
    <row r="14" spans="1:14" ht="12.95" customHeight="1">
      <c r="A14" s="477"/>
      <c r="B14" s="469" t="s">
        <v>622</v>
      </c>
      <c r="C14" s="470" t="s">
        <v>193</v>
      </c>
      <c r="D14" s="468"/>
      <c r="E14" s="469" t="s">
        <v>623</v>
      </c>
      <c r="F14" s="480" t="s">
        <v>707</v>
      </c>
      <c r="G14" s="468"/>
      <c r="H14" s="469" t="s">
        <v>624</v>
      </c>
      <c r="I14" s="478">
        <v>553</v>
      </c>
      <c r="J14" s="468"/>
      <c r="K14" s="468"/>
      <c r="L14" s="469" t="s">
        <v>579</v>
      </c>
      <c r="M14" s="479">
        <v>3580</v>
      </c>
      <c r="N14" s="445"/>
    </row>
    <row r="15" spans="1:14" ht="12.95" customHeight="1">
      <c r="A15" s="477"/>
      <c r="B15" s="469" t="s">
        <v>625</v>
      </c>
      <c r="C15" s="478" t="s">
        <v>706</v>
      </c>
      <c r="D15" s="468"/>
      <c r="E15" s="469" t="s">
        <v>626</v>
      </c>
      <c r="F15" s="480">
        <v>1.1499999999999999</v>
      </c>
      <c r="G15" s="468"/>
      <c r="H15" s="469" t="s">
        <v>627</v>
      </c>
      <c r="I15" s="480" t="s">
        <v>174</v>
      </c>
      <c r="J15" s="468"/>
      <c r="K15" s="468"/>
      <c r="L15" s="469" t="s">
        <v>628</v>
      </c>
      <c r="M15" s="479" t="s">
        <v>364</v>
      </c>
      <c r="N15" s="445"/>
    </row>
    <row r="16" spans="1:14" ht="12.95" customHeight="1">
      <c r="A16" s="477"/>
      <c r="B16" s="469" t="s">
        <v>629</v>
      </c>
      <c r="C16" s="478" t="s">
        <v>704</v>
      </c>
      <c r="D16" s="468"/>
      <c r="E16" s="469" t="s">
        <v>630</v>
      </c>
      <c r="F16" s="478" t="s">
        <v>446</v>
      </c>
      <c r="G16" s="468"/>
      <c r="H16" s="481" t="s">
        <v>631</v>
      </c>
      <c r="I16" s="482" t="s">
        <v>358</v>
      </c>
      <c r="J16" s="468"/>
      <c r="K16" s="468"/>
      <c r="L16" s="469" t="s">
        <v>632</v>
      </c>
      <c r="M16" s="479" t="s">
        <v>633</v>
      </c>
      <c r="N16" s="445"/>
    </row>
    <row r="17" spans="1:14" ht="12.95" customHeight="1">
      <c r="A17" s="477"/>
      <c r="B17" s="469" t="s">
        <v>634</v>
      </c>
      <c r="C17" s="470" t="s">
        <v>708</v>
      </c>
      <c r="D17" s="468"/>
      <c r="E17" s="469"/>
      <c r="F17" s="480"/>
      <c r="G17" s="468"/>
      <c r="H17" s="469" t="s">
        <v>635</v>
      </c>
      <c r="I17" s="482" t="s">
        <v>174</v>
      </c>
      <c r="J17" s="468"/>
      <c r="K17" s="468"/>
      <c r="L17" s="469"/>
      <c r="M17" s="483"/>
      <c r="N17" s="445"/>
    </row>
    <row r="18" spans="1:14" ht="12.95" customHeight="1" thickBot="1">
      <c r="A18" s="484"/>
      <c r="B18" s="485" t="s">
        <v>636</v>
      </c>
      <c r="C18" s="486" t="s">
        <v>174</v>
      </c>
      <c r="D18" s="487"/>
      <c r="E18" s="485" t="s">
        <v>637</v>
      </c>
      <c r="F18" s="486" t="s">
        <v>174</v>
      </c>
      <c r="G18" s="488"/>
      <c r="H18" s="485" t="s">
        <v>638</v>
      </c>
      <c r="I18" s="486" t="s">
        <v>174</v>
      </c>
      <c r="J18" s="487"/>
      <c r="K18" s="487"/>
      <c r="L18" s="487"/>
      <c r="M18" s="489"/>
      <c r="N18" s="445"/>
    </row>
    <row r="19" spans="1:14" ht="16.5" thickBot="1">
      <c r="A19" s="445"/>
      <c r="B19" s="445"/>
      <c r="C19" s="445"/>
      <c r="D19" s="445"/>
      <c r="E19" s="445"/>
      <c r="F19" s="445"/>
      <c r="G19" s="445"/>
      <c r="H19" s="445"/>
      <c r="I19" s="445"/>
      <c r="J19" s="445"/>
      <c r="K19" s="445"/>
      <c r="L19" s="445"/>
      <c r="M19" s="445"/>
      <c r="N19" s="445"/>
    </row>
    <row r="20" spans="1:14" ht="20.100000000000001" customHeight="1" thickBot="1">
      <c r="A20" s="474"/>
      <c r="B20" s="475"/>
      <c r="C20" s="475"/>
      <c r="D20" s="475"/>
      <c r="E20" s="475"/>
      <c r="F20" s="475"/>
      <c r="G20" s="475"/>
      <c r="H20" s="475"/>
      <c r="I20" s="475"/>
      <c r="J20" s="475"/>
      <c r="K20" s="475"/>
      <c r="L20" s="475"/>
      <c r="M20" s="476"/>
    </row>
    <row r="21" spans="1:14" ht="15.95" customHeight="1" thickTop="1">
      <c r="A21" s="490" t="s">
        <v>639</v>
      </c>
      <c r="B21" s="491"/>
      <c r="C21" s="466"/>
      <c r="D21" s="492"/>
      <c r="E21" s="493" t="s">
        <v>640</v>
      </c>
      <c r="F21" s="494"/>
      <c r="G21" s="494"/>
      <c r="H21" s="495"/>
      <c r="I21" s="496" t="s">
        <v>641</v>
      </c>
      <c r="J21" s="494"/>
      <c r="K21" s="494"/>
      <c r="L21" s="466"/>
      <c r="M21" s="497"/>
    </row>
    <row r="22" spans="1:14" ht="15.95" customHeight="1">
      <c r="A22" s="498"/>
      <c r="B22" s="468"/>
      <c r="C22" s="469" t="s">
        <v>642</v>
      </c>
      <c r="D22" s="499">
        <v>2826</v>
      </c>
      <c r="E22" s="469"/>
      <c r="G22" s="481" t="s">
        <v>643</v>
      </c>
      <c r="H22" s="500">
        <v>6602</v>
      </c>
      <c r="I22" s="469"/>
      <c r="J22" s="468"/>
      <c r="K22" s="469" t="s">
        <v>644</v>
      </c>
      <c r="L22" s="468" t="s">
        <v>645</v>
      </c>
      <c r="M22" s="483"/>
    </row>
    <row r="23" spans="1:14" ht="15.95" customHeight="1">
      <c r="A23" s="498"/>
      <c r="B23" s="469"/>
      <c r="C23" s="472"/>
      <c r="D23" s="501"/>
      <c r="E23" s="469"/>
      <c r="G23" s="469" t="s">
        <v>646</v>
      </c>
      <c r="H23" s="499">
        <v>71</v>
      </c>
      <c r="I23" s="468"/>
      <c r="J23" s="468"/>
      <c r="K23" s="469" t="s">
        <v>647</v>
      </c>
      <c r="L23" s="468" t="s">
        <v>645</v>
      </c>
      <c r="M23" s="483"/>
    </row>
    <row r="24" spans="1:14" ht="15.95" customHeight="1">
      <c r="A24" s="477"/>
      <c r="B24" s="469"/>
      <c r="C24" s="468"/>
      <c r="D24" s="501"/>
      <c r="E24" s="469"/>
      <c r="G24" s="481" t="s">
        <v>648</v>
      </c>
      <c r="H24" s="499">
        <v>178</v>
      </c>
      <c r="I24" s="468"/>
      <c r="J24" s="469"/>
      <c r="K24" s="468"/>
      <c r="L24" s="468"/>
      <c r="M24" s="483"/>
    </row>
    <row r="25" spans="1:14" ht="15.95" customHeight="1" thickBot="1">
      <c r="A25" s="484"/>
      <c r="B25" s="485"/>
      <c r="C25" s="487"/>
      <c r="D25" s="502"/>
      <c r="E25" s="485"/>
      <c r="F25" s="485"/>
      <c r="G25" s="485"/>
      <c r="H25" s="503"/>
      <c r="I25" s="487"/>
      <c r="J25" s="485"/>
      <c r="K25" s="487"/>
      <c r="L25" s="487"/>
      <c r="M25" s="489"/>
    </row>
    <row r="26" spans="1:14" ht="18.95" customHeight="1" thickBot="1">
      <c r="A26" s="464"/>
      <c r="B26" s="464"/>
      <c r="C26" s="464"/>
      <c r="D26" s="445"/>
      <c r="E26" s="445"/>
      <c r="F26" s="445"/>
      <c r="G26" s="445"/>
      <c r="H26" s="445"/>
      <c r="I26" s="445"/>
      <c r="J26" s="445"/>
      <c r="K26" s="445"/>
      <c r="L26" s="445"/>
      <c r="M26" s="445"/>
      <c r="N26" s="445"/>
    </row>
    <row r="27" spans="1:14" ht="20.100000000000001" customHeight="1" thickBot="1">
      <c r="A27" s="504"/>
      <c r="B27" s="505"/>
      <c r="C27" s="505"/>
      <c r="D27" s="505"/>
      <c r="E27" s="505"/>
      <c r="F27" s="505"/>
      <c r="G27" s="506"/>
      <c r="H27" s="505"/>
      <c r="I27" s="505"/>
      <c r="J27" s="505"/>
      <c r="K27" s="505"/>
      <c r="L27" s="505"/>
      <c r="M27" s="507"/>
    </row>
    <row r="28" spans="1:14" ht="15.95" customHeight="1" thickTop="1">
      <c r="A28" s="508" t="s">
        <v>649</v>
      </c>
      <c r="B28" s="491"/>
      <c r="C28" s="466"/>
      <c r="D28" s="466"/>
      <c r="E28" s="494"/>
      <c r="F28" s="494"/>
      <c r="G28" s="509"/>
      <c r="H28" s="493" t="s">
        <v>650</v>
      </c>
      <c r="I28" s="494"/>
      <c r="J28" s="494"/>
      <c r="K28" s="493"/>
      <c r="L28" s="494"/>
      <c r="M28" s="497"/>
    </row>
    <row r="29" spans="1:14" ht="15.95" customHeight="1">
      <c r="A29" s="477"/>
      <c r="B29" s="469"/>
      <c r="C29" s="469" t="s">
        <v>651</v>
      </c>
      <c r="D29" s="510">
        <v>96.3</v>
      </c>
      <c r="E29" s="469"/>
      <c r="F29" s="469"/>
      <c r="G29" s="509"/>
      <c r="H29" s="481"/>
      <c r="I29" s="469"/>
      <c r="J29" s="469" t="s">
        <v>651</v>
      </c>
      <c r="K29" s="510">
        <v>90.9</v>
      </c>
      <c r="L29" s="468"/>
      <c r="M29" s="483"/>
    </row>
    <row r="30" spans="1:14" ht="15.95" customHeight="1">
      <c r="A30" s="511"/>
      <c r="B30" s="468"/>
      <c r="C30" s="469" t="s">
        <v>652</v>
      </c>
      <c r="D30" s="510">
        <v>96.2</v>
      </c>
      <c r="E30" s="469"/>
      <c r="F30" s="469"/>
      <c r="G30" s="509"/>
      <c r="H30" s="469"/>
      <c r="I30" s="468"/>
      <c r="J30" s="469" t="s">
        <v>652</v>
      </c>
      <c r="K30" s="510">
        <v>90.7</v>
      </c>
      <c r="L30" s="468"/>
      <c r="M30" s="483"/>
    </row>
    <row r="31" spans="1:14" ht="15.95" customHeight="1">
      <c r="A31" s="477"/>
      <c r="B31" s="469"/>
      <c r="C31" s="469" t="s">
        <v>653</v>
      </c>
      <c r="D31" s="510">
        <v>95.7</v>
      </c>
      <c r="E31" s="469"/>
      <c r="F31" s="469"/>
      <c r="G31" s="509"/>
      <c r="H31" s="469"/>
      <c r="I31" s="468"/>
      <c r="J31" s="469" t="s">
        <v>653</v>
      </c>
      <c r="K31" s="510">
        <v>88.7</v>
      </c>
      <c r="L31" s="469"/>
      <c r="M31" s="483"/>
    </row>
    <row r="32" spans="1:14" ht="15.95" customHeight="1" thickBot="1">
      <c r="A32" s="484"/>
      <c r="B32" s="485"/>
      <c r="C32" s="487"/>
      <c r="D32" s="487"/>
      <c r="E32" s="485"/>
      <c r="F32" s="485"/>
      <c r="G32" s="512"/>
      <c r="H32" s="485"/>
      <c r="I32" s="487"/>
      <c r="J32" s="485"/>
      <c r="K32" s="487"/>
      <c r="L32" s="485"/>
      <c r="M32" s="489"/>
    </row>
    <row r="33" spans="1:14" ht="20.100000000000001" customHeight="1" thickBot="1">
      <c r="A33" s="513"/>
      <c r="B33" s="513"/>
      <c r="C33" s="513"/>
      <c r="D33" s="513"/>
      <c r="E33" s="513"/>
      <c r="F33" s="513"/>
      <c r="G33" s="513"/>
      <c r="H33" s="513"/>
      <c r="I33" s="513"/>
      <c r="J33" s="513"/>
      <c r="K33" s="513"/>
      <c r="L33" s="513"/>
      <c r="M33" s="513"/>
      <c r="N33" s="513"/>
    </row>
    <row r="34" spans="1:14" ht="20.100000000000001" customHeight="1" thickBot="1">
      <c r="A34" s="514"/>
      <c r="B34" s="515"/>
      <c r="C34" s="515"/>
      <c r="D34" s="515"/>
      <c r="E34" s="515"/>
      <c r="F34" s="515"/>
      <c r="G34" s="515"/>
      <c r="H34" s="515"/>
      <c r="I34" s="515"/>
      <c r="J34" s="515"/>
      <c r="K34" s="515"/>
      <c r="L34" s="515"/>
      <c r="M34" s="516"/>
    </row>
    <row r="35" spans="1:14" ht="15.95" customHeight="1" thickTop="1">
      <c r="A35" s="517" t="s">
        <v>654</v>
      </c>
      <c r="B35" s="472"/>
      <c r="C35" s="472"/>
      <c r="D35" s="472"/>
      <c r="E35" s="472"/>
      <c r="F35" s="472"/>
      <c r="G35" s="472"/>
      <c r="H35" s="472"/>
      <c r="I35" s="472"/>
      <c r="J35" s="472"/>
      <c r="K35" s="472"/>
      <c r="L35" s="472"/>
      <c r="M35" s="518"/>
    </row>
    <row r="36" spans="1:14" ht="15.95" customHeight="1">
      <c r="A36" s="511" t="s">
        <v>655</v>
      </c>
      <c r="B36" s="472"/>
      <c r="C36" s="472"/>
      <c r="D36" s="472"/>
      <c r="E36" s="472"/>
      <c r="F36" s="472"/>
      <c r="G36" s="472"/>
      <c r="H36" s="472"/>
      <c r="I36" s="472"/>
      <c r="J36" s="472"/>
      <c r="K36" s="472"/>
      <c r="L36" s="472"/>
      <c r="M36" s="518"/>
    </row>
    <row r="37" spans="1:14" ht="15.95" customHeight="1">
      <c r="A37" s="519" t="s">
        <v>656</v>
      </c>
      <c r="B37" s="472"/>
      <c r="C37" s="472"/>
      <c r="D37" s="472"/>
      <c r="E37" s="520"/>
      <c r="F37" s="472"/>
      <c r="G37" s="472"/>
      <c r="H37" s="472"/>
      <c r="I37" s="472"/>
      <c r="J37" s="472"/>
      <c r="K37" s="472"/>
      <c r="L37" s="472"/>
      <c r="M37" s="518"/>
    </row>
    <row r="38" spans="1:14" ht="15.95" customHeight="1">
      <c r="A38" s="521" t="s">
        <v>657</v>
      </c>
      <c r="B38" s="472"/>
      <c r="C38" s="472"/>
      <c r="D38" s="472"/>
      <c r="E38" s="472"/>
      <c r="F38" s="472"/>
      <c r="G38" s="472"/>
      <c r="H38" s="472"/>
      <c r="I38" s="472"/>
      <c r="J38" s="472"/>
      <c r="K38" s="472"/>
      <c r="L38" s="472"/>
      <c r="M38" s="518"/>
    </row>
    <row r="39" spans="1:14" ht="15.95" customHeight="1">
      <c r="A39" s="522" t="s">
        <v>658</v>
      </c>
      <c r="B39" s="472"/>
      <c r="C39" s="472"/>
      <c r="D39" s="472"/>
      <c r="E39" s="472"/>
      <c r="F39" s="472"/>
      <c r="G39" s="472"/>
      <c r="H39" s="472"/>
      <c r="I39" s="472"/>
      <c r="J39" s="472"/>
      <c r="K39" s="472"/>
      <c r="L39" s="472"/>
      <c r="M39" s="518"/>
    </row>
    <row r="40" spans="1:14" ht="15.95" customHeight="1" thickBot="1">
      <c r="A40" s="523" t="s">
        <v>659</v>
      </c>
      <c r="B40" s="524"/>
      <c r="C40" s="524"/>
      <c r="D40" s="524"/>
      <c r="E40" s="524"/>
      <c r="F40" s="524"/>
      <c r="G40" s="524"/>
      <c r="H40" s="524"/>
      <c r="I40" s="524"/>
      <c r="J40" s="524"/>
      <c r="K40" s="524"/>
      <c r="L40" s="524"/>
      <c r="M40" s="525"/>
    </row>
    <row r="41" spans="1:14" ht="15.95" customHeight="1"/>
    <row r="42" spans="1:14" ht="18">
      <c r="A42" s="526"/>
      <c r="B42" s="526"/>
      <c r="C42" s="526"/>
      <c r="D42" s="526"/>
      <c r="E42" s="526"/>
      <c r="F42" s="526"/>
      <c r="G42" s="526"/>
      <c r="H42" s="445"/>
      <c r="I42" s="445"/>
      <c r="J42" s="527" t="s">
        <v>660</v>
      </c>
      <c r="K42" s="694" t="s">
        <v>661</v>
      </c>
      <c r="L42" s="694"/>
      <c r="M42" s="694"/>
      <c r="N42" s="526"/>
    </row>
    <row r="43" spans="1:14" ht="7.5" customHeight="1">
      <c r="H43" s="445"/>
      <c r="I43" s="445"/>
      <c r="J43" s="445"/>
      <c r="K43" s="445"/>
      <c r="L43" s="445"/>
      <c r="M43" s="445"/>
    </row>
    <row r="44" spans="1:14" ht="16.5">
      <c r="H44" s="445"/>
      <c r="I44" s="445"/>
      <c r="J44" s="527" t="s">
        <v>662</v>
      </c>
      <c r="K44" s="695">
        <v>43151</v>
      </c>
      <c r="L44" s="695"/>
      <c r="M44" s="695"/>
    </row>
    <row r="59" spans="1:5">
      <c r="A59" s="446" t="s">
        <v>174</v>
      </c>
      <c r="B59" s="446" t="s">
        <v>663</v>
      </c>
      <c r="D59" s="446">
        <v>1</v>
      </c>
      <c r="E59" s="528" t="s">
        <v>174</v>
      </c>
    </row>
    <row r="60" spans="1:5">
      <c r="A60" s="446" t="s">
        <v>664</v>
      </c>
      <c r="B60" s="446" t="s">
        <v>665</v>
      </c>
      <c r="D60" s="446">
        <v>1.1499999999999999</v>
      </c>
      <c r="E60" s="528" t="s">
        <v>183</v>
      </c>
    </row>
    <row r="61" spans="1:5">
      <c r="A61" s="446" t="s">
        <v>666</v>
      </c>
      <c r="B61" s="446" t="s">
        <v>667</v>
      </c>
      <c r="E61" s="528" t="s">
        <v>321</v>
      </c>
    </row>
    <row r="62" spans="1:5">
      <c r="B62" s="446" t="s">
        <v>668</v>
      </c>
    </row>
    <row r="63" spans="1:5">
      <c r="B63" s="446" t="s">
        <v>669</v>
      </c>
    </row>
    <row r="64" spans="1:5">
      <c r="B64" s="446" t="s">
        <v>670</v>
      </c>
    </row>
    <row r="65" spans="2:2">
      <c r="B65" s="446" t="s">
        <v>671</v>
      </c>
    </row>
    <row r="66" spans="2:2">
      <c r="B66" s="446" t="s">
        <v>672</v>
      </c>
    </row>
    <row r="67" spans="2:2">
      <c r="B67" s="446" t="s">
        <v>673</v>
      </c>
    </row>
    <row r="68" spans="2:2">
      <c r="B68" s="446" t="s">
        <v>674</v>
      </c>
    </row>
    <row r="69" spans="2:2">
      <c r="B69" s="446" t="s">
        <v>675</v>
      </c>
    </row>
    <row r="70" spans="2:2">
      <c r="B70" s="446" t="s">
        <v>676</v>
      </c>
    </row>
    <row r="71" spans="2:2">
      <c r="B71" s="446" t="s">
        <v>677</v>
      </c>
    </row>
    <row r="72" spans="2:2">
      <c r="B72" s="446" t="s">
        <v>678</v>
      </c>
    </row>
    <row r="73" spans="2:2">
      <c r="B73" s="446" t="s">
        <v>679</v>
      </c>
    </row>
    <row r="74" spans="2:2">
      <c r="B74" s="446" t="s">
        <v>680</v>
      </c>
    </row>
    <row r="75" spans="2:2">
      <c r="B75" s="446" t="s">
        <v>681</v>
      </c>
    </row>
    <row r="76" spans="2:2">
      <c r="B76" s="446" t="s">
        <v>682</v>
      </c>
    </row>
    <row r="77" spans="2:2">
      <c r="B77" s="446" t="s">
        <v>683</v>
      </c>
    </row>
    <row r="78" spans="2:2">
      <c r="B78" s="446" t="s">
        <v>684</v>
      </c>
    </row>
    <row r="79" spans="2:2">
      <c r="B79" s="446" t="s">
        <v>685</v>
      </c>
    </row>
    <row r="80" spans="2:2">
      <c r="B80" s="446">
        <v>6312</v>
      </c>
    </row>
    <row r="81" spans="2:2">
      <c r="B81" s="446" t="s">
        <v>686</v>
      </c>
    </row>
    <row r="82" spans="2:2">
      <c r="B82" s="446" t="s">
        <v>687</v>
      </c>
    </row>
    <row r="83" spans="2:2">
      <c r="B83" s="446" t="s">
        <v>688</v>
      </c>
    </row>
    <row r="84" spans="2:2">
      <c r="B84" s="446" t="s">
        <v>689</v>
      </c>
    </row>
    <row r="85" spans="2:2">
      <c r="B85" s="446">
        <v>6313</v>
      </c>
    </row>
    <row r="86" spans="2:2">
      <c r="B86" s="446" t="s">
        <v>690</v>
      </c>
    </row>
    <row r="87" spans="2:2">
      <c r="B87" s="446" t="s">
        <v>691</v>
      </c>
    </row>
    <row r="88" spans="2:2">
      <c r="B88" s="446" t="s">
        <v>692</v>
      </c>
    </row>
    <row r="89" spans="2:2">
      <c r="B89" s="446">
        <v>6314</v>
      </c>
    </row>
    <row r="90" spans="2:2">
      <c r="B90" s="446" t="s">
        <v>693</v>
      </c>
    </row>
    <row r="91" spans="2:2">
      <c r="B91" s="446">
        <v>6317</v>
      </c>
    </row>
    <row r="92" spans="2:2">
      <c r="B92" s="446" t="s">
        <v>694</v>
      </c>
    </row>
    <row r="93" spans="2:2">
      <c r="B93" s="446">
        <v>6318</v>
      </c>
    </row>
    <row r="94" spans="2:2">
      <c r="B94" s="446" t="s">
        <v>695</v>
      </c>
    </row>
    <row r="95" spans="2:2">
      <c r="B95" s="446" t="s">
        <v>696</v>
      </c>
    </row>
    <row r="96" spans="2:2">
      <c r="B96" s="446" t="s">
        <v>697</v>
      </c>
    </row>
    <row r="97" spans="2:2">
      <c r="B97" s="446">
        <v>6320</v>
      </c>
    </row>
    <row r="98" spans="2:2">
      <c r="B98" s="446" t="s">
        <v>698</v>
      </c>
    </row>
    <row r="99" spans="2:2">
      <c r="B99" s="446" t="s">
        <v>699</v>
      </c>
    </row>
    <row r="100" spans="2:2">
      <c r="B100" s="446" t="s">
        <v>700</v>
      </c>
    </row>
    <row r="101" spans="2:2">
      <c r="B101" s="446" t="s">
        <v>701</v>
      </c>
    </row>
    <row r="102" spans="2:2">
      <c r="B102" s="446" t="s">
        <v>701</v>
      </c>
    </row>
    <row r="118" spans="2:2">
      <c r="B118" s="446" t="s">
        <v>702</v>
      </c>
    </row>
    <row r="120" spans="2:2">
      <c r="B120" s="446" t="s">
        <v>703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67"/>
  <sheetViews>
    <sheetView workbookViewId="0">
      <selection activeCell="R21" sqref="R21"/>
    </sheetView>
  </sheetViews>
  <sheetFormatPr defaultRowHeight="12.75"/>
  <cols>
    <col min="1" max="6" width="16.7109375" style="375" customWidth="1"/>
    <col min="7" max="16384" width="9.140625" style="375"/>
  </cols>
  <sheetData>
    <row r="1" spans="1:6" ht="18.95" customHeight="1">
      <c r="A1" s="387"/>
      <c r="B1" s="388"/>
      <c r="C1" s="388"/>
      <c r="D1" s="388"/>
      <c r="E1" s="388"/>
      <c r="F1" s="389"/>
    </row>
    <row r="2" spans="1:6" ht="26.1" customHeight="1">
      <c r="A2" s="390" t="s">
        <v>270</v>
      </c>
      <c r="B2" s="391"/>
      <c r="C2" s="391"/>
      <c r="D2" s="391"/>
      <c r="E2" s="391"/>
      <c r="F2" s="392"/>
    </row>
    <row r="3" spans="1:6" ht="18.95" customHeight="1">
      <c r="A3" s="418" t="s">
        <v>567</v>
      </c>
      <c r="B3" s="391"/>
      <c r="C3" s="391"/>
      <c r="D3" s="391"/>
      <c r="E3" s="391"/>
      <c r="F3" s="392"/>
    </row>
    <row r="4" spans="1:6" ht="18.95" customHeight="1">
      <c r="A4" s="393"/>
      <c r="B4" s="394"/>
      <c r="C4" s="394"/>
      <c r="D4" s="394"/>
      <c r="E4" s="394"/>
      <c r="F4" s="395"/>
    </row>
    <row r="5" spans="1:6" ht="18.95" customHeight="1">
      <c r="A5" s="393"/>
      <c r="B5" s="394"/>
      <c r="C5" s="394"/>
      <c r="D5" s="394"/>
      <c r="E5" s="394"/>
      <c r="F5" s="395"/>
    </row>
    <row r="6" spans="1:6" ht="18.95" customHeight="1">
      <c r="A6" s="396" t="s">
        <v>568</v>
      </c>
      <c r="B6" s="696" t="str">
        <f>'Performance Data Sheet'!C17</f>
        <v>QUOTE # 17548</v>
      </c>
      <c r="C6" s="697"/>
      <c r="D6" s="698"/>
      <c r="E6" s="396" t="s">
        <v>569</v>
      </c>
      <c r="F6" s="397">
        <f>'Performance Data Sheet'!I14</f>
        <v>553</v>
      </c>
    </row>
    <row r="7" spans="1:6" ht="18.95" customHeight="1">
      <c r="A7" s="396" t="s">
        <v>570</v>
      </c>
      <c r="B7" s="397" t="str">
        <f>'Performance Data Sheet'!F14</f>
        <v>WPII</v>
      </c>
      <c r="C7" s="396" t="s">
        <v>571</v>
      </c>
      <c r="D7" s="397" t="str">
        <f>'Performance Data Sheet'!F13 &amp; " V"</f>
        <v>4000 V</v>
      </c>
      <c r="E7" s="396" t="s">
        <v>572</v>
      </c>
      <c r="F7" s="397" t="str">
        <f>'Performance Data Sheet'!C14</f>
        <v>6813USS</v>
      </c>
    </row>
    <row r="8" spans="1:6" ht="18.95" customHeight="1">
      <c r="A8" s="396" t="s">
        <v>573</v>
      </c>
      <c r="B8" s="397">
        <v>2</v>
      </c>
      <c r="C8" s="396" t="s">
        <v>574</v>
      </c>
      <c r="D8" s="397" t="s">
        <v>575</v>
      </c>
      <c r="E8" s="396" t="s">
        <v>576</v>
      </c>
      <c r="F8" s="397" t="str">
        <f>'Performance Data Sheet'!M15</f>
        <v>F</v>
      </c>
    </row>
    <row r="9" spans="1:6" ht="18.95" customHeight="1">
      <c r="A9" s="396" t="s">
        <v>577</v>
      </c>
      <c r="B9" s="397">
        <f>'Performance Data Sheet'!C13</f>
        <v>4500</v>
      </c>
      <c r="C9" s="396" t="s">
        <v>578</v>
      </c>
      <c r="D9" s="397" t="s">
        <v>588</v>
      </c>
      <c r="E9" s="396" t="s">
        <v>2</v>
      </c>
      <c r="F9" s="398">
        <f>'Performance Data Sheet'!K44</f>
        <v>43151</v>
      </c>
    </row>
    <row r="10" spans="1:6" ht="18.95" customHeight="1">
      <c r="A10" s="396" t="s">
        <v>579</v>
      </c>
      <c r="B10" s="397">
        <f>'Performance Data Sheet'!M14</f>
        <v>3580</v>
      </c>
      <c r="C10" s="396" t="s">
        <v>405</v>
      </c>
      <c r="D10" s="397" t="s">
        <v>589</v>
      </c>
      <c r="E10" s="396" t="s">
        <v>1</v>
      </c>
      <c r="F10" s="397" t="s">
        <v>380</v>
      </c>
    </row>
    <row r="11" spans="1:6" ht="18.95" customHeight="1">
      <c r="A11" s="393"/>
      <c r="B11" s="394"/>
      <c r="C11" s="394"/>
      <c r="D11" s="394"/>
      <c r="E11" s="394"/>
      <c r="F11" s="395"/>
    </row>
    <row r="12" spans="1:6" ht="18.95" customHeight="1">
      <c r="A12" s="393"/>
      <c r="B12" s="399" t="s">
        <v>580</v>
      </c>
      <c r="C12" s="400" t="str">
        <f>'Performance Data Sheet'!D22 &amp; " A"</f>
        <v>2826 A</v>
      </c>
      <c r="D12" s="399" t="s">
        <v>404</v>
      </c>
      <c r="E12" s="400" t="s">
        <v>408</v>
      </c>
      <c r="F12" s="395"/>
    </row>
    <row r="13" spans="1:6" ht="18.95" customHeight="1">
      <c r="A13" s="393"/>
      <c r="B13" s="399" t="s">
        <v>581</v>
      </c>
      <c r="C13" s="401">
        <f>'Performance Data Sheet'!H23/100</f>
        <v>0.71</v>
      </c>
      <c r="D13" s="399" t="s">
        <v>582</v>
      </c>
      <c r="E13" s="400" t="s">
        <v>590</v>
      </c>
      <c r="F13" s="395"/>
    </row>
    <row r="14" spans="1:6" ht="18.95" customHeight="1">
      <c r="A14" s="393"/>
      <c r="B14" s="399" t="s">
        <v>583</v>
      </c>
      <c r="C14" s="401">
        <v>1.78</v>
      </c>
      <c r="D14" s="399" t="s">
        <v>406</v>
      </c>
      <c r="E14" s="400" t="s">
        <v>412</v>
      </c>
      <c r="F14" s="395"/>
    </row>
    <row r="15" spans="1:6" ht="18.95" customHeight="1">
      <c r="A15" s="393"/>
      <c r="B15" s="399" t="s">
        <v>407</v>
      </c>
      <c r="C15" s="400" t="str">
        <f>'Performance Data Sheet'!H22 &amp; " lb-ft"</f>
        <v>6602 lb-ft</v>
      </c>
      <c r="D15" s="394"/>
      <c r="E15" s="394"/>
      <c r="F15" s="395"/>
    </row>
    <row r="16" spans="1:6" ht="18.95" customHeight="1">
      <c r="A16" s="393"/>
      <c r="B16" s="394"/>
      <c r="C16" s="394"/>
      <c r="D16" s="394"/>
      <c r="E16" s="394"/>
      <c r="F16" s="395"/>
    </row>
    <row r="17" spans="1:6" ht="18.95" customHeight="1">
      <c r="A17" s="393"/>
      <c r="B17" s="394"/>
      <c r="C17" s="394"/>
      <c r="D17" s="394"/>
      <c r="E17" s="394"/>
      <c r="F17" s="395"/>
    </row>
    <row r="18" spans="1:6" ht="18.95" customHeight="1">
      <c r="A18" s="393"/>
      <c r="B18" s="394"/>
      <c r="C18" s="394"/>
      <c r="D18" s="394"/>
      <c r="E18" s="394"/>
      <c r="F18" s="395"/>
    </row>
    <row r="19" spans="1:6" ht="18.95" customHeight="1">
      <c r="A19" s="393"/>
      <c r="B19" s="394"/>
      <c r="C19" s="394"/>
      <c r="D19" s="394"/>
      <c r="E19" s="394"/>
      <c r="F19" s="395"/>
    </row>
    <row r="20" spans="1:6" ht="18.95" customHeight="1">
      <c r="A20" s="393"/>
      <c r="B20" s="394"/>
      <c r="C20" s="394"/>
      <c r="D20" s="394"/>
      <c r="E20" s="394"/>
      <c r="F20" s="395"/>
    </row>
    <row r="21" spans="1:6" ht="18.95" customHeight="1">
      <c r="A21" s="393"/>
      <c r="B21" s="394"/>
      <c r="C21" s="394"/>
      <c r="D21" s="394"/>
      <c r="E21" s="394"/>
      <c r="F21" s="395"/>
    </row>
    <row r="22" spans="1:6" ht="18.95" customHeight="1">
      <c r="A22" s="393"/>
      <c r="B22" s="394"/>
      <c r="C22" s="394"/>
      <c r="D22" s="394"/>
      <c r="E22" s="394"/>
      <c r="F22" s="395"/>
    </row>
    <row r="23" spans="1:6" ht="18.95" customHeight="1">
      <c r="A23" s="393"/>
      <c r="B23" s="394"/>
      <c r="C23" s="394"/>
      <c r="D23" s="394"/>
      <c r="E23" s="394"/>
      <c r="F23" s="395"/>
    </row>
    <row r="24" spans="1:6" ht="18.95" customHeight="1">
      <c r="A24" s="393"/>
      <c r="B24" s="394"/>
      <c r="C24" s="394"/>
      <c r="D24" s="394"/>
      <c r="E24" s="394"/>
      <c r="F24" s="395"/>
    </row>
    <row r="25" spans="1:6" ht="18.95" customHeight="1">
      <c r="A25" s="393"/>
      <c r="B25" s="394"/>
      <c r="C25" s="394"/>
      <c r="D25" s="394"/>
      <c r="E25" s="394"/>
      <c r="F25" s="395"/>
    </row>
    <row r="26" spans="1:6" ht="18.95" customHeight="1">
      <c r="A26" s="393"/>
      <c r="B26" s="394"/>
      <c r="C26" s="394"/>
      <c r="D26" s="394"/>
      <c r="E26" s="394"/>
      <c r="F26" s="395"/>
    </row>
    <row r="27" spans="1:6" ht="18.95" customHeight="1">
      <c r="A27" s="393"/>
      <c r="B27" s="394"/>
      <c r="C27" s="394"/>
      <c r="D27" s="394"/>
      <c r="E27" s="394"/>
      <c r="F27" s="395"/>
    </row>
    <row r="28" spans="1:6" ht="18.95" customHeight="1">
      <c r="A28" s="393"/>
      <c r="B28" s="394"/>
      <c r="C28" s="394"/>
      <c r="D28" s="394"/>
      <c r="E28" s="394"/>
      <c r="F28" s="395"/>
    </row>
    <row r="29" spans="1:6" ht="18.95" customHeight="1">
      <c r="A29" s="393"/>
      <c r="B29" s="394"/>
      <c r="C29" s="394"/>
      <c r="D29" s="394"/>
      <c r="E29" s="394"/>
      <c r="F29" s="395"/>
    </row>
    <row r="30" spans="1:6" ht="18.95" customHeight="1">
      <c r="A30" s="393"/>
      <c r="B30" s="394"/>
      <c r="C30" s="394"/>
      <c r="D30" s="394"/>
      <c r="E30" s="394"/>
      <c r="F30" s="395"/>
    </row>
    <row r="31" spans="1:6" ht="18.95" customHeight="1">
      <c r="A31" s="393"/>
      <c r="B31" s="394"/>
      <c r="C31" s="394"/>
      <c r="D31" s="394"/>
      <c r="E31" s="394"/>
      <c r="F31" s="395"/>
    </row>
    <row r="32" spans="1:6" ht="18.95" customHeight="1">
      <c r="A32" s="393"/>
      <c r="B32" s="394"/>
      <c r="C32" s="394"/>
      <c r="D32" s="394"/>
      <c r="E32" s="394"/>
      <c r="F32" s="395"/>
    </row>
    <row r="33" spans="1:6" ht="18.95" customHeight="1">
      <c r="A33" s="393"/>
      <c r="B33" s="394"/>
      <c r="C33" s="394"/>
      <c r="D33" s="394"/>
      <c r="E33" s="394"/>
      <c r="F33" s="395"/>
    </row>
    <row r="34" spans="1:6" ht="18.95" customHeight="1">
      <c r="A34" s="393"/>
      <c r="B34" s="394"/>
      <c r="C34" s="394"/>
      <c r="D34" s="394"/>
      <c r="E34" s="394"/>
      <c r="F34" s="395"/>
    </row>
    <row r="35" spans="1:6" ht="18.95" customHeight="1">
      <c r="A35" s="393"/>
      <c r="B35" s="394"/>
      <c r="C35" s="394"/>
      <c r="D35" s="394"/>
      <c r="E35" s="394"/>
      <c r="F35" s="395"/>
    </row>
    <row r="36" spans="1:6" ht="18.95" customHeight="1">
      <c r="A36" s="393"/>
      <c r="B36" s="394"/>
      <c r="C36" s="394"/>
      <c r="D36" s="394"/>
      <c r="E36" s="394"/>
      <c r="F36" s="395"/>
    </row>
    <row r="37" spans="1:6" ht="18.95" customHeight="1">
      <c r="A37" s="393"/>
      <c r="B37" s="394"/>
      <c r="C37" s="394"/>
      <c r="D37" s="394"/>
      <c r="E37" s="394"/>
      <c r="F37" s="395"/>
    </row>
    <row r="38" spans="1:6" ht="18.95" customHeight="1">
      <c r="A38" s="393"/>
      <c r="B38" s="394"/>
      <c r="C38" s="394"/>
      <c r="D38" s="394"/>
      <c r="E38" s="394"/>
      <c r="F38" s="395"/>
    </row>
    <row r="39" spans="1:6" ht="18.95" customHeight="1">
      <c r="A39" s="402" t="s">
        <v>584</v>
      </c>
      <c r="B39" s="403" t="s">
        <v>371</v>
      </c>
      <c r="C39" s="529" t="str">
        <f>'Performance Data Sheet'!C10</f>
        <v>-</v>
      </c>
      <c r="D39" s="394"/>
      <c r="E39" s="399" t="s">
        <v>585</v>
      </c>
      <c r="F39" s="404" t="str">
        <f>F10</f>
        <v>DT2M90U</v>
      </c>
    </row>
    <row r="40" spans="1:6" ht="18.95" customHeight="1">
      <c r="A40" s="393"/>
      <c r="B40" s="403"/>
      <c r="C40" s="403"/>
      <c r="D40" s="394"/>
      <c r="E40" s="394"/>
      <c r="F40" s="395"/>
    </row>
    <row r="41" spans="1:6" ht="18.95" customHeight="1">
      <c r="A41" s="393"/>
      <c r="B41" s="403"/>
      <c r="C41" s="403"/>
      <c r="D41" s="394"/>
      <c r="E41" s="394"/>
      <c r="F41" s="395"/>
    </row>
    <row r="42" spans="1:6" ht="18.95" customHeight="1">
      <c r="A42" s="393"/>
      <c r="B42" s="394"/>
      <c r="C42" s="394"/>
      <c r="D42" s="394"/>
      <c r="E42" s="394"/>
      <c r="F42" s="395"/>
    </row>
    <row r="43" spans="1:6" ht="18.95" customHeight="1">
      <c r="A43" s="405"/>
      <c r="B43" s="403"/>
      <c r="C43" s="406" t="s">
        <v>586</v>
      </c>
      <c r="D43" s="407" t="str">
        <f>'Performance Data Sheet'!K42</f>
        <v>Zichao Xie</v>
      </c>
      <c r="E43" s="406" t="s">
        <v>587</v>
      </c>
      <c r="F43" s="40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68" t="s">
        <v>403</v>
      </c>
      <c r="E53" s="368"/>
      <c r="F53" s="368"/>
      <c r="G53" s="368"/>
      <c r="H53" s="368"/>
      <c r="I53" s="368"/>
      <c r="J53" s="368"/>
      <c r="K53" s="368"/>
      <c r="L53" s="368"/>
    </row>
    <row r="54" spans="1:12" ht="15" customHeight="1">
      <c r="A54" s="422">
        <v>100</v>
      </c>
      <c r="B54" s="368">
        <v>0</v>
      </c>
      <c r="C54" s="368">
        <v>0.14892543852329254</v>
      </c>
      <c r="D54" s="368">
        <v>100</v>
      </c>
      <c r="E54" s="368"/>
      <c r="F54" s="368"/>
      <c r="G54" s="368"/>
      <c r="H54" s="368"/>
      <c r="I54" s="368"/>
      <c r="J54" s="368"/>
      <c r="K54" s="368"/>
      <c r="L54" s="368"/>
    </row>
    <row r="55" spans="1:12" ht="15" customHeight="1">
      <c r="A55" s="422">
        <v>99.799999967217445</v>
      </c>
      <c r="B55" s="368">
        <v>89.930042218356235</v>
      </c>
      <c r="C55" s="368">
        <v>125.78456878662109</v>
      </c>
      <c r="D55" s="368">
        <v>99.599998474121094</v>
      </c>
      <c r="E55" s="368"/>
      <c r="F55" s="368"/>
      <c r="G55" s="368"/>
      <c r="H55" s="368"/>
      <c r="I55" s="368"/>
      <c r="J55" s="368"/>
      <c r="K55" s="368"/>
      <c r="L55" s="368"/>
    </row>
    <row r="56" spans="1:12" ht="15" customHeight="1">
      <c r="A56" s="422">
        <v>98.999999836087227</v>
      </c>
      <c r="B56" s="368">
        <v>178</v>
      </c>
      <c r="C56" s="368">
        <v>383.68643188476563</v>
      </c>
      <c r="D56" s="368">
        <v>98</v>
      </c>
      <c r="E56" s="368"/>
      <c r="F56" s="368"/>
      <c r="G56" s="368"/>
      <c r="H56" s="368"/>
      <c r="I56" s="368"/>
      <c r="J56" s="368"/>
      <c r="K56" s="368"/>
      <c r="L56" s="368"/>
    </row>
    <row r="57" spans="1:12">
      <c r="A57" s="422">
        <v>93.789473548531532</v>
      </c>
      <c r="B57" s="368">
        <v>108.9935013277499</v>
      </c>
      <c r="C57" s="368">
        <v>451.71124267578125</v>
      </c>
      <c r="D57" s="368">
        <v>83.852630615234375</v>
      </c>
      <c r="E57" s="368"/>
      <c r="F57" s="368"/>
      <c r="G57" s="368"/>
      <c r="H57" s="368"/>
      <c r="I57" s="368"/>
      <c r="J57" s="368"/>
      <c r="K57" s="368"/>
      <c r="L57" s="368"/>
    </row>
    <row r="58" spans="1:12">
      <c r="A58" s="422">
        <v>88.578946888446808</v>
      </c>
      <c r="B58" s="368">
        <v>90.013690579724098</v>
      </c>
      <c r="C58" s="368">
        <v>469.89956665039063</v>
      </c>
      <c r="D58" s="368">
        <v>70.305259704589844</v>
      </c>
      <c r="E58" s="368"/>
      <c r="F58" s="368"/>
      <c r="G58" s="368"/>
      <c r="H58" s="368"/>
      <c r="I58" s="368"/>
      <c r="J58" s="368"/>
      <c r="K58" s="368"/>
      <c r="L58" s="368"/>
    </row>
    <row r="59" spans="1:12">
      <c r="A59" s="422">
        <v>83.368420600891113</v>
      </c>
      <c r="B59" s="368">
        <v>81.847084298606873</v>
      </c>
      <c r="C59" s="368">
        <v>477.61764526367188</v>
      </c>
      <c r="D59" s="368">
        <v>57.410526275634766</v>
      </c>
      <c r="E59" s="368"/>
      <c r="F59" s="368"/>
      <c r="G59" s="368"/>
      <c r="H59" s="368"/>
      <c r="I59" s="368"/>
      <c r="J59" s="368"/>
      <c r="K59" s="368"/>
      <c r="L59" s="368"/>
    </row>
    <row r="60" spans="1:12">
      <c r="A60" s="422">
        <v>72.947368025779724</v>
      </c>
      <c r="B60" s="368">
        <v>76.937716330122271</v>
      </c>
      <c r="C60" s="368">
        <v>485.79959106445313</v>
      </c>
      <c r="D60" s="368">
        <v>38.010524749755859</v>
      </c>
      <c r="E60" s="368"/>
      <c r="F60" s="368"/>
      <c r="G60" s="368"/>
      <c r="H60" s="368"/>
      <c r="I60" s="368"/>
      <c r="J60" s="368"/>
      <c r="K60" s="368"/>
      <c r="L60" s="368"/>
    </row>
    <row r="61" spans="1:12">
      <c r="A61" s="422">
        <v>62.526315450668335</v>
      </c>
      <c r="B61" s="368">
        <v>74.550921249540806</v>
      </c>
      <c r="C61" s="368">
        <v>491.33999633789063</v>
      </c>
      <c r="D61" s="368">
        <v>24.778947830200195</v>
      </c>
      <c r="E61" s="368"/>
      <c r="F61" s="368"/>
      <c r="G61" s="368"/>
      <c r="H61" s="368"/>
      <c r="I61" s="368"/>
      <c r="J61" s="368"/>
      <c r="K61" s="368"/>
      <c r="L61" s="368"/>
    </row>
    <row r="62" spans="1:12">
      <c r="A62" s="422">
        <v>52.105262875556946</v>
      </c>
      <c r="B62" s="368">
        <v>73.095198178502329</v>
      </c>
      <c r="C62" s="368">
        <v>496.04159545898438</v>
      </c>
      <c r="D62" s="368">
        <v>15.684209823608398</v>
      </c>
      <c r="E62" s="368"/>
      <c r="F62" s="368"/>
      <c r="G62" s="368"/>
      <c r="H62" s="368"/>
      <c r="I62" s="368"/>
      <c r="J62" s="368"/>
      <c r="K62" s="368"/>
      <c r="L62" s="368"/>
    </row>
    <row r="63" spans="1:12">
      <c r="A63" s="422">
        <v>41.684210300445557</v>
      </c>
      <c r="B63" s="368">
        <v>72.181218907155568</v>
      </c>
      <c r="C63" s="368">
        <v>500.07461547851563</v>
      </c>
      <c r="D63" s="368">
        <v>9.0105257034301758</v>
      </c>
      <c r="E63" s="368"/>
      <c r="F63" s="368"/>
      <c r="G63" s="368"/>
      <c r="H63" s="368"/>
      <c r="I63" s="368"/>
      <c r="J63" s="368"/>
      <c r="K63" s="368"/>
      <c r="L63" s="368"/>
    </row>
    <row r="64" spans="1:12">
      <c r="A64" s="422">
        <v>31.263160705566406</v>
      </c>
      <c r="B64" s="368">
        <v>71.621274120223021</v>
      </c>
      <c r="C64" s="368">
        <v>503.50103759765625</v>
      </c>
      <c r="D64" s="368">
        <v>6.2526321411132813</v>
      </c>
      <c r="E64" s="368"/>
      <c r="F64" s="368"/>
      <c r="G64" s="368"/>
      <c r="H64" s="368"/>
      <c r="I64" s="368"/>
      <c r="J64" s="368"/>
      <c r="K64" s="368"/>
      <c r="L64" s="368"/>
    </row>
    <row r="65" spans="1:12">
      <c r="A65" s="422">
        <v>20.842105150222778</v>
      </c>
      <c r="B65" s="368">
        <v>71.28987837118251</v>
      </c>
      <c r="C65" s="368">
        <v>506.40765380859375</v>
      </c>
      <c r="D65" s="368">
        <v>7.8315787315368652</v>
      </c>
      <c r="E65" s="368"/>
      <c r="F65" s="368"/>
      <c r="G65" s="368"/>
      <c r="H65" s="368"/>
      <c r="I65" s="368"/>
      <c r="J65" s="368"/>
      <c r="K65" s="368"/>
      <c r="L65" s="368"/>
    </row>
    <row r="66" spans="1:12">
      <c r="A66" s="422">
        <v>10.421055555343628</v>
      </c>
      <c r="B66" s="368">
        <v>71.101487491117794</v>
      </c>
      <c r="C66" s="368">
        <v>508.88922119140625</v>
      </c>
      <c r="D66" s="368">
        <v>14.70526123046875</v>
      </c>
      <c r="E66" s="368"/>
      <c r="F66" s="368"/>
      <c r="G66" s="368"/>
      <c r="H66" s="368"/>
      <c r="I66" s="368"/>
      <c r="J66" s="368"/>
      <c r="K66" s="368"/>
      <c r="L66" s="368"/>
    </row>
    <row r="67" spans="1:12">
      <c r="A67" s="423">
        <v>0</v>
      </c>
      <c r="B67" s="368">
        <v>71</v>
      </c>
      <c r="C67" s="368">
        <v>511.03076171875</v>
      </c>
      <c r="D67" s="368">
        <v>30</v>
      </c>
      <c r="E67" s="368"/>
      <c r="F67" s="368"/>
      <c r="G67" s="368"/>
      <c r="H67" s="368"/>
      <c r="I67" s="368"/>
      <c r="J67" s="368"/>
      <c r="K67" s="368"/>
      <c r="L67" s="368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81"/>
  <sheetViews>
    <sheetView workbookViewId="0">
      <selection activeCell="R21" sqref="R21"/>
    </sheetView>
  </sheetViews>
  <sheetFormatPr defaultRowHeight="12.75"/>
  <cols>
    <col min="1" max="6" width="16.7109375" style="375" customWidth="1"/>
    <col min="7" max="16384" width="9.140625" style="375"/>
  </cols>
  <sheetData>
    <row r="1" spans="1:6" ht="18.95" customHeight="1">
      <c r="A1" s="387"/>
      <c r="B1" s="388"/>
      <c r="C1" s="388"/>
      <c r="D1" s="388"/>
      <c r="E1" s="388"/>
      <c r="F1" s="389"/>
    </row>
    <row r="2" spans="1:6" ht="26.1" customHeight="1">
      <c r="A2" s="390" t="s">
        <v>270</v>
      </c>
      <c r="B2" s="391"/>
      <c r="C2" s="391"/>
      <c r="D2" s="391"/>
      <c r="E2" s="391"/>
      <c r="F2" s="392"/>
    </row>
    <row r="3" spans="1:6" ht="18.95" customHeight="1">
      <c r="A3" s="699" t="s">
        <v>591</v>
      </c>
      <c r="B3" s="700"/>
      <c r="C3" s="700"/>
      <c r="D3" s="700"/>
      <c r="E3" s="700"/>
      <c r="F3" s="701"/>
    </row>
    <row r="4" spans="1:6" ht="18.95" customHeight="1">
      <c r="A4" s="702" t="s">
        <v>592</v>
      </c>
      <c r="B4" s="703"/>
      <c r="C4" s="703"/>
      <c r="D4" s="703"/>
      <c r="E4" s="703"/>
      <c r="F4" s="704"/>
    </row>
    <row r="5" spans="1:6" ht="18.95" customHeight="1">
      <c r="A5" s="393"/>
      <c r="B5" s="394"/>
      <c r="C5" s="394"/>
      <c r="D5" s="394"/>
      <c r="E5" s="394"/>
      <c r="F5" s="395"/>
    </row>
    <row r="6" spans="1:6" ht="18.95" customHeight="1">
      <c r="A6" s="396" t="s">
        <v>568</v>
      </c>
      <c r="B6" s="696" t="str">
        <f>'Performance Data Sheet'!C17</f>
        <v>QUOTE # 17548</v>
      </c>
      <c r="C6" s="697"/>
      <c r="D6" s="698"/>
      <c r="E6" s="396" t="s">
        <v>569</v>
      </c>
      <c r="F6" s="397">
        <f>'Performance Data Sheet'!I14</f>
        <v>553</v>
      </c>
    </row>
    <row r="7" spans="1:6" ht="18.95" customHeight="1">
      <c r="A7" s="396" t="s">
        <v>570</v>
      </c>
      <c r="B7" s="397" t="str">
        <f>'Performance Data Sheet'!F14</f>
        <v>WPII</v>
      </c>
      <c r="C7" s="396" t="s">
        <v>571</v>
      </c>
      <c r="D7" s="397" t="str">
        <f>'Performance Data Sheet'!F13 &amp; " V"</f>
        <v>4000 V</v>
      </c>
      <c r="E7" s="396" t="s">
        <v>572</v>
      </c>
      <c r="F7" s="397" t="str">
        <f>'Performance Data Sheet'!C14</f>
        <v>6813USS</v>
      </c>
    </row>
    <row r="8" spans="1:6" ht="18.95" customHeight="1">
      <c r="A8" s="396" t="s">
        <v>573</v>
      </c>
      <c r="B8" s="397">
        <v>2</v>
      </c>
      <c r="C8" s="396" t="s">
        <v>574</v>
      </c>
      <c r="D8" s="397" t="s">
        <v>575</v>
      </c>
      <c r="E8" s="396" t="s">
        <v>576</v>
      </c>
      <c r="F8" s="397" t="str">
        <f>'Performance Data Sheet'!M15</f>
        <v>F</v>
      </c>
    </row>
    <row r="9" spans="1:6" ht="18.95" customHeight="1">
      <c r="A9" s="396" t="s">
        <v>577</v>
      </c>
      <c r="B9" s="397">
        <f>'Performance Data Sheet'!C13</f>
        <v>4500</v>
      </c>
      <c r="C9" s="396" t="s">
        <v>578</v>
      </c>
      <c r="D9" s="397" t="s">
        <v>588</v>
      </c>
      <c r="E9" s="396" t="s">
        <v>2</v>
      </c>
      <c r="F9" s="398">
        <f>'Performance Data Sheet'!K44</f>
        <v>43151</v>
      </c>
    </row>
    <row r="10" spans="1:6" ht="18.95" customHeight="1">
      <c r="A10" s="396" t="s">
        <v>579</v>
      </c>
      <c r="B10" s="397">
        <f>'Performance Data Sheet'!M14</f>
        <v>3580</v>
      </c>
      <c r="C10" s="396" t="s">
        <v>405</v>
      </c>
      <c r="D10" s="397" t="s">
        <v>589</v>
      </c>
      <c r="E10" s="396" t="s">
        <v>1</v>
      </c>
      <c r="F10" s="397" t="s">
        <v>380</v>
      </c>
    </row>
    <row r="11" spans="1:6" ht="18.95" customHeight="1">
      <c r="A11" s="393"/>
      <c r="B11" s="394"/>
      <c r="C11" s="394"/>
      <c r="D11" s="394"/>
      <c r="E11" s="394"/>
      <c r="F11" s="395"/>
    </row>
    <row r="12" spans="1:6" ht="18.95" customHeight="1">
      <c r="A12" s="393"/>
      <c r="B12" s="399"/>
      <c r="C12" s="400" t="str">
        <f>'Performance Data Sheet'!D22 &amp; " A"</f>
        <v>2826 A</v>
      </c>
      <c r="D12" s="399"/>
      <c r="E12" s="400"/>
      <c r="F12" s="395"/>
    </row>
    <row r="13" spans="1:6" ht="18.95" customHeight="1">
      <c r="A13" s="393"/>
      <c r="B13" s="399"/>
      <c r="C13" s="401">
        <f>'Performance Data Sheet'!H23/100</f>
        <v>0.71</v>
      </c>
      <c r="D13" s="399"/>
      <c r="E13" s="400"/>
      <c r="F13" s="395"/>
    </row>
    <row r="14" spans="1:6" ht="18.95" customHeight="1">
      <c r="A14" s="393"/>
      <c r="B14" s="399"/>
      <c r="C14" s="401"/>
      <c r="D14" s="399"/>
      <c r="E14" s="400"/>
      <c r="F14" s="395"/>
    </row>
    <row r="15" spans="1:6" ht="18.95" customHeight="1">
      <c r="A15" s="393"/>
      <c r="B15" s="399"/>
      <c r="C15" s="400" t="str">
        <f>'Performance Data Sheet'!H22 &amp; " lb-ft"</f>
        <v>6602 lb-ft</v>
      </c>
      <c r="D15" s="394"/>
      <c r="E15" s="394"/>
      <c r="F15" s="395"/>
    </row>
    <row r="16" spans="1:6" ht="18.95" customHeight="1">
      <c r="A16" s="393"/>
      <c r="B16" s="394"/>
      <c r="C16" s="394"/>
      <c r="D16" s="394"/>
      <c r="E16" s="394"/>
      <c r="F16" s="395"/>
    </row>
    <row r="17" spans="1:6" ht="18.95" customHeight="1">
      <c r="A17" s="393"/>
      <c r="B17" s="394"/>
      <c r="C17" s="394"/>
      <c r="D17" s="394"/>
      <c r="E17" s="394"/>
      <c r="F17" s="395"/>
    </row>
    <row r="18" spans="1:6" ht="18.95" customHeight="1">
      <c r="A18" s="393"/>
      <c r="B18" s="394"/>
      <c r="C18" s="394"/>
      <c r="D18" s="394"/>
      <c r="E18" s="394"/>
      <c r="F18" s="395"/>
    </row>
    <row r="19" spans="1:6" ht="18.95" customHeight="1">
      <c r="A19" s="393"/>
      <c r="B19" s="394"/>
      <c r="C19" s="394"/>
      <c r="D19" s="394"/>
      <c r="E19" s="394"/>
      <c r="F19" s="395"/>
    </row>
    <row r="20" spans="1:6" ht="18.95" customHeight="1">
      <c r="A20" s="393"/>
      <c r="B20" s="394"/>
      <c r="C20" s="394"/>
      <c r="D20" s="394"/>
      <c r="E20" s="394"/>
      <c r="F20" s="395"/>
    </row>
    <row r="21" spans="1:6" ht="18.95" customHeight="1">
      <c r="A21" s="393"/>
      <c r="B21" s="394"/>
      <c r="C21" s="394"/>
      <c r="D21" s="394"/>
      <c r="E21" s="394"/>
      <c r="F21" s="395"/>
    </row>
    <row r="22" spans="1:6" ht="18.95" customHeight="1">
      <c r="A22" s="393"/>
      <c r="B22" s="394"/>
      <c r="C22" s="394"/>
      <c r="D22" s="394"/>
      <c r="E22" s="394"/>
      <c r="F22" s="395"/>
    </row>
    <row r="23" spans="1:6" ht="18.95" customHeight="1">
      <c r="A23" s="393"/>
      <c r="B23" s="394"/>
      <c r="C23" s="394"/>
      <c r="D23" s="394"/>
      <c r="E23" s="394"/>
      <c r="F23" s="395"/>
    </row>
    <row r="24" spans="1:6" ht="18.95" customHeight="1">
      <c r="A24" s="393"/>
      <c r="B24" s="394"/>
      <c r="C24" s="394"/>
      <c r="D24" s="394"/>
      <c r="E24" s="394"/>
      <c r="F24" s="395"/>
    </row>
    <row r="25" spans="1:6" ht="18.95" customHeight="1">
      <c r="A25" s="393"/>
      <c r="B25" s="394"/>
      <c r="C25" s="394"/>
      <c r="D25" s="394"/>
      <c r="E25" s="394"/>
      <c r="F25" s="395"/>
    </row>
    <row r="26" spans="1:6" ht="18.95" customHeight="1">
      <c r="A26" s="393"/>
      <c r="B26" s="394"/>
      <c r="C26" s="394"/>
      <c r="D26" s="394"/>
      <c r="E26" s="394"/>
      <c r="F26" s="395"/>
    </row>
    <row r="27" spans="1:6" ht="18.95" customHeight="1">
      <c r="A27" s="393"/>
      <c r="B27" s="394"/>
      <c r="C27" s="394"/>
      <c r="D27" s="394"/>
      <c r="E27" s="394"/>
      <c r="F27" s="395"/>
    </row>
    <row r="28" spans="1:6" ht="18.95" customHeight="1">
      <c r="A28" s="393"/>
      <c r="B28" s="394"/>
      <c r="C28" s="394"/>
      <c r="D28" s="394"/>
      <c r="E28" s="394"/>
      <c r="F28" s="395"/>
    </row>
    <row r="29" spans="1:6" ht="18.95" customHeight="1">
      <c r="A29" s="393"/>
      <c r="B29" s="394"/>
      <c r="C29" s="394"/>
      <c r="D29" s="394"/>
      <c r="E29" s="394"/>
      <c r="F29" s="395"/>
    </row>
    <row r="30" spans="1:6" ht="18.95" customHeight="1">
      <c r="A30" s="393"/>
      <c r="B30" s="394"/>
      <c r="C30" s="394"/>
      <c r="D30" s="394"/>
      <c r="E30" s="394"/>
      <c r="F30" s="395"/>
    </row>
    <row r="31" spans="1:6" ht="18.95" customHeight="1">
      <c r="A31" s="393"/>
      <c r="B31" s="394"/>
      <c r="C31" s="394"/>
      <c r="D31" s="394"/>
      <c r="E31" s="394"/>
      <c r="F31" s="395"/>
    </row>
    <row r="32" spans="1:6" ht="18.95" customHeight="1">
      <c r="A32" s="393"/>
      <c r="B32" s="394"/>
      <c r="C32" s="394"/>
      <c r="D32" s="394"/>
      <c r="E32" s="394"/>
      <c r="F32" s="395"/>
    </row>
    <row r="33" spans="1:6" ht="18.95" customHeight="1">
      <c r="A33" s="393"/>
      <c r="B33" s="394"/>
      <c r="C33" s="394"/>
      <c r="D33" s="394"/>
      <c r="E33" s="394"/>
      <c r="F33" s="395"/>
    </row>
    <row r="34" spans="1:6" ht="18.95" customHeight="1">
      <c r="A34" s="393"/>
      <c r="B34" s="394"/>
      <c r="C34" s="394"/>
      <c r="D34" s="394"/>
      <c r="E34" s="394"/>
      <c r="F34" s="395"/>
    </row>
    <row r="35" spans="1:6" ht="18.95" customHeight="1">
      <c r="A35" s="393"/>
      <c r="B35" s="394"/>
      <c r="C35" s="394"/>
      <c r="D35" s="394"/>
      <c r="E35" s="394"/>
      <c r="F35" s="395"/>
    </row>
    <row r="36" spans="1:6" ht="18.95" customHeight="1">
      <c r="A36" s="393"/>
      <c r="B36" s="394"/>
      <c r="C36" s="394"/>
      <c r="D36" s="394"/>
      <c r="E36" s="394"/>
      <c r="F36" s="395"/>
    </row>
    <row r="37" spans="1:6" ht="18.95" customHeight="1">
      <c r="A37" s="393"/>
      <c r="B37" s="394"/>
      <c r="C37" s="394"/>
      <c r="D37" s="394"/>
      <c r="E37" s="394"/>
      <c r="F37" s="395"/>
    </row>
    <row r="38" spans="1:6" ht="18.95" customHeight="1">
      <c r="A38" s="393"/>
      <c r="B38" s="394"/>
      <c r="C38" s="394"/>
      <c r="D38" s="394"/>
      <c r="E38" s="394"/>
      <c r="F38" s="395"/>
    </row>
    <row r="39" spans="1:6" ht="18.95" customHeight="1">
      <c r="A39" s="402" t="s">
        <v>584</v>
      </c>
      <c r="B39" s="403" t="s">
        <v>371</v>
      </c>
      <c r="C39" s="529" t="str">
        <f>'Performance Data Sheet'!C10</f>
        <v>-</v>
      </c>
      <c r="D39" s="394"/>
      <c r="E39" s="399" t="s">
        <v>585</v>
      </c>
      <c r="F39" s="404" t="str">
        <f>F10</f>
        <v>DT2M90U</v>
      </c>
    </row>
    <row r="40" spans="1:6" ht="18.95" customHeight="1">
      <c r="A40" s="393"/>
      <c r="B40" s="403"/>
      <c r="C40" s="403"/>
      <c r="D40" s="394"/>
      <c r="E40" s="394"/>
      <c r="F40" s="395"/>
    </row>
    <row r="41" spans="1:6" ht="18.95" customHeight="1">
      <c r="A41" s="393"/>
      <c r="B41" s="403"/>
      <c r="C41" s="403"/>
      <c r="D41" s="394"/>
      <c r="E41" s="394"/>
      <c r="F41" s="395"/>
    </row>
    <row r="42" spans="1:6" ht="18.95" customHeight="1">
      <c r="A42" s="393"/>
      <c r="B42" s="394"/>
      <c r="C42" s="394"/>
      <c r="D42" s="394"/>
      <c r="E42" s="394"/>
      <c r="F42" s="395"/>
    </row>
    <row r="43" spans="1:6" ht="18.95" customHeight="1">
      <c r="A43" s="405"/>
      <c r="B43" s="403"/>
      <c r="C43" s="406" t="s">
        <v>586</v>
      </c>
      <c r="D43" s="407" t="str">
        <f>'Performance Data Sheet'!K42</f>
        <v>Zichao Xie</v>
      </c>
      <c r="E43" s="406" t="s">
        <v>587</v>
      </c>
      <c r="F43" s="40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08" t="e">
        <f>5252.1*B50/D53</f>
        <v>#DIV/0!</v>
      </c>
      <c r="G50" s="408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09"/>
    </row>
    <row r="63" spans="6:9">
      <c r="I63" s="375" t="s">
        <v>39</v>
      </c>
    </row>
    <row r="66" spans="1:6">
      <c r="D66" s="408" t="e">
        <f>D65/D64</f>
        <v>#DIV/0!</v>
      </c>
    </row>
    <row r="67" spans="1:6">
      <c r="A67" s="410" t="s">
        <v>400</v>
      </c>
      <c r="B67" s="410" t="s">
        <v>593</v>
      </c>
      <c r="C67" s="410" t="s">
        <v>594</v>
      </c>
      <c r="E67" s="410" t="s">
        <v>595</v>
      </c>
      <c r="F67" s="410" t="s">
        <v>596</v>
      </c>
    </row>
    <row r="68" spans="1:6">
      <c r="A68" s="411">
        <v>511.03074141048825</v>
      </c>
      <c r="B68" s="412">
        <v>17.767125538417272</v>
      </c>
      <c r="C68" s="412">
        <v>7.7517986297607431</v>
      </c>
      <c r="E68" s="411">
        <f>A68</f>
        <v>511.03074141048825</v>
      </c>
      <c r="F68" s="412">
        <v>1E-4</v>
      </c>
    </row>
    <row r="69" spans="1:6">
      <c r="A69" s="411">
        <f>FLOOR(A68,100)</f>
        <v>500</v>
      </c>
      <c r="B69" s="412">
        <f>((A68/A69)^2)*B68</f>
        <v>18.559711228439831</v>
      </c>
      <c r="C69" s="412">
        <f>((A68/A69)^2)*C68</f>
        <v>8.0976038447123653</v>
      </c>
      <c r="E69" s="411">
        <v>509.96383363471972</v>
      </c>
      <c r="F69" s="412">
        <v>0.57499998807907104</v>
      </c>
    </row>
    <row r="70" spans="1:6">
      <c r="A70" s="411">
        <f>A69-100</f>
        <v>400</v>
      </c>
      <c r="B70" s="412">
        <f>((A68/A70)^2)*B68</f>
        <v>28.999548794437242</v>
      </c>
      <c r="C70" s="412">
        <f>((A68/A70)^2)*C68</f>
        <v>12.652506007363074</v>
      </c>
      <c r="E70" s="411">
        <v>507.64918625678121</v>
      </c>
      <c r="F70" s="412">
        <v>1.0419999361038208</v>
      </c>
    </row>
    <row r="71" spans="1:6">
      <c r="A71" s="411">
        <f>A70-100</f>
        <v>300</v>
      </c>
      <c r="B71" s="412">
        <f>((A68/A71)^2)*B68</f>
        <v>51.554753412332879</v>
      </c>
      <c r="C71" s="412">
        <f>((A68/A71)^2)*C68</f>
        <v>22.49334401308991</v>
      </c>
      <c r="E71" s="411">
        <v>504.95479204339966</v>
      </c>
      <c r="F71" s="412">
        <v>1.4769998788833618</v>
      </c>
    </row>
    <row r="72" spans="1:6">
      <c r="A72" s="411">
        <f>A71-100</f>
        <v>200</v>
      </c>
      <c r="B72" s="412">
        <f>((A68/A72)^2)*B68</f>
        <v>115.99819517774897</v>
      </c>
      <c r="C72" s="412"/>
      <c r="E72" s="411">
        <v>501.79023508137431</v>
      </c>
      <c r="F72" s="412">
        <v>1.9129998683929443</v>
      </c>
    </row>
    <row r="73" spans="1:6">
      <c r="A73" s="411">
        <f>A72-100</f>
        <v>100</v>
      </c>
      <c r="B73" s="412">
        <f>((A68/A73)^2)*B68</f>
        <v>463.99278071099587</v>
      </c>
      <c r="C73" s="412"/>
      <c r="E73" s="411">
        <v>498.06509945750452</v>
      </c>
      <c r="F73" s="412">
        <v>2.3769998550415039</v>
      </c>
    </row>
    <row r="74" spans="1:6">
      <c r="A74" s="411">
        <v>178</v>
      </c>
      <c r="B74" s="412">
        <f>((A68/A74)^2)*B68</f>
        <v>146.44387726012999</v>
      </c>
      <c r="C74" s="412">
        <f>((A68/A74)^2)*C68</f>
        <v>63.893478133382523</v>
      </c>
      <c r="E74" s="411">
        <v>493.68896925858951</v>
      </c>
      <c r="F74" s="412">
        <v>2.8989999294281006</v>
      </c>
    </row>
    <row r="75" spans="1:6">
      <c r="A75" s="413">
        <v>180</v>
      </c>
      <c r="B75" s="412">
        <f>((A68/A75)^2)*B69</f>
        <v>149.59609497098302</v>
      </c>
      <c r="C75" s="412">
        <f>((A68/A75)^2)*C68</f>
        <v>62.481511147471977</v>
      </c>
      <c r="E75" s="411">
        <v>488.57142857142856</v>
      </c>
      <c r="F75" s="412">
        <v>3.5309998989105225</v>
      </c>
    </row>
    <row r="76" spans="1:6">
      <c r="A76" s="413">
        <v>145</v>
      </c>
      <c r="B76" s="412">
        <f>((A68/A76)^2)*B68</f>
        <v>220.68622150344629</v>
      </c>
      <c r="C76" s="412">
        <f>((A68/A76)^2)*C68</f>
        <v>96.28542027006381</v>
      </c>
      <c r="E76" s="411">
        <v>481.69981916817358</v>
      </c>
      <c r="F76" s="412">
        <v>4.4140000343322754</v>
      </c>
    </row>
    <row r="77" spans="1:6">
      <c r="A77" s="413">
        <v>125</v>
      </c>
      <c r="B77" s="412"/>
      <c r="C77" s="411">
        <f>CEILING(C76*2,100)</f>
        <v>200</v>
      </c>
      <c r="E77" s="411">
        <v>473.76130198915007</v>
      </c>
      <c r="F77" s="412">
        <v>5.0479998588562012</v>
      </c>
    </row>
    <row r="78" spans="1:6">
      <c r="A78" s="413">
        <v>125</v>
      </c>
      <c r="B78" s="412"/>
      <c r="C78" s="411">
        <f>2*C77</f>
        <v>400</v>
      </c>
      <c r="E78" s="411">
        <v>460.81374321880656</v>
      </c>
      <c r="F78" s="412">
        <v>5.6729998588562012</v>
      </c>
    </row>
    <row r="79" spans="1:6">
      <c r="A79" s="413">
        <v>125</v>
      </c>
      <c r="B79" s="413"/>
      <c r="C79" s="413">
        <v>10000</v>
      </c>
      <c r="E79" s="411">
        <v>417.70343580470166</v>
      </c>
      <c r="F79" s="412">
        <v>5.9389996528625488</v>
      </c>
    </row>
    <row r="80" spans="1:6">
      <c r="E80" s="411">
        <f>A77</f>
        <v>125</v>
      </c>
      <c r="F80" s="412">
        <v>5.9589996337890625</v>
      </c>
    </row>
    <row r="81" spans="5:6">
      <c r="E81" s="411"/>
      <c r="F81" s="412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67"/>
  <sheetViews>
    <sheetView workbookViewId="0">
      <selection activeCell="R21" sqref="R21"/>
    </sheetView>
  </sheetViews>
  <sheetFormatPr defaultRowHeight="12.75"/>
  <cols>
    <col min="1" max="6" width="16.7109375" style="375" customWidth="1"/>
    <col min="7" max="16384" width="9.140625" style="375"/>
  </cols>
  <sheetData>
    <row r="1" spans="1:6" ht="18.95" customHeight="1">
      <c r="A1" s="387"/>
      <c r="B1" s="388"/>
      <c r="C1" s="388"/>
      <c r="D1" s="388"/>
      <c r="E1" s="388"/>
      <c r="F1" s="389"/>
    </row>
    <row r="2" spans="1:6" ht="26.1" customHeight="1">
      <c r="A2" s="390" t="s">
        <v>270</v>
      </c>
      <c r="B2" s="391"/>
      <c r="C2" s="391"/>
      <c r="D2" s="391"/>
      <c r="E2" s="391"/>
      <c r="F2" s="392"/>
    </row>
    <row r="3" spans="1:6" ht="18.95" customHeight="1">
      <c r="A3" s="418" t="s">
        <v>597</v>
      </c>
      <c r="B3" s="391"/>
      <c r="C3" s="391"/>
      <c r="D3" s="391"/>
      <c r="E3" s="391"/>
      <c r="F3" s="392"/>
    </row>
    <row r="4" spans="1:6" ht="18.95" customHeight="1">
      <c r="A4" s="702" t="s">
        <v>592</v>
      </c>
      <c r="B4" s="703"/>
      <c r="C4" s="703"/>
      <c r="D4" s="703"/>
      <c r="E4" s="703"/>
      <c r="F4" s="704"/>
    </row>
    <row r="5" spans="1:6" ht="18.95" customHeight="1">
      <c r="A5" s="393"/>
      <c r="B5" s="394"/>
      <c r="C5" s="394"/>
      <c r="D5" s="394"/>
      <c r="E5" s="394"/>
      <c r="F5" s="395"/>
    </row>
    <row r="6" spans="1:6" ht="18.95" customHeight="1">
      <c r="A6" s="396" t="s">
        <v>568</v>
      </c>
      <c r="B6" s="696" t="str">
        <f>'Performance Data Sheet'!C17</f>
        <v>QUOTE # 17548</v>
      </c>
      <c r="C6" s="697"/>
      <c r="D6" s="698"/>
      <c r="E6" s="396" t="s">
        <v>569</v>
      </c>
      <c r="F6" s="397">
        <f>'Performance Data Sheet'!I14</f>
        <v>553</v>
      </c>
    </row>
    <row r="7" spans="1:6" ht="18.95" customHeight="1">
      <c r="A7" s="396" t="s">
        <v>570</v>
      </c>
      <c r="B7" s="397" t="str">
        <f>'Performance Data Sheet'!F14</f>
        <v>WPII</v>
      </c>
      <c r="C7" s="396" t="s">
        <v>571</v>
      </c>
      <c r="D7" s="397" t="str">
        <f>'Performance Data Sheet'!F13 &amp; " V"</f>
        <v>4000 V</v>
      </c>
      <c r="E7" s="396" t="s">
        <v>572</v>
      </c>
      <c r="F7" s="397" t="str">
        <f>'Performance Data Sheet'!C14</f>
        <v>6813USS</v>
      </c>
    </row>
    <row r="8" spans="1:6" ht="18.95" customHeight="1">
      <c r="A8" s="396" t="s">
        <v>573</v>
      </c>
      <c r="B8" s="397">
        <v>2</v>
      </c>
      <c r="C8" s="396" t="s">
        <v>574</v>
      </c>
      <c r="D8" s="397" t="s">
        <v>575</v>
      </c>
      <c r="E8" s="396" t="s">
        <v>576</v>
      </c>
      <c r="F8" s="397" t="str">
        <f>'Performance Data Sheet'!M15</f>
        <v>F</v>
      </c>
    </row>
    <row r="9" spans="1:6" ht="18.95" customHeight="1">
      <c r="A9" s="396" t="s">
        <v>577</v>
      </c>
      <c r="B9" s="397">
        <f>'Performance Data Sheet'!C13</f>
        <v>4500</v>
      </c>
      <c r="C9" s="396" t="s">
        <v>578</v>
      </c>
      <c r="D9" s="397" t="s">
        <v>588</v>
      </c>
      <c r="E9" s="396" t="s">
        <v>2</v>
      </c>
      <c r="F9" s="398">
        <f>'Performance Data Sheet'!K44</f>
        <v>43151</v>
      </c>
    </row>
    <row r="10" spans="1:6" ht="18.95" customHeight="1">
      <c r="A10" s="396" t="s">
        <v>579</v>
      </c>
      <c r="B10" s="397">
        <f>'Performance Data Sheet'!M14</f>
        <v>3580</v>
      </c>
      <c r="C10" s="396" t="s">
        <v>405</v>
      </c>
      <c r="D10" s="397" t="s">
        <v>589</v>
      </c>
      <c r="E10" s="396" t="s">
        <v>1</v>
      </c>
      <c r="F10" s="397" t="s">
        <v>380</v>
      </c>
    </row>
    <row r="11" spans="1:6" ht="18.95" customHeight="1">
      <c r="A11" s="393"/>
      <c r="B11" s="394"/>
      <c r="C11" s="394"/>
      <c r="D11" s="394"/>
      <c r="E11" s="394"/>
      <c r="F11" s="395"/>
    </row>
    <row r="12" spans="1:6" ht="18.95" customHeight="1">
      <c r="A12" s="393"/>
      <c r="B12" s="399" t="s">
        <v>580</v>
      </c>
      <c r="C12" s="400" t="str">
        <f>'Performance Data Sheet'!D22 &amp; " A"</f>
        <v>2826 A</v>
      </c>
      <c r="D12" s="399" t="s">
        <v>404</v>
      </c>
      <c r="E12" s="400" t="s">
        <v>408</v>
      </c>
      <c r="F12" s="395"/>
    </row>
    <row r="13" spans="1:6" ht="18.95" customHeight="1">
      <c r="A13" s="393"/>
      <c r="B13" s="399" t="s">
        <v>581</v>
      </c>
      <c r="C13" s="401">
        <f>'Performance Data Sheet'!H23/100</f>
        <v>0.71</v>
      </c>
      <c r="D13" s="399" t="s">
        <v>582</v>
      </c>
      <c r="E13" s="400" t="s">
        <v>590</v>
      </c>
      <c r="F13" s="395"/>
    </row>
    <row r="14" spans="1:6" ht="18.95" customHeight="1">
      <c r="A14" s="393"/>
      <c r="B14" s="399" t="s">
        <v>583</v>
      </c>
      <c r="C14" s="401">
        <v>1.78</v>
      </c>
      <c r="D14" s="399" t="s">
        <v>406</v>
      </c>
      <c r="E14" s="400" t="s">
        <v>412</v>
      </c>
      <c r="F14" s="395"/>
    </row>
    <row r="15" spans="1:6" ht="18.95" customHeight="1">
      <c r="A15" s="393"/>
      <c r="B15" s="399" t="s">
        <v>407</v>
      </c>
      <c r="C15" s="400" t="str">
        <f>'Performance Data Sheet'!H22 &amp; " lb-ft"</f>
        <v>6602 lb-ft</v>
      </c>
      <c r="D15" s="394"/>
      <c r="E15" s="394"/>
      <c r="F15" s="395"/>
    </row>
    <row r="16" spans="1:6" ht="18.95" customHeight="1">
      <c r="A16" s="393"/>
      <c r="B16" s="394"/>
      <c r="C16" s="394"/>
      <c r="D16" s="394"/>
      <c r="E16" s="394"/>
      <c r="F16" s="395"/>
    </row>
    <row r="17" spans="1:8" ht="18.95" customHeight="1">
      <c r="A17" s="393"/>
      <c r="B17" s="394"/>
      <c r="C17" s="394"/>
      <c r="D17" s="394"/>
      <c r="E17" s="394"/>
      <c r="F17" s="395"/>
    </row>
    <row r="18" spans="1:8" ht="18.95" customHeight="1">
      <c r="A18" s="393"/>
      <c r="B18" s="394"/>
      <c r="C18" s="394"/>
      <c r="D18" s="394"/>
      <c r="E18" s="394"/>
      <c r="F18" s="395"/>
    </row>
    <row r="19" spans="1:8" ht="18.95" customHeight="1">
      <c r="A19" s="393"/>
      <c r="B19" s="394"/>
      <c r="C19" s="394"/>
      <c r="D19" s="394"/>
      <c r="E19" s="394"/>
      <c r="F19" s="395"/>
    </row>
    <row r="20" spans="1:8" ht="18.95" customHeight="1">
      <c r="A20" s="393"/>
      <c r="B20" s="394"/>
      <c r="C20" s="394"/>
      <c r="D20" s="394"/>
      <c r="E20" s="394"/>
      <c r="F20" s="395"/>
    </row>
    <row r="21" spans="1:8" ht="18.95" customHeight="1">
      <c r="A21" s="393"/>
      <c r="B21" s="394"/>
      <c r="C21" s="394"/>
      <c r="D21" s="394"/>
      <c r="E21" s="394"/>
      <c r="F21" s="395"/>
    </row>
    <row r="22" spans="1:8" ht="18.95" customHeight="1">
      <c r="A22" s="393"/>
      <c r="B22" s="394"/>
      <c r="C22" s="394"/>
      <c r="D22" s="394"/>
      <c r="E22" s="394"/>
      <c r="F22" s="395"/>
    </row>
    <row r="23" spans="1:8" ht="18.95" customHeight="1">
      <c r="A23" s="393"/>
      <c r="B23" s="394"/>
      <c r="C23" s="394"/>
      <c r="D23" s="394"/>
      <c r="E23" s="394"/>
      <c r="F23" s="395"/>
    </row>
    <row r="24" spans="1:8" ht="18.95" customHeight="1">
      <c r="A24" s="393"/>
      <c r="B24" s="394"/>
      <c r="C24" s="394"/>
      <c r="D24" s="394"/>
      <c r="E24" s="394"/>
      <c r="F24" s="395"/>
      <c r="H24" s="424"/>
    </row>
    <row r="25" spans="1:8" ht="18.95" customHeight="1">
      <c r="A25" s="393"/>
      <c r="B25" s="394"/>
      <c r="C25" s="394"/>
      <c r="D25" s="394"/>
      <c r="E25" s="394"/>
      <c r="F25" s="395"/>
    </row>
    <row r="26" spans="1:8" ht="18.95" customHeight="1">
      <c r="A26" s="393"/>
      <c r="B26" s="394"/>
      <c r="C26" s="394"/>
      <c r="D26" s="394"/>
      <c r="E26" s="394"/>
      <c r="F26" s="395"/>
    </row>
    <row r="27" spans="1:8" ht="18.95" customHeight="1">
      <c r="A27" s="393"/>
      <c r="B27" s="394"/>
      <c r="C27" s="394"/>
      <c r="D27" s="394"/>
      <c r="E27" s="394"/>
      <c r="F27" s="395"/>
    </row>
    <row r="28" spans="1:8" ht="18.95" customHeight="1">
      <c r="A28" s="393"/>
      <c r="B28" s="394"/>
      <c r="C28" s="394"/>
      <c r="D28" s="394"/>
      <c r="E28" s="394"/>
      <c r="F28" s="395"/>
    </row>
    <row r="29" spans="1:8" ht="18.95" customHeight="1">
      <c r="A29" s="393"/>
      <c r="B29" s="394"/>
      <c r="C29" s="394"/>
      <c r="D29" s="394"/>
      <c r="E29" s="394"/>
      <c r="F29" s="395"/>
    </row>
    <row r="30" spans="1:8" ht="18.95" customHeight="1">
      <c r="A30" s="393"/>
      <c r="B30" s="394"/>
      <c r="C30" s="394"/>
      <c r="D30" s="394"/>
      <c r="E30" s="394"/>
      <c r="F30" s="395"/>
    </row>
    <row r="31" spans="1:8" ht="18.95" customHeight="1">
      <c r="A31" s="393"/>
      <c r="B31" s="394"/>
      <c r="C31" s="394"/>
      <c r="D31" s="394"/>
      <c r="E31" s="394"/>
      <c r="F31" s="395"/>
    </row>
    <row r="32" spans="1:8" ht="18.95" customHeight="1">
      <c r="A32" s="393"/>
      <c r="B32" s="394"/>
      <c r="C32" s="394"/>
      <c r="D32" s="394"/>
      <c r="E32" s="394"/>
      <c r="F32" s="395"/>
    </row>
    <row r="33" spans="1:6" ht="18.95" customHeight="1">
      <c r="A33" s="393"/>
      <c r="B33" s="394"/>
      <c r="C33" s="394"/>
      <c r="D33" s="394"/>
      <c r="E33" s="394"/>
      <c r="F33" s="395"/>
    </row>
    <row r="34" spans="1:6" ht="18.95" customHeight="1">
      <c r="A34" s="393"/>
      <c r="B34" s="394"/>
      <c r="C34" s="394"/>
      <c r="D34" s="394"/>
      <c r="E34" s="394"/>
      <c r="F34" s="395"/>
    </row>
    <row r="35" spans="1:6" ht="18.95" customHeight="1">
      <c r="A35" s="393"/>
      <c r="B35" s="394"/>
      <c r="C35" s="394"/>
      <c r="D35" s="394"/>
      <c r="E35" s="394"/>
      <c r="F35" s="395"/>
    </row>
    <row r="36" spans="1:6" ht="18.95" customHeight="1">
      <c r="A36" s="393"/>
      <c r="B36" s="394"/>
      <c r="C36" s="394"/>
      <c r="D36" s="394"/>
      <c r="E36" s="394"/>
      <c r="F36" s="395"/>
    </row>
    <row r="37" spans="1:6" ht="18.95" customHeight="1">
      <c r="A37" s="393"/>
      <c r="B37" s="394"/>
      <c r="C37" s="394"/>
      <c r="D37" s="394"/>
      <c r="E37" s="394"/>
      <c r="F37" s="395"/>
    </row>
    <row r="38" spans="1:6" ht="18.95" customHeight="1">
      <c r="A38" s="393"/>
      <c r="B38" s="394"/>
      <c r="C38" s="394"/>
      <c r="D38" s="394"/>
      <c r="E38" s="394"/>
      <c r="F38" s="395"/>
    </row>
    <row r="39" spans="1:6" ht="18.95" customHeight="1">
      <c r="A39" s="402" t="s">
        <v>584</v>
      </c>
      <c r="B39" s="403" t="s">
        <v>371</v>
      </c>
      <c r="C39" s="529" t="str">
        <f>'Performance Data Sheet'!C10</f>
        <v>-</v>
      </c>
      <c r="D39" s="394"/>
      <c r="E39" s="399" t="s">
        <v>585</v>
      </c>
      <c r="F39" s="404" t="str">
        <f>F10</f>
        <v>DT2M90U</v>
      </c>
    </row>
    <row r="40" spans="1:6" ht="18.95" customHeight="1">
      <c r="A40" s="393"/>
      <c r="B40" s="403"/>
      <c r="C40" s="403"/>
      <c r="D40" s="394"/>
      <c r="E40" s="394"/>
      <c r="F40" s="395"/>
    </row>
    <row r="41" spans="1:6" ht="18.95" customHeight="1">
      <c r="A41" s="393"/>
      <c r="B41" s="403"/>
      <c r="C41" s="403"/>
      <c r="D41" s="394"/>
      <c r="E41" s="394"/>
      <c r="F41" s="395"/>
    </row>
    <row r="42" spans="1:6" ht="18.95" customHeight="1">
      <c r="A42" s="393"/>
      <c r="B42" s="394"/>
      <c r="C42" s="394"/>
      <c r="D42" s="394"/>
      <c r="E42" s="394"/>
      <c r="F42" s="395"/>
    </row>
    <row r="43" spans="1:6" ht="18.95" customHeight="1">
      <c r="A43" s="405"/>
      <c r="B43" s="403"/>
      <c r="C43" s="406" t="s">
        <v>586</v>
      </c>
      <c r="D43" s="407" t="str">
        <f>'Performance Data Sheet'!K42</f>
        <v>Zichao Xie</v>
      </c>
      <c r="E43" s="406" t="s">
        <v>587</v>
      </c>
      <c r="F43" s="40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 thickBot="1"/>
    <row r="53" spans="1:12" ht="15" customHeight="1" thickBot="1">
      <c r="A53" s="425" t="s">
        <v>403</v>
      </c>
      <c r="B53" s="425" t="s">
        <v>142</v>
      </c>
      <c r="C53" s="425" t="s">
        <v>120</v>
      </c>
      <c r="D53" s="425" t="s">
        <v>135</v>
      </c>
      <c r="E53" s="425" t="s">
        <v>5</v>
      </c>
      <c r="F53" s="426" t="s">
        <v>598</v>
      </c>
    </row>
    <row r="54" spans="1:12" ht="15" customHeight="1">
      <c r="A54" s="427">
        <v>0</v>
      </c>
      <c r="B54" s="428"/>
      <c r="C54" s="429"/>
      <c r="D54" s="429">
        <v>86.168841837534643</v>
      </c>
      <c r="E54" s="429">
        <v>100</v>
      </c>
      <c r="F54" s="430">
        <f>45197/100000</f>
        <v>0.45196999999999998</v>
      </c>
    </row>
    <row r="55" spans="1:12" ht="15" customHeight="1">
      <c r="A55" s="431">
        <v>25</v>
      </c>
      <c r="B55" s="432">
        <v>93.49346923828125</v>
      </c>
      <c r="C55" s="433">
        <v>78.549224853515625</v>
      </c>
      <c r="D55" s="433">
        <v>164.8013916015625</v>
      </c>
      <c r="E55" s="433">
        <f>AVERAGE(E54,E56)</f>
        <v>91.362639858385876</v>
      </c>
      <c r="F55" s="434">
        <v>8.9683113013559712</v>
      </c>
      <c r="L55" s="530">
        <v>98.058887917157961</v>
      </c>
    </row>
    <row r="56" spans="1:12" ht="15" customHeight="1">
      <c r="A56" s="431">
        <v>50</v>
      </c>
      <c r="B56" s="432">
        <v>95.685478210449219</v>
      </c>
      <c r="C56" s="433">
        <v>88.688095092773438</v>
      </c>
      <c r="D56" s="433">
        <v>285.23489379882813</v>
      </c>
      <c r="E56" s="433">
        <v>82.725279716771738</v>
      </c>
      <c r="F56" s="434">
        <v>17.525720332718137</v>
      </c>
    </row>
    <row r="57" spans="1:12">
      <c r="A57" s="431">
        <v>75</v>
      </c>
      <c r="B57" s="432">
        <v>96.201011657714844</v>
      </c>
      <c r="C57" s="433">
        <v>90.671096801757813</v>
      </c>
      <c r="D57" s="433">
        <v>416.25244140625</v>
      </c>
      <c r="E57" s="433">
        <v>67.110443974844742</v>
      </c>
      <c r="F57" s="434">
        <v>26.147703642471466</v>
      </c>
    </row>
    <row r="58" spans="1:12">
      <c r="A58" s="431">
        <v>100</v>
      </c>
      <c r="B58" s="432">
        <v>96.264556884765625</v>
      </c>
      <c r="C58" s="433">
        <v>90.871307373046875</v>
      </c>
      <c r="D58" s="433">
        <v>553.41485595703125</v>
      </c>
      <c r="E58" s="433">
        <v>50.479110627150959</v>
      </c>
      <c r="F58" s="434">
        <v>34.840590472483818</v>
      </c>
    </row>
    <row r="59" spans="1:12" ht="13.5" thickBot="1">
      <c r="A59" s="435">
        <v>125</v>
      </c>
      <c r="B59" s="436">
        <v>96.145889282226563</v>
      </c>
      <c r="C59" s="437">
        <v>90.346931457519531</v>
      </c>
      <c r="D59" s="437">
        <v>696.64251708984375</v>
      </c>
      <c r="E59" s="437">
        <v>34.384138133537604</v>
      </c>
      <c r="F59" s="438">
        <v>43.604496366579014</v>
      </c>
    </row>
    <row r="60" spans="1:12">
      <c r="A60" s="419"/>
      <c r="B60" s="420"/>
      <c r="C60" s="420"/>
    </row>
    <row r="61" spans="1:12">
      <c r="A61" s="419"/>
      <c r="B61" s="420"/>
      <c r="C61" s="420"/>
    </row>
    <row r="62" spans="1:12">
      <c r="A62" s="419"/>
      <c r="B62" s="420"/>
      <c r="C62" s="420"/>
    </row>
    <row r="63" spans="1:12">
      <c r="A63" s="419"/>
      <c r="B63" s="420"/>
      <c r="C63" s="420"/>
    </row>
    <row r="64" spans="1:12">
      <c r="A64" s="419"/>
      <c r="B64" s="420"/>
      <c r="C64" s="420"/>
    </row>
    <row r="65" spans="1:3">
      <c r="A65" s="419"/>
      <c r="B65" s="420"/>
      <c r="C65" s="420"/>
    </row>
    <row r="66" spans="1:3">
      <c r="A66" s="419"/>
      <c r="B66" s="420"/>
      <c r="C66" s="420"/>
    </row>
    <row r="67" spans="1:3">
      <c r="A67" s="421"/>
      <c r="B67" s="420"/>
      <c r="C67" s="420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3"/>
  <sheetViews>
    <sheetView workbookViewId="0">
      <selection activeCell="M31" sqref="M31"/>
    </sheetView>
  </sheetViews>
  <sheetFormatPr defaultColWidth="9.140625" defaultRowHeight="12.75"/>
  <cols>
    <col min="1" max="1" width="9.5703125" style="375" customWidth="1"/>
    <col min="2" max="11" width="7.7109375" style="375" customWidth="1"/>
    <col min="12" max="16384" width="9.140625" style="375"/>
  </cols>
  <sheetData>
    <row r="1" spans="1:12" ht="20.25">
      <c r="A1" s="705" t="s">
        <v>733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377"/>
    </row>
    <row r="2" spans="1:12" ht="30" customHeight="1">
      <c r="A2" s="377"/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</row>
    <row r="3" spans="1:12" ht="19.5">
      <c r="A3" s="399" t="s">
        <v>413</v>
      </c>
      <c r="B3" s="548" t="s">
        <v>452</v>
      </c>
      <c r="C3" s="377"/>
      <c r="D3" s="377"/>
      <c r="E3" s="377"/>
      <c r="F3" s="377"/>
      <c r="G3" s="377"/>
      <c r="H3" s="377"/>
      <c r="I3" s="377"/>
      <c r="J3" s="377"/>
      <c r="K3" s="377"/>
      <c r="L3" s="377"/>
    </row>
    <row r="4" spans="1:12" ht="12" customHeight="1">
      <c r="A4" s="377"/>
      <c r="B4" s="377"/>
      <c r="C4" s="377"/>
      <c r="D4" s="377"/>
      <c r="E4" s="377"/>
      <c r="F4" s="377"/>
      <c r="G4" s="377"/>
      <c r="H4" s="377"/>
      <c r="I4" s="377"/>
      <c r="J4" s="377"/>
      <c r="K4" s="377"/>
      <c r="L4" s="377"/>
    </row>
    <row r="5" spans="1:12" ht="19.5">
      <c r="A5" s="549" t="s">
        <v>734</v>
      </c>
      <c r="B5" s="394"/>
      <c r="C5" s="394"/>
      <c r="D5" s="394"/>
      <c r="E5" s="394"/>
      <c r="F5" s="377"/>
      <c r="G5" s="377"/>
      <c r="H5" s="377"/>
      <c r="I5" s="377"/>
      <c r="J5" s="377"/>
      <c r="K5" s="377"/>
      <c r="L5" s="377"/>
    </row>
    <row r="6" spans="1:12" ht="17.25" customHeight="1">
      <c r="A6" s="377"/>
      <c r="B6" s="377"/>
      <c r="C6" s="377"/>
      <c r="D6" s="377"/>
      <c r="E6" s="377"/>
      <c r="F6" s="377"/>
      <c r="G6" s="377"/>
      <c r="H6" s="377"/>
      <c r="I6" s="377"/>
      <c r="J6" s="377"/>
      <c r="K6" s="377"/>
      <c r="L6" s="377"/>
    </row>
    <row r="7" spans="1:12" ht="15.75">
      <c r="A7" s="377"/>
      <c r="B7" s="550" t="s">
        <v>735</v>
      </c>
      <c r="C7" s="551">
        <v>0</v>
      </c>
      <c r="D7" s="550" t="s">
        <v>735</v>
      </c>
      <c r="E7" s="552" t="s">
        <v>736</v>
      </c>
      <c r="F7" s="550" t="s">
        <v>735</v>
      </c>
      <c r="G7" s="552" t="s">
        <v>737</v>
      </c>
      <c r="H7" s="550" t="s">
        <v>738</v>
      </c>
      <c r="I7" s="552">
        <v>0</v>
      </c>
      <c r="J7" s="550" t="s">
        <v>738</v>
      </c>
      <c r="K7" s="552">
        <v>7.0000000000000001E-3</v>
      </c>
      <c r="L7" s="377"/>
    </row>
    <row r="8" spans="1:12" ht="15.75">
      <c r="A8" s="380" t="s">
        <v>739</v>
      </c>
      <c r="B8" s="687">
        <v>6</v>
      </c>
      <c r="C8" s="687"/>
      <c r="D8" s="687">
        <v>12</v>
      </c>
      <c r="E8" s="687"/>
      <c r="F8" s="687">
        <v>0</v>
      </c>
      <c r="G8" s="687"/>
      <c r="H8" s="687" t="s">
        <v>740</v>
      </c>
      <c r="I8" s="687"/>
      <c r="J8" s="687" t="s">
        <v>741</v>
      </c>
      <c r="K8" s="687"/>
      <c r="L8" s="377"/>
    </row>
    <row r="9" spans="1:12" ht="15.75">
      <c r="A9" s="380" t="s">
        <v>742</v>
      </c>
      <c r="B9" s="687">
        <v>10</v>
      </c>
      <c r="C9" s="687"/>
      <c r="D9" s="687">
        <v>16</v>
      </c>
      <c r="E9" s="687"/>
      <c r="F9" s="687">
        <v>4</v>
      </c>
      <c r="G9" s="687"/>
      <c r="H9" s="687" t="s">
        <v>743</v>
      </c>
      <c r="I9" s="687"/>
      <c r="J9" s="687" t="s">
        <v>744</v>
      </c>
      <c r="K9" s="687"/>
      <c r="L9" s="377"/>
    </row>
    <row r="10" spans="1:12" ht="15.75">
      <c r="A10" s="380" t="s">
        <v>745</v>
      </c>
      <c r="B10" s="687">
        <v>8</v>
      </c>
      <c r="C10" s="687"/>
      <c r="D10" s="687">
        <v>14</v>
      </c>
      <c r="E10" s="687"/>
      <c r="F10" s="687">
        <v>2</v>
      </c>
      <c r="G10" s="687"/>
      <c r="H10" s="687" t="s">
        <v>746</v>
      </c>
      <c r="I10" s="687"/>
      <c r="J10" s="687" t="s">
        <v>747</v>
      </c>
      <c r="K10" s="687"/>
      <c r="L10" s="377"/>
    </row>
    <row r="11" spans="1:12" ht="26.25" customHeight="1">
      <c r="A11" s="377"/>
      <c r="B11" s="377"/>
      <c r="C11" s="377"/>
      <c r="D11" s="377"/>
      <c r="E11" s="377"/>
      <c r="F11" s="377"/>
      <c r="G11" s="377"/>
      <c r="H11" s="377"/>
      <c r="I11" s="377"/>
      <c r="J11" s="377"/>
      <c r="K11" s="377"/>
      <c r="L11" s="377"/>
    </row>
    <row r="12" spans="1:12" ht="19.5">
      <c r="A12" s="549" t="s">
        <v>748</v>
      </c>
      <c r="B12" s="377"/>
      <c r="C12" s="377"/>
      <c r="D12" s="377"/>
      <c r="E12" s="377"/>
      <c r="F12" s="377"/>
      <c r="G12" s="377"/>
      <c r="H12" s="377"/>
      <c r="I12" s="377"/>
      <c r="J12" s="377"/>
      <c r="K12" s="377"/>
      <c r="L12" s="377"/>
    </row>
    <row r="13" spans="1:12" ht="15.75">
      <c r="A13" s="377"/>
      <c r="B13" s="377"/>
      <c r="C13" s="377"/>
      <c r="D13" s="377"/>
      <c r="E13" s="377"/>
      <c r="F13" s="377"/>
      <c r="G13" s="377"/>
      <c r="H13" s="377"/>
      <c r="I13" s="377"/>
      <c r="J13" s="377"/>
      <c r="K13" s="377"/>
      <c r="L13" s="377"/>
    </row>
    <row r="14" spans="1:12" ht="15.75">
      <c r="A14" s="377"/>
      <c r="B14" s="706" t="s">
        <v>749</v>
      </c>
      <c r="C14" s="683"/>
      <c r="D14" s="707" t="s">
        <v>750</v>
      </c>
      <c r="E14" s="687"/>
      <c r="F14" s="706" t="s">
        <v>751</v>
      </c>
      <c r="G14" s="683"/>
      <c r="H14" s="707" t="s">
        <v>752</v>
      </c>
      <c r="I14" s="687"/>
      <c r="J14" s="377"/>
      <c r="K14" s="377"/>
      <c r="L14" s="377"/>
    </row>
    <row r="15" spans="1:12" ht="15.75">
      <c r="A15" s="377"/>
      <c r="B15" s="706" t="s">
        <v>753</v>
      </c>
      <c r="C15" s="683"/>
      <c r="D15" s="707" t="s">
        <v>754</v>
      </c>
      <c r="E15" s="687"/>
      <c r="F15" s="706" t="s">
        <v>755</v>
      </c>
      <c r="G15" s="683"/>
      <c r="H15" s="707" t="s">
        <v>756</v>
      </c>
      <c r="I15" s="687"/>
      <c r="J15" s="377"/>
      <c r="K15" s="377"/>
      <c r="L15" s="377"/>
    </row>
    <row r="16" spans="1:12" ht="15.75">
      <c r="A16" s="377"/>
      <c r="B16" s="706" t="s">
        <v>757</v>
      </c>
      <c r="C16" s="683"/>
      <c r="D16" s="707" t="s">
        <v>758</v>
      </c>
      <c r="E16" s="687"/>
      <c r="F16" s="706" t="s">
        <v>759</v>
      </c>
      <c r="G16" s="683"/>
      <c r="H16" s="707" t="s">
        <v>760</v>
      </c>
      <c r="I16" s="687"/>
      <c r="J16" s="377"/>
      <c r="K16" s="377"/>
      <c r="L16" s="377"/>
    </row>
    <row r="17" spans="1:12" ht="15.75">
      <c r="A17" s="377"/>
      <c r="B17" s="706" t="s">
        <v>761</v>
      </c>
      <c r="C17" s="683"/>
      <c r="D17" s="707" t="s">
        <v>762</v>
      </c>
      <c r="E17" s="687"/>
      <c r="F17" s="706" t="s">
        <v>763</v>
      </c>
      <c r="G17" s="683"/>
      <c r="H17" s="707" t="s">
        <v>764</v>
      </c>
      <c r="I17" s="687"/>
      <c r="J17" s="377"/>
      <c r="K17" s="377"/>
      <c r="L17" s="377"/>
    </row>
    <row r="18" spans="1:12" ht="15.75">
      <c r="A18" s="377"/>
      <c r="B18" s="706" t="s">
        <v>765</v>
      </c>
      <c r="C18" s="683"/>
      <c r="D18" s="707" t="s">
        <v>766</v>
      </c>
      <c r="E18" s="687"/>
      <c r="F18" s="706" t="s">
        <v>767</v>
      </c>
      <c r="G18" s="683"/>
      <c r="H18" s="707" t="s">
        <v>768</v>
      </c>
      <c r="I18" s="687"/>
      <c r="J18" s="377"/>
      <c r="K18" s="377"/>
      <c r="L18" s="377"/>
    </row>
    <row r="19" spans="1:12" ht="27" customHeight="1">
      <c r="A19" s="377"/>
      <c r="B19" s="377"/>
      <c r="C19" s="377"/>
      <c r="D19" s="377"/>
      <c r="E19" s="377"/>
      <c r="F19" s="377"/>
      <c r="G19" s="377"/>
      <c r="H19" s="377"/>
      <c r="I19" s="377"/>
      <c r="J19" s="377"/>
      <c r="K19" s="377"/>
      <c r="L19" s="377"/>
    </row>
    <row r="20" spans="1:12" ht="19.5">
      <c r="A20" s="549" t="s">
        <v>769</v>
      </c>
      <c r="B20" s="377"/>
      <c r="C20" s="377"/>
      <c r="D20" s="377"/>
      <c r="E20" s="377"/>
      <c r="F20" s="377"/>
      <c r="G20" s="377"/>
      <c r="H20" s="377"/>
      <c r="I20" s="377"/>
      <c r="J20" s="377"/>
      <c r="K20" s="377"/>
      <c r="L20" s="377"/>
    </row>
    <row r="21" spans="1:12" ht="15.75">
      <c r="A21" s="377"/>
      <c r="B21" s="377"/>
      <c r="C21" s="377"/>
      <c r="D21" s="377"/>
      <c r="E21" s="377"/>
      <c r="F21" s="377"/>
      <c r="G21" s="377"/>
      <c r="H21" s="377"/>
      <c r="I21" s="377"/>
      <c r="J21" s="377"/>
      <c r="K21" s="377"/>
      <c r="L21" s="377"/>
    </row>
    <row r="22" spans="1:12" ht="19.5">
      <c r="A22" s="377"/>
      <c r="B22" s="549" t="s">
        <v>770</v>
      </c>
      <c r="C22" s="377"/>
      <c r="D22" s="377"/>
      <c r="E22" s="377"/>
      <c r="F22" s="377"/>
      <c r="G22" s="377"/>
      <c r="H22" s="377"/>
      <c r="I22" s="377"/>
      <c r="J22" s="377"/>
      <c r="K22" s="377"/>
      <c r="L22" s="377"/>
    </row>
    <row r="23" spans="1:12" ht="15.75">
      <c r="A23" s="377"/>
      <c r="B23" s="377"/>
      <c r="C23" s="377"/>
      <c r="D23" s="377"/>
      <c r="E23" s="377"/>
      <c r="F23" s="377"/>
      <c r="G23" s="377"/>
      <c r="H23" s="377"/>
      <c r="I23" s="377"/>
      <c r="J23" s="377"/>
      <c r="K23" s="377"/>
      <c r="L23" s="377"/>
    </row>
    <row r="24" spans="1:12" ht="15.75">
      <c r="A24" s="377"/>
      <c r="B24" s="377"/>
      <c r="C24" s="377"/>
      <c r="D24" s="377"/>
      <c r="E24" s="377"/>
      <c r="F24" s="377"/>
      <c r="G24" s="377"/>
      <c r="H24" s="377"/>
      <c r="I24" s="377"/>
      <c r="J24" s="377"/>
      <c r="K24" s="377"/>
      <c r="L24" s="377"/>
    </row>
    <row r="25" spans="1:12" ht="15.75">
      <c r="A25" s="377"/>
      <c r="B25" s="377"/>
      <c r="C25" s="377"/>
      <c r="D25" s="377"/>
      <c r="E25" s="377"/>
      <c r="F25" s="377"/>
      <c r="G25" s="377"/>
      <c r="H25" s="377"/>
      <c r="I25" s="377"/>
      <c r="J25" s="377"/>
      <c r="K25" s="377"/>
      <c r="L25" s="377"/>
    </row>
    <row r="26" spans="1:12" ht="15.75">
      <c r="A26" s="377"/>
      <c r="B26" s="377"/>
      <c r="C26" s="377"/>
      <c r="D26" s="377"/>
      <c r="E26" s="377"/>
      <c r="F26" s="377"/>
      <c r="G26" s="377"/>
      <c r="H26" s="377"/>
      <c r="I26" s="377"/>
      <c r="J26" s="377"/>
      <c r="K26" s="377"/>
      <c r="L26" s="377"/>
    </row>
    <row r="27" spans="1:12" ht="15.75">
      <c r="A27" s="377"/>
      <c r="B27" s="377"/>
      <c r="C27" s="377"/>
      <c r="D27" s="377"/>
      <c r="E27" s="377"/>
      <c r="F27" s="377"/>
      <c r="G27" s="377"/>
      <c r="H27" s="377"/>
      <c r="I27" s="377"/>
      <c r="J27" s="377"/>
      <c r="K27" s="377"/>
      <c r="L27" s="377"/>
    </row>
    <row r="28" spans="1:12" ht="15.75">
      <c r="A28" s="377"/>
      <c r="B28" s="377"/>
      <c r="C28" s="377"/>
      <c r="D28" s="377"/>
      <c r="E28" s="377"/>
      <c r="F28" s="377"/>
      <c r="G28" s="377"/>
      <c r="H28" s="377"/>
      <c r="I28" s="377"/>
      <c r="J28" s="377"/>
      <c r="K28" s="377"/>
      <c r="L28" s="377"/>
    </row>
    <row r="29" spans="1:12" ht="15.75">
      <c r="A29" s="377"/>
      <c r="B29" s="377"/>
      <c r="C29" s="377"/>
      <c r="D29" s="377"/>
      <c r="E29" s="377"/>
      <c r="F29" s="377"/>
      <c r="G29" s="377"/>
      <c r="H29" s="377"/>
      <c r="I29" s="377"/>
      <c r="J29" s="377"/>
      <c r="K29" s="377"/>
      <c r="L29" s="377"/>
    </row>
    <row r="30" spans="1:12" ht="15.75">
      <c r="A30" s="377"/>
      <c r="B30" s="377"/>
      <c r="C30" s="377"/>
      <c r="D30" s="377"/>
      <c r="E30" s="377"/>
      <c r="F30" s="377"/>
      <c r="G30" s="377"/>
      <c r="H30" s="377"/>
      <c r="I30" s="377"/>
      <c r="J30" s="377"/>
      <c r="K30" s="377"/>
      <c r="L30" s="377"/>
    </row>
    <row r="31" spans="1:12" ht="15.75">
      <c r="A31" s="377"/>
      <c r="B31" s="377"/>
      <c r="C31" s="377"/>
      <c r="D31" s="377"/>
      <c r="E31" s="377"/>
      <c r="F31" s="377"/>
      <c r="G31" s="377"/>
      <c r="H31" s="377"/>
      <c r="I31" s="377"/>
      <c r="J31" s="377"/>
      <c r="K31" s="377"/>
      <c r="L31" s="377"/>
    </row>
    <row r="32" spans="1:12" ht="15.75">
      <c r="A32" s="377"/>
      <c r="B32" s="377"/>
      <c r="C32" s="377"/>
      <c r="D32" s="377"/>
      <c r="E32" s="377"/>
      <c r="F32" s="377"/>
      <c r="G32" s="377"/>
      <c r="H32" s="377"/>
      <c r="I32" s="377"/>
      <c r="J32" s="377"/>
      <c r="K32" s="377"/>
      <c r="L32" s="377"/>
    </row>
    <row r="33" spans="1:12" ht="15.75">
      <c r="A33" s="377"/>
      <c r="B33" s="377"/>
      <c r="C33" s="377"/>
      <c r="D33" s="377"/>
      <c r="E33" s="377"/>
      <c r="F33" s="377"/>
      <c r="G33" s="377"/>
      <c r="H33" s="377"/>
      <c r="I33" s="377"/>
      <c r="J33" s="377"/>
      <c r="K33" s="377"/>
      <c r="L33" s="377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StallTime</vt:lpstr>
      <vt:lpstr>Performance Data Sheet</vt:lpstr>
      <vt:lpstr>STCurve</vt:lpstr>
      <vt:lpstr>Thermdam</vt:lpstr>
      <vt:lpstr>Performance</vt:lpstr>
      <vt:lpstr>MagNoise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 (TIC)</cp:lastModifiedBy>
  <cp:lastPrinted>2017-05-22T14:20:14Z</cp:lastPrinted>
  <dcterms:created xsi:type="dcterms:W3CDTF">1997-10-03T20:37:30Z</dcterms:created>
  <dcterms:modified xsi:type="dcterms:W3CDTF">2024-04-09T20:27:28Z</dcterms:modified>
</cp:coreProperties>
</file>