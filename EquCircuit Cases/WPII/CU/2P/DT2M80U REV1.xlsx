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N:\DESPRO\BASE MV DESIGNS\6800 FRAME\Electrical Design\2P\SERIES\"/>
    </mc:Choice>
  </mc:AlternateContent>
  <xr:revisionPtr revIDLastSave="0" documentId="13_ncr:1_{231B5027-F12F-431D-9BFE-7E74CAA38FFD}" xr6:coauthVersionLast="47" xr6:coauthVersionMax="47" xr10:uidLastSave="{00000000-0000-0000-0000-000000000000}"/>
  <bookViews>
    <workbookView xWindow="28680" yWindow="-120" windowWidth="29040" windowHeight="15720" activeTab="4" xr2:uid="{CB9AD450-6813-4B0B-9B5E-52B81D380AF4}"/>
  </bookViews>
  <sheets>
    <sheet name="DesignSheet 0.8V" sheetId="11" r:id="rId1"/>
    <sheet name="DesignSheet" sheetId="3" r:id="rId2"/>
    <sheet name="Data Sheet" sheetId="4" r:id="rId3"/>
    <sheet name="LoginSheet" sheetId="5" r:id="rId4"/>
    <sheet name="Performance Data Sheet" sheetId="10" r:id="rId5"/>
    <sheet name="STCurve" sheetId="6" r:id="rId6"/>
    <sheet name="Thermdam" sheetId="7" r:id="rId7"/>
    <sheet name="StallTime" sheetId="8" r:id="rId8"/>
    <sheet name="Performance" sheetId="9" r:id="rId9"/>
    <sheet name="PERFORMANCE 4160V" sheetId="1" r:id="rId10"/>
    <sheet name="Rev. 1" sheetId="2" r:id="rId11"/>
  </sheets>
  <externalReferences>
    <externalReference r:id="rId12"/>
    <externalReference r:id="rId13"/>
  </externalReferences>
  <definedNames>
    <definedName name="_Regression_Int" localSheetId="9" hidden="1">1</definedName>
    <definedName name="_Regression_Int" localSheetId="4" hidden="1">1</definedName>
    <definedName name="_Regression_Int" localSheetId="10" hidden="1">1</definedName>
    <definedName name="_xlnm.Print_Area" localSheetId="2">'Data Sheet'!$A$1:$K$46</definedName>
    <definedName name="_xlnm.Print_Area" localSheetId="1">DesignSheet!$A$1:$J$69</definedName>
    <definedName name="_xlnm.Print_Area" localSheetId="0">'DesignSheet 0.8V'!$A$1:$J$69</definedName>
    <definedName name="_xlnm.Print_Area" localSheetId="3">LoginSheet!$A$1:$N$79</definedName>
    <definedName name="_xlnm.Print_Area" localSheetId="8">Performance!$A$1:$F$43</definedName>
    <definedName name="_xlnm.Print_Area" localSheetId="9">'PERFORMANCE 4160V'!$A$1:$M$54</definedName>
    <definedName name="_xlnm.Print_Area" localSheetId="4">'Performance Data Sheet'!$A$1:$M$44</definedName>
    <definedName name="_xlnm.Print_Area" localSheetId="10">'Rev. 1'!$A$1:$M$44</definedName>
    <definedName name="_xlnm.Print_Area" localSheetId="7">StallTime!$A$1:$G$40</definedName>
    <definedName name="_xlnm.Print_Area" localSheetId="5">STCurve!$A$1:$F$43</definedName>
    <definedName name="_xlnm.Print_Area" localSheetId="6">Thermdam!$A$1:$F$43</definedName>
    <definedName name="Print_Area_MI" localSheetId="9">'PERFORMANCE 4160V'!$A$10:$N$18</definedName>
    <definedName name="Print_Area_MI" localSheetId="10">'Rev. 1'!$A$8:$N$45</definedName>
    <definedName name="Print_Area_MI">'Performance Data Sheet'!$A$10:$N$42</definedName>
    <definedName name="Z_852987ED_B4F5_11D1_ABEC_0000832EB49E_.wvu.PrintArea" localSheetId="8" hidden="1">Performance!$A$1:$F$43</definedName>
    <definedName name="Z_852987ED_B4F5_11D1_ABEC_0000832EB49E_.wvu.PrintArea" localSheetId="5" hidden="1">STCurve!$A$1:$F$43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1" l="1"/>
  <c r="M50" i="11"/>
  <c r="M53" i="11" s="1"/>
  <c r="M49" i="11"/>
  <c r="M48" i="11"/>
  <c r="M47" i="11"/>
  <c r="M46" i="11"/>
  <c r="M41" i="11"/>
  <c r="N41" i="11" s="1"/>
  <c r="L41" i="11"/>
  <c r="M40" i="11"/>
  <c r="N40" i="11" s="1"/>
  <c r="L40" i="11"/>
  <c r="M39" i="11"/>
  <c r="N39" i="11" s="1"/>
  <c r="L39" i="11"/>
  <c r="M38" i="11"/>
  <c r="N38" i="11" s="1"/>
  <c r="L38" i="11"/>
  <c r="P34" i="11"/>
  <c r="P33" i="11"/>
  <c r="M33" i="11"/>
  <c r="P32" i="11"/>
  <c r="M32" i="11"/>
  <c r="P31" i="11"/>
  <c r="M31" i="11"/>
  <c r="P30" i="11"/>
  <c r="M30" i="11"/>
  <c r="M29" i="11"/>
  <c r="H81" i="7" l="1"/>
  <c r="H80" i="7"/>
  <c r="G80" i="7"/>
  <c r="H79" i="7"/>
  <c r="G79" i="7"/>
  <c r="H78" i="7"/>
  <c r="G78" i="7"/>
  <c r="H77" i="7"/>
  <c r="G77" i="7"/>
  <c r="H76" i="7"/>
  <c r="G76" i="7"/>
  <c r="C76" i="7"/>
  <c r="C77" i="7" s="1"/>
  <c r="C78" i="7" s="1"/>
  <c r="B76" i="7"/>
  <c r="H75" i="7"/>
  <c r="G75" i="7"/>
  <c r="C75" i="7"/>
  <c r="H74" i="7"/>
  <c r="G74" i="7"/>
  <c r="C74" i="7"/>
  <c r="B74" i="7"/>
  <c r="H73" i="7"/>
  <c r="G73" i="7"/>
  <c r="H72" i="7"/>
  <c r="G72" i="7"/>
  <c r="H71" i="7"/>
  <c r="G71" i="7"/>
  <c r="H70" i="7"/>
  <c r="G70" i="7"/>
  <c r="H69" i="7"/>
  <c r="G69" i="7"/>
  <c r="A69" i="7"/>
  <c r="A70" i="7" s="1"/>
  <c r="H68" i="7"/>
  <c r="G68" i="7"/>
  <c r="E68" i="7"/>
  <c r="D66" i="7"/>
  <c r="F50" i="7"/>
  <c r="M28" i="4"/>
  <c r="M18" i="4"/>
  <c r="M52" i="3"/>
  <c r="M50" i="3"/>
  <c r="M49" i="3"/>
  <c r="M48" i="3"/>
  <c r="M47" i="3"/>
  <c r="M46" i="3"/>
  <c r="M53" i="3" s="1"/>
  <c r="M56" i="3" s="1"/>
  <c r="L41" i="3"/>
  <c r="N41" i="3" s="1"/>
  <c r="L40" i="3"/>
  <c r="N40" i="3" s="1"/>
  <c r="M39" i="3"/>
  <c r="N39" i="3" s="1"/>
  <c r="L39" i="3"/>
  <c r="M38" i="3"/>
  <c r="N38" i="3" s="1"/>
  <c r="L38" i="3"/>
  <c r="P34" i="3"/>
  <c r="P33" i="3"/>
  <c r="M33" i="3"/>
  <c r="P32" i="3"/>
  <c r="M32" i="3"/>
  <c r="P31" i="3"/>
  <c r="M31" i="3"/>
  <c r="P30" i="3"/>
  <c r="M30" i="3"/>
  <c r="M29" i="3"/>
  <c r="K48" i="1"/>
  <c r="C70" i="7" l="1"/>
  <c r="B70" i="7"/>
  <c r="A71" i="7"/>
  <c r="B69" i="7"/>
  <c r="B75" i="7" s="1"/>
  <c r="C69" i="7"/>
  <c r="A72" i="7" l="1"/>
  <c r="C71" i="7"/>
  <c r="B71" i="7"/>
  <c r="A73" i="7" l="1"/>
  <c r="B73" i="7" s="1"/>
  <c r="B7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EAFE7B57-B730-4917-961A-9D3061BA9CE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1F0A7482-03E8-45BC-9EC0-0E245763207F}">
      <text>
        <r>
          <rPr>
            <b/>
            <sz val="8"/>
            <color indexed="81"/>
            <rFont val="Tahoma"/>
            <family val="2"/>
          </rPr>
          <t>Choose Steel Type
from list or input name</t>
        </r>
      </text>
    </comment>
    <comment ref="D21" authorId="0" shapeId="0" xr:uid="{57283D51-EDB4-4384-B775-39B955BB0408}">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<sst xmlns="http://schemas.openxmlformats.org/spreadsheetml/2006/main" count="1458" uniqueCount="838">
  <si>
    <t>ALL CHARACTERISTICS ARE AVERAGE EXPECTED VALUES BASED UPON RATED VOLTAGE, FREQUENCY AND SINEWAVE POWER INPUT.</t>
  </si>
  <si>
    <t>DATE:</t>
  </si>
  <si>
    <t>CERTIFIED BY:</t>
  </si>
  <si>
    <t>EFFICIENCY TO BE DETERMINED BY IEEE 112, METHOD B</t>
  </si>
  <si>
    <t>-</t>
  </si>
  <si>
    <t>GUARENTEED EFFICIENCY (%)</t>
  </si>
  <si>
    <t>POWER FACTOR (%)</t>
  </si>
  <si>
    <t>EFFICIENCY (%)</t>
  </si>
  <si>
    <t>AMPS (A)</t>
  </si>
  <si>
    <t>FULL</t>
  </si>
  <si>
    <t>3/4</t>
  </si>
  <si>
    <t>1/2</t>
  </si>
  <si>
    <t>LOAD</t>
  </si>
  <si>
    <t>LOAD CHARACTERISTICS</t>
  </si>
  <si>
    <t>ACCELERATION TIME:</t>
  </si>
  <si>
    <t>3.5</t>
  </si>
  <si>
    <t>AIR GAP:</t>
  </si>
  <si>
    <t>NO LOAD CURRENT:</t>
  </si>
  <si>
    <t>661.7</t>
  </si>
  <si>
    <r>
      <t>MOTOR ROTOR wk</t>
    </r>
    <r>
      <rPr>
        <vertAlign val="superscript"/>
        <sz val="8"/>
        <rFont val="Univers"/>
        <family val="2"/>
      </rPr>
      <t xml:space="preserve">2 </t>
    </r>
    <r>
      <rPr>
        <sz val="8"/>
        <rFont val="Univers"/>
        <family val="2"/>
      </rPr>
      <t>(LB.FT</t>
    </r>
    <r>
      <rPr>
        <vertAlign val="superscript"/>
        <sz val="8"/>
        <rFont val="Univers"/>
        <family val="2"/>
      </rPr>
      <t>2</t>
    </r>
    <r>
      <rPr>
        <sz val="8"/>
        <rFont val="Univers"/>
        <family val="2"/>
      </rPr>
      <t>):</t>
    </r>
  </si>
  <si>
    <t>DESIGN DATA</t>
  </si>
  <si>
    <t>70% VOLTAGE:</t>
  </si>
  <si>
    <t>80% VOLTAGE:</t>
  </si>
  <si>
    <t>15</t>
  </si>
  <si>
    <t>90% VOLTAGE:</t>
  </si>
  <si>
    <t>12</t>
  </si>
  <si>
    <t>100% VOLTAGE:</t>
  </si>
  <si>
    <t>HOT CONDITION</t>
  </si>
  <si>
    <t>COLD CONDITION</t>
  </si>
  <si>
    <t>LOCKED ROTOR WITHSTAND TIMES</t>
  </si>
  <si>
    <t>BREAKDOWN TORQUE (% OF FLT):</t>
  </si>
  <si>
    <t>ACCELERATION CURVE:</t>
  </si>
  <si>
    <t>PULL UP TORQUE (% OF FLT):</t>
  </si>
  <si>
    <t>DT2M80U</t>
  </si>
  <si>
    <t>SPEED-CURRENT CURVE:</t>
  </si>
  <si>
    <t>LOCKED ROTOR TORQUE (% OF FLT):</t>
  </si>
  <si>
    <t>SPEED-TORQUE CURVE:</t>
  </si>
  <si>
    <t>FULL LOAD (LB.FT):</t>
  </si>
  <si>
    <t>CURVE NUMBERS</t>
  </si>
  <si>
    <t>TORQUE VALUES</t>
  </si>
  <si>
    <t>AMPS AT 80% VOLTAGE:</t>
  </si>
  <si>
    <t>POWER FACTOR:</t>
  </si>
  <si>
    <t>AMPS AT RATED VOLTAGE:</t>
  </si>
  <si>
    <t>LOCKED ROTOR DATA</t>
  </si>
  <si>
    <t>P.F.:</t>
  </si>
  <si>
    <t>MIN. EFF.:</t>
  </si>
  <si>
    <t>NOM. EFF.:</t>
  </si>
  <si>
    <t>kW:</t>
  </si>
  <si>
    <t>MODEL No.:</t>
  </si>
  <si>
    <t>Cont.</t>
  </si>
  <si>
    <t>DUTY:</t>
  </si>
  <si>
    <t>F</t>
  </si>
  <si>
    <t>CODE:</t>
  </si>
  <si>
    <t>40°C</t>
  </si>
  <si>
    <t>AMB.:</t>
  </si>
  <si>
    <t>TIKE</t>
  </si>
  <si>
    <t>TYPE:</t>
  </si>
  <si>
    <t>INSUL CLASS:</t>
  </si>
  <si>
    <t>NEMA DESIGN:</t>
  </si>
  <si>
    <t>S.F.:</t>
  </si>
  <si>
    <t>DCW</t>
  </si>
  <si>
    <t>FORM:</t>
  </si>
  <si>
    <t>FLRPM:</t>
  </si>
  <si>
    <t>FLAMPS:</t>
  </si>
  <si>
    <t>WP-II</t>
  </si>
  <si>
    <t>ENCL:</t>
  </si>
  <si>
    <t>6813USS</t>
  </si>
  <si>
    <t>FRAME:</t>
  </si>
  <si>
    <t>S. RPM:</t>
  </si>
  <si>
    <t>60 Hz</t>
  </si>
  <si>
    <t>3 PH /</t>
  </si>
  <si>
    <t>VOLTS:</t>
  </si>
  <si>
    <t>H.P.:</t>
  </si>
  <si>
    <t>MOTOR NAMEPLATE DATA</t>
  </si>
  <si>
    <t>TIC SR No.:</t>
  </si>
  <si>
    <t>CUSTOMER:</t>
  </si>
  <si>
    <t>P.A.A</t>
  </si>
  <si>
    <t>APPROVED BY</t>
  </si>
  <si>
    <t>API 541 PERFORMANCE SPECIFICATIONS</t>
  </si>
  <si>
    <t>M. CAMPBELL</t>
  </si>
  <si>
    <t>WRITTEN BY</t>
  </si>
  <si>
    <t>SQUIRREL CAGE INDUCTION MOTOR</t>
  </si>
  <si>
    <t>REVISION</t>
  </si>
  <si>
    <t>NEW</t>
  </si>
  <si>
    <t>SUPERSEDES</t>
  </si>
  <si>
    <t>2/14/02</t>
  </si>
  <si>
    <t>ISSUED</t>
  </si>
  <si>
    <t>1 of 1</t>
  </si>
  <si>
    <t>SHEET NO.</t>
  </si>
  <si>
    <t>Industrial Division / Houston Motor Plant</t>
  </si>
  <si>
    <t>MPCF-1082</t>
  </si>
  <si>
    <t>INDEX</t>
  </si>
  <si>
    <t>TOSHIBA INTERNATIONAL CORPORATION</t>
  </si>
  <si>
    <t>JERRY R</t>
  </si>
  <si>
    <t>Open Circuit Time Constant :</t>
  </si>
  <si>
    <t>Sub Transient Time Constant :</t>
  </si>
  <si>
    <t>Short Circuit Time Constant :</t>
  </si>
  <si>
    <t>Sub Transient Reactance :</t>
  </si>
  <si>
    <t>Transient Reactance :</t>
  </si>
  <si>
    <t>Magnetizing Reactance (Xm) :</t>
  </si>
  <si>
    <t>Starting Reactance (X3) :</t>
  </si>
  <si>
    <t>Secondary Reactance (X2) :</t>
  </si>
  <si>
    <t>Primary Reactance (X1) :</t>
  </si>
  <si>
    <t>Starting Resistance (R3) :</t>
  </si>
  <si>
    <t>Secondary Resistance (R2) :</t>
  </si>
  <si>
    <t>Primary Resistance (R1) :</t>
  </si>
  <si>
    <t>Paul Anderson</t>
  </si>
  <si>
    <t xml:space="preserve">All Values are Presented in Ohms/Phase, Equivalent Wye Connection. </t>
  </si>
  <si>
    <t>MDC</t>
  </si>
  <si>
    <t>REV. 0</t>
  </si>
  <si>
    <t>EQUIVALENT CIRCUIT DATA</t>
  </si>
  <si>
    <t>MPCF-1109</t>
  </si>
  <si>
    <t xml:space="preserve">                              TOSHIBA INTERNATIONAL CORPORATION</t>
  </si>
  <si>
    <t>Calc. Code:</t>
  </si>
  <si>
    <t>2-2-2-0-1-2</t>
  </si>
  <si>
    <t xml:space="preserve">             3-PHASE SQUIRREL CAGE INDUCTION MOTOR DESIGN SHEET</t>
  </si>
  <si>
    <t>B.L.-1  P.F.-1</t>
  </si>
  <si>
    <t>File:</t>
  </si>
  <si>
    <t>N:\DESPRO\RAT FILES\DT2M80U.rat</t>
  </si>
  <si>
    <t>Date:</t>
  </si>
  <si>
    <t>Time:</t>
  </si>
  <si>
    <t>Pole</t>
  </si>
  <si>
    <t>HP</t>
  </si>
  <si>
    <t>RPM</t>
  </si>
  <si>
    <t>Form</t>
  </si>
  <si>
    <t>Voltage</t>
  </si>
  <si>
    <t>Frequency</t>
  </si>
  <si>
    <t>Temperature</t>
  </si>
  <si>
    <t>FLSpeed</t>
  </si>
  <si>
    <t>FLSlip</t>
  </si>
  <si>
    <t xml:space="preserve">Frame </t>
  </si>
  <si>
    <t>3578.9 / 3589.7</t>
  </si>
  <si>
    <t>0.0059 / 0.0029</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</si>
  <si>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</si>
  <si>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</si>
  <si>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</si>
  <si>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</si>
  <si>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</si>
  <si>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</si>
  <si>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</si>
  <si>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</si>
  <si>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</si>
  <si>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</si>
  <si>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</si>
  <si>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</si>
  <si>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</si>
  <si>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</si>
  <si>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18</t>
  </si>
  <si>
    <t>Cross Section Area</t>
  </si>
  <si>
    <t>Mean Value</t>
  </si>
  <si>
    <t>Core Length</t>
  </si>
  <si>
    <t>UB: 322.1</t>
  </si>
  <si>
    <t>UER: 3768.4</t>
  </si>
  <si>
    <t>Eff.T.W.St.</t>
  </si>
  <si>
    <t>WS</t>
  </si>
  <si>
    <t>OD</t>
  </si>
  <si>
    <t>Coil Pitch</t>
  </si>
  <si>
    <t>Eff.T.W.Rt.</t>
  </si>
  <si>
    <t>ID</t>
  </si>
  <si>
    <t>Slot Fill</t>
  </si>
  <si>
    <t>EBL: 62.5</t>
  </si>
  <si>
    <t>ERD1: 328.0</t>
  </si>
  <si>
    <t xml:space="preserve">St.Carter Fac. </t>
  </si>
  <si>
    <t>IS</t>
  </si>
  <si>
    <t>Core Depth</t>
  </si>
  <si>
    <t>Con./Slot</t>
  </si>
  <si>
    <t>ERT: 65.54</t>
  </si>
  <si>
    <t>Rt.Carter Fac.</t>
  </si>
  <si>
    <t>Eff.Core L.</t>
  </si>
  <si>
    <t>Wire Size 1</t>
  </si>
  <si>
    <t>(.081"x.258")x2</t>
  </si>
  <si>
    <t>ERH: 57.50</t>
  </si>
  <si>
    <t>Carter Factor</t>
  </si>
  <si>
    <t>Volts / Turn</t>
  </si>
  <si>
    <t>Slot Data</t>
  </si>
  <si>
    <t>Wire Size 2</t>
  </si>
  <si>
    <t>Short. Factor</t>
  </si>
  <si>
    <t>Number</t>
  </si>
  <si>
    <t>// Circuits</t>
  </si>
  <si>
    <t>Distrib. Factor</t>
  </si>
  <si>
    <t>AC</t>
  </si>
  <si>
    <t>Kind</t>
  </si>
  <si>
    <t>Open</t>
  </si>
  <si>
    <t>Trapeze</t>
  </si>
  <si>
    <t>Connection</t>
  </si>
  <si>
    <t>Wye</t>
  </si>
  <si>
    <t>Wind. Factor</t>
  </si>
  <si>
    <t>Skew</t>
  </si>
  <si>
    <t>MCL</t>
  </si>
  <si>
    <t>Reactance</t>
  </si>
  <si>
    <t>(Coeff.: 0.0124)</t>
  </si>
  <si>
    <t>Depth</t>
  </si>
  <si>
    <t>No.Cond./Ph.</t>
  </si>
  <si>
    <t>Running</t>
  </si>
  <si>
    <t>Start</t>
  </si>
  <si>
    <t>Width</t>
  </si>
  <si>
    <t>17.30 - 17.30</t>
  </si>
  <si>
    <t>Res.     (20°C)</t>
  </si>
  <si>
    <t>Stator Slot</t>
  </si>
  <si>
    <t>Opening</t>
  </si>
  <si>
    <t>(105°C)</t>
  </si>
  <si>
    <t>Rotor Slot</t>
  </si>
  <si>
    <t>Tip Depth</t>
  </si>
  <si>
    <t>Material</t>
  </si>
  <si>
    <t>CU</t>
  </si>
  <si>
    <t>Zigzag</t>
  </si>
  <si>
    <t>T.Min.Wid.</t>
  </si>
  <si>
    <t>Spec.Resist.</t>
  </si>
  <si>
    <t>Coil End</t>
  </si>
  <si>
    <t>Skew R.: 0.00</t>
  </si>
  <si>
    <t>Low. R.</t>
  </si>
  <si>
    <t>Spec.Gravity</t>
  </si>
  <si>
    <t>Belt Leakage</t>
  </si>
  <si>
    <t>Up. R.</t>
  </si>
  <si>
    <t>Weight (kg)</t>
  </si>
  <si>
    <t>Total Resist.</t>
  </si>
  <si>
    <t>Wedge Dep.</t>
  </si>
  <si>
    <t>0.80 - 2.40</t>
  </si>
  <si>
    <t>Normal</t>
  </si>
  <si>
    <t>Wire 1</t>
  </si>
  <si>
    <t>Total React.</t>
  </si>
  <si>
    <t>Duct</t>
  </si>
  <si>
    <t>26 x 6</t>
  </si>
  <si>
    <t>16 x 6</t>
  </si>
  <si>
    <t>Wire 2</t>
  </si>
  <si>
    <t>Impedance</t>
  </si>
  <si>
    <t>Effective Depth (S=1)</t>
  </si>
  <si>
    <t>Magnetic Circuit Data</t>
  </si>
  <si>
    <t>Core Loss Data</t>
  </si>
  <si>
    <t>Res.=</t>
  </si>
  <si>
    <t>Length</t>
  </si>
  <si>
    <t>Section</t>
  </si>
  <si>
    <t>Density</t>
  </si>
  <si>
    <t>AT</t>
  </si>
  <si>
    <t>Volume</t>
  </si>
  <si>
    <t>Loss</t>
  </si>
  <si>
    <t>125RPM</t>
  </si>
  <si>
    <r>
      <t>Kline/in</t>
    </r>
    <r>
      <rPr>
        <i/>
        <vertAlign val="superscript"/>
        <sz val="10"/>
        <rFont val="Times New Roman"/>
        <family val="1"/>
      </rPr>
      <t>2</t>
    </r>
  </si>
  <si>
    <t>Reac.=</t>
  </si>
  <si>
    <t>Primary Core</t>
  </si>
  <si>
    <t>100RPM</t>
  </si>
  <si>
    <t>Excitation Data</t>
  </si>
  <si>
    <t>Tooth</t>
  </si>
  <si>
    <t>75RPM</t>
  </si>
  <si>
    <t>Excit.Amps</t>
  </si>
  <si>
    <t>95.704 / 92.115</t>
  </si>
  <si>
    <t>Second.Core</t>
  </si>
  <si>
    <t>Total</t>
  </si>
  <si>
    <t>50RPM</t>
  </si>
  <si>
    <t>Core Loss</t>
  </si>
  <si>
    <t>5.381 / 5.179</t>
  </si>
  <si>
    <t>Flux / Pole</t>
  </si>
  <si>
    <t>C.L.C.</t>
  </si>
  <si>
    <t>1.75 / 0.86</t>
  </si>
  <si>
    <t>25RPM</t>
  </si>
  <si>
    <t>NoLoad</t>
  </si>
  <si>
    <t>95.85 / 92.26</t>
  </si>
  <si>
    <t>S.F.C.</t>
  </si>
  <si>
    <t>Load Characteristics</t>
  </si>
  <si>
    <t>Temp. Rise @ 100%:</t>
  </si>
  <si>
    <t>49 / 52</t>
  </si>
  <si>
    <t>No Load Loss</t>
  </si>
  <si>
    <t>48708.3 / 54644.4</t>
  </si>
  <si>
    <t>W.Loss</t>
  </si>
  <si>
    <t>26749.8 / 13134.5</t>
  </si>
  <si>
    <t>Load (%)</t>
  </si>
  <si>
    <t>Primary Loss</t>
  </si>
  <si>
    <t>22518.7 / 21312.3</t>
  </si>
  <si>
    <t>S.Loss</t>
  </si>
  <si>
    <t>10568.9 / 5189.4</t>
  </si>
  <si>
    <t>Current (A)</t>
  </si>
  <si>
    <t>155.48 / 161.74</t>
  </si>
  <si>
    <t>251.73 / 261.86</t>
  </si>
  <si>
    <t>359.92 / 374.41</t>
  </si>
  <si>
    <t>473.51 / 492.57</t>
  </si>
  <si>
    <t>591.55 / 615.37</t>
  </si>
  <si>
    <t>Second. Loss</t>
  </si>
  <si>
    <t>17951.1 / 9508.1</t>
  </si>
  <si>
    <t>Total C.Loss</t>
  </si>
  <si>
    <t>37318.7 / 18323.9</t>
  </si>
  <si>
    <t xml:space="preserve">Efficiency </t>
  </si>
  <si>
    <t>0.935 / 0.929</t>
  </si>
  <si>
    <t>0.962 / 0.955</t>
  </si>
  <si>
    <t>0.969 / 0.962</t>
  </si>
  <si>
    <t>0.972 / 0.964</t>
  </si>
  <si>
    <t>0.971 / 0.964</t>
  </si>
  <si>
    <t>Frict.&amp; Wind.</t>
  </si>
  <si>
    <t>10700.0 / 29487.0</t>
  </si>
  <si>
    <t>Stray Loss</t>
  </si>
  <si>
    <t>Eff.</t>
  </si>
  <si>
    <t>P.F.</t>
  </si>
  <si>
    <t>0.740 / 0.717</t>
  </si>
  <si>
    <t>0.889 / 0.861</t>
  </si>
  <si>
    <t>0.926 / 0.896</t>
  </si>
  <si>
    <t>0.936 / 0.907</t>
  </si>
  <si>
    <t>0.937 / 0.907</t>
  </si>
  <si>
    <t>Starting Data</t>
  </si>
  <si>
    <t>Slip</t>
  </si>
  <si>
    <t>PF</t>
  </si>
  <si>
    <t>PF.</t>
  </si>
  <si>
    <t>0.0015 / -0.0016</t>
  </si>
  <si>
    <t>0.0029 / -0.0001</t>
  </si>
  <si>
    <t>0.0044 / 0.0014</t>
  </si>
  <si>
    <t>0.0073 / 0.0043</t>
  </si>
  <si>
    <t xml:space="preserve">LRA </t>
  </si>
  <si>
    <t>3009.4 / 3115.0</t>
  </si>
  <si>
    <t>Current</t>
  </si>
  <si>
    <t>3594.8 / 3605.6</t>
  </si>
  <si>
    <t>3589.6 / 3600.4</t>
  </si>
  <si>
    <t>3584.3 / 3595.1</t>
  </si>
  <si>
    <t>3573.6 / 3584.4</t>
  </si>
  <si>
    <t>%</t>
  </si>
  <si>
    <t>635.5 / 657.9</t>
  </si>
  <si>
    <t>L (Inv., MH)</t>
  </si>
  <si>
    <t>LRT (kg.m)</t>
  </si>
  <si>
    <t>980.5 / 1072.1</t>
  </si>
  <si>
    <t>(No Load)</t>
  </si>
  <si>
    <t>Correlated to: lab 1925 2420.dat</t>
  </si>
  <si>
    <t>120.7 / 132.0</t>
  </si>
  <si>
    <t>Design Parameters (Full Load)</t>
  </si>
  <si>
    <t>Magnetic Pull  &amp; Thrust</t>
  </si>
  <si>
    <t>BDT (kW)</t>
  </si>
  <si>
    <t>IM/IW</t>
  </si>
  <si>
    <t>I*R1/E</t>
  </si>
  <si>
    <t>Rosenberg</t>
  </si>
  <si>
    <t>306.3 / 219.3</t>
  </si>
  <si>
    <t>IW*X/E</t>
  </si>
  <si>
    <t>I*R2/E</t>
  </si>
  <si>
    <t>Schwisky</t>
  </si>
  <si>
    <t>Amps</t>
  </si>
  <si>
    <r>
      <t>HP</t>
    </r>
    <r>
      <rPr>
        <vertAlign val="superscript"/>
        <sz val="10"/>
        <rFont val="Arial"/>
        <family val="2"/>
      </rPr>
      <t>0.95</t>
    </r>
  </si>
  <si>
    <t>SUM</t>
  </si>
  <si>
    <t>Friction/OP.</t>
  </si>
  <si>
    <t>Tsurumi</t>
  </si>
  <si>
    <t>Max. Output</t>
  </si>
  <si>
    <r>
      <t>HP</t>
    </r>
    <r>
      <rPr>
        <vertAlign val="superscript"/>
        <sz val="10"/>
        <rFont val="Arial"/>
        <family val="2"/>
      </rPr>
      <t>1.5</t>
    </r>
  </si>
  <si>
    <t>IH/I</t>
  </si>
  <si>
    <t>Thrust (1mm)</t>
  </si>
  <si>
    <r>
      <t>(RPM/1000)</t>
    </r>
    <r>
      <rPr>
        <vertAlign val="superscript"/>
        <sz val="10"/>
        <rFont val="Arial"/>
        <family val="2"/>
      </rPr>
      <t>2.4</t>
    </r>
  </si>
  <si>
    <t>Efficiency</t>
  </si>
  <si>
    <t>Thrust (3 mm)</t>
  </si>
  <si>
    <r>
      <t>(RPM/1000)</t>
    </r>
    <r>
      <rPr>
        <vertAlign val="superscript"/>
        <sz val="10"/>
        <rFont val="Arial"/>
        <family val="2"/>
      </rPr>
      <t>1.8</t>
    </r>
  </si>
  <si>
    <t>Single Cage Data</t>
  </si>
  <si>
    <t>Miscellaneous Data</t>
  </si>
  <si>
    <t>A</t>
  </si>
  <si>
    <t>Slot Number</t>
  </si>
  <si>
    <t>Slit Width</t>
  </si>
  <si>
    <t>T.M.Wid.Low.</t>
  </si>
  <si>
    <t>Watt Rad.</t>
  </si>
  <si>
    <t>Coil Cur. Density</t>
  </si>
  <si>
    <t>k</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</si>
  <si>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</si>
  <si>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</si>
  <si>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</si>
  <si>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4.49 / 4.67</t>
  </si>
  <si>
    <t>Hz</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</si>
  <si>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</si>
  <si>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</si>
  <si>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</si>
  <si>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</si>
  <si>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Load Inertia</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</si>
  <si>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</si>
  <si>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</si>
  <si>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6.44 / 6.70</t>
  </si>
  <si>
    <t>LB:  -</t>
  </si>
  <si>
    <t>Up. Sl. Wid.</t>
  </si>
  <si>
    <t>L.S.Depth</t>
  </si>
  <si>
    <t>X2S</t>
  </si>
  <si>
    <t>IMC</t>
  </si>
  <si>
    <t>ER Cur. Den.</t>
  </si>
  <si>
    <t>Up. Sl. Dep.</t>
  </si>
  <si>
    <t>T.M.Wid.Up.</t>
  </si>
  <si>
    <t>X3S</t>
  </si>
  <si>
    <t>Coil Pitch Ct.</t>
  </si>
  <si>
    <t>UER: 4.03 / 4.19</t>
  </si>
  <si>
    <t>LER:  -</t>
  </si>
  <si>
    <t>S-T Curve Data (Custom Values)</t>
  </si>
  <si>
    <t>Torque (%)</t>
  </si>
  <si>
    <t>Current (%)</t>
  </si>
  <si>
    <t>Current(%)</t>
  </si>
  <si>
    <t>Acceleration Data (FV / 0.80 V)</t>
  </si>
  <si>
    <t>Load Type:</t>
  </si>
  <si>
    <t>Fan / Pump</t>
  </si>
  <si>
    <t>Load Inertia:</t>
  </si>
  <si>
    <t>66.2 kg.m²</t>
  </si>
  <si>
    <t>Accel. Time:</t>
  </si>
  <si>
    <t>2.1 / 4.0 (s)</t>
  </si>
  <si>
    <t>Rated Torque:</t>
  </si>
  <si>
    <t>812.1 kg.m</t>
  </si>
  <si>
    <t>Load</t>
  </si>
  <si>
    <t>Torque 80%</t>
  </si>
  <si>
    <t>LRA 80%</t>
  </si>
  <si>
    <t>INDUCTION MOTOR DATA SHEET</t>
  </si>
  <si>
    <t>HRW / Model Number:</t>
  </si>
  <si>
    <t>M803WTQL11F-C</t>
  </si>
  <si>
    <t>Type: TIKE - Form: DCW - 2 Pole - 4000 HP - 4000 V - 60 Hz - 6813USS - Class F</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</si>
  <si>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</si>
  <si>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</si>
  <si>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</si>
  <si>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</si>
  <si>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</si>
  <si>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</si>
  <si>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</si>
  <si>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</si>
  <si>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</si>
  <si>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</si>
  <si>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</si>
  <si>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</si>
  <si>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</si>
  <si>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</si>
  <si>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</si>
  <si>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</si>
  <si>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</si>
  <si>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</si>
  <si>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</si>
  <si>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</si>
  <si>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</si>
  <si>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</si>
  <si>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</si>
  <si>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</si>
  <si>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</si>
  <si>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Standard Eff.</t>
  </si>
  <si>
    <t>M54 - 26Ga.</t>
  </si>
  <si>
    <t>Wire 2 (size &amp; number)</t>
  </si>
  <si>
    <t>Impedance watts</t>
  </si>
  <si>
    <t>OWP</t>
  </si>
  <si>
    <t>TIPA Lam</t>
  </si>
  <si>
    <r>
      <t xml:space="preserve">Slot fill - </t>
    </r>
    <r>
      <rPr>
        <i/>
        <sz val="9"/>
        <color indexed="8"/>
        <rFont val="Times New Roman"/>
        <family val="1"/>
      </rPr>
      <t>circle/square method (%)</t>
    </r>
  </si>
  <si>
    <t>Temperature Rise (°C)</t>
  </si>
  <si>
    <t>Dry Kiln</t>
  </si>
  <si>
    <t>2 x Wye</t>
  </si>
  <si>
    <t>Winding</t>
  </si>
  <si>
    <t>80/115</t>
  </si>
  <si>
    <t>49 / 65</t>
  </si>
  <si>
    <t>Allowance for ins. depth</t>
  </si>
  <si>
    <t xml:space="preserve">Bearing  PS/OS </t>
  </si>
  <si>
    <t>Allowance for ins. width</t>
  </si>
  <si>
    <t>Slot/Wire arrangement</t>
  </si>
  <si>
    <t>20 x 2</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</si>
  <si>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</si>
  <si>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</si>
  <si>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</si>
  <si>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</si>
  <si>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</si>
  <si>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</si>
  <si>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</si>
  <si>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</si>
  <si>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</si>
  <si>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</si>
  <si>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</si>
  <si>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</si>
  <si>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</si>
  <si>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</si>
  <si>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</si>
  <si>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</si>
  <si>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</si>
  <si>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</si>
  <si>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</si>
  <si>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</si>
  <si>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</si>
  <si>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</si>
  <si>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467 / 2951</t>
  </si>
  <si>
    <t>670 / 419</t>
  </si>
  <si>
    <t>Stator Slot Shape                                      (Reference)</t>
  </si>
  <si>
    <t>Performance</t>
  </si>
  <si>
    <t>LRC (A)</t>
  </si>
  <si>
    <t xml:space="preserve"> - </t>
  </si>
  <si>
    <t>LRT (%)</t>
  </si>
  <si>
    <t>BDT (%)</t>
  </si>
  <si>
    <t>SLIP (%)</t>
  </si>
  <si>
    <t>IEEE-B</t>
  </si>
  <si>
    <t>Eff. (%)</t>
  </si>
  <si>
    <t>Rotor Slot Shape                                       (Reference)</t>
  </si>
  <si>
    <t>PF (%)</t>
  </si>
  <si>
    <t>Losses (Watts)</t>
  </si>
  <si>
    <t>Core</t>
  </si>
  <si>
    <t>F &amp; W</t>
  </si>
  <si>
    <t xml:space="preserve">Stray </t>
  </si>
  <si>
    <t>End Ring                                                   (Reference)</t>
  </si>
  <si>
    <t>Note</t>
  </si>
  <si>
    <t>LINK: H15010.RAT &amp; LAB 1925 2420.DAT</t>
  </si>
  <si>
    <t>RSO2: 400-TB13-03P REF ONLY</t>
  </si>
  <si>
    <t>TOP HAT ASSY: 135-M127-100</t>
  </si>
  <si>
    <t>Approved</t>
  </si>
  <si>
    <t>A. Gracia</t>
  </si>
  <si>
    <t>Design</t>
  </si>
  <si>
    <t>J. Dougherty</t>
  </si>
  <si>
    <t>Date</t>
  </si>
  <si>
    <t>REV0. FIRST ISSUE</t>
  </si>
  <si>
    <t>REV1. RECORRELATED USING H15010.RAT &amp; LAB 1925 2420.DAT</t>
  </si>
  <si>
    <t>AS OPPOSED TO H402122.rat &amp; DT2M100_4000_H402122_Lab#1133_byRM.dat</t>
  </si>
  <si>
    <t>P</t>
  </si>
  <si>
    <t>T</t>
  </si>
  <si>
    <t>L</t>
  </si>
  <si>
    <t>PROJECT HISTORY</t>
  </si>
  <si>
    <t>E</t>
  </si>
  <si>
    <t>D</t>
  </si>
  <si>
    <t>I</t>
  </si>
  <si>
    <t>Y</t>
  </si>
  <si>
    <t>H</t>
  </si>
  <si>
    <t>R</t>
  </si>
  <si>
    <t>M</t>
  </si>
  <si>
    <t>C</t>
  </si>
  <si>
    <t>U</t>
  </si>
  <si>
    <t>N</t>
  </si>
  <si>
    <t>S</t>
  </si>
  <si>
    <t>V</t>
  </si>
  <si>
    <t>DATE</t>
  </si>
  <si>
    <t>PROJECT</t>
  </si>
  <si>
    <t>SMART NUMBER</t>
  </si>
  <si>
    <t>QTY</t>
  </si>
  <si>
    <t>CUSTOMER</t>
  </si>
  <si>
    <t>REMARKS</t>
  </si>
  <si>
    <t>LIMIT CODE</t>
  </si>
  <si>
    <t>REVISION HISTORY</t>
  </si>
  <si>
    <t>REV</t>
  </si>
  <si>
    <t>INIT</t>
  </si>
  <si>
    <t>Speed Torque/Current Curve</t>
  </si>
  <si>
    <t>Model #:</t>
  </si>
  <si>
    <t>FLAmps:</t>
  </si>
  <si>
    <t>Enclosure:</t>
  </si>
  <si>
    <t>Voltage:</t>
  </si>
  <si>
    <t>4000 V</t>
  </si>
  <si>
    <t>Frame:</t>
  </si>
  <si>
    <t>Pole:</t>
  </si>
  <si>
    <t>Frequency:</t>
  </si>
  <si>
    <t>3 PH / 60 Hz</t>
  </si>
  <si>
    <t>Ins. Class:</t>
  </si>
  <si>
    <t>HP:</t>
  </si>
  <si>
    <t>Rotor Inertia:</t>
  </si>
  <si>
    <t>661.7 lb-ft²</t>
  </si>
  <si>
    <t>392.5 lb-ft²</t>
  </si>
  <si>
    <t>Locked Rotor Amps:</t>
  </si>
  <si>
    <t>3115 A</t>
  </si>
  <si>
    <t>Locked Rotor Torque:</t>
  </si>
  <si>
    <t>Starting at:</t>
  </si>
  <si>
    <t>FV / 0.80 (V)</t>
  </si>
  <si>
    <t>Breakdown Torque:</t>
  </si>
  <si>
    <t>2 / 4 (s)</t>
  </si>
  <si>
    <t>5860 lb-ft</t>
  </si>
  <si>
    <t>Comments:</t>
  </si>
  <si>
    <t>D.E.Curve #:</t>
  </si>
  <si>
    <t>Prepared by:</t>
  </si>
  <si>
    <t>Checked by:</t>
  </si>
  <si>
    <t>Thermal Limit &amp; Acceleration Curves</t>
  </si>
  <si>
    <t>Design Values (For Reference Only)</t>
  </si>
  <si>
    <t xml:space="preserve"> </t>
  </si>
  <si>
    <t>Cold</t>
  </si>
  <si>
    <t>Hot</t>
  </si>
  <si>
    <t>CURRENT (%)</t>
  </si>
  <si>
    <t>Accel. Time</t>
  </si>
  <si>
    <t>Rating:</t>
  </si>
  <si>
    <t>2 Pole - 4000.0 HP - 3600 RPM - 4000 V - 60 Hz</t>
  </si>
  <si>
    <t>Starting Performance</t>
  </si>
  <si>
    <t>Load Type: Fan / Pump - 392.5 lb-ft²</t>
  </si>
  <si>
    <t>Motor</t>
  </si>
  <si>
    <t xml:space="preserve">Load </t>
  </si>
  <si>
    <t>Accel.</t>
  </si>
  <si>
    <t xml:space="preserve"> Line</t>
  </si>
  <si>
    <t>Stator</t>
  </si>
  <si>
    <t>Rotor</t>
  </si>
  <si>
    <t>Speed Increment</t>
  </si>
  <si>
    <t>Time (s)</t>
  </si>
  <si>
    <t>kW / s</t>
  </si>
  <si>
    <t>0~360</t>
  </si>
  <si>
    <t>130.0</t>
  </si>
  <si>
    <t>22.5</t>
  </si>
  <si>
    <t>0.195</t>
  </si>
  <si>
    <t>3108.6</t>
  </si>
  <si>
    <t>190.4</t>
  </si>
  <si>
    <t>1051.7</t>
  </si>
  <si>
    <t>360~720</t>
  </si>
  <si>
    <t>11.5</t>
  </si>
  <si>
    <t>0.177</t>
  </si>
  <si>
    <t>3094.7</t>
  </si>
  <si>
    <t>171.3</t>
  </si>
  <si>
    <t>858.7</t>
  </si>
  <si>
    <t>720~1080</t>
  </si>
  <si>
    <t>7.0</t>
  </si>
  <si>
    <t>0.171</t>
  </si>
  <si>
    <t>3078.5</t>
  </si>
  <si>
    <t>163.5</t>
  </si>
  <si>
    <t>735.3</t>
  </si>
  <si>
    <t>1080~1440</t>
  </si>
  <si>
    <t>3059.4</t>
  </si>
  <si>
    <t>161.6</t>
  </si>
  <si>
    <t>643.4</t>
  </si>
  <si>
    <t>1440~1800</t>
  </si>
  <si>
    <t>11.0</t>
  </si>
  <si>
    <t>3036.9</t>
  </si>
  <si>
    <t>164.8</t>
  </si>
  <si>
    <t>570.0</t>
  </si>
  <si>
    <t>1800~2160</t>
  </si>
  <si>
    <t>18.0</t>
  </si>
  <si>
    <t>0.188</t>
  </si>
  <si>
    <t>3010.6</t>
  </si>
  <si>
    <t>172.3</t>
  </si>
  <si>
    <t>504.7</t>
  </si>
  <si>
    <t>2160~2530</t>
  </si>
  <si>
    <t>130.4</t>
  </si>
  <si>
    <t>27.7</t>
  </si>
  <si>
    <t>0.211</t>
  </si>
  <si>
    <t>2979.6</t>
  </si>
  <si>
    <t>189.9</t>
  </si>
  <si>
    <t>440.8</t>
  </si>
  <si>
    <t>2530~2901</t>
  </si>
  <si>
    <t>132.4</t>
  </si>
  <si>
    <t>42.4</t>
  </si>
  <si>
    <t>0.240</t>
  </si>
  <si>
    <t>2938.5</t>
  </si>
  <si>
    <t>211.7</t>
  </si>
  <si>
    <t>375.3</t>
  </si>
  <si>
    <t>2901~3086</t>
  </si>
  <si>
    <t>137.9</t>
  </si>
  <si>
    <t>57.1</t>
  </si>
  <si>
    <t>0.134</t>
  </si>
  <si>
    <t>2889.9</t>
  </si>
  <si>
    <t>114.0</t>
  </si>
  <si>
    <t>280.4</t>
  </si>
  <si>
    <t>3086~3271</t>
  </si>
  <si>
    <t>153.1</t>
  </si>
  <si>
    <t>69.5</t>
  </si>
  <si>
    <t>0.129</t>
  </si>
  <si>
    <t>2809.7</t>
  </si>
  <si>
    <t>106.6</t>
  </si>
  <si>
    <t>210.5</t>
  </si>
  <si>
    <t>3271~3456</t>
  </si>
  <si>
    <t>189.8</t>
  </si>
  <si>
    <t>83.0</t>
  </si>
  <si>
    <t>0.101</t>
  </si>
  <si>
    <t>2545.5</t>
  </si>
  <si>
    <t>77.0</t>
  </si>
  <si>
    <t>122.5</t>
  </si>
  <si>
    <t>3456~3571</t>
  </si>
  <si>
    <t>94.1</t>
  </si>
  <si>
    <t>0.099</t>
  </si>
  <si>
    <t>1551.5</t>
  </si>
  <si>
    <t>54.6</t>
  </si>
  <si>
    <t>110.6</t>
  </si>
  <si>
    <t>3571~3579</t>
  </si>
  <si>
    <t>104.1</t>
  </si>
  <si>
    <t>99.2</t>
  </si>
  <si>
    <t>0.092</t>
  </si>
  <si>
    <t>619.2</t>
  </si>
  <si>
    <t>2.2</t>
  </si>
  <si>
    <t>112.5</t>
  </si>
  <si>
    <t>Acceleration Time:  2.1 s</t>
  </si>
  <si>
    <t>Energy</t>
  </si>
  <si>
    <t>First Start</t>
  </si>
  <si>
    <t>Second Start</t>
  </si>
  <si>
    <t>Stator Winding Rise</t>
  </si>
  <si>
    <t>1780 kW / s</t>
  </si>
  <si>
    <t>11°C</t>
  </si>
  <si>
    <t>22°C</t>
  </si>
  <si>
    <t>Rotor Bar Rise</t>
  </si>
  <si>
    <t>4929 kW / s</t>
  </si>
  <si>
    <t>90°C</t>
  </si>
  <si>
    <t>181°C</t>
  </si>
  <si>
    <t>End Ring Rise</t>
  </si>
  <si>
    <t>1087 kW / s</t>
  </si>
  <si>
    <t>33°C</t>
  </si>
  <si>
    <t>67°C</t>
  </si>
  <si>
    <t>Locked Rotor Thermal Capability</t>
  </si>
  <si>
    <t>Cold Condition</t>
  </si>
  <si>
    <t>Rate of Rise</t>
  </si>
  <si>
    <t>Power</t>
  </si>
  <si>
    <t>Rise Limit</t>
  </si>
  <si>
    <t>Max Time</t>
  </si>
  <si>
    <t>Stator Copper</t>
  </si>
  <si>
    <t>6.5°C / s</t>
  </si>
  <si>
    <t>1068.4 kW</t>
  </si>
  <si>
    <t>160°C</t>
  </si>
  <si>
    <t>24.6 s</t>
  </si>
  <si>
    <t>Rotor Bar</t>
  </si>
  <si>
    <t>58.2°C / s</t>
  </si>
  <si>
    <t>3178.1 kW</t>
  </si>
  <si>
    <t>260°C</t>
  </si>
  <si>
    <t>4.5 s</t>
  </si>
  <si>
    <t>Rotor ER</t>
  </si>
  <si>
    <t>21.5°C / s</t>
  </si>
  <si>
    <t>701.1 kW</t>
  </si>
  <si>
    <t>180°C</t>
  </si>
  <si>
    <t>8.4 s</t>
  </si>
  <si>
    <t>Hot Condition</t>
  </si>
  <si>
    <t>Hot Temp.</t>
  </si>
  <si>
    <t>Ambient</t>
  </si>
  <si>
    <t>Max.Time</t>
  </si>
  <si>
    <t>50°C    +</t>
  </si>
  <si>
    <t>110°C    +</t>
  </si>
  <si>
    <t>=    200°C</t>
  </si>
  <si>
    <t>16.9 s</t>
  </si>
  <si>
    <t>64°C    +</t>
  </si>
  <si>
    <t>196°C   +</t>
  </si>
  <si>
    <t>=    300°C</t>
  </si>
  <si>
    <t>3.4 s</t>
  </si>
  <si>
    <t>116°C   +</t>
  </si>
  <si>
    <t>=    220°C</t>
  </si>
  <si>
    <t>5.4 s</t>
  </si>
  <si>
    <t>Cold Stall Time:</t>
  </si>
  <si>
    <t>10.4 s</t>
  </si>
  <si>
    <t>Hot Stall Time:</t>
  </si>
  <si>
    <t>6.7 s</t>
  </si>
  <si>
    <t>Performance Curve</t>
  </si>
  <si>
    <t>Input Watts</t>
  </si>
  <si>
    <t>MPCF-1033</t>
  </si>
  <si>
    <t>7/31/13</t>
  </si>
  <si>
    <t>11/8/96</t>
  </si>
  <si>
    <t>PERFORMANCE SPECIFICATIONS</t>
  </si>
  <si>
    <t>PAA</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</si>
  <si>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</si>
  <si>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</si>
  <si>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</si>
  <si>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</si>
  <si>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</si>
  <si>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</si>
  <si>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</si>
  <si>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</si>
  <si>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</si>
  <si>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</si>
  <si>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</si>
  <si>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</si>
  <si>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</si>
  <si>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</si>
  <si>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</si>
  <si>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</si>
  <si>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</si>
  <si>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</si>
  <si>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</si>
  <si>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</si>
  <si>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Jerry R</t>
  </si>
  <si>
    <t>6205ZZ</t>
  </si>
  <si>
    <t>TEFC</t>
  </si>
  <si>
    <t>6206UU</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</si>
  <si>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</si>
  <si>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</si>
  <si>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</si>
  <si>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</si>
  <si>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</si>
  <si>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</si>
  <si>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</si>
  <si>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</si>
  <si>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</si>
  <si>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</si>
  <si>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</si>
  <si>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</si>
  <si>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</si>
  <si>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</si>
  <si>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</si>
  <si>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</si>
  <si>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</si>
  <si>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</si>
  <si>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</si>
  <si>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</si>
  <si>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</si>
  <si>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</si>
  <si>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</si>
  <si>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</si>
  <si>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</si>
  <si>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</si>
  <si>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</si>
  <si>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</si>
  <si>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</si>
  <si>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</si>
  <si>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</si>
  <si>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</si>
  <si>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</si>
  <si>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</si>
  <si>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</si>
  <si>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</si>
  <si>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</si>
  <si>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</si>
  <si>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</si>
  <si>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SULZER PUMPS MEXICO S.A. DE C.V.</t>
  </si>
  <si>
    <t>2372844.1</t>
  </si>
  <si>
    <t>1.0</t>
  </si>
  <si>
    <t>A1-10177158</t>
  </si>
  <si>
    <t>92</t>
  </si>
  <si>
    <t>18</t>
  </si>
  <si>
    <t>23</t>
  </si>
  <si>
    <t>31</t>
  </si>
  <si>
    <t>10</t>
  </si>
  <si>
    <t>16</t>
  </si>
  <si>
    <t>20</t>
  </si>
  <si>
    <t>3115</t>
  </si>
  <si>
    <t>0.033</t>
  </si>
  <si>
    <t>0.031</t>
  </si>
  <si>
    <t>0.133</t>
  </si>
  <si>
    <t>.651</t>
  </si>
  <si>
    <t>.540</t>
  </si>
  <si>
    <t>.316</t>
  </si>
  <si>
    <t>74.5</t>
  </si>
  <si>
    <t>1.188</t>
  </si>
  <si>
    <t>0.85</t>
  </si>
  <si>
    <t>3565.9 / 3576.7</t>
  </si>
  <si>
    <t>0.0095 / 0.0065</t>
  </si>
  <si>
    <t>60.774 / 58.495</t>
  </si>
  <si>
    <t>4.499 / 4.330</t>
  </si>
  <si>
    <t>60.94 / 58.65</t>
  </si>
  <si>
    <t>79 / 73</t>
  </si>
  <si>
    <t>35939.1 / 40319.0</t>
  </si>
  <si>
    <t>18634.9 / 9150.0</t>
  </si>
  <si>
    <t>35266.8 / 33377.5</t>
  </si>
  <si>
    <t>6326.1 / 3106.2</t>
  </si>
  <si>
    <t>158.75 / 166.34</t>
  </si>
  <si>
    <t>294.40 / 308.47</t>
  </si>
  <si>
    <t>439.04 / 460.03</t>
  </si>
  <si>
    <t>592.57 / 620.90</t>
  </si>
  <si>
    <t>757.09 / 793.29</t>
  </si>
  <si>
    <t>30042.4 / 15912.4</t>
  </si>
  <si>
    <t>24961.0 / 12256.1</t>
  </si>
  <si>
    <t>0.949 / 0.935</t>
  </si>
  <si>
    <t>0.967 / 0.953</t>
  </si>
  <si>
    <t>0.970 / 0.956</t>
  </si>
  <si>
    <t>0.968 / 0.954</t>
  </si>
  <si>
    <t>0.965 / 0.951</t>
  </si>
  <si>
    <t>0.893 / 0.865</t>
  </si>
  <si>
    <t>0.946 / 0.916</t>
  </si>
  <si>
    <t>0.949 / 0.919</t>
  </si>
  <si>
    <t>0.938 / 0.909</t>
  </si>
  <si>
    <t>0.921 / 0.892</t>
  </si>
  <si>
    <t>0.0023 / -0.0007</t>
  </si>
  <si>
    <t>0.0045 / 0.0015</t>
  </si>
  <si>
    <t>0.0070 / 0.0040</t>
  </si>
  <si>
    <t>0.0120 / 0.0090</t>
  </si>
  <si>
    <t>2368.0 / 2451.1</t>
  </si>
  <si>
    <t>3591.8 / 3602.6</t>
  </si>
  <si>
    <t>3583.7 / 3594.5</t>
  </si>
  <si>
    <t>3575.0 / 3585.7</t>
  </si>
  <si>
    <t>3556.9 / 3567.6</t>
  </si>
  <si>
    <t>399.6 / 413.6</t>
  </si>
  <si>
    <t>607.1 / 663.8</t>
  </si>
  <si>
    <t>74.5 / 81.4</t>
  </si>
  <si>
    <t>196.7 / 140.8</t>
  </si>
  <si>
    <t>5.62 / 5.89</t>
  </si>
  <si>
    <t>UB: 8.33 / 8.73</t>
  </si>
  <si>
    <t>UER: 5.22 / 5.47</t>
  </si>
  <si>
    <t>S-T Curve Data</t>
  </si>
  <si>
    <t>2451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</si>
</sst>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General_)"/>
    <numFmt numFmtId="165" formatCode="m/d/yy"/>
    <numFmt numFmtId="166" formatCode="0.0"/>
    <numFmt numFmtId="167" formatCode="@\ &quot;(s)&quot;"/>
    <numFmt numFmtId="168" formatCode="@\ &quot;mm&quot;"/>
    <numFmt numFmtId="169" formatCode="@\ &quot; A&quot;"/>
    <numFmt numFmtId="170" formatCode=".0"/>
    <numFmt numFmtId="171" formatCode="@\ &quot;Ohms/Phase&quot;"/>
    <numFmt numFmtId="172" formatCode="0.000"/>
    <numFmt numFmtId="173" formatCode="0.0%"/>
    <numFmt numFmtId="174" formatCode="0.00000"/>
    <numFmt numFmtId="175" formatCode="0.0000"/>
    <numFmt numFmtId="176" formatCode=".0000"/>
    <numFmt numFmtId="177" formatCode="mm/dd/yy"/>
    <numFmt numFmtId="178" formatCode="0.00_);\(0.00\)"/>
    <numFmt numFmtId="179" formatCode="General&quot;°C&quot;"/>
  </numFmts>
  <fonts count="90">
    <font>
      <sz val="10"/>
      <name val="Arial"/>
      <family val="2"/>
    </font>
    <font>
      <sz val="12"/>
      <name val="Helv"/>
    </font>
    <font>
      <sz val="10"/>
      <name val="Arial"/>
      <family val="2"/>
    </font>
    <font>
      <sz val="9"/>
      <name val="Univers (W1)"/>
      <family val="2"/>
    </font>
    <font>
      <sz val="7"/>
      <name val="Univers (W1)"/>
    </font>
    <font>
      <sz val="8"/>
      <name val="Times New Roman"/>
      <family val="1"/>
    </font>
    <font>
      <sz val="12"/>
      <name val="Univers"/>
      <family val="2"/>
    </font>
    <font>
      <b/>
      <sz val="12"/>
      <name val="Helv"/>
    </font>
    <font>
      <sz val="9"/>
      <name val="Univers"/>
      <family val="2"/>
    </font>
    <font>
      <sz val="8"/>
      <name val="Helv"/>
    </font>
    <font>
      <sz val="8"/>
      <name val="Univers"/>
      <family val="2"/>
    </font>
    <font>
      <sz val="10"/>
      <color theme="1"/>
      <name val="Aptos Narrow"/>
      <family val="2"/>
      <scheme val="minor"/>
    </font>
    <font>
      <sz val="10"/>
      <name val="Univers"/>
      <family val="2"/>
    </font>
    <font>
      <vertAlign val="superscript"/>
      <sz val="8"/>
      <name val="Univers"/>
      <family val="2"/>
    </font>
    <font>
      <sz val="11"/>
      <name val="Univers"/>
      <family val="2"/>
    </font>
    <font>
      <sz val="9"/>
      <name val="Helv"/>
    </font>
    <font>
      <sz val="12"/>
      <name val="Univers (W1)"/>
      <family val="2"/>
    </font>
    <font>
      <sz val="8"/>
      <name val="Univers (W1)"/>
      <family val="2"/>
    </font>
    <font>
      <sz val="13"/>
      <name val="Univers (W1)"/>
      <family val="2"/>
    </font>
    <font>
      <sz val="10"/>
      <name val="Univers (W1)"/>
      <family val="2"/>
    </font>
    <font>
      <sz val="15"/>
      <name val="Univers (W1)"/>
      <family val="2"/>
    </font>
    <font>
      <sz val="14"/>
      <name val="Univers (W1)"/>
      <family val="2"/>
    </font>
    <font>
      <sz val="10"/>
      <name val="Helv"/>
    </font>
    <font>
      <b/>
      <sz val="13"/>
      <name val="Univers (W1)"/>
      <family val="2"/>
    </font>
    <font>
      <sz val="11"/>
      <name val="Univers (W1)"/>
    </font>
    <font>
      <sz val="11"/>
      <name val="Univers (W1)"/>
      <family val="2"/>
    </font>
    <font>
      <sz val="9"/>
      <name val="Univers (W1)"/>
    </font>
    <font>
      <sz val="12"/>
      <name val="Univers (W1)"/>
    </font>
    <font>
      <i/>
      <sz val="10"/>
      <name val="Script"/>
      <family val="4"/>
      <charset val="255"/>
    </font>
    <font>
      <sz val="10"/>
      <name val="Univers (W1)"/>
    </font>
    <font>
      <b/>
      <sz val="12"/>
      <name val="Univers (W1)"/>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12"/>
      <name val="Arial"/>
      <family val="2"/>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20"/>
      <color indexed="8"/>
      <name val="WP Greek Century"/>
      <charset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4"/>
      <name val="Times New Roman"/>
      <family val="1"/>
    </font>
    <font>
      <b/>
      <u/>
      <sz val="22"/>
      <name val="Times New Roman"/>
      <family val="1"/>
    </font>
    <font>
      <b/>
      <u/>
      <sz val="16"/>
      <name val="Times New Roman"/>
      <family val="1"/>
    </font>
    <font>
      <b/>
      <i/>
      <sz val="14"/>
      <name val="Times New Roman"/>
      <family val="1"/>
    </font>
    <font>
      <b/>
      <i/>
      <u/>
      <sz val="14"/>
      <name val="Times New Roman"/>
      <family val="1"/>
    </font>
    <font>
      <sz val="10"/>
      <color indexed="9"/>
      <name val="Arial"/>
      <family val="2"/>
    </font>
    <font>
      <sz val="10"/>
      <color indexed="8"/>
      <name val="Arial"/>
      <family val="2"/>
    </font>
    <font>
      <sz val="12"/>
      <name val="Times New Roman"/>
      <family val="1"/>
    </font>
    <font>
      <i/>
      <sz val="12"/>
      <name val="Times New Roman"/>
      <family val="1"/>
    </font>
    <font>
      <b/>
      <i/>
      <sz val="12"/>
      <name val="Times New Roman"/>
      <family val="1"/>
    </font>
    <font>
      <sz val="10"/>
      <color indexed="10"/>
      <name val="Arial"/>
      <family val="2"/>
    </font>
    <font>
      <sz val="12"/>
      <name val="Script"/>
      <family val="4"/>
      <charset val="255"/>
    </font>
    <font>
      <b/>
      <sz val="10"/>
      <name val="Univers (W1)"/>
      <family val="2"/>
    </font>
    <font>
      <sz val="12"/>
      <name val="Lucida Handwriting"/>
      <family val="4"/>
    </font>
  </fonts>
  <fills count="6">
    <fill>
      <patternFill patternType="none"/>
    </fill>
    <fill>
      <patternFill patternType="gray125"/>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
      <patternFill patternType="solid">
        <fgColor indexed="9"/>
        <bgColor indexed="64"/>
      </patternFill>
    </fill>
  </fills>
  <borders count="158">
    <border>
      <left/>
      <right/>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style="thin">
        <color indexed="64"/>
      </left>
      <right style="thin">
        <color indexed="64"/>
      </right>
      <top/>
      <bottom/>
      <diagonal/>
    </border>
    <border>
      <left/>
      <right style="thin">
        <color indexed="64"/>
      </right>
      <top/>
      <bottom style="medium">
        <color indexed="64"/>
      </bottom>
      <diagonal/>
    </border>
    <border>
      <left/>
      <right style="medium">
        <color indexed="64"/>
      </right>
      <top/>
      <bottom/>
      <diagonal/>
    </border>
    <border>
      <left/>
      <right style="thin">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double">
        <color indexed="8"/>
      </bottom>
      <diagonal/>
    </border>
    <border>
      <left/>
      <right/>
      <top style="medium">
        <color indexed="64"/>
      </top>
      <bottom style="double">
        <color indexed="8"/>
      </bottom>
      <diagonal/>
    </border>
    <border>
      <left style="medium">
        <color indexed="64"/>
      </left>
      <right/>
      <top style="medium">
        <color indexed="64"/>
      </top>
      <bottom style="double">
        <color indexed="8"/>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hair">
        <color indexed="23"/>
      </left>
      <right style="medium">
        <color indexed="64"/>
      </right>
      <top style="hair">
        <color indexed="23"/>
      </top>
      <bottom style="hair">
        <color indexed="55"/>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s>
  <cellStyleXfs count="12">
    <xf numFmtId="0" fontId="0" fillId="0" borderId="0"/>
    <xf numFmtId="0" fontId="1" fillId="0" borderId="0"/>
    <xf numFmtId="0" fontId="2" fillId="0" borderId="0"/>
    <xf numFmtId="0" fontId="2" fillId="0" borderId="0"/>
    <xf numFmtId="0" fontId="11" fillId="0" borderId="0"/>
    <xf numFmtId="164" fontId="1" fillId="0" borderId="0"/>
    <xf numFmtId="164" fontId="22" fillId="0" borderId="0"/>
    <xf numFmtId="164" fontId="1" fillId="0" borderId="0"/>
    <xf numFmtId="0" fontId="27" fillId="0" borderId="0"/>
    <xf numFmtId="0" fontId="27" fillId="0" borderId="0"/>
    <xf numFmtId="0" fontId="2" fillId="0" borderId="0"/>
    <xf numFmtId="0" fontId="2" fillId="0" borderId="0"/>
  </cellStyleXfs>
  <cellXfs count="882">
    <xf numFmtId="0" fontId="0" fillId="0" borderId="0" xfId="0"/>
    <xf numFmtId="164" fontId="1" fillId="0" borderId="0" xfId="1" applyNumberFormat="1"/>
    <xf numFmtId="164" fontId="3" fillId="0" borderId="0" xfId="1" applyNumberFormat="1" applyFont="1" applyAlignment="1">
      <alignment horizontal="left"/>
    </xf>
    <xf numFmtId="164" fontId="4" fillId="0" borderId="0" xfId="1" applyNumberFormat="1" applyFont="1" applyAlignment="1">
      <alignment horizontal="left"/>
    </xf>
    <xf numFmtId="0" fontId="5" fillId="0" borderId="0" xfId="2" applyFont="1"/>
    <xf numFmtId="165" fontId="6" fillId="0" borderId="1" xfId="1" applyNumberFormat="1" applyFont="1" applyBorder="1" applyAlignment="1">
      <alignment horizontal="center"/>
    </xf>
    <xf numFmtId="164" fontId="7" fillId="0" borderId="0" xfId="1" applyNumberFormat="1" applyFont="1" applyAlignment="1">
      <alignment horizontal="right"/>
    </xf>
    <xf numFmtId="164" fontId="8" fillId="0" borderId="0" xfId="1" applyNumberFormat="1" applyFont="1"/>
    <xf numFmtId="164" fontId="6" fillId="0" borderId="1" xfId="1" applyNumberFormat="1" applyFont="1" applyBorder="1" applyAlignment="1">
      <alignment horizontal="center"/>
    </xf>
    <xf numFmtId="164" fontId="9" fillId="0" borderId="0" xfId="1" applyNumberFormat="1" applyFont="1" applyAlignment="1">
      <alignment horizontal="center"/>
    </xf>
    <xf numFmtId="0" fontId="2" fillId="0" borderId="0" xfId="3"/>
    <xf numFmtId="166" fontId="8" fillId="0" borderId="2" xfId="1" quotePrefix="1" applyNumberFormat="1" applyFont="1" applyBorder="1" applyAlignment="1">
      <alignment horizontal="center"/>
    </xf>
    <xf numFmtId="166" fontId="8" fillId="0" borderId="3" xfId="1" quotePrefix="1" applyNumberFormat="1" applyFont="1" applyBorder="1" applyAlignment="1">
      <alignment horizontal="center"/>
    </xf>
    <xf numFmtId="166" fontId="8" fillId="0" borderId="4" xfId="1" quotePrefix="1" applyNumberFormat="1" applyFont="1" applyBorder="1" applyAlignment="1">
      <alignment horizontal="center"/>
    </xf>
    <xf numFmtId="164" fontId="10" fillId="0" borderId="5" xfId="1" applyNumberFormat="1" applyFont="1" applyBorder="1" applyAlignment="1">
      <alignment horizontal="right"/>
    </xf>
    <xf numFmtId="164" fontId="10" fillId="0" borderId="6" xfId="1" applyNumberFormat="1" applyFont="1" applyBorder="1" applyAlignment="1">
      <alignment horizontal="right"/>
    </xf>
    <xf numFmtId="164" fontId="10" fillId="0" borderId="7" xfId="1" applyNumberFormat="1" applyFont="1" applyBorder="1" applyAlignment="1">
      <alignment horizontal="right"/>
    </xf>
    <xf numFmtId="166" fontId="8" fillId="0" borderId="8" xfId="1" applyNumberFormat="1" applyFont="1" applyBorder="1" applyAlignment="1">
      <alignment horizontal="center"/>
    </xf>
    <xf numFmtId="166" fontId="8" fillId="0" borderId="9" xfId="1" applyNumberFormat="1" applyFont="1" applyBorder="1" applyAlignment="1">
      <alignment horizontal="center"/>
    </xf>
    <xf numFmtId="166" fontId="8" fillId="0" borderId="10" xfId="1" applyNumberFormat="1" applyFont="1" applyBorder="1" applyAlignment="1">
      <alignment horizontal="center"/>
    </xf>
    <xf numFmtId="164" fontId="8" fillId="0" borderId="11" xfId="1" applyNumberFormat="1" applyFont="1" applyBorder="1" applyAlignment="1">
      <alignment horizontal="right"/>
    </xf>
    <xf numFmtId="164" fontId="8" fillId="0" borderId="12" xfId="1" applyNumberFormat="1" applyFont="1" applyBorder="1" applyAlignment="1">
      <alignment horizontal="right"/>
    </xf>
    <xf numFmtId="164" fontId="8" fillId="0" borderId="13" xfId="1" applyNumberFormat="1" applyFont="1" applyBorder="1" applyAlignment="1">
      <alignment horizontal="right"/>
    </xf>
    <xf numFmtId="164" fontId="1" fillId="0" borderId="14" xfId="1" quotePrefix="1" applyNumberFormat="1" applyBorder="1" applyAlignment="1">
      <alignment horizontal="center"/>
    </xf>
    <xf numFmtId="164" fontId="1" fillId="0" borderId="15" xfId="1" applyNumberFormat="1" applyBorder="1" applyAlignment="1">
      <alignment horizontal="center"/>
    </xf>
    <xf numFmtId="164" fontId="1" fillId="0" borderId="15" xfId="1" quotePrefix="1" applyNumberFormat="1" applyBorder="1" applyAlignment="1">
      <alignment horizontal="center"/>
    </xf>
    <xf numFmtId="164" fontId="1" fillId="0" borderId="16" xfId="1" quotePrefix="1" applyNumberFormat="1" applyBorder="1" applyAlignment="1">
      <alignment horizontal="center"/>
    </xf>
    <xf numFmtId="164" fontId="8" fillId="0" borderId="17" xfId="1" applyNumberFormat="1" applyFont="1" applyBorder="1" applyAlignment="1">
      <alignment horizontal="right"/>
    </xf>
    <xf numFmtId="164" fontId="8" fillId="0" borderId="18" xfId="1" applyNumberFormat="1" applyFont="1" applyBorder="1" applyAlignment="1">
      <alignment horizontal="right"/>
    </xf>
    <xf numFmtId="164" fontId="8" fillId="0" borderId="19" xfId="1" applyNumberFormat="1" applyFont="1" applyBorder="1" applyAlignment="1">
      <alignment horizontal="right"/>
    </xf>
    <xf numFmtId="164" fontId="1" fillId="0" borderId="0" xfId="1" applyNumberFormat="1" applyAlignment="1">
      <alignment horizontal="center"/>
    </xf>
    <xf numFmtId="164" fontId="1" fillId="0" borderId="20" xfId="1" applyNumberFormat="1" applyBorder="1" applyAlignment="1">
      <alignment horizontal="center"/>
    </xf>
    <xf numFmtId="164" fontId="1" fillId="0" borderId="21" xfId="1" applyNumberFormat="1" applyBorder="1" applyAlignment="1">
      <alignment horizontal="center"/>
    </xf>
    <xf numFmtId="164" fontId="1" fillId="0" borderId="22" xfId="1" applyNumberFormat="1" applyBorder="1" applyAlignment="1">
      <alignment horizontal="center"/>
    </xf>
    <xf numFmtId="0" fontId="11" fillId="0" borderId="0" xfId="4"/>
    <xf numFmtId="167" fontId="8" fillId="0" borderId="20" xfId="1" applyNumberFormat="1" applyFont="1" applyBorder="1" applyAlignment="1">
      <alignment horizontal="left"/>
    </xf>
    <xf numFmtId="167" fontId="8" fillId="0" borderId="21" xfId="1" applyNumberFormat="1" applyFont="1" applyBorder="1" applyAlignment="1">
      <alignment horizontal="left"/>
    </xf>
    <xf numFmtId="164" fontId="8" fillId="0" borderId="21" xfId="1" applyNumberFormat="1" applyFont="1" applyBorder="1" applyAlignment="1">
      <alignment horizontal="right"/>
    </xf>
    <xf numFmtId="164" fontId="1" fillId="0" borderId="21" xfId="1" applyNumberFormat="1" applyBorder="1"/>
    <xf numFmtId="168" fontId="8" fillId="0" borderId="21" xfId="1" applyNumberFormat="1" applyFont="1" applyBorder="1" applyAlignment="1">
      <alignment horizontal="left"/>
    </xf>
    <xf numFmtId="164" fontId="12" fillId="0" borderId="21" xfId="1" applyNumberFormat="1" applyFont="1" applyBorder="1" applyAlignment="1">
      <alignment horizontal="right"/>
    </xf>
    <xf numFmtId="164" fontId="1" fillId="0" borderId="22" xfId="1" applyNumberFormat="1" applyBorder="1"/>
    <xf numFmtId="169" fontId="8" fillId="0" borderId="23" xfId="1" applyNumberFormat="1" applyFont="1" applyBorder="1" applyAlignment="1">
      <alignment horizontal="left"/>
    </xf>
    <xf numFmtId="169" fontId="8" fillId="0" borderId="24" xfId="1" applyNumberFormat="1" applyFont="1" applyBorder="1" applyAlignment="1">
      <alignment horizontal="left"/>
    </xf>
    <xf numFmtId="164" fontId="8" fillId="0" borderId="24" xfId="1" applyNumberFormat="1" applyFont="1" applyBorder="1" applyAlignment="1">
      <alignment horizontal="right"/>
    </xf>
    <xf numFmtId="164" fontId="1" fillId="0" borderId="24" xfId="1" applyNumberFormat="1" applyBorder="1"/>
    <xf numFmtId="49" fontId="8" fillId="0" borderId="24" xfId="1" applyNumberFormat="1" applyFont="1" applyBorder="1" applyAlignment="1">
      <alignment horizontal="left"/>
    </xf>
    <xf numFmtId="164" fontId="10" fillId="0" borderId="24" xfId="1" applyNumberFormat="1" applyFont="1" applyBorder="1" applyAlignment="1">
      <alignment horizontal="right"/>
    </xf>
    <xf numFmtId="164" fontId="12" fillId="0" borderId="24" xfId="1" applyNumberFormat="1" applyFont="1" applyBorder="1" applyAlignment="1">
      <alignment horizontal="right"/>
    </xf>
    <xf numFmtId="164" fontId="1" fillId="0" borderId="25" xfId="1" applyNumberFormat="1" applyBorder="1"/>
    <xf numFmtId="164" fontId="1" fillId="0" borderId="26" xfId="1" applyNumberFormat="1" applyBorder="1" applyAlignment="1">
      <alignment horizontal="center"/>
    </xf>
    <xf numFmtId="164" fontId="1" fillId="0" borderId="27" xfId="1" applyNumberFormat="1" applyBorder="1" applyAlignment="1">
      <alignment horizontal="center"/>
    </xf>
    <xf numFmtId="164" fontId="1" fillId="0" borderId="28" xfId="1" applyNumberFormat="1" applyBorder="1" applyAlignment="1">
      <alignment horizontal="center"/>
    </xf>
    <xf numFmtId="167" fontId="14" fillId="0" borderId="20" xfId="1" applyNumberFormat="1" applyFont="1" applyBorder="1" applyAlignment="1">
      <alignment horizontal="left"/>
    </xf>
    <xf numFmtId="167" fontId="14" fillId="0" borderId="21" xfId="1" applyNumberFormat="1" applyFont="1" applyBorder="1" applyAlignment="1">
      <alignment horizontal="left"/>
    </xf>
    <xf numFmtId="164" fontId="1" fillId="0" borderId="29" xfId="1" applyNumberFormat="1" applyBorder="1"/>
    <xf numFmtId="167" fontId="14" fillId="0" borderId="30" xfId="1" applyNumberFormat="1" applyFont="1" applyBorder="1" applyAlignment="1">
      <alignment horizontal="left"/>
    </xf>
    <xf numFmtId="164" fontId="1" fillId="0" borderId="21" xfId="1" applyNumberFormat="1" applyBorder="1" applyAlignment="1">
      <alignment horizontal="right"/>
    </xf>
    <xf numFmtId="167" fontId="14" fillId="0" borderId="31" xfId="1" applyNumberFormat="1" applyFont="1" applyBorder="1" applyAlignment="1">
      <alignment horizontal="left"/>
    </xf>
    <xf numFmtId="167" fontId="14" fillId="0" borderId="0" xfId="1" applyNumberFormat="1" applyFont="1" applyAlignment="1">
      <alignment horizontal="left"/>
    </xf>
    <xf numFmtId="164" fontId="8" fillId="0" borderId="0" xfId="1" applyNumberFormat="1" applyFont="1" applyAlignment="1">
      <alignment horizontal="right"/>
    </xf>
    <xf numFmtId="167" fontId="14" fillId="0" borderId="32" xfId="1" applyNumberFormat="1" applyFont="1" applyBorder="1" applyAlignment="1">
      <alignment horizontal="left"/>
    </xf>
    <xf numFmtId="164" fontId="1" fillId="0" borderId="0" xfId="1" applyNumberFormat="1" applyAlignment="1">
      <alignment horizontal="right"/>
    </xf>
    <xf numFmtId="164" fontId="1" fillId="0" borderId="33" xfId="1" applyNumberFormat="1" applyBorder="1"/>
    <xf numFmtId="167" fontId="14" fillId="0" borderId="34" xfId="1" applyNumberFormat="1" applyFont="1" applyBorder="1" applyAlignment="1">
      <alignment horizontal="left"/>
    </xf>
    <xf numFmtId="167" fontId="14" fillId="0" borderId="35" xfId="1" applyNumberFormat="1" applyFont="1" applyBorder="1" applyAlignment="1">
      <alignment horizontal="left"/>
    </xf>
    <xf numFmtId="167" fontId="14" fillId="0" borderId="36" xfId="1" applyNumberFormat="1" applyFont="1" applyBorder="1" applyAlignment="1">
      <alignment horizontal="left"/>
    </xf>
    <xf numFmtId="164" fontId="12" fillId="0" borderId="37" xfId="1" applyNumberFormat="1" applyFont="1" applyBorder="1" applyAlignment="1">
      <alignment horizontal="center"/>
    </xf>
    <xf numFmtId="164" fontId="12" fillId="0" borderId="38" xfId="1" applyNumberFormat="1" applyFont="1" applyBorder="1" applyAlignment="1">
      <alignment horizontal="center"/>
    </xf>
    <xf numFmtId="164" fontId="12" fillId="0" borderId="39" xfId="1" applyNumberFormat="1" applyFont="1" applyBorder="1" applyAlignment="1">
      <alignment horizontal="center"/>
    </xf>
    <xf numFmtId="164" fontId="1" fillId="0" borderId="40" xfId="1" applyNumberFormat="1" applyBorder="1"/>
    <xf numFmtId="164" fontId="12" fillId="0" borderId="41" xfId="1" applyNumberFormat="1" applyFont="1" applyBorder="1" applyAlignment="1">
      <alignment horizontal="center"/>
    </xf>
    <xf numFmtId="164" fontId="12" fillId="0" borderId="42" xfId="1" applyNumberFormat="1" applyFont="1" applyBorder="1" applyAlignment="1">
      <alignment horizontal="center"/>
    </xf>
    <xf numFmtId="164" fontId="8" fillId="0" borderId="20" xfId="1" applyNumberFormat="1" applyFont="1" applyBorder="1" applyAlignment="1">
      <alignment horizontal="center"/>
    </xf>
    <xf numFmtId="164" fontId="8" fillId="0" borderId="21" xfId="1" applyNumberFormat="1" applyFont="1" applyBorder="1" applyAlignment="1">
      <alignment horizontal="center"/>
    </xf>
    <xf numFmtId="164" fontId="10" fillId="0" borderId="21" xfId="1" applyNumberFormat="1" applyFont="1" applyBorder="1" applyAlignment="1">
      <alignment horizontal="right"/>
    </xf>
    <xf numFmtId="164" fontId="1" fillId="0" borderId="43" xfId="1" applyNumberFormat="1" applyBorder="1"/>
    <xf numFmtId="164" fontId="8" fillId="0" borderId="37" xfId="1" applyNumberFormat="1" applyFont="1" applyBorder="1" applyAlignment="1">
      <alignment horizontal="center"/>
    </xf>
    <xf numFmtId="164" fontId="8" fillId="0" borderId="38" xfId="1" applyNumberFormat="1" applyFont="1" applyBorder="1" applyAlignment="1">
      <alignment horizontal="center"/>
    </xf>
    <xf numFmtId="164" fontId="8" fillId="0" borderId="39" xfId="1" applyNumberFormat="1" applyFont="1" applyBorder="1" applyAlignment="1">
      <alignment horizontal="center"/>
    </xf>
    <xf numFmtId="164" fontId="10" fillId="0" borderId="0" xfId="1" applyNumberFormat="1" applyFont="1" applyAlignment="1">
      <alignment horizontal="right"/>
    </xf>
    <xf numFmtId="164" fontId="12" fillId="0" borderId="0" xfId="1" applyNumberFormat="1" applyFont="1" applyAlignment="1">
      <alignment horizontal="right"/>
    </xf>
    <xf numFmtId="164" fontId="8" fillId="0" borderId="43" xfId="1" applyNumberFormat="1" applyFont="1" applyBorder="1" applyAlignment="1">
      <alignment horizontal="right"/>
    </xf>
    <xf numFmtId="164" fontId="6" fillId="0" borderId="26" xfId="1" applyNumberFormat="1" applyFont="1" applyBorder="1" applyAlignment="1">
      <alignment horizontal="center"/>
    </xf>
    <xf numFmtId="164" fontId="6" fillId="0" borderId="27" xfId="1" applyNumberFormat="1" applyFont="1" applyBorder="1" applyAlignment="1">
      <alignment horizontal="center"/>
    </xf>
    <xf numFmtId="164" fontId="6" fillId="0" borderId="28" xfId="1" applyNumberFormat="1" applyFont="1" applyBorder="1" applyAlignment="1">
      <alignment horizontal="center"/>
    </xf>
    <xf numFmtId="164" fontId="6" fillId="0" borderId="43" xfId="1" applyNumberFormat="1" applyFont="1" applyBorder="1" applyAlignment="1">
      <alignment horizontal="center"/>
    </xf>
    <xf numFmtId="164" fontId="1" fillId="0" borderId="20" xfId="1" applyNumberFormat="1" applyBorder="1"/>
    <xf numFmtId="164" fontId="8" fillId="0" borderId="21" xfId="1" applyNumberFormat="1" applyFont="1" applyBorder="1"/>
    <xf numFmtId="169" fontId="8" fillId="0" borderId="21" xfId="1" applyNumberFormat="1" applyFont="1" applyBorder="1"/>
    <xf numFmtId="164" fontId="1" fillId="0" borderId="23" xfId="1" applyNumberFormat="1" applyBorder="1"/>
    <xf numFmtId="164" fontId="8" fillId="0" borderId="24" xfId="1" applyNumberFormat="1" applyFont="1" applyBorder="1"/>
    <xf numFmtId="164" fontId="8" fillId="0" borderId="24" xfId="1" quotePrefix="1" applyNumberFormat="1" applyFont="1" applyBorder="1"/>
    <xf numFmtId="169" fontId="8" fillId="0" borderId="24" xfId="1" applyNumberFormat="1" applyFont="1" applyBorder="1"/>
    <xf numFmtId="164" fontId="15" fillId="0" borderId="24" xfId="1" applyNumberFormat="1" applyFont="1" applyBorder="1" applyAlignment="1">
      <alignment horizontal="right"/>
    </xf>
    <xf numFmtId="164" fontId="15" fillId="0" borderId="24" xfId="1" applyNumberFormat="1" applyFont="1" applyBorder="1"/>
    <xf numFmtId="164" fontId="15" fillId="0" borderId="25" xfId="1" applyNumberFormat="1" applyFont="1" applyBorder="1"/>
    <xf numFmtId="164" fontId="16" fillId="0" borderId="0" xfId="1" applyNumberFormat="1" applyFont="1"/>
    <xf numFmtId="164" fontId="3" fillId="0" borderId="20" xfId="5" applyFont="1" applyBorder="1"/>
    <xf numFmtId="164" fontId="3" fillId="0" borderId="21" xfId="5" applyFont="1" applyBorder="1"/>
    <xf numFmtId="166" fontId="3" fillId="0" borderId="21" xfId="5" quotePrefix="1" applyNumberFormat="1" applyFont="1" applyBorder="1" applyAlignment="1" applyProtection="1">
      <alignment horizontal="center"/>
      <protection locked="0"/>
    </xf>
    <xf numFmtId="164" fontId="3" fillId="0" borderId="21" xfId="5" applyFont="1" applyBorder="1" applyAlignment="1">
      <alignment horizontal="right"/>
    </xf>
    <xf numFmtId="166" fontId="3" fillId="0" borderId="21" xfId="5" applyNumberFormat="1" applyFont="1" applyBorder="1"/>
    <xf numFmtId="164" fontId="3" fillId="0" borderId="22" xfId="5" applyFont="1" applyBorder="1"/>
    <xf numFmtId="164" fontId="3" fillId="0" borderId="31" xfId="5" applyFont="1" applyBorder="1"/>
    <xf numFmtId="164" fontId="3" fillId="0" borderId="0" xfId="5" applyFont="1" applyAlignment="1">
      <alignment horizontal="right"/>
    </xf>
    <xf numFmtId="164" fontId="3" fillId="0" borderId="0" xfId="5" applyFont="1"/>
    <xf numFmtId="164" fontId="3" fillId="0" borderId="0" xfId="5" quotePrefix="1" applyFont="1" applyAlignment="1" applyProtection="1">
      <alignment horizontal="center"/>
      <protection locked="0"/>
    </xf>
    <xf numFmtId="164" fontId="3" fillId="0" borderId="0" xfId="5" applyFont="1" applyAlignment="1">
      <alignment horizontal="center"/>
    </xf>
    <xf numFmtId="164" fontId="3" fillId="0" borderId="0" xfId="5" applyFont="1" applyAlignment="1" applyProtection="1">
      <alignment horizontal="left"/>
      <protection locked="0"/>
    </xf>
    <xf numFmtId="164" fontId="3" fillId="0" borderId="33" xfId="5" applyFont="1" applyBorder="1"/>
    <xf numFmtId="164" fontId="3" fillId="0" borderId="31" xfId="5" applyFont="1" applyBorder="1" applyAlignment="1" applyProtection="1">
      <alignment horizontal="center"/>
      <protection locked="0"/>
    </xf>
    <xf numFmtId="164" fontId="3" fillId="0" borderId="0" xfId="5" quotePrefix="1" applyFont="1" applyAlignment="1">
      <alignment horizontal="right"/>
    </xf>
    <xf numFmtId="164" fontId="3" fillId="0" borderId="0" xfId="5" applyFont="1" applyAlignment="1" applyProtection="1">
      <alignment horizontal="center"/>
      <protection locked="0"/>
    </xf>
    <xf numFmtId="164" fontId="16" fillId="0" borderId="44" xfId="5" applyFont="1" applyBorder="1" applyAlignment="1">
      <alignment horizontal="centerContinuous"/>
    </xf>
    <xf numFmtId="164" fontId="16" fillId="0" borderId="45" xfId="5" applyFont="1" applyBorder="1" applyAlignment="1">
      <alignment horizontal="centerContinuous"/>
    </xf>
    <xf numFmtId="164" fontId="18" fillId="0" borderId="46" xfId="5" applyFont="1" applyBorder="1" applyAlignment="1">
      <alignment horizontal="centerContinuous"/>
    </xf>
    <xf numFmtId="164" fontId="19" fillId="0" borderId="0" xfId="1" applyNumberFormat="1" applyFont="1"/>
    <xf numFmtId="164" fontId="19" fillId="0" borderId="0" xfId="5" applyFont="1"/>
    <xf numFmtId="164" fontId="19" fillId="0" borderId="0" xfId="1" applyNumberFormat="1" applyFont="1" applyAlignment="1">
      <alignment horizontal="centerContinuous"/>
    </xf>
    <xf numFmtId="164" fontId="3" fillId="0" borderId="0" xfId="5" applyFont="1" applyAlignment="1">
      <alignment horizontal="centerContinuous"/>
    </xf>
    <xf numFmtId="164" fontId="3" fillId="0" borderId="0" xfId="5" applyFont="1" applyAlignment="1">
      <alignment horizontal="left"/>
    </xf>
    <xf numFmtId="164" fontId="12" fillId="0" borderId="5" xfId="1" applyNumberFormat="1" applyFont="1" applyBorder="1" applyAlignment="1">
      <alignment horizontal="center"/>
    </xf>
    <xf numFmtId="164" fontId="12" fillId="0" borderId="47" xfId="1" applyNumberFormat="1" applyFont="1" applyBorder="1" applyAlignment="1">
      <alignment horizontal="center"/>
    </xf>
    <xf numFmtId="164" fontId="19" fillId="0" borderId="30" xfId="1" applyNumberFormat="1" applyFont="1" applyBorder="1"/>
    <xf numFmtId="164" fontId="17" fillId="0" borderId="22" xfId="1" applyNumberFormat="1" applyFont="1" applyBorder="1" applyAlignment="1">
      <alignment horizontal="left"/>
    </xf>
    <xf numFmtId="164" fontId="19" fillId="0" borderId="21" xfId="1" applyNumberFormat="1" applyFont="1" applyBorder="1" applyAlignment="1">
      <alignment horizontal="centerContinuous"/>
    </xf>
    <xf numFmtId="164" fontId="16" fillId="0" borderId="22" xfId="1" applyNumberFormat="1" applyFont="1" applyBorder="1" applyAlignment="1">
      <alignment horizontal="centerContinuous"/>
    </xf>
    <xf numFmtId="164" fontId="17" fillId="0" borderId="11" xfId="1" applyNumberFormat="1" applyFont="1" applyBorder="1" applyAlignment="1">
      <alignment horizontal="center"/>
    </xf>
    <xf numFmtId="164" fontId="17" fillId="0" borderId="48" xfId="1" applyNumberFormat="1" applyFont="1" applyBorder="1" applyAlignment="1">
      <alignment horizontal="center"/>
    </xf>
    <xf numFmtId="164" fontId="19" fillId="0" borderId="49" xfId="1" applyNumberFormat="1" applyFont="1" applyBorder="1"/>
    <xf numFmtId="164" fontId="17" fillId="0" borderId="50" xfId="1" applyNumberFormat="1" applyFont="1" applyBorder="1" applyAlignment="1">
      <alignment horizontal="left"/>
    </xf>
    <xf numFmtId="164" fontId="16" fillId="0" borderId="33" xfId="1" applyNumberFormat="1" applyFont="1" applyBorder="1" applyAlignment="1">
      <alignment horizontal="centerContinuous"/>
    </xf>
    <xf numFmtId="164" fontId="19" fillId="0" borderId="33" xfId="1" applyNumberFormat="1" applyFont="1" applyBorder="1" applyAlignment="1">
      <alignment horizontal="centerContinuous"/>
    </xf>
    <xf numFmtId="164" fontId="17" fillId="0" borderId="11" xfId="1" quotePrefix="1" applyNumberFormat="1" applyFont="1" applyBorder="1" applyAlignment="1">
      <alignment horizontal="center"/>
    </xf>
    <xf numFmtId="164" fontId="20" fillId="0" borderId="33" xfId="1" applyNumberFormat="1" applyFont="1" applyBorder="1" applyAlignment="1">
      <alignment horizontal="centerContinuous"/>
    </xf>
    <xf numFmtId="164" fontId="1" fillId="0" borderId="11" xfId="1" applyNumberFormat="1" applyBorder="1" applyAlignment="1">
      <alignment horizontal="center"/>
    </xf>
    <xf numFmtId="164" fontId="17" fillId="0" borderId="48" xfId="1" quotePrefix="1" applyNumberFormat="1" applyFont="1" applyBorder="1" applyAlignment="1">
      <alignment horizontal="center"/>
    </xf>
    <xf numFmtId="164" fontId="19" fillId="0" borderId="51" xfId="1" applyNumberFormat="1" applyFont="1" applyBorder="1" applyAlignment="1">
      <alignment horizontal="centerContinuous"/>
    </xf>
    <xf numFmtId="164" fontId="17" fillId="0" borderId="1" xfId="1" applyNumberFormat="1" applyFont="1" applyBorder="1" applyAlignment="1">
      <alignment horizontal="centerContinuous"/>
    </xf>
    <xf numFmtId="164" fontId="21" fillId="0" borderId="0" xfId="1" applyNumberFormat="1" applyFont="1" applyAlignment="1">
      <alignment horizontal="centerContinuous"/>
    </xf>
    <xf numFmtId="164" fontId="21" fillId="0" borderId="33" xfId="1" applyNumberFormat="1" applyFont="1" applyBorder="1" applyAlignment="1">
      <alignment horizontal="centerContinuous"/>
    </xf>
    <xf numFmtId="164" fontId="17" fillId="0" borderId="17" xfId="1" applyNumberFormat="1" applyFont="1" applyBorder="1" applyAlignment="1">
      <alignment horizontal="center"/>
    </xf>
    <xf numFmtId="164" fontId="17" fillId="0" borderId="52" xfId="1" applyNumberFormat="1" applyFont="1" applyBorder="1" applyAlignment="1">
      <alignment horizontal="center"/>
    </xf>
    <xf numFmtId="164" fontId="19" fillId="0" borderId="53" xfId="1" applyNumberFormat="1" applyFont="1" applyBorder="1"/>
    <xf numFmtId="164" fontId="17" fillId="0" borderId="19" xfId="1" applyNumberFormat="1" applyFont="1" applyBorder="1" applyAlignment="1">
      <alignment horizontal="left"/>
    </xf>
    <xf numFmtId="164" fontId="21" fillId="0" borderId="54" xfId="1" applyNumberFormat="1" applyFont="1" applyBorder="1" applyAlignment="1">
      <alignment horizontal="centerContinuous"/>
    </xf>
    <xf numFmtId="164" fontId="21" fillId="0" borderId="55" xfId="1" applyNumberFormat="1" applyFont="1" applyBorder="1" applyAlignment="1">
      <alignment horizontal="centerContinuous"/>
    </xf>
    <xf numFmtId="164" fontId="22" fillId="0" borderId="0" xfId="6"/>
    <xf numFmtId="14" fontId="16" fillId="0" borderId="56" xfId="6" quotePrefix="1" applyNumberFormat="1" applyFont="1" applyBorder="1" applyAlignment="1">
      <alignment horizontal="centerContinuous"/>
    </xf>
    <xf numFmtId="164" fontId="23" fillId="0" borderId="0" xfId="6" applyFont="1" applyAlignment="1">
      <alignment horizontal="right"/>
    </xf>
    <xf numFmtId="164" fontId="19" fillId="0" borderId="0" xfId="6" applyFont="1" applyAlignment="1">
      <alignment horizontal="centerContinuous"/>
    </xf>
    <xf numFmtId="164" fontId="19" fillId="0" borderId="0" xfId="6" applyFont="1"/>
    <xf numFmtId="164" fontId="16" fillId="0" borderId="56" xfId="6" applyFont="1" applyBorder="1" applyAlignment="1">
      <alignment horizontal="center"/>
    </xf>
    <xf numFmtId="1" fontId="16" fillId="0" borderId="0" xfId="6" applyNumberFormat="1" applyFont="1" applyAlignment="1">
      <alignment horizontal="center"/>
    </xf>
    <xf numFmtId="1" fontId="22" fillId="0" borderId="0" xfId="6" applyNumberFormat="1" applyAlignment="1">
      <alignment horizontal="center"/>
    </xf>
    <xf numFmtId="164" fontId="23" fillId="0" borderId="0" xfId="6" applyFont="1" applyAlignment="1">
      <alignment horizontal="left"/>
    </xf>
    <xf numFmtId="164" fontId="16" fillId="0" borderId="0" xfId="7" applyFont="1" applyAlignment="1">
      <alignment horizontal="center"/>
    </xf>
    <xf numFmtId="164" fontId="24" fillId="0" borderId="0" xfId="7" applyFont="1" applyAlignment="1">
      <alignment horizontal="center"/>
    </xf>
    <xf numFmtId="164" fontId="25" fillId="0" borderId="0" xfId="7" applyFont="1" applyAlignment="1">
      <alignment horizontal="center"/>
    </xf>
    <xf numFmtId="164" fontId="3" fillId="0" borderId="0" xfId="6" applyFont="1"/>
    <xf numFmtId="1" fontId="3" fillId="0" borderId="0" xfId="6" applyNumberFormat="1" applyFont="1" applyAlignment="1">
      <alignment horizontal="center"/>
    </xf>
    <xf numFmtId="1" fontId="26" fillId="0" borderId="0" xfId="6" applyNumberFormat="1" applyFont="1" applyAlignment="1">
      <alignment horizontal="center"/>
    </xf>
    <xf numFmtId="164" fontId="26" fillId="0" borderId="0" xfId="6" applyFont="1"/>
    <xf numFmtId="164" fontId="3" fillId="0" borderId="0" xfId="6" applyFont="1" applyAlignment="1">
      <alignment horizontal="left"/>
    </xf>
    <xf numFmtId="164" fontId="27" fillId="0" borderId="0" xfId="7" applyFont="1" applyAlignment="1">
      <alignment horizontal="center" wrapText="1"/>
    </xf>
    <xf numFmtId="164" fontId="27" fillId="0" borderId="0" xfId="7" applyFont="1" applyAlignment="1">
      <alignment horizontal="center"/>
    </xf>
    <xf numFmtId="164" fontId="16" fillId="0" borderId="0" xfId="7" applyFont="1" applyAlignment="1">
      <alignment horizontal="centerContinuous"/>
    </xf>
    <xf numFmtId="164" fontId="3" fillId="0" borderId="0" xfId="7" applyFont="1" applyAlignment="1">
      <alignment horizontal="centerContinuous"/>
    </xf>
    <xf numFmtId="164" fontId="3" fillId="0" borderId="0" xfId="6" applyFont="1" applyAlignment="1">
      <alignment horizontal="center"/>
    </xf>
    <xf numFmtId="164" fontId="26" fillId="0" borderId="0" xfId="6" applyFont="1" applyAlignment="1">
      <alignment horizontal="center"/>
    </xf>
    <xf numFmtId="170" fontId="3" fillId="0" borderId="0" xfId="7" quotePrefix="1" applyNumberFormat="1" applyFont="1" applyAlignment="1">
      <alignment horizontal="centerContinuous"/>
    </xf>
    <xf numFmtId="164" fontId="3" fillId="0" borderId="0" xfId="7" quotePrefix="1" applyFont="1" applyAlignment="1">
      <alignment horizontal="center"/>
    </xf>
    <xf numFmtId="164" fontId="18" fillId="0" borderId="0" xfId="7" applyFont="1" applyAlignment="1">
      <alignment horizontal="centerContinuous"/>
    </xf>
    <xf numFmtId="164" fontId="27" fillId="0" borderId="5" xfId="6" applyFont="1" applyBorder="1" applyAlignment="1">
      <alignment horizontal="center"/>
    </xf>
    <xf numFmtId="164" fontId="27" fillId="0" borderId="6" xfId="6" applyFont="1" applyBorder="1" applyAlignment="1">
      <alignment horizontal="center"/>
    </xf>
    <xf numFmtId="164" fontId="6" fillId="0" borderId="6" xfId="6" applyFont="1" applyBorder="1" applyAlignment="1">
      <alignment horizontal="right"/>
    </xf>
    <xf numFmtId="164" fontId="6" fillId="0" borderId="7" xfId="6" applyFont="1" applyBorder="1" applyAlignment="1">
      <alignment horizontal="right"/>
    </xf>
    <xf numFmtId="164" fontId="27" fillId="0" borderId="11" xfId="6" applyFont="1" applyBorder="1" applyAlignment="1">
      <alignment horizontal="center"/>
    </xf>
    <xf numFmtId="164" fontId="27" fillId="0" borderId="12" xfId="6" applyFont="1" applyBorder="1" applyAlignment="1">
      <alignment horizontal="center"/>
    </xf>
    <xf numFmtId="164" fontId="6" fillId="0" borderId="12" xfId="6" applyFont="1" applyBorder="1" applyAlignment="1">
      <alignment horizontal="right"/>
    </xf>
    <xf numFmtId="164" fontId="6" fillId="0" borderId="13" xfId="6" applyFont="1" applyBorder="1" applyAlignment="1">
      <alignment horizontal="right"/>
    </xf>
    <xf numFmtId="171" fontId="27" fillId="0" borderId="11" xfId="6" applyNumberFormat="1" applyFont="1" applyBorder="1" applyAlignment="1">
      <alignment horizontal="center"/>
    </xf>
    <xf numFmtId="171" fontId="27" fillId="0" borderId="12" xfId="6" applyNumberFormat="1" applyFont="1" applyBorder="1" applyAlignment="1">
      <alignment horizontal="center"/>
    </xf>
    <xf numFmtId="164" fontId="15" fillId="0" borderId="0" xfId="6" applyFont="1" applyAlignment="1">
      <alignment horizontal="center"/>
    </xf>
    <xf numFmtId="164" fontId="15" fillId="0" borderId="11" xfId="6" applyFont="1" applyBorder="1" applyAlignment="1">
      <alignment horizontal="center"/>
    </xf>
    <xf numFmtId="39" fontId="27" fillId="0" borderId="12" xfId="6" applyNumberFormat="1" applyFont="1" applyBorder="1" applyAlignment="1">
      <alignment horizontal="center"/>
    </xf>
    <xf numFmtId="164" fontId="27" fillId="0" borderId="12" xfId="6" applyFont="1" applyBorder="1" applyAlignment="1">
      <alignment horizontal="left"/>
    </xf>
    <xf numFmtId="164" fontId="6" fillId="0" borderId="12" xfId="6" applyFont="1" applyBorder="1" applyAlignment="1">
      <alignment horizontal="right"/>
    </xf>
    <xf numFmtId="164" fontId="8" fillId="0" borderId="13" xfId="6" applyFont="1" applyBorder="1" applyAlignment="1">
      <alignment horizontal="right"/>
    </xf>
    <xf numFmtId="172" fontId="3" fillId="0" borderId="0" xfId="7" applyNumberFormat="1" applyFont="1" applyAlignment="1">
      <alignment horizontal="center"/>
    </xf>
    <xf numFmtId="172" fontId="3" fillId="0" borderId="0" xfId="7" quotePrefix="1" applyNumberFormat="1" applyFont="1" applyAlignment="1">
      <alignment horizontal="center"/>
    </xf>
    <xf numFmtId="164" fontId="3" fillId="0" borderId="11" xfId="6" applyFont="1" applyBorder="1"/>
    <xf numFmtId="1" fontId="27" fillId="0" borderId="12" xfId="6" applyNumberFormat="1" applyFont="1" applyBorder="1" applyAlignment="1">
      <alignment horizontal="center"/>
    </xf>
    <xf numFmtId="1" fontId="27" fillId="0" borderId="12" xfId="6" applyNumberFormat="1" applyFont="1" applyBorder="1" applyAlignment="1">
      <alignment horizontal="left"/>
    </xf>
    <xf numFmtId="1" fontId="6" fillId="0" borderId="12" xfId="6" applyNumberFormat="1" applyFont="1" applyBorder="1" applyAlignment="1">
      <alignment horizontal="right"/>
    </xf>
    <xf numFmtId="39" fontId="3" fillId="0" borderId="0" xfId="6" applyNumberFormat="1" applyFont="1" applyAlignment="1">
      <alignment horizontal="center"/>
    </xf>
    <xf numFmtId="39" fontId="6" fillId="0" borderId="12" xfId="6" applyNumberFormat="1" applyFont="1" applyBorder="1" applyAlignment="1">
      <alignment horizontal="right"/>
    </xf>
    <xf numFmtId="39" fontId="6" fillId="0" borderId="13" xfId="6" applyNumberFormat="1" applyFont="1" applyBorder="1" applyAlignment="1">
      <alignment horizontal="right"/>
    </xf>
    <xf numFmtId="164" fontId="18" fillId="0" borderId="0" xfId="7" applyFont="1" applyAlignment="1">
      <alignment horizontal="center"/>
    </xf>
    <xf numFmtId="166" fontId="6" fillId="0" borderId="12" xfId="6" applyNumberFormat="1" applyFont="1" applyBorder="1" applyAlignment="1">
      <alignment horizontal="right" vertical="center"/>
    </xf>
    <xf numFmtId="166" fontId="6" fillId="0" borderId="13" xfId="6" applyNumberFormat="1" applyFont="1" applyBorder="1" applyAlignment="1">
      <alignment horizontal="right" vertical="center"/>
    </xf>
    <xf numFmtId="164" fontId="3" fillId="0" borderId="0" xfId="6" applyFont="1" applyAlignment="1">
      <alignment horizontal="centerContinuous"/>
    </xf>
    <xf numFmtId="166" fontId="27" fillId="0" borderId="12" xfId="6" applyNumberFormat="1" applyFont="1" applyBorder="1" applyAlignment="1">
      <alignment horizontal="center"/>
    </xf>
    <xf numFmtId="166" fontId="27" fillId="0" borderId="12" xfId="6" applyNumberFormat="1" applyFont="1" applyBorder="1" applyAlignment="1">
      <alignment horizontal="left"/>
    </xf>
    <xf numFmtId="166" fontId="6" fillId="0" borderId="12" xfId="6" applyNumberFormat="1" applyFont="1" applyBorder="1" applyAlignment="1">
      <alignment horizontal="right"/>
    </xf>
    <xf numFmtId="1" fontId="3" fillId="0" borderId="0" xfId="6" quotePrefix="1" applyNumberFormat="1" applyFont="1" applyAlignment="1">
      <alignment horizontal="center"/>
    </xf>
    <xf numFmtId="166" fontId="3" fillId="0" borderId="0" xfId="6" quotePrefix="1" applyNumberFormat="1" applyFont="1" applyAlignment="1">
      <alignment horizontal="center"/>
    </xf>
    <xf numFmtId="166" fontId="3" fillId="0" borderId="0" xfId="6" applyNumberFormat="1" applyFont="1" applyAlignment="1">
      <alignment horizontal="center"/>
    </xf>
    <xf numFmtId="171" fontId="27" fillId="0" borderId="17" xfId="6" applyNumberFormat="1" applyFont="1" applyBorder="1" applyAlignment="1">
      <alignment horizontal="center"/>
    </xf>
    <xf numFmtId="171" fontId="27" fillId="0" borderId="18" xfId="6" applyNumberFormat="1" applyFont="1" applyBorder="1" applyAlignment="1">
      <alignment horizontal="center"/>
    </xf>
    <xf numFmtId="164" fontId="6" fillId="0" borderId="18" xfId="6" applyFont="1" applyBorder="1" applyAlignment="1">
      <alignment horizontal="right"/>
    </xf>
    <xf numFmtId="164" fontId="6" fillId="0" borderId="19" xfId="6" applyFont="1" applyBorder="1" applyAlignment="1">
      <alignment horizontal="right"/>
    </xf>
    <xf numFmtId="164" fontId="18" fillId="0" borderId="0" xfId="6" applyFont="1" applyAlignment="1">
      <alignment horizontal="center"/>
    </xf>
    <xf numFmtId="166" fontId="3" fillId="0" borderId="0" xfId="6" quotePrefix="1" applyNumberFormat="1" applyFont="1" applyAlignment="1">
      <alignment horizontal="left"/>
    </xf>
    <xf numFmtId="164" fontId="3" fillId="0" borderId="0" xfId="6" quotePrefix="1" applyFont="1" applyAlignment="1">
      <alignment horizontal="right"/>
    </xf>
    <xf numFmtId="164" fontId="3" fillId="0" borderId="0" xfId="6" quotePrefix="1" applyFont="1" applyAlignment="1">
      <alignment horizontal="left"/>
    </xf>
    <xf numFmtId="164" fontId="3" fillId="0" borderId="0" xfId="6" applyFont="1" applyAlignment="1">
      <alignment horizontal="right"/>
    </xf>
    <xf numFmtId="49" fontId="3" fillId="0" borderId="0" xfId="6" quotePrefix="1" applyNumberFormat="1" applyFont="1" applyAlignment="1">
      <alignment horizontal="left"/>
    </xf>
    <xf numFmtId="49" fontId="3" fillId="0" borderId="0" xfId="6" applyNumberFormat="1" applyFont="1" applyAlignment="1">
      <alignment horizontal="left"/>
    </xf>
    <xf numFmtId="164" fontId="19" fillId="0" borderId="20" xfId="6" applyFont="1" applyBorder="1" applyAlignment="1">
      <alignment horizontal="centerContinuous"/>
    </xf>
    <xf numFmtId="164" fontId="28" fillId="0" borderId="21" xfId="6" applyFont="1" applyBorder="1" applyAlignment="1">
      <alignment horizontal="centerContinuous"/>
    </xf>
    <xf numFmtId="164" fontId="19" fillId="0" borderId="30" xfId="6" applyFont="1" applyBorder="1"/>
    <xf numFmtId="164" fontId="17" fillId="0" borderId="22" xfId="6" applyFont="1" applyBorder="1" applyAlignment="1">
      <alignment horizontal="left"/>
    </xf>
    <xf numFmtId="164" fontId="19" fillId="0" borderId="21" xfId="6" applyFont="1" applyBorder="1" applyAlignment="1">
      <alignment horizontal="centerContinuous"/>
    </xf>
    <xf numFmtId="164" fontId="29" fillId="0" borderId="22" xfId="6" applyFont="1" applyBorder="1" applyAlignment="1">
      <alignment horizontal="centerContinuous"/>
    </xf>
    <xf numFmtId="164" fontId="19" fillId="0" borderId="51" xfId="6" applyFont="1" applyBorder="1" applyAlignment="1">
      <alignment horizontal="centerContinuous"/>
    </xf>
    <xf numFmtId="164" fontId="17" fillId="0" borderId="1" xfId="6" applyFont="1" applyBorder="1" applyAlignment="1">
      <alignment horizontal="centerContinuous"/>
    </xf>
    <xf numFmtId="164" fontId="19" fillId="0" borderId="49" xfId="6" applyFont="1" applyBorder="1"/>
    <xf numFmtId="164" fontId="17" fillId="0" borderId="50" xfId="6" applyFont="1" applyBorder="1" applyAlignment="1">
      <alignment horizontal="left"/>
    </xf>
    <xf numFmtId="164" fontId="16" fillId="0" borderId="33" xfId="6" applyFont="1" applyBorder="1" applyAlignment="1">
      <alignment horizontal="centerContinuous"/>
    </xf>
    <xf numFmtId="164" fontId="27" fillId="0" borderId="31" xfId="6" applyFont="1" applyBorder="1" applyAlignment="1">
      <alignment horizontal="center"/>
    </xf>
    <xf numFmtId="164" fontId="27" fillId="0" borderId="0" xfId="6" applyFont="1" applyAlignment="1">
      <alignment horizontal="center"/>
    </xf>
    <xf numFmtId="164" fontId="27" fillId="0" borderId="33" xfId="6" applyFont="1" applyBorder="1" applyAlignment="1">
      <alignment horizontal="center"/>
    </xf>
    <xf numFmtId="164" fontId="30" fillId="0" borderId="31" xfId="6" applyFont="1" applyBorder="1" applyAlignment="1">
      <alignment horizontal="center"/>
    </xf>
    <xf numFmtId="164" fontId="30" fillId="0" borderId="0" xfId="6" applyFont="1" applyAlignment="1">
      <alignment horizontal="center"/>
    </xf>
    <xf numFmtId="165" fontId="17" fillId="0" borderId="11" xfId="6" quotePrefix="1" applyNumberFormat="1" applyFont="1" applyBorder="1" applyAlignment="1">
      <alignment horizontal="center"/>
    </xf>
    <xf numFmtId="165" fontId="17" fillId="0" borderId="48" xfId="6" quotePrefix="1" applyNumberFormat="1" applyFont="1" applyBorder="1" applyAlignment="1">
      <alignment horizontal="center"/>
    </xf>
    <xf numFmtId="164" fontId="19" fillId="0" borderId="33" xfId="6" applyFont="1" applyBorder="1" applyAlignment="1">
      <alignment horizontal="centerContinuous"/>
    </xf>
    <xf numFmtId="164" fontId="21" fillId="0" borderId="0" xfId="6" applyFont="1" applyAlignment="1">
      <alignment horizontal="centerContinuous"/>
    </xf>
    <xf numFmtId="164" fontId="21" fillId="0" borderId="33" xfId="6" applyFont="1" applyBorder="1" applyAlignment="1">
      <alignment horizontal="centerContinuous"/>
    </xf>
    <xf numFmtId="164" fontId="19" fillId="0" borderId="17" xfId="6" applyFont="1" applyBorder="1" applyAlignment="1">
      <alignment horizontal="centerContinuous"/>
    </xf>
    <xf numFmtId="164" fontId="17" fillId="0" borderId="18" xfId="6" applyFont="1" applyBorder="1" applyAlignment="1">
      <alignment horizontal="centerContinuous"/>
    </xf>
    <xf numFmtId="164" fontId="19" fillId="0" borderId="53" xfId="6" applyFont="1" applyBorder="1"/>
    <xf numFmtId="164" fontId="17" fillId="0" borderId="19" xfId="6" applyFont="1" applyBorder="1" applyAlignment="1">
      <alignment horizontal="left"/>
    </xf>
    <xf numFmtId="164" fontId="21" fillId="0" borderId="54" xfId="6" applyFont="1" applyBorder="1" applyAlignment="1">
      <alignment horizontal="centerContinuous"/>
    </xf>
    <xf numFmtId="164" fontId="21" fillId="0" borderId="55" xfId="6" applyFont="1" applyBorder="1" applyAlignment="1">
      <alignment horizontal="centerContinuous"/>
    </xf>
    <xf numFmtId="0" fontId="31" fillId="0" borderId="0" xfId="0" applyFont="1" applyAlignment="1">
      <alignment horizontal="centerContinuous"/>
    </xf>
    <xf numFmtId="0" fontId="0" fillId="0" borderId="0" xfId="0" applyAlignment="1">
      <alignment horizontal="centerContinuous"/>
    </xf>
    <xf numFmtId="0" fontId="32" fillId="0" borderId="0" xfId="0" applyFont="1" applyAlignment="1">
      <alignment horizontal="centerContinuous"/>
    </xf>
    <xf numFmtId="0" fontId="33" fillId="0" borderId="0" xfId="0" applyFont="1" applyAlignment="1">
      <alignment horizontal="center"/>
    </xf>
    <xf numFmtId="0" fontId="32" fillId="0" borderId="0" xfId="0" applyFont="1" applyAlignment="1">
      <alignment horizontal="right"/>
    </xf>
    <xf numFmtId="0" fontId="32" fillId="0" borderId="0" xfId="0" applyFont="1"/>
    <xf numFmtId="0" fontId="34" fillId="0" borderId="0" xfId="0" applyFont="1"/>
    <xf numFmtId="14" fontId="32" fillId="0" borderId="0" xfId="0" applyNumberFormat="1" applyFont="1" applyAlignment="1">
      <alignment horizontal="center"/>
    </xf>
    <xf numFmtId="19" fontId="32" fillId="0" borderId="0" xfId="0" applyNumberFormat="1" applyFont="1"/>
    <xf numFmtId="0" fontId="35" fillId="0" borderId="57" xfId="0" applyFont="1" applyBorder="1" applyAlignment="1">
      <alignment horizontal="center"/>
    </xf>
    <xf numFmtId="0" fontId="35" fillId="0" borderId="58" xfId="0" applyFont="1" applyBorder="1" applyAlignment="1">
      <alignment horizontal="center"/>
    </xf>
    <xf numFmtId="0" fontId="34" fillId="0" borderId="59" xfId="0" applyFont="1" applyBorder="1" applyAlignment="1">
      <alignment horizontal="center"/>
    </xf>
    <xf numFmtId="2" fontId="34" fillId="0" borderId="59" xfId="0" applyNumberFormat="1" applyFont="1" applyBorder="1" applyAlignment="1">
      <alignment horizontal="center"/>
    </xf>
    <xf numFmtId="1" fontId="34" fillId="0" borderId="59" xfId="0" applyNumberFormat="1" applyFont="1" applyBorder="1" applyAlignment="1">
      <alignment horizontal="center"/>
    </xf>
    <xf numFmtId="1" fontId="34" fillId="0" borderId="60" xfId="0" applyNumberFormat="1" applyFont="1" applyBorder="1" applyAlignment="1">
      <alignment horizontal="center"/>
    </xf>
    <xf numFmtId="166" fontId="34" fillId="0" borderId="59" xfId="0" applyNumberFormat="1" applyFont="1" applyBorder="1" applyAlignment="1">
      <alignment horizontal="center"/>
    </xf>
    <xf numFmtId="172" fontId="34" fillId="0" borderId="59" xfId="0" applyNumberFormat="1" applyFont="1" applyBorder="1" applyAlignment="1">
      <alignment horizontal="center"/>
    </xf>
    <xf numFmtId="0" fontId="35" fillId="0" borderId="19" xfId="0" applyFont="1" applyBorder="1"/>
    <xf numFmtId="0" fontId="32" fillId="0" borderId="18" xfId="0" applyFont="1" applyBorder="1" applyAlignment="1">
      <alignment horizontal="center"/>
    </xf>
    <xf numFmtId="0" fontId="32" fillId="0" borderId="17" xfId="0" applyFont="1" applyBorder="1" applyAlignment="1">
      <alignment horizontal="center"/>
    </xf>
    <xf numFmtId="0" fontId="35" fillId="0" borderId="19" xfId="0" applyFont="1" applyBorder="1" applyAlignment="1">
      <alignment horizontal="left"/>
    </xf>
    <xf numFmtId="0" fontId="34" fillId="2" borderId="0" xfId="0" applyFont="1" applyFill="1"/>
    <xf numFmtId="0" fontId="34" fillId="0" borderId="54" xfId="0" applyFont="1" applyBorder="1"/>
    <xf numFmtId="0" fontId="34" fillId="0" borderId="61" xfId="0" applyFont="1" applyBorder="1"/>
    <xf numFmtId="0" fontId="35" fillId="0" borderId="0" xfId="0" applyFont="1"/>
    <xf numFmtId="0" fontId="34" fillId="0" borderId="0" xfId="0" applyFont="1" applyAlignment="1">
      <alignment horizontal="centerContinuous"/>
    </xf>
    <xf numFmtId="0" fontId="34" fillId="0" borderId="17" xfId="0" applyFont="1" applyBorder="1" applyAlignment="1">
      <alignment horizontal="centerContinuous"/>
    </xf>
    <xf numFmtId="0" fontId="2" fillId="0" borderId="33" xfId="0" applyFont="1" applyBorder="1"/>
    <xf numFmtId="0" fontId="32" fillId="0" borderId="9" xfId="0" applyFont="1" applyBorder="1" applyAlignment="1">
      <alignment horizontal="center"/>
    </xf>
    <xf numFmtId="0" fontId="32" fillId="0" borderId="8" xfId="0" applyFont="1" applyBorder="1" applyAlignment="1">
      <alignment horizontal="center"/>
    </xf>
    <xf numFmtId="0" fontId="34" fillId="0" borderId="9" xfId="0" applyFont="1" applyBorder="1" applyAlignment="1">
      <alignment horizontal="centerContinuous"/>
    </xf>
    <xf numFmtId="0" fontId="32" fillId="0" borderId="10" xfId="0" applyFont="1" applyBorder="1" applyAlignment="1">
      <alignment horizontal="right"/>
    </xf>
    <xf numFmtId="172" fontId="34" fillId="0" borderId="9" xfId="0" applyNumberFormat="1" applyFont="1" applyBorder="1" applyAlignment="1">
      <alignment horizontal="center"/>
    </xf>
    <xf numFmtId="0" fontId="32" fillId="0" borderId="60" xfId="0" applyFont="1" applyBorder="1" applyAlignment="1">
      <alignment horizontal="center"/>
    </xf>
    <xf numFmtId="2" fontId="34" fillId="0" borderId="9" xfId="0" applyNumberFormat="1" applyFont="1" applyBorder="1" applyAlignment="1">
      <alignment horizontal="center"/>
    </xf>
    <xf numFmtId="0" fontId="34" fillId="0" borderId="8" xfId="0" applyFont="1" applyBorder="1" applyAlignment="1">
      <alignment horizontal="center"/>
    </xf>
    <xf numFmtId="0" fontId="32" fillId="0" borderId="10" xfId="0" applyFont="1" applyBorder="1"/>
    <xf numFmtId="0" fontId="34" fillId="0" borderId="9" xfId="0" applyFont="1" applyBorder="1" applyAlignment="1">
      <alignment horizontal="center"/>
    </xf>
    <xf numFmtId="0" fontId="32" fillId="0" borderId="58" xfId="0" applyFont="1" applyBorder="1" applyAlignment="1">
      <alignment horizontal="center"/>
    </xf>
    <xf numFmtId="0" fontId="34" fillId="0" borderId="0" xfId="0" applyFont="1" applyAlignment="1">
      <alignment horizontal="center"/>
    </xf>
    <xf numFmtId="0" fontId="32" fillId="0" borderId="48" xfId="0" applyFont="1" applyBorder="1" applyAlignment="1">
      <alignment horizontal="centerContinuous"/>
    </xf>
    <xf numFmtId="0" fontId="34" fillId="0" borderId="11" xfId="0" applyFont="1" applyBorder="1" applyAlignment="1">
      <alignment horizontal="centerContinuous"/>
    </xf>
    <xf numFmtId="166" fontId="34" fillId="0" borderId="62" xfId="0" applyNumberFormat="1" applyFont="1" applyBorder="1" applyAlignment="1">
      <alignment horizontal="center"/>
    </xf>
    <xf numFmtId="2" fontId="34" fillId="0" borderId="8" xfId="0" applyNumberFormat="1" applyFont="1" applyBorder="1" applyAlignment="1">
      <alignment horizontal="center"/>
    </xf>
    <xf numFmtId="0" fontId="34" fillId="0" borderId="29" xfId="0" applyFont="1" applyBorder="1" applyAlignment="1">
      <alignment horizontal="left"/>
    </xf>
    <xf numFmtId="0" fontId="34" fillId="0" borderId="31" xfId="0" applyFont="1" applyBorder="1" applyAlignment="1">
      <alignment horizontal="left"/>
    </xf>
    <xf numFmtId="0" fontId="34" fillId="0" borderId="63" xfId="0" applyFont="1" applyBorder="1" applyAlignment="1">
      <alignment horizontal="left"/>
    </xf>
    <xf numFmtId="0" fontId="34" fillId="0" borderId="51" xfId="0" applyFont="1" applyBorder="1" applyAlignment="1">
      <alignment horizontal="left"/>
    </xf>
    <xf numFmtId="173" fontId="34" fillId="3" borderId="9" xfId="0" applyNumberFormat="1" applyFont="1" applyFill="1" applyBorder="1" applyAlignment="1">
      <alignment horizontal="center"/>
    </xf>
    <xf numFmtId="0" fontId="34" fillId="0" borderId="9" xfId="0" applyFont="1" applyBorder="1" applyAlignment="1">
      <alignment horizontal="left"/>
    </xf>
    <xf numFmtId="0" fontId="34" fillId="0" borderId="8" xfId="0" applyFont="1" applyBorder="1" applyAlignment="1">
      <alignment horizontal="left"/>
    </xf>
    <xf numFmtId="166" fontId="34" fillId="0" borderId="9" xfId="0" applyNumberFormat="1" applyFont="1" applyBorder="1" applyAlignment="1">
      <alignment horizontal="center"/>
    </xf>
    <xf numFmtId="0" fontId="32" fillId="0" borderId="64" xfId="0" applyFont="1" applyBorder="1" applyAlignment="1">
      <alignment horizontal="right"/>
    </xf>
    <xf numFmtId="2" fontId="34" fillId="0" borderId="30" xfId="0" applyNumberFormat="1" applyFont="1" applyBorder="1" applyAlignment="1">
      <alignment horizontal="center"/>
    </xf>
    <xf numFmtId="2" fontId="34" fillId="0" borderId="20" xfId="0" applyNumberFormat="1" applyFont="1" applyBorder="1" applyAlignment="1">
      <alignment horizontal="center"/>
    </xf>
    <xf numFmtId="0" fontId="35" fillId="0" borderId="55" xfId="0" applyFont="1" applyBorder="1"/>
    <xf numFmtId="166" fontId="34" fillId="0" borderId="54" xfId="0" applyNumberFormat="1" applyFont="1" applyBorder="1" applyAlignment="1">
      <alignment horizontal="center"/>
    </xf>
    <xf numFmtId="166" fontId="34" fillId="0" borderId="61" xfId="0" applyNumberFormat="1" applyFont="1" applyBorder="1" applyAlignment="1">
      <alignment horizontal="center"/>
    </xf>
    <xf numFmtId="0" fontId="32" fillId="0" borderId="65" xfId="0" applyFont="1" applyBorder="1" applyAlignment="1">
      <alignment horizontal="center"/>
    </xf>
    <xf numFmtId="166" fontId="36" fillId="0" borderId="9" xfId="0" applyNumberFormat="1" applyFont="1" applyBorder="1" applyAlignment="1">
      <alignment horizontal="center"/>
    </xf>
    <xf numFmtId="166" fontId="34" fillId="0" borderId="8" xfId="0" applyNumberFormat="1" applyFont="1" applyBorder="1" applyAlignment="1">
      <alignment horizontal="center"/>
    </xf>
    <xf numFmtId="0" fontId="35" fillId="0" borderId="54" xfId="0" applyFont="1" applyBorder="1" applyAlignment="1">
      <alignment horizontal="centerContinuous"/>
    </xf>
    <xf numFmtId="0" fontId="35" fillId="0" borderId="61" xfId="0" applyFont="1" applyBorder="1" applyAlignment="1">
      <alignment horizontal="centerContinuous"/>
    </xf>
    <xf numFmtId="0" fontId="2" fillId="0" borderId="10" xfId="0" applyFont="1" applyBorder="1"/>
    <xf numFmtId="0" fontId="32" fillId="0" borderId="8" xfId="0" applyFont="1" applyBorder="1" applyAlignment="1">
      <alignment horizontal="centerContinuous"/>
    </xf>
    <xf numFmtId="174" fontId="34" fillId="0" borderId="9" xfId="0" applyNumberFormat="1" applyFont="1" applyBorder="1" applyAlignment="1">
      <alignment horizontal="center"/>
    </xf>
    <xf numFmtId="172" fontId="34" fillId="0" borderId="8" xfId="0" applyNumberFormat="1" applyFont="1" applyBorder="1" applyAlignment="1">
      <alignment horizontal="center"/>
    </xf>
    <xf numFmtId="175" fontId="34" fillId="0" borderId="9" xfId="0" applyNumberFormat="1" applyFont="1" applyBorder="1" applyAlignment="1">
      <alignment horizontal="center"/>
    </xf>
    <xf numFmtId="175" fontId="34" fillId="0" borderId="8" xfId="0" applyNumberFormat="1" applyFont="1" applyBorder="1" applyAlignment="1">
      <alignment horizontal="center"/>
    </xf>
    <xf numFmtId="0" fontId="32" fillId="0" borderId="33" xfId="0" applyFont="1" applyBorder="1"/>
    <xf numFmtId="0" fontId="34" fillId="0" borderId="31" xfId="0" applyFont="1" applyBorder="1" applyAlignment="1">
      <alignment horizontal="center"/>
    </xf>
    <xf numFmtId="0" fontId="32" fillId="0" borderId="4" xfId="0" applyFont="1" applyBorder="1" applyAlignment="1">
      <alignment horizontal="right"/>
    </xf>
    <xf numFmtId="2" fontId="34" fillId="0" borderId="3" xfId="0" applyNumberFormat="1" applyFont="1" applyBorder="1" applyAlignment="1">
      <alignment horizontal="center"/>
    </xf>
    <xf numFmtId="2" fontId="34" fillId="0" borderId="2" xfId="0" applyNumberFormat="1" applyFont="1" applyBorder="1" applyAlignment="1">
      <alignment horizontal="center"/>
    </xf>
    <xf numFmtId="172" fontId="34" fillId="0" borderId="3" xfId="0" applyNumberFormat="1" applyFont="1" applyBorder="1" applyAlignment="1">
      <alignment horizontal="center"/>
    </xf>
    <xf numFmtId="172" fontId="34" fillId="0" borderId="2" xfId="0" applyNumberFormat="1" applyFont="1" applyBorder="1" applyAlignment="1">
      <alignment horizontal="center"/>
    </xf>
    <xf numFmtId="0" fontId="2" fillId="0" borderId="0" xfId="0" applyFont="1"/>
    <xf numFmtId="0" fontId="34" fillId="0" borderId="31" xfId="0" applyFont="1" applyBorder="1"/>
    <xf numFmtId="0" fontId="32" fillId="0" borderId="54" xfId="0" applyFont="1" applyBorder="1" applyAlignment="1">
      <alignment horizontal="centerContinuous"/>
    </xf>
    <xf numFmtId="0" fontId="34" fillId="0" borderId="54" xfId="0" applyFont="1" applyBorder="1" applyAlignment="1">
      <alignment horizontal="centerContinuous"/>
    </xf>
    <xf numFmtId="0" fontId="34" fillId="0" borderId="18" xfId="0" applyFont="1" applyBorder="1"/>
    <xf numFmtId="0" fontId="35" fillId="0" borderId="66" xfId="0" applyFont="1" applyBorder="1"/>
    <xf numFmtId="0" fontId="34" fillId="0" borderId="10" xfId="0" applyFont="1" applyBorder="1"/>
    <xf numFmtId="0" fontId="34" fillId="0" borderId="48" xfId="0" applyFont="1" applyBorder="1" applyAlignment="1">
      <alignment horizontal="right"/>
    </xf>
    <xf numFmtId="2" fontId="34" fillId="0" borderId="11" xfId="0" applyNumberFormat="1" applyFont="1" applyBorder="1" applyAlignment="1">
      <alignment horizontal="center"/>
    </xf>
    <xf numFmtId="166" fontId="2" fillId="0" borderId="0" xfId="0" applyNumberFormat="1" applyFont="1"/>
    <xf numFmtId="0" fontId="34" fillId="0" borderId="4" xfId="0" applyFont="1" applyBorder="1"/>
    <xf numFmtId="0" fontId="34" fillId="0" borderId="47" xfId="0" applyFont="1" applyBorder="1" applyAlignment="1">
      <alignment horizontal="right"/>
    </xf>
    <xf numFmtId="2" fontId="34" fillId="0" borderId="5" xfId="0" applyNumberFormat="1" applyFont="1" applyBorder="1" applyAlignment="1">
      <alignment horizontal="center"/>
    </xf>
    <xf numFmtId="2" fontId="2" fillId="0" borderId="9" xfId="0" applyNumberFormat="1" applyFont="1" applyBorder="1" applyAlignment="1">
      <alignment horizontal="center"/>
    </xf>
    <xf numFmtId="166" fontId="2" fillId="0" borderId="8" xfId="0" applyNumberFormat="1" applyFont="1" applyBorder="1" applyAlignment="1">
      <alignment horizontal="center"/>
    </xf>
    <xf numFmtId="166" fontId="2" fillId="0" borderId="9" xfId="0" applyNumberFormat="1" applyFont="1" applyBorder="1" applyAlignment="1">
      <alignment horizontal="center"/>
    </xf>
    <xf numFmtId="0" fontId="2" fillId="0" borderId="18" xfId="0" applyFont="1" applyBorder="1"/>
    <xf numFmtId="0" fontId="34" fillId="0" borderId="17" xfId="0" applyFont="1" applyBorder="1"/>
    <xf numFmtId="0" fontId="34" fillId="0" borderId="11" xfId="0" applyFont="1" applyBorder="1" applyAlignment="1">
      <alignment horizontal="center"/>
    </xf>
    <xf numFmtId="0" fontId="32" fillId="0" borderId="9" xfId="0" applyFont="1" applyBorder="1" applyAlignment="1">
      <alignment horizontal="right"/>
    </xf>
    <xf numFmtId="0" fontId="32" fillId="0" borderId="0" xfId="0" applyFont="1" applyAlignment="1">
      <alignment horizontal="center"/>
    </xf>
    <xf numFmtId="0" fontId="32" fillId="0" borderId="4" xfId="0" applyFont="1" applyBorder="1"/>
    <xf numFmtId="175" fontId="34" fillId="0" borderId="0" xfId="0" applyNumberFormat="1" applyFont="1" applyAlignment="1">
      <alignment horizontal="center"/>
    </xf>
    <xf numFmtId="172" fontId="2" fillId="0" borderId="3" xfId="0" applyNumberFormat="1" applyFont="1" applyBorder="1" applyAlignment="1">
      <alignment horizontal="center"/>
    </xf>
    <xf numFmtId="2" fontId="2" fillId="0" borderId="3" xfId="0" applyNumberFormat="1" applyFont="1" applyBorder="1" applyAlignment="1">
      <alignment horizontal="center"/>
    </xf>
    <xf numFmtId="166" fontId="2" fillId="0" borderId="2" xfId="0" applyNumberFormat="1" applyFont="1" applyBorder="1" applyAlignment="1">
      <alignment horizontal="center"/>
    </xf>
    <xf numFmtId="0" fontId="34" fillId="0" borderId="54" xfId="0" applyFont="1" applyBorder="1" applyAlignment="1">
      <alignment horizontal="right"/>
    </xf>
    <xf numFmtId="49" fontId="34" fillId="0" borderId="54" xfId="0" applyNumberFormat="1" applyFont="1" applyBorder="1" applyAlignment="1">
      <alignment horizontal="center"/>
    </xf>
    <xf numFmtId="0" fontId="32" fillId="0" borderId="16" xfId="0" applyFont="1" applyBorder="1" applyAlignment="1">
      <alignment horizontal="right"/>
    </xf>
    <xf numFmtId="166" fontId="34" fillId="0" borderId="14" xfId="0" applyNumberFormat="1" applyFont="1" applyBorder="1" applyAlignment="1">
      <alignment horizontal="center"/>
    </xf>
    <xf numFmtId="2" fontId="38" fillId="0" borderId="9" xfId="0" applyNumberFormat="1" applyFont="1" applyBorder="1" applyAlignment="1">
      <alignment horizontal="center"/>
    </xf>
    <xf numFmtId="2" fontId="38" fillId="0" borderId="8" xfId="0" applyNumberFormat="1" applyFont="1" applyBorder="1" applyAlignment="1">
      <alignment horizontal="center"/>
    </xf>
    <xf numFmtId="166" fontId="34" fillId="0" borderId="2" xfId="0" applyNumberFormat="1" applyFont="1" applyBorder="1" applyAlignment="1">
      <alignment horizontal="center"/>
    </xf>
    <xf numFmtId="0" fontId="39" fillId="0" borderId="0" xfId="0" applyFont="1"/>
    <xf numFmtId="172" fontId="38" fillId="0" borderId="9" xfId="0" applyNumberFormat="1" applyFont="1" applyBorder="1" applyAlignment="1">
      <alignment horizontal="center"/>
    </xf>
    <xf numFmtId="172" fontId="38" fillId="0" borderId="8" xfId="0" applyNumberFormat="1" applyFont="1" applyBorder="1" applyAlignment="1">
      <alignment horizontal="center"/>
    </xf>
    <xf numFmtId="0" fontId="32" fillId="0" borderId="67" xfId="0" applyFont="1" applyBorder="1" applyAlignment="1">
      <alignment horizontal="right"/>
    </xf>
    <xf numFmtId="166" fontId="34" fillId="0" borderId="68" xfId="0" applyNumberFormat="1" applyFont="1" applyBorder="1" applyAlignment="1">
      <alignment horizontal="center"/>
    </xf>
    <xf numFmtId="175" fontId="0" fillId="0" borderId="0" xfId="0" applyNumberFormat="1"/>
    <xf numFmtId="0" fontId="32" fillId="0" borderId="15" xfId="0" applyFont="1" applyBorder="1" applyAlignment="1">
      <alignment horizontal="center"/>
    </xf>
    <xf numFmtId="0" fontId="32" fillId="0" borderId="14" xfId="0" applyFont="1" applyBorder="1" applyAlignment="1">
      <alignment horizontal="center"/>
    </xf>
    <xf numFmtId="175" fontId="38" fillId="0" borderId="9" xfId="0" applyNumberFormat="1" applyFont="1" applyBorder="1" applyAlignment="1">
      <alignment horizontal="center"/>
    </xf>
    <xf numFmtId="175" fontId="38" fillId="0" borderId="8" xfId="0" applyNumberFormat="1" applyFont="1" applyBorder="1" applyAlignment="1">
      <alignment horizontal="center"/>
    </xf>
    <xf numFmtId="0" fontId="32" fillId="0" borderId="69" xfId="0" applyFont="1" applyBorder="1" applyAlignment="1">
      <alignment horizontal="right"/>
    </xf>
    <xf numFmtId="166" fontId="34" fillId="0" borderId="36" xfId="0" applyNumberFormat="1" applyFont="1" applyBorder="1" applyAlignment="1">
      <alignment horizontal="center"/>
    </xf>
    <xf numFmtId="0" fontId="34" fillId="0" borderId="70" xfId="0" applyFont="1" applyBorder="1" applyAlignment="1">
      <alignment horizontal="center"/>
    </xf>
    <xf numFmtId="0" fontId="34" fillId="0" borderId="34" xfId="0" applyFont="1" applyBorder="1" applyAlignment="1">
      <alignment horizontal="center"/>
    </xf>
    <xf numFmtId="166" fontId="38" fillId="0" borderId="9" xfId="0" applyNumberFormat="1" applyFont="1" applyBorder="1" applyAlignment="1">
      <alignment horizontal="center"/>
    </xf>
    <xf numFmtId="166" fontId="38" fillId="0" borderId="8" xfId="0" applyNumberFormat="1" applyFont="1" applyBorder="1" applyAlignment="1">
      <alignment horizontal="center"/>
    </xf>
    <xf numFmtId="0" fontId="32" fillId="0" borderId="71" xfId="0" applyFont="1" applyBorder="1" applyAlignment="1">
      <alignment horizontal="right"/>
    </xf>
    <xf numFmtId="166" fontId="34" fillId="0" borderId="49" xfId="0" applyNumberFormat="1" applyFont="1" applyBorder="1" applyAlignment="1">
      <alignment horizontal="center"/>
    </xf>
    <xf numFmtId="0" fontId="34" fillId="0" borderId="63" xfId="0" applyFont="1" applyBorder="1" applyAlignment="1">
      <alignment horizontal="center"/>
    </xf>
    <xf numFmtId="0" fontId="34" fillId="0" borderId="51" xfId="0" applyFont="1" applyBorder="1" applyAlignment="1">
      <alignment horizontal="center"/>
    </xf>
    <xf numFmtId="2" fontId="34" fillId="0" borderId="34" xfId="0" applyNumberFormat="1" applyFont="1" applyBorder="1" applyAlignment="1">
      <alignment horizontal="center"/>
    </xf>
    <xf numFmtId="172" fontId="38" fillId="0" borderId="3" xfId="0" applyNumberFormat="1" applyFont="1" applyBorder="1" applyAlignment="1">
      <alignment horizontal="center"/>
    </xf>
    <xf numFmtId="172" fontId="40" fillId="0" borderId="47" xfId="0" applyNumberFormat="1" applyFont="1" applyBorder="1" applyAlignment="1">
      <alignment horizontal="center"/>
    </xf>
    <xf numFmtId="172" fontId="40" fillId="0" borderId="6" xfId="0" applyNumberFormat="1" applyFont="1" applyBorder="1" applyAlignment="1">
      <alignment horizontal="center"/>
    </xf>
    <xf numFmtId="172" fontId="40" fillId="0" borderId="5" xfId="0" applyNumberFormat="1" applyFont="1" applyBorder="1" applyAlignment="1">
      <alignment horizontal="center"/>
    </xf>
    <xf numFmtId="0" fontId="35" fillId="0" borderId="16" xfId="0" applyFont="1" applyBorder="1"/>
    <xf numFmtId="0" fontId="34" fillId="0" borderId="52" xfId="0" applyFont="1" applyBorder="1"/>
    <xf numFmtId="0" fontId="34" fillId="0" borderId="14" xfId="0" applyFont="1" applyBorder="1"/>
    <xf numFmtId="166" fontId="34" fillId="0" borderId="70" xfId="0" applyNumberFormat="1" applyFont="1" applyBorder="1" applyAlignment="1">
      <alignment horizontal="center"/>
    </xf>
    <xf numFmtId="172" fontId="34" fillId="0" borderId="70" xfId="0" applyNumberFormat="1" applyFont="1" applyBorder="1" applyAlignment="1">
      <alignment horizontal="center"/>
    </xf>
    <xf numFmtId="0" fontId="32" fillId="0" borderId="9" xfId="0" applyFont="1" applyBorder="1"/>
    <xf numFmtId="0" fontId="32" fillId="0" borderId="72" xfId="0" applyFont="1" applyBorder="1" applyAlignment="1">
      <alignment horizontal="right"/>
    </xf>
    <xf numFmtId="166" fontId="34" fillId="0" borderId="29" xfId="0" applyNumberFormat="1" applyFont="1" applyBorder="1" applyAlignment="1">
      <alignment horizontal="center"/>
    </xf>
    <xf numFmtId="0" fontId="34" fillId="0" borderId="29" xfId="0" applyFont="1" applyBorder="1" applyAlignment="1">
      <alignment horizontal="center"/>
    </xf>
    <xf numFmtId="1" fontId="34" fillId="0" borderId="63" xfId="0" applyNumberFormat="1" applyFont="1" applyBorder="1" applyAlignment="1">
      <alignment horizontal="center"/>
    </xf>
    <xf numFmtId="0" fontId="0" fillId="0" borderId="0" xfId="0" applyAlignment="1">
      <alignment horizontal="right"/>
    </xf>
    <xf numFmtId="166" fontId="0" fillId="0" borderId="0" xfId="0" applyNumberFormat="1" applyAlignment="1">
      <alignment horizontal="left"/>
    </xf>
    <xf numFmtId="0" fontId="32" fillId="0" borderId="70" xfId="0" applyFont="1" applyBorder="1" applyAlignment="1">
      <alignment horizontal="right"/>
    </xf>
    <xf numFmtId="2" fontId="34" fillId="0" borderId="31" xfId="0" applyNumberFormat="1" applyFont="1" applyBorder="1" applyAlignment="1">
      <alignment horizontal="center"/>
    </xf>
    <xf numFmtId="0" fontId="32" fillId="0" borderId="29" xfId="0" applyFont="1" applyBorder="1" applyAlignment="1">
      <alignment horizontal="right"/>
    </xf>
    <xf numFmtId="2" fontId="0" fillId="0" borderId="0" xfId="0" applyNumberFormat="1" applyAlignment="1">
      <alignment horizontal="left"/>
    </xf>
    <xf numFmtId="0" fontId="34" fillId="0" borderId="3" xfId="0" applyFont="1" applyBorder="1" applyAlignment="1">
      <alignment horizontal="center"/>
    </xf>
    <xf numFmtId="0" fontId="32" fillId="0" borderId="3" xfId="0" applyFont="1" applyBorder="1"/>
    <xf numFmtId="0" fontId="32" fillId="0" borderId="63" xfId="0" applyFont="1" applyBorder="1" applyAlignment="1">
      <alignment horizontal="right"/>
    </xf>
    <xf numFmtId="0" fontId="34" fillId="0" borderId="20" xfId="0" applyFont="1" applyBorder="1" applyAlignment="1">
      <alignment horizontal="center"/>
    </xf>
    <xf numFmtId="0" fontId="0" fillId="0" borderId="0" xfId="0" applyAlignment="1">
      <alignment horizontal="left"/>
    </xf>
    <xf numFmtId="0" fontId="32" fillId="0" borderId="0" xfId="0" applyFont="1" applyAlignment="1">
      <alignment horizontal="left"/>
    </xf>
    <xf numFmtId="2" fontId="34" fillId="0" borderId="1" xfId="0" applyNumberFormat="1" applyFont="1" applyBorder="1" applyAlignment="1">
      <alignment horizontal="centerContinuous"/>
    </xf>
    <xf numFmtId="0" fontId="34" fillId="0" borderId="51" xfId="0" applyFont="1" applyBorder="1" applyAlignment="1">
      <alignment horizontal="centerContinuous"/>
    </xf>
    <xf numFmtId="1" fontId="0" fillId="0" borderId="0" xfId="0" applyNumberFormat="1" applyAlignment="1">
      <alignment horizontal="left"/>
    </xf>
    <xf numFmtId="166" fontId="0" fillId="0" borderId="0" xfId="0" applyNumberFormat="1"/>
    <xf numFmtId="0" fontId="34" fillId="0" borderId="1" xfId="0" applyFont="1" applyBorder="1" applyAlignment="1">
      <alignment horizontal="center"/>
    </xf>
    <xf numFmtId="0" fontId="32" fillId="0" borderId="3" xfId="0" applyFont="1" applyBorder="1" applyAlignment="1">
      <alignment horizontal="right"/>
    </xf>
    <xf numFmtId="0" fontId="34" fillId="0" borderId="21" xfId="0" applyFont="1" applyBorder="1" applyAlignment="1">
      <alignment horizontal="center"/>
    </xf>
    <xf numFmtId="0" fontId="5" fillId="0" borderId="19" xfId="0" applyFont="1" applyBorder="1"/>
    <xf numFmtId="0" fontId="5" fillId="0" borderId="18" xfId="0" applyFont="1" applyBorder="1"/>
    <xf numFmtId="0" fontId="5" fillId="0" borderId="17" xfId="0" applyFont="1" applyBorder="1"/>
    <xf numFmtId="0" fontId="32" fillId="0" borderId="10" xfId="0" applyFont="1" applyBorder="1" applyAlignment="1">
      <alignment horizontal="center"/>
    </xf>
    <xf numFmtId="0" fontId="5" fillId="0" borderId="33" xfId="0" applyFont="1" applyBorder="1"/>
    <xf numFmtId="0" fontId="5" fillId="0" borderId="0" xfId="0" applyFont="1"/>
    <xf numFmtId="0" fontId="5" fillId="0" borderId="31" xfId="0" applyFont="1" applyBorder="1"/>
    <xf numFmtId="2" fontId="32" fillId="0" borderId="72" xfId="0" quotePrefix="1" applyNumberFormat="1" applyFont="1" applyBorder="1" applyAlignment="1">
      <alignment horizontal="center"/>
    </xf>
    <xf numFmtId="166" fontId="34" fillId="0" borderId="73" xfId="0" applyNumberFormat="1" applyFont="1" applyBorder="1" applyAlignment="1">
      <alignment horizontal="center"/>
    </xf>
    <xf numFmtId="2" fontId="32" fillId="0" borderId="29" xfId="0" quotePrefix="1" applyNumberFormat="1" applyFont="1" applyBorder="1" applyAlignment="1">
      <alignment horizontal="center"/>
    </xf>
    <xf numFmtId="172" fontId="32" fillId="0" borderId="72" xfId="0" quotePrefix="1" applyNumberFormat="1" applyFont="1" applyBorder="1" applyAlignment="1">
      <alignment horizontal="center"/>
    </xf>
    <xf numFmtId="2" fontId="32" fillId="0" borderId="29" xfId="0" applyNumberFormat="1" applyFont="1" applyBorder="1" applyAlignment="1">
      <alignment horizontal="center"/>
    </xf>
    <xf numFmtId="2" fontId="32" fillId="0" borderId="74" xfId="0" applyNumberFormat="1" applyFont="1" applyBorder="1" applyAlignment="1">
      <alignment horizontal="center"/>
    </xf>
    <xf numFmtId="166" fontId="34" fillId="0" borderId="74" xfId="0" applyNumberFormat="1" applyFont="1" applyBorder="1" applyAlignment="1">
      <alignment horizontal="center"/>
    </xf>
    <xf numFmtId="166" fontId="34" fillId="0" borderId="75" xfId="0" applyNumberFormat="1" applyFont="1" applyBorder="1" applyAlignment="1">
      <alignment horizontal="center"/>
    </xf>
    <xf numFmtId="2" fontId="35" fillId="0" borderId="1" xfId="0" applyNumberFormat="1" applyFont="1" applyBorder="1" applyAlignment="1">
      <alignment horizontal="left"/>
    </xf>
    <xf numFmtId="166" fontId="36" fillId="0" borderId="1" xfId="0" applyNumberFormat="1" applyFont="1" applyBorder="1" applyAlignment="1">
      <alignment horizontal="left"/>
    </xf>
    <xf numFmtId="2" fontId="32" fillId="0" borderId="0" xfId="0" applyNumberFormat="1" applyFont="1" applyAlignment="1">
      <alignment horizontal="right"/>
    </xf>
    <xf numFmtId="166" fontId="34" fillId="0" borderId="0" xfId="0" applyNumberFormat="1" applyFont="1" applyAlignment="1">
      <alignment horizontal="centerContinuous"/>
    </xf>
    <xf numFmtId="2" fontId="32" fillId="0" borderId="64" xfId="0" quotePrefix="1" applyNumberFormat="1" applyFont="1" applyBorder="1" applyAlignment="1">
      <alignment horizontal="center"/>
    </xf>
    <xf numFmtId="166" fontId="34" fillId="0" borderId="76" xfId="0" applyNumberFormat="1" applyFont="1" applyBorder="1" applyAlignment="1">
      <alignment horizontal="center"/>
    </xf>
    <xf numFmtId="2" fontId="32" fillId="0" borderId="21" xfId="0" applyNumberFormat="1" applyFont="1" applyBorder="1" applyAlignment="1">
      <alignment horizontal="right"/>
    </xf>
    <xf numFmtId="166" fontId="34" fillId="0" borderId="21" xfId="0" applyNumberFormat="1" applyFont="1" applyBorder="1" applyAlignment="1">
      <alignment horizontal="centerContinuous"/>
    </xf>
    <xf numFmtId="0" fontId="5" fillId="0" borderId="22" xfId="0" applyFont="1" applyBorder="1"/>
    <xf numFmtId="0" fontId="5" fillId="0" borderId="21" xfId="0" applyFont="1" applyBorder="1"/>
    <xf numFmtId="0" fontId="5" fillId="0" borderId="20" xfId="0" applyFont="1" applyBorder="1"/>
    <xf numFmtId="0" fontId="42" fillId="4" borderId="0" xfId="0" applyFont="1" applyFill="1"/>
    <xf numFmtId="0" fontId="5" fillId="4" borderId="0" xfId="0" applyFont="1" applyFill="1"/>
    <xf numFmtId="166" fontId="34" fillId="0" borderId="0" xfId="0" applyNumberFormat="1" applyFont="1" applyAlignment="1">
      <alignment horizontal="center"/>
    </xf>
    <xf numFmtId="0" fontId="43" fillId="0" borderId="0" xfId="8" applyFont="1" applyAlignment="1">
      <alignment horizontal="center"/>
    </xf>
    <xf numFmtId="0" fontId="44" fillId="0" borderId="0" xfId="8" applyFont="1"/>
    <xf numFmtId="0" fontId="45" fillId="0" borderId="0" xfId="8" applyFont="1"/>
    <xf numFmtId="0" fontId="46" fillId="5" borderId="0" xfId="8" applyFont="1" applyFill="1" applyAlignment="1">
      <alignment horizontal="center"/>
    </xf>
    <xf numFmtId="0" fontId="47" fillId="5" borderId="0" xfId="8" applyFont="1" applyFill="1" applyAlignment="1">
      <alignment horizontal="right"/>
    </xf>
    <xf numFmtId="0" fontId="48" fillId="5" borderId="0" xfId="8" applyFont="1" applyFill="1"/>
    <xf numFmtId="0" fontId="49" fillId="5" borderId="0" xfId="8" applyFont="1" applyFill="1"/>
    <xf numFmtId="0" fontId="46" fillId="5" borderId="0" xfId="8" applyFont="1" applyFill="1" applyAlignment="1">
      <alignment horizontal="center"/>
    </xf>
    <xf numFmtId="0" fontId="48" fillId="5" borderId="21" xfId="8" applyFont="1" applyFill="1" applyBorder="1" applyAlignment="1">
      <alignment horizontal="center"/>
    </xf>
    <xf numFmtId="0" fontId="50" fillId="0" borderId="77" xfId="8" applyFont="1" applyBorder="1" applyAlignment="1">
      <alignment horizontal="left" vertical="center"/>
    </xf>
    <xf numFmtId="0" fontId="50" fillId="0" borderId="78" xfId="8" applyFont="1" applyBorder="1" applyAlignment="1">
      <alignment vertical="center"/>
    </xf>
    <xf numFmtId="0" fontId="27" fillId="0" borderId="78" xfId="8" applyBorder="1"/>
    <xf numFmtId="0" fontId="50" fillId="0" borderId="79" xfId="8" applyFont="1" applyBorder="1" applyAlignment="1">
      <alignment horizontal="right" vertical="center"/>
    </xf>
    <xf numFmtId="0" fontId="51" fillId="0" borderId="0" xfId="8" applyFont="1"/>
    <xf numFmtId="0" fontId="52" fillId="0" borderId="77" xfId="8" applyFont="1" applyBorder="1"/>
    <xf numFmtId="0" fontId="51" fillId="0" borderId="79" xfId="8" applyFont="1" applyBorder="1"/>
    <xf numFmtId="0" fontId="52" fillId="0" borderId="79" xfId="8" applyFont="1" applyBorder="1"/>
    <xf numFmtId="0" fontId="53" fillId="0" borderId="0" xfId="8" applyFont="1"/>
    <xf numFmtId="0" fontId="54" fillId="5" borderId="19" xfId="8" applyFont="1" applyFill="1" applyBorder="1" applyAlignment="1">
      <alignment horizontal="left"/>
    </xf>
    <xf numFmtId="0" fontId="54" fillId="5" borderId="18" xfId="8" applyFont="1" applyFill="1" applyBorder="1" applyAlignment="1">
      <alignment horizontal="left"/>
    </xf>
    <xf numFmtId="0" fontId="54" fillId="5" borderId="18" xfId="8" applyFont="1" applyFill="1" applyBorder="1" applyAlignment="1">
      <alignment horizontal="center"/>
    </xf>
    <xf numFmtId="0" fontId="54" fillId="5" borderId="53" xfId="8" applyFont="1" applyFill="1" applyBorder="1" applyAlignment="1">
      <alignment horizontal="center"/>
    </xf>
    <xf numFmtId="0" fontId="54" fillId="5" borderId="0" xfId="8" quotePrefix="1" applyFont="1" applyFill="1" applyAlignment="1">
      <alignment horizontal="left"/>
    </xf>
    <xf numFmtId="0" fontId="55" fillId="5" borderId="80" xfId="8" applyFont="1" applyFill="1" applyBorder="1" applyAlignment="1">
      <alignment horizontal="right"/>
    </xf>
    <xf numFmtId="0" fontId="54" fillId="5" borderId="81" xfId="8" applyFont="1" applyFill="1" applyBorder="1" applyAlignment="1">
      <alignment horizontal="center"/>
    </xf>
    <xf numFmtId="0" fontId="54" fillId="5" borderId="31" xfId="8" applyFont="1" applyFill="1" applyBorder="1" applyAlignment="1">
      <alignment horizontal="center"/>
    </xf>
    <xf numFmtId="0" fontId="52" fillId="0" borderId="33" xfId="8" applyFont="1" applyBorder="1"/>
    <xf numFmtId="0" fontId="51" fillId="0" borderId="31" xfId="8" applyFont="1" applyBorder="1"/>
    <xf numFmtId="0" fontId="52" fillId="0" borderId="31" xfId="8" applyFont="1" applyBorder="1"/>
    <xf numFmtId="0" fontId="56" fillId="0" borderId="82" xfId="8" applyFont="1" applyBorder="1" applyAlignment="1">
      <alignment horizontal="left"/>
    </xf>
    <xf numFmtId="0" fontId="56" fillId="0" borderId="83" xfId="8" applyFont="1" applyBorder="1" applyAlignment="1">
      <alignment horizontal="left"/>
    </xf>
    <xf numFmtId="0" fontId="57" fillId="5" borderId="84" xfId="8" applyFont="1" applyFill="1" applyBorder="1" applyAlignment="1">
      <alignment horizontal="center"/>
    </xf>
    <xf numFmtId="0" fontId="57" fillId="5" borderId="80" xfId="8" applyFont="1" applyFill="1" applyBorder="1" applyAlignment="1">
      <alignment horizontal="center"/>
    </xf>
    <xf numFmtId="0" fontId="47" fillId="5" borderId="85" xfId="8" applyFont="1" applyFill="1" applyBorder="1" applyAlignment="1">
      <alignment horizontal="left"/>
    </xf>
    <xf numFmtId="0" fontId="47" fillId="5" borderId="35" xfId="8" applyFont="1" applyFill="1" applyBorder="1" applyAlignment="1">
      <alignment horizontal="left"/>
    </xf>
    <xf numFmtId="0" fontId="47" fillId="5" borderId="34" xfId="8" applyFont="1" applyFill="1" applyBorder="1" applyAlignment="1">
      <alignment horizontal="left"/>
    </xf>
    <xf numFmtId="0" fontId="56" fillId="0" borderId="86" xfId="8" applyFont="1" applyBorder="1" applyAlignment="1">
      <alignment horizontal="left"/>
    </xf>
    <xf numFmtId="0" fontId="56" fillId="0" borderId="87" xfId="8" applyFont="1" applyBorder="1" applyAlignment="1">
      <alignment horizontal="left"/>
    </xf>
    <xf numFmtId="2" fontId="58" fillId="0" borderId="88" xfId="8" applyNumberFormat="1" applyFont="1" applyBorder="1" applyAlignment="1">
      <alignment horizontal="center"/>
    </xf>
    <xf numFmtId="2" fontId="58" fillId="0" borderId="89" xfId="8" applyNumberFormat="1" applyFont="1" applyBorder="1" applyAlignment="1">
      <alignment horizontal="center"/>
    </xf>
    <xf numFmtId="0" fontId="56" fillId="5" borderId="90" xfId="8" applyFont="1" applyFill="1" applyBorder="1"/>
    <xf numFmtId="0" fontId="56" fillId="5" borderId="91" xfId="8" applyFont="1" applyFill="1" applyBorder="1"/>
    <xf numFmtId="0" fontId="59" fillId="5" borderId="91" xfId="8" applyFont="1" applyFill="1" applyBorder="1"/>
    <xf numFmtId="0" fontId="59" fillId="5" borderId="92" xfId="8" applyFont="1" applyFill="1" applyBorder="1"/>
    <xf numFmtId="166" fontId="58" fillId="5" borderId="87" xfId="8" applyNumberFormat="1" applyFont="1" applyFill="1" applyBorder="1" applyAlignment="1">
      <alignment horizontal="center"/>
    </xf>
    <xf numFmtId="0" fontId="58" fillId="5" borderId="93" xfId="8" applyFont="1" applyFill="1" applyBorder="1" applyAlignment="1">
      <alignment horizontal="center"/>
    </xf>
    <xf numFmtId="0" fontId="58" fillId="0" borderId="88" xfId="8" applyFont="1" applyBorder="1" applyAlignment="1">
      <alignment horizontal="center"/>
    </xf>
    <xf numFmtId="0" fontId="58" fillId="0" borderId="89" xfId="8" applyFont="1" applyBorder="1" applyAlignment="1">
      <alignment horizontal="center"/>
    </xf>
    <xf numFmtId="0" fontId="56" fillId="5" borderId="94" xfId="8" applyFont="1" applyFill="1" applyBorder="1"/>
    <xf numFmtId="0" fontId="56" fillId="5" borderId="95" xfId="8" applyFont="1" applyFill="1" applyBorder="1"/>
    <xf numFmtId="0" fontId="59" fillId="5" borderId="95" xfId="8" applyFont="1" applyFill="1" applyBorder="1"/>
    <xf numFmtId="0" fontId="59" fillId="5" borderId="96" xfId="8" applyFont="1" applyFill="1" applyBorder="1"/>
    <xf numFmtId="1" fontId="58" fillId="5" borderId="87" xfId="8" applyNumberFormat="1" applyFont="1" applyFill="1" applyBorder="1" applyAlignment="1">
      <alignment horizontal="center"/>
    </xf>
    <xf numFmtId="0" fontId="58" fillId="5" borderId="97" xfId="8" applyFont="1" applyFill="1" applyBorder="1" applyAlignment="1">
      <alignment horizontal="center"/>
    </xf>
    <xf numFmtId="0" fontId="56" fillId="0" borderId="98" xfId="8" applyFont="1" applyBorder="1" applyAlignment="1">
      <alignment horizontal="left"/>
    </xf>
    <xf numFmtId="0" fontId="56" fillId="0" borderId="91" xfId="8" applyFont="1" applyBorder="1" applyAlignment="1">
      <alignment horizontal="left"/>
    </xf>
    <xf numFmtId="0" fontId="56" fillId="0" borderId="92" xfId="8" applyFont="1" applyBorder="1" applyAlignment="1">
      <alignment horizontal="left"/>
    </xf>
    <xf numFmtId="0" fontId="60" fillId="5" borderId="91" xfId="8" applyFont="1" applyFill="1" applyBorder="1"/>
    <xf numFmtId="0" fontId="61" fillId="5" borderId="92" xfId="8" applyFont="1" applyFill="1" applyBorder="1" applyAlignment="1">
      <alignment horizontal="left"/>
    </xf>
    <xf numFmtId="0" fontId="58" fillId="5" borderId="87" xfId="8" applyFont="1" applyFill="1" applyBorder="1" applyAlignment="1">
      <alignment horizontal="center"/>
    </xf>
    <xf numFmtId="166" fontId="58" fillId="5" borderId="88" xfId="8" applyNumberFormat="1" applyFont="1" applyFill="1" applyBorder="1" applyAlignment="1">
      <alignment horizontal="center"/>
    </xf>
    <xf numFmtId="166" fontId="58" fillId="5" borderId="89" xfId="8" applyNumberFormat="1" applyFont="1" applyFill="1" applyBorder="1" applyAlignment="1">
      <alignment horizontal="center"/>
    </xf>
    <xf numFmtId="0" fontId="52" fillId="0" borderId="22" xfId="8" applyFont="1" applyBorder="1"/>
    <xf numFmtId="0" fontId="52" fillId="0" borderId="20" xfId="8" applyFont="1" applyBorder="1"/>
    <xf numFmtId="0" fontId="58" fillId="5" borderId="88" xfId="8" applyFont="1" applyFill="1" applyBorder="1" applyAlignment="1">
      <alignment horizontal="center"/>
    </xf>
    <xf numFmtId="0" fontId="58" fillId="5" borderId="89" xfId="8" applyFont="1" applyFill="1" applyBorder="1" applyAlignment="1">
      <alignment horizontal="center"/>
    </xf>
    <xf numFmtId="0" fontId="56" fillId="5" borderId="99" xfId="8" applyFont="1" applyFill="1" applyBorder="1"/>
    <xf numFmtId="0" fontId="56" fillId="5" borderId="100" xfId="8" applyFont="1" applyFill="1" applyBorder="1"/>
    <xf numFmtId="0" fontId="60" fillId="5" borderId="100" xfId="8" applyFont="1" applyFill="1" applyBorder="1"/>
    <xf numFmtId="0" fontId="58" fillId="5" borderId="101" xfId="8" applyFont="1" applyFill="1" applyBorder="1" applyAlignment="1">
      <alignment horizontal="center"/>
    </xf>
    <xf numFmtId="0" fontId="58" fillId="5" borderId="102" xfId="8" applyFont="1" applyFill="1" applyBorder="1" applyAlignment="1">
      <alignment horizontal="center"/>
    </xf>
    <xf numFmtId="0" fontId="56" fillId="5" borderId="86" xfId="8" quotePrefix="1" applyFont="1" applyFill="1" applyBorder="1" applyAlignment="1">
      <alignment horizontal="left"/>
    </xf>
    <xf numFmtId="0" fontId="53" fillId="0" borderId="92" xfId="8" applyFont="1" applyBorder="1"/>
    <xf numFmtId="166" fontId="58" fillId="0" borderId="88" xfId="8" applyNumberFormat="1" applyFont="1" applyBorder="1" applyAlignment="1">
      <alignment horizontal="center"/>
    </xf>
    <xf numFmtId="166" fontId="58" fillId="0" borderId="89" xfId="8" applyNumberFormat="1" applyFont="1" applyBorder="1" applyAlignment="1">
      <alignment horizontal="center"/>
    </xf>
    <xf numFmtId="0" fontId="47" fillId="0" borderId="103" xfId="8" applyFont="1" applyBorder="1" applyAlignment="1">
      <alignment horizontal="left"/>
    </xf>
    <xf numFmtId="0" fontId="47" fillId="0" borderId="104" xfId="8" applyFont="1" applyBorder="1" applyAlignment="1">
      <alignment horizontal="left"/>
    </xf>
    <xf numFmtId="0" fontId="47" fillId="0" borderId="105" xfId="8" applyFont="1" applyBorder="1" applyAlignment="1">
      <alignment horizontal="left"/>
    </xf>
    <xf numFmtId="0" fontId="51" fillId="0" borderId="20" xfId="8" applyFont="1" applyBorder="1"/>
    <xf numFmtId="1" fontId="58" fillId="5" borderId="88" xfId="8" applyNumberFormat="1" applyFont="1" applyFill="1" applyBorder="1" applyAlignment="1">
      <alignment horizontal="center"/>
    </xf>
    <xf numFmtId="1" fontId="58" fillId="5" borderId="89" xfId="8" applyNumberFormat="1" applyFont="1" applyFill="1" applyBorder="1" applyAlignment="1">
      <alignment horizontal="center"/>
    </xf>
    <xf numFmtId="0" fontId="56" fillId="5" borderId="106" xfId="8" quotePrefix="1" applyFont="1" applyFill="1" applyBorder="1" applyAlignment="1">
      <alignment horizontal="left"/>
    </xf>
    <xf numFmtId="0" fontId="56" fillId="5" borderId="83" xfId="8" applyFont="1" applyFill="1" applyBorder="1"/>
    <xf numFmtId="0" fontId="59" fillId="5" borderId="83" xfId="8" applyFont="1" applyFill="1" applyBorder="1"/>
    <xf numFmtId="0" fontId="63" fillId="5" borderId="83" xfId="8" applyFont="1" applyFill="1" applyBorder="1" applyAlignment="1">
      <alignment horizontal="right"/>
    </xf>
    <xf numFmtId="49" fontId="58" fillId="5" borderId="83" xfId="8" applyNumberFormat="1" applyFont="1" applyFill="1" applyBorder="1" applyAlignment="1">
      <alignment horizontal="center"/>
    </xf>
    <xf numFmtId="0" fontId="58" fillId="5" borderId="107" xfId="8" applyFont="1" applyFill="1" applyBorder="1" applyAlignment="1">
      <alignment horizontal="center"/>
    </xf>
    <xf numFmtId="0" fontId="56" fillId="5" borderId="87" xfId="8" applyFont="1" applyFill="1" applyBorder="1"/>
    <xf numFmtId="0" fontId="59" fillId="5" borderId="87" xfId="8" applyFont="1" applyFill="1" applyBorder="1"/>
    <xf numFmtId="0" fontId="56" fillId="5" borderId="98" xfId="8" applyFont="1" applyFill="1" applyBorder="1" applyAlignment="1">
      <alignment horizontal="left"/>
    </xf>
    <xf numFmtId="0" fontId="56" fillId="5" borderId="91" xfId="8" applyFont="1" applyFill="1" applyBorder="1" applyAlignment="1">
      <alignment horizontal="left"/>
    </xf>
    <xf numFmtId="0" fontId="56" fillId="5" borderId="92" xfId="8" applyFont="1" applyFill="1" applyBorder="1" applyAlignment="1">
      <alignment horizontal="left"/>
    </xf>
    <xf numFmtId="2" fontId="58" fillId="5" borderId="88" xfId="8" applyNumberFormat="1" applyFont="1" applyFill="1" applyBorder="1" applyAlignment="1">
      <alignment horizontal="center"/>
    </xf>
    <xf numFmtId="2" fontId="58" fillId="5" borderId="89" xfId="8" applyNumberFormat="1" applyFont="1" applyFill="1" applyBorder="1" applyAlignment="1">
      <alignment horizontal="center"/>
    </xf>
    <xf numFmtId="0" fontId="56" fillId="5" borderId="98" xfId="8" quotePrefix="1" applyFont="1" applyFill="1" applyBorder="1" applyAlignment="1">
      <alignment horizontal="left"/>
    </xf>
    <xf numFmtId="0" fontId="56" fillId="5" borderId="91" xfId="8" quotePrefix="1" applyFont="1" applyFill="1" applyBorder="1" applyAlignment="1">
      <alignment horizontal="left"/>
    </xf>
    <xf numFmtId="0" fontId="56" fillId="5" borderId="92" xfId="8" quotePrefix="1" applyFont="1" applyFill="1" applyBorder="1" applyAlignment="1">
      <alignment horizontal="left"/>
    </xf>
    <xf numFmtId="0" fontId="56" fillId="5" borderId="108" xfId="8" quotePrefix="1" applyFont="1" applyFill="1" applyBorder="1" applyAlignment="1">
      <alignment horizontal="left"/>
    </xf>
    <xf numFmtId="0" fontId="56" fillId="5" borderId="101" xfId="8" applyFont="1" applyFill="1" applyBorder="1"/>
    <xf numFmtId="0" fontId="59" fillId="5" borderId="101" xfId="8" applyFont="1" applyFill="1" applyBorder="1"/>
    <xf numFmtId="0" fontId="56" fillId="5" borderId="86" xfId="8" applyFont="1" applyFill="1" applyBorder="1" applyAlignment="1">
      <alignment horizontal="left"/>
    </xf>
    <xf numFmtId="0" fontId="51" fillId="5" borderId="109" xfId="8" applyFont="1" applyFill="1" applyBorder="1"/>
    <xf numFmtId="0" fontId="51" fillId="5" borderId="92" xfId="8" applyFont="1" applyFill="1" applyBorder="1"/>
    <xf numFmtId="0" fontId="56" fillId="5" borderId="86" xfId="8" applyFont="1" applyFill="1" applyBorder="1"/>
    <xf numFmtId="0" fontId="51" fillId="5" borderId="91" xfId="8" applyFont="1" applyFill="1" applyBorder="1"/>
    <xf numFmtId="0" fontId="56" fillId="5" borderId="110" xfId="8" applyFont="1" applyFill="1" applyBorder="1" applyAlignment="1">
      <alignment horizontal="center"/>
    </xf>
    <xf numFmtId="0" fontId="56" fillId="5" borderId="111" xfId="8" applyFont="1" applyFill="1" applyBorder="1" applyAlignment="1">
      <alignment horizontal="center"/>
    </xf>
    <xf numFmtId="0" fontId="56" fillId="5" borderId="109" xfId="8" applyFont="1" applyFill="1" applyBorder="1"/>
    <xf numFmtId="0" fontId="63" fillId="5" borderId="92" xfId="8" applyFont="1" applyFill="1" applyBorder="1" applyAlignment="1">
      <alignment horizontal="right"/>
    </xf>
    <xf numFmtId="0" fontId="56" fillId="5" borderId="112" xfId="8" applyFont="1" applyFill="1" applyBorder="1" applyAlignment="1">
      <alignment horizontal="left"/>
    </xf>
    <xf numFmtId="0" fontId="56" fillId="5" borderId="113" xfId="8" applyFont="1" applyFill="1" applyBorder="1" applyAlignment="1">
      <alignment horizontal="left"/>
    </xf>
    <xf numFmtId="0" fontId="56" fillId="5" borderId="114" xfId="8" applyFont="1" applyFill="1" applyBorder="1" applyAlignment="1">
      <alignment horizontal="left"/>
    </xf>
    <xf numFmtId="0" fontId="58" fillId="5" borderId="115" xfId="8" applyFont="1" applyFill="1" applyBorder="1" applyAlignment="1">
      <alignment horizontal="center"/>
    </xf>
    <xf numFmtId="0" fontId="56" fillId="5" borderId="106" xfId="8" applyFont="1" applyFill="1" applyBorder="1" applyAlignment="1">
      <alignment horizontal="center"/>
    </xf>
    <xf numFmtId="0" fontId="56" fillId="5" borderId="0" xfId="8" applyFont="1" applyFill="1" applyAlignment="1">
      <alignment horizontal="center"/>
    </xf>
    <xf numFmtId="0" fontId="56" fillId="5" borderId="82" xfId="8" quotePrefix="1" applyFont="1" applyFill="1" applyBorder="1" applyAlignment="1">
      <alignment horizontal="left"/>
    </xf>
    <xf numFmtId="0" fontId="53" fillId="0" borderId="116" xfId="8" applyFont="1" applyBorder="1"/>
    <xf numFmtId="0" fontId="58" fillId="0" borderId="115" xfId="8" applyFont="1" applyBorder="1" applyAlignment="1">
      <alignment horizontal="center"/>
    </xf>
    <xf numFmtId="0" fontId="56" fillId="5" borderId="109" xfId="8" quotePrefix="1" applyFont="1" applyFill="1" applyBorder="1" applyAlignment="1">
      <alignment horizontal="left"/>
    </xf>
    <xf numFmtId="0" fontId="51" fillId="5" borderId="87" xfId="8" applyFont="1" applyFill="1" applyBorder="1"/>
    <xf numFmtId="176" fontId="58" fillId="5" borderId="88" xfId="8" applyNumberFormat="1" applyFont="1" applyFill="1" applyBorder="1" applyAlignment="1">
      <alignment horizontal="center"/>
    </xf>
    <xf numFmtId="176" fontId="58" fillId="5" borderId="89" xfId="8" applyNumberFormat="1" applyFont="1" applyFill="1" applyBorder="1" applyAlignment="1">
      <alignment horizontal="center"/>
    </xf>
    <xf numFmtId="0" fontId="56" fillId="5" borderId="117" xfId="8" applyFont="1" applyFill="1" applyBorder="1" applyAlignment="1">
      <alignment horizontal="left"/>
    </xf>
    <xf numFmtId="0" fontId="56" fillId="5" borderId="91" xfId="8" quotePrefix="1" applyFont="1" applyFill="1" applyBorder="1" applyAlignment="1">
      <alignment horizontal="center"/>
    </xf>
    <xf numFmtId="0" fontId="51" fillId="5" borderId="92" xfId="8" quotePrefix="1" applyFont="1" applyFill="1" applyBorder="1" applyAlignment="1">
      <alignment horizontal="center"/>
    </xf>
    <xf numFmtId="0" fontId="56" fillId="5" borderId="118" xfId="8" applyFont="1" applyFill="1" applyBorder="1"/>
    <xf numFmtId="0" fontId="53" fillId="0" borderId="119" xfId="8" applyFont="1" applyBorder="1"/>
    <xf numFmtId="0" fontId="58" fillId="0" borderId="119" xfId="8" applyFont="1" applyBorder="1" applyAlignment="1">
      <alignment horizontal="center"/>
    </xf>
    <xf numFmtId="0" fontId="58" fillId="0" borderId="120" xfId="8" applyFont="1" applyBorder="1" applyAlignment="1">
      <alignment horizontal="center"/>
    </xf>
    <xf numFmtId="0" fontId="56" fillId="5" borderId="121" xfId="8" applyFont="1" applyFill="1" applyBorder="1" applyAlignment="1">
      <alignment horizontal="center"/>
    </xf>
    <xf numFmtId="0" fontId="56" fillId="5" borderId="100" xfId="8" quotePrefix="1" applyFont="1" applyFill="1" applyBorder="1" applyAlignment="1">
      <alignment horizontal="center"/>
    </xf>
    <xf numFmtId="0" fontId="51" fillId="5" borderId="122" xfId="8" quotePrefix="1" applyFont="1" applyFill="1" applyBorder="1" applyAlignment="1">
      <alignment horizontal="center"/>
    </xf>
    <xf numFmtId="1" fontId="58" fillId="5" borderId="123" xfId="8" applyNumberFormat="1" applyFont="1" applyFill="1" applyBorder="1" applyAlignment="1">
      <alignment horizontal="center"/>
    </xf>
    <xf numFmtId="1" fontId="58" fillId="5" borderId="124" xfId="8" applyNumberFormat="1" applyFont="1" applyFill="1" applyBorder="1" applyAlignment="1">
      <alignment horizontal="center"/>
    </xf>
    <xf numFmtId="0" fontId="58" fillId="0" borderId="92" xfId="8" applyFont="1" applyBorder="1" applyAlignment="1">
      <alignment horizontal="center"/>
    </xf>
    <xf numFmtId="0" fontId="58" fillId="0" borderId="97" xfId="8" applyFont="1" applyBorder="1" applyAlignment="1">
      <alignment horizontal="center"/>
    </xf>
    <xf numFmtId="0" fontId="58" fillId="0" borderId="22" xfId="8" applyFont="1" applyBorder="1"/>
    <xf numFmtId="0" fontId="64" fillId="0" borderId="20" xfId="8" applyFont="1" applyBorder="1"/>
    <xf numFmtId="0" fontId="47" fillId="0" borderId="125" xfId="8" applyFont="1" applyBorder="1" applyAlignment="1">
      <alignment horizontal="left"/>
    </xf>
    <xf numFmtId="0" fontId="47" fillId="0" borderId="35" xfId="8" applyFont="1" applyBorder="1" applyAlignment="1">
      <alignment horizontal="left"/>
    </xf>
    <xf numFmtId="0" fontId="66" fillId="5" borderId="126" xfId="8" applyFont="1" applyFill="1" applyBorder="1" applyAlignment="1">
      <alignment horizontal="center"/>
    </xf>
    <xf numFmtId="166" fontId="58" fillId="0" borderId="92" xfId="8" applyNumberFormat="1" applyFont="1" applyBorder="1" applyAlignment="1">
      <alignment horizontal="center"/>
    </xf>
    <xf numFmtId="0" fontId="56" fillId="5" borderId="127" xfId="8" applyFont="1" applyFill="1" applyBorder="1" applyAlignment="1">
      <alignment horizontal="left"/>
    </xf>
    <xf numFmtId="0" fontId="51" fillId="5" borderId="128" xfId="8" applyFont="1" applyFill="1" applyBorder="1"/>
    <xf numFmtId="0" fontId="51" fillId="5" borderId="129" xfId="8" applyFont="1" applyFill="1" applyBorder="1"/>
    <xf numFmtId="0" fontId="58" fillId="5" borderId="130" xfId="8" applyFont="1" applyFill="1" applyBorder="1" applyAlignment="1">
      <alignment horizontal="center"/>
    </xf>
    <xf numFmtId="0" fontId="56" fillId="5" borderId="108" xfId="8" applyFont="1" applyFill="1" applyBorder="1" applyAlignment="1">
      <alignment horizontal="center"/>
    </xf>
    <xf numFmtId="0" fontId="56" fillId="5" borderId="1" xfId="8" applyFont="1" applyFill="1" applyBorder="1" applyAlignment="1">
      <alignment horizontal="center"/>
    </xf>
    <xf numFmtId="0" fontId="53" fillId="0" borderId="130" xfId="8" applyFont="1" applyBorder="1" applyAlignment="1">
      <alignment horizontal="left"/>
    </xf>
    <xf numFmtId="0" fontId="53" fillId="0" borderId="100" xfId="8" applyFont="1" applyBorder="1" applyAlignment="1">
      <alignment horizontal="left"/>
    </xf>
    <xf numFmtId="0" fontId="53" fillId="0" borderId="101" xfId="8" applyFont="1" applyBorder="1"/>
    <xf numFmtId="0" fontId="53" fillId="0" borderId="102" xfId="8" applyFont="1" applyBorder="1"/>
    <xf numFmtId="0" fontId="47" fillId="0" borderId="125" xfId="8" applyFont="1" applyBorder="1" applyAlignment="1">
      <alignment horizontal="left"/>
    </xf>
    <xf numFmtId="0" fontId="47" fillId="0" borderId="35" xfId="8" applyFont="1" applyBorder="1" applyAlignment="1">
      <alignment horizontal="left"/>
    </xf>
    <xf numFmtId="0" fontId="53" fillId="0" borderId="33" xfId="8" applyFont="1" applyBorder="1" applyAlignment="1">
      <alignment horizontal="center"/>
    </xf>
    <xf numFmtId="0" fontId="53" fillId="0" borderId="0" xfId="8" applyFont="1" applyAlignment="1">
      <alignment horizontal="center"/>
    </xf>
    <xf numFmtId="0" fontId="53" fillId="0" borderId="32" xfId="8" applyFont="1" applyBorder="1" applyAlignment="1">
      <alignment horizontal="center"/>
    </xf>
    <xf numFmtId="0" fontId="53" fillId="0" borderId="110" xfId="8" applyFont="1" applyBorder="1"/>
    <xf numFmtId="0" fontId="56" fillId="5" borderId="119" xfId="8" applyFont="1" applyFill="1" applyBorder="1"/>
    <xf numFmtId="0" fontId="63" fillId="5" borderId="87" xfId="8" applyFont="1" applyFill="1" applyBorder="1" applyAlignment="1">
      <alignment horizontal="right" shrinkToFit="1"/>
    </xf>
    <xf numFmtId="0" fontId="58" fillId="5" borderId="131" xfId="8" applyFont="1" applyFill="1" applyBorder="1" applyAlignment="1">
      <alignment horizontal="center"/>
    </xf>
    <xf numFmtId="2" fontId="53" fillId="0" borderId="0" xfId="8" applyNumberFormat="1" applyFont="1"/>
    <xf numFmtId="0" fontId="56" fillId="5" borderId="106" xfId="8" applyFont="1" applyFill="1" applyBorder="1"/>
    <xf numFmtId="0" fontId="56" fillId="5" borderId="80" xfId="8" applyFont="1" applyFill="1" applyBorder="1"/>
    <xf numFmtId="0" fontId="63" fillId="5" borderId="87" xfId="8" applyFont="1" applyFill="1" applyBorder="1" applyAlignment="1">
      <alignment horizontal="right"/>
    </xf>
    <xf numFmtId="2" fontId="58" fillId="5" borderId="87" xfId="8" applyNumberFormat="1" applyFont="1" applyFill="1" applyBorder="1" applyAlignment="1">
      <alignment horizontal="center"/>
    </xf>
    <xf numFmtId="0" fontId="53" fillId="0" borderId="50" xfId="8" applyFont="1" applyBorder="1" applyAlignment="1">
      <alignment horizontal="center"/>
    </xf>
    <xf numFmtId="0" fontId="53" fillId="0" borderId="1" xfId="8" applyFont="1" applyBorder="1" applyAlignment="1">
      <alignment horizontal="center"/>
    </xf>
    <xf numFmtId="0" fontId="53" fillId="0" borderId="49" xfId="8" applyFont="1" applyBorder="1" applyAlignment="1">
      <alignment horizontal="center"/>
    </xf>
    <xf numFmtId="0" fontId="63" fillId="5" borderId="80" xfId="8" applyFont="1" applyFill="1" applyBorder="1" applyAlignment="1">
      <alignment horizontal="right"/>
    </xf>
    <xf numFmtId="0" fontId="63" fillId="5" borderId="87" xfId="8" applyFont="1" applyFill="1" applyBorder="1"/>
    <xf numFmtId="0" fontId="67" fillId="0" borderId="0" xfId="8" applyFont="1"/>
    <xf numFmtId="0" fontId="47" fillId="0" borderId="36" xfId="8" applyFont="1" applyBorder="1" applyAlignment="1">
      <alignment horizontal="left"/>
    </xf>
    <xf numFmtId="0" fontId="56" fillId="5" borderId="132" xfId="8" applyFont="1" applyFill="1" applyBorder="1"/>
    <xf numFmtId="0" fontId="56" fillId="5" borderId="133" xfId="8" applyFont="1" applyFill="1" applyBorder="1"/>
    <xf numFmtId="0" fontId="56" fillId="5" borderId="134" xfId="8" applyFont="1" applyFill="1" applyBorder="1"/>
    <xf numFmtId="0" fontId="63" fillId="5" borderId="134" xfId="8" applyFont="1" applyFill="1" applyBorder="1"/>
    <xf numFmtId="166" fontId="58" fillId="5" borderId="134" xfId="8" applyNumberFormat="1" applyFont="1" applyFill="1" applyBorder="1" applyAlignment="1">
      <alignment horizontal="center"/>
    </xf>
    <xf numFmtId="0" fontId="56" fillId="5" borderId="96" xfId="8" applyFont="1" applyFill="1" applyBorder="1"/>
    <xf numFmtId="0" fontId="56" fillId="5" borderId="126" xfId="8" applyFont="1" applyFill="1" applyBorder="1" applyAlignment="1">
      <alignment horizontal="left"/>
    </xf>
    <xf numFmtId="0" fontId="56" fillId="5" borderId="96" xfId="8" applyFont="1" applyFill="1" applyBorder="1" applyAlignment="1">
      <alignment horizontal="left"/>
    </xf>
    <xf numFmtId="1" fontId="58" fillId="5" borderId="83" xfId="8" applyNumberFormat="1" applyFont="1" applyFill="1" applyBorder="1" applyAlignment="1">
      <alignment horizontal="center"/>
    </xf>
    <xf numFmtId="0" fontId="68" fillId="0" borderId="0" xfId="8" quotePrefix="1" applyFont="1" applyAlignment="1">
      <alignment horizontal="left"/>
    </xf>
    <xf numFmtId="0" fontId="53" fillId="0" borderId="0" xfId="9" applyFont="1"/>
    <xf numFmtId="0" fontId="56" fillId="5" borderId="0" xfId="8" applyFont="1" applyFill="1"/>
    <xf numFmtId="0" fontId="56" fillId="5" borderId="109" xfId="8" applyFont="1" applyFill="1" applyBorder="1" applyAlignment="1">
      <alignment horizontal="left"/>
    </xf>
    <xf numFmtId="0" fontId="56" fillId="5" borderId="92" xfId="8" applyFont="1" applyFill="1" applyBorder="1" applyAlignment="1">
      <alignment horizontal="left"/>
    </xf>
    <xf numFmtId="166" fontId="58" fillId="5" borderId="93" xfId="8" applyNumberFormat="1" applyFont="1" applyFill="1" applyBorder="1" applyAlignment="1">
      <alignment horizontal="center"/>
    </xf>
    <xf numFmtId="1" fontId="53" fillId="0" borderId="0" xfId="8" applyNumberFormat="1" applyFont="1"/>
    <xf numFmtId="0" fontId="56" fillId="5" borderId="1" xfId="8" applyFont="1" applyFill="1" applyBorder="1"/>
    <xf numFmtId="0" fontId="56" fillId="5" borderId="130" xfId="8" applyFont="1" applyFill="1" applyBorder="1" applyAlignment="1">
      <alignment horizontal="left"/>
    </xf>
    <xf numFmtId="0" fontId="56" fillId="5" borderId="122" xfId="8" applyFont="1" applyFill="1" applyBorder="1" applyAlignment="1">
      <alignment horizontal="left"/>
    </xf>
    <xf numFmtId="1" fontId="58" fillId="5" borderId="101" xfId="8" applyNumberFormat="1" applyFont="1" applyFill="1" applyBorder="1" applyAlignment="1">
      <alignment horizontal="center"/>
    </xf>
    <xf numFmtId="0" fontId="47" fillId="5" borderId="103" xfId="8" applyFont="1" applyFill="1" applyBorder="1" applyAlignment="1">
      <alignment horizontal="left"/>
    </xf>
    <xf numFmtId="0" fontId="47" fillId="5" borderId="104" xfId="8" applyFont="1" applyFill="1" applyBorder="1" applyAlignment="1">
      <alignment horizontal="left"/>
    </xf>
    <xf numFmtId="0" fontId="47" fillId="5" borderId="105" xfId="8" applyFont="1" applyFill="1" applyBorder="1" applyAlignment="1">
      <alignment horizontal="left"/>
    </xf>
    <xf numFmtId="0" fontId="49" fillId="5" borderId="106" xfId="8" applyFont="1" applyFill="1" applyBorder="1"/>
    <xf numFmtId="0" fontId="53" fillId="5" borderId="95" xfId="8" applyFont="1" applyFill="1" applyBorder="1" applyAlignment="1">
      <alignment horizontal="left"/>
    </xf>
    <xf numFmtId="0" fontId="53" fillId="5" borderId="107" xfId="8" applyFont="1" applyFill="1" applyBorder="1" applyAlignment="1">
      <alignment horizontal="left"/>
    </xf>
    <xf numFmtId="0" fontId="49" fillId="5" borderId="91" xfId="8" applyFont="1" applyFill="1" applyBorder="1" applyAlignment="1">
      <alignment horizontal="left"/>
    </xf>
    <xf numFmtId="0" fontId="49" fillId="5" borderId="97" xfId="8" applyFont="1" applyFill="1" applyBorder="1" applyAlignment="1">
      <alignment horizontal="left"/>
    </xf>
    <xf numFmtId="0" fontId="69" fillId="0" borderId="0" xfId="8" applyFont="1"/>
    <xf numFmtId="0" fontId="53" fillId="0" borderId="22" xfId="8" applyFont="1" applyBorder="1" applyAlignment="1">
      <alignment horizontal="center"/>
    </xf>
    <xf numFmtId="0" fontId="53" fillId="0" borderId="21" xfId="8" applyFont="1" applyBorder="1" applyAlignment="1">
      <alignment horizontal="center"/>
    </xf>
    <xf numFmtId="0" fontId="53" fillId="0" borderId="30" xfId="8" applyFont="1" applyBorder="1" applyAlignment="1">
      <alignment horizontal="center"/>
    </xf>
    <xf numFmtId="0" fontId="56" fillId="0" borderId="135" xfId="8" applyFont="1" applyBorder="1"/>
    <xf numFmtId="0" fontId="70" fillId="5" borderId="136" xfId="8" applyFont="1" applyFill="1" applyBorder="1" applyAlignment="1">
      <alignment horizontal="center"/>
    </xf>
    <xf numFmtId="0" fontId="70" fillId="5" borderId="137" xfId="8" applyFont="1" applyFill="1" applyBorder="1" applyAlignment="1">
      <alignment horizontal="center"/>
    </xf>
    <xf numFmtId="0" fontId="56" fillId="5" borderId="138" xfId="8" applyFont="1" applyFill="1" applyBorder="1"/>
    <xf numFmtId="0" fontId="70" fillId="5" borderId="139" xfId="8" applyFont="1" applyFill="1" applyBorder="1" applyAlignment="1">
      <alignment horizontal="center" shrinkToFit="1"/>
    </xf>
    <xf numFmtId="0" fontId="49" fillId="5" borderId="33" xfId="8" applyFont="1" applyFill="1" applyBorder="1"/>
    <xf numFmtId="0" fontId="56" fillId="5" borderId="140" xfId="8" applyFont="1" applyFill="1" applyBorder="1"/>
    <xf numFmtId="14" fontId="51" fillId="5" borderId="141" xfId="8" applyNumberFormat="1" applyFont="1" applyFill="1" applyBorder="1" applyAlignment="1">
      <alignment horizontal="center"/>
    </xf>
    <xf numFmtId="14" fontId="51" fillId="5" borderId="142" xfId="8" applyNumberFormat="1" applyFont="1" applyFill="1" applyBorder="1" applyAlignment="1">
      <alignment horizontal="center"/>
    </xf>
    <xf numFmtId="0" fontId="56" fillId="5" borderId="21" xfId="8" applyFont="1" applyFill="1" applyBorder="1"/>
    <xf numFmtId="14" fontId="51" fillId="5" borderId="143" xfId="8" applyNumberFormat="1" applyFont="1" applyFill="1" applyBorder="1" applyAlignment="1">
      <alignment horizontal="center"/>
    </xf>
    <xf numFmtId="0" fontId="49" fillId="0" borderId="21" xfId="8" applyFont="1" applyBorder="1"/>
    <xf numFmtId="0" fontId="49" fillId="5" borderId="144" xfId="8" applyFont="1" applyFill="1" applyBorder="1" applyAlignment="1">
      <alignment horizontal="left"/>
    </xf>
    <xf numFmtId="0" fontId="49" fillId="5" borderId="145" xfId="8" applyFont="1" applyFill="1" applyBorder="1" applyAlignment="1">
      <alignment horizontal="left"/>
    </xf>
    <xf numFmtId="0" fontId="49" fillId="0" borderId="0" xfId="8" applyFont="1"/>
    <xf numFmtId="0" fontId="2" fillId="0" borderId="55" xfId="10" applyBorder="1"/>
    <xf numFmtId="0" fontId="2" fillId="0" borderId="54" xfId="10" applyBorder="1"/>
    <xf numFmtId="0" fontId="2" fillId="0" borderId="58" xfId="10" applyBorder="1"/>
    <xf numFmtId="0" fontId="2" fillId="0" borderId="58" xfId="10" applyBorder="1" applyAlignment="1">
      <alignment horizontal="center"/>
    </xf>
    <xf numFmtId="0" fontId="73" fillId="0" borderId="58" xfId="10" applyFont="1" applyBorder="1" applyAlignment="1">
      <alignment horizontal="center"/>
    </xf>
    <xf numFmtId="0" fontId="2" fillId="0" borderId="0" xfId="10"/>
    <xf numFmtId="0" fontId="74" fillId="0" borderId="33" xfId="10" applyFont="1" applyBorder="1" applyAlignment="1">
      <alignment horizontal="center"/>
    </xf>
    <xf numFmtId="0" fontId="74" fillId="0" borderId="0" xfId="10" applyFont="1" applyAlignment="1">
      <alignment horizontal="center"/>
    </xf>
    <xf numFmtId="0" fontId="74" fillId="0" borderId="43" xfId="10" applyFont="1" applyBorder="1" applyAlignment="1">
      <alignment horizontal="center"/>
    </xf>
    <xf numFmtId="0" fontId="2" fillId="0" borderId="43" xfId="10" applyBorder="1" applyAlignment="1">
      <alignment horizontal="center"/>
    </xf>
    <xf numFmtId="0" fontId="73" fillId="0" borderId="43" xfId="10" applyFont="1" applyBorder="1" applyAlignment="1">
      <alignment horizontal="center"/>
    </xf>
    <xf numFmtId="0" fontId="74" fillId="0" borderId="33" xfId="10" applyFont="1" applyBorder="1" applyAlignment="1">
      <alignment horizontal="center"/>
    </xf>
    <xf numFmtId="0" fontId="74" fillId="0" borderId="0" xfId="10" applyFont="1" applyAlignment="1">
      <alignment horizontal="center"/>
    </xf>
    <xf numFmtId="0" fontId="2" fillId="0" borderId="33" xfId="10" applyBorder="1"/>
    <xf numFmtId="0" fontId="75" fillId="0" borderId="0" xfId="10" applyFont="1"/>
    <xf numFmtId="0" fontId="2" fillId="0" borderId="43" xfId="10" applyBorder="1"/>
    <xf numFmtId="0" fontId="73" fillId="0" borderId="0" xfId="10" applyFont="1"/>
    <xf numFmtId="0" fontId="73" fillId="0" borderId="43" xfId="10" applyFont="1" applyBorder="1"/>
    <xf numFmtId="177" fontId="2" fillId="0" borderId="10" xfId="10" applyNumberFormat="1" applyBorder="1"/>
    <xf numFmtId="49" fontId="2" fillId="0" borderId="9" xfId="10" applyNumberFormat="1" applyBorder="1" applyAlignment="1">
      <alignment horizontal="center"/>
    </xf>
    <xf numFmtId="49" fontId="2" fillId="0" borderId="9" xfId="10" applyNumberFormat="1" applyBorder="1"/>
    <xf numFmtId="49" fontId="73" fillId="0" borderId="9" xfId="10" applyNumberFormat="1" applyFont="1" applyBorder="1"/>
    <xf numFmtId="178" fontId="73" fillId="0" borderId="9" xfId="10" applyNumberFormat="1" applyFont="1" applyBorder="1"/>
    <xf numFmtId="0" fontId="2" fillId="0" borderId="9" xfId="10" applyBorder="1"/>
    <xf numFmtId="0" fontId="2" fillId="0" borderId="8" xfId="10" applyBorder="1"/>
    <xf numFmtId="178" fontId="2" fillId="0" borderId="9" xfId="10" applyNumberFormat="1" applyBorder="1"/>
    <xf numFmtId="0" fontId="2" fillId="0" borderId="9" xfId="10" applyBorder="1" applyAlignment="1">
      <alignment horizontal="center"/>
    </xf>
    <xf numFmtId="177" fontId="2" fillId="0" borderId="69" xfId="10" applyNumberFormat="1" applyBorder="1"/>
    <xf numFmtId="49" fontId="2" fillId="0" borderId="70" xfId="10" applyNumberFormat="1" applyBorder="1"/>
    <xf numFmtId="178" fontId="2" fillId="0" borderId="70" xfId="10" applyNumberFormat="1" applyBorder="1"/>
    <xf numFmtId="0" fontId="2" fillId="0" borderId="70" xfId="10" applyBorder="1"/>
    <xf numFmtId="0" fontId="2" fillId="0" borderId="146" xfId="10" applyBorder="1"/>
    <xf numFmtId="0" fontId="74" fillId="0" borderId="78" xfId="10" applyFont="1" applyBorder="1" applyAlignment="1">
      <alignment horizontal="center"/>
    </xf>
    <xf numFmtId="0" fontId="73" fillId="0" borderId="147" xfId="10" applyFont="1" applyBorder="1" applyAlignment="1">
      <alignment horizontal="center"/>
    </xf>
    <xf numFmtId="0" fontId="73" fillId="0" borderId="66" xfId="10" applyFont="1" applyBorder="1" applyAlignment="1">
      <alignment horizontal="center"/>
    </xf>
    <xf numFmtId="0" fontId="73" fillId="0" borderId="54" xfId="10" applyFont="1" applyBorder="1" applyAlignment="1">
      <alignment horizontal="center"/>
    </xf>
    <xf numFmtId="0" fontId="73" fillId="0" borderId="148" xfId="10" applyFont="1" applyBorder="1" applyAlignment="1">
      <alignment horizontal="center"/>
    </xf>
    <xf numFmtId="0" fontId="73" fillId="0" borderId="148" xfId="10" applyFont="1" applyBorder="1" applyAlignment="1">
      <alignment horizontal="center"/>
    </xf>
    <xf numFmtId="0" fontId="73" fillId="0" borderId="61" xfId="10" applyFont="1" applyBorder="1" applyAlignment="1">
      <alignment horizontal="center"/>
    </xf>
    <xf numFmtId="49" fontId="73" fillId="0" borderId="16" xfId="10" applyNumberFormat="1" applyFont="1" applyBorder="1" applyAlignment="1">
      <alignment horizontal="center"/>
    </xf>
    <xf numFmtId="0" fontId="2" fillId="0" borderId="52" xfId="10" applyBorder="1" applyAlignment="1">
      <alignment horizontal="left"/>
    </xf>
    <xf numFmtId="0" fontId="2" fillId="0" borderId="18" xfId="10" applyBorder="1" applyAlignment="1">
      <alignment horizontal="left"/>
    </xf>
    <xf numFmtId="0" fontId="2" fillId="0" borderId="53" xfId="10" applyBorder="1" applyAlignment="1">
      <alignment horizontal="left"/>
    </xf>
    <xf numFmtId="177" fontId="2" fillId="0" borderId="52" xfId="10" applyNumberFormat="1" applyBorder="1" applyAlignment="1">
      <alignment horizontal="center"/>
    </xf>
    <xf numFmtId="177" fontId="2" fillId="0" borderId="18" xfId="10" applyNumberFormat="1" applyBorder="1" applyAlignment="1">
      <alignment horizontal="center"/>
    </xf>
    <xf numFmtId="177" fontId="2" fillId="0" borderId="53" xfId="10" applyNumberFormat="1" applyBorder="1" applyAlignment="1">
      <alignment horizontal="center"/>
    </xf>
    <xf numFmtId="49" fontId="2" fillId="0" borderId="52" xfId="10" applyNumberFormat="1" applyBorder="1" applyAlignment="1">
      <alignment horizontal="center"/>
    </xf>
    <xf numFmtId="49" fontId="2" fillId="0" borderId="18" xfId="10" applyNumberFormat="1" applyBorder="1" applyAlignment="1">
      <alignment horizontal="center"/>
    </xf>
    <xf numFmtId="49" fontId="2" fillId="0" borderId="17" xfId="10" applyNumberFormat="1" applyBorder="1" applyAlignment="1">
      <alignment horizontal="center"/>
    </xf>
    <xf numFmtId="49" fontId="2" fillId="0" borderId="10" xfId="10" applyNumberFormat="1" applyBorder="1"/>
    <xf numFmtId="0" fontId="2" fillId="0" borderId="48" xfId="10" applyBorder="1" applyAlignment="1">
      <alignment horizontal="left"/>
    </xf>
    <xf numFmtId="0" fontId="2" fillId="0" borderId="12" xfId="10" applyBorder="1" applyAlignment="1">
      <alignment horizontal="left"/>
    </xf>
    <xf numFmtId="0" fontId="2" fillId="0" borderId="149" xfId="10" applyBorder="1" applyAlignment="1">
      <alignment horizontal="left"/>
    </xf>
    <xf numFmtId="177" fontId="2" fillId="0" borderId="48" xfId="10" applyNumberFormat="1" applyBorder="1" applyAlignment="1">
      <alignment horizontal="center"/>
    </xf>
    <xf numFmtId="177" fontId="2" fillId="0" borderId="12" xfId="10" applyNumberFormat="1" applyBorder="1" applyAlignment="1">
      <alignment horizontal="center"/>
    </xf>
    <xf numFmtId="177" fontId="2" fillId="0" borderId="149" xfId="10" applyNumberFormat="1" applyBorder="1" applyAlignment="1">
      <alignment horizontal="center"/>
    </xf>
    <xf numFmtId="49" fontId="2" fillId="0" borderId="48" xfId="10" applyNumberFormat="1" applyBorder="1" applyAlignment="1">
      <alignment horizontal="center"/>
    </xf>
    <xf numFmtId="49" fontId="2" fillId="0" borderId="12" xfId="10" applyNumberFormat="1" applyBorder="1" applyAlignment="1">
      <alignment horizontal="center"/>
    </xf>
    <xf numFmtId="49" fontId="2" fillId="0" borderId="11" xfId="10" applyNumberFormat="1" applyBorder="1" applyAlignment="1">
      <alignment horizontal="center"/>
    </xf>
    <xf numFmtId="49" fontId="2" fillId="0" borderId="4" xfId="10" applyNumberFormat="1" applyBorder="1"/>
    <xf numFmtId="0" fontId="2" fillId="0" borderId="47" xfId="10" applyBorder="1" applyAlignment="1">
      <alignment horizontal="left"/>
    </xf>
    <xf numFmtId="0" fontId="2" fillId="0" borderId="6" xfId="10" applyBorder="1" applyAlignment="1">
      <alignment horizontal="left"/>
    </xf>
    <xf numFmtId="0" fontId="2" fillId="0" borderId="150" xfId="10" applyBorder="1" applyAlignment="1">
      <alignment horizontal="left"/>
    </xf>
    <xf numFmtId="177" fontId="2" fillId="0" borderId="47" xfId="10" applyNumberFormat="1" applyBorder="1" applyAlignment="1">
      <alignment horizontal="center"/>
    </xf>
    <xf numFmtId="177" fontId="2" fillId="0" borderId="6" xfId="10" applyNumberFormat="1" applyBorder="1" applyAlignment="1">
      <alignment horizontal="center"/>
    </xf>
    <xf numFmtId="177" fontId="2" fillId="0" borderId="150" xfId="10" applyNumberFormat="1" applyBorder="1" applyAlignment="1">
      <alignment horizontal="center"/>
    </xf>
    <xf numFmtId="49" fontId="2" fillId="0" borderId="47" xfId="10" applyNumberFormat="1" applyBorder="1" applyAlignment="1">
      <alignment horizontal="center"/>
    </xf>
    <xf numFmtId="49" fontId="2" fillId="0" borderId="6" xfId="10" applyNumberFormat="1" applyBorder="1" applyAlignment="1">
      <alignment horizontal="center"/>
    </xf>
    <xf numFmtId="49" fontId="2" fillId="0" borderId="5" xfId="10" applyNumberFormat="1" applyBorder="1" applyAlignment="1">
      <alignment horizontal="center"/>
    </xf>
    <xf numFmtId="0" fontId="76" fillId="0" borderId="85" xfId="11" applyFont="1" applyBorder="1"/>
    <xf numFmtId="0" fontId="76" fillId="0" borderId="35" xfId="11" applyFont="1" applyBorder="1"/>
    <xf numFmtId="0" fontId="76" fillId="0" borderId="36" xfId="11" applyFont="1" applyBorder="1"/>
    <xf numFmtId="0" fontId="2" fillId="0" borderId="0" xfId="11"/>
    <xf numFmtId="0" fontId="77" fillId="0" borderId="106" xfId="11" applyFont="1" applyBorder="1" applyAlignment="1">
      <alignment horizontal="centerContinuous"/>
    </xf>
    <xf numFmtId="0" fontId="76" fillId="0" borderId="0" xfId="11" applyFont="1" applyAlignment="1">
      <alignment horizontal="centerContinuous"/>
    </xf>
    <xf numFmtId="0" fontId="76" fillId="0" borderId="32" xfId="11" applyFont="1" applyBorder="1" applyAlignment="1">
      <alignment horizontal="centerContinuous"/>
    </xf>
    <xf numFmtId="0" fontId="78" fillId="0" borderId="106" xfId="11" applyFont="1" applyBorder="1" applyAlignment="1">
      <alignment horizontal="centerContinuous"/>
    </xf>
    <xf numFmtId="0" fontId="76" fillId="0" borderId="106" xfId="11" applyFont="1" applyBorder="1"/>
    <xf numFmtId="0" fontId="76" fillId="0" borderId="0" xfId="11" applyFont="1"/>
    <xf numFmtId="0" fontId="76" fillId="0" borderId="32" xfId="11" applyFont="1" applyBorder="1"/>
    <xf numFmtId="0" fontId="79" fillId="0" borderId="9" xfId="11" applyFont="1" applyBorder="1" applyAlignment="1">
      <alignment horizontal="right"/>
    </xf>
    <xf numFmtId="0" fontId="76" fillId="0" borderId="48" xfId="11" applyFont="1" applyBorder="1" applyAlignment="1">
      <alignment horizontal="center"/>
    </xf>
    <xf numFmtId="0" fontId="76" fillId="0" borderId="12" xfId="11" applyFont="1" applyBorder="1" applyAlignment="1">
      <alignment horizontal="center"/>
    </xf>
    <xf numFmtId="0" fontId="76" fillId="0" borderId="149" xfId="11" applyFont="1" applyBorder="1" applyAlignment="1">
      <alignment horizontal="center"/>
    </xf>
    <xf numFmtId="0" fontId="76" fillId="0" borderId="9" xfId="11" applyFont="1" applyBorder="1" applyAlignment="1">
      <alignment horizontal="center"/>
    </xf>
    <xf numFmtId="14" fontId="76" fillId="0" borderId="9" xfId="11" applyNumberFormat="1" applyFont="1" applyBorder="1" applyAlignment="1">
      <alignment horizontal="center"/>
    </xf>
    <xf numFmtId="0" fontId="79" fillId="0" borderId="0" xfId="11" applyFont="1" applyAlignment="1">
      <alignment horizontal="right"/>
    </xf>
    <xf numFmtId="0" fontId="76" fillId="0" borderId="0" xfId="11" applyFont="1" applyAlignment="1">
      <alignment horizontal="center"/>
    </xf>
    <xf numFmtId="9" fontId="76" fillId="0" borderId="0" xfId="11" applyNumberFormat="1" applyFont="1" applyAlignment="1">
      <alignment horizontal="center"/>
    </xf>
    <xf numFmtId="0" fontId="79" fillId="0" borderId="106" xfId="11" applyFont="1" applyBorder="1" applyAlignment="1">
      <alignment horizontal="right"/>
    </xf>
    <xf numFmtId="0" fontId="76" fillId="0" borderId="1" xfId="11" applyFont="1" applyBorder="1"/>
    <xf numFmtId="0" fontId="76" fillId="0" borderId="49" xfId="11" applyFont="1" applyBorder="1" applyAlignment="1">
      <alignment horizontal="center"/>
    </xf>
    <xf numFmtId="0" fontId="76" fillId="0" borderId="108" xfId="11" applyFont="1" applyBorder="1"/>
    <xf numFmtId="0" fontId="79" fillId="0" borderId="48" xfId="11" applyFont="1" applyBorder="1" applyAlignment="1">
      <alignment horizontal="right"/>
    </xf>
    <xf numFmtId="0" fontId="76" fillId="0" borderId="149" xfId="11" applyFont="1" applyBorder="1"/>
    <xf numFmtId="166" fontId="32" fillId="0" borderId="0" xfId="0" quotePrefix="1" applyNumberFormat="1" applyFont="1" applyAlignment="1">
      <alignment horizontal="center"/>
    </xf>
    <xf numFmtId="166" fontId="32" fillId="0" borderId="0" xfId="0" applyNumberFormat="1" applyFont="1" applyAlignment="1">
      <alignment horizontal="center"/>
    </xf>
    <xf numFmtId="0" fontId="78" fillId="0" borderId="106" xfId="11" applyFont="1" applyBorder="1" applyAlignment="1">
      <alignment horizontal="center"/>
    </xf>
    <xf numFmtId="0" fontId="78" fillId="0" borderId="0" xfId="11" applyFont="1" applyAlignment="1">
      <alignment horizontal="center"/>
    </xf>
    <xf numFmtId="0" fontId="78" fillId="0" borderId="32" xfId="11" applyFont="1" applyBorder="1" applyAlignment="1">
      <alignment horizontal="center"/>
    </xf>
    <xf numFmtId="0" fontId="80" fillId="0" borderId="106" xfId="11" applyFont="1" applyBorder="1" applyAlignment="1">
      <alignment horizontal="center"/>
    </xf>
    <xf numFmtId="0" fontId="80" fillId="0" borderId="0" xfId="11" applyFont="1" applyAlignment="1">
      <alignment horizontal="center"/>
    </xf>
    <xf numFmtId="0" fontId="80" fillId="0" borderId="32" xfId="11" applyFont="1" applyBorder="1" applyAlignment="1">
      <alignment horizontal="center"/>
    </xf>
    <xf numFmtId="0" fontId="81" fillId="0" borderId="0" xfId="11" applyFont="1"/>
    <xf numFmtId="0" fontId="82" fillId="0" borderId="0" xfId="11" applyFont="1"/>
    <xf numFmtId="0" fontId="34" fillId="0" borderId="9" xfId="11" applyFont="1" applyBorder="1" applyAlignment="1">
      <alignment horizontal="center"/>
    </xf>
    <xf numFmtId="1" fontId="34" fillId="5" borderId="9" xfId="11" applyNumberFormat="1" applyFont="1" applyFill="1" applyBorder="1" applyAlignment="1">
      <alignment horizontal="center"/>
    </xf>
    <xf numFmtId="2" fontId="34" fillId="5" borderId="9" xfId="11" applyNumberFormat="1" applyFont="1" applyFill="1" applyBorder="1" applyAlignment="1">
      <alignment horizontal="center"/>
    </xf>
    <xf numFmtId="2" fontId="2" fillId="0" borderId="0" xfId="11" applyNumberFormat="1"/>
    <xf numFmtId="0" fontId="34" fillId="5" borderId="9" xfId="11" applyFont="1" applyFill="1" applyBorder="1" applyAlignment="1">
      <alignment horizontal="center"/>
    </xf>
    <xf numFmtId="0" fontId="31" fillId="0" borderId="0" xfId="11" applyFont="1" applyAlignment="1">
      <alignment horizontal="right"/>
    </xf>
    <xf numFmtId="0" fontId="31" fillId="0" borderId="0" xfId="11" applyFont="1" applyAlignment="1">
      <alignment horizontal="center"/>
    </xf>
    <xf numFmtId="0" fontId="43" fillId="0" borderId="0" xfId="11" applyFont="1"/>
    <xf numFmtId="0" fontId="83" fillId="0" borderId="0" xfId="11" applyFont="1"/>
    <xf numFmtId="0" fontId="84" fillId="0" borderId="70" xfId="11" applyFont="1" applyBorder="1" applyAlignment="1">
      <alignment horizontal="center"/>
    </xf>
    <xf numFmtId="0" fontId="84" fillId="0" borderId="63" xfId="11" applyFont="1" applyBorder="1" applyAlignment="1">
      <alignment horizontal="center"/>
    </xf>
    <xf numFmtId="0" fontId="83" fillId="0" borderId="9" xfId="11" applyFont="1" applyBorder="1" applyAlignment="1">
      <alignment horizontal="center"/>
    </xf>
    <xf numFmtId="0" fontId="85" fillId="0" borderId="48" xfId="11" applyFont="1" applyBorder="1" applyAlignment="1">
      <alignment horizontal="center"/>
    </xf>
    <xf numFmtId="0" fontId="50" fillId="0" borderId="12" xfId="11" applyFont="1" applyBorder="1" applyAlignment="1">
      <alignment horizontal="center"/>
    </xf>
    <xf numFmtId="0" fontId="50" fillId="0" borderId="149" xfId="11" applyFont="1" applyBorder="1" applyAlignment="1">
      <alignment horizontal="center"/>
    </xf>
    <xf numFmtId="0" fontId="84" fillId="0" borderId="9" xfId="11" applyFont="1" applyBorder="1" applyAlignment="1">
      <alignment horizontal="center"/>
    </xf>
    <xf numFmtId="0" fontId="84" fillId="0" borderId="9" xfId="11" applyFont="1" applyBorder="1" applyAlignment="1">
      <alignment horizontal="right"/>
    </xf>
    <xf numFmtId="0" fontId="83" fillId="0" borderId="9" xfId="11" applyFont="1" applyBorder="1" applyAlignment="1">
      <alignment horizontal="center"/>
    </xf>
    <xf numFmtId="0" fontId="50" fillId="0" borderId="48" xfId="11" applyFont="1" applyBorder="1" applyAlignment="1">
      <alignment horizontal="center"/>
    </xf>
    <xf numFmtId="0" fontId="84" fillId="0" borderId="9" xfId="11" applyFont="1" applyBorder="1" applyAlignment="1">
      <alignment horizontal="center"/>
    </xf>
    <xf numFmtId="0" fontId="83" fillId="0" borderId="48" xfId="11" applyFont="1" applyBorder="1" applyAlignment="1">
      <alignment horizontal="right"/>
    </xf>
    <xf numFmtId="0" fontId="83" fillId="0" borderId="12" xfId="11" applyFont="1" applyBorder="1" applyAlignment="1">
      <alignment horizontal="right"/>
    </xf>
    <xf numFmtId="0" fontId="83" fillId="0" borderId="12" xfId="11" applyFont="1" applyBorder="1" applyAlignment="1">
      <alignment horizontal="center"/>
    </xf>
    <xf numFmtId="0" fontId="83" fillId="0" borderId="149" xfId="11" quotePrefix="1" applyFont="1" applyBorder="1" applyAlignment="1">
      <alignment horizontal="center"/>
    </xf>
    <xf numFmtId="0" fontId="83" fillId="0" borderId="149" xfId="11" applyFont="1" applyBorder="1" applyAlignment="1">
      <alignment horizontal="center"/>
    </xf>
    <xf numFmtId="0" fontId="84" fillId="0" borderId="0" xfId="11" applyFont="1" applyAlignment="1">
      <alignment horizontal="right"/>
    </xf>
    <xf numFmtId="0" fontId="50" fillId="0" borderId="0" xfId="11" applyFont="1" applyAlignment="1">
      <alignment horizontal="center"/>
    </xf>
    <xf numFmtId="0" fontId="84" fillId="0" borderId="0" xfId="11" applyFont="1" applyAlignment="1">
      <alignment horizontal="right"/>
    </xf>
    <xf numFmtId="0" fontId="86" fillId="0" borderId="0" xfId="11" applyFont="1"/>
    <xf numFmtId="0" fontId="34" fillId="0" borderId="60" xfId="11" applyFont="1" applyBorder="1" applyAlignment="1">
      <alignment horizontal="center"/>
    </xf>
    <xf numFmtId="0" fontId="34" fillId="0" borderId="79" xfId="11" applyFont="1" applyBorder="1" applyAlignment="1">
      <alignment horizontal="center"/>
    </xf>
    <xf numFmtId="166" fontId="32" fillId="0" borderId="151" xfId="11" quotePrefix="1" applyNumberFormat="1" applyFont="1" applyBorder="1" applyAlignment="1">
      <alignment horizontal="center"/>
    </xf>
    <xf numFmtId="166" fontId="34" fillId="0" borderId="49" xfId="11" applyNumberFormat="1" applyFont="1" applyBorder="1" applyAlignment="1">
      <alignment horizontal="center"/>
    </xf>
    <xf numFmtId="166" fontId="34" fillId="0" borderId="63" xfId="11" applyNumberFormat="1" applyFont="1" applyBorder="1" applyAlignment="1">
      <alignment horizontal="center"/>
    </xf>
    <xf numFmtId="166" fontId="34" fillId="0" borderId="152" xfId="11" applyNumberFormat="1" applyFont="1" applyBorder="1" applyAlignment="1">
      <alignment horizontal="center"/>
    </xf>
    <xf numFmtId="166" fontId="32" fillId="0" borderId="153" xfId="11" quotePrefix="1" applyNumberFormat="1" applyFont="1" applyBorder="1" applyAlignment="1">
      <alignment horizontal="center"/>
    </xf>
    <xf numFmtId="166" fontId="34" fillId="0" borderId="149" xfId="11" applyNumberFormat="1" applyFont="1" applyBorder="1" applyAlignment="1">
      <alignment horizontal="center"/>
    </xf>
    <xf numFmtId="166" fontId="34" fillId="0" borderId="9" xfId="11" applyNumberFormat="1" applyFont="1" applyBorder="1" applyAlignment="1">
      <alignment horizontal="center"/>
    </xf>
    <xf numFmtId="166" fontId="34" fillId="0" borderId="8" xfId="11" applyNumberFormat="1" applyFont="1" applyBorder="1" applyAlignment="1">
      <alignment horizontal="center"/>
    </xf>
    <xf numFmtId="166" fontId="32" fillId="0" borderId="59" xfId="11" quotePrefix="1" applyNumberFormat="1" applyFont="1" applyBorder="1" applyAlignment="1">
      <alignment horizontal="center"/>
    </xf>
    <xf numFmtId="166" fontId="34" fillId="0" borderId="150" xfId="11" applyNumberFormat="1" applyFont="1" applyBorder="1" applyAlignment="1">
      <alignment horizontal="center"/>
    </xf>
    <xf numFmtId="166" fontId="34" fillId="0" borderId="3" xfId="11" applyNumberFormat="1" applyFont="1" applyBorder="1" applyAlignment="1">
      <alignment horizontal="center"/>
    </xf>
    <xf numFmtId="166" fontId="34" fillId="0" borderId="2" xfId="11" applyNumberFormat="1" applyFont="1" applyBorder="1" applyAlignment="1">
      <alignment horizontal="center"/>
    </xf>
    <xf numFmtId="166" fontId="32" fillId="0" borderId="0" xfId="11" quotePrefix="1" applyNumberFormat="1" applyFont="1" applyAlignment="1">
      <alignment horizontal="center"/>
    </xf>
    <xf numFmtId="166" fontId="34" fillId="0" borderId="0" xfId="11" applyNumberFormat="1" applyFont="1" applyAlignment="1">
      <alignment horizontal="center"/>
    </xf>
    <xf numFmtId="166" fontId="32" fillId="0" borderId="0" xfId="11" applyNumberFormat="1" applyFont="1" applyAlignment="1">
      <alignment horizontal="center"/>
    </xf>
    <xf numFmtId="164" fontId="21" fillId="0" borderId="55" xfId="5" applyFont="1" applyBorder="1" applyAlignment="1">
      <alignment horizontal="centerContinuous"/>
    </xf>
    <xf numFmtId="164" fontId="21" fillId="0" borderId="54" xfId="5" applyFont="1" applyBorder="1" applyAlignment="1">
      <alignment horizontal="centerContinuous"/>
    </xf>
    <xf numFmtId="164" fontId="17" fillId="0" borderId="19" xfId="5" applyFont="1" applyBorder="1" applyAlignment="1">
      <alignment horizontal="left"/>
    </xf>
    <xf numFmtId="164" fontId="19" fillId="0" borderId="53" xfId="5" applyFont="1" applyBorder="1"/>
    <xf numFmtId="164" fontId="17" fillId="0" borderId="18" xfId="5" applyFont="1" applyBorder="1" applyAlignment="1">
      <alignment horizontal="centerContinuous"/>
    </xf>
    <xf numFmtId="164" fontId="19" fillId="0" borderId="17" xfId="5" applyFont="1" applyBorder="1" applyAlignment="1">
      <alignment horizontal="centerContinuous"/>
    </xf>
    <xf numFmtId="164" fontId="16" fillId="0" borderId="0" xfId="5" applyFont="1"/>
    <xf numFmtId="164" fontId="1" fillId="0" borderId="0" xfId="5"/>
    <xf numFmtId="164" fontId="21" fillId="0" borderId="33" xfId="5" applyFont="1" applyBorder="1" applyAlignment="1">
      <alignment horizontal="centerContinuous"/>
    </xf>
    <xf numFmtId="164" fontId="21" fillId="0" borderId="0" xfId="5" applyFont="1" applyAlignment="1">
      <alignment horizontal="centerContinuous"/>
    </xf>
    <xf numFmtId="164" fontId="17" fillId="0" borderId="50" xfId="5" applyFont="1" applyBorder="1" applyAlignment="1">
      <alignment horizontal="left"/>
    </xf>
    <xf numFmtId="164" fontId="19" fillId="0" borderId="49" xfId="5" applyFont="1" applyBorder="1"/>
    <xf numFmtId="164" fontId="17" fillId="0" borderId="1" xfId="5" applyFont="1" applyBorder="1" applyAlignment="1">
      <alignment horizontal="centerContinuous"/>
    </xf>
    <xf numFmtId="164" fontId="19" fillId="0" borderId="51" xfId="5" applyFont="1" applyBorder="1" applyAlignment="1">
      <alignment horizontal="centerContinuous"/>
    </xf>
    <xf numFmtId="164" fontId="19" fillId="0" borderId="33" xfId="5" applyFont="1" applyBorder="1" applyAlignment="1">
      <alignment horizontal="centerContinuous"/>
    </xf>
    <xf numFmtId="164" fontId="19" fillId="0" borderId="0" xfId="5" applyFont="1" applyAlignment="1">
      <alignment horizontal="centerContinuous"/>
    </xf>
    <xf numFmtId="164" fontId="17" fillId="0" borderId="1" xfId="5" quotePrefix="1" applyFont="1" applyBorder="1" applyAlignment="1">
      <alignment horizontal="centerContinuous"/>
    </xf>
    <xf numFmtId="164" fontId="20" fillId="0" borderId="33" xfId="5" applyFont="1" applyBorder="1" applyAlignment="1">
      <alignment horizontal="centerContinuous"/>
    </xf>
    <xf numFmtId="164" fontId="16" fillId="0" borderId="33" xfId="5" applyFont="1" applyBorder="1" applyAlignment="1">
      <alignment horizontal="centerContinuous"/>
    </xf>
    <xf numFmtId="164" fontId="16" fillId="0" borderId="22" xfId="5" applyFont="1" applyBorder="1" applyAlignment="1">
      <alignment horizontal="centerContinuous"/>
    </xf>
    <xf numFmtId="164" fontId="19" fillId="0" borderId="21" xfId="5" applyFont="1" applyBorder="1" applyAlignment="1">
      <alignment horizontal="centerContinuous"/>
    </xf>
    <xf numFmtId="164" fontId="17" fillId="0" borderId="22" xfId="5" applyFont="1" applyBorder="1" applyAlignment="1">
      <alignment horizontal="left"/>
    </xf>
    <xf numFmtId="164" fontId="19" fillId="0" borderId="30" xfId="5" applyFont="1" applyBorder="1"/>
    <xf numFmtId="164" fontId="87" fillId="0" borderId="21" xfId="5" applyFont="1" applyBorder="1" applyAlignment="1">
      <alignment horizontal="centerContinuous"/>
    </xf>
    <xf numFmtId="164" fontId="19" fillId="0" borderId="20" xfId="5" applyFont="1" applyBorder="1" applyAlignment="1">
      <alignment horizontal="centerContinuous"/>
    </xf>
    <xf numFmtId="164" fontId="16" fillId="0" borderId="0" xfId="5" applyFont="1" applyAlignment="1">
      <alignment horizontal="centerContinuous"/>
    </xf>
    <xf numFmtId="164" fontId="17" fillId="0" borderId="0" xfId="5" applyFont="1" applyAlignment="1">
      <alignment horizontal="left"/>
    </xf>
    <xf numFmtId="164" fontId="17" fillId="0" borderId="0" xfId="5" applyFont="1" applyAlignment="1">
      <alignment horizontal="centerContinuous"/>
    </xf>
    <xf numFmtId="49" fontId="3" fillId="0" borderId="0" xfId="5" quotePrefix="1" applyNumberFormat="1" applyFont="1" applyAlignment="1" applyProtection="1">
      <alignment horizontal="left"/>
      <protection locked="0"/>
    </xf>
    <xf numFmtId="49" fontId="3" fillId="0" borderId="0" xfId="5" applyNumberFormat="1" applyFont="1" applyAlignment="1">
      <alignment horizontal="center"/>
    </xf>
    <xf numFmtId="179" fontId="3" fillId="0" borderId="0" xfId="5" applyNumberFormat="1" applyFont="1" applyAlignment="1" applyProtection="1">
      <alignment horizontal="center"/>
      <protection locked="0"/>
    </xf>
    <xf numFmtId="164" fontId="88" fillId="0" borderId="33" xfId="5" quotePrefix="1" applyFont="1" applyBorder="1" applyAlignment="1">
      <alignment horizontal="left"/>
    </xf>
    <xf numFmtId="164" fontId="19" fillId="0" borderId="0" xfId="5" quotePrefix="1" applyFont="1" applyAlignment="1">
      <alignment horizontal="right"/>
    </xf>
    <xf numFmtId="164" fontId="19" fillId="0" borderId="32" xfId="5" applyFont="1" applyBorder="1"/>
    <xf numFmtId="164" fontId="88" fillId="0" borderId="0" xfId="5" applyFont="1" applyAlignment="1">
      <alignment horizontal="left"/>
    </xf>
    <xf numFmtId="164" fontId="19" fillId="0" borderId="0" xfId="5" applyFont="1" applyAlignment="1">
      <alignment horizontal="right"/>
    </xf>
    <xf numFmtId="164" fontId="19" fillId="0" borderId="32" xfId="5" applyFont="1" applyBorder="1" applyAlignment="1">
      <alignment horizontal="right"/>
    </xf>
    <xf numFmtId="164" fontId="88" fillId="0" borderId="0" xfId="5" quotePrefix="1" applyFont="1" applyAlignment="1">
      <alignment horizontal="left"/>
    </xf>
    <xf numFmtId="164" fontId="19" fillId="0" borderId="31" xfId="5" applyFont="1" applyBorder="1"/>
    <xf numFmtId="164" fontId="1" fillId="0" borderId="33" xfId="5" applyBorder="1"/>
    <xf numFmtId="164" fontId="3" fillId="0" borderId="32" xfId="5" applyFont="1" applyBorder="1" applyAlignment="1" applyProtection="1">
      <alignment horizontal="center"/>
      <protection locked="0"/>
    </xf>
    <xf numFmtId="1" fontId="3" fillId="0" borderId="32" xfId="5" applyNumberFormat="1" applyFont="1" applyBorder="1" applyAlignment="1">
      <alignment horizontal="center"/>
    </xf>
    <xf numFmtId="164" fontId="3" fillId="0" borderId="32" xfId="5" applyFont="1" applyBorder="1"/>
    <xf numFmtId="164" fontId="3" fillId="0" borderId="30" xfId="5" applyFont="1" applyBorder="1"/>
    <xf numFmtId="164" fontId="3" fillId="0" borderId="30" xfId="5" applyFont="1" applyBorder="1" applyAlignment="1">
      <alignment horizontal="left"/>
    </xf>
    <xf numFmtId="164" fontId="18" fillId="0" borderId="28" xfId="5" applyFont="1" applyBorder="1" applyAlignment="1">
      <alignment horizontal="centerContinuous"/>
    </xf>
    <xf numFmtId="164" fontId="16" fillId="0" borderId="27" xfId="5" applyFont="1" applyBorder="1" applyAlignment="1">
      <alignment horizontal="centerContinuous"/>
    </xf>
    <xf numFmtId="164" fontId="1" fillId="0" borderId="154" xfId="5" applyBorder="1"/>
    <xf numFmtId="164" fontId="16" fillId="0" borderId="26" xfId="5" applyFont="1" applyBorder="1" applyAlignment="1">
      <alignment horizontal="centerContinuous"/>
    </xf>
    <xf numFmtId="164" fontId="88" fillId="0" borderId="33" xfId="5" applyFont="1" applyBorder="1" applyAlignment="1">
      <alignment horizontal="left"/>
    </xf>
    <xf numFmtId="164" fontId="1" fillId="0" borderId="32" xfId="5" applyBorder="1"/>
    <xf numFmtId="166" fontId="3" fillId="0" borderId="0" xfId="5" applyNumberFormat="1" applyFont="1" applyAlignment="1" applyProtection="1">
      <alignment horizontal="center"/>
      <protection locked="0"/>
    </xf>
    <xf numFmtId="164" fontId="3" fillId="0" borderId="33" xfId="5" applyFont="1" applyBorder="1" applyAlignment="1">
      <alignment horizontal="left"/>
    </xf>
    <xf numFmtId="164" fontId="1" fillId="0" borderId="30" xfId="5" applyBorder="1"/>
    <xf numFmtId="164" fontId="16" fillId="0" borderId="0" xfId="5" applyFont="1" applyAlignment="1">
      <alignment horizontal="left"/>
    </xf>
    <xf numFmtId="164" fontId="16" fillId="0" borderId="28" xfId="5" applyFont="1" applyBorder="1"/>
    <xf numFmtId="164" fontId="19" fillId="0" borderId="27" xfId="5" applyFont="1" applyBorder="1" applyAlignment="1">
      <alignment horizontal="left"/>
    </xf>
    <xf numFmtId="164" fontId="19" fillId="0" borderId="26" xfId="5" applyFont="1" applyBorder="1" applyAlignment="1">
      <alignment horizontal="left"/>
    </xf>
    <xf numFmtId="164" fontId="3" fillId="0" borderId="33" xfId="5" quotePrefix="1" applyFont="1" applyBorder="1" applyAlignment="1">
      <alignment horizontal="left"/>
    </xf>
    <xf numFmtId="164" fontId="3" fillId="0" borderId="31" xfId="5" applyFont="1" applyBorder="1" applyAlignment="1">
      <alignment horizontal="left"/>
    </xf>
    <xf numFmtId="164" fontId="26" fillId="0" borderId="155" xfId="5" applyFont="1" applyBorder="1"/>
    <xf numFmtId="164" fontId="3" fillId="0" borderId="0" xfId="5" quotePrefix="1" applyFont="1" applyAlignment="1">
      <alignment horizontal="left"/>
    </xf>
    <xf numFmtId="164" fontId="3" fillId="0" borderId="156" xfId="5" quotePrefix="1" applyFont="1" applyBorder="1" applyAlignment="1">
      <alignment horizontal="left"/>
    </xf>
    <xf numFmtId="164" fontId="3" fillId="0" borderId="157" xfId="5" quotePrefix="1" applyFont="1" applyBorder="1" applyAlignment="1">
      <alignment horizontal="left"/>
    </xf>
    <xf numFmtId="164" fontId="3" fillId="0" borderId="22" xfId="5" applyFont="1" applyBorder="1" applyAlignment="1">
      <alignment horizontal="left"/>
    </xf>
    <xf numFmtId="164" fontId="3" fillId="0" borderId="21" xfId="5" applyFont="1" applyBorder="1" applyAlignment="1">
      <alignment horizontal="left"/>
    </xf>
    <xf numFmtId="164" fontId="3" fillId="0" borderId="20" xfId="5" applyFont="1" applyBorder="1" applyAlignment="1">
      <alignment horizontal="left"/>
    </xf>
    <xf numFmtId="164" fontId="19" fillId="0" borderId="0" xfId="5" applyFont="1" applyAlignment="1">
      <alignment horizontal="left"/>
    </xf>
    <xf numFmtId="164" fontId="23" fillId="0" borderId="0" xfId="5" applyFont="1" applyAlignment="1">
      <alignment horizontal="right"/>
    </xf>
    <xf numFmtId="164" fontId="89" fillId="0" borderId="56" xfId="5" applyFont="1" applyBorder="1" applyAlignment="1" applyProtection="1">
      <alignment horizontal="center"/>
      <protection locked="0"/>
    </xf>
    <xf numFmtId="14" fontId="27" fillId="0" borderId="56" xfId="5" quotePrefix="1" applyNumberFormat="1" applyFont="1" applyBorder="1" applyAlignment="1" applyProtection="1">
      <alignment horizontal="center"/>
      <protection locked="0"/>
    </xf>
    <xf numFmtId="164" fontId="1" fillId="0" borderId="0" xfId="5" applyAlignment="1">
      <alignment horizontal="right"/>
    </xf>
  </cellXfs>
  <cellStyles count="12">
    <cellStyle name="Normal" xfId="0" builtinId="0"/>
    <cellStyle name="Normal 2" xfId="8" xr:uid="{42E38844-34AC-41A8-BCE3-6BF34F02F420}"/>
    <cellStyle name="Normal 2 2 2" xfId="3" xr:uid="{E6C0237E-1D0E-4243-8D85-E56A3BAC63A8}"/>
    <cellStyle name="Normal 3" xfId="11" xr:uid="{1DCDB72F-F607-4024-BC89-CB57F09BCE54}"/>
    <cellStyle name="Normal 3 2 2" xfId="6" xr:uid="{61524DD9-9AAE-48A8-9383-56E4E4805DDB}"/>
    <cellStyle name="Normal 4 2" xfId="5" xr:uid="{84CBAC42-ED8E-4FEA-A2D4-0B3661637018}"/>
    <cellStyle name="Normal 5 2" xfId="2" xr:uid="{264E140B-39FB-4C19-A1E4-57B66CA56C3A}"/>
    <cellStyle name="Normal 6" xfId="4" xr:uid="{02F2CC5E-6AFF-413F-862E-A0AC1B24FE49}"/>
    <cellStyle name="Normal_MPCF1082 2" xfId="1" xr:uid="{B80F3A87-B022-4307-A80B-DBF5621AEC35}"/>
    <cellStyle name="Normal_OPTEST" xfId="9" xr:uid="{80D6685E-CCB8-4ECD-92D2-A4FC2F488FD1}"/>
    <cellStyle name="Normal_PROJ_REV_HIST" xfId="10" xr:uid="{8B0F934F-7EB3-4D9A-9A6F-F362037EE524}"/>
    <cellStyle name="Normal_Rev. 1" xfId="7" xr:uid="{90C19A3E-221F-4485-95ED-8F23A7EFA0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 0.8V'!$A$59:$A$68,'DesignSheet 0.8V'!$D$59:$D$62)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0.8V'!$B$59:$B$68,'DesignSheet 0.8V'!$E$59:$E$62)</c:f>
              <c:numCache>
                <c:formatCode>0.0</c:formatCode>
                <c:ptCount val="14"/>
                <c:pt idx="0">
                  <c:v>0</c:v>
                </c:pt>
                <c:pt idx="1">
                  <c:v>103.56888435757789</c:v>
                </c:pt>
                <c:pt idx="2">
                  <c:v>202.17292419800575</c:v>
                </c:pt>
                <c:pt idx="3">
                  <c:v>155.55321741659327</c:v>
                </c:pt>
                <c:pt idx="4">
                  <c:v>129.61636324499798</c:v>
                </c:pt>
                <c:pt idx="5">
                  <c:v>117.05169621361384</c:v>
                </c:pt>
                <c:pt idx="6">
                  <c:v>105.84340669093523</c:v>
                </c:pt>
                <c:pt idx="7">
                  <c:v>99.572477837865662</c:v>
                </c:pt>
                <c:pt idx="8">
                  <c:v>94.308189803167068</c:v>
                </c:pt>
                <c:pt idx="9">
                  <c:v>89.518251071344437</c:v>
                </c:pt>
                <c:pt idx="10">
                  <c:v>85.200961648973731</c:v>
                </c:pt>
                <c:pt idx="11">
                  <c:v>81.369138674988051</c:v>
                </c:pt>
                <c:pt idx="12">
                  <c:v>77.994060814765859</c:v>
                </c:pt>
                <c:pt idx="13">
                  <c:v>75.022992564947131</c:v>
                </c:pt>
              </c:numCache>
            </c:numRef>
          </c:yVal>
          <c:smooth val="1"/>
          <c:extLst>
            <c:ext xmlns:c16="http://schemas.microsoft.com/office/drawing/2014/chart" uri="{C3380CC4-5D6E-409C-BE32-E72D297353CC}">
              <c16:uniqueId val="{00000000-A589-47B8-A258-842A94A92457}"/>
            </c:ext>
          </c:extLst>
        </c:ser>
        <c:dLbls>
          <c:showLegendKey val="0"/>
          <c:showVal val="0"/>
          <c:showCatName val="0"/>
          <c:showSerName val="0"/>
          <c:showPercent val="0"/>
          <c:showBubbleSize val="0"/>
        </c:dLbls>
        <c:axId val="1771818648"/>
        <c:axId val="1"/>
      </c:scatterChart>
      <c:scatterChart>
        <c:scatterStyle val="lineMarker"/>
        <c:varyColors val="0"/>
        <c:ser>
          <c:idx val="1"/>
          <c:order val="1"/>
          <c:spPr>
            <a:ln w="12700">
              <a:solidFill>
                <a:srgbClr val="000000"/>
              </a:solidFill>
              <a:prstDash val="sysDash"/>
            </a:ln>
          </c:spPr>
          <c:marker>
            <c:symbol val="none"/>
          </c:marker>
          <c:xVal>
            <c:numRef>
              <c:f>('DesignSheet 0.8V'!$A$59:$A$68,'DesignSheet 0.8V'!$D$59:$D$62)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0.8V'!$C$59:$C$68,'DesignSheet 0.8V'!$F$59:$F$62)</c:f>
              <c:numCache>
                <c:formatCode>0.0</c:formatCode>
                <c:ptCount val="14"/>
                <c:pt idx="0">
                  <c:v>0</c:v>
                </c:pt>
                <c:pt idx="1">
                  <c:v>604.83740234375</c:v>
                </c:pt>
                <c:pt idx="2">
                  <c:v>1834.4197998046875</c:v>
                </c:pt>
                <c:pt idx="3">
                  <c:v>2154.087890625</c:v>
                </c:pt>
                <c:pt idx="4">
                  <c:v>2239.1064453125</c:v>
                </c:pt>
                <c:pt idx="5">
                  <c:v>2275.144775390625</c:v>
                </c:pt>
                <c:pt idx="6">
                  <c:v>2312.218994140625</c:v>
                </c:pt>
                <c:pt idx="7">
                  <c:v>2337.90478515625</c:v>
                </c:pt>
                <c:pt idx="8">
                  <c:v>2359.6298828125</c:v>
                </c:pt>
                <c:pt idx="9">
                  <c:v>2378.225341796875</c:v>
                </c:pt>
                <c:pt idx="10">
                  <c:v>2394.0009765625</c:v>
                </c:pt>
                <c:pt idx="11">
                  <c:v>2407.3701171875</c:v>
                </c:pt>
                <c:pt idx="12">
                  <c:v>2418.775634765625</c:v>
                </c:pt>
                <c:pt idx="13">
                  <c:v>2428.612548828125</c:v>
                </c:pt>
              </c:numCache>
            </c:numRef>
          </c:yVal>
          <c:smooth val="1"/>
          <c:extLst>
            <c:ext xmlns:c16="http://schemas.microsoft.com/office/drawing/2014/chart" uri="{C3380CC4-5D6E-409C-BE32-E72D297353CC}">
              <c16:uniqueId val="{00000001-A589-47B8-A258-842A94A92457}"/>
            </c:ext>
          </c:extLst>
        </c:ser>
        <c:dLbls>
          <c:showLegendKey val="0"/>
          <c:showVal val="0"/>
          <c:showCatName val="0"/>
          <c:showSerName val="0"/>
          <c:showPercent val="0"/>
          <c:showBubbleSize val="0"/>
        </c:dLbls>
        <c:axId val="3"/>
        <c:axId val="4"/>
      </c:scatterChart>
      <c:valAx>
        <c:axId val="1771818648"/>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771818648"/>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108.27930360324906</c:v>
                </c:pt>
                <c:pt idx="2">
                  <c:v>215</c:v>
                </c:pt>
                <c:pt idx="3">
                  <c:v>164.55819173937701</c:v>
                </c:pt>
                <c:pt idx="4">
                  <c:v>141.64781265484953</c:v>
                </c:pt>
                <c:pt idx="5">
                  <c:v>134.07260097182962</c:v>
                </c:pt>
                <c:pt idx="6">
                  <c:v>130.72708652208823</c:v>
                </c:pt>
                <c:pt idx="7">
                  <c:v>130</c:v>
                </c:pt>
                <c:pt idx="8">
                  <c:v>130.00000681266414</c:v>
                </c:pt>
                <c:pt idx="9">
                  <c:v>130.00006173677744</c:v>
                </c:pt>
                <c:pt idx="10">
                  <c:v>130.00013395138484</c:v>
                </c:pt>
                <c:pt idx="11">
                  <c:v>130.00488327433703</c:v>
                </c:pt>
                <c:pt idx="12">
                  <c:v>130.00657014325489</c:v>
                </c:pt>
                <c:pt idx="13">
                  <c:v>130</c:v>
                </c:pt>
              </c:numCache>
            </c:numRef>
          </c:yVal>
          <c:smooth val="1"/>
          <c:extLst>
            <c:ext xmlns:c16="http://schemas.microsoft.com/office/drawing/2014/chart" uri="{C3380CC4-5D6E-409C-BE32-E72D297353CC}">
              <c16:uniqueId val="{00000000-9E82-4A5E-ABB4-822D48EAD05C}"/>
            </c:ext>
          </c:extLst>
        </c:ser>
        <c:ser>
          <c:idx val="2"/>
          <c:order val="2"/>
          <c:spPr>
            <a:ln w="12700">
              <a:pattFill prst="pct75">
                <a:fgClr>
                  <a:srgbClr val="000000"/>
                </a:fgClr>
                <a:bgClr>
                  <a:srgbClr val="FFFFFF"/>
                </a:bgClr>
              </a:patt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DesignSheet!$A$100:$A$113</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9E82-4A5E-ABB4-822D48EAD05C}"/>
            </c:ext>
          </c:extLst>
        </c:ser>
        <c:ser>
          <c:idx val="3"/>
          <c:order val="3"/>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DesignSheet!$B$100:$B$113</c:f>
              <c:numCache>
                <c:formatCode>0.0</c:formatCode>
                <c:ptCount val="14"/>
                <c:pt idx="0">
                  <c:v>0</c:v>
                </c:pt>
                <c:pt idx="1">
                  <c:v>69.298756948076345</c:v>
                </c:pt>
                <c:pt idx="2">
                  <c:v>137.60000410079959</c:v>
                </c:pt>
                <c:pt idx="3">
                  <c:v>105.31724923244855</c:v>
                </c:pt>
                <c:pt idx="4">
                  <c:v>90.654602311092617</c:v>
                </c:pt>
                <c:pt idx="5">
                  <c:v>85.806467400981944</c:v>
                </c:pt>
                <c:pt idx="6">
                  <c:v>83.665334524671223</c:v>
                </c:pt>
                <c:pt idx="7">
                  <c:v>83.200002479553234</c:v>
                </c:pt>
                <c:pt idx="8">
                  <c:v>83.200002479553234</c:v>
                </c:pt>
                <c:pt idx="9">
                  <c:v>83.200041542054407</c:v>
                </c:pt>
                <c:pt idx="10">
                  <c:v>83.20009037018086</c:v>
                </c:pt>
                <c:pt idx="11">
                  <c:v>83.203127479646369</c:v>
                </c:pt>
                <c:pt idx="12">
                  <c:v>83.204211464053685</c:v>
                </c:pt>
                <c:pt idx="13">
                  <c:v>83.200002479553234</c:v>
                </c:pt>
              </c:numCache>
            </c:numRef>
          </c:yVal>
          <c:smooth val="1"/>
          <c:extLst>
            <c:ext xmlns:c16="http://schemas.microsoft.com/office/drawing/2014/chart" uri="{C3380CC4-5D6E-409C-BE32-E72D297353CC}">
              <c16:uniqueId val="{00000002-9E82-4A5E-ABB4-822D48EAD05C}"/>
            </c:ext>
          </c:extLst>
        </c:ser>
        <c:dLbls>
          <c:showLegendKey val="0"/>
          <c:showVal val="0"/>
          <c:showCatName val="0"/>
          <c:showSerName val="0"/>
          <c:showPercent val="0"/>
          <c:showBubbleSize val="0"/>
        </c:dLbls>
        <c:axId val="1258141600"/>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0.19443166255950928</c:v>
                </c:pt>
                <c:pt idx="1">
                  <c:v>155.34750366210938</c:v>
                </c:pt>
                <c:pt idx="2">
                  <c:v>474.07583618164063</c:v>
                </c:pt>
                <c:pt idx="3">
                  <c:v>558.60107421875</c:v>
                </c:pt>
                <c:pt idx="4">
                  <c:v>581.24151611328125</c:v>
                </c:pt>
                <c:pt idx="5">
                  <c:v>591.11712646484375</c:v>
                </c:pt>
                <c:pt idx="6">
                  <c:v>600.97479248046875</c:v>
                </c:pt>
                <c:pt idx="7">
                  <c:v>607.78570556640625</c:v>
                </c:pt>
                <c:pt idx="8">
                  <c:v>613.544921875</c:v>
                </c:pt>
                <c:pt idx="9">
                  <c:v>618.47625732421875</c:v>
                </c:pt>
                <c:pt idx="10">
                  <c:v>622.6612548828125</c:v>
                </c:pt>
                <c:pt idx="11">
                  <c:v>626.2086181640625</c:v>
                </c:pt>
                <c:pt idx="12">
                  <c:v>629.23529052734375</c:v>
                </c:pt>
                <c:pt idx="13">
                  <c:v>631.8458251953125</c:v>
                </c:pt>
              </c:numCache>
            </c:numRef>
          </c:yVal>
          <c:smooth val="1"/>
          <c:extLst>
            <c:ext xmlns:c16="http://schemas.microsoft.com/office/drawing/2014/chart" uri="{C3380CC4-5D6E-409C-BE32-E72D297353CC}">
              <c16:uniqueId val="{00000003-9E82-4A5E-ABB4-822D48EAD05C}"/>
            </c:ext>
          </c:extLst>
        </c:ser>
        <c:ser>
          <c:idx val="4"/>
          <c:order val="4"/>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DesignSheet!$C$100:$C$113</c:f>
              <c:numCache>
                <c:formatCode>0.0</c:formatCode>
                <c:ptCount val="14"/>
                <c:pt idx="0">
                  <c:v>76.683845520019531</c:v>
                </c:pt>
                <c:pt idx="1">
                  <c:v>124.27800750732422</c:v>
                </c:pt>
                <c:pt idx="2">
                  <c:v>379.26068115234375</c:v>
                </c:pt>
                <c:pt idx="3">
                  <c:v>446.880859375</c:v>
                </c:pt>
                <c:pt idx="4">
                  <c:v>464.99322509765625</c:v>
                </c:pt>
                <c:pt idx="5">
                  <c:v>472.89370727539063</c:v>
                </c:pt>
                <c:pt idx="6">
                  <c:v>480.77984619140625</c:v>
                </c:pt>
                <c:pt idx="7">
                  <c:v>486.22857666015625</c:v>
                </c:pt>
                <c:pt idx="8">
                  <c:v>490.8359375</c:v>
                </c:pt>
                <c:pt idx="9">
                  <c:v>494.781005859375</c:v>
                </c:pt>
                <c:pt idx="10">
                  <c:v>498.12899780273438</c:v>
                </c:pt>
                <c:pt idx="11">
                  <c:v>500.96688842773438</c:v>
                </c:pt>
                <c:pt idx="12">
                  <c:v>503.38824462890625</c:v>
                </c:pt>
                <c:pt idx="13">
                  <c:v>505.47665405273438</c:v>
                </c:pt>
              </c:numCache>
            </c:numRef>
          </c:yVal>
          <c:smooth val="1"/>
          <c:extLst>
            <c:ext xmlns:c16="http://schemas.microsoft.com/office/drawing/2014/chart" uri="{C3380CC4-5D6E-409C-BE32-E72D297353CC}">
              <c16:uniqueId val="{00000004-9E82-4A5E-ABB4-822D48EAD05C}"/>
            </c:ext>
          </c:extLst>
        </c:ser>
        <c:dLbls>
          <c:showLegendKey val="0"/>
          <c:showVal val="0"/>
          <c:showCatName val="0"/>
          <c:showSerName val="0"/>
          <c:showPercent val="0"/>
          <c:showBubbleSize val="0"/>
        </c:dLbls>
        <c:axId val="3"/>
        <c:axId val="4"/>
      </c:scatterChart>
      <c:valAx>
        <c:axId val="1258141600"/>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258141600"/>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 / 0.80)</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108.27930360324906</c:v>
                </c:pt>
                <c:pt idx="2">
                  <c:v>215</c:v>
                </c:pt>
                <c:pt idx="3">
                  <c:v>164.55819173937701</c:v>
                </c:pt>
                <c:pt idx="4">
                  <c:v>141.64781265484953</c:v>
                </c:pt>
                <c:pt idx="5">
                  <c:v>134.07260097182962</c:v>
                </c:pt>
                <c:pt idx="6">
                  <c:v>130.72708652208823</c:v>
                </c:pt>
                <c:pt idx="7">
                  <c:v>130</c:v>
                </c:pt>
                <c:pt idx="8">
                  <c:v>130.00000681266414</c:v>
                </c:pt>
                <c:pt idx="9">
                  <c:v>130.00006173677744</c:v>
                </c:pt>
                <c:pt idx="10">
                  <c:v>130.00013395138484</c:v>
                </c:pt>
                <c:pt idx="11">
                  <c:v>130.00488327433703</c:v>
                </c:pt>
                <c:pt idx="12">
                  <c:v>130.00657014325489</c:v>
                </c:pt>
                <c:pt idx="13">
                  <c:v>130</c:v>
                </c:pt>
              </c:numCache>
            </c:numRef>
          </c:yVal>
          <c:smooth val="1"/>
          <c:extLst>
            <c:ext xmlns:c16="http://schemas.microsoft.com/office/drawing/2014/chart" uri="{C3380CC4-5D6E-409C-BE32-E72D297353CC}">
              <c16:uniqueId val="{00000000-0806-47BF-92EF-1A8A2B0F4D0C}"/>
            </c:ext>
          </c:extLst>
        </c:ser>
        <c:dLbls>
          <c:showLegendKey val="0"/>
          <c:showVal val="0"/>
          <c:showCatName val="0"/>
          <c:showSerName val="0"/>
          <c:showPercent val="0"/>
          <c:showBubbleSize val="0"/>
        </c:dLbls>
        <c:axId val="16242855"/>
        <c:axId val="1"/>
      </c:scatterChart>
      <c:scatterChart>
        <c:scatterStyle val="lineMarker"/>
        <c:varyColors val="0"/>
        <c:ser>
          <c:idx val="2"/>
          <c:order val="2"/>
          <c:tx>
            <c:v>Load (Fan / Pump)</c:v>
          </c:tx>
          <c:spPr>
            <a:ln w="25400">
              <a:solidFill>
                <a:srgbClr val="FF0000"/>
              </a:solidFill>
              <a:prstDash val="lgDashDot"/>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0806-47BF-92EF-1A8A2B0F4D0C}"/>
            </c:ext>
          </c:extLst>
        </c:ser>
        <c:ser>
          <c:idx val="3"/>
          <c:order val="3"/>
          <c:spPr>
            <a:ln w="25400">
              <a:solidFill>
                <a:srgbClr val="000000"/>
              </a:solidFill>
              <a:prstDash val="solid"/>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STCurve!$E$54:$E$67</c:f>
              <c:numCache>
                <c:formatCode>0.0</c:formatCode>
                <c:ptCount val="14"/>
                <c:pt idx="0">
                  <c:v>0</c:v>
                </c:pt>
                <c:pt idx="1">
                  <c:v>69.298756948076345</c:v>
                </c:pt>
                <c:pt idx="2">
                  <c:v>137.60000410079959</c:v>
                </c:pt>
                <c:pt idx="3">
                  <c:v>105.31724923244855</c:v>
                </c:pt>
                <c:pt idx="4">
                  <c:v>90.654602311092617</c:v>
                </c:pt>
                <c:pt idx="5">
                  <c:v>85.806467400981944</c:v>
                </c:pt>
                <c:pt idx="6">
                  <c:v>83.665334524671223</c:v>
                </c:pt>
                <c:pt idx="7">
                  <c:v>83.200002479553234</c:v>
                </c:pt>
                <c:pt idx="8">
                  <c:v>83.200002479553234</c:v>
                </c:pt>
                <c:pt idx="9">
                  <c:v>83.200041542054407</c:v>
                </c:pt>
                <c:pt idx="10">
                  <c:v>83.20009037018086</c:v>
                </c:pt>
                <c:pt idx="11">
                  <c:v>83.203127479646369</c:v>
                </c:pt>
                <c:pt idx="12">
                  <c:v>83.204211464053685</c:v>
                </c:pt>
                <c:pt idx="13">
                  <c:v>83.200002479553234</c:v>
                </c:pt>
              </c:numCache>
            </c:numRef>
          </c:yVal>
          <c:smooth val="1"/>
          <c:extLst>
            <c:ext xmlns:c16="http://schemas.microsoft.com/office/drawing/2014/chart" uri="{C3380CC4-5D6E-409C-BE32-E72D297353CC}">
              <c16:uniqueId val="{00000002-0806-47BF-92EF-1A8A2B0F4D0C}"/>
            </c:ext>
          </c:extLst>
        </c:ser>
        <c:dLbls>
          <c:showLegendKey val="0"/>
          <c:showVal val="0"/>
          <c:showCatName val="0"/>
          <c:showSerName val="0"/>
          <c:showPercent val="0"/>
          <c:showBubbleSize val="0"/>
        </c:dLbls>
        <c:axId val="16242855"/>
        <c:axId val="1"/>
      </c:scatterChart>
      <c:scatterChart>
        <c:scatterStyle val="lineMarker"/>
        <c:varyColors val="0"/>
        <c:ser>
          <c:idx val="1"/>
          <c:order val="1"/>
          <c:tx>
            <c:v>Current (FV / 0.80)</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0.19443166255950928</c:v>
                </c:pt>
                <c:pt idx="1">
                  <c:v>155.34750366210938</c:v>
                </c:pt>
                <c:pt idx="2">
                  <c:v>474.07583618164063</c:v>
                </c:pt>
                <c:pt idx="3">
                  <c:v>558.60107421875</c:v>
                </c:pt>
                <c:pt idx="4">
                  <c:v>581.24151611328125</c:v>
                </c:pt>
                <c:pt idx="5">
                  <c:v>591.11712646484375</c:v>
                </c:pt>
                <c:pt idx="6">
                  <c:v>600.97479248046875</c:v>
                </c:pt>
                <c:pt idx="7">
                  <c:v>607.78570556640625</c:v>
                </c:pt>
                <c:pt idx="8">
                  <c:v>613.544921875</c:v>
                </c:pt>
                <c:pt idx="9">
                  <c:v>618.47625732421875</c:v>
                </c:pt>
                <c:pt idx="10">
                  <c:v>622.6612548828125</c:v>
                </c:pt>
                <c:pt idx="11">
                  <c:v>626.2086181640625</c:v>
                </c:pt>
                <c:pt idx="12">
                  <c:v>629.23529052734375</c:v>
                </c:pt>
                <c:pt idx="13">
                  <c:v>631.8458251953125</c:v>
                </c:pt>
              </c:numCache>
            </c:numRef>
          </c:yVal>
          <c:smooth val="1"/>
          <c:extLst>
            <c:ext xmlns:c16="http://schemas.microsoft.com/office/drawing/2014/chart" uri="{C3380CC4-5D6E-409C-BE32-E72D297353CC}">
              <c16:uniqueId val="{00000003-0806-47BF-92EF-1A8A2B0F4D0C}"/>
            </c:ext>
          </c:extLst>
        </c:ser>
        <c:ser>
          <c:idx val="4"/>
          <c:order val="4"/>
          <c:spPr>
            <a:ln w="25400">
              <a:solidFill>
                <a:srgbClr val="000000"/>
              </a:solidFill>
              <a:prstDash val="lg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STCurve!$F$54:$F$67</c:f>
              <c:numCache>
                <c:formatCode>0.0</c:formatCode>
                <c:ptCount val="14"/>
                <c:pt idx="0">
                  <c:v>76.683845520019531</c:v>
                </c:pt>
                <c:pt idx="1">
                  <c:v>124.27800750732422</c:v>
                </c:pt>
                <c:pt idx="2">
                  <c:v>379.26068115234375</c:v>
                </c:pt>
                <c:pt idx="3">
                  <c:v>446.880859375</c:v>
                </c:pt>
                <c:pt idx="4">
                  <c:v>464.99322509765625</c:v>
                </c:pt>
                <c:pt idx="5">
                  <c:v>472.89370727539063</c:v>
                </c:pt>
                <c:pt idx="6">
                  <c:v>480.77984619140625</c:v>
                </c:pt>
                <c:pt idx="7">
                  <c:v>486.22857666015625</c:v>
                </c:pt>
                <c:pt idx="8">
                  <c:v>490.8359375</c:v>
                </c:pt>
                <c:pt idx="9">
                  <c:v>494.781005859375</c:v>
                </c:pt>
                <c:pt idx="10">
                  <c:v>498.12899780273438</c:v>
                </c:pt>
                <c:pt idx="11">
                  <c:v>500.96688842773438</c:v>
                </c:pt>
                <c:pt idx="12">
                  <c:v>503.38824462890625</c:v>
                </c:pt>
                <c:pt idx="13">
                  <c:v>505.47665405273438</c:v>
                </c:pt>
              </c:numCache>
            </c:numRef>
          </c:yVal>
          <c:smooth val="1"/>
          <c:extLst>
            <c:ext xmlns:c16="http://schemas.microsoft.com/office/drawing/2014/chart" uri="{C3380CC4-5D6E-409C-BE32-E72D297353CC}">
              <c16:uniqueId val="{00000004-0806-47BF-92EF-1A8A2B0F4D0C}"/>
            </c:ext>
          </c:extLst>
        </c:ser>
        <c:dLbls>
          <c:showLegendKey val="0"/>
          <c:showVal val="0"/>
          <c:showCatName val="0"/>
          <c:showSerName val="0"/>
          <c:showPercent val="0"/>
          <c:showBubbleSize val="0"/>
        </c:dLbls>
        <c:axId val="3"/>
        <c:axId val="4"/>
      </c:scatterChart>
      <c:valAx>
        <c:axId val="16242855"/>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6242855"/>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egendEntry>
        <c:idx val="2"/>
        <c:delete val="1"/>
      </c:legendEntry>
      <c:legendEntry>
        <c:idx val="4"/>
        <c:delete val="1"/>
      </c:legendEntry>
      <c:layout>
        <c:manualLayout>
          <c:xMode val="edge"/>
          <c:yMode val="edge"/>
          <c:x val="0.11462043560344429"/>
          <c:y val="0.90494376415875777"/>
          <c:w val="0.70931123083298786"/>
          <c:h val="9.5056235841242287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631.84584178498983</c:v>
                </c:pt>
                <c:pt idx="1">
                  <c:v>600</c:v>
                </c:pt>
                <c:pt idx="2">
                  <c:v>500</c:v>
                </c:pt>
                <c:pt idx="3">
                  <c:v>400</c:v>
                </c:pt>
              </c:numCache>
            </c:numRef>
          </c:xVal>
          <c:yVal>
            <c:numRef>
              <c:f>Thermdam!$B$68:$B$71</c:f>
              <c:numCache>
                <c:formatCode>0.00</c:formatCode>
                <c:ptCount val="4"/>
                <c:pt idx="0">
                  <c:v>15</c:v>
                </c:pt>
                <c:pt idx="1">
                  <c:v>16.634548657540932</c:v>
                </c:pt>
                <c:pt idx="2">
                  <c:v>23.953750066858944</c:v>
                </c:pt>
                <c:pt idx="3">
                  <c:v>37.427734479467098</c:v>
                </c:pt>
              </c:numCache>
            </c:numRef>
          </c:yVal>
          <c:smooth val="1"/>
          <c:extLst>
            <c:ext xmlns:c16="http://schemas.microsoft.com/office/drawing/2014/chart" uri="{C3380CC4-5D6E-409C-BE32-E72D297353CC}">
              <c16:uniqueId val="{00000000-A64A-41AC-83BC-B96CC7F009BC}"/>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631.84584178498983</c:v>
                </c:pt>
                <c:pt idx="1">
                  <c:v>600</c:v>
                </c:pt>
                <c:pt idx="2">
                  <c:v>500</c:v>
                </c:pt>
                <c:pt idx="3">
                  <c:v>400</c:v>
                </c:pt>
              </c:numCache>
            </c:numRef>
          </c:xVal>
          <c:yVal>
            <c:numRef>
              <c:f>Thermdam!$C$68:$C$71</c:f>
              <c:numCache>
                <c:formatCode>0.00</c:formatCode>
                <c:ptCount val="4"/>
                <c:pt idx="0">
                  <c:v>10</c:v>
                </c:pt>
                <c:pt idx="1">
                  <c:v>11.08969910502729</c:v>
                </c:pt>
                <c:pt idx="2">
                  <c:v>15.969166711239296</c:v>
                </c:pt>
                <c:pt idx="3">
                  <c:v>24.951822986311399</c:v>
                </c:pt>
              </c:numCache>
            </c:numRef>
          </c:yVal>
          <c:smooth val="1"/>
          <c:extLst>
            <c:ext xmlns:c16="http://schemas.microsoft.com/office/drawing/2014/chart" uri="{C3380CC4-5D6E-409C-BE32-E72D297353CC}">
              <c16:uniqueId val="{00000001-A64A-41AC-83BC-B96CC7F009BC}"/>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215</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86.36650465786532</c:v>
                </c:pt>
                <c:pt idx="3">
                  <c:v>123.21887894474764</c:v>
                </c:pt>
                <c:pt idx="4">
                  <c:v>189.88307623352313</c:v>
                </c:pt>
                <c:pt idx="5" formatCode="0">
                  <c:v>400</c:v>
                </c:pt>
                <c:pt idx="6" formatCode="0">
                  <c:v>800</c:v>
                </c:pt>
                <c:pt idx="7" formatCode="General">
                  <c:v>10000</c:v>
                </c:pt>
              </c:numCache>
            </c:numRef>
          </c:yVal>
          <c:smooth val="1"/>
          <c:extLst>
            <c:ext xmlns:c16="http://schemas.microsoft.com/office/drawing/2014/chart" uri="{C3380CC4-5D6E-409C-BE32-E72D297353CC}">
              <c16:uniqueId val="{00000002-A64A-41AC-83BC-B96CC7F009BC}"/>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631.84584178498983</c:v>
                </c:pt>
                <c:pt idx="1">
                  <c:v>630.54766734279917</c:v>
                </c:pt>
                <c:pt idx="2">
                  <c:v>627.72819472616629</c:v>
                </c:pt>
                <c:pt idx="3">
                  <c:v>624.44219066937114</c:v>
                </c:pt>
                <c:pt idx="4">
                  <c:v>620.56795131845843</c:v>
                </c:pt>
                <c:pt idx="5">
                  <c:v>616.00405679513187</c:v>
                </c:pt>
                <c:pt idx="6">
                  <c:v>610.66937119675458</c:v>
                </c:pt>
                <c:pt idx="7">
                  <c:v>604.3813387423935</c:v>
                </c:pt>
                <c:pt idx="8">
                  <c:v>596.04462474645027</c:v>
                </c:pt>
                <c:pt idx="9">
                  <c:v>586.18661257606493</c:v>
                </c:pt>
                <c:pt idx="10">
                  <c:v>569.9188640973631</c:v>
                </c:pt>
                <c:pt idx="11">
                  <c:v>516.32860040567948</c:v>
                </c:pt>
                <c:pt idx="12">
                  <c:v>314.70588235294116</c:v>
                </c:pt>
                <c:pt idx="13">
                  <c:v>120</c:v>
                </c:pt>
              </c:numCache>
            </c:numRef>
          </c:xVal>
          <c:yVal>
            <c:numRef>
              <c:f>Thermdam!$F$68:$F$81</c:f>
              <c:numCache>
                <c:formatCode>0.00</c:formatCode>
                <c:ptCount val="14"/>
                <c:pt idx="0">
                  <c:v>1E-4</c:v>
                </c:pt>
                <c:pt idx="1">
                  <c:v>0.19499999284744263</c:v>
                </c:pt>
                <c:pt idx="2">
                  <c:v>0.37199997901916504</c:v>
                </c:pt>
                <c:pt idx="3">
                  <c:v>0.5429999828338623</c:v>
                </c:pt>
                <c:pt idx="4">
                  <c:v>0.71399998664855957</c:v>
                </c:pt>
                <c:pt idx="5">
                  <c:v>0.89099997282028198</c:v>
                </c:pt>
                <c:pt idx="6">
                  <c:v>1.0789999961853027</c:v>
                </c:pt>
                <c:pt idx="7">
                  <c:v>1.2899999618530273</c:v>
                </c:pt>
                <c:pt idx="8">
                  <c:v>1.5299999713897705</c:v>
                </c:pt>
                <c:pt idx="9">
                  <c:v>1.6639999151229858</c:v>
                </c:pt>
                <c:pt idx="10">
                  <c:v>1.7929998636245728</c:v>
                </c:pt>
                <c:pt idx="11">
                  <c:v>1.8939998149871826</c:v>
                </c:pt>
                <c:pt idx="12">
                  <c:v>1.992999792098999</c:v>
                </c:pt>
                <c:pt idx="13">
                  <c:v>2</c:v>
                </c:pt>
              </c:numCache>
            </c:numRef>
          </c:yVal>
          <c:smooth val="1"/>
          <c:extLst>
            <c:ext xmlns:c16="http://schemas.microsoft.com/office/drawing/2014/chart" uri="{C3380CC4-5D6E-409C-BE32-E72D297353CC}">
              <c16:uniqueId val="{00000003-A64A-41AC-83BC-B96CC7F009BC}"/>
            </c:ext>
          </c:extLst>
        </c:ser>
        <c:ser>
          <c:idx val="4"/>
          <c:order val="4"/>
          <c:marker>
            <c:symbol val="none"/>
          </c:marker>
          <c:xVal>
            <c:numRef>
              <c:f>Thermdam!$G$68:$G$81</c:f>
              <c:numCache>
                <c:formatCode>General</c:formatCode>
                <c:ptCount val="14"/>
                <c:pt idx="0">
                  <c:v>505.4766734279919</c:v>
                </c:pt>
                <c:pt idx="1">
                  <c:v>504.43813387423938</c:v>
                </c:pt>
                <c:pt idx="2">
                  <c:v>502.18255578093306</c:v>
                </c:pt>
                <c:pt idx="3">
                  <c:v>499.55375253549693</c:v>
                </c:pt>
                <c:pt idx="4">
                  <c:v>496.45436105476676</c:v>
                </c:pt>
                <c:pt idx="5">
                  <c:v>492.8032454361055</c:v>
                </c:pt>
                <c:pt idx="6">
                  <c:v>488.53549695740367</c:v>
                </c:pt>
                <c:pt idx="7">
                  <c:v>483.50507099391484</c:v>
                </c:pt>
                <c:pt idx="8">
                  <c:v>476.83569979716026</c:v>
                </c:pt>
                <c:pt idx="9">
                  <c:v>468.94929006085198</c:v>
                </c:pt>
                <c:pt idx="10">
                  <c:v>455.93509127789048</c:v>
                </c:pt>
                <c:pt idx="11">
                  <c:v>413.06288032454358</c:v>
                </c:pt>
                <c:pt idx="12">
                  <c:v>251.76470588235293</c:v>
                </c:pt>
                <c:pt idx="13">
                  <c:v>120</c:v>
                </c:pt>
              </c:numCache>
            </c:numRef>
          </c:xVal>
          <c:yVal>
            <c:numRef>
              <c:f>Thermdam!$H$68:$H$81</c:f>
              <c:numCache>
                <c:formatCode>General</c:formatCode>
                <c:ptCount val="14"/>
                <c:pt idx="0" formatCode="0.00">
                  <c:v>1E-4</c:v>
                </c:pt>
                <c:pt idx="1">
                  <c:v>0.38999998569488525</c:v>
                </c:pt>
                <c:pt idx="2">
                  <c:v>0.74399995803833008</c:v>
                </c:pt>
                <c:pt idx="3">
                  <c:v>1.0859999656677246</c:v>
                </c:pt>
                <c:pt idx="4">
                  <c:v>1.4279999732971191</c:v>
                </c:pt>
                <c:pt idx="5">
                  <c:v>1.781999945640564</c:v>
                </c:pt>
                <c:pt idx="6">
                  <c:v>2.1579999923706055</c:v>
                </c:pt>
                <c:pt idx="7">
                  <c:v>2.5799999237060547</c:v>
                </c:pt>
                <c:pt idx="8">
                  <c:v>3.059999942779541</c:v>
                </c:pt>
                <c:pt idx="9">
                  <c:v>3.3279998302459717</c:v>
                </c:pt>
                <c:pt idx="10">
                  <c:v>3.5859997272491455</c:v>
                </c:pt>
                <c:pt idx="11">
                  <c:v>3.7879996299743652</c:v>
                </c:pt>
                <c:pt idx="12">
                  <c:v>3.985999584197998</c:v>
                </c:pt>
                <c:pt idx="13">
                  <c:v>4</c:v>
                </c:pt>
              </c:numCache>
            </c:numRef>
          </c:yVal>
          <c:smooth val="1"/>
          <c:extLst>
            <c:ext xmlns:c16="http://schemas.microsoft.com/office/drawing/2014/chart" uri="{C3380CC4-5D6E-409C-BE32-E72D297353CC}">
              <c16:uniqueId val="{00000004-A64A-41AC-83BC-B96CC7F009BC}"/>
            </c:ext>
          </c:extLst>
        </c:ser>
        <c:dLbls>
          <c:showLegendKey val="0"/>
          <c:showVal val="0"/>
          <c:showCatName val="0"/>
          <c:showSerName val="0"/>
          <c:showPercent val="0"/>
          <c:showBubbleSize val="0"/>
        </c:dLbls>
        <c:axId val="2128278872"/>
        <c:axId val="1"/>
      </c:scatterChart>
      <c:valAx>
        <c:axId val="2128278872"/>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128278872"/>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92.779006958007813</c:v>
                </c:pt>
                <c:pt idx="2">
                  <c:v>95.437828063964844</c:v>
                </c:pt>
                <c:pt idx="3">
                  <c:v>96.152656555175781</c:v>
                </c:pt>
                <c:pt idx="4">
                  <c:v>96.359207153320313</c:v>
                </c:pt>
                <c:pt idx="5">
                  <c:v>96.351173400878906</c:v>
                </c:pt>
              </c:numCache>
            </c:numRef>
          </c:yVal>
          <c:smooth val="1"/>
          <c:extLst>
            <c:ext xmlns:c16="http://schemas.microsoft.com/office/drawing/2014/chart" uri="{C3380CC4-5D6E-409C-BE32-E72D297353CC}">
              <c16:uniqueId val="{00000000-8633-40E6-95D9-2EE6EA7A63C1}"/>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71.735328674316406</c:v>
                </c:pt>
                <c:pt idx="1">
                  <c:v>86.144477844238281</c:v>
                </c:pt>
                <c:pt idx="2">
                  <c:v>89.702629089355469</c:v>
                </c:pt>
                <c:pt idx="3">
                  <c:v>90.716781616210938</c:v>
                </c:pt>
                <c:pt idx="4">
                  <c:v>90.775184631347656</c:v>
                </c:pt>
              </c:numCache>
            </c:numRef>
          </c:yVal>
          <c:smooth val="1"/>
          <c:extLst>
            <c:ext xmlns:c16="http://schemas.microsoft.com/office/drawing/2014/chart" uri="{C3380CC4-5D6E-409C-BE32-E72D297353CC}">
              <c16:uniqueId val="{00000001-8633-40E6-95D9-2EE6EA7A63C1}"/>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95</c:v>
                </c:pt>
                <c:pt idx="2">
                  <c:v>80</c:v>
                </c:pt>
                <c:pt idx="3">
                  <c:v>71.855038226607348</c:v>
                </c:pt>
                <c:pt idx="4">
                  <c:v>44.752755466168992</c:v>
                </c:pt>
                <c:pt idx="5">
                  <c:v>18.10283303745166</c:v>
                </c:pt>
              </c:numCache>
            </c:numRef>
          </c:yVal>
          <c:smooth val="1"/>
          <c:extLst>
            <c:ext xmlns:c16="http://schemas.microsoft.com/office/drawing/2014/chart" uri="{C3380CC4-5D6E-409C-BE32-E72D297353CC}">
              <c16:uniqueId val="{00000002-8633-40E6-95D9-2EE6EA7A63C1}"/>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0.68305500000000008</c:v>
                </c:pt>
                <c:pt idx="1">
                  <c:v>10.056604464411102</c:v>
                </c:pt>
                <c:pt idx="2">
                  <c:v>19.552870017519787</c:v>
                </c:pt>
                <c:pt idx="3">
                  <c:v>29.111263738395191</c:v>
                </c:pt>
                <c:pt idx="4">
                  <c:v>38.73181583800686</c:v>
                </c:pt>
                <c:pt idx="5">
                  <c:v>48.418805066313396</c:v>
                </c:pt>
              </c:numCache>
            </c:numRef>
          </c:yVal>
          <c:smooth val="1"/>
          <c:extLst>
            <c:ext xmlns:c16="http://schemas.microsoft.com/office/drawing/2014/chart" uri="{C3380CC4-5D6E-409C-BE32-E72D297353CC}">
              <c16:uniqueId val="{00000003-8633-40E6-95D9-2EE6EA7A63C1}"/>
            </c:ext>
          </c:extLst>
        </c:ser>
        <c:dLbls>
          <c:showLegendKey val="0"/>
          <c:showVal val="0"/>
          <c:showCatName val="0"/>
          <c:showSerName val="0"/>
          <c:showPercent val="0"/>
          <c:showBubbleSize val="0"/>
        </c:dLbls>
        <c:axId val="2130701616"/>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99.804028326334887</c:v>
                </c:pt>
                <c:pt idx="1">
                  <c:v>161.88267517089844</c:v>
                </c:pt>
                <c:pt idx="2">
                  <c:v>262.098876953125</c:v>
                </c:pt>
                <c:pt idx="3">
                  <c:v>374.74685668945313</c:v>
                </c:pt>
                <c:pt idx="4">
                  <c:v>493.01748657226563</c:v>
                </c:pt>
                <c:pt idx="5">
                  <c:v>615.92669677734375</c:v>
                </c:pt>
              </c:numCache>
            </c:numRef>
          </c:yVal>
          <c:smooth val="1"/>
          <c:extLst>
            <c:ext xmlns:c16="http://schemas.microsoft.com/office/drawing/2014/chart" uri="{C3380CC4-5D6E-409C-BE32-E72D297353CC}">
              <c16:uniqueId val="{00000004-8633-40E6-95D9-2EE6EA7A63C1}"/>
            </c:ext>
          </c:extLst>
        </c:ser>
        <c:dLbls>
          <c:showLegendKey val="0"/>
          <c:showVal val="0"/>
          <c:showCatName val="0"/>
          <c:showSerName val="0"/>
          <c:showPercent val="0"/>
          <c:showBubbleSize val="0"/>
        </c:dLbls>
        <c:axId val="3"/>
        <c:axId val="4"/>
      </c:scatterChart>
      <c:valAx>
        <c:axId val="2130701616"/>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130701616"/>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7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A13F079F-4EF9-4E6A-AAB9-4B1C7A57E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BC3F80CC-B7D9-4EDA-84F8-0C4669083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04046287-9E60-4E69-94AC-360CD9DDBAFE}"/>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29D898B4-2FA3-4B58-A0B0-11CDC1560901}"/>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B4A14EE3-3148-46B6-A2CF-2C31AAB2EE8D}"/>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53232AF6-EB31-4145-AE66-81A7F00DFC9D}"/>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3407669C-B0C7-49F1-8E7D-EAA3EB73A62F}"/>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114300</xdr:colOff>
      <xdr:row>42</xdr:row>
      <xdr:rowOff>141817</xdr:rowOff>
    </xdr:from>
    <xdr:to>
      <xdr:col>3</xdr:col>
      <xdr:colOff>411594</xdr:colOff>
      <xdr:row>43</xdr:row>
      <xdr:rowOff>37042</xdr:rowOff>
    </xdr:to>
    <xdr:sp macro="" textlink="">
      <xdr:nvSpPr>
        <xdr:cNvPr id="7" name="Radius">
          <a:extLst>
            <a:ext uri="{FF2B5EF4-FFF2-40B4-BE49-F238E27FC236}">
              <a16:creationId xmlns:a16="http://schemas.microsoft.com/office/drawing/2014/main" id="{3A677CAC-7FD8-49FB-AF1A-0267167A55C1}"/>
            </a:ext>
          </a:extLst>
        </xdr:cNvPr>
        <xdr:cNvSpPr txBox="1">
          <a:spLocks noChangeArrowheads="1"/>
        </xdr:cNvSpPr>
      </xdr:nvSpPr>
      <xdr:spPr bwMode="auto">
        <a:xfrm>
          <a:off x="1809750" y="9809692"/>
          <a:ext cx="297294"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328.0</a:t>
          </a:r>
        </a:p>
      </xdr:txBody>
    </xdr:sp>
    <xdr:clientData/>
  </xdr:twoCellAnchor>
  <xdr:twoCellAnchor>
    <xdr:from>
      <xdr:col>3</xdr:col>
      <xdr:colOff>260289</xdr:colOff>
      <xdr:row>40</xdr:row>
      <xdr:rowOff>145294</xdr:rowOff>
    </xdr:from>
    <xdr:to>
      <xdr:col>3</xdr:col>
      <xdr:colOff>547399</xdr:colOff>
      <xdr:row>41</xdr:row>
      <xdr:rowOff>9222</xdr:rowOff>
    </xdr:to>
    <xdr:sp macro="" textlink="">
      <xdr:nvSpPr>
        <xdr:cNvPr id="8" name="Height">
          <a:extLst>
            <a:ext uri="{FF2B5EF4-FFF2-40B4-BE49-F238E27FC236}">
              <a16:creationId xmlns:a16="http://schemas.microsoft.com/office/drawing/2014/main" id="{41EE0871-3A79-43D9-94D0-583C83DAD54E}"/>
            </a:ext>
          </a:extLst>
        </xdr:cNvPr>
        <xdr:cNvSpPr txBox="1">
          <a:spLocks noChangeArrowheads="1"/>
        </xdr:cNvSpPr>
      </xdr:nvSpPr>
      <xdr:spPr bwMode="auto">
        <a:xfrm>
          <a:off x="1955739" y="9355969"/>
          <a:ext cx="287110" cy="9252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57.5</a:t>
          </a:r>
        </a:p>
      </xdr:txBody>
    </xdr:sp>
    <xdr:clientData/>
  </xdr:twoCellAnchor>
  <xdr:twoCellAnchor>
    <xdr:from>
      <xdr:col>2</xdr:col>
      <xdr:colOff>28575</xdr:colOff>
      <xdr:row>41</xdr:row>
      <xdr:rowOff>104775</xdr:rowOff>
    </xdr:from>
    <xdr:to>
      <xdr:col>2</xdr:col>
      <xdr:colOff>278186</xdr:colOff>
      <xdr:row>41</xdr:row>
      <xdr:rowOff>219075</xdr:rowOff>
    </xdr:to>
    <xdr:sp macro="" textlink="">
      <xdr:nvSpPr>
        <xdr:cNvPr id="9" name="Clear">
          <a:extLst>
            <a:ext uri="{FF2B5EF4-FFF2-40B4-BE49-F238E27FC236}">
              <a16:creationId xmlns:a16="http://schemas.microsoft.com/office/drawing/2014/main" id="{07B5A894-53D1-4B69-84DA-1FAD6AB34674}"/>
            </a:ext>
          </a:extLst>
        </xdr:cNvPr>
        <xdr:cNvSpPr txBox="1">
          <a:spLocks noChangeArrowheads="1"/>
        </xdr:cNvSpPr>
      </xdr:nvSpPr>
      <xdr:spPr bwMode="auto">
        <a:xfrm>
          <a:off x="1228725" y="9544050"/>
          <a:ext cx="249611"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clientData/>
  </xdr:twoCellAnchor>
  <xdr:twoCellAnchor>
    <xdr:from>
      <xdr:col>2</xdr:col>
      <xdr:colOff>361133</xdr:colOff>
      <xdr:row>42</xdr:row>
      <xdr:rowOff>51557</xdr:rowOff>
    </xdr:from>
    <xdr:to>
      <xdr:col>3</xdr:col>
      <xdr:colOff>74686</xdr:colOff>
      <xdr:row>42</xdr:row>
      <xdr:rowOff>156332</xdr:rowOff>
    </xdr:to>
    <xdr:sp macro="" textlink="">
      <xdr:nvSpPr>
        <xdr:cNvPr id="10" name="Thickness">
          <a:extLst>
            <a:ext uri="{FF2B5EF4-FFF2-40B4-BE49-F238E27FC236}">
              <a16:creationId xmlns:a16="http://schemas.microsoft.com/office/drawing/2014/main" id="{018F08C3-21B2-4B66-9666-3DDC5C90E0BC}"/>
            </a:ext>
          </a:extLst>
        </xdr:cNvPr>
        <xdr:cNvSpPr txBox="1">
          <a:spLocks noChangeArrowheads="1"/>
        </xdr:cNvSpPr>
      </xdr:nvSpPr>
      <xdr:spPr bwMode="auto">
        <a:xfrm>
          <a:off x="1561283" y="9719432"/>
          <a:ext cx="20885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65.5</a:t>
          </a:r>
        </a:p>
      </xdr:txBody>
    </xdr:sp>
    <xdr:clientData/>
  </xdr:twoCellAnchor>
  <xdr:twoCellAnchor>
    <xdr:from>
      <xdr:col>3</xdr:col>
      <xdr:colOff>200025</xdr:colOff>
      <xdr:row>35</xdr:row>
      <xdr:rowOff>123825</xdr:rowOff>
    </xdr:from>
    <xdr:to>
      <xdr:col>3</xdr:col>
      <xdr:colOff>506791</xdr:colOff>
      <xdr:row>36</xdr:row>
      <xdr:rowOff>28575</xdr:rowOff>
    </xdr:to>
    <xdr:sp macro="" textlink="">
      <xdr:nvSpPr>
        <xdr:cNvPr id="11" name="Depth2">
          <a:extLst>
            <a:ext uri="{FF2B5EF4-FFF2-40B4-BE49-F238E27FC236}">
              <a16:creationId xmlns:a16="http://schemas.microsoft.com/office/drawing/2014/main" id="{B15778F5-B650-4666-A5FE-2FE7C94E511E}"/>
            </a:ext>
          </a:extLst>
        </xdr:cNvPr>
        <xdr:cNvSpPr txBox="1">
          <a:spLocks noChangeArrowheads="1"/>
        </xdr:cNvSpPr>
      </xdr:nvSpPr>
      <xdr:spPr bwMode="auto">
        <a:xfrm>
          <a:off x="1895475" y="8191500"/>
          <a:ext cx="306766"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38.41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12" name="Tip2">
          <a:extLst>
            <a:ext uri="{FF2B5EF4-FFF2-40B4-BE49-F238E27FC236}">
              <a16:creationId xmlns:a16="http://schemas.microsoft.com/office/drawing/2014/main" id="{74AEA0A5-4788-4688-B160-90E88F6A4B9C}"/>
            </a:ext>
          </a:extLst>
        </xdr:cNvPr>
        <xdr:cNvSpPr txBox="1">
          <a:spLocks noChangeArrowheads="1"/>
        </xdr:cNvSpPr>
      </xdr:nvSpPr>
      <xdr:spPr bwMode="auto">
        <a:xfrm>
          <a:off x="981075" y="7791450"/>
          <a:ext cx="2286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487829</xdr:colOff>
      <xdr:row>33</xdr:row>
      <xdr:rowOff>180975</xdr:rowOff>
    </xdr:to>
    <xdr:sp macro="" textlink="">
      <xdr:nvSpPr>
        <xdr:cNvPr id="13" name="Opening">
          <a:extLst>
            <a:ext uri="{FF2B5EF4-FFF2-40B4-BE49-F238E27FC236}">
              <a16:creationId xmlns:a16="http://schemas.microsoft.com/office/drawing/2014/main" id="{E157E96A-BFFF-4DE3-9806-4744417095F1}"/>
            </a:ext>
          </a:extLst>
        </xdr:cNvPr>
        <xdr:cNvSpPr txBox="1">
          <a:spLocks noChangeArrowheads="1"/>
        </xdr:cNvSpPr>
      </xdr:nvSpPr>
      <xdr:spPr bwMode="auto">
        <a:xfrm>
          <a:off x="1362075" y="7648575"/>
          <a:ext cx="325904" cy="1428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144780</xdr:colOff>
      <xdr:row>36</xdr:row>
      <xdr:rowOff>190500</xdr:rowOff>
    </xdr:from>
    <xdr:to>
      <xdr:col>3</xdr:col>
      <xdr:colOff>91</xdr:colOff>
      <xdr:row>37</xdr:row>
      <xdr:rowOff>66675</xdr:rowOff>
    </xdr:to>
    <xdr:sp macro="" textlink="">
      <xdr:nvSpPr>
        <xdr:cNvPr id="14" name="Width3">
          <a:extLst>
            <a:ext uri="{FF2B5EF4-FFF2-40B4-BE49-F238E27FC236}">
              <a16:creationId xmlns:a16="http://schemas.microsoft.com/office/drawing/2014/main" id="{6176A72A-F5E7-4122-A092-B42E8F17F72A}"/>
            </a:ext>
          </a:extLst>
        </xdr:cNvPr>
        <xdr:cNvSpPr txBox="1">
          <a:spLocks noChangeArrowheads="1"/>
        </xdr:cNvSpPr>
      </xdr:nvSpPr>
      <xdr:spPr bwMode="auto">
        <a:xfrm>
          <a:off x="1344930" y="8486775"/>
          <a:ext cx="350611"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487829</xdr:colOff>
      <xdr:row>35</xdr:row>
      <xdr:rowOff>66675</xdr:rowOff>
    </xdr:to>
    <xdr:sp macro="" textlink="">
      <xdr:nvSpPr>
        <xdr:cNvPr id="15" name="Width2">
          <a:extLst>
            <a:ext uri="{FF2B5EF4-FFF2-40B4-BE49-F238E27FC236}">
              <a16:creationId xmlns:a16="http://schemas.microsoft.com/office/drawing/2014/main" id="{7F056851-06C8-44B1-9D56-39EB2835FA0E}"/>
            </a:ext>
          </a:extLst>
        </xdr:cNvPr>
        <xdr:cNvSpPr txBox="1">
          <a:spLocks noChangeArrowheads="1"/>
        </xdr:cNvSpPr>
      </xdr:nvSpPr>
      <xdr:spPr bwMode="auto">
        <a:xfrm>
          <a:off x="1362075" y="8001000"/>
          <a:ext cx="325904"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16" name="Group 190">
          <a:extLst>
            <a:ext uri="{FF2B5EF4-FFF2-40B4-BE49-F238E27FC236}">
              <a16:creationId xmlns:a16="http://schemas.microsoft.com/office/drawing/2014/main" id="{C8147440-E612-4DE6-AC43-832874BBB946}"/>
            </a:ext>
          </a:extLst>
        </xdr:cNvPr>
        <xdr:cNvGrpSpPr>
          <a:grpSpLocks/>
        </xdr:cNvGrpSpPr>
      </xdr:nvGrpSpPr>
      <xdr:grpSpPr bwMode="auto">
        <a:xfrm>
          <a:off x="1181100" y="7781925"/>
          <a:ext cx="866775" cy="952500"/>
          <a:chOff x="120" y="793"/>
          <a:chExt cx="91" cy="100"/>
        </a:xfrm>
      </xdr:grpSpPr>
      <xdr:sp macro="" textlink="">
        <xdr:nvSpPr>
          <xdr:cNvPr id="17" name="Line 100">
            <a:extLst>
              <a:ext uri="{FF2B5EF4-FFF2-40B4-BE49-F238E27FC236}">
                <a16:creationId xmlns:a16="http://schemas.microsoft.com/office/drawing/2014/main" id="{BDF3C2A0-7CB0-EDB0-AB95-73D67E43A895}"/>
              </a:ext>
            </a:extLst>
          </xdr:cNvPr>
          <xdr:cNvSpPr>
            <a:spLocks noChangeShapeType="1"/>
          </xdr:cNvSpPr>
        </xdr:nvSpPr>
        <xdr:spPr bwMode="auto">
          <a:xfrm>
            <a:off x="139" y="813"/>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49">
            <a:extLst>
              <a:ext uri="{FF2B5EF4-FFF2-40B4-BE49-F238E27FC236}">
                <a16:creationId xmlns:a16="http://schemas.microsoft.com/office/drawing/2014/main" id="{AB20C156-ECCC-28B9-CAFA-23A4A7D5B895}"/>
              </a:ext>
            </a:extLst>
          </xdr:cNvPr>
          <xdr:cNvSpPr>
            <a:spLocks noChangeShapeType="1"/>
          </xdr:cNvSpPr>
        </xdr:nvSpPr>
        <xdr:spPr bwMode="auto">
          <a:xfrm>
            <a:off x="128"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50">
            <a:extLst>
              <a:ext uri="{FF2B5EF4-FFF2-40B4-BE49-F238E27FC236}">
                <a16:creationId xmlns:a16="http://schemas.microsoft.com/office/drawing/2014/main" id="{DD7D3CB9-AAB8-850F-C1A5-21785EEF1858}"/>
              </a:ext>
            </a:extLst>
          </xdr:cNvPr>
          <xdr:cNvSpPr>
            <a:spLocks noChangeShapeType="1"/>
          </xdr:cNvSpPr>
        </xdr:nvSpPr>
        <xdr:spPr bwMode="auto">
          <a:xfrm flipH="1">
            <a:off x="164"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51">
            <a:extLst>
              <a:ext uri="{FF2B5EF4-FFF2-40B4-BE49-F238E27FC236}">
                <a16:creationId xmlns:a16="http://schemas.microsoft.com/office/drawing/2014/main" id="{3FE311B6-A05E-4BAE-3355-B777D9A00BFC}"/>
              </a:ext>
            </a:extLst>
          </xdr:cNvPr>
          <xdr:cNvSpPr>
            <a:spLocks noChangeShapeType="1"/>
          </xdr:cNvSpPr>
        </xdr:nvSpPr>
        <xdr:spPr bwMode="auto">
          <a:xfrm flipH="1">
            <a:off x="127" y="879"/>
            <a:ext cx="1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152">
            <a:extLst>
              <a:ext uri="{FF2B5EF4-FFF2-40B4-BE49-F238E27FC236}">
                <a16:creationId xmlns:a16="http://schemas.microsoft.com/office/drawing/2014/main" id="{D384D486-EBB3-F7AF-BC58-9B706740BF06}"/>
              </a:ext>
            </a:extLst>
          </xdr:cNvPr>
          <xdr:cNvSpPr>
            <a:spLocks noChangeShapeType="1"/>
          </xdr:cNvSpPr>
        </xdr:nvSpPr>
        <xdr:spPr bwMode="auto">
          <a:xfrm>
            <a:off x="147" y="880"/>
            <a:ext cx="3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2" name="Line 156">
            <a:extLst>
              <a:ext uri="{FF2B5EF4-FFF2-40B4-BE49-F238E27FC236}">
                <a16:creationId xmlns:a16="http://schemas.microsoft.com/office/drawing/2014/main" id="{3920FFA6-A466-2D2E-2F7F-E9AA8FD33344}"/>
              </a:ext>
            </a:extLst>
          </xdr:cNvPr>
          <xdr:cNvSpPr>
            <a:spLocks noChangeShapeType="1"/>
          </xdr:cNvSpPr>
        </xdr:nvSpPr>
        <xdr:spPr bwMode="auto">
          <a:xfrm flipV="1">
            <a:off x="194" y="8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157">
            <a:extLst>
              <a:ext uri="{FF2B5EF4-FFF2-40B4-BE49-F238E27FC236}">
                <a16:creationId xmlns:a16="http://schemas.microsoft.com/office/drawing/2014/main" id="{DF142B22-8329-72CF-3435-9CB58EF0AFD1}"/>
              </a:ext>
            </a:extLst>
          </xdr:cNvPr>
          <xdr:cNvSpPr>
            <a:spLocks noChangeShapeType="1"/>
          </xdr:cNvSpPr>
        </xdr:nvSpPr>
        <xdr:spPr bwMode="auto">
          <a:xfrm flipV="1">
            <a:off x="204" y="794"/>
            <a:ext cx="0" cy="3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4" name="Line 158">
            <a:extLst>
              <a:ext uri="{FF2B5EF4-FFF2-40B4-BE49-F238E27FC236}">
                <a16:creationId xmlns:a16="http://schemas.microsoft.com/office/drawing/2014/main" id="{1009A28C-FACA-6840-9717-5A6EAB4E7C13}"/>
              </a:ext>
            </a:extLst>
          </xdr:cNvPr>
          <xdr:cNvSpPr>
            <a:spLocks noChangeShapeType="1"/>
          </xdr:cNvSpPr>
        </xdr:nvSpPr>
        <xdr:spPr bwMode="auto">
          <a:xfrm>
            <a:off x="204" y="849"/>
            <a:ext cx="0" cy="4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5" name="Line 159">
            <a:extLst>
              <a:ext uri="{FF2B5EF4-FFF2-40B4-BE49-F238E27FC236}">
                <a16:creationId xmlns:a16="http://schemas.microsoft.com/office/drawing/2014/main" id="{D3738E85-EB85-D4DA-0F95-117C0E159D78}"/>
              </a:ext>
            </a:extLst>
          </xdr:cNvPr>
          <xdr:cNvSpPr>
            <a:spLocks noChangeShapeType="1"/>
          </xdr:cNvSpPr>
        </xdr:nvSpPr>
        <xdr:spPr bwMode="auto">
          <a:xfrm>
            <a:off x="194" y="7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60">
            <a:extLst>
              <a:ext uri="{FF2B5EF4-FFF2-40B4-BE49-F238E27FC236}">
                <a16:creationId xmlns:a16="http://schemas.microsoft.com/office/drawing/2014/main" id="{C7DAE2B0-0070-7AEC-9E40-280D6E7CE9B4}"/>
              </a:ext>
            </a:extLst>
          </xdr:cNvPr>
          <xdr:cNvSpPr>
            <a:spLocks noChangeShapeType="1"/>
          </xdr:cNvSpPr>
        </xdr:nvSpPr>
        <xdr:spPr bwMode="auto">
          <a:xfrm flipH="1">
            <a:off x="120" y="804"/>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161">
            <a:extLst>
              <a:ext uri="{FF2B5EF4-FFF2-40B4-BE49-F238E27FC236}">
                <a16:creationId xmlns:a16="http://schemas.microsoft.com/office/drawing/2014/main" id="{780CE788-DD6E-876A-02F2-681396F1BB62}"/>
              </a:ext>
            </a:extLst>
          </xdr:cNvPr>
          <xdr:cNvSpPr>
            <a:spLocks noChangeShapeType="1"/>
          </xdr:cNvSpPr>
        </xdr:nvSpPr>
        <xdr:spPr bwMode="auto">
          <a:xfrm flipV="1">
            <a:off x="127" y="874"/>
            <a:ext cx="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162">
            <a:extLst>
              <a:ext uri="{FF2B5EF4-FFF2-40B4-BE49-F238E27FC236}">
                <a16:creationId xmlns:a16="http://schemas.microsoft.com/office/drawing/2014/main" id="{32FB75A1-8AE6-C316-8B4A-523605AE4C6A}"/>
              </a:ext>
            </a:extLst>
          </xdr:cNvPr>
          <xdr:cNvSpPr>
            <a:spLocks noChangeShapeType="1"/>
          </xdr:cNvSpPr>
        </xdr:nvSpPr>
        <xdr:spPr bwMode="auto">
          <a:xfrm flipV="1">
            <a:off x="184" y="871"/>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63">
            <a:extLst>
              <a:ext uri="{FF2B5EF4-FFF2-40B4-BE49-F238E27FC236}">
                <a16:creationId xmlns:a16="http://schemas.microsoft.com/office/drawing/2014/main" id="{788A202F-7ECF-ACA7-A404-932FDF7E43E5}"/>
              </a:ext>
            </a:extLst>
          </xdr:cNvPr>
          <xdr:cNvSpPr>
            <a:spLocks noChangeShapeType="1"/>
          </xdr:cNvSpPr>
        </xdr:nvSpPr>
        <xdr:spPr bwMode="auto">
          <a:xfrm flipV="1">
            <a:off x="137" y="804"/>
            <a:ext cx="1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164">
            <a:extLst>
              <a:ext uri="{FF2B5EF4-FFF2-40B4-BE49-F238E27FC236}">
                <a16:creationId xmlns:a16="http://schemas.microsoft.com/office/drawing/2014/main" id="{E21DB606-CAB1-855F-FFC4-489698795C07}"/>
              </a:ext>
            </a:extLst>
          </xdr:cNvPr>
          <xdr:cNvSpPr>
            <a:spLocks noChangeShapeType="1"/>
          </xdr:cNvSpPr>
        </xdr:nvSpPr>
        <xdr:spPr bwMode="auto">
          <a:xfrm flipH="1">
            <a:off x="127" y="813"/>
            <a:ext cx="10"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165">
            <a:extLst>
              <a:ext uri="{FF2B5EF4-FFF2-40B4-BE49-F238E27FC236}">
                <a16:creationId xmlns:a16="http://schemas.microsoft.com/office/drawing/2014/main" id="{B4B90D5F-314D-5E92-8CC4-0B6F01BA1426}"/>
              </a:ext>
            </a:extLst>
          </xdr:cNvPr>
          <xdr:cNvSpPr>
            <a:spLocks noChangeShapeType="1"/>
          </xdr:cNvSpPr>
        </xdr:nvSpPr>
        <xdr:spPr bwMode="auto">
          <a:xfrm flipV="1">
            <a:off x="147"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66">
            <a:extLst>
              <a:ext uri="{FF2B5EF4-FFF2-40B4-BE49-F238E27FC236}">
                <a16:creationId xmlns:a16="http://schemas.microsoft.com/office/drawing/2014/main" id="{9342BE62-4980-3A93-7209-0A36E0A86E74}"/>
              </a:ext>
            </a:extLst>
          </xdr:cNvPr>
          <xdr:cNvSpPr>
            <a:spLocks noChangeShapeType="1"/>
          </xdr:cNvSpPr>
        </xdr:nvSpPr>
        <xdr:spPr bwMode="auto">
          <a:xfrm>
            <a:off x="164"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168">
            <a:extLst>
              <a:ext uri="{FF2B5EF4-FFF2-40B4-BE49-F238E27FC236}">
                <a16:creationId xmlns:a16="http://schemas.microsoft.com/office/drawing/2014/main" id="{A8245C00-6504-41A6-991C-B2D1A0C88DB2}"/>
              </a:ext>
            </a:extLst>
          </xdr:cNvPr>
          <xdr:cNvSpPr>
            <a:spLocks noChangeShapeType="1"/>
          </xdr:cNvSpPr>
        </xdr:nvSpPr>
        <xdr:spPr bwMode="auto">
          <a:xfrm>
            <a:off x="132"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169">
            <a:extLst>
              <a:ext uri="{FF2B5EF4-FFF2-40B4-BE49-F238E27FC236}">
                <a16:creationId xmlns:a16="http://schemas.microsoft.com/office/drawing/2014/main" id="{90B8B1E0-15D0-EC6E-B72E-71C41042C3D5}"/>
              </a:ext>
            </a:extLst>
          </xdr:cNvPr>
          <xdr:cNvSpPr>
            <a:spLocks noChangeShapeType="1"/>
          </xdr:cNvSpPr>
        </xdr:nvSpPr>
        <xdr:spPr bwMode="auto">
          <a:xfrm flipH="1" flipV="1">
            <a:off x="132"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170">
            <a:extLst>
              <a:ext uri="{FF2B5EF4-FFF2-40B4-BE49-F238E27FC236}">
                <a16:creationId xmlns:a16="http://schemas.microsoft.com/office/drawing/2014/main" id="{C9DCA86A-C76E-AA27-4154-ABEE048FCA40}"/>
              </a:ext>
            </a:extLst>
          </xdr:cNvPr>
          <xdr:cNvSpPr>
            <a:spLocks noChangeShapeType="1"/>
          </xdr:cNvSpPr>
        </xdr:nvSpPr>
        <xdr:spPr bwMode="auto">
          <a:xfrm flipV="1">
            <a:off x="130"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171">
            <a:extLst>
              <a:ext uri="{FF2B5EF4-FFF2-40B4-BE49-F238E27FC236}">
                <a16:creationId xmlns:a16="http://schemas.microsoft.com/office/drawing/2014/main" id="{CB03B3B8-4BC7-D8F5-B3CB-8C98308BDDDE}"/>
              </a:ext>
            </a:extLst>
          </xdr:cNvPr>
          <xdr:cNvSpPr>
            <a:spLocks noChangeShapeType="1"/>
          </xdr:cNvSpPr>
        </xdr:nvSpPr>
        <xdr:spPr bwMode="auto">
          <a:xfrm flipV="1">
            <a:off x="132"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172">
            <a:extLst>
              <a:ext uri="{FF2B5EF4-FFF2-40B4-BE49-F238E27FC236}">
                <a16:creationId xmlns:a16="http://schemas.microsoft.com/office/drawing/2014/main" id="{00B0B723-92F5-76A7-D029-054885D1B907}"/>
              </a:ext>
            </a:extLst>
          </xdr:cNvPr>
          <xdr:cNvSpPr>
            <a:spLocks noChangeShapeType="1"/>
          </xdr:cNvSpPr>
        </xdr:nvSpPr>
        <xdr:spPr bwMode="auto">
          <a:xfrm flipH="1" flipV="1">
            <a:off x="130"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173">
            <a:extLst>
              <a:ext uri="{FF2B5EF4-FFF2-40B4-BE49-F238E27FC236}">
                <a16:creationId xmlns:a16="http://schemas.microsoft.com/office/drawing/2014/main" id="{E0730BD6-41FB-444D-E2E3-073164A5926C}"/>
              </a:ext>
            </a:extLst>
          </xdr:cNvPr>
          <xdr:cNvSpPr>
            <a:spLocks noChangeShapeType="1"/>
          </xdr:cNvSpPr>
        </xdr:nvSpPr>
        <xdr:spPr bwMode="auto">
          <a:xfrm>
            <a:off x="173" y="813"/>
            <a:ext cx="11"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174">
            <a:extLst>
              <a:ext uri="{FF2B5EF4-FFF2-40B4-BE49-F238E27FC236}">
                <a16:creationId xmlns:a16="http://schemas.microsoft.com/office/drawing/2014/main" id="{B3F18438-882B-C719-CBF8-62FB3A02902C}"/>
              </a:ext>
            </a:extLst>
          </xdr:cNvPr>
          <xdr:cNvSpPr>
            <a:spLocks noChangeShapeType="1"/>
          </xdr:cNvSpPr>
        </xdr:nvSpPr>
        <xdr:spPr bwMode="auto">
          <a:xfrm>
            <a:off x="164" y="805"/>
            <a:ext cx="9"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175">
            <a:extLst>
              <a:ext uri="{FF2B5EF4-FFF2-40B4-BE49-F238E27FC236}">
                <a16:creationId xmlns:a16="http://schemas.microsoft.com/office/drawing/2014/main" id="{8B57CB63-762E-1BAB-9CEE-A9D3E05C7864}"/>
              </a:ext>
            </a:extLst>
          </xdr:cNvPr>
          <xdr:cNvSpPr>
            <a:spLocks noChangeShapeType="1"/>
          </xdr:cNvSpPr>
        </xdr:nvSpPr>
        <xdr:spPr bwMode="auto">
          <a:xfrm>
            <a:off x="127" y="893"/>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176">
            <a:extLst>
              <a:ext uri="{FF2B5EF4-FFF2-40B4-BE49-F238E27FC236}">
                <a16:creationId xmlns:a16="http://schemas.microsoft.com/office/drawing/2014/main" id="{C78DD799-B99F-55EA-19A3-556F8098FC4D}"/>
              </a:ext>
            </a:extLst>
          </xdr:cNvPr>
          <xdr:cNvSpPr>
            <a:spLocks noChangeShapeType="1"/>
          </xdr:cNvSpPr>
        </xdr:nvSpPr>
        <xdr:spPr bwMode="auto">
          <a:xfrm>
            <a:off x="147" y="796"/>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177">
            <a:extLst>
              <a:ext uri="{FF2B5EF4-FFF2-40B4-BE49-F238E27FC236}">
                <a16:creationId xmlns:a16="http://schemas.microsoft.com/office/drawing/2014/main" id="{4B1848BC-A4B8-30D8-7642-E091CB612BF5}"/>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178">
            <a:extLst>
              <a:ext uri="{FF2B5EF4-FFF2-40B4-BE49-F238E27FC236}">
                <a16:creationId xmlns:a16="http://schemas.microsoft.com/office/drawing/2014/main" id="{86290559-5FAC-042D-66F8-54915EB9485C}"/>
              </a:ext>
            </a:extLst>
          </xdr:cNvPr>
          <xdr:cNvSpPr>
            <a:spLocks noChangeShapeType="1"/>
          </xdr:cNvSpPr>
        </xdr:nvSpPr>
        <xdr:spPr bwMode="auto">
          <a:xfrm flipH="1" flipV="1">
            <a:off x="147"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179">
            <a:extLst>
              <a:ext uri="{FF2B5EF4-FFF2-40B4-BE49-F238E27FC236}">
                <a16:creationId xmlns:a16="http://schemas.microsoft.com/office/drawing/2014/main" id="{E70943A5-A477-1EA3-2884-B8153B5EE99F}"/>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80">
            <a:extLst>
              <a:ext uri="{FF2B5EF4-FFF2-40B4-BE49-F238E27FC236}">
                <a16:creationId xmlns:a16="http://schemas.microsoft.com/office/drawing/2014/main" id="{75215B3E-E481-7F5E-B6DA-7CFBFAD09294}"/>
              </a:ext>
            </a:extLst>
          </xdr:cNvPr>
          <xdr:cNvSpPr>
            <a:spLocks noChangeShapeType="1"/>
          </xdr:cNvSpPr>
        </xdr:nvSpPr>
        <xdr:spPr bwMode="auto">
          <a:xfrm flipV="1">
            <a:off x="161"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81">
            <a:extLst>
              <a:ext uri="{FF2B5EF4-FFF2-40B4-BE49-F238E27FC236}">
                <a16:creationId xmlns:a16="http://schemas.microsoft.com/office/drawing/2014/main" id="{5E0D34FF-6D75-02B2-29CF-EBB661E0B47D}"/>
              </a:ext>
            </a:extLst>
          </xdr:cNvPr>
          <xdr:cNvSpPr>
            <a:spLocks noChangeShapeType="1"/>
          </xdr:cNvSpPr>
        </xdr:nvSpPr>
        <xdr:spPr bwMode="auto">
          <a:xfrm>
            <a:off x="161"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82">
            <a:extLst>
              <a:ext uri="{FF2B5EF4-FFF2-40B4-BE49-F238E27FC236}">
                <a16:creationId xmlns:a16="http://schemas.microsoft.com/office/drawing/2014/main" id="{F8BDB3C3-7EA9-D593-DF22-BF2E05745B4C}"/>
              </a:ext>
            </a:extLst>
          </xdr:cNvPr>
          <xdr:cNvSpPr>
            <a:spLocks noChangeShapeType="1"/>
          </xdr:cNvSpPr>
        </xdr:nvSpPr>
        <xdr:spPr bwMode="auto">
          <a:xfrm flipH="1" flipV="1">
            <a:off x="139" y="813"/>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83">
            <a:extLst>
              <a:ext uri="{FF2B5EF4-FFF2-40B4-BE49-F238E27FC236}">
                <a16:creationId xmlns:a16="http://schemas.microsoft.com/office/drawing/2014/main" id="{82D3BE55-5E5E-0531-D600-57CC80EE9B28}"/>
              </a:ext>
            </a:extLst>
          </xdr:cNvPr>
          <xdr:cNvSpPr>
            <a:spLocks noChangeShapeType="1"/>
          </xdr:cNvSpPr>
        </xdr:nvSpPr>
        <xdr:spPr bwMode="auto">
          <a:xfrm flipV="1">
            <a:off x="168" y="813"/>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84">
            <a:extLst>
              <a:ext uri="{FF2B5EF4-FFF2-40B4-BE49-F238E27FC236}">
                <a16:creationId xmlns:a16="http://schemas.microsoft.com/office/drawing/2014/main" id="{A9729846-088E-A11D-BC87-D1147DE3BCB4}"/>
              </a:ext>
            </a:extLst>
          </xdr:cNvPr>
          <xdr:cNvSpPr>
            <a:spLocks noChangeShapeType="1"/>
          </xdr:cNvSpPr>
        </xdr:nvSpPr>
        <xdr:spPr bwMode="auto">
          <a:xfrm flipH="1" flipV="1">
            <a:off x="168" y="811"/>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5">
            <a:extLst>
              <a:ext uri="{FF2B5EF4-FFF2-40B4-BE49-F238E27FC236}">
                <a16:creationId xmlns:a16="http://schemas.microsoft.com/office/drawing/2014/main" id="{C5C00BD0-6E2B-26BC-11E4-D115A789051F}"/>
              </a:ext>
            </a:extLst>
          </xdr:cNvPr>
          <xdr:cNvSpPr>
            <a:spLocks noChangeShapeType="1"/>
          </xdr:cNvSpPr>
        </xdr:nvSpPr>
        <xdr:spPr bwMode="auto">
          <a:xfrm flipV="1">
            <a:off x="139" y="811"/>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411649</xdr:colOff>
      <xdr:row>29</xdr:row>
      <xdr:rowOff>202266</xdr:rowOff>
    </xdr:to>
    <xdr:sp macro="" textlink="">
      <xdr:nvSpPr>
        <xdr:cNvPr id="51" name="Depth">
          <a:extLst>
            <a:ext uri="{FF2B5EF4-FFF2-40B4-BE49-F238E27FC236}">
              <a16:creationId xmlns:a16="http://schemas.microsoft.com/office/drawing/2014/main" id="{2C0AD0AF-5E65-408D-863D-51B9891B8821}"/>
            </a:ext>
          </a:extLst>
        </xdr:cNvPr>
        <xdr:cNvSpPr txBox="1">
          <a:spLocks noChangeArrowheads="1"/>
        </xdr:cNvSpPr>
      </xdr:nvSpPr>
      <xdr:spPr bwMode="auto">
        <a:xfrm>
          <a:off x="1819275" y="6781800"/>
          <a:ext cx="287824"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73.0</a:t>
          </a:r>
        </a:p>
      </xdr:txBody>
    </xdr:sp>
    <xdr:clientData/>
  </xdr:twoCellAnchor>
  <xdr:twoCellAnchor>
    <xdr:from>
      <xdr:col>1</xdr:col>
      <xdr:colOff>38100</xdr:colOff>
      <xdr:row>31</xdr:row>
      <xdr:rowOff>0</xdr:rowOff>
    </xdr:from>
    <xdr:to>
      <xdr:col>2</xdr:col>
      <xdr:colOff>11505</xdr:colOff>
      <xdr:row>31</xdr:row>
      <xdr:rowOff>104775</xdr:rowOff>
    </xdr:to>
    <xdr:sp macro="" textlink="">
      <xdr:nvSpPr>
        <xdr:cNvPr id="52" name="Tip">
          <a:extLst>
            <a:ext uri="{FF2B5EF4-FFF2-40B4-BE49-F238E27FC236}">
              <a16:creationId xmlns:a16="http://schemas.microsoft.com/office/drawing/2014/main" id="{328616CF-9BCF-4F4D-BD82-774F5B445C23}"/>
            </a:ext>
          </a:extLst>
        </xdr:cNvPr>
        <xdr:cNvSpPr txBox="1">
          <a:spLocks noChangeArrowheads="1"/>
        </xdr:cNvSpPr>
      </xdr:nvSpPr>
      <xdr:spPr bwMode="auto">
        <a:xfrm>
          <a:off x="828675" y="7153275"/>
          <a:ext cx="38298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13.15</a:t>
          </a:r>
        </a:p>
      </xdr:txBody>
    </xdr:sp>
    <xdr:clientData/>
  </xdr:twoCellAnchor>
  <xdr:twoCellAnchor>
    <xdr:from>
      <xdr:col>2</xdr:col>
      <xdr:colOff>144780</xdr:colOff>
      <xdr:row>26</xdr:row>
      <xdr:rowOff>200025</xdr:rowOff>
    </xdr:from>
    <xdr:to>
      <xdr:col>3</xdr:col>
      <xdr:colOff>47743</xdr:colOff>
      <xdr:row>27</xdr:row>
      <xdr:rowOff>66675</xdr:rowOff>
    </xdr:to>
    <xdr:sp macro="" textlink="">
      <xdr:nvSpPr>
        <xdr:cNvPr id="53" name="Width">
          <a:extLst>
            <a:ext uri="{FF2B5EF4-FFF2-40B4-BE49-F238E27FC236}">
              <a16:creationId xmlns:a16="http://schemas.microsoft.com/office/drawing/2014/main" id="{A13A846D-68C5-4CC6-8569-5C21B3F524CA}"/>
            </a:ext>
          </a:extLst>
        </xdr:cNvPr>
        <xdr:cNvSpPr txBox="1">
          <a:spLocks noChangeArrowheads="1"/>
        </xdr:cNvSpPr>
      </xdr:nvSpPr>
      <xdr:spPr bwMode="auto">
        <a:xfrm>
          <a:off x="1344930" y="6210300"/>
          <a:ext cx="398263"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17.3</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54" name="Group 254">
          <a:extLst>
            <a:ext uri="{FF2B5EF4-FFF2-40B4-BE49-F238E27FC236}">
              <a16:creationId xmlns:a16="http://schemas.microsoft.com/office/drawing/2014/main" id="{542B36F3-9F32-4DAB-A089-74C8418BA794}"/>
            </a:ext>
          </a:extLst>
        </xdr:cNvPr>
        <xdr:cNvGrpSpPr>
          <a:grpSpLocks/>
        </xdr:cNvGrpSpPr>
      </xdr:nvGrpSpPr>
      <xdr:grpSpPr bwMode="auto">
        <a:xfrm>
          <a:off x="1123950" y="6296025"/>
          <a:ext cx="942975" cy="1076325"/>
          <a:chOff x="118" y="637"/>
          <a:chExt cx="99" cy="113"/>
        </a:xfrm>
      </xdr:grpSpPr>
      <xdr:sp macro="" textlink="">
        <xdr:nvSpPr>
          <xdr:cNvPr id="55" name="Line 229">
            <a:extLst>
              <a:ext uri="{FF2B5EF4-FFF2-40B4-BE49-F238E27FC236}">
                <a16:creationId xmlns:a16="http://schemas.microsoft.com/office/drawing/2014/main" id="{32A76442-40E5-74A7-2866-E66C76DFFDE4}"/>
              </a:ext>
            </a:extLst>
          </xdr:cNvPr>
          <xdr:cNvSpPr>
            <a:spLocks noChangeShapeType="1"/>
          </xdr:cNvSpPr>
        </xdr:nvSpPr>
        <xdr:spPr bwMode="auto">
          <a:xfrm flipH="1">
            <a:off x="182" y="651"/>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230">
            <a:extLst>
              <a:ext uri="{FF2B5EF4-FFF2-40B4-BE49-F238E27FC236}">
                <a16:creationId xmlns:a16="http://schemas.microsoft.com/office/drawing/2014/main" id="{C740635F-36EB-9227-DFD5-378CAAB4A03C}"/>
              </a:ext>
            </a:extLst>
          </xdr:cNvPr>
          <xdr:cNvSpPr>
            <a:spLocks noChangeShapeType="1"/>
          </xdr:cNvSpPr>
        </xdr:nvSpPr>
        <xdr:spPr bwMode="auto">
          <a:xfrm flipH="1">
            <a:off x="134" y="652"/>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31">
            <a:extLst>
              <a:ext uri="{FF2B5EF4-FFF2-40B4-BE49-F238E27FC236}">
                <a16:creationId xmlns:a16="http://schemas.microsoft.com/office/drawing/2014/main" id="{E88A2857-77E8-6D30-01E4-B198F28265CA}"/>
              </a:ext>
            </a:extLst>
          </xdr:cNvPr>
          <xdr:cNvSpPr>
            <a:spLocks noChangeShapeType="1"/>
          </xdr:cNvSpPr>
        </xdr:nvSpPr>
        <xdr:spPr bwMode="auto">
          <a:xfrm>
            <a:off x="183"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32">
            <a:extLst>
              <a:ext uri="{FF2B5EF4-FFF2-40B4-BE49-F238E27FC236}">
                <a16:creationId xmlns:a16="http://schemas.microsoft.com/office/drawing/2014/main" id="{B121A80E-C243-B6E6-C05D-878D744149B3}"/>
              </a:ext>
            </a:extLst>
          </xdr:cNvPr>
          <xdr:cNvSpPr>
            <a:spLocks noChangeShapeType="1"/>
          </xdr:cNvSpPr>
        </xdr:nvSpPr>
        <xdr:spPr bwMode="auto">
          <a:xfrm>
            <a:off x="136" y="652"/>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33">
            <a:extLst>
              <a:ext uri="{FF2B5EF4-FFF2-40B4-BE49-F238E27FC236}">
                <a16:creationId xmlns:a16="http://schemas.microsoft.com/office/drawing/2014/main" id="{1FB9ED17-218C-9673-2A46-72CEAB370A4C}"/>
              </a:ext>
            </a:extLst>
          </xdr:cNvPr>
          <xdr:cNvSpPr>
            <a:spLocks noChangeShapeType="1"/>
          </xdr:cNvSpPr>
        </xdr:nvSpPr>
        <xdr:spPr bwMode="auto">
          <a:xfrm>
            <a:off x="130" y="724"/>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34">
            <a:extLst>
              <a:ext uri="{FF2B5EF4-FFF2-40B4-BE49-F238E27FC236}">
                <a16:creationId xmlns:a16="http://schemas.microsoft.com/office/drawing/2014/main" id="{49CC8746-B111-A56C-C538-47D6A5841BB4}"/>
              </a:ext>
            </a:extLst>
          </xdr:cNvPr>
          <xdr:cNvSpPr>
            <a:spLocks noChangeShapeType="1"/>
          </xdr:cNvSpPr>
        </xdr:nvSpPr>
        <xdr:spPr bwMode="auto">
          <a:xfrm flipH="1">
            <a:off x="190" y="72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35">
            <a:extLst>
              <a:ext uri="{FF2B5EF4-FFF2-40B4-BE49-F238E27FC236}">
                <a16:creationId xmlns:a16="http://schemas.microsoft.com/office/drawing/2014/main" id="{07F0B2C6-CC21-0447-248F-1A2089EEBD68}"/>
              </a:ext>
            </a:extLst>
          </xdr:cNvPr>
          <xdr:cNvSpPr>
            <a:spLocks noChangeShapeType="1"/>
          </xdr:cNvSpPr>
        </xdr:nvSpPr>
        <xdr:spPr bwMode="auto">
          <a:xfrm>
            <a:off x="130"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36">
            <a:extLst>
              <a:ext uri="{FF2B5EF4-FFF2-40B4-BE49-F238E27FC236}">
                <a16:creationId xmlns:a16="http://schemas.microsoft.com/office/drawing/2014/main" id="{95CDDF6C-29CB-1DB9-1224-75A51A698A5D}"/>
              </a:ext>
            </a:extLst>
          </xdr:cNvPr>
          <xdr:cNvSpPr>
            <a:spLocks noChangeShapeType="1"/>
          </xdr:cNvSpPr>
        </xdr:nvSpPr>
        <xdr:spPr bwMode="auto">
          <a:xfrm>
            <a:off x="182" y="729"/>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37">
            <a:extLst>
              <a:ext uri="{FF2B5EF4-FFF2-40B4-BE49-F238E27FC236}">
                <a16:creationId xmlns:a16="http://schemas.microsoft.com/office/drawing/2014/main" id="{A5E9F9F7-32F8-B0EC-D51F-63BECA487C0E}"/>
              </a:ext>
            </a:extLst>
          </xdr:cNvPr>
          <xdr:cNvSpPr>
            <a:spLocks noChangeShapeType="1"/>
          </xdr:cNvSpPr>
        </xdr:nvSpPr>
        <xdr:spPr bwMode="auto">
          <a:xfrm>
            <a:off x="137" y="731"/>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38">
            <a:extLst>
              <a:ext uri="{FF2B5EF4-FFF2-40B4-BE49-F238E27FC236}">
                <a16:creationId xmlns:a16="http://schemas.microsoft.com/office/drawing/2014/main" id="{7D63A2CA-DE5C-B406-7417-8EC5CDFD681D}"/>
              </a:ext>
            </a:extLst>
          </xdr:cNvPr>
          <xdr:cNvSpPr>
            <a:spLocks noChangeShapeType="1"/>
          </xdr:cNvSpPr>
        </xdr:nvSpPr>
        <xdr:spPr bwMode="auto">
          <a:xfrm>
            <a:off x="182" y="739"/>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239">
            <a:extLst>
              <a:ext uri="{FF2B5EF4-FFF2-40B4-BE49-F238E27FC236}">
                <a16:creationId xmlns:a16="http://schemas.microsoft.com/office/drawing/2014/main" id="{AC9E2C53-E918-6C9D-2D67-11E70B603A64}"/>
              </a:ext>
            </a:extLst>
          </xdr:cNvPr>
          <xdr:cNvSpPr>
            <a:spLocks noChangeShapeType="1"/>
          </xdr:cNvSpPr>
        </xdr:nvSpPr>
        <xdr:spPr bwMode="auto">
          <a:xfrm flipH="1">
            <a:off x="121" y="739"/>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240">
            <a:extLst>
              <a:ext uri="{FF2B5EF4-FFF2-40B4-BE49-F238E27FC236}">
                <a16:creationId xmlns:a16="http://schemas.microsoft.com/office/drawing/2014/main" id="{D31DD41B-4552-6501-9708-3860698CEA3F}"/>
              </a:ext>
            </a:extLst>
          </xdr:cNvPr>
          <xdr:cNvSpPr>
            <a:spLocks noChangeShapeType="1"/>
          </xdr:cNvSpPr>
        </xdr:nvSpPr>
        <xdr:spPr bwMode="auto">
          <a:xfrm>
            <a:off x="190" y="653"/>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41">
            <a:extLst>
              <a:ext uri="{FF2B5EF4-FFF2-40B4-BE49-F238E27FC236}">
                <a16:creationId xmlns:a16="http://schemas.microsoft.com/office/drawing/2014/main" id="{E8B826FA-5D34-FE34-D678-944D9D140625}"/>
              </a:ext>
            </a:extLst>
          </xdr:cNvPr>
          <xdr:cNvSpPr>
            <a:spLocks noChangeShapeType="1"/>
          </xdr:cNvSpPr>
        </xdr:nvSpPr>
        <xdr:spPr bwMode="auto">
          <a:xfrm flipV="1">
            <a:off x="200" y="654"/>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8" name="Line 242">
            <a:extLst>
              <a:ext uri="{FF2B5EF4-FFF2-40B4-BE49-F238E27FC236}">
                <a16:creationId xmlns:a16="http://schemas.microsoft.com/office/drawing/2014/main" id="{A4080EEF-5A63-CB5B-DAF4-2AA806802511}"/>
              </a:ext>
            </a:extLst>
          </xdr:cNvPr>
          <xdr:cNvSpPr>
            <a:spLocks noChangeShapeType="1"/>
          </xdr:cNvSpPr>
        </xdr:nvSpPr>
        <xdr:spPr bwMode="auto">
          <a:xfrm>
            <a:off x="200" y="708"/>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9" name="Line 243">
            <a:extLst>
              <a:ext uri="{FF2B5EF4-FFF2-40B4-BE49-F238E27FC236}">
                <a16:creationId xmlns:a16="http://schemas.microsoft.com/office/drawing/2014/main" id="{980358FD-18AA-E466-30B3-0915B1740FCF}"/>
              </a:ext>
            </a:extLst>
          </xdr:cNvPr>
          <xdr:cNvSpPr>
            <a:spLocks noChangeShapeType="1"/>
          </xdr:cNvSpPr>
        </xdr:nvSpPr>
        <xdr:spPr bwMode="auto">
          <a:xfrm flipV="1">
            <a:off x="124" y="740"/>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0" name="Line 244">
            <a:extLst>
              <a:ext uri="{FF2B5EF4-FFF2-40B4-BE49-F238E27FC236}">
                <a16:creationId xmlns:a16="http://schemas.microsoft.com/office/drawing/2014/main" id="{3CBA6417-9CA5-0348-5612-399EA8781308}"/>
              </a:ext>
            </a:extLst>
          </xdr:cNvPr>
          <xdr:cNvSpPr>
            <a:spLocks noChangeShapeType="1"/>
          </xdr:cNvSpPr>
        </xdr:nvSpPr>
        <xdr:spPr bwMode="auto">
          <a:xfrm>
            <a:off x="122" y="714"/>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1" name="Line 245">
            <a:extLst>
              <a:ext uri="{FF2B5EF4-FFF2-40B4-BE49-F238E27FC236}">
                <a16:creationId xmlns:a16="http://schemas.microsoft.com/office/drawing/2014/main" id="{36601E34-8558-9526-9332-BADA72FA108B}"/>
              </a:ext>
            </a:extLst>
          </xdr:cNvPr>
          <xdr:cNvSpPr>
            <a:spLocks noChangeShapeType="1"/>
          </xdr:cNvSpPr>
        </xdr:nvSpPr>
        <xdr:spPr bwMode="auto">
          <a:xfrm>
            <a:off x="118" y="724"/>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246">
            <a:extLst>
              <a:ext uri="{FF2B5EF4-FFF2-40B4-BE49-F238E27FC236}">
                <a16:creationId xmlns:a16="http://schemas.microsoft.com/office/drawing/2014/main" id="{AF684506-692B-C7BC-1B11-D24C91A85C2C}"/>
              </a:ext>
            </a:extLst>
          </xdr:cNvPr>
          <xdr:cNvSpPr>
            <a:spLocks noChangeShapeType="1"/>
          </xdr:cNvSpPr>
        </xdr:nvSpPr>
        <xdr:spPr bwMode="auto">
          <a:xfrm flipV="1">
            <a:off x="183" y="637"/>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47">
            <a:extLst>
              <a:ext uri="{FF2B5EF4-FFF2-40B4-BE49-F238E27FC236}">
                <a16:creationId xmlns:a16="http://schemas.microsoft.com/office/drawing/2014/main" id="{89730F15-0068-F6EB-2E45-8C232F426C47}"/>
              </a:ext>
            </a:extLst>
          </xdr:cNvPr>
          <xdr:cNvSpPr>
            <a:spLocks noChangeShapeType="1"/>
          </xdr:cNvSpPr>
        </xdr:nvSpPr>
        <xdr:spPr bwMode="auto">
          <a:xfrm flipV="1">
            <a:off x="135" y="63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48">
            <a:extLst>
              <a:ext uri="{FF2B5EF4-FFF2-40B4-BE49-F238E27FC236}">
                <a16:creationId xmlns:a16="http://schemas.microsoft.com/office/drawing/2014/main" id="{5C4070F1-60F3-2ADE-D00D-412370CD6F60}"/>
              </a:ext>
            </a:extLst>
          </xdr:cNvPr>
          <xdr:cNvSpPr>
            <a:spLocks noChangeShapeType="1"/>
          </xdr:cNvSpPr>
        </xdr:nvSpPr>
        <xdr:spPr bwMode="auto">
          <a:xfrm>
            <a:off x="144" y="643"/>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249">
            <a:extLst>
              <a:ext uri="{FF2B5EF4-FFF2-40B4-BE49-F238E27FC236}">
                <a16:creationId xmlns:a16="http://schemas.microsoft.com/office/drawing/2014/main" id="{65FD95DD-8EF0-4AAC-37BF-D82521B2317E}"/>
              </a:ext>
            </a:extLst>
          </xdr:cNvPr>
          <xdr:cNvSpPr>
            <a:spLocks noChangeShapeType="1"/>
          </xdr:cNvSpPr>
        </xdr:nvSpPr>
        <xdr:spPr bwMode="auto">
          <a:xfrm flipH="1">
            <a:off x="139" y="643"/>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250">
            <a:extLst>
              <a:ext uri="{FF2B5EF4-FFF2-40B4-BE49-F238E27FC236}">
                <a16:creationId xmlns:a16="http://schemas.microsoft.com/office/drawing/2014/main" id="{775460D7-775A-847B-6865-374B075C8B97}"/>
              </a:ext>
            </a:extLst>
          </xdr:cNvPr>
          <xdr:cNvSpPr>
            <a:spLocks noChangeShapeType="1"/>
          </xdr:cNvSpPr>
        </xdr:nvSpPr>
        <xdr:spPr bwMode="auto">
          <a:xfrm>
            <a:off x="130" y="724"/>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51">
            <a:extLst>
              <a:ext uri="{FF2B5EF4-FFF2-40B4-BE49-F238E27FC236}">
                <a16:creationId xmlns:a16="http://schemas.microsoft.com/office/drawing/2014/main" id="{EDC301DA-36A5-BF20-9148-01EBA3803A96}"/>
              </a:ext>
            </a:extLst>
          </xdr:cNvPr>
          <xdr:cNvSpPr>
            <a:spLocks noChangeShapeType="1"/>
          </xdr:cNvSpPr>
        </xdr:nvSpPr>
        <xdr:spPr bwMode="auto">
          <a:xfrm>
            <a:off x="182"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52">
            <a:extLst>
              <a:ext uri="{FF2B5EF4-FFF2-40B4-BE49-F238E27FC236}">
                <a16:creationId xmlns:a16="http://schemas.microsoft.com/office/drawing/2014/main" id="{30F9DE72-CAA8-7D16-788A-6E5EC55A78AB}"/>
              </a:ext>
            </a:extLst>
          </xdr:cNvPr>
          <xdr:cNvSpPr>
            <a:spLocks noChangeShapeType="1"/>
          </xdr:cNvSpPr>
        </xdr:nvSpPr>
        <xdr:spPr bwMode="auto">
          <a:xfrm flipV="1">
            <a:off x="190" y="722"/>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253">
            <a:extLst>
              <a:ext uri="{FF2B5EF4-FFF2-40B4-BE49-F238E27FC236}">
                <a16:creationId xmlns:a16="http://schemas.microsoft.com/office/drawing/2014/main" id="{88DAB779-2554-8071-60EE-5BB26A8968CF}"/>
              </a:ext>
            </a:extLst>
          </xdr:cNvPr>
          <xdr:cNvSpPr>
            <a:spLocks noChangeShapeType="1"/>
          </xdr:cNvSpPr>
        </xdr:nvSpPr>
        <xdr:spPr bwMode="auto">
          <a:xfrm>
            <a:off x="183" y="723"/>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0" name="Rectangle 255">
          <a:extLst>
            <a:ext uri="{FF2B5EF4-FFF2-40B4-BE49-F238E27FC236}">
              <a16:creationId xmlns:a16="http://schemas.microsoft.com/office/drawing/2014/main" id="{3365E33A-0B49-4117-844B-EEA718C69C46}"/>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1" name="Rectangle 256">
          <a:extLst>
            <a:ext uri="{FF2B5EF4-FFF2-40B4-BE49-F238E27FC236}">
              <a16:creationId xmlns:a16="http://schemas.microsoft.com/office/drawing/2014/main" id="{1F63B89E-358D-4971-BF2A-551E6898A109}"/>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2" name="Rectangle 257">
          <a:extLst>
            <a:ext uri="{FF2B5EF4-FFF2-40B4-BE49-F238E27FC236}">
              <a16:creationId xmlns:a16="http://schemas.microsoft.com/office/drawing/2014/main" id="{3367E208-C40A-4544-ABE5-4320D8E5E7FE}"/>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3" name="Rectangle 258">
          <a:extLst>
            <a:ext uri="{FF2B5EF4-FFF2-40B4-BE49-F238E27FC236}">
              <a16:creationId xmlns:a16="http://schemas.microsoft.com/office/drawing/2014/main" id="{63293342-1CC4-4484-81C9-89E8476AE8C6}"/>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4" name="Rectangle 259">
          <a:extLst>
            <a:ext uri="{FF2B5EF4-FFF2-40B4-BE49-F238E27FC236}">
              <a16:creationId xmlns:a16="http://schemas.microsoft.com/office/drawing/2014/main" id="{F3AD41BF-84FA-443B-8ED3-3B3E09497195}"/>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133350</xdr:colOff>
      <xdr:row>39</xdr:row>
      <xdr:rowOff>180975</xdr:rowOff>
    </xdr:from>
    <xdr:to>
      <xdr:col>3</xdr:col>
      <xdr:colOff>342900</xdr:colOff>
      <xdr:row>43</xdr:row>
      <xdr:rowOff>0</xdr:rowOff>
    </xdr:to>
    <xdr:grpSp>
      <xdr:nvGrpSpPr>
        <xdr:cNvPr id="85" name="Group 3">
          <a:extLst>
            <a:ext uri="{FF2B5EF4-FFF2-40B4-BE49-F238E27FC236}">
              <a16:creationId xmlns:a16="http://schemas.microsoft.com/office/drawing/2014/main" id="{4FFAF0B9-C9AA-48BA-B2C5-66A03416B6DF}"/>
            </a:ext>
          </a:extLst>
        </xdr:cNvPr>
        <xdr:cNvGrpSpPr>
          <a:grpSpLocks/>
        </xdr:cNvGrpSpPr>
      </xdr:nvGrpSpPr>
      <xdr:grpSpPr bwMode="auto">
        <a:xfrm>
          <a:off x="923925" y="9163050"/>
          <a:ext cx="1114425" cy="733425"/>
          <a:chOff x="921807" y="9129183"/>
          <a:chExt cx="1110192" cy="729192"/>
        </a:xfrm>
      </xdr:grpSpPr>
      <xdr:grpSp>
        <xdr:nvGrpSpPr>
          <xdr:cNvPr id="86" name="Group 112">
            <a:extLst>
              <a:ext uri="{FF2B5EF4-FFF2-40B4-BE49-F238E27FC236}">
                <a16:creationId xmlns:a16="http://schemas.microsoft.com/office/drawing/2014/main" id="{5588B085-1ED0-240C-0963-1BF040E90929}"/>
              </a:ext>
            </a:extLst>
          </xdr:cNvPr>
          <xdr:cNvGrpSpPr>
            <a:grpSpLocks/>
          </xdr:cNvGrpSpPr>
        </xdr:nvGrpSpPr>
        <xdr:grpSpPr bwMode="auto">
          <a:xfrm>
            <a:off x="921807" y="9129183"/>
            <a:ext cx="887941" cy="729192"/>
            <a:chOff x="13440000" y="15720000"/>
            <a:chExt cx="1904539" cy="1540000"/>
          </a:xfrm>
        </xdr:grpSpPr>
        <xdr:grpSp>
          <xdr:nvGrpSpPr>
            <xdr:cNvPr id="97" name="Group 113">
              <a:extLst>
                <a:ext uri="{FF2B5EF4-FFF2-40B4-BE49-F238E27FC236}">
                  <a16:creationId xmlns:a16="http://schemas.microsoft.com/office/drawing/2014/main" id="{B61E68FB-4143-4DB6-3B96-243A06F7E2DB}"/>
                </a:ext>
              </a:extLst>
            </xdr:cNvPr>
            <xdr:cNvGrpSpPr>
              <a:grpSpLocks/>
            </xdr:cNvGrpSpPr>
          </xdr:nvGrpSpPr>
          <xdr:grpSpPr bwMode="auto">
            <a:xfrm>
              <a:off x="13440000" y="15720000"/>
              <a:ext cx="1904539" cy="1540000"/>
              <a:chOff x="13440000" y="15720000"/>
              <a:chExt cx="1904539" cy="1540000"/>
            </a:xfrm>
          </xdr:grpSpPr>
          <xdr:sp macro="" textlink="">
            <xdr:nvSpPr>
              <xdr:cNvPr id="99" name="Line 114">
                <a:extLst>
                  <a:ext uri="{FF2B5EF4-FFF2-40B4-BE49-F238E27FC236}">
                    <a16:creationId xmlns:a16="http://schemas.microsoft.com/office/drawing/2014/main" id="{6BFEA71C-F06F-88C2-BA78-04202349B344}"/>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15">
                <a:extLst>
                  <a:ext uri="{FF2B5EF4-FFF2-40B4-BE49-F238E27FC236}">
                    <a16:creationId xmlns:a16="http://schemas.microsoft.com/office/drawing/2014/main" id="{29CFAC0D-6084-C287-1ECC-19B7C6F2FED0}"/>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16">
                <a:extLst>
                  <a:ext uri="{FF2B5EF4-FFF2-40B4-BE49-F238E27FC236}">
                    <a16:creationId xmlns:a16="http://schemas.microsoft.com/office/drawing/2014/main" id="{603931BA-96A9-0C61-5A7B-2F4646081C6F}"/>
                  </a:ext>
                </a:extLst>
              </xdr:cNvPr>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17">
                <a:extLst>
                  <a:ext uri="{FF2B5EF4-FFF2-40B4-BE49-F238E27FC236}">
                    <a16:creationId xmlns:a16="http://schemas.microsoft.com/office/drawing/2014/main" id="{1464F130-73D5-DEA6-537E-2A059BC0BFBF}"/>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18">
                <a:extLst>
                  <a:ext uri="{FF2B5EF4-FFF2-40B4-BE49-F238E27FC236}">
                    <a16:creationId xmlns:a16="http://schemas.microsoft.com/office/drawing/2014/main" id="{7B9AF608-B39F-6ACE-2DDE-BC97183034DD}"/>
                  </a:ext>
                </a:extLst>
              </xdr:cNvPr>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19">
                <a:extLst>
                  <a:ext uri="{FF2B5EF4-FFF2-40B4-BE49-F238E27FC236}">
                    <a16:creationId xmlns:a16="http://schemas.microsoft.com/office/drawing/2014/main" id="{3145B7B7-DE6C-3CE0-8BD7-5C299650750C}"/>
                  </a:ext>
                </a:extLst>
              </xdr:cNvPr>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Line 120">
              <a:extLst>
                <a:ext uri="{FF2B5EF4-FFF2-40B4-BE49-F238E27FC236}">
                  <a16:creationId xmlns:a16="http://schemas.microsoft.com/office/drawing/2014/main" id="{F5C2DC35-0E55-339F-F928-38F08A4C8AE8}"/>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 name="Group 2">
            <a:extLst>
              <a:ext uri="{FF2B5EF4-FFF2-40B4-BE49-F238E27FC236}">
                <a16:creationId xmlns:a16="http://schemas.microsoft.com/office/drawing/2014/main" id="{C6ADE3F1-8CF1-E2EE-F986-5C9BE3524E1E}"/>
              </a:ext>
            </a:extLst>
          </xdr:cNvPr>
          <xdr:cNvGrpSpPr>
            <a:grpSpLocks/>
          </xdr:cNvGrpSpPr>
        </xdr:nvGrpSpPr>
        <xdr:grpSpPr bwMode="auto">
          <a:xfrm>
            <a:off x="1214967" y="9175750"/>
            <a:ext cx="817032" cy="597957"/>
            <a:chOff x="1214967" y="9175750"/>
            <a:chExt cx="817032" cy="597957"/>
          </a:xfrm>
        </xdr:grpSpPr>
        <xdr:sp macro="" textlink="">
          <xdr:nvSpPr>
            <xdr:cNvPr id="88" name="Line 121">
              <a:extLst>
                <a:ext uri="{FF2B5EF4-FFF2-40B4-BE49-F238E27FC236}">
                  <a16:creationId xmlns:a16="http://schemas.microsoft.com/office/drawing/2014/main" id="{3DC6539C-8E2E-9A30-452D-97A73A5DA0C7}"/>
                </a:ext>
              </a:extLst>
            </xdr:cNvPr>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9" name="Group 1">
              <a:extLst>
                <a:ext uri="{FF2B5EF4-FFF2-40B4-BE49-F238E27FC236}">
                  <a16:creationId xmlns:a16="http://schemas.microsoft.com/office/drawing/2014/main" id="{1ED7E28A-F838-4DC8-2A95-8A097D9B8E71}"/>
                </a:ext>
              </a:extLst>
            </xdr:cNvPr>
            <xdr:cNvGrpSpPr>
              <a:grpSpLocks/>
            </xdr:cNvGrpSpPr>
          </xdr:nvGrpSpPr>
          <xdr:grpSpPr bwMode="auto">
            <a:xfrm>
              <a:off x="1500717" y="9175750"/>
              <a:ext cx="531282" cy="597957"/>
              <a:chOff x="1500717" y="9175750"/>
              <a:chExt cx="531282" cy="597957"/>
            </a:xfrm>
          </xdr:grpSpPr>
          <xdr:sp macro="" textlink="">
            <xdr:nvSpPr>
              <xdr:cNvPr id="90" name="Line 102">
                <a:extLst>
                  <a:ext uri="{FF2B5EF4-FFF2-40B4-BE49-F238E27FC236}">
                    <a16:creationId xmlns:a16="http://schemas.microsoft.com/office/drawing/2014/main" id="{F9D8736C-3852-7302-D3B6-FBDA882B378C}"/>
                  </a:ext>
                </a:extLst>
              </xdr:cNvPr>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03">
                <a:extLst>
                  <a:ext uri="{FF2B5EF4-FFF2-40B4-BE49-F238E27FC236}">
                    <a16:creationId xmlns:a16="http://schemas.microsoft.com/office/drawing/2014/main" id="{A33A7219-55C3-C745-AD38-E407154DB71A}"/>
                  </a:ext>
                </a:extLst>
              </xdr:cNvPr>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04">
                <a:extLst>
                  <a:ext uri="{FF2B5EF4-FFF2-40B4-BE49-F238E27FC236}">
                    <a16:creationId xmlns:a16="http://schemas.microsoft.com/office/drawing/2014/main" id="{12E9BFD4-FBC5-EA38-C11A-D9F5CC262908}"/>
                  </a:ext>
                </a:extLst>
              </xdr:cNvPr>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05">
                <a:extLst>
                  <a:ext uri="{FF2B5EF4-FFF2-40B4-BE49-F238E27FC236}">
                    <a16:creationId xmlns:a16="http://schemas.microsoft.com/office/drawing/2014/main" id="{898AA98D-34A0-CB25-A5A5-DFC139ED8884}"/>
                  </a:ext>
                </a:extLst>
              </xdr:cNvPr>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4" name="Line 106">
                <a:extLst>
                  <a:ext uri="{FF2B5EF4-FFF2-40B4-BE49-F238E27FC236}">
                    <a16:creationId xmlns:a16="http://schemas.microsoft.com/office/drawing/2014/main" id="{8AEFF9D1-4ED3-E01E-BF41-1716CD2D389D}"/>
                  </a:ext>
                </a:extLst>
              </xdr:cNvPr>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95" name="Line 107">
                <a:extLst>
                  <a:ext uri="{FF2B5EF4-FFF2-40B4-BE49-F238E27FC236}">
                    <a16:creationId xmlns:a16="http://schemas.microsoft.com/office/drawing/2014/main" id="{92BF9B29-3D74-D881-71DD-FD0C3FE07F37}"/>
                  </a:ext>
                </a:extLst>
              </xdr:cNvPr>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6" name="Line 102">
                <a:extLst>
                  <a:ext uri="{FF2B5EF4-FFF2-40B4-BE49-F238E27FC236}">
                    <a16:creationId xmlns:a16="http://schemas.microsoft.com/office/drawing/2014/main" id="{006B2806-0D61-2BB0-C292-290E41A4A287}"/>
                  </a:ext>
                </a:extLst>
              </xdr:cNvPr>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3</xdr:col>
      <xdr:colOff>622935</xdr:colOff>
      <xdr:row>29</xdr:row>
      <xdr:rowOff>0</xdr:rowOff>
    </xdr:from>
    <xdr:to>
      <xdr:col>4</xdr:col>
      <xdr:colOff>695462</xdr:colOff>
      <xdr:row>29</xdr:row>
      <xdr:rowOff>161925</xdr:rowOff>
    </xdr:to>
    <xdr:sp macro="" textlink="">
      <xdr:nvSpPr>
        <xdr:cNvPr id="105" name="Text 219">
          <a:extLst>
            <a:ext uri="{FF2B5EF4-FFF2-40B4-BE49-F238E27FC236}">
              <a16:creationId xmlns:a16="http://schemas.microsoft.com/office/drawing/2014/main" id="{205D69CD-884A-4DF3-921A-06E36C98AD7F}"/>
            </a:ext>
          </a:extLst>
        </xdr:cNvPr>
        <xdr:cNvSpPr txBox="1">
          <a:spLocks noChangeArrowheads="1"/>
        </xdr:cNvSpPr>
      </xdr:nvSpPr>
      <xdr:spPr bwMode="auto">
        <a:xfrm>
          <a:off x="2318385" y="6696075"/>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622935</xdr:colOff>
      <xdr:row>35</xdr:row>
      <xdr:rowOff>9525</xdr:rowOff>
    </xdr:from>
    <xdr:to>
      <xdr:col>4</xdr:col>
      <xdr:colOff>695462</xdr:colOff>
      <xdr:row>35</xdr:row>
      <xdr:rowOff>171450</xdr:rowOff>
    </xdr:to>
    <xdr:sp macro="" textlink="">
      <xdr:nvSpPr>
        <xdr:cNvPr id="106" name="Text 219">
          <a:extLst>
            <a:ext uri="{FF2B5EF4-FFF2-40B4-BE49-F238E27FC236}">
              <a16:creationId xmlns:a16="http://schemas.microsoft.com/office/drawing/2014/main" id="{8B145BC5-9AE5-4802-B123-DD25F264C708}"/>
            </a:ext>
          </a:extLst>
        </xdr:cNvPr>
        <xdr:cNvSpPr txBox="1">
          <a:spLocks noChangeArrowheads="1"/>
        </xdr:cNvSpPr>
      </xdr:nvSpPr>
      <xdr:spPr bwMode="auto">
        <a:xfrm>
          <a:off x="2318385" y="807720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622935</xdr:colOff>
      <xdr:row>40</xdr:row>
      <xdr:rowOff>180975</xdr:rowOff>
    </xdr:from>
    <xdr:to>
      <xdr:col>4</xdr:col>
      <xdr:colOff>695462</xdr:colOff>
      <xdr:row>41</xdr:row>
      <xdr:rowOff>114300</xdr:rowOff>
    </xdr:to>
    <xdr:sp macro="" textlink="">
      <xdr:nvSpPr>
        <xdr:cNvPr id="107" name="Text 219">
          <a:extLst>
            <a:ext uri="{FF2B5EF4-FFF2-40B4-BE49-F238E27FC236}">
              <a16:creationId xmlns:a16="http://schemas.microsoft.com/office/drawing/2014/main" id="{7C847414-590C-4929-AF3C-04608E8AE331}"/>
            </a:ext>
          </a:extLst>
        </xdr:cNvPr>
        <xdr:cNvSpPr txBox="1">
          <a:spLocks noChangeArrowheads="1"/>
        </xdr:cNvSpPr>
      </xdr:nvSpPr>
      <xdr:spPr bwMode="auto">
        <a:xfrm>
          <a:off x="2318385" y="939165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B9101908-150D-415A-A7AE-43200A0FF36A}"/>
            </a:ext>
          </a:extLst>
        </xdr:cNvPr>
        <xdr:cNvSpPr>
          <a:spLocks noChangeShapeType="1"/>
        </xdr:cNvSpPr>
      </xdr:nvSpPr>
      <xdr:spPr bwMode="auto">
        <a:xfrm>
          <a:off x="609600" y="1285875"/>
          <a:ext cx="942975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a:extLst>
            <a:ext uri="{FF2B5EF4-FFF2-40B4-BE49-F238E27FC236}">
              <a16:creationId xmlns:a16="http://schemas.microsoft.com/office/drawing/2014/main" id="{E851E62B-ADBD-445B-B3C7-D5F109F65E39}"/>
            </a:ext>
          </a:extLst>
        </xdr:cNvPr>
        <xdr:cNvSpPr>
          <a:spLocks noChangeShapeType="1"/>
        </xdr:cNvSpPr>
      </xdr:nvSpPr>
      <xdr:spPr bwMode="auto">
        <a:xfrm flipV="1">
          <a:off x="609600" y="1447800"/>
          <a:ext cx="11877675" cy="95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B5E4E7E4-36BB-44D7-B896-FA4CD10679A9}"/>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18E178AA-5342-4B75-8517-B9D6CEE39B52}"/>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a:extLst>
            <a:ext uri="{FF2B5EF4-FFF2-40B4-BE49-F238E27FC236}">
              <a16:creationId xmlns:a16="http://schemas.microsoft.com/office/drawing/2014/main" id="{9CBDB307-3B5D-44EC-95C5-E5ECC8CD1744}"/>
            </a:ext>
          </a:extLst>
        </xdr:cNvPr>
        <xdr:cNvSpPr>
          <a:spLocks noChangeShapeType="1"/>
        </xdr:cNvSpPr>
      </xdr:nvSpPr>
      <xdr:spPr bwMode="auto">
        <a:xfrm flipH="1">
          <a:off x="609600" y="495300"/>
          <a:ext cx="0" cy="78105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C3804C09-33AD-4875-8C6E-191E15208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400305D1-1A63-40E6-925A-258300444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0.63994</cdr:x>
      <cdr:y>0.64877</cdr:y>
    </cdr:from>
    <cdr:to>
      <cdr:x>0.87554</cdr:x>
      <cdr:y>0.66922</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0.63994</cdr:x>
      <cdr:y>0.54311</cdr:y>
    </cdr:from>
    <cdr:to>
      <cdr:x>0.92227</cdr:x>
      <cdr:y>0.56823</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0.19681</cdr:x>
      <cdr:y>0.83677</cdr:y>
    </cdr:from>
    <cdr:to>
      <cdr:x>0.442</cdr:x>
      <cdr:y>0.86166</cdr:y>
    </cdr:to>
    <cdr:sp macro="" textlink="">
      <cdr:nvSpPr>
        <cdr:cNvPr id="5135" name="Acceleration"/>
        <cdr:cNvSpPr txBox="1">
          <a:spLocks xmlns:a="http://schemas.openxmlformats.org/drawingml/2006/main" noChangeArrowheads="1"/>
        </cdr:cNvSpPr>
      </cdr:nvSpPr>
      <cdr:spPr bwMode="auto">
        <a:xfrm xmlns:a="http://schemas.openxmlformats.org/drawingml/2006/main">
          <a:off x="1150990" y="5387898"/>
          <a:ext cx="1433957" cy="16026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0.29956</cdr:x>
      <cdr:y>0.36108</cdr:y>
    </cdr:from>
    <cdr:to>
      <cdr:x>0.6237</cdr:x>
      <cdr:y>0.38818</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0.62346</cdr:x>
      <cdr:y>0.19384</cdr:y>
    </cdr:from>
    <cdr:to>
      <cdr:x>0.94834</cdr:x>
      <cdr:y>0.22242</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a:lstStyle xmlns:a="http://schemas.openxmlformats.org/drawingml/2006/main"/>
        <a:p xmlns:a="http://schemas.openxmlformats.org/drawingml/2006/main">
          <a:r>
            <a:rPr lang="en-US"/>
            <a:t>LOAD TYPE: FAN / PUMP</a:t>
          </a:r>
        </a:p>
      </cdr:txBody>
    </cdr:sp>
  </cdr:relSizeAnchor>
  <cdr:relSizeAnchor xmlns:cdr="http://schemas.openxmlformats.org/drawingml/2006/chartDrawing">
    <cdr:from>
      <cdr:x>0.18866</cdr:x>
      <cdr:y>0.72337</cdr:y>
    </cdr:from>
    <cdr:to>
      <cdr:x>0.49837</cdr:x>
      <cdr:y>0.75515</cdr:y>
    </cdr:to>
    <cdr:sp macro="" textlink="">
      <cdr:nvSpPr>
        <cdr:cNvPr id="2" name="Acceleration">
          <a:extLst xmlns:a="http://schemas.openxmlformats.org/drawingml/2006/main">
            <a:ext uri="{FF2B5EF4-FFF2-40B4-BE49-F238E27FC236}">
              <a16:creationId xmlns:a16="http://schemas.microsoft.com/office/drawing/2014/main" id="{4E99C684-9E89-1B87-ABD9-CD14E3CAEEAC}"/>
            </a:ext>
          </a:extLst>
        </cdr:cNvPr>
        <cdr:cNvSpPr txBox="1">
          <a:spLocks xmlns:a="http://schemas.openxmlformats.org/drawingml/2006/main" noChangeArrowheads="1"/>
        </cdr:cNvSpPr>
      </cdr:nvSpPr>
      <cdr:spPr bwMode="auto">
        <a:xfrm xmlns:a="http://schemas.openxmlformats.org/drawingml/2006/main">
          <a:off x="1103365" y="4657725"/>
          <a:ext cx="1811285" cy="20463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80%V</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0B5786E0-35CA-4912-868E-4132E0C1E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581025</xdr:colOff>
      <xdr:row>16</xdr:row>
      <xdr:rowOff>85725</xdr:rowOff>
    </xdr:from>
    <xdr:to>
      <xdr:col>0</xdr:col>
      <xdr:colOff>1104900</xdr:colOff>
      <xdr:row>17</xdr:row>
      <xdr:rowOff>57150</xdr:rowOff>
    </xdr:to>
    <xdr:sp macro="" textlink="">
      <xdr:nvSpPr>
        <xdr:cNvPr id="3" name="RPM11">
          <a:extLst>
            <a:ext uri="{FF2B5EF4-FFF2-40B4-BE49-F238E27FC236}">
              <a16:creationId xmlns:a16="http://schemas.microsoft.com/office/drawing/2014/main" id="{21459AF1-B880-4F12-A20D-86D8E9B4DB3C}"/>
            </a:ext>
          </a:extLst>
        </xdr:cNvPr>
        <xdr:cNvSpPr txBox="1">
          <a:spLocks noChangeArrowheads="1"/>
        </xdr:cNvSpPr>
      </xdr:nvSpPr>
      <xdr:spPr bwMode="auto">
        <a:xfrm>
          <a:off x="581025" y="39814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571500</xdr:colOff>
      <xdr:row>18</xdr:row>
      <xdr:rowOff>28575</xdr:rowOff>
    </xdr:from>
    <xdr:to>
      <xdr:col>0</xdr:col>
      <xdr:colOff>1095375</xdr:colOff>
      <xdr:row>19</xdr:row>
      <xdr:rowOff>0</xdr:rowOff>
    </xdr:to>
    <xdr:sp macro="" textlink="">
      <xdr:nvSpPr>
        <xdr:cNvPr id="4" name="RPM10">
          <a:extLst>
            <a:ext uri="{FF2B5EF4-FFF2-40B4-BE49-F238E27FC236}">
              <a16:creationId xmlns:a16="http://schemas.microsoft.com/office/drawing/2014/main" id="{5673124B-A059-4D97-827C-D3F269DB4199}"/>
            </a:ext>
          </a:extLst>
        </xdr:cNvPr>
        <xdr:cNvSpPr txBox="1">
          <a:spLocks noChangeArrowheads="1"/>
        </xdr:cNvSpPr>
      </xdr:nvSpPr>
      <xdr:spPr bwMode="auto">
        <a:xfrm>
          <a:off x="571500" y="44005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3598</a:t>
          </a:r>
        </a:p>
      </xdr:txBody>
    </xdr:sp>
    <xdr:clientData/>
  </xdr:twoCellAnchor>
  <xdr:twoCellAnchor>
    <xdr:from>
      <xdr:col>0</xdr:col>
      <xdr:colOff>561975</xdr:colOff>
      <xdr:row>19</xdr:row>
      <xdr:rowOff>200025</xdr:rowOff>
    </xdr:from>
    <xdr:to>
      <xdr:col>0</xdr:col>
      <xdr:colOff>1085850</xdr:colOff>
      <xdr:row>20</xdr:row>
      <xdr:rowOff>171450</xdr:rowOff>
    </xdr:to>
    <xdr:sp macro="" textlink="">
      <xdr:nvSpPr>
        <xdr:cNvPr id="5" name="RPM9">
          <a:extLst>
            <a:ext uri="{FF2B5EF4-FFF2-40B4-BE49-F238E27FC236}">
              <a16:creationId xmlns:a16="http://schemas.microsoft.com/office/drawing/2014/main" id="{28026963-55F2-4A26-8EF9-3FB68FACEF78}"/>
            </a:ext>
          </a:extLst>
        </xdr:cNvPr>
        <xdr:cNvSpPr txBox="1">
          <a:spLocks noChangeArrowheads="1"/>
        </xdr:cNvSpPr>
      </xdr:nvSpPr>
      <xdr:spPr bwMode="auto">
        <a:xfrm>
          <a:off x="561975" y="48101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3596</a:t>
          </a:r>
        </a:p>
      </xdr:txBody>
    </xdr:sp>
    <xdr:clientData/>
  </xdr:twoCellAnchor>
  <xdr:twoCellAnchor>
    <xdr:from>
      <xdr:col>0</xdr:col>
      <xdr:colOff>561975</xdr:colOff>
      <xdr:row>21</xdr:row>
      <xdr:rowOff>133350</xdr:rowOff>
    </xdr:from>
    <xdr:to>
      <xdr:col>0</xdr:col>
      <xdr:colOff>1085850</xdr:colOff>
      <xdr:row>22</xdr:row>
      <xdr:rowOff>104775</xdr:rowOff>
    </xdr:to>
    <xdr:sp macro="" textlink="">
      <xdr:nvSpPr>
        <xdr:cNvPr id="6" name="RPM8">
          <a:extLst>
            <a:ext uri="{FF2B5EF4-FFF2-40B4-BE49-F238E27FC236}">
              <a16:creationId xmlns:a16="http://schemas.microsoft.com/office/drawing/2014/main" id="{DBD57245-DEBF-450D-A6B4-4999B4B812AA}"/>
            </a:ext>
          </a:extLst>
        </xdr:cNvPr>
        <xdr:cNvSpPr txBox="1">
          <a:spLocks noChangeArrowheads="1"/>
        </xdr:cNvSpPr>
      </xdr:nvSpPr>
      <xdr:spPr bwMode="auto">
        <a:xfrm>
          <a:off x="561975" y="52197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3594</a:t>
          </a:r>
        </a:p>
      </xdr:txBody>
    </xdr:sp>
    <xdr:clientData/>
  </xdr:twoCellAnchor>
  <xdr:twoCellAnchor>
    <xdr:from>
      <xdr:col>0</xdr:col>
      <xdr:colOff>571500</xdr:colOff>
      <xdr:row>23</xdr:row>
      <xdr:rowOff>66675</xdr:rowOff>
    </xdr:from>
    <xdr:to>
      <xdr:col>0</xdr:col>
      <xdr:colOff>1095375</xdr:colOff>
      <xdr:row>24</xdr:row>
      <xdr:rowOff>38100</xdr:rowOff>
    </xdr:to>
    <xdr:sp macro="" textlink="">
      <xdr:nvSpPr>
        <xdr:cNvPr id="7" name="RPM7">
          <a:extLst>
            <a:ext uri="{FF2B5EF4-FFF2-40B4-BE49-F238E27FC236}">
              <a16:creationId xmlns:a16="http://schemas.microsoft.com/office/drawing/2014/main" id="{36B51D42-06FE-476F-B145-DE0BE4B5ACE3}"/>
            </a:ext>
          </a:extLst>
        </xdr:cNvPr>
        <xdr:cNvSpPr txBox="1">
          <a:spLocks noChangeArrowheads="1"/>
        </xdr:cNvSpPr>
      </xdr:nvSpPr>
      <xdr:spPr bwMode="auto">
        <a:xfrm>
          <a:off x="571500" y="56292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3592</a:t>
          </a:r>
        </a:p>
      </xdr:txBody>
    </xdr:sp>
    <xdr:clientData/>
  </xdr:twoCellAnchor>
  <xdr:twoCellAnchor>
    <xdr:from>
      <xdr:col>0</xdr:col>
      <xdr:colOff>571500</xdr:colOff>
      <xdr:row>25</xdr:row>
      <xdr:rowOff>0</xdr:rowOff>
    </xdr:from>
    <xdr:to>
      <xdr:col>0</xdr:col>
      <xdr:colOff>1095375</xdr:colOff>
      <xdr:row>25</xdr:row>
      <xdr:rowOff>209550</xdr:rowOff>
    </xdr:to>
    <xdr:sp macro="" textlink="">
      <xdr:nvSpPr>
        <xdr:cNvPr id="8" name="RPM6">
          <a:extLst>
            <a:ext uri="{FF2B5EF4-FFF2-40B4-BE49-F238E27FC236}">
              <a16:creationId xmlns:a16="http://schemas.microsoft.com/office/drawing/2014/main" id="{13B044F3-BB17-4835-9679-3393381E9EA2}"/>
            </a:ext>
          </a:extLst>
        </xdr:cNvPr>
        <xdr:cNvSpPr txBox="1">
          <a:spLocks noChangeArrowheads="1"/>
        </xdr:cNvSpPr>
      </xdr:nvSpPr>
      <xdr:spPr bwMode="auto">
        <a:xfrm>
          <a:off x="571500" y="60388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3590</a:t>
          </a:r>
        </a:p>
      </xdr:txBody>
    </xdr:sp>
    <xdr:clientData/>
  </xdr:twoCellAnchor>
  <xdr:twoCellAnchor>
    <xdr:from>
      <xdr:col>0</xdr:col>
      <xdr:colOff>561975</xdr:colOff>
      <xdr:row>26</xdr:row>
      <xdr:rowOff>171450</xdr:rowOff>
    </xdr:from>
    <xdr:to>
      <xdr:col>0</xdr:col>
      <xdr:colOff>1085850</xdr:colOff>
      <xdr:row>27</xdr:row>
      <xdr:rowOff>142875</xdr:rowOff>
    </xdr:to>
    <xdr:sp macro="" textlink="">
      <xdr:nvSpPr>
        <xdr:cNvPr id="9" name="RPM5">
          <a:extLst>
            <a:ext uri="{FF2B5EF4-FFF2-40B4-BE49-F238E27FC236}">
              <a16:creationId xmlns:a16="http://schemas.microsoft.com/office/drawing/2014/main" id="{9A167DD0-163F-4E90-87DF-FC3907432E61}"/>
            </a:ext>
          </a:extLst>
        </xdr:cNvPr>
        <xdr:cNvSpPr txBox="1">
          <a:spLocks noChangeArrowheads="1"/>
        </xdr:cNvSpPr>
      </xdr:nvSpPr>
      <xdr:spPr bwMode="auto">
        <a:xfrm>
          <a:off x="561975" y="64484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552450</xdr:colOff>
      <xdr:row>28</xdr:row>
      <xdr:rowOff>104775</xdr:rowOff>
    </xdr:from>
    <xdr:to>
      <xdr:col>0</xdr:col>
      <xdr:colOff>1076325</xdr:colOff>
      <xdr:row>29</xdr:row>
      <xdr:rowOff>76200</xdr:rowOff>
    </xdr:to>
    <xdr:sp macro="" textlink="">
      <xdr:nvSpPr>
        <xdr:cNvPr id="10" name="RPM4">
          <a:extLst>
            <a:ext uri="{FF2B5EF4-FFF2-40B4-BE49-F238E27FC236}">
              <a16:creationId xmlns:a16="http://schemas.microsoft.com/office/drawing/2014/main" id="{0492F5AA-90C8-4318-BC8F-48AEF5EABBBB}"/>
            </a:ext>
          </a:extLst>
        </xdr:cNvPr>
        <xdr:cNvSpPr txBox="1">
          <a:spLocks noChangeArrowheads="1"/>
        </xdr:cNvSpPr>
      </xdr:nvSpPr>
      <xdr:spPr bwMode="auto">
        <a:xfrm>
          <a:off x="552450" y="68580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3586</a:t>
          </a:r>
        </a:p>
      </xdr:txBody>
    </xdr:sp>
    <xdr:clientData/>
  </xdr:twoCellAnchor>
  <xdr:twoCellAnchor>
    <xdr:from>
      <xdr:col>0</xdr:col>
      <xdr:colOff>552450</xdr:colOff>
      <xdr:row>30</xdr:row>
      <xdr:rowOff>47625</xdr:rowOff>
    </xdr:from>
    <xdr:to>
      <xdr:col>0</xdr:col>
      <xdr:colOff>1076325</xdr:colOff>
      <xdr:row>31</xdr:row>
      <xdr:rowOff>19050</xdr:rowOff>
    </xdr:to>
    <xdr:sp macro="" textlink="">
      <xdr:nvSpPr>
        <xdr:cNvPr id="11" name="RPM3">
          <a:extLst>
            <a:ext uri="{FF2B5EF4-FFF2-40B4-BE49-F238E27FC236}">
              <a16:creationId xmlns:a16="http://schemas.microsoft.com/office/drawing/2014/main" id="{E64D9A65-2423-4AD1-B7AF-B441224FDA2E}"/>
            </a:ext>
          </a:extLst>
        </xdr:cNvPr>
        <xdr:cNvSpPr txBox="1">
          <a:spLocks noChangeArrowheads="1"/>
        </xdr:cNvSpPr>
      </xdr:nvSpPr>
      <xdr:spPr bwMode="auto">
        <a:xfrm>
          <a:off x="552450" y="72771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3584</a:t>
          </a:r>
        </a:p>
      </xdr:txBody>
    </xdr:sp>
    <xdr:clientData/>
  </xdr:twoCellAnchor>
  <xdr:twoCellAnchor>
    <xdr:from>
      <xdr:col>0</xdr:col>
      <xdr:colOff>552450</xdr:colOff>
      <xdr:row>31</xdr:row>
      <xdr:rowOff>219075</xdr:rowOff>
    </xdr:from>
    <xdr:to>
      <xdr:col>0</xdr:col>
      <xdr:colOff>1076325</xdr:colOff>
      <xdr:row>32</xdr:row>
      <xdr:rowOff>190500</xdr:rowOff>
    </xdr:to>
    <xdr:sp macro="" textlink="">
      <xdr:nvSpPr>
        <xdr:cNvPr id="12" name="RPM2">
          <a:extLst>
            <a:ext uri="{FF2B5EF4-FFF2-40B4-BE49-F238E27FC236}">
              <a16:creationId xmlns:a16="http://schemas.microsoft.com/office/drawing/2014/main" id="{A07CCAC0-3F7F-4AF1-8C46-671910105FBC}"/>
            </a:ext>
          </a:extLst>
        </xdr:cNvPr>
        <xdr:cNvSpPr txBox="1">
          <a:spLocks noChangeArrowheads="1"/>
        </xdr:cNvSpPr>
      </xdr:nvSpPr>
      <xdr:spPr bwMode="auto">
        <a:xfrm>
          <a:off x="552450" y="76866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3582</a:t>
          </a:r>
        </a:p>
      </xdr:txBody>
    </xdr:sp>
    <xdr:clientData/>
  </xdr:twoCellAnchor>
  <xdr:twoCellAnchor>
    <xdr:from>
      <xdr:col>0</xdr:col>
      <xdr:colOff>561975</xdr:colOff>
      <xdr:row>33</xdr:row>
      <xdr:rowOff>152400</xdr:rowOff>
    </xdr:from>
    <xdr:to>
      <xdr:col>0</xdr:col>
      <xdr:colOff>1085850</xdr:colOff>
      <xdr:row>34</xdr:row>
      <xdr:rowOff>123825</xdr:rowOff>
    </xdr:to>
    <xdr:sp macro="" textlink="">
      <xdr:nvSpPr>
        <xdr:cNvPr id="13" name="RPM1">
          <a:extLst>
            <a:ext uri="{FF2B5EF4-FFF2-40B4-BE49-F238E27FC236}">
              <a16:creationId xmlns:a16="http://schemas.microsoft.com/office/drawing/2014/main" id="{30A1EC9B-33BD-4EED-9E32-3CAF4AA511F7}"/>
            </a:ext>
          </a:extLst>
        </xdr:cNvPr>
        <xdr:cNvSpPr txBox="1">
          <a:spLocks noChangeArrowheads="1"/>
        </xdr:cNvSpPr>
      </xdr:nvSpPr>
      <xdr:spPr bwMode="auto">
        <a:xfrm>
          <a:off x="561975" y="80962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3580</a:t>
          </a:r>
        </a:p>
      </xdr:txBody>
    </xdr:sp>
    <xdr:clientData/>
  </xdr:twoCellAnchor>
  <xdr:twoCellAnchor>
    <xdr:from>
      <xdr:col>0</xdr:col>
      <xdr:colOff>190500</xdr:colOff>
      <xdr:row>24</xdr:row>
      <xdr:rowOff>133350</xdr:rowOff>
    </xdr:from>
    <xdr:to>
      <xdr:col>0</xdr:col>
      <xdr:colOff>400050</xdr:colOff>
      <xdr:row>27</xdr:row>
      <xdr:rowOff>0</xdr:rowOff>
    </xdr:to>
    <xdr:sp macro="" textlink="">
      <xdr:nvSpPr>
        <xdr:cNvPr id="14" name="RPM">
          <a:extLst>
            <a:ext uri="{FF2B5EF4-FFF2-40B4-BE49-F238E27FC236}">
              <a16:creationId xmlns:a16="http://schemas.microsoft.com/office/drawing/2014/main" id="{51F8CA19-BDE7-47A3-8021-7DEBAEA35BAA}"/>
            </a:ext>
          </a:extLst>
        </xdr:cNvPr>
        <xdr:cNvSpPr txBox="1">
          <a:spLocks noChangeArrowheads="1"/>
        </xdr:cNvSpPr>
      </xdr:nvSpPr>
      <xdr:spPr bwMode="auto">
        <a:xfrm>
          <a:off x="190500" y="5934075"/>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85726</xdr:rowOff>
    </xdr:from>
    <xdr:to>
      <xdr:col>5</xdr:col>
      <xdr:colOff>828674</xdr:colOff>
      <xdr:row>17</xdr:row>
      <xdr:rowOff>9526</xdr:rowOff>
    </xdr:to>
    <xdr:sp macro="" textlink="">
      <xdr:nvSpPr>
        <xdr:cNvPr id="15" name="Watts11">
          <a:extLst>
            <a:ext uri="{FF2B5EF4-FFF2-40B4-BE49-F238E27FC236}">
              <a16:creationId xmlns:a16="http://schemas.microsoft.com/office/drawing/2014/main" id="{30292548-A110-4292-9E9B-BF980D2E5A16}"/>
            </a:ext>
          </a:extLst>
        </xdr:cNvPr>
        <xdr:cNvSpPr txBox="1">
          <a:spLocks noChangeArrowheads="1"/>
        </xdr:cNvSpPr>
      </xdr:nvSpPr>
      <xdr:spPr bwMode="auto">
        <a:xfrm>
          <a:off x="5924549" y="39814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8000</a:t>
          </a:r>
        </a:p>
      </xdr:txBody>
    </xdr:sp>
    <xdr:clientData/>
  </xdr:twoCellAnchor>
  <xdr:twoCellAnchor>
    <xdr:from>
      <xdr:col>5</xdr:col>
      <xdr:colOff>381000</xdr:colOff>
      <xdr:row>25</xdr:row>
      <xdr:rowOff>0</xdr:rowOff>
    </xdr:from>
    <xdr:to>
      <xdr:col>5</xdr:col>
      <xdr:colOff>918308</xdr:colOff>
      <xdr:row>25</xdr:row>
      <xdr:rowOff>170021</xdr:rowOff>
    </xdr:to>
    <xdr:sp macro="" textlink="">
      <xdr:nvSpPr>
        <xdr:cNvPr id="16" name="Watts6">
          <a:extLst>
            <a:ext uri="{FF2B5EF4-FFF2-40B4-BE49-F238E27FC236}">
              <a16:creationId xmlns:a16="http://schemas.microsoft.com/office/drawing/2014/main" id="{F8597124-5AE2-447D-BD53-A8F86B6F7EE8}"/>
            </a:ext>
          </a:extLst>
        </xdr:cNvPr>
        <xdr:cNvSpPr txBox="1">
          <a:spLocks noChangeArrowheads="1"/>
        </xdr:cNvSpPr>
      </xdr:nvSpPr>
      <xdr:spPr bwMode="auto">
        <a:xfrm>
          <a:off x="5953125" y="6038850"/>
          <a:ext cx="537308" cy="17002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4000</a:t>
          </a:r>
        </a:p>
      </xdr:txBody>
    </xdr:sp>
    <xdr:clientData/>
  </xdr:twoCellAnchor>
  <xdr:twoCellAnchor>
    <xdr:from>
      <xdr:col>5</xdr:col>
      <xdr:colOff>371474</xdr:colOff>
      <xdr:row>26</xdr:row>
      <xdr:rowOff>180976</xdr:rowOff>
    </xdr:from>
    <xdr:to>
      <xdr:col>5</xdr:col>
      <xdr:colOff>847724</xdr:colOff>
      <xdr:row>27</xdr:row>
      <xdr:rowOff>104776</xdr:rowOff>
    </xdr:to>
    <xdr:sp macro="" textlink="">
      <xdr:nvSpPr>
        <xdr:cNvPr id="17" name="Watts5">
          <a:extLst>
            <a:ext uri="{FF2B5EF4-FFF2-40B4-BE49-F238E27FC236}">
              <a16:creationId xmlns:a16="http://schemas.microsoft.com/office/drawing/2014/main" id="{A40A393C-5C2F-4810-B24B-C626BCFA4FC2}"/>
            </a:ext>
          </a:extLst>
        </xdr:cNvPr>
        <xdr:cNvSpPr txBox="1">
          <a:spLocks noChangeArrowheads="1"/>
        </xdr:cNvSpPr>
      </xdr:nvSpPr>
      <xdr:spPr bwMode="auto">
        <a:xfrm>
          <a:off x="5943599" y="64579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3200</a:t>
          </a:r>
        </a:p>
      </xdr:txBody>
    </xdr:sp>
    <xdr:clientData/>
  </xdr:twoCellAnchor>
  <xdr:twoCellAnchor>
    <xdr:from>
      <xdr:col>5</xdr:col>
      <xdr:colOff>380999</xdr:colOff>
      <xdr:row>28</xdr:row>
      <xdr:rowOff>114301</xdr:rowOff>
    </xdr:from>
    <xdr:to>
      <xdr:col>5</xdr:col>
      <xdr:colOff>857249</xdr:colOff>
      <xdr:row>29</xdr:row>
      <xdr:rowOff>38101</xdr:rowOff>
    </xdr:to>
    <xdr:sp macro="" textlink="">
      <xdr:nvSpPr>
        <xdr:cNvPr id="18" name="Watts4">
          <a:extLst>
            <a:ext uri="{FF2B5EF4-FFF2-40B4-BE49-F238E27FC236}">
              <a16:creationId xmlns:a16="http://schemas.microsoft.com/office/drawing/2014/main" id="{FCF77B7E-0813-4480-91BE-1E191B1E9398}"/>
            </a:ext>
          </a:extLst>
        </xdr:cNvPr>
        <xdr:cNvSpPr txBox="1">
          <a:spLocks noChangeArrowheads="1"/>
        </xdr:cNvSpPr>
      </xdr:nvSpPr>
      <xdr:spPr bwMode="auto">
        <a:xfrm>
          <a:off x="5953124" y="68675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2400</a:t>
          </a:r>
        </a:p>
      </xdr:txBody>
    </xdr:sp>
    <xdr:clientData/>
  </xdr:twoCellAnchor>
  <xdr:twoCellAnchor>
    <xdr:from>
      <xdr:col>5</xdr:col>
      <xdr:colOff>371474</xdr:colOff>
      <xdr:row>30</xdr:row>
      <xdr:rowOff>38101</xdr:rowOff>
    </xdr:from>
    <xdr:to>
      <xdr:col>5</xdr:col>
      <xdr:colOff>847724</xdr:colOff>
      <xdr:row>30</xdr:row>
      <xdr:rowOff>200026</xdr:rowOff>
    </xdr:to>
    <xdr:sp macro="" textlink="">
      <xdr:nvSpPr>
        <xdr:cNvPr id="19" name="Watts3">
          <a:extLst>
            <a:ext uri="{FF2B5EF4-FFF2-40B4-BE49-F238E27FC236}">
              <a16:creationId xmlns:a16="http://schemas.microsoft.com/office/drawing/2014/main" id="{48BD6F73-9F4D-4198-A590-044125F0BEDE}"/>
            </a:ext>
          </a:extLst>
        </xdr:cNvPr>
        <xdr:cNvSpPr txBox="1">
          <a:spLocks noChangeArrowheads="1"/>
        </xdr:cNvSpPr>
      </xdr:nvSpPr>
      <xdr:spPr bwMode="auto">
        <a:xfrm>
          <a:off x="5943599" y="72675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1600</a:t>
          </a:r>
        </a:p>
      </xdr:txBody>
    </xdr:sp>
    <xdr:clientData/>
  </xdr:twoCellAnchor>
  <xdr:twoCellAnchor>
    <xdr:from>
      <xdr:col>5</xdr:col>
      <xdr:colOff>371474</xdr:colOff>
      <xdr:row>31</xdr:row>
      <xdr:rowOff>219076</xdr:rowOff>
    </xdr:from>
    <xdr:to>
      <xdr:col>5</xdr:col>
      <xdr:colOff>847724</xdr:colOff>
      <xdr:row>32</xdr:row>
      <xdr:rowOff>142876</xdr:rowOff>
    </xdr:to>
    <xdr:sp macro="" textlink="">
      <xdr:nvSpPr>
        <xdr:cNvPr id="20" name="Watts2">
          <a:extLst>
            <a:ext uri="{FF2B5EF4-FFF2-40B4-BE49-F238E27FC236}">
              <a16:creationId xmlns:a16="http://schemas.microsoft.com/office/drawing/2014/main" id="{AC102B84-75A1-418D-A4F6-9F69FF9B273D}"/>
            </a:ext>
          </a:extLst>
        </xdr:cNvPr>
        <xdr:cNvSpPr txBox="1">
          <a:spLocks noChangeArrowheads="1"/>
        </xdr:cNvSpPr>
      </xdr:nvSpPr>
      <xdr:spPr bwMode="auto">
        <a:xfrm>
          <a:off x="5943599" y="76866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828675</xdr:colOff>
      <xdr:row>22</xdr:row>
      <xdr:rowOff>190500</xdr:rowOff>
    </xdr:from>
    <xdr:to>
      <xdr:col>5</xdr:col>
      <xdr:colOff>1047750</xdr:colOff>
      <xdr:row>28</xdr:row>
      <xdr:rowOff>85725</xdr:rowOff>
    </xdr:to>
    <xdr:sp macro="" textlink="">
      <xdr:nvSpPr>
        <xdr:cNvPr id="21" name="Input Watts">
          <a:extLst>
            <a:ext uri="{FF2B5EF4-FFF2-40B4-BE49-F238E27FC236}">
              <a16:creationId xmlns:a16="http://schemas.microsoft.com/office/drawing/2014/main" id="{410BA2B0-8E39-4619-AABC-C5F4ADC4A34F}"/>
            </a:ext>
          </a:extLst>
        </xdr:cNvPr>
        <xdr:cNvSpPr txBox="1">
          <a:spLocks noChangeArrowheads="1"/>
        </xdr:cNvSpPr>
      </xdr:nvSpPr>
      <xdr:spPr bwMode="auto">
        <a:xfrm>
          <a:off x="6400800" y="551497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66676</xdr:rowOff>
    </xdr:from>
    <xdr:to>
      <xdr:col>5</xdr:col>
      <xdr:colOff>847724</xdr:colOff>
      <xdr:row>23</xdr:row>
      <xdr:rowOff>228601</xdr:rowOff>
    </xdr:to>
    <xdr:sp macro="" textlink="">
      <xdr:nvSpPr>
        <xdr:cNvPr id="22" name="Watts7">
          <a:extLst>
            <a:ext uri="{FF2B5EF4-FFF2-40B4-BE49-F238E27FC236}">
              <a16:creationId xmlns:a16="http://schemas.microsoft.com/office/drawing/2014/main" id="{E2870B28-F9CA-4FF9-9D92-AC50969324AC}"/>
            </a:ext>
          </a:extLst>
        </xdr:cNvPr>
        <xdr:cNvSpPr txBox="1">
          <a:spLocks noChangeArrowheads="1"/>
        </xdr:cNvSpPr>
      </xdr:nvSpPr>
      <xdr:spPr bwMode="auto">
        <a:xfrm>
          <a:off x="5943599" y="56292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4800</a:t>
          </a:r>
        </a:p>
      </xdr:txBody>
    </xdr:sp>
    <xdr:clientData/>
  </xdr:twoCellAnchor>
  <xdr:twoCellAnchor>
    <xdr:from>
      <xdr:col>5</xdr:col>
      <xdr:colOff>371474</xdr:colOff>
      <xdr:row>21</xdr:row>
      <xdr:rowOff>133351</xdr:rowOff>
    </xdr:from>
    <xdr:to>
      <xdr:col>5</xdr:col>
      <xdr:colOff>847724</xdr:colOff>
      <xdr:row>22</xdr:row>
      <xdr:rowOff>57151</xdr:rowOff>
    </xdr:to>
    <xdr:sp macro="" textlink="">
      <xdr:nvSpPr>
        <xdr:cNvPr id="23" name="Watts8">
          <a:extLst>
            <a:ext uri="{FF2B5EF4-FFF2-40B4-BE49-F238E27FC236}">
              <a16:creationId xmlns:a16="http://schemas.microsoft.com/office/drawing/2014/main" id="{639D0F9E-FAC9-4870-B664-50C9BEF2C8E3}"/>
            </a:ext>
          </a:extLst>
        </xdr:cNvPr>
        <xdr:cNvSpPr txBox="1">
          <a:spLocks noChangeArrowheads="1"/>
        </xdr:cNvSpPr>
      </xdr:nvSpPr>
      <xdr:spPr bwMode="auto">
        <a:xfrm>
          <a:off x="5943599" y="521970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5600</a:t>
          </a:r>
        </a:p>
      </xdr:txBody>
    </xdr:sp>
    <xdr:clientData/>
  </xdr:twoCellAnchor>
  <xdr:twoCellAnchor>
    <xdr:from>
      <xdr:col>5</xdr:col>
      <xdr:colOff>361949</xdr:colOff>
      <xdr:row>19</xdr:row>
      <xdr:rowOff>200026</xdr:rowOff>
    </xdr:from>
    <xdr:to>
      <xdr:col>5</xdr:col>
      <xdr:colOff>838199</xdr:colOff>
      <xdr:row>20</xdr:row>
      <xdr:rowOff>123826</xdr:rowOff>
    </xdr:to>
    <xdr:sp macro="" textlink="">
      <xdr:nvSpPr>
        <xdr:cNvPr id="24" name="Watts9">
          <a:extLst>
            <a:ext uri="{FF2B5EF4-FFF2-40B4-BE49-F238E27FC236}">
              <a16:creationId xmlns:a16="http://schemas.microsoft.com/office/drawing/2014/main" id="{A2FE8D75-08FE-4465-AC4F-1971857B2EB6}"/>
            </a:ext>
          </a:extLst>
        </xdr:cNvPr>
        <xdr:cNvSpPr txBox="1">
          <a:spLocks noChangeArrowheads="1"/>
        </xdr:cNvSpPr>
      </xdr:nvSpPr>
      <xdr:spPr bwMode="auto">
        <a:xfrm>
          <a:off x="5934074" y="48101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6400</a:t>
          </a:r>
        </a:p>
      </xdr:txBody>
    </xdr:sp>
    <xdr:clientData/>
  </xdr:twoCellAnchor>
  <xdr:twoCellAnchor>
    <xdr:from>
      <xdr:col>5</xdr:col>
      <xdr:colOff>361949</xdr:colOff>
      <xdr:row>18</xdr:row>
      <xdr:rowOff>28576</xdr:rowOff>
    </xdr:from>
    <xdr:to>
      <xdr:col>5</xdr:col>
      <xdr:colOff>838199</xdr:colOff>
      <xdr:row>18</xdr:row>
      <xdr:rowOff>190501</xdr:rowOff>
    </xdr:to>
    <xdr:sp macro="" textlink="">
      <xdr:nvSpPr>
        <xdr:cNvPr id="25" name="Watts10">
          <a:extLst>
            <a:ext uri="{FF2B5EF4-FFF2-40B4-BE49-F238E27FC236}">
              <a16:creationId xmlns:a16="http://schemas.microsoft.com/office/drawing/2014/main" id="{1DDBB9B1-57F0-4896-AAFC-77802C4B4AC4}"/>
            </a:ext>
          </a:extLst>
        </xdr:cNvPr>
        <xdr:cNvSpPr txBox="1">
          <a:spLocks noChangeArrowheads="1"/>
        </xdr:cNvSpPr>
      </xdr:nvSpPr>
      <xdr:spPr bwMode="auto">
        <a:xfrm>
          <a:off x="5934074" y="44005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7200</a:t>
          </a:r>
        </a:p>
      </xdr:txBody>
    </xdr:sp>
    <xdr:clientData/>
  </xdr:twoCellAnchor>
  <xdr:twoCellAnchor>
    <xdr:from>
      <xdr:col>2</xdr:col>
      <xdr:colOff>1053465</xdr:colOff>
      <xdr:row>16</xdr:row>
      <xdr:rowOff>182880</xdr:rowOff>
    </xdr:from>
    <xdr:to>
      <xdr:col>3</xdr:col>
      <xdr:colOff>283777</xdr:colOff>
      <xdr:row>17</xdr:row>
      <xdr:rowOff>95568</xdr:rowOff>
    </xdr:to>
    <xdr:sp macro="" textlink="" fLocksText="0">
      <xdr:nvSpPr>
        <xdr:cNvPr id="26" name="Text Box 26">
          <a:extLst>
            <a:ext uri="{FF2B5EF4-FFF2-40B4-BE49-F238E27FC236}">
              <a16:creationId xmlns:a16="http://schemas.microsoft.com/office/drawing/2014/main" id="{EE039334-9839-4AA9-A15C-AE4085B9C1FE}"/>
            </a:ext>
          </a:extLst>
        </xdr:cNvPr>
        <xdr:cNvSpPr txBox="1">
          <a:spLocks noChangeArrowheads="1"/>
        </xdr:cNvSpPr>
      </xdr:nvSpPr>
      <xdr:spPr bwMode="auto">
        <a:xfrm>
          <a:off x="3282315" y="4078605"/>
          <a:ext cx="344737" cy="150813"/>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946785</xdr:colOff>
      <xdr:row>18</xdr:row>
      <xdr:rowOff>192405</xdr:rowOff>
    </xdr:from>
    <xdr:to>
      <xdr:col>4</xdr:col>
      <xdr:colOff>169604</xdr:colOff>
      <xdr:row>19</xdr:row>
      <xdr:rowOff>133437</xdr:rowOff>
    </xdr:to>
    <xdr:sp macro="" textlink="" fLocksText="0">
      <xdr:nvSpPr>
        <xdr:cNvPr id="27" name="Text Box 27">
          <a:extLst>
            <a:ext uri="{FF2B5EF4-FFF2-40B4-BE49-F238E27FC236}">
              <a16:creationId xmlns:a16="http://schemas.microsoft.com/office/drawing/2014/main" id="{A9E39AF7-D68E-4370-9958-3912F2BCE5CB}"/>
            </a:ext>
          </a:extLst>
        </xdr:cNvPr>
        <xdr:cNvSpPr txBox="1">
          <a:spLocks noChangeArrowheads="1"/>
        </xdr:cNvSpPr>
      </xdr:nvSpPr>
      <xdr:spPr bwMode="auto">
        <a:xfrm>
          <a:off x="4290060" y="4564380"/>
          <a:ext cx="337244" cy="17915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1</xdr:col>
      <xdr:colOff>714375</xdr:colOff>
      <xdr:row>21</xdr:row>
      <xdr:rowOff>200025</xdr:rowOff>
    </xdr:from>
    <xdr:to>
      <xdr:col>1</xdr:col>
      <xdr:colOff>1055421</xdr:colOff>
      <xdr:row>22</xdr:row>
      <xdr:rowOff>103287</xdr:rowOff>
    </xdr:to>
    <xdr:sp macro="" textlink="" fLocksText="0">
      <xdr:nvSpPr>
        <xdr:cNvPr id="28" name="Speed">
          <a:extLst>
            <a:ext uri="{FF2B5EF4-FFF2-40B4-BE49-F238E27FC236}">
              <a16:creationId xmlns:a16="http://schemas.microsoft.com/office/drawing/2014/main" id="{D084E33F-7B2E-48B2-910F-1127C3C65BD5}"/>
            </a:ext>
          </a:extLst>
        </xdr:cNvPr>
        <xdr:cNvSpPr txBox="1">
          <a:spLocks noChangeArrowheads="1"/>
        </xdr:cNvSpPr>
      </xdr:nvSpPr>
      <xdr:spPr bwMode="auto">
        <a:xfrm>
          <a:off x="1828800" y="5286375"/>
          <a:ext cx="341046" cy="14138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782955</xdr:colOff>
      <xdr:row>28</xdr:row>
      <xdr:rowOff>200025</xdr:rowOff>
    </xdr:from>
    <xdr:to>
      <xdr:col>2</xdr:col>
      <xdr:colOff>102986</xdr:colOff>
      <xdr:row>29</xdr:row>
      <xdr:rowOff>114300</xdr:rowOff>
    </xdr:to>
    <xdr:sp macro="" textlink="" fLocksText="0">
      <xdr:nvSpPr>
        <xdr:cNvPr id="29" name="Amps">
          <a:extLst>
            <a:ext uri="{FF2B5EF4-FFF2-40B4-BE49-F238E27FC236}">
              <a16:creationId xmlns:a16="http://schemas.microsoft.com/office/drawing/2014/main" id="{C6994304-9010-4B51-9685-F3939A21845B}"/>
            </a:ext>
          </a:extLst>
        </xdr:cNvPr>
        <xdr:cNvSpPr txBox="1">
          <a:spLocks noChangeArrowheads="1"/>
        </xdr:cNvSpPr>
      </xdr:nvSpPr>
      <xdr:spPr bwMode="auto">
        <a:xfrm>
          <a:off x="1897380" y="6953250"/>
          <a:ext cx="434456" cy="152400"/>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64770</xdr:colOff>
      <xdr:row>32</xdr:row>
      <xdr:rowOff>144780</xdr:rowOff>
    </xdr:from>
    <xdr:to>
      <xdr:col>2</xdr:col>
      <xdr:colOff>565979</xdr:colOff>
      <xdr:row>33</xdr:row>
      <xdr:rowOff>66976</xdr:rowOff>
    </xdr:to>
    <xdr:sp macro="" textlink="" fLocksText="0">
      <xdr:nvSpPr>
        <xdr:cNvPr id="30" name="Watts">
          <a:extLst>
            <a:ext uri="{FF2B5EF4-FFF2-40B4-BE49-F238E27FC236}">
              <a16:creationId xmlns:a16="http://schemas.microsoft.com/office/drawing/2014/main" id="{33633D61-9F41-4562-A90A-329EAA71788B}"/>
            </a:ext>
          </a:extLst>
        </xdr:cNvPr>
        <xdr:cNvSpPr txBox="1">
          <a:spLocks noChangeArrowheads="1"/>
        </xdr:cNvSpPr>
      </xdr:nvSpPr>
      <xdr:spPr bwMode="auto">
        <a:xfrm>
          <a:off x="2293620" y="7850505"/>
          <a:ext cx="501209" cy="160321"/>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142875</xdr:rowOff>
    </xdr:from>
    <xdr:to>
      <xdr:col>5</xdr:col>
      <xdr:colOff>752475</xdr:colOff>
      <xdr:row>34</xdr:row>
      <xdr:rowOff>104775</xdr:rowOff>
    </xdr:to>
    <xdr:sp macro="" textlink="">
      <xdr:nvSpPr>
        <xdr:cNvPr id="31" name="Watts1">
          <a:extLst>
            <a:ext uri="{FF2B5EF4-FFF2-40B4-BE49-F238E27FC236}">
              <a16:creationId xmlns:a16="http://schemas.microsoft.com/office/drawing/2014/main" id="{9AD48AF8-A3CB-4AA3-BACA-40763F69F6C7}"/>
            </a:ext>
          </a:extLst>
        </xdr:cNvPr>
        <xdr:cNvSpPr txBox="1">
          <a:spLocks noChangeArrowheads="1"/>
        </xdr:cNvSpPr>
      </xdr:nvSpPr>
      <xdr:spPr bwMode="auto">
        <a:xfrm>
          <a:off x="5934075" y="8086725"/>
          <a:ext cx="390525"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LECTRIC/PERFORMA/BY%20PROJECTS/820K/82054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oshibana-my.sharepoint.com/personal/jerry_rodriguez_toshiba_com/Documents/DESOUT4.xlsx" TargetMode="External"/><Relationship Id="rId1" Type="http://schemas.openxmlformats.org/officeDocument/2006/relationships/externalLinkPath" Target="https://toshibana-my.sharepoint.com/personal/jerry_rodriguez_toshiba_com/Documents/DESOUT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
      <sheetName val="STCurve"/>
      <sheetName val="Thermdam"/>
      <sheetName val="Circuit Param."/>
      <sheetName val="PERFORMANCE 4160V"/>
    </sheetNames>
    <sheetDataSet>
      <sheetData sheetId="0" refreshError="1"/>
      <sheetData sheetId="1" refreshError="1"/>
      <sheetData sheetId="2" refreshError="1"/>
      <sheetData sheetId="3">
        <row r="40">
          <cell r="J40" t="str">
            <v>JERRY R</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signSheet 0.8V"/>
    </sheetNames>
    <sheetDataSet>
      <sheetData sheetId="0">
        <row r="59">
          <cell r="A59">
            <v>0</v>
          </cell>
          <cell r="B59">
            <v>0</v>
          </cell>
          <cell r="C59">
            <v>0</v>
          </cell>
          <cell r="D59">
            <v>0.7</v>
          </cell>
          <cell r="E59">
            <v>85.200961648973731</v>
          </cell>
          <cell r="F59">
            <v>2394.0009765625</v>
          </cell>
        </row>
        <row r="60">
          <cell r="A60">
            <v>0.01</v>
          </cell>
          <cell r="B60">
            <v>103.56888435757789</v>
          </cell>
          <cell r="C60">
            <v>604.83740234375</v>
          </cell>
          <cell r="D60">
            <v>0.8</v>
          </cell>
          <cell r="E60">
            <v>81.369138674988051</v>
          </cell>
          <cell r="F60">
            <v>2407.3701171875</v>
          </cell>
        </row>
        <row r="61">
          <cell r="A61">
            <v>0.05</v>
          </cell>
          <cell r="B61">
            <v>202.17292419800575</v>
          </cell>
          <cell r="C61">
            <v>1834.4197998046875</v>
          </cell>
          <cell r="D61">
            <v>0.9</v>
          </cell>
          <cell r="E61">
            <v>77.994060814765859</v>
          </cell>
          <cell r="F61">
            <v>2418.775634765625</v>
          </cell>
        </row>
        <row r="62">
          <cell r="A62">
            <v>0.1</v>
          </cell>
          <cell r="B62">
            <v>155.55321741659327</v>
          </cell>
          <cell r="C62">
            <v>2154.087890625</v>
          </cell>
          <cell r="D62">
            <v>1</v>
          </cell>
          <cell r="E62">
            <v>75.022992564947131</v>
          </cell>
          <cell r="F62">
            <v>2428.612548828125</v>
          </cell>
        </row>
        <row r="63">
          <cell r="A63">
            <v>0.15</v>
          </cell>
          <cell r="B63">
            <v>129.61636324499798</v>
          </cell>
          <cell r="C63">
            <v>2239.1064453125</v>
          </cell>
        </row>
        <row r="64">
          <cell r="A64">
            <v>0.2</v>
          </cell>
          <cell r="B64">
            <v>117.05169621361384</v>
          </cell>
          <cell r="C64">
            <v>2275.144775390625</v>
          </cell>
        </row>
        <row r="65">
          <cell r="A65">
            <v>0.3</v>
          </cell>
          <cell r="B65">
            <v>105.84340669093523</v>
          </cell>
          <cell r="C65">
            <v>2312.218994140625</v>
          </cell>
        </row>
        <row r="66">
          <cell r="A66">
            <v>0.4</v>
          </cell>
          <cell r="B66">
            <v>99.572477837865662</v>
          </cell>
          <cell r="C66">
            <v>2337.90478515625</v>
          </cell>
        </row>
        <row r="67">
          <cell r="A67">
            <v>0.5</v>
          </cell>
          <cell r="B67">
            <v>94.308189803167068</v>
          </cell>
          <cell r="C67">
            <v>2359.6298828125</v>
          </cell>
        </row>
        <row r="68">
          <cell r="A68">
            <v>0.6</v>
          </cell>
          <cell r="B68">
            <v>89.518251071344437</v>
          </cell>
          <cell r="C68">
            <v>2378.225341796875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398C0-37E3-43A7-B151-3C6234E09EB4}">
  <sheetPr>
    <pageSetUpPr fitToPage="1"/>
  </sheetPr>
  <dimension ref="A1:Q71"/>
  <sheetViews>
    <sheetView topLeftCell="A27" zoomScale="95" workbookViewId="0">
      <selection activeCell="E26" sqref="E26"/>
    </sheetView>
  </sheetViews>
  <sheetFormatPr defaultRowHeight="12.75"/>
  <cols>
    <col min="1" max="6" width="12.28515625" customWidth="1"/>
    <col min="7" max="7" width="12.42578125" customWidth="1"/>
    <col min="8" max="8" width="12.7109375" customWidth="1"/>
    <col min="9" max="10" width="12.28515625" customWidth="1"/>
    <col min="12" max="12" width="13.42578125" bestFit="1" customWidth="1"/>
    <col min="13" max="13" width="9" bestFit="1" customWidth="1"/>
    <col min="257" max="262" width="12.28515625" customWidth="1"/>
    <col min="263" max="263" width="12.42578125" customWidth="1"/>
    <col min="264" max="264" width="12.7109375" customWidth="1"/>
    <col min="265" max="266" width="12.28515625" customWidth="1"/>
    <col min="268" max="268" width="13.42578125" bestFit="1" customWidth="1"/>
    <col min="269" max="269" width="9" bestFit="1" customWidth="1"/>
    <col min="513" max="518" width="12.28515625" customWidth="1"/>
    <col min="519" max="519" width="12.42578125" customWidth="1"/>
    <col min="520" max="520" width="12.7109375" customWidth="1"/>
    <col min="521" max="522" width="12.28515625" customWidth="1"/>
    <col min="524" max="524" width="13.42578125" bestFit="1" customWidth="1"/>
    <col min="525" max="525" width="9" bestFit="1" customWidth="1"/>
    <col min="769" max="774" width="12.28515625" customWidth="1"/>
    <col min="775" max="775" width="12.42578125" customWidth="1"/>
    <col min="776" max="776" width="12.7109375" customWidth="1"/>
    <col min="777" max="778" width="12.28515625" customWidth="1"/>
    <col min="780" max="780" width="13.42578125" bestFit="1" customWidth="1"/>
    <col min="781" max="781" width="9" bestFit="1" customWidth="1"/>
    <col min="1025" max="1030" width="12.28515625" customWidth="1"/>
    <col min="1031" max="1031" width="12.42578125" customWidth="1"/>
    <col min="1032" max="1032" width="12.7109375" customWidth="1"/>
    <col min="1033" max="1034" width="12.28515625" customWidth="1"/>
    <col min="1036" max="1036" width="13.42578125" bestFit="1" customWidth="1"/>
    <col min="1037" max="1037" width="9" bestFit="1" customWidth="1"/>
    <col min="1281" max="1286" width="12.28515625" customWidth="1"/>
    <col min="1287" max="1287" width="12.42578125" customWidth="1"/>
    <col min="1288" max="1288" width="12.7109375" customWidth="1"/>
    <col min="1289" max="1290" width="12.28515625" customWidth="1"/>
    <col min="1292" max="1292" width="13.42578125" bestFit="1" customWidth="1"/>
    <col min="1293" max="1293" width="9" bestFit="1" customWidth="1"/>
    <col min="1537" max="1542" width="12.28515625" customWidth="1"/>
    <col min="1543" max="1543" width="12.42578125" customWidth="1"/>
    <col min="1544" max="1544" width="12.7109375" customWidth="1"/>
    <col min="1545" max="1546" width="12.28515625" customWidth="1"/>
    <col min="1548" max="1548" width="13.42578125" bestFit="1" customWidth="1"/>
    <col min="1549" max="1549" width="9" bestFit="1" customWidth="1"/>
    <col min="1793" max="1798" width="12.28515625" customWidth="1"/>
    <col min="1799" max="1799" width="12.42578125" customWidth="1"/>
    <col min="1800" max="1800" width="12.7109375" customWidth="1"/>
    <col min="1801" max="1802" width="12.28515625" customWidth="1"/>
    <col min="1804" max="1804" width="13.42578125" bestFit="1" customWidth="1"/>
    <col min="1805" max="1805" width="9" bestFit="1" customWidth="1"/>
    <col min="2049" max="2054" width="12.28515625" customWidth="1"/>
    <col min="2055" max="2055" width="12.42578125" customWidth="1"/>
    <col min="2056" max="2056" width="12.7109375" customWidth="1"/>
    <col min="2057" max="2058" width="12.28515625" customWidth="1"/>
    <col min="2060" max="2060" width="13.42578125" bestFit="1" customWidth="1"/>
    <col min="2061" max="2061" width="9" bestFit="1" customWidth="1"/>
    <col min="2305" max="2310" width="12.28515625" customWidth="1"/>
    <col min="2311" max="2311" width="12.42578125" customWidth="1"/>
    <col min="2312" max="2312" width="12.7109375" customWidth="1"/>
    <col min="2313" max="2314" width="12.28515625" customWidth="1"/>
    <col min="2316" max="2316" width="13.42578125" bestFit="1" customWidth="1"/>
    <col min="2317" max="2317" width="9" bestFit="1" customWidth="1"/>
    <col min="2561" max="2566" width="12.28515625" customWidth="1"/>
    <col min="2567" max="2567" width="12.42578125" customWidth="1"/>
    <col min="2568" max="2568" width="12.7109375" customWidth="1"/>
    <col min="2569" max="2570" width="12.28515625" customWidth="1"/>
    <col min="2572" max="2572" width="13.42578125" bestFit="1" customWidth="1"/>
    <col min="2573" max="2573" width="9" bestFit="1" customWidth="1"/>
    <col min="2817" max="2822" width="12.28515625" customWidth="1"/>
    <col min="2823" max="2823" width="12.42578125" customWidth="1"/>
    <col min="2824" max="2824" width="12.7109375" customWidth="1"/>
    <col min="2825" max="2826" width="12.28515625" customWidth="1"/>
    <col min="2828" max="2828" width="13.42578125" bestFit="1" customWidth="1"/>
    <col min="2829" max="2829" width="9" bestFit="1" customWidth="1"/>
    <col min="3073" max="3078" width="12.28515625" customWidth="1"/>
    <col min="3079" max="3079" width="12.42578125" customWidth="1"/>
    <col min="3080" max="3080" width="12.7109375" customWidth="1"/>
    <col min="3081" max="3082" width="12.28515625" customWidth="1"/>
    <col min="3084" max="3084" width="13.42578125" bestFit="1" customWidth="1"/>
    <col min="3085" max="3085" width="9" bestFit="1" customWidth="1"/>
    <col min="3329" max="3334" width="12.28515625" customWidth="1"/>
    <col min="3335" max="3335" width="12.42578125" customWidth="1"/>
    <col min="3336" max="3336" width="12.7109375" customWidth="1"/>
    <col min="3337" max="3338" width="12.28515625" customWidth="1"/>
    <col min="3340" max="3340" width="13.42578125" bestFit="1" customWidth="1"/>
    <col min="3341" max="3341" width="9" bestFit="1" customWidth="1"/>
    <col min="3585" max="3590" width="12.28515625" customWidth="1"/>
    <col min="3591" max="3591" width="12.42578125" customWidth="1"/>
    <col min="3592" max="3592" width="12.7109375" customWidth="1"/>
    <col min="3593" max="3594" width="12.28515625" customWidth="1"/>
    <col min="3596" max="3596" width="13.42578125" bestFit="1" customWidth="1"/>
    <col min="3597" max="3597" width="9" bestFit="1" customWidth="1"/>
    <col min="3841" max="3846" width="12.28515625" customWidth="1"/>
    <col min="3847" max="3847" width="12.42578125" customWidth="1"/>
    <col min="3848" max="3848" width="12.7109375" customWidth="1"/>
    <col min="3849" max="3850" width="12.28515625" customWidth="1"/>
    <col min="3852" max="3852" width="13.42578125" bestFit="1" customWidth="1"/>
    <col min="3853" max="3853" width="9" bestFit="1" customWidth="1"/>
    <col min="4097" max="4102" width="12.28515625" customWidth="1"/>
    <col min="4103" max="4103" width="12.42578125" customWidth="1"/>
    <col min="4104" max="4104" width="12.7109375" customWidth="1"/>
    <col min="4105" max="4106" width="12.28515625" customWidth="1"/>
    <col min="4108" max="4108" width="13.42578125" bestFit="1" customWidth="1"/>
    <col min="4109" max="4109" width="9" bestFit="1" customWidth="1"/>
    <col min="4353" max="4358" width="12.28515625" customWidth="1"/>
    <col min="4359" max="4359" width="12.42578125" customWidth="1"/>
    <col min="4360" max="4360" width="12.7109375" customWidth="1"/>
    <col min="4361" max="4362" width="12.28515625" customWidth="1"/>
    <col min="4364" max="4364" width="13.42578125" bestFit="1" customWidth="1"/>
    <col min="4365" max="4365" width="9" bestFit="1" customWidth="1"/>
    <col min="4609" max="4614" width="12.28515625" customWidth="1"/>
    <col min="4615" max="4615" width="12.42578125" customWidth="1"/>
    <col min="4616" max="4616" width="12.7109375" customWidth="1"/>
    <col min="4617" max="4618" width="12.28515625" customWidth="1"/>
    <col min="4620" max="4620" width="13.42578125" bestFit="1" customWidth="1"/>
    <col min="4621" max="4621" width="9" bestFit="1" customWidth="1"/>
    <col min="4865" max="4870" width="12.28515625" customWidth="1"/>
    <col min="4871" max="4871" width="12.42578125" customWidth="1"/>
    <col min="4872" max="4872" width="12.7109375" customWidth="1"/>
    <col min="4873" max="4874" width="12.28515625" customWidth="1"/>
    <col min="4876" max="4876" width="13.42578125" bestFit="1" customWidth="1"/>
    <col min="4877" max="4877" width="9" bestFit="1" customWidth="1"/>
    <col min="5121" max="5126" width="12.28515625" customWidth="1"/>
    <col min="5127" max="5127" width="12.42578125" customWidth="1"/>
    <col min="5128" max="5128" width="12.7109375" customWidth="1"/>
    <col min="5129" max="5130" width="12.28515625" customWidth="1"/>
    <col min="5132" max="5132" width="13.42578125" bestFit="1" customWidth="1"/>
    <col min="5133" max="5133" width="9" bestFit="1" customWidth="1"/>
    <col min="5377" max="5382" width="12.28515625" customWidth="1"/>
    <col min="5383" max="5383" width="12.42578125" customWidth="1"/>
    <col min="5384" max="5384" width="12.7109375" customWidth="1"/>
    <col min="5385" max="5386" width="12.28515625" customWidth="1"/>
    <col min="5388" max="5388" width="13.42578125" bestFit="1" customWidth="1"/>
    <col min="5389" max="5389" width="9" bestFit="1" customWidth="1"/>
    <col min="5633" max="5638" width="12.28515625" customWidth="1"/>
    <col min="5639" max="5639" width="12.42578125" customWidth="1"/>
    <col min="5640" max="5640" width="12.7109375" customWidth="1"/>
    <col min="5641" max="5642" width="12.28515625" customWidth="1"/>
    <col min="5644" max="5644" width="13.42578125" bestFit="1" customWidth="1"/>
    <col min="5645" max="5645" width="9" bestFit="1" customWidth="1"/>
    <col min="5889" max="5894" width="12.28515625" customWidth="1"/>
    <col min="5895" max="5895" width="12.42578125" customWidth="1"/>
    <col min="5896" max="5896" width="12.7109375" customWidth="1"/>
    <col min="5897" max="5898" width="12.28515625" customWidth="1"/>
    <col min="5900" max="5900" width="13.42578125" bestFit="1" customWidth="1"/>
    <col min="5901" max="5901" width="9" bestFit="1" customWidth="1"/>
    <col min="6145" max="6150" width="12.28515625" customWidth="1"/>
    <col min="6151" max="6151" width="12.42578125" customWidth="1"/>
    <col min="6152" max="6152" width="12.7109375" customWidth="1"/>
    <col min="6153" max="6154" width="12.28515625" customWidth="1"/>
    <col min="6156" max="6156" width="13.42578125" bestFit="1" customWidth="1"/>
    <col min="6157" max="6157" width="9" bestFit="1" customWidth="1"/>
    <col min="6401" max="6406" width="12.28515625" customWidth="1"/>
    <col min="6407" max="6407" width="12.42578125" customWidth="1"/>
    <col min="6408" max="6408" width="12.7109375" customWidth="1"/>
    <col min="6409" max="6410" width="12.28515625" customWidth="1"/>
    <col min="6412" max="6412" width="13.42578125" bestFit="1" customWidth="1"/>
    <col min="6413" max="6413" width="9" bestFit="1" customWidth="1"/>
    <col min="6657" max="6662" width="12.28515625" customWidth="1"/>
    <col min="6663" max="6663" width="12.42578125" customWidth="1"/>
    <col min="6664" max="6664" width="12.7109375" customWidth="1"/>
    <col min="6665" max="6666" width="12.28515625" customWidth="1"/>
    <col min="6668" max="6668" width="13.42578125" bestFit="1" customWidth="1"/>
    <col min="6669" max="6669" width="9" bestFit="1" customWidth="1"/>
    <col min="6913" max="6918" width="12.28515625" customWidth="1"/>
    <col min="6919" max="6919" width="12.42578125" customWidth="1"/>
    <col min="6920" max="6920" width="12.7109375" customWidth="1"/>
    <col min="6921" max="6922" width="12.28515625" customWidth="1"/>
    <col min="6924" max="6924" width="13.42578125" bestFit="1" customWidth="1"/>
    <col min="6925" max="6925" width="9" bestFit="1" customWidth="1"/>
    <col min="7169" max="7174" width="12.28515625" customWidth="1"/>
    <col min="7175" max="7175" width="12.42578125" customWidth="1"/>
    <col min="7176" max="7176" width="12.7109375" customWidth="1"/>
    <col min="7177" max="7178" width="12.28515625" customWidth="1"/>
    <col min="7180" max="7180" width="13.42578125" bestFit="1" customWidth="1"/>
    <col min="7181" max="7181" width="9" bestFit="1" customWidth="1"/>
    <col min="7425" max="7430" width="12.28515625" customWidth="1"/>
    <col min="7431" max="7431" width="12.42578125" customWidth="1"/>
    <col min="7432" max="7432" width="12.7109375" customWidth="1"/>
    <col min="7433" max="7434" width="12.28515625" customWidth="1"/>
    <col min="7436" max="7436" width="13.42578125" bestFit="1" customWidth="1"/>
    <col min="7437" max="7437" width="9" bestFit="1" customWidth="1"/>
    <col min="7681" max="7686" width="12.28515625" customWidth="1"/>
    <col min="7687" max="7687" width="12.42578125" customWidth="1"/>
    <col min="7688" max="7688" width="12.7109375" customWidth="1"/>
    <col min="7689" max="7690" width="12.28515625" customWidth="1"/>
    <col min="7692" max="7692" width="13.42578125" bestFit="1" customWidth="1"/>
    <col min="7693" max="7693" width="9" bestFit="1" customWidth="1"/>
    <col min="7937" max="7942" width="12.28515625" customWidth="1"/>
    <col min="7943" max="7943" width="12.42578125" customWidth="1"/>
    <col min="7944" max="7944" width="12.7109375" customWidth="1"/>
    <col min="7945" max="7946" width="12.28515625" customWidth="1"/>
    <col min="7948" max="7948" width="13.42578125" bestFit="1" customWidth="1"/>
    <col min="7949" max="7949" width="9" bestFit="1" customWidth="1"/>
    <col min="8193" max="8198" width="12.28515625" customWidth="1"/>
    <col min="8199" max="8199" width="12.42578125" customWidth="1"/>
    <col min="8200" max="8200" width="12.7109375" customWidth="1"/>
    <col min="8201" max="8202" width="12.28515625" customWidth="1"/>
    <col min="8204" max="8204" width="13.42578125" bestFit="1" customWidth="1"/>
    <col min="8205" max="8205" width="9" bestFit="1" customWidth="1"/>
    <col min="8449" max="8454" width="12.28515625" customWidth="1"/>
    <col min="8455" max="8455" width="12.42578125" customWidth="1"/>
    <col min="8456" max="8456" width="12.7109375" customWidth="1"/>
    <col min="8457" max="8458" width="12.28515625" customWidth="1"/>
    <col min="8460" max="8460" width="13.42578125" bestFit="1" customWidth="1"/>
    <col min="8461" max="8461" width="9" bestFit="1" customWidth="1"/>
    <col min="8705" max="8710" width="12.28515625" customWidth="1"/>
    <col min="8711" max="8711" width="12.42578125" customWidth="1"/>
    <col min="8712" max="8712" width="12.7109375" customWidth="1"/>
    <col min="8713" max="8714" width="12.28515625" customWidth="1"/>
    <col min="8716" max="8716" width="13.42578125" bestFit="1" customWidth="1"/>
    <col min="8717" max="8717" width="9" bestFit="1" customWidth="1"/>
    <col min="8961" max="8966" width="12.28515625" customWidth="1"/>
    <col min="8967" max="8967" width="12.42578125" customWidth="1"/>
    <col min="8968" max="8968" width="12.7109375" customWidth="1"/>
    <col min="8969" max="8970" width="12.28515625" customWidth="1"/>
    <col min="8972" max="8972" width="13.42578125" bestFit="1" customWidth="1"/>
    <col min="8973" max="8973" width="9" bestFit="1" customWidth="1"/>
    <col min="9217" max="9222" width="12.28515625" customWidth="1"/>
    <col min="9223" max="9223" width="12.42578125" customWidth="1"/>
    <col min="9224" max="9224" width="12.7109375" customWidth="1"/>
    <col min="9225" max="9226" width="12.28515625" customWidth="1"/>
    <col min="9228" max="9228" width="13.42578125" bestFit="1" customWidth="1"/>
    <col min="9229" max="9229" width="9" bestFit="1" customWidth="1"/>
    <col min="9473" max="9478" width="12.28515625" customWidth="1"/>
    <col min="9479" max="9479" width="12.42578125" customWidth="1"/>
    <col min="9480" max="9480" width="12.7109375" customWidth="1"/>
    <col min="9481" max="9482" width="12.28515625" customWidth="1"/>
    <col min="9484" max="9484" width="13.42578125" bestFit="1" customWidth="1"/>
    <col min="9485" max="9485" width="9" bestFit="1" customWidth="1"/>
    <col min="9729" max="9734" width="12.28515625" customWidth="1"/>
    <col min="9735" max="9735" width="12.42578125" customWidth="1"/>
    <col min="9736" max="9736" width="12.7109375" customWidth="1"/>
    <col min="9737" max="9738" width="12.28515625" customWidth="1"/>
    <col min="9740" max="9740" width="13.42578125" bestFit="1" customWidth="1"/>
    <col min="9741" max="9741" width="9" bestFit="1" customWidth="1"/>
    <col min="9985" max="9990" width="12.28515625" customWidth="1"/>
    <col min="9991" max="9991" width="12.42578125" customWidth="1"/>
    <col min="9992" max="9992" width="12.7109375" customWidth="1"/>
    <col min="9993" max="9994" width="12.28515625" customWidth="1"/>
    <col min="9996" max="9996" width="13.42578125" bestFit="1" customWidth="1"/>
    <col min="9997" max="9997" width="9" bestFit="1" customWidth="1"/>
    <col min="10241" max="10246" width="12.28515625" customWidth="1"/>
    <col min="10247" max="10247" width="12.42578125" customWidth="1"/>
    <col min="10248" max="10248" width="12.7109375" customWidth="1"/>
    <col min="10249" max="10250" width="12.28515625" customWidth="1"/>
    <col min="10252" max="10252" width="13.42578125" bestFit="1" customWidth="1"/>
    <col min="10253" max="10253" width="9" bestFit="1" customWidth="1"/>
    <col min="10497" max="10502" width="12.28515625" customWidth="1"/>
    <col min="10503" max="10503" width="12.42578125" customWidth="1"/>
    <col min="10504" max="10504" width="12.7109375" customWidth="1"/>
    <col min="10505" max="10506" width="12.28515625" customWidth="1"/>
    <col min="10508" max="10508" width="13.42578125" bestFit="1" customWidth="1"/>
    <col min="10509" max="10509" width="9" bestFit="1" customWidth="1"/>
    <col min="10753" max="10758" width="12.28515625" customWidth="1"/>
    <col min="10759" max="10759" width="12.42578125" customWidth="1"/>
    <col min="10760" max="10760" width="12.7109375" customWidth="1"/>
    <col min="10761" max="10762" width="12.28515625" customWidth="1"/>
    <col min="10764" max="10764" width="13.42578125" bestFit="1" customWidth="1"/>
    <col min="10765" max="10765" width="9" bestFit="1" customWidth="1"/>
    <col min="11009" max="11014" width="12.28515625" customWidth="1"/>
    <col min="11015" max="11015" width="12.42578125" customWidth="1"/>
    <col min="11016" max="11016" width="12.7109375" customWidth="1"/>
    <col min="11017" max="11018" width="12.28515625" customWidth="1"/>
    <col min="11020" max="11020" width="13.42578125" bestFit="1" customWidth="1"/>
    <col min="11021" max="11021" width="9" bestFit="1" customWidth="1"/>
    <col min="11265" max="11270" width="12.28515625" customWidth="1"/>
    <col min="11271" max="11271" width="12.42578125" customWidth="1"/>
    <col min="11272" max="11272" width="12.7109375" customWidth="1"/>
    <col min="11273" max="11274" width="12.28515625" customWidth="1"/>
    <col min="11276" max="11276" width="13.42578125" bestFit="1" customWidth="1"/>
    <col min="11277" max="11277" width="9" bestFit="1" customWidth="1"/>
    <col min="11521" max="11526" width="12.28515625" customWidth="1"/>
    <col min="11527" max="11527" width="12.42578125" customWidth="1"/>
    <col min="11528" max="11528" width="12.7109375" customWidth="1"/>
    <col min="11529" max="11530" width="12.28515625" customWidth="1"/>
    <col min="11532" max="11532" width="13.42578125" bestFit="1" customWidth="1"/>
    <col min="11533" max="11533" width="9" bestFit="1" customWidth="1"/>
    <col min="11777" max="11782" width="12.28515625" customWidth="1"/>
    <col min="11783" max="11783" width="12.42578125" customWidth="1"/>
    <col min="11784" max="11784" width="12.7109375" customWidth="1"/>
    <col min="11785" max="11786" width="12.28515625" customWidth="1"/>
    <col min="11788" max="11788" width="13.42578125" bestFit="1" customWidth="1"/>
    <col min="11789" max="11789" width="9" bestFit="1" customWidth="1"/>
    <col min="12033" max="12038" width="12.28515625" customWidth="1"/>
    <col min="12039" max="12039" width="12.42578125" customWidth="1"/>
    <col min="12040" max="12040" width="12.7109375" customWidth="1"/>
    <col min="12041" max="12042" width="12.28515625" customWidth="1"/>
    <col min="12044" max="12044" width="13.42578125" bestFit="1" customWidth="1"/>
    <col min="12045" max="12045" width="9" bestFit="1" customWidth="1"/>
    <col min="12289" max="12294" width="12.28515625" customWidth="1"/>
    <col min="12295" max="12295" width="12.42578125" customWidth="1"/>
    <col min="12296" max="12296" width="12.7109375" customWidth="1"/>
    <col min="12297" max="12298" width="12.28515625" customWidth="1"/>
    <col min="12300" max="12300" width="13.42578125" bestFit="1" customWidth="1"/>
    <col min="12301" max="12301" width="9" bestFit="1" customWidth="1"/>
    <col min="12545" max="12550" width="12.28515625" customWidth="1"/>
    <col min="12551" max="12551" width="12.42578125" customWidth="1"/>
    <col min="12552" max="12552" width="12.7109375" customWidth="1"/>
    <col min="12553" max="12554" width="12.28515625" customWidth="1"/>
    <col min="12556" max="12556" width="13.42578125" bestFit="1" customWidth="1"/>
    <col min="12557" max="12557" width="9" bestFit="1" customWidth="1"/>
    <col min="12801" max="12806" width="12.28515625" customWidth="1"/>
    <col min="12807" max="12807" width="12.42578125" customWidth="1"/>
    <col min="12808" max="12808" width="12.7109375" customWidth="1"/>
    <col min="12809" max="12810" width="12.28515625" customWidth="1"/>
    <col min="12812" max="12812" width="13.42578125" bestFit="1" customWidth="1"/>
    <col min="12813" max="12813" width="9" bestFit="1" customWidth="1"/>
    <col min="13057" max="13062" width="12.28515625" customWidth="1"/>
    <col min="13063" max="13063" width="12.42578125" customWidth="1"/>
    <col min="13064" max="13064" width="12.7109375" customWidth="1"/>
    <col min="13065" max="13066" width="12.28515625" customWidth="1"/>
    <col min="13068" max="13068" width="13.42578125" bestFit="1" customWidth="1"/>
    <col min="13069" max="13069" width="9" bestFit="1" customWidth="1"/>
    <col min="13313" max="13318" width="12.28515625" customWidth="1"/>
    <col min="13319" max="13319" width="12.42578125" customWidth="1"/>
    <col min="13320" max="13320" width="12.7109375" customWidth="1"/>
    <col min="13321" max="13322" width="12.28515625" customWidth="1"/>
    <col min="13324" max="13324" width="13.42578125" bestFit="1" customWidth="1"/>
    <col min="13325" max="13325" width="9" bestFit="1" customWidth="1"/>
    <col min="13569" max="13574" width="12.28515625" customWidth="1"/>
    <col min="13575" max="13575" width="12.42578125" customWidth="1"/>
    <col min="13576" max="13576" width="12.7109375" customWidth="1"/>
    <col min="13577" max="13578" width="12.28515625" customWidth="1"/>
    <col min="13580" max="13580" width="13.42578125" bestFit="1" customWidth="1"/>
    <col min="13581" max="13581" width="9" bestFit="1" customWidth="1"/>
    <col min="13825" max="13830" width="12.28515625" customWidth="1"/>
    <col min="13831" max="13831" width="12.42578125" customWidth="1"/>
    <col min="13832" max="13832" width="12.7109375" customWidth="1"/>
    <col min="13833" max="13834" width="12.28515625" customWidth="1"/>
    <col min="13836" max="13836" width="13.42578125" bestFit="1" customWidth="1"/>
    <col min="13837" max="13837" width="9" bestFit="1" customWidth="1"/>
    <col min="14081" max="14086" width="12.28515625" customWidth="1"/>
    <col min="14087" max="14087" width="12.42578125" customWidth="1"/>
    <col min="14088" max="14088" width="12.7109375" customWidth="1"/>
    <col min="14089" max="14090" width="12.28515625" customWidth="1"/>
    <col min="14092" max="14092" width="13.42578125" bestFit="1" customWidth="1"/>
    <col min="14093" max="14093" width="9" bestFit="1" customWidth="1"/>
    <col min="14337" max="14342" width="12.28515625" customWidth="1"/>
    <col min="14343" max="14343" width="12.42578125" customWidth="1"/>
    <col min="14344" max="14344" width="12.7109375" customWidth="1"/>
    <col min="14345" max="14346" width="12.28515625" customWidth="1"/>
    <col min="14348" max="14348" width="13.42578125" bestFit="1" customWidth="1"/>
    <col min="14349" max="14349" width="9" bestFit="1" customWidth="1"/>
    <col min="14593" max="14598" width="12.28515625" customWidth="1"/>
    <col min="14599" max="14599" width="12.42578125" customWidth="1"/>
    <col min="14600" max="14600" width="12.7109375" customWidth="1"/>
    <col min="14601" max="14602" width="12.28515625" customWidth="1"/>
    <col min="14604" max="14604" width="13.42578125" bestFit="1" customWidth="1"/>
    <col min="14605" max="14605" width="9" bestFit="1" customWidth="1"/>
    <col min="14849" max="14854" width="12.28515625" customWidth="1"/>
    <col min="14855" max="14855" width="12.42578125" customWidth="1"/>
    <col min="14856" max="14856" width="12.7109375" customWidth="1"/>
    <col min="14857" max="14858" width="12.28515625" customWidth="1"/>
    <col min="14860" max="14860" width="13.42578125" bestFit="1" customWidth="1"/>
    <col min="14861" max="14861" width="9" bestFit="1" customWidth="1"/>
    <col min="15105" max="15110" width="12.28515625" customWidth="1"/>
    <col min="15111" max="15111" width="12.42578125" customWidth="1"/>
    <col min="15112" max="15112" width="12.7109375" customWidth="1"/>
    <col min="15113" max="15114" width="12.28515625" customWidth="1"/>
    <col min="15116" max="15116" width="13.42578125" bestFit="1" customWidth="1"/>
    <col min="15117" max="15117" width="9" bestFit="1" customWidth="1"/>
    <col min="15361" max="15366" width="12.28515625" customWidth="1"/>
    <col min="15367" max="15367" width="12.42578125" customWidth="1"/>
    <col min="15368" max="15368" width="12.7109375" customWidth="1"/>
    <col min="15369" max="15370" width="12.28515625" customWidth="1"/>
    <col min="15372" max="15372" width="13.42578125" bestFit="1" customWidth="1"/>
    <col min="15373" max="15373" width="9" bestFit="1" customWidth="1"/>
    <col min="15617" max="15622" width="12.28515625" customWidth="1"/>
    <col min="15623" max="15623" width="12.42578125" customWidth="1"/>
    <col min="15624" max="15624" width="12.7109375" customWidth="1"/>
    <col min="15625" max="15626" width="12.28515625" customWidth="1"/>
    <col min="15628" max="15628" width="13.42578125" bestFit="1" customWidth="1"/>
    <col min="15629" max="15629" width="9" bestFit="1" customWidth="1"/>
    <col min="15873" max="15878" width="12.28515625" customWidth="1"/>
    <col min="15879" max="15879" width="12.42578125" customWidth="1"/>
    <col min="15880" max="15880" width="12.7109375" customWidth="1"/>
    <col min="15881" max="15882" width="12.28515625" customWidth="1"/>
    <col min="15884" max="15884" width="13.42578125" bestFit="1" customWidth="1"/>
    <col min="15885" max="15885" width="9" bestFit="1" customWidth="1"/>
    <col min="16129" max="16134" width="12.28515625" customWidth="1"/>
    <col min="16135" max="16135" width="12.42578125" customWidth="1"/>
    <col min="16136" max="16136" width="12.7109375" customWidth="1"/>
    <col min="16137" max="16138" width="12.28515625" customWidth="1"/>
    <col min="16140" max="16140" width="13.42578125" bestFit="1" customWidth="1"/>
    <col min="16141" max="16141" width="9" bestFit="1" customWidth="1"/>
  </cols>
  <sheetData>
    <row r="1" spans="1:10" ht="18.75">
      <c r="A1" s="247" t="s">
        <v>112</v>
      </c>
      <c r="B1" s="248"/>
      <c r="C1" s="248"/>
      <c r="D1" s="248"/>
      <c r="E1" s="248"/>
      <c r="F1" s="248"/>
      <c r="G1" s="248"/>
      <c r="H1" s="248"/>
      <c r="I1" s="249" t="s">
        <v>113</v>
      </c>
      <c r="J1" s="249" t="s">
        <v>114</v>
      </c>
    </row>
    <row r="2" spans="1:10" ht="18.75">
      <c r="A2" s="247" t="s">
        <v>115</v>
      </c>
      <c r="B2" s="248"/>
      <c r="C2" s="248"/>
      <c r="D2" s="248"/>
      <c r="E2" s="248"/>
      <c r="F2" s="248"/>
      <c r="G2" s="248"/>
      <c r="H2" s="248"/>
      <c r="I2" s="248"/>
      <c r="J2" s="250" t="s">
        <v>116</v>
      </c>
    </row>
    <row r="3" spans="1:10" ht="15" customHeight="1" thickBot="1">
      <c r="A3" s="251" t="s">
        <v>117</v>
      </c>
      <c r="B3" s="252" t="s">
        <v>118</v>
      </c>
      <c r="C3" s="253"/>
      <c r="D3" s="251"/>
      <c r="E3" s="253"/>
      <c r="F3" s="253"/>
      <c r="G3" s="251" t="s">
        <v>119</v>
      </c>
      <c r="H3" s="254">
        <v>45853</v>
      </c>
      <c r="I3" s="251" t="s">
        <v>120</v>
      </c>
      <c r="J3" s="255">
        <v>0.26949074074074075</v>
      </c>
    </row>
    <row r="4" spans="1:10" ht="15" customHeight="1" thickBot="1">
      <c r="A4" s="256" t="s">
        <v>121</v>
      </c>
      <c r="B4" s="256" t="s">
        <v>122</v>
      </c>
      <c r="C4" s="256" t="s">
        <v>123</v>
      </c>
      <c r="D4" s="256" t="s">
        <v>124</v>
      </c>
      <c r="E4" s="257" t="s">
        <v>125</v>
      </c>
      <c r="F4" s="256" t="s">
        <v>126</v>
      </c>
      <c r="G4" s="256" t="s">
        <v>127</v>
      </c>
      <c r="H4" s="256" t="s">
        <v>128</v>
      </c>
      <c r="I4" s="256" t="s">
        <v>129</v>
      </c>
      <c r="J4" s="256" t="s">
        <v>130</v>
      </c>
    </row>
    <row r="5" spans="1:10" ht="15" customHeight="1" thickBot="1">
      <c r="A5" s="258">
        <v>2</v>
      </c>
      <c r="B5" s="259">
        <v>4000</v>
      </c>
      <c r="C5" s="260">
        <v>3600</v>
      </c>
      <c r="D5" s="258" t="s">
        <v>60</v>
      </c>
      <c r="E5" s="261">
        <v>3200</v>
      </c>
      <c r="F5" s="260">
        <v>60</v>
      </c>
      <c r="G5" s="258">
        <v>105</v>
      </c>
      <c r="H5" s="262" t="s">
        <v>793</v>
      </c>
      <c r="I5" s="263" t="s">
        <v>794</v>
      </c>
      <c r="J5" s="258" t="s">
        <v>66</v>
      </c>
    </row>
    <row r="6" spans="1:10" ht="15" customHeight="1" thickBot="1">
      <c r="A6" s="264" t="s">
        <v>133</v>
      </c>
      <c r="B6" s="265"/>
      <c r="C6" s="266"/>
      <c r="D6" s="267" t="s">
        <v>134</v>
      </c>
      <c r="E6" s="268"/>
      <c r="F6" s="269"/>
      <c r="G6" s="270"/>
      <c r="H6" s="271" t="s">
        <v>135</v>
      </c>
      <c r="I6" s="272"/>
      <c r="J6" s="273"/>
    </row>
    <row r="7" spans="1:10" ht="15" customHeight="1" thickBot="1">
      <c r="A7" s="274"/>
      <c r="B7" s="275" t="s">
        <v>136</v>
      </c>
      <c r="C7" s="276" t="s">
        <v>137</v>
      </c>
      <c r="D7" s="274"/>
      <c r="E7" s="277"/>
      <c r="F7" s="275" t="s">
        <v>138</v>
      </c>
      <c r="G7" s="276" t="s">
        <v>139</v>
      </c>
      <c r="H7" s="278" t="s">
        <v>140</v>
      </c>
      <c r="I7" s="279">
        <v>26.179916666666667</v>
      </c>
      <c r="J7" s="280" t="s">
        <v>141</v>
      </c>
    </row>
    <row r="8" spans="1:10" ht="15" customHeight="1">
      <c r="A8" s="278" t="s">
        <v>142</v>
      </c>
      <c r="B8" s="281">
        <v>3.5</v>
      </c>
      <c r="C8" s="282"/>
      <c r="D8" s="283"/>
      <c r="E8" s="284"/>
      <c r="F8" s="275"/>
      <c r="G8" s="276"/>
      <c r="H8" s="278" t="s">
        <v>143</v>
      </c>
      <c r="I8" s="279">
        <v>30.254877608695651</v>
      </c>
      <c r="J8" s="285" t="s">
        <v>144</v>
      </c>
    </row>
    <row r="9" spans="1:10" ht="15" customHeight="1" thickBot="1">
      <c r="A9" s="278" t="s">
        <v>145</v>
      </c>
      <c r="B9" s="281">
        <v>0.93000000715255737</v>
      </c>
      <c r="C9" s="282"/>
      <c r="D9" s="278" t="s">
        <v>146</v>
      </c>
      <c r="E9" s="286" t="s">
        <v>147</v>
      </c>
      <c r="F9" s="287" t="s">
        <v>148</v>
      </c>
      <c r="G9" s="288"/>
      <c r="H9" s="278" t="s">
        <v>149</v>
      </c>
      <c r="I9" s="281">
        <v>28.217397137681161</v>
      </c>
      <c r="J9" s="289">
        <v>800.78024872141873</v>
      </c>
    </row>
    <row r="10" spans="1:10" ht="15" customHeight="1">
      <c r="A10" s="278" t="s">
        <v>150</v>
      </c>
      <c r="B10" s="281">
        <v>820</v>
      </c>
      <c r="C10" s="290">
        <v>820</v>
      </c>
      <c r="D10" s="283"/>
      <c r="E10" s="284"/>
      <c r="F10" s="291" t="s">
        <v>151</v>
      </c>
      <c r="G10" s="292" t="s">
        <v>152</v>
      </c>
      <c r="H10" s="278" t="s">
        <v>153</v>
      </c>
      <c r="I10" s="279">
        <v>17.127578248316492</v>
      </c>
      <c r="J10" s="285" t="s">
        <v>154</v>
      </c>
    </row>
    <row r="11" spans="1:10" ht="15" customHeight="1" thickBot="1">
      <c r="A11" s="278" t="s">
        <v>155</v>
      </c>
      <c r="B11" s="281">
        <v>815</v>
      </c>
      <c r="C11" s="290">
        <v>443</v>
      </c>
      <c r="D11" s="278" t="s">
        <v>156</v>
      </c>
      <c r="E11" s="279">
        <v>0.62956666666666661</v>
      </c>
      <c r="F11" s="293"/>
      <c r="G11" s="294"/>
      <c r="H11" s="278" t="s">
        <v>157</v>
      </c>
      <c r="I11" s="279">
        <v>29.859305480929297</v>
      </c>
      <c r="J11" s="289">
        <v>175493.98935438998</v>
      </c>
    </row>
    <row r="12" spans="1:10" ht="15" customHeight="1">
      <c r="A12" s="278" t="s">
        <v>158</v>
      </c>
      <c r="B12" s="281">
        <v>450</v>
      </c>
      <c r="C12" s="290">
        <v>170</v>
      </c>
      <c r="D12" s="278" t="s">
        <v>159</v>
      </c>
      <c r="E12" s="295" t="s">
        <v>4</v>
      </c>
      <c r="F12" s="296" t="s">
        <v>160</v>
      </c>
      <c r="G12" s="297" t="s">
        <v>161</v>
      </c>
      <c r="H12" s="278" t="s">
        <v>162</v>
      </c>
      <c r="I12" s="279">
        <v>1.5285241314976885</v>
      </c>
      <c r="J12" s="285" t="s">
        <v>163</v>
      </c>
    </row>
    <row r="13" spans="1:10" ht="15" customHeight="1" thickBot="1">
      <c r="A13" s="278" t="s">
        <v>164</v>
      </c>
      <c r="B13" s="281">
        <v>109.5</v>
      </c>
      <c r="C13" s="290">
        <v>98.090000152587891</v>
      </c>
      <c r="D13" s="278" t="s">
        <v>165</v>
      </c>
      <c r="E13" s="298">
        <v>10</v>
      </c>
      <c r="F13" s="296"/>
      <c r="G13" s="297" t="s">
        <v>166</v>
      </c>
      <c r="H13" s="278" t="s">
        <v>167</v>
      </c>
      <c r="I13" s="279">
        <v>1.0132478676712358</v>
      </c>
      <c r="J13" s="289">
        <v>592.56988525390625</v>
      </c>
    </row>
    <row r="14" spans="1:10" ht="15" customHeight="1" thickBot="1">
      <c r="A14" s="299" t="s">
        <v>168</v>
      </c>
      <c r="B14" s="300">
        <v>617.52001953125</v>
      </c>
      <c r="C14" s="301">
        <v>673.32000732421875</v>
      </c>
      <c r="D14" s="278" t="s">
        <v>169</v>
      </c>
      <c r="E14" s="284" t="s">
        <v>170</v>
      </c>
      <c r="F14" s="284"/>
      <c r="G14" s="297" t="s">
        <v>171</v>
      </c>
      <c r="H14" s="251" t="s">
        <v>172</v>
      </c>
      <c r="I14" s="279">
        <v>1.5487738169240604</v>
      </c>
      <c r="J14" s="285" t="s">
        <v>173</v>
      </c>
    </row>
    <row r="15" spans="1:10" ht="15" customHeight="1" thickBot="1">
      <c r="A15" s="302" t="s">
        <v>174</v>
      </c>
      <c r="B15" s="303"/>
      <c r="C15" s="304"/>
      <c r="D15" s="278" t="s">
        <v>175</v>
      </c>
      <c r="E15" s="284" t="s">
        <v>170</v>
      </c>
      <c r="F15" s="284"/>
      <c r="G15" s="297"/>
      <c r="H15" s="278" t="s">
        <v>176</v>
      </c>
      <c r="I15" s="279">
        <v>0.83543300071747506</v>
      </c>
      <c r="J15" s="289">
        <v>41.057223849826386</v>
      </c>
    </row>
    <row r="16" spans="1:10" ht="15" customHeight="1">
      <c r="A16" s="278" t="s">
        <v>177</v>
      </c>
      <c r="B16" s="284">
        <v>54</v>
      </c>
      <c r="C16" s="282">
        <v>46</v>
      </c>
      <c r="D16" s="278" t="s">
        <v>178</v>
      </c>
      <c r="E16" s="284">
        <v>2</v>
      </c>
      <c r="F16" s="284"/>
      <c r="G16" s="297"/>
      <c r="H16" s="278" t="s">
        <v>179</v>
      </c>
      <c r="I16" s="279">
        <v>0.95529270900034158</v>
      </c>
      <c r="J16" s="305" t="s">
        <v>180</v>
      </c>
    </row>
    <row r="17" spans="1:17" ht="15" customHeight="1" thickBot="1">
      <c r="A17" s="278" t="s">
        <v>181</v>
      </c>
      <c r="B17" s="284" t="s">
        <v>182</v>
      </c>
      <c r="C17" s="282" t="s">
        <v>183</v>
      </c>
      <c r="D17" s="251" t="s">
        <v>184</v>
      </c>
      <c r="E17" s="284" t="s">
        <v>185</v>
      </c>
      <c r="F17" s="284"/>
      <c r="G17" s="297"/>
      <c r="H17" s="278" t="s">
        <v>186</v>
      </c>
      <c r="I17" s="279">
        <v>0.79808305444368111</v>
      </c>
      <c r="J17" s="289">
        <v>1131.7260723147951</v>
      </c>
    </row>
    <row r="18" spans="1:17" ht="15" customHeight="1">
      <c r="A18" s="278" t="s">
        <v>187</v>
      </c>
      <c r="B18" s="284" t="s">
        <v>4</v>
      </c>
      <c r="C18" s="290">
        <v>0</v>
      </c>
      <c r="D18" s="278" t="s">
        <v>188</v>
      </c>
      <c r="E18" s="306">
        <v>1687</v>
      </c>
      <c r="F18" s="298">
        <v>1010.5370025634766</v>
      </c>
      <c r="G18" s="307"/>
      <c r="H18" s="302" t="s">
        <v>189</v>
      </c>
      <c r="I18" s="308" t="s">
        <v>190</v>
      </c>
      <c r="J18" s="309"/>
    </row>
    <row r="19" spans="1:17" ht="15" customHeight="1">
      <c r="A19" s="278" t="s">
        <v>191</v>
      </c>
      <c r="B19" s="281">
        <v>73</v>
      </c>
      <c r="C19" s="290">
        <v>38.409999847412109</v>
      </c>
      <c r="D19" s="278" t="s">
        <v>192</v>
      </c>
      <c r="E19" s="298">
        <v>90</v>
      </c>
      <c r="F19" s="284"/>
      <c r="G19" s="282"/>
      <c r="H19" s="310"/>
      <c r="I19" s="275" t="s">
        <v>193</v>
      </c>
      <c r="J19" s="311" t="s">
        <v>194</v>
      </c>
    </row>
    <row r="20" spans="1:17" ht="15" customHeight="1">
      <c r="A20" s="278" t="s">
        <v>195</v>
      </c>
      <c r="B20" s="281" t="s">
        <v>196</v>
      </c>
      <c r="C20" s="290"/>
      <c r="D20" s="278" t="s">
        <v>197</v>
      </c>
      <c r="E20" s="312">
        <v>2.5096533339072524E-2</v>
      </c>
      <c r="F20" s="284"/>
      <c r="G20" s="282"/>
      <c r="H20" s="278" t="s">
        <v>198</v>
      </c>
      <c r="I20" s="279">
        <v>14.993256568908691</v>
      </c>
      <c r="J20" s="313">
        <v>14.993256568908691</v>
      </c>
    </row>
    <row r="21" spans="1:17" ht="15" customHeight="1">
      <c r="A21" s="278" t="s">
        <v>199</v>
      </c>
      <c r="B21" s="281">
        <v>17.299999237060547</v>
      </c>
      <c r="C21" s="290">
        <v>3</v>
      </c>
      <c r="D21" s="278" t="s">
        <v>200</v>
      </c>
      <c r="E21" s="314">
        <v>3.3478479640923854E-2</v>
      </c>
      <c r="F21" s="314">
        <v>2.5015836581587791E-2</v>
      </c>
      <c r="G21" s="315">
        <v>5.5189454971167964E-3</v>
      </c>
      <c r="H21" s="278" t="s">
        <v>201</v>
      </c>
      <c r="I21" s="279">
        <v>16.318153381347656</v>
      </c>
      <c r="J21" s="313">
        <v>13.79779052734375</v>
      </c>
    </row>
    <row r="22" spans="1:17" ht="15" customHeight="1">
      <c r="A22" s="278" t="s">
        <v>202</v>
      </c>
      <c r="B22" s="281">
        <v>13.149999618530273</v>
      </c>
      <c r="C22" s="290">
        <v>3</v>
      </c>
      <c r="D22" s="278" t="s">
        <v>203</v>
      </c>
      <c r="E22" s="284" t="s">
        <v>204</v>
      </c>
      <c r="F22" s="284" t="s">
        <v>204</v>
      </c>
      <c r="G22" s="282" t="s">
        <v>204</v>
      </c>
      <c r="H22" s="278" t="s">
        <v>205</v>
      </c>
      <c r="I22" s="279">
        <v>4.6907854080200195</v>
      </c>
      <c r="J22" s="313">
        <v>4.2423238754272461</v>
      </c>
    </row>
    <row r="23" spans="1:17" ht="15" customHeight="1">
      <c r="A23" s="278" t="s">
        <v>206</v>
      </c>
      <c r="B23" s="281">
        <v>8.8799171447753906</v>
      </c>
      <c r="C23" s="290">
        <v>10.888422012329102</v>
      </c>
      <c r="D23" s="278" t="s">
        <v>207</v>
      </c>
      <c r="E23" s="279">
        <v>1.7419999837875366</v>
      </c>
      <c r="F23" s="279">
        <v>1.7419999837875366</v>
      </c>
      <c r="G23" s="313">
        <v>1.7419999837875366</v>
      </c>
      <c r="H23" s="278" t="s">
        <v>208</v>
      </c>
      <c r="I23" s="279">
        <v>22.062265080590219</v>
      </c>
      <c r="J23" s="276" t="s">
        <v>209</v>
      </c>
    </row>
    <row r="24" spans="1:17" ht="15" customHeight="1">
      <c r="A24" s="278" t="s">
        <v>210</v>
      </c>
      <c r="B24" s="281">
        <v>0</v>
      </c>
      <c r="C24" s="290">
        <v>0.80000001192092896</v>
      </c>
      <c r="D24" s="278" t="s">
        <v>211</v>
      </c>
      <c r="E24" s="279">
        <v>8.8900003433227539</v>
      </c>
      <c r="F24" s="279">
        <v>8.8900003433227539</v>
      </c>
      <c r="G24" s="313">
        <v>8.8900003433227539</v>
      </c>
      <c r="H24" s="278" t="s">
        <v>212</v>
      </c>
      <c r="I24" s="279">
        <v>6.7857612215462551</v>
      </c>
      <c r="J24" s="313">
        <v>6.1451552713117517</v>
      </c>
    </row>
    <row r="25" spans="1:17" ht="15" customHeight="1">
      <c r="A25" s="278" t="s">
        <v>213</v>
      </c>
      <c r="B25" s="284" t="s">
        <v>4</v>
      </c>
      <c r="C25" s="290">
        <v>5.7199997901916504</v>
      </c>
      <c r="D25" s="316" t="s">
        <v>214</v>
      </c>
      <c r="E25" s="286"/>
      <c r="F25" s="286"/>
      <c r="G25" s="317"/>
      <c r="H25" s="278" t="s">
        <v>215</v>
      </c>
      <c r="I25" s="279">
        <v>6.4013265073299408E-2</v>
      </c>
      <c r="J25" s="313">
        <v>0.16659495234489441</v>
      </c>
    </row>
    <row r="26" spans="1:17" ht="15" customHeight="1">
      <c r="A26" s="278" t="s">
        <v>216</v>
      </c>
      <c r="B26" s="286" t="s">
        <v>217</v>
      </c>
      <c r="C26" s="317" t="s">
        <v>218</v>
      </c>
      <c r="D26" s="278" t="s">
        <v>219</v>
      </c>
      <c r="E26" s="281">
        <v>213.37455691532506</v>
      </c>
      <c r="F26" s="281">
        <v>141.75762345651788</v>
      </c>
      <c r="G26" s="290">
        <v>84.531503356144583</v>
      </c>
      <c r="H26" s="278" t="s">
        <v>220</v>
      </c>
      <c r="I26" s="279">
        <v>0.80727547407150269</v>
      </c>
      <c r="J26" s="313">
        <v>0.76224279403686523</v>
      </c>
    </row>
    <row r="27" spans="1:17" ht="15" customHeight="1" thickBot="1">
      <c r="A27" s="278" t="s">
        <v>221</v>
      </c>
      <c r="B27" s="284" t="s">
        <v>222</v>
      </c>
      <c r="C27" s="282" t="s">
        <v>223</v>
      </c>
      <c r="D27" s="318" t="s">
        <v>224</v>
      </c>
      <c r="E27" s="319">
        <v>213.37455691532506</v>
      </c>
      <c r="F27" s="319" t="s">
        <v>4</v>
      </c>
      <c r="G27" s="320" t="s">
        <v>4</v>
      </c>
      <c r="H27" s="318" t="s">
        <v>225</v>
      </c>
      <c r="I27" s="321">
        <v>0.80980944633483887</v>
      </c>
      <c r="J27" s="322">
        <v>0.78023582696914673</v>
      </c>
      <c r="M27" s="323"/>
      <c r="N27" s="323"/>
      <c r="O27" s="323"/>
      <c r="P27" s="323"/>
      <c r="Q27" s="323"/>
    </row>
    <row r="28" spans="1:17" ht="15" customHeight="1">
      <c r="A28" s="283" t="s">
        <v>226</v>
      </c>
      <c r="B28" s="253"/>
      <c r="C28" s="324"/>
      <c r="D28" s="302" t="s">
        <v>227</v>
      </c>
      <c r="E28" s="325"/>
      <c r="F28" s="326"/>
      <c r="G28" s="327"/>
      <c r="H28" s="270"/>
      <c r="I28" s="328" t="s">
        <v>228</v>
      </c>
      <c r="J28" s="270"/>
      <c r="M28" s="323"/>
      <c r="N28" s="323"/>
      <c r="O28" s="323"/>
      <c r="P28" s="323"/>
      <c r="Q28" s="323"/>
    </row>
    <row r="29" spans="1:17" ht="15" customHeight="1">
      <c r="A29" s="329"/>
      <c r="B29" s="330" t="s">
        <v>229</v>
      </c>
      <c r="C29" s="331">
        <v>35.359193128881586</v>
      </c>
      <c r="D29" s="329"/>
      <c r="E29" s="275" t="s">
        <v>230</v>
      </c>
      <c r="F29" s="275" t="s">
        <v>231</v>
      </c>
      <c r="G29" s="275" t="s">
        <v>232</v>
      </c>
      <c r="H29" s="276" t="s">
        <v>233</v>
      </c>
      <c r="I29" s="275" t="s">
        <v>234</v>
      </c>
      <c r="J29" s="276" t="s">
        <v>235</v>
      </c>
      <c r="M29" s="332" t="str">
        <f>RIGHT(F$41,SEARCH("/",F$41,1)-1)</f>
        <v xml:space="preserve"> 3567.6</v>
      </c>
      <c r="N29" s="323" t="s">
        <v>236</v>
      </c>
      <c r="O29" s="323"/>
      <c r="P29" s="275" t="s">
        <v>237</v>
      </c>
      <c r="Q29" s="323"/>
    </row>
    <row r="30" spans="1:17" ht="15" customHeight="1" thickBot="1">
      <c r="A30" s="333"/>
      <c r="B30" s="334" t="s">
        <v>238</v>
      </c>
      <c r="C30" s="335">
        <v>35.395463326989393</v>
      </c>
      <c r="D30" s="278" t="s">
        <v>239</v>
      </c>
      <c r="E30" s="336">
        <v>64.009896249999997</v>
      </c>
      <c r="F30" s="336">
        <v>1352.3688427734376</v>
      </c>
      <c r="G30" s="336">
        <v>14.279470839578382</v>
      </c>
      <c r="H30" s="337">
        <v>471.78504098583994</v>
      </c>
      <c r="I30" s="298">
        <v>149868.95696591251</v>
      </c>
      <c r="J30" s="307">
        <v>9469.1118642095516</v>
      </c>
      <c r="M30" s="332" t="str">
        <f>RIGHT(E$41,SEARCH("/",E$41,1)-1)</f>
        <v xml:space="preserve"> 3576.7</v>
      </c>
      <c r="N30" s="323" t="s">
        <v>240</v>
      </c>
      <c r="O30" s="323"/>
      <c r="P30" s="338">
        <f>G30*6.4516</f>
        <v>92.125434068623889</v>
      </c>
      <c r="Q30" s="323"/>
    </row>
    <row r="31" spans="1:17" ht="15" customHeight="1">
      <c r="A31" s="264" t="s">
        <v>241</v>
      </c>
      <c r="B31" s="339"/>
      <c r="C31" s="340"/>
      <c r="D31" s="278" t="s">
        <v>242</v>
      </c>
      <c r="E31" s="336">
        <v>7.3000000000000007</v>
      </c>
      <c r="F31" s="336">
        <v>1480.5521843429469</v>
      </c>
      <c r="G31" s="336">
        <v>13.043181901290245</v>
      </c>
      <c r="H31" s="337">
        <v>38.000596199026546</v>
      </c>
      <c r="I31" s="298">
        <v>21616.061891407026</v>
      </c>
      <c r="J31" s="307">
        <v>1179.4020156581539</v>
      </c>
      <c r="M31" s="332" t="str">
        <f>RIGHT(D$41,SEARCH("/",D$41,1)-1)</f>
        <v xml:space="preserve"> 3585.7</v>
      </c>
      <c r="N31" s="323" t="s">
        <v>243</v>
      </c>
      <c r="O31" s="323"/>
      <c r="P31" s="338">
        <f>G31*6.4516</f>
        <v>84.149392354364139</v>
      </c>
      <c r="Q31" s="323"/>
    </row>
    <row r="32" spans="1:17" ht="15" customHeight="1">
      <c r="A32" s="283" t="s">
        <v>244</v>
      </c>
      <c r="B32" s="279" t="s">
        <v>795</v>
      </c>
      <c r="C32" s="341"/>
      <c r="D32" s="278" t="s">
        <v>246</v>
      </c>
      <c r="E32" s="336">
        <v>28.759685678968431</v>
      </c>
      <c r="F32" s="336">
        <v>1702.4671965738526</v>
      </c>
      <c r="G32" s="336">
        <v>11.343015297798694</v>
      </c>
      <c r="H32" s="337">
        <v>100.2682490572932</v>
      </c>
      <c r="I32" s="342" t="s">
        <v>247</v>
      </c>
      <c r="J32" s="307">
        <v>10648.513879867705</v>
      </c>
      <c r="M32" s="332" t="str">
        <f>RIGHT(C$41,SEARCH("/",C$41,1)-1)</f>
        <v xml:space="preserve"> 3594.5</v>
      </c>
      <c r="N32" s="323" t="s">
        <v>248</v>
      </c>
      <c r="O32" s="323"/>
      <c r="P32" s="338">
        <f>G32*6.4516</f>
        <v>73.18059749527805</v>
      </c>
      <c r="Q32" s="323"/>
    </row>
    <row r="33" spans="1:17" ht="15" customHeight="1">
      <c r="A33" s="283" t="s">
        <v>249</v>
      </c>
      <c r="B33" s="279" t="s">
        <v>796</v>
      </c>
      <c r="C33" s="343" t="s">
        <v>251</v>
      </c>
      <c r="D33" s="278" t="s">
        <v>242</v>
      </c>
      <c r="E33" s="336">
        <v>3.8409999847412113</v>
      </c>
      <c r="F33" s="336">
        <v>1686.2202494908415</v>
      </c>
      <c r="G33" s="336">
        <v>11.452306696333828</v>
      </c>
      <c r="H33" s="337">
        <v>13.769013272572444</v>
      </c>
      <c r="I33" s="342" t="s">
        <v>252</v>
      </c>
      <c r="J33" s="290" t="s">
        <v>253</v>
      </c>
      <c r="M33" s="332" t="str">
        <f>RIGHT(B$41,SEARCH("/",B$41,1)-1)</f>
        <v xml:space="preserve"> 3602.6</v>
      </c>
      <c r="N33" s="323" t="s">
        <v>254</v>
      </c>
      <c r="O33" s="323"/>
      <c r="P33" s="338">
        <f>G33*6.4516</f>
        <v>73.885701882067323</v>
      </c>
      <c r="Q33" s="323"/>
    </row>
    <row r="34" spans="1:17" ht="15" customHeight="1" thickBot="1">
      <c r="A34" s="344" t="s">
        <v>255</v>
      </c>
      <c r="B34" s="321" t="s">
        <v>797</v>
      </c>
      <c r="C34" s="345">
        <v>19.311111454737663</v>
      </c>
      <c r="D34" s="318" t="s">
        <v>142</v>
      </c>
      <c r="E34" s="346">
        <v>0.35000000000000003</v>
      </c>
      <c r="F34" s="347">
        <v>3167.4042596760478</v>
      </c>
      <c r="G34" s="347">
        <v>6.096825624877054</v>
      </c>
      <c r="H34" s="348">
        <v>1698.0963212155064</v>
      </c>
      <c r="I34" s="342" t="s">
        <v>257</v>
      </c>
      <c r="J34" s="290">
        <v>6.0500001907348633</v>
      </c>
      <c r="M34" s="323"/>
      <c r="N34" s="323"/>
      <c r="O34" s="323"/>
      <c r="P34" s="338">
        <f>G34*6.4516</f>
        <v>39.334280201456799</v>
      </c>
      <c r="Q34" s="323"/>
    </row>
    <row r="35" spans="1:17" ht="15" customHeight="1">
      <c r="A35" s="302" t="s">
        <v>258</v>
      </c>
      <c r="B35" s="269"/>
      <c r="C35" s="269"/>
      <c r="D35" s="349" t="s">
        <v>259</v>
      </c>
      <c r="E35" s="350" t="s">
        <v>798</v>
      </c>
      <c r="F35" s="270"/>
      <c r="G35" s="351" t="s">
        <v>261</v>
      </c>
      <c r="H35" s="352" t="s">
        <v>799</v>
      </c>
      <c r="I35" s="278" t="s">
        <v>263</v>
      </c>
      <c r="J35" s="307" t="s">
        <v>800</v>
      </c>
      <c r="M35" s="323"/>
      <c r="N35" s="323"/>
      <c r="O35" s="323"/>
      <c r="P35" s="323"/>
      <c r="Q35" s="323"/>
    </row>
    <row r="36" spans="1:17" ht="15" customHeight="1">
      <c r="A36" s="283" t="s">
        <v>265</v>
      </c>
      <c r="B36" s="275">
        <v>25</v>
      </c>
      <c r="C36" s="275">
        <v>50</v>
      </c>
      <c r="D36" s="275">
        <v>75</v>
      </c>
      <c r="E36" s="275">
        <v>100</v>
      </c>
      <c r="F36" s="276">
        <v>125</v>
      </c>
      <c r="G36" s="278" t="s">
        <v>266</v>
      </c>
      <c r="H36" s="307" t="s">
        <v>801</v>
      </c>
      <c r="I36" s="278" t="s">
        <v>268</v>
      </c>
      <c r="J36" s="307" t="s">
        <v>802</v>
      </c>
      <c r="M36" s="323"/>
      <c r="N36" s="323"/>
      <c r="O36" s="323"/>
      <c r="P36" s="323"/>
      <c r="Q36" s="323"/>
    </row>
    <row r="37" spans="1:17" ht="15" customHeight="1" thickBot="1">
      <c r="A37" s="278" t="s">
        <v>270</v>
      </c>
      <c r="B37" s="353" t="s">
        <v>803</v>
      </c>
      <c r="C37" s="353" t="s">
        <v>804</v>
      </c>
      <c r="D37" s="353" t="s">
        <v>805</v>
      </c>
      <c r="E37" s="353" t="s">
        <v>806</v>
      </c>
      <c r="F37" s="354" t="s">
        <v>807</v>
      </c>
      <c r="G37" s="278" t="s">
        <v>276</v>
      </c>
      <c r="H37" s="307" t="s">
        <v>808</v>
      </c>
      <c r="I37" s="318" t="s">
        <v>278</v>
      </c>
      <c r="J37" s="355" t="s">
        <v>809</v>
      </c>
      <c r="O37" s="356"/>
    </row>
    <row r="38" spans="1:17" ht="15" customHeight="1" thickBot="1">
      <c r="A38" s="278" t="s">
        <v>280</v>
      </c>
      <c r="B38" s="357" t="s">
        <v>810</v>
      </c>
      <c r="C38" s="357" t="s">
        <v>811</v>
      </c>
      <c r="D38" s="357" t="s">
        <v>812</v>
      </c>
      <c r="E38" s="357" t="s">
        <v>813</v>
      </c>
      <c r="F38" s="358" t="s">
        <v>814</v>
      </c>
      <c r="G38" s="344" t="s">
        <v>286</v>
      </c>
      <c r="H38" s="355" t="s">
        <v>287</v>
      </c>
      <c r="I38" s="359" t="s">
        <v>288</v>
      </c>
      <c r="J38" s="360">
        <v>52673.0859375</v>
      </c>
      <c r="L38" t="str">
        <f>LEFT(E38,SEARCH("/",E38,1)-1)</f>
        <v xml:space="preserve">0.968 </v>
      </c>
      <c r="M38" t="str">
        <f>RIGHT(E38,SEARCH("/",E38,1)-1)</f>
        <v xml:space="preserve"> 0.954</v>
      </c>
      <c r="N38" s="361">
        <f>M38/L38</f>
        <v>0.98553719008264462</v>
      </c>
      <c r="O38" s="356" t="s">
        <v>289</v>
      </c>
    </row>
    <row r="39" spans="1:17" ht="15" customHeight="1">
      <c r="A39" s="278" t="s">
        <v>290</v>
      </c>
      <c r="B39" s="357" t="s">
        <v>815</v>
      </c>
      <c r="C39" s="357" t="s">
        <v>816</v>
      </c>
      <c r="D39" s="357" t="s">
        <v>817</v>
      </c>
      <c r="E39" s="357" t="s">
        <v>818</v>
      </c>
      <c r="F39" s="358" t="s">
        <v>819</v>
      </c>
      <c r="G39" s="302" t="s">
        <v>296</v>
      </c>
      <c r="H39" s="269"/>
      <c r="I39" s="362" t="s">
        <v>297</v>
      </c>
      <c r="J39" s="363" t="s">
        <v>298</v>
      </c>
      <c r="L39" t="str">
        <f>LEFT(E39,SEARCH("/",E39,1)-1)</f>
        <v xml:space="preserve">0.938 </v>
      </c>
      <c r="M39" t="str">
        <f>RIGHT(E39,SEARCH("/",E39,1)-1)</f>
        <v xml:space="preserve"> 0.909</v>
      </c>
      <c r="N39" s="361">
        <f>M39/L39</f>
        <v>0.96908315565031988</v>
      </c>
      <c r="O39" s="356" t="s">
        <v>299</v>
      </c>
    </row>
    <row r="40" spans="1:17" ht="15" customHeight="1">
      <c r="A40" s="278" t="s">
        <v>297</v>
      </c>
      <c r="B40" s="364" t="s">
        <v>820</v>
      </c>
      <c r="C40" s="364" t="s">
        <v>821</v>
      </c>
      <c r="D40" s="364" t="s">
        <v>822</v>
      </c>
      <c r="E40" s="364" t="s">
        <v>794</v>
      </c>
      <c r="F40" s="365" t="s">
        <v>823</v>
      </c>
      <c r="G40" s="366" t="s">
        <v>304</v>
      </c>
      <c r="H40" s="367" t="s">
        <v>824</v>
      </c>
      <c r="I40" s="368"/>
      <c r="J40" s="369"/>
      <c r="L40" t="str">
        <f>LEFT(E37,SEARCH("/",E37,1)-1)</f>
        <v xml:space="preserve">592.57 </v>
      </c>
      <c r="M40" t="str">
        <f>RIGHT(E37,SEARCH("/",E37,1)-1)</f>
        <v xml:space="preserve"> 620.90</v>
      </c>
      <c r="N40" s="361">
        <f>M40/L40</f>
        <v>1.0478086977065999</v>
      </c>
      <c r="O40" s="356" t="s">
        <v>306</v>
      </c>
    </row>
    <row r="41" spans="1:17" ht="15" customHeight="1">
      <c r="A41" s="278" t="s">
        <v>123</v>
      </c>
      <c r="B41" s="370" t="s">
        <v>825</v>
      </c>
      <c r="C41" s="370" t="s">
        <v>826</v>
      </c>
      <c r="D41" s="370" t="s">
        <v>827</v>
      </c>
      <c r="E41" s="370" t="s">
        <v>793</v>
      </c>
      <c r="F41" s="371" t="s">
        <v>828</v>
      </c>
      <c r="G41" s="372" t="s">
        <v>311</v>
      </c>
      <c r="H41" s="373" t="s">
        <v>829</v>
      </c>
      <c r="I41" s="374"/>
      <c r="J41" s="375"/>
      <c r="L41" t="str">
        <f>LEFT(E41,SEARCH("/",E41,1)-1)</f>
        <v xml:space="preserve">3565.9 </v>
      </c>
      <c r="M41" t="str">
        <f>RIGHT(E41,SEARCH("/",E41,1)-1)</f>
        <v xml:space="preserve"> 3576.7</v>
      </c>
      <c r="N41" s="361">
        <f>M41/L41</f>
        <v>1.003028688409658</v>
      </c>
      <c r="O41" s="356" t="s">
        <v>123</v>
      </c>
    </row>
    <row r="42" spans="1:17" ht="15" customHeight="1">
      <c r="A42" s="278" t="s">
        <v>313</v>
      </c>
      <c r="B42" s="357">
        <v>1.8170744726301387</v>
      </c>
      <c r="C42" s="357">
        <v>1.8170744726301387</v>
      </c>
      <c r="D42" s="357">
        <v>1.8170744726301387</v>
      </c>
      <c r="E42" s="357">
        <v>1.8170744726301387</v>
      </c>
      <c r="F42" s="358">
        <v>1.8141946214599485</v>
      </c>
      <c r="G42" s="366" t="s">
        <v>314</v>
      </c>
      <c r="H42" s="367" t="s">
        <v>830</v>
      </c>
      <c r="I42" s="368"/>
      <c r="J42" s="376">
        <v>0.21352507955137723</v>
      </c>
    </row>
    <row r="43" spans="1:17" ht="15" customHeight="1" thickBot="1">
      <c r="A43" s="318" t="s">
        <v>316</v>
      </c>
      <c r="B43" s="377">
        <v>1.8170744726301387</v>
      </c>
      <c r="C43" s="378"/>
      <c r="D43" s="379" t="s">
        <v>317</v>
      </c>
      <c r="E43" s="379"/>
      <c r="F43" s="380"/>
      <c r="G43" s="372" t="s">
        <v>311</v>
      </c>
      <c r="H43" s="373" t="s">
        <v>831</v>
      </c>
      <c r="I43" s="374"/>
      <c r="J43" s="375"/>
    </row>
    <row r="44" spans="1:17" ht="15" customHeight="1">
      <c r="A44" s="381" t="s">
        <v>319</v>
      </c>
      <c r="B44" s="382"/>
      <c r="C44" s="253"/>
      <c r="D44" s="253"/>
      <c r="E44" s="381" t="s">
        <v>320</v>
      </c>
      <c r="F44" s="383"/>
      <c r="G44" s="366" t="s">
        <v>321</v>
      </c>
      <c r="H44" s="384">
        <v>5924.5947880668282</v>
      </c>
      <c r="I44" s="385">
        <v>3.7792006614698788E-2</v>
      </c>
      <c r="J44" s="376">
        <v>0.64912484123434389</v>
      </c>
    </row>
    <row r="45" spans="1:17" ht="15" customHeight="1">
      <c r="A45" s="278" t="s">
        <v>322</v>
      </c>
      <c r="B45" s="279">
        <v>0.10612194985151291</v>
      </c>
      <c r="C45" s="386" t="s">
        <v>323</v>
      </c>
      <c r="D45" s="313">
        <v>1.0798200964927673E-2</v>
      </c>
      <c r="E45" s="278" t="s">
        <v>324</v>
      </c>
      <c r="F45" s="307">
        <v>775.40125268093232</v>
      </c>
      <c r="G45" s="387" t="s">
        <v>311</v>
      </c>
      <c r="H45" s="388" t="s">
        <v>832</v>
      </c>
      <c r="I45" s="389"/>
      <c r="J45" s="317"/>
    </row>
    <row r="46" spans="1:17" ht="15" customHeight="1">
      <c r="A46" s="278" t="s">
        <v>326</v>
      </c>
      <c r="B46" s="279">
        <v>0.25022390484809875</v>
      </c>
      <c r="C46" s="386" t="s">
        <v>327</v>
      </c>
      <c r="D46" s="313">
        <v>9.4645917415618896E-3</v>
      </c>
      <c r="E46" s="278" t="s">
        <v>328</v>
      </c>
      <c r="F46" s="307">
        <v>1110.6249904754357</v>
      </c>
      <c r="G46" s="372" t="s">
        <v>329</v>
      </c>
      <c r="H46" s="390">
        <v>1584.4408622773801</v>
      </c>
      <c r="I46" s="374"/>
      <c r="J46" s="375"/>
      <c r="L46" s="391" t="s">
        <v>330</v>
      </c>
      <c r="M46" s="392">
        <f>B5^0.95</f>
        <v>2642.1470921992141</v>
      </c>
    </row>
    <row r="47" spans="1:17" ht="15" customHeight="1">
      <c r="A47" s="278" t="s">
        <v>331</v>
      </c>
      <c r="B47" s="279">
        <v>0.35634586215019226</v>
      </c>
      <c r="C47" s="386" t="s">
        <v>332</v>
      </c>
      <c r="D47" s="313">
        <v>3.5857909824699163E-3</v>
      </c>
      <c r="E47" s="278" t="s">
        <v>333</v>
      </c>
      <c r="F47" s="307">
        <v>380.09578246851993</v>
      </c>
      <c r="G47" s="393" t="s">
        <v>334</v>
      </c>
      <c r="H47" s="384">
        <v>5705.0901777580584</v>
      </c>
      <c r="I47" s="385">
        <v>3.6336041226453029E-2</v>
      </c>
      <c r="J47" s="394">
        <v>0.6627583065029633</v>
      </c>
      <c r="L47" s="391" t="s">
        <v>335</v>
      </c>
      <c r="M47" s="392">
        <f>B5^1.5</f>
        <v>252982.21281347031</v>
      </c>
    </row>
    <row r="48" spans="1:17" ht="15" customHeight="1">
      <c r="A48" s="278" t="s">
        <v>336</v>
      </c>
      <c r="B48" s="279">
        <v>7.5494670309126377E-3</v>
      </c>
      <c r="C48" s="386" t="s">
        <v>247</v>
      </c>
      <c r="D48" s="313">
        <v>3.1398050487041473E-2</v>
      </c>
      <c r="E48" s="278" t="s">
        <v>337</v>
      </c>
      <c r="F48" s="307">
        <v>280.04633833921065</v>
      </c>
      <c r="G48" s="395" t="s">
        <v>311</v>
      </c>
      <c r="H48" s="388">
        <v>191.18934912057836</v>
      </c>
      <c r="I48" s="389"/>
      <c r="J48" s="317"/>
      <c r="L48" s="391" t="s">
        <v>338</v>
      </c>
      <c r="M48" s="396">
        <f>IF(A5="",0,(7200/(1000*A5))^2.4)</f>
        <v>21.633460842025631</v>
      </c>
    </row>
    <row r="49" spans="1:13" ht="15" customHeight="1" thickBot="1">
      <c r="A49" s="333"/>
      <c r="B49" s="397"/>
      <c r="C49" s="398" t="s">
        <v>339</v>
      </c>
      <c r="D49" s="322">
        <v>0.96860194206237793</v>
      </c>
      <c r="E49" s="318" t="s">
        <v>340</v>
      </c>
      <c r="F49" s="355">
        <v>714.47201956178526</v>
      </c>
      <c r="G49" s="399" t="s">
        <v>329</v>
      </c>
      <c r="H49" s="390">
        <v>1553.0448040654985</v>
      </c>
      <c r="I49" s="374"/>
      <c r="J49" s="400"/>
      <c r="L49" s="391" t="s">
        <v>341</v>
      </c>
      <c r="M49" s="396">
        <f>IF(A5="",0,(7200/(1000*A5))^1.8)</f>
        <v>10.031006258647469</v>
      </c>
    </row>
    <row r="50" spans="1:13" ht="15" customHeight="1">
      <c r="A50" s="302" t="s">
        <v>342</v>
      </c>
      <c r="B50" s="269"/>
      <c r="C50" s="269"/>
      <c r="D50" s="269"/>
      <c r="E50" s="269"/>
      <c r="F50" s="270"/>
      <c r="G50" s="302" t="s">
        <v>343</v>
      </c>
      <c r="H50" s="269"/>
      <c r="I50" s="327"/>
      <c r="J50" s="340"/>
      <c r="L50" s="391" t="s">
        <v>344</v>
      </c>
      <c r="M50" s="401">
        <f>IF(A5=2,27,24)</f>
        <v>27</v>
      </c>
    </row>
    <row r="51" spans="1:13" ht="15" customHeight="1">
      <c r="A51" s="278" t="s">
        <v>345</v>
      </c>
      <c r="B51" s="284">
        <v>46</v>
      </c>
      <c r="C51" s="342" t="s">
        <v>346</v>
      </c>
      <c r="D51" s="281" t="s">
        <v>4</v>
      </c>
      <c r="E51" s="342" t="s">
        <v>347</v>
      </c>
      <c r="F51" s="290" t="s">
        <v>4</v>
      </c>
      <c r="G51" s="342" t="s">
        <v>348</v>
      </c>
      <c r="H51" s="314">
        <v>0.20939449939853005</v>
      </c>
      <c r="I51" s="402" t="s">
        <v>349</v>
      </c>
      <c r="J51" s="324"/>
      <c r="L51" s="391" t="s">
        <v>350</v>
      </c>
      <c r="M51" s="401">
        <v>6.8500000000000005E-2</v>
      </c>
    </row>
    <row r="52" spans="1:13" ht="15" customHeight="1">
      <c r="A52" s="278" t="s">
        <v>191</v>
      </c>
      <c r="B52" s="281">
        <v>38.409999847412109</v>
      </c>
      <c r="C52" s="342" t="s">
        <v>351</v>
      </c>
      <c r="D52" s="281" t="s">
        <v>4</v>
      </c>
      <c r="E52" s="342" t="s">
        <v>352</v>
      </c>
      <c r="F52" s="290" t="s">
        <v>4</v>
      </c>
      <c r="G52" s="342" t="s">
        <v>353</v>
      </c>
      <c r="H52" s="281">
        <v>142084.27600000001</v>
      </c>
      <c r="I52" s="403" t="s">
        <v>833</v>
      </c>
      <c r="J52" s="404"/>
      <c r="L52" s="391" t="s">
        <v>355</v>
      </c>
      <c r="M52" s="405">
        <f>F5</f>
        <v>60</v>
      </c>
    </row>
    <row r="53" spans="1:13" ht="15" customHeight="1">
      <c r="A53" s="278" t="s">
        <v>199</v>
      </c>
      <c r="B53" s="281">
        <v>3</v>
      </c>
      <c r="C53" s="342" t="s">
        <v>356</v>
      </c>
      <c r="D53" s="281" t="s">
        <v>4</v>
      </c>
      <c r="E53" s="342" t="s">
        <v>357</v>
      </c>
      <c r="F53" s="290" t="s">
        <v>4</v>
      </c>
      <c r="G53" s="342" t="s">
        <v>358</v>
      </c>
      <c r="H53" s="279">
        <v>111.535588322896</v>
      </c>
      <c r="I53" s="402" t="s">
        <v>359</v>
      </c>
      <c r="J53" s="324"/>
      <c r="L53" s="391" t="s">
        <v>360</v>
      </c>
      <c r="M53" s="406">
        <f>IF(F5=60,M50*M46/M48-M51*M47/M49,IF(F5&lt;&gt;60,(60/M52)^2*(M50*M46/M48-M51*M47/M49),0))</f>
        <v>1570.0039433402194</v>
      </c>
    </row>
    <row r="54" spans="1:13" ht="15" customHeight="1">
      <c r="A54" s="278" t="s">
        <v>202</v>
      </c>
      <c r="B54" s="281">
        <v>3</v>
      </c>
      <c r="C54" s="342" t="s">
        <v>361</v>
      </c>
      <c r="D54" s="281" t="s">
        <v>4</v>
      </c>
      <c r="E54" s="342" t="s">
        <v>357</v>
      </c>
      <c r="F54" s="290" t="s">
        <v>4</v>
      </c>
      <c r="G54" s="342" t="s">
        <v>362</v>
      </c>
      <c r="H54" s="298">
        <v>441045.4</v>
      </c>
      <c r="I54" s="407" t="s">
        <v>834</v>
      </c>
      <c r="J54" s="375" t="s">
        <v>364</v>
      </c>
    </row>
    <row r="55" spans="1:13" ht="15" customHeight="1">
      <c r="A55" s="278" t="s">
        <v>365</v>
      </c>
      <c r="B55" s="281">
        <v>14.119999885559082</v>
      </c>
      <c r="C55" s="342" t="s">
        <v>366</v>
      </c>
      <c r="D55" s="281" t="s">
        <v>4</v>
      </c>
      <c r="E55" s="342" t="s">
        <v>367</v>
      </c>
      <c r="F55" s="290" t="s">
        <v>4</v>
      </c>
      <c r="G55" s="342" t="s">
        <v>368</v>
      </c>
      <c r="H55" s="281">
        <v>1</v>
      </c>
      <c r="I55" s="402" t="s">
        <v>369</v>
      </c>
      <c r="J55" s="324"/>
    </row>
    <row r="56" spans="1:13" ht="15" customHeight="1" thickBot="1">
      <c r="A56" s="318" t="s">
        <v>370</v>
      </c>
      <c r="B56" s="319" t="s">
        <v>4</v>
      </c>
      <c r="C56" s="408" t="s">
        <v>371</v>
      </c>
      <c r="D56" s="319" t="s">
        <v>4</v>
      </c>
      <c r="E56" s="408" t="s">
        <v>372</v>
      </c>
      <c r="F56" s="320" t="s">
        <v>4</v>
      </c>
      <c r="G56" s="408" t="s">
        <v>373</v>
      </c>
      <c r="H56" s="321">
        <v>0.69434999999999991</v>
      </c>
      <c r="I56" s="409" t="s">
        <v>835</v>
      </c>
      <c r="J56" s="400" t="s">
        <v>375</v>
      </c>
    </row>
    <row r="57" spans="1:13" ht="15" customHeight="1">
      <c r="A57" s="264" t="s">
        <v>836</v>
      </c>
      <c r="B57" s="327"/>
      <c r="C57" s="327"/>
      <c r="D57" s="327"/>
      <c r="E57" s="327"/>
      <c r="F57" s="340"/>
      <c r="G57" s="410"/>
      <c r="H57" s="411"/>
      <c r="I57" s="411"/>
      <c r="J57" s="412"/>
    </row>
    <row r="58" spans="1:13" ht="15" customHeight="1">
      <c r="A58" s="413" t="s">
        <v>297</v>
      </c>
      <c r="B58" s="275" t="s">
        <v>377</v>
      </c>
      <c r="C58" s="276" t="s">
        <v>329</v>
      </c>
      <c r="D58" s="275" t="s">
        <v>297</v>
      </c>
      <c r="E58" s="275" t="s">
        <v>377</v>
      </c>
      <c r="F58" s="276" t="s">
        <v>329</v>
      </c>
      <c r="G58" s="414"/>
      <c r="H58" s="415"/>
      <c r="I58" s="415"/>
      <c r="J58" s="416"/>
    </row>
    <row r="59" spans="1:13" ht="15" customHeight="1">
      <c r="A59" s="417">
        <v>0</v>
      </c>
      <c r="B59" s="388">
        <v>0</v>
      </c>
      <c r="C59" s="418">
        <v>0</v>
      </c>
      <c r="D59" s="419">
        <v>0.7</v>
      </c>
      <c r="E59" s="388">
        <v>85.200961648973731</v>
      </c>
      <c r="F59" s="418">
        <v>2394.0009765625</v>
      </c>
      <c r="G59" s="414"/>
      <c r="H59" s="415"/>
      <c r="I59" s="415"/>
      <c r="J59" s="416"/>
    </row>
    <row r="60" spans="1:13" ht="15" customHeight="1">
      <c r="A60" s="420">
        <v>0.01</v>
      </c>
      <c r="B60" s="388">
        <v>103.56888435757789</v>
      </c>
      <c r="C60" s="418">
        <v>604.83740234375</v>
      </c>
      <c r="D60" s="419">
        <v>0.8</v>
      </c>
      <c r="E60" s="388">
        <v>81.369138674988051</v>
      </c>
      <c r="F60" s="418">
        <v>2407.3701171875</v>
      </c>
      <c r="G60" s="414"/>
      <c r="H60" s="415"/>
      <c r="I60" s="415"/>
      <c r="J60" s="416"/>
    </row>
    <row r="61" spans="1:13" ht="15" customHeight="1">
      <c r="A61" s="420">
        <v>0.05</v>
      </c>
      <c r="B61" s="388">
        <v>202.17292419800575</v>
      </c>
      <c r="C61" s="418">
        <v>1834.4197998046875</v>
      </c>
      <c r="D61" s="419">
        <v>0.9</v>
      </c>
      <c r="E61" s="388">
        <v>77.994060814765859</v>
      </c>
      <c r="F61" s="418">
        <v>2418.775634765625</v>
      </c>
      <c r="G61" s="414"/>
      <c r="H61" s="415"/>
      <c r="I61" s="415"/>
      <c r="J61" s="416"/>
    </row>
    <row r="62" spans="1:13" ht="15" customHeight="1">
      <c r="A62" s="417">
        <v>0.1</v>
      </c>
      <c r="B62" s="388">
        <v>155.55321741659327</v>
      </c>
      <c r="C62" s="418">
        <v>2154.087890625</v>
      </c>
      <c r="D62" s="421">
        <v>1</v>
      </c>
      <c r="E62" s="388">
        <v>75.022992564947131</v>
      </c>
      <c r="F62" s="418">
        <v>2428.612548828125</v>
      </c>
      <c r="G62" s="414"/>
      <c r="H62" s="415"/>
      <c r="I62" s="415"/>
      <c r="J62" s="416"/>
    </row>
    <row r="63" spans="1:13" ht="15" customHeight="1">
      <c r="A63" s="417">
        <v>0.15</v>
      </c>
      <c r="B63" s="388">
        <v>129.61636324499798</v>
      </c>
      <c r="C63" s="418">
        <v>2239.1064453125</v>
      </c>
      <c r="D63" s="421"/>
      <c r="E63" s="388"/>
      <c r="F63" s="418"/>
      <c r="G63" s="414"/>
      <c r="H63" s="415"/>
      <c r="I63" s="415"/>
      <c r="J63" s="416"/>
    </row>
    <row r="64" spans="1:13" ht="15" customHeight="1">
      <c r="A64" s="417">
        <v>0.2</v>
      </c>
      <c r="B64" s="388">
        <v>117.05169621361384</v>
      </c>
      <c r="C64" s="418">
        <v>2275.144775390625</v>
      </c>
      <c r="D64" s="421"/>
      <c r="E64" s="388"/>
      <c r="F64" s="418"/>
      <c r="G64" s="414"/>
      <c r="H64" s="415"/>
      <c r="I64" s="415"/>
      <c r="J64" s="416"/>
    </row>
    <row r="65" spans="1:10" ht="15" customHeight="1">
      <c r="A65" s="417">
        <v>0.3</v>
      </c>
      <c r="B65" s="388">
        <v>105.84340669093523</v>
      </c>
      <c r="C65" s="418">
        <v>2312.218994140625</v>
      </c>
      <c r="D65" s="421"/>
      <c r="E65" s="388"/>
      <c r="F65" s="418"/>
      <c r="G65" s="414"/>
      <c r="H65" s="415"/>
      <c r="I65" s="415"/>
      <c r="J65" s="416"/>
    </row>
    <row r="66" spans="1:10" ht="15" customHeight="1">
      <c r="A66" s="417">
        <v>0.4</v>
      </c>
      <c r="B66" s="388">
        <v>99.572477837865662</v>
      </c>
      <c r="C66" s="418">
        <v>2337.90478515625</v>
      </c>
      <c r="D66" s="421"/>
      <c r="E66" s="388"/>
      <c r="F66" s="418"/>
      <c r="G66" s="414"/>
      <c r="H66" s="415"/>
      <c r="I66" s="415"/>
      <c r="J66" s="416"/>
    </row>
    <row r="67" spans="1:10" ht="15" customHeight="1">
      <c r="A67" s="417">
        <v>0.5</v>
      </c>
      <c r="B67" s="388">
        <v>94.308189803167068</v>
      </c>
      <c r="C67" s="418">
        <v>2359.6298828125</v>
      </c>
      <c r="D67" s="421"/>
      <c r="E67" s="388"/>
      <c r="F67" s="418"/>
      <c r="G67" s="414"/>
      <c r="H67" s="415"/>
      <c r="I67" s="415"/>
      <c r="J67" s="416"/>
    </row>
    <row r="68" spans="1:10" ht="15" customHeight="1" thickBot="1">
      <c r="A68" s="429">
        <v>0.6</v>
      </c>
      <c r="B68" s="423">
        <v>89.518251071344437</v>
      </c>
      <c r="C68" s="430">
        <v>2378.225341796875</v>
      </c>
      <c r="D68" s="422"/>
      <c r="E68" s="423"/>
      <c r="F68" s="430"/>
      <c r="G68" s="433"/>
      <c r="H68" s="434"/>
      <c r="I68" s="434"/>
      <c r="J68" s="435"/>
    </row>
    <row r="69" spans="1:10" ht="15" customHeight="1">
      <c r="A69" s="436"/>
      <c r="B69" s="437"/>
      <c r="C69" s="415"/>
      <c r="D69" s="415"/>
      <c r="E69" s="415"/>
      <c r="F69" s="415"/>
      <c r="G69" s="415"/>
      <c r="H69" s="415"/>
      <c r="I69" s="415"/>
      <c r="J69" s="415"/>
    </row>
    <row r="70" spans="1:10" ht="15" customHeight="1">
      <c r="A70" s="415"/>
      <c r="B70" s="415"/>
      <c r="C70" s="415"/>
      <c r="D70" s="415"/>
      <c r="E70" s="415"/>
      <c r="F70" s="415"/>
      <c r="G70" s="415"/>
      <c r="H70" s="415"/>
      <c r="I70" s="415"/>
      <c r="J70" s="415"/>
    </row>
    <row r="71" spans="1:10">
      <c r="A71" s="253"/>
      <c r="B71" s="253"/>
      <c r="C71" s="253"/>
      <c r="D71" s="253"/>
      <c r="E71" s="253"/>
      <c r="F71" s="253"/>
      <c r="G71" s="253"/>
      <c r="H71" s="253"/>
      <c r="I71" s="253"/>
      <c r="J71" s="253"/>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634C-6861-44C4-8157-7EC4B2F0BBCE}">
  <sheetPr>
    <pageSetUpPr fitToPage="1"/>
  </sheetPr>
  <dimension ref="A1:Q113"/>
  <sheetViews>
    <sheetView topLeftCell="A26" zoomScale="95" zoomScaleNormal="95" workbookViewId="0">
      <selection activeCell="E31" sqref="E31"/>
    </sheetView>
  </sheetViews>
  <sheetFormatPr defaultRowHeight="12.75"/>
  <cols>
    <col min="1" max="6" width="12.28515625" customWidth="1"/>
    <col min="7" max="7" width="12.42578125" customWidth="1"/>
    <col min="8" max="8" width="12.7109375" customWidth="1"/>
    <col min="9" max="10" width="12.28515625" customWidth="1"/>
    <col min="12" max="12" width="13.42578125" bestFit="1" customWidth="1"/>
    <col min="13" max="13" width="9" bestFit="1" customWidth="1"/>
    <col min="257" max="262" width="12.28515625" customWidth="1"/>
    <col min="263" max="263" width="12.42578125" customWidth="1"/>
    <col min="264" max="264" width="12.7109375" customWidth="1"/>
    <col min="265" max="266" width="12.28515625" customWidth="1"/>
    <col min="268" max="268" width="13.42578125" bestFit="1" customWidth="1"/>
    <col min="269" max="269" width="9" bestFit="1" customWidth="1"/>
    <col min="513" max="518" width="12.28515625" customWidth="1"/>
    <col min="519" max="519" width="12.42578125" customWidth="1"/>
    <col min="520" max="520" width="12.7109375" customWidth="1"/>
    <col min="521" max="522" width="12.28515625" customWidth="1"/>
    <col min="524" max="524" width="13.42578125" bestFit="1" customWidth="1"/>
    <col min="525" max="525" width="9" bestFit="1" customWidth="1"/>
    <col min="769" max="774" width="12.28515625" customWidth="1"/>
    <col min="775" max="775" width="12.42578125" customWidth="1"/>
    <col min="776" max="776" width="12.7109375" customWidth="1"/>
    <col min="777" max="778" width="12.28515625" customWidth="1"/>
    <col min="780" max="780" width="13.42578125" bestFit="1" customWidth="1"/>
    <col min="781" max="781" width="9" bestFit="1" customWidth="1"/>
    <col min="1025" max="1030" width="12.28515625" customWidth="1"/>
    <col min="1031" max="1031" width="12.42578125" customWidth="1"/>
    <col min="1032" max="1032" width="12.7109375" customWidth="1"/>
    <col min="1033" max="1034" width="12.28515625" customWidth="1"/>
    <col min="1036" max="1036" width="13.42578125" bestFit="1" customWidth="1"/>
    <col min="1037" max="1037" width="9" bestFit="1" customWidth="1"/>
    <col min="1281" max="1286" width="12.28515625" customWidth="1"/>
    <col min="1287" max="1287" width="12.42578125" customWidth="1"/>
    <col min="1288" max="1288" width="12.7109375" customWidth="1"/>
    <col min="1289" max="1290" width="12.28515625" customWidth="1"/>
    <col min="1292" max="1292" width="13.42578125" bestFit="1" customWidth="1"/>
    <col min="1293" max="1293" width="9" bestFit="1" customWidth="1"/>
    <col min="1537" max="1542" width="12.28515625" customWidth="1"/>
    <col min="1543" max="1543" width="12.42578125" customWidth="1"/>
    <col min="1544" max="1544" width="12.7109375" customWidth="1"/>
    <col min="1545" max="1546" width="12.28515625" customWidth="1"/>
    <col min="1548" max="1548" width="13.42578125" bestFit="1" customWidth="1"/>
    <col min="1549" max="1549" width="9" bestFit="1" customWidth="1"/>
    <col min="1793" max="1798" width="12.28515625" customWidth="1"/>
    <col min="1799" max="1799" width="12.42578125" customWidth="1"/>
    <col min="1800" max="1800" width="12.7109375" customWidth="1"/>
    <col min="1801" max="1802" width="12.28515625" customWidth="1"/>
    <col min="1804" max="1804" width="13.42578125" bestFit="1" customWidth="1"/>
    <col min="1805" max="1805" width="9" bestFit="1" customWidth="1"/>
    <col min="2049" max="2054" width="12.28515625" customWidth="1"/>
    <col min="2055" max="2055" width="12.42578125" customWidth="1"/>
    <col min="2056" max="2056" width="12.7109375" customWidth="1"/>
    <col min="2057" max="2058" width="12.28515625" customWidth="1"/>
    <col min="2060" max="2060" width="13.42578125" bestFit="1" customWidth="1"/>
    <col min="2061" max="2061" width="9" bestFit="1" customWidth="1"/>
    <col min="2305" max="2310" width="12.28515625" customWidth="1"/>
    <col min="2311" max="2311" width="12.42578125" customWidth="1"/>
    <col min="2312" max="2312" width="12.7109375" customWidth="1"/>
    <col min="2313" max="2314" width="12.28515625" customWidth="1"/>
    <col min="2316" max="2316" width="13.42578125" bestFit="1" customWidth="1"/>
    <col min="2317" max="2317" width="9" bestFit="1" customWidth="1"/>
    <col min="2561" max="2566" width="12.28515625" customWidth="1"/>
    <col min="2567" max="2567" width="12.42578125" customWidth="1"/>
    <col min="2568" max="2568" width="12.7109375" customWidth="1"/>
    <col min="2569" max="2570" width="12.28515625" customWidth="1"/>
    <col min="2572" max="2572" width="13.42578125" bestFit="1" customWidth="1"/>
    <col min="2573" max="2573" width="9" bestFit="1" customWidth="1"/>
    <col min="2817" max="2822" width="12.28515625" customWidth="1"/>
    <col min="2823" max="2823" width="12.42578125" customWidth="1"/>
    <col min="2824" max="2824" width="12.7109375" customWidth="1"/>
    <col min="2825" max="2826" width="12.28515625" customWidth="1"/>
    <col min="2828" max="2828" width="13.42578125" bestFit="1" customWidth="1"/>
    <col min="2829" max="2829" width="9" bestFit="1" customWidth="1"/>
    <col min="3073" max="3078" width="12.28515625" customWidth="1"/>
    <col min="3079" max="3079" width="12.42578125" customWidth="1"/>
    <col min="3080" max="3080" width="12.7109375" customWidth="1"/>
    <col min="3081" max="3082" width="12.28515625" customWidth="1"/>
    <col min="3084" max="3084" width="13.42578125" bestFit="1" customWidth="1"/>
    <col min="3085" max="3085" width="9" bestFit="1" customWidth="1"/>
    <col min="3329" max="3334" width="12.28515625" customWidth="1"/>
    <col min="3335" max="3335" width="12.42578125" customWidth="1"/>
    <col min="3336" max="3336" width="12.7109375" customWidth="1"/>
    <col min="3337" max="3338" width="12.28515625" customWidth="1"/>
    <col min="3340" max="3340" width="13.42578125" bestFit="1" customWidth="1"/>
    <col min="3341" max="3341" width="9" bestFit="1" customWidth="1"/>
    <col min="3585" max="3590" width="12.28515625" customWidth="1"/>
    <col min="3591" max="3591" width="12.42578125" customWidth="1"/>
    <col min="3592" max="3592" width="12.7109375" customWidth="1"/>
    <col min="3593" max="3594" width="12.28515625" customWidth="1"/>
    <col min="3596" max="3596" width="13.42578125" bestFit="1" customWidth="1"/>
    <col min="3597" max="3597" width="9" bestFit="1" customWidth="1"/>
    <col min="3841" max="3846" width="12.28515625" customWidth="1"/>
    <col min="3847" max="3847" width="12.42578125" customWidth="1"/>
    <col min="3848" max="3848" width="12.7109375" customWidth="1"/>
    <col min="3849" max="3850" width="12.28515625" customWidth="1"/>
    <col min="3852" max="3852" width="13.42578125" bestFit="1" customWidth="1"/>
    <col min="3853" max="3853" width="9" bestFit="1" customWidth="1"/>
    <col min="4097" max="4102" width="12.28515625" customWidth="1"/>
    <col min="4103" max="4103" width="12.42578125" customWidth="1"/>
    <col min="4104" max="4104" width="12.7109375" customWidth="1"/>
    <col min="4105" max="4106" width="12.28515625" customWidth="1"/>
    <col min="4108" max="4108" width="13.42578125" bestFit="1" customWidth="1"/>
    <col min="4109" max="4109" width="9" bestFit="1" customWidth="1"/>
    <col min="4353" max="4358" width="12.28515625" customWidth="1"/>
    <col min="4359" max="4359" width="12.42578125" customWidth="1"/>
    <col min="4360" max="4360" width="12.7109375" customWidth="1"/>
    <col min="4361" max="4362" width="12.28515625" customWidth="1"/>
    <col min="4364" max="4364" width="13.42578125" bestFit="1" customWidth="1"/>
    <col min="4365" max="4365" width="9" bestFit="1" customWidth="1"/>
    <col min="4609" max="4614" width="12.28515625" customWidth="1"/>
    <col min="4615" max="4615" width="12.42578125" customWidth="1"/>
    <col min="4616" max="4616" width="12.7109375" customWidth="1"/>
    <col min="4617" max="4618" width="12.28515625" customWidth="1"/>
    <col min="4620" max="4620" width="13.42578125" bestFit="1" customWidth="1"/>
    <col min="4621" max="4621" width="9" bestFit="1" customWidth="1"/>
    <col min="4865" max="4870" width="12.28515625" customWidth="1"/>
    <col min="4871" max="4871" width="12.42578125" customWidth="1"/>
    <col min="4872" max="4872" width="12.7109375" customWidth="1"/>
    <col min="4873" max="4874" width="12.28515625" customWidth="1"/>
    <col min="4876" max="4876" width="13.42578125" bestFit="1" customWidth="1"/>
    <col min="4877" max="4877" width="9" bestFit="1" customWidth="1"/>
    <col min="5121" max="5126" width="12.28515625" customWidth="1"/>
    <col min="5127" max="5127" width="12.42578125" customWidth="1"/>
    <col min="5128" max="5128" width="12.7109375" customWidth="1"/>
    <col min="5129" max="5130" width="12.28515625" customWidth="1"/>
    <col min="5132" max="5132" width="13.42578125" bestFit="1" customWidth="1"/>
    <col min="5133" max="5133" width="9" bestFit="1" customWidth="1"/>
    <col min="5377" max="5382" width="12.28515625" customWidth="1"/>
    <col min="5383" max="5383" width="12.42578125" customWidth="1"/>
    <col min="5384" max="5384" width="12.7109375" customWidth="1"/>
    <col min="5385" max="5386" width="12.28515625" customWidth="1"/>
    <col min="5388" max="5388" width="13.42578125" bestFit="1" customWidth="1"/>
    <col min="5389" max="5389" width="9" bestFit="1" customWidth="1"/>
    <col min="5633" max="5638" width="12.28515625" customWidth="1"/>
    <col min="5639" max="5639" width="12.42578125" customWidth="1"/>
    <col min="5640" max="5640" width="12.7109375" customWidth="1"/>
    <col min="5641" max="5642" width="12.28515625" customWidth="1"/>
    <col min="5644" max="5644" width="13.42578125" bestFit="1" customWidth="1"/>
    <col min="5645" max="5645" width="9" bestFit="1" customWidth="1"/>
    <col min="5889" max="5894" width="12.28515625" customWidth="1"/>
    <col min="5895" max="5895" width="12.42578125" customWidth="1"/>
    <col min="5896" max="5896" width="12.7109375" customWidth="1"/>
    <col min="5897" max="5898" width="12.28515625" customWidth="1"/>
    <col min="5900" max="5900" width="13.42578125" bestFit="1" customWidth="1"/>
    <col min="5901" max="5901" width="9" bestFit="1" customWidth="1"/>
    <col min="6145" max="6150" width="12.28515625" customWidth="1"/>
    <col min="6151" max="6151" width="12.42578125" customWidth="1"/>
    <col min="6152" max="6152" width="12.7109375" customWidth="1"/>
    <col min="6153" max="6154" width="12.28515625" customWidth="1"/>
    <col min="6156" max="6156" width="13.42578125" bestFit="1" customWidth="1"/>
    <col min="6157" max="6157" width="9" bestFit="1" customWidth="1"/>
    <col min="6401" max="6406" width="12.28515625" customWidth="1"/>
    <col min="6407" max="6407" width="12.42578125" customWidth="1"/>
    <col min="6408" max="6408" width="12.7109375" customWidth="1"/>
    <col min="6409" max="6410" width="12.28515625" customWidth="1"/>
    <col min="6412" max="6412" width="13.42578125" bestFit="1" customWidth="1"/>
    <col min="6413" max="6413" width="9" bestFit="1" customWidth="1"/>
    <col min="6657" max="6662" width="12.28515625" customWidth="1"/>
    <col min="6663" max="6663" width="12.42578125" customWidth="1"/>
    <col min="6664" max="6664" width="12.7109375" customWidth="1"/>
    <col min="6665" max="6666" width="12.28515625" customWidth="1"/>
    <col min="6668" max="6668" width="13.42578125" bestFit="1" customWidth="1"/>
    <col min="6669" max="6669" width="9" bestFit="1" customWidth="1"/>
    <col min="6913" max="6918" width="12.28515625" customWidth="1"/>
    <col min="6919" max="6919" width="12.42578125" customWidth="1"/>
    <col min="6920" max="6920" width="12.7109375" customWidth="1"/>
    <col min="6921" max="6922" width="12.28515625" customWidth="1"/>
    <col min="6924" max="6924" width="13.42578125" bestFit="1" customWidth="1"/>
    <col min="6925" max="6925" width="9" bestFit="1" customWidth="1"/>
    <col min="7169" max="7174" width="12.28515625" customWidth="1"/>
    <col min="7175" max="7175" width="12.42578125" customWidth="1"/>
    <col min="7176" max="7176" width="12.7109375" customWidth="1"/>
    <col min="7177" max="7178" width="12.28515625" customWidth="1"/>
    <col min="7180" max="7180" width="13.42578125" bestFit="1" customWidth="1"/>
    <col min="7181" max="7181" width="9" bestFit="1" customWidth="1"/>
    <col min="7425" max="7430" width="12.28515625" customWidth="1"/>
    <col min="7431" max="7431" width="12.42578125" customWidth="1"/>
    <col min="7432" max="7432" width="12.7109375" customWidth="1"/>
    <col min="7433" max="7434" width="12.28515625" customWidth="1"/>
    <col min="7436" max="7436" width="13.42578125" bestFit="1" customWidth="1"/>
    <col min="7437" max="7437" width="9" bestFit="1" customWidth="1"/>
    <col min="7681" max="7686" width="12.28515625" customWidth="1"/>
    <col min="7687" max="7687" width="12.42578125" customWidth="1"/>
    <col min="7688" max="7688" width="12.7109375" customWidth="1"/>
    <col min="7689" max="7690" width="12.28515625" customWidth="1"/>
    <col min="7692" max="7692" width="13.42578125" bestFit="1" customWidth="1"/>
    <col min="7693" max="7693" width="9" bestFit="1" customWidth="1"/>
    <col min="7937" max="7942" width="12.28515625" customWidth="1"/>
    <col min="7943" max="7943" width="12.42578125" customWidth="1"/>
    <col min="7944" max="7944" width="12.7109375" customWidth="1"/>
    <col min="7945" max="7946" width="12.28515625" customWidth="1"/>
    <col min="7948" max="7948" width="13.42578125" bestFit="1" customWidth="1"/>
    <col min="7949" max="7949" width="9" bestFit="1" customWidth="1"/>
    <col min="8193" max="8198" width="12.28515625" customWidth="1"/>
    <col min="8199" max="8199" width="12.42578125" customWidth="1"/>
    <col min="8200" max="8200" width="12.7109375" customWidth="1"/>
    <col min="8201" max="8202" width="12.28515625" customWidth="1"/>
    <col min="8204" max="8204" width="13.42578125" bestFit="1" customWidth="1"/>
    <col min="8205" max="8205" width="9" bestFit="1" customWidth="1"/>
    <col min="8449" max="8454" width="12.28515625" customWidth="1"/>
    <col min="8455" max="8455" width="12.42578125" customWidth="1"/>
    <col min="8456" max="8456" width="12.7109375" customWidth="1"/>
    <col min="8457" max="8458" width="12.28515625" customWidth="1"/>
    <col min="8460" max="8460" width="13.42578125" bestFit="1" customWidth="1"/>
    <col min="8461" max="8461" width="9" bestFit="1" customWidth="1"/>
    <col min="8705" max="8710" width="12.28515625" customWidth="1"/>
    <col min="8711" max="8711" width="12.42578125" customWidth="1"/>
    <col min="8712" max="8712" width="12.7109375" customWidth="1"/>
    <col min="8713" max="8714" width="12.28515625" customWidth="1"/>
    <col min="8716" max="8716" width="13.42578125" bestFit="1" customWidth="1"/>
    <col min="8717" max="8717" width="9" bestFit="1" customWidth="1"/>
    <col min="8961" max="8966" width="12.28515625" customWidth="1"/>
    <col min="8967" max="8967" width="12.42578125" customWidth="1"/>
    <col min="8968" max="8968" width="12.7109375" customWidth="1"/>
    <col min="8969" max="8970" width="12.28515625" customWidth="1"/>
    <col min="8972" max="8972" width="13.42578125" bestFit="1" customWidth="1"/>
    <col min="8973" max="8973" width="9" bestFit="1" customWidth="1"/>
    <col min="9217" max="9222" width="12.28515625" customWidth="1"/>
    <col min="9223" max="9223" width="12.42578125" customWidth="1"/>
    <col min="9224" max="9224" width="12.7109375" customWidth="1"/>
    <col min="9225" max="9226" width="12.28515625" customWidth="1"/>
    <col min="9228" max="9228" width="13.42578125" bestFit="1" customWidth="1"/>
    <col min="9229" max="9229" width="9" bestFit="1" customWidth="1"/>
    <col min="9473" max="9478" width="12.28515625" customWidth="1"/>
    <col min="9479" max="9479" width="12.42578125" customWidth="1"/>
    <col min="9480" max="9480" width="12.7109375" customWidth="1"/>
    <col min="9481" max="9482" width="12.28515625" customWidth="1"/>
    <col min="9484" max="9484" width="13.42578125" bestFit="1" customWidth="1"/>
    <col min="9485" max="9485" width="9" bestFit="1" customWidth="1"/>
    <col min="9729" max="9734" width="12.28515625" customWidth="1"/>
    <col min="9735" max="9735" width="12.42578125" customWidth="1"/>
    <col min="9736" max="9736" width="12.7109375" customWidth="1"/>
    <col min="9737" max="9738" width="12.28515625" customWidth="1"/>
    <col min="9740" max="9740" width="13.42578125" bestFit="1" customWidth="1"/>
    <col min="9741" max="9741" width="9" bestFit="1" customWidth="1"/>
    <col min="9985" max="9990" width="12.28515625" customWidth="1"/>
    <col min="9991" max="9991" width="12.42578125" customWidth="1"/>
    <col min="9992" max="9992" width="12.7109375" customWidth="1"/>
    <col min="9993" max="9994" width="12.28515625" customWidth="1"/>
    <col min="9996" max="9996" width="13.42578125" bestFit="1" customWidth="1"/>
    <col min="9997" max="9997" width="9" bestFit="1" customWidth="1"/>
    <col min="10241" max="10246" width="12.28515625" customWidth="1"/>
    <col min="10247" max="10247" width="12.42578125" customWidth="1"/>
    <col min="10248" max="10248" width="12.7109375" customWidth="1"/>
    <col min="10249" max="10250" width="12.28515625" customWidth="1"/>
    <col min="10252" max="10252" width="13.42578125" bestFit="1" customWidth="1"/>
    <col min="10253" max="10253" width="9" bestFit="1" customWidth="1"/>
    <col min="10497" max="10502" width="12.28515625" customWidth="1"/>
    <col min="10503" max="10503" width="12.42578125" customWidth="1"/>
    <col min="10504" max="10504" width="12.7109375" customWidth="1"/>
    <col min="10505" max="10506" width="12.28515625" customWidth="1"/>
    <col min="10508" max="10508" width="13.42578125" bestFit="1" customWidth="1"/>
    <col min="10509" max="10509" width="9" bestFit="1" customWidth="1"/>
    <col min="10753" max="10758" width="12.28515625" customWidth="1"/>
    <col min="10759" max="10759" width="12.42578125" customWidth="1"/>
    <col min="10760" max="10760" width="12.7109375" customWidth="1"/>
    <col min="10761" max="10762" width="12.28515625" customWidth="1"/>
    <col min="10764" max="10764" width="13.42578125" bestFit="1" customWidth="1"/>
    <col min="10765" max="10765" width="9" bestFit="1" customWidth="1"/>
    <col min="11009" max="11014" width="12.28515625" customWidth="1"/>
    <col min="11015" max="11015" width="12.42578125" customWidth="1"/>
    <col min="11016" max="11016" width="12.7109375" customWidth="1"/>
    <col min="11017" max="11018" width="12.28515625" customWidth="1"/>
    <col min="11020" max="11020" width="13.42578125" bestFit="1" customWidth="1"/>
    <col min="11021" max="11021" width="9" bestFit="1" customWidth="1"/>
    <col min="11265" max="11270" width="12.28515625" customWidth="1"/>
    <col min="11271" max="11271" width="12.42578125" customWidth="1"/>
    <col min="11272" max="11272" width="12.7109375" customWidth="1"/>
    <col min="11273" max="11274" width="12.28515625" customWidth="1"/>
    <col min="11276" max="11276" width="13.42578125" bestFit="1" customWidth="1"/>
    <col min="11277" max="11277" width="9" bestFit="1" customWidth="1"/>
    <col min="11521" max="11526" width="12.28515625" customWidth="1"/>
    <col min="11527" max="11527" width="12.42578125" customWidth="1"/>
    <col min="11528" max="11528" width="12.7109375" customWidth="1"/>
    <col min="11529" max="11530" width="12.28515625" customWidth="1"/>
    <col min="11532" max="11532" width="13.42578125" bestFit="1" customWidth="1"/>
    <col min="11533" max="11533" width="9" bestFit="1" customWidth="1"/>
    <col min="11777" max="11782" width="12.28515625" customWidth="1"/>
    <col min="11783" max="11783" width="12.42578125" customWidth="1"/>
    <col min="11784" max="11784" width="12.7109375" customWidth="1"/>
    <col min="11785" max="11786" width="12.28515625" customWidth="1"/>
    <col min="11788" max="11788" width="13.42578125" bestFit="1" customWidth="1"/>
    <col min="11789" max="11789" width="9" bestFit="1" customWidth="1"/>
    <col min="12033" max="12038" width="12.28515625" customWidth="1"/>
    <col min="12039" max="12039" width="12.42578125" customWidth="1"/>
    <col min="12040" max="12040" width="12.7109375" customWidth="1"/>
    <col min="12041" max="12042" width="12.28515625" customWidth="1"/>
    <col min="12044" max="12044" width="13.42578125" bestFit="1" customWidth="1"/>
    <col min="12045" max="12045" width="9" bestFit="1" customWidth="1"/>
    <col min="12289" max="12294" width="12.28515625" customWidth="1"/>
    <col min="12295" max="12295" width="12.42578125" customWidth="1"/>
    <col min="12296" max="12296" width="12.7109375" customWidth="1"/>
    <col min="12297" max="12298" width="12.28515625" customWidth="1"/>
    <col min="12300" max="12300" width="13.42578125" bestFit="1" customWidth="1"/>
    <col min="12301" max="12301" width="9" bestFit="1" customWidth="1"/>
    <col min="12545" max="12550" width="12.28515625" customWidth="1"/>
    <col min="12551" max="12551" width="12.42578125" customWidth="1"/>
    <col min="12552" max="12552" width="12.7109375" customWidth="1"/>
    <col min="12553" max="12554" width="12.28515625" customWidth="1"/>
    <col min="12556" max="12556" width="13.42578125" bestFit="1" customWidth="1"/>
    <col min="12557" max="12557" width="9" bestFit="1" customWidth="1"/>
    <col min="12801" max="12806" width="12.28515625" customWidth="1"/>
    <col min="12807" max="12807" width="12.42578125" customWidth="1"/>
    <col min="12808" max="12808" width="12.7109375" customWidth="1"/>
    <col min="12809" max="12810" width="12.28515625" customWidth="1"/>
    <col min="12812" max="12812" width="13.42578125" bestFit="1" customWidth="1"/>
    <col min="12813" max="12813" width="9" bestFit="1" customWidth="1"/>
    <col min="13057" max="13062" width="12.28515625" customWidth="1"/>
    <col min="13063" max="13063" width="12.42578125" customWidth="1"/>
    <col min="13064" max="13064" width="12.7109375" customWidth="1"/>
    <col min="13065" max="13066" width="12.28515625" customWidth="1"/>
    <col min="13068" max="13068" width="13.42578125" bestFit="1" customWidth="1"/>
    <col min="13069" max="13069" width="9" bestFit="1" customWidth="1"/>
    <col min="13313" max="13318" width="12.28515625" customWidth="1"/>
    <col min="13319" max="13319" width="12.42578125" customWidth="1"/>
    <col min="13320" max="13320" width="12.7109375" customWidth="1"/>
    <col min="13321" max="13322" width="12.28515625" customWidth="1"/>
    <col min="13324" max="13324" width="13.42578125" bestFit="1" customWidth="1"/>
    <col min="13325" max="13325" width="9" bestFit="1" customWidth="1"/>
    <col min="13569" max="13574" width="12.28515625" customWidth="1"/>
    <col min="13575" max="13575" width="12.42578125" customWidth="1"/>
    <col min="13576" max="13576" width="12.7109375" customWidth="1"/>
    <col min="13577" max="13578" width="12.28515625" customWidth="1"/>
    <col min="13580" max="13580" width="13.42578125" bestFit="1" customWidth="1"/>
    <col min="13581" max="13581" width="9" bestFit="1" customWidth="1"/>
    <col min="13825" max="13830" width="12.28515625" customWidth="1"/>
    <col min="13831" max="13831" width="12.42578125" customWidth="1"/>
    <col min="13832" max="13832" width="12.7109375" customWidth="1"/>
    <col min="13833" max="13834" width="12.28515625" customWidth="1"/>
    <col min="13836" max="13836" width="13.42578125" bestFit="1" customWidth="1"/>
    <col min="13837" max="13837" width="9" bestFit="1" customWidth="1"/>
    <col min="14081" max="14086" width="12.28515625" customWidth="1"/>
    <col min="14087" max="14087" width="12.42578125" customWidth="1"/>
    <col min="14088" max="14088" width="12.7109375" customWidth="1"/>
    <col min="14089" max="14090" width="12.28515625" customWidth="1"/>
    <col min="14092" max="14092" width="13.42578125" bestFit="1" customWidth="1"/>
    <col min="14093" max="14093" width="9" bestFit="1" customWidth="1"/>
    <col min="14337" max="14342" width="12.28515625" customWidth="1"/>
    <col min="14343" max="14343" width="12.42578125" customWidth="1"/>
    <col min="14344" max="14344" width="12.7109375" customWidth="1"/>
    <col min="14345" max="14346" width="12.28515625" customWidth="1"/>
    <col min="14348" max="14348" width="13.42578125" bestFit="1" customWidth="1"/>
    <col min="14349" max="14349" width="9" bestFit="1" customWidth="1"/>
    <col min="14593" max="14598" width="12.28515625" customWidth="1"/>
    <col min="14599" max="14599" width="12.42578125" customWidth="1"/>
    <col min="14600" max="14600" width="12.7109375" customWidth="1"/>
    <col min="14601" max="14602" width="12.28515625" customWidth="1"/>
    <col min="14604" max="14604" width="13.42578125" bestFit="1" customWidth="1"/>
    <col min="14605" max="14605" width="9" bestFit="1" customWidth="1"/>
    <col min="14849" max="14854" width="12.28515625" customWidth="1"/>
    <col min="14855" max="14855" width="12.42578125" customWidth="1"/>
    <col min="14856" max="14856" width="12.7109375" customWidth="1"/>
    <col min="14857" max="14858" width="12.28515625" customWidth="1"/>
    <col min="14860" max="14860" width="13.42578125" bestFit="1" customWidth="1"/>
    <col min="14861" max="14861" width="9" bestFit="1" customWidth="1"/>
    <col min="15105" max="15110" width="12.28515625" customWidth="1"/>
    <col min="15111" max="15111" width="12.42578125" customWidth="1"/>
    <col min="15112" max="15112" width="12.7109375" customWidth="1"/>
    <col min="15113" max="15114" width="12.28515625" customWidth="1"/>
    <col min="15116" max="15116" width="13.42578125" bestFit="1" customWidth="1"/>
    <col min="15117" max="15117" width="9" bestFit="1" customWidth="1"/>
    <col min="15361" max="15366" width="12.28515625" customWidth="1"/>
    <col min="15367" max="15367" width="12.42578125" customWidth="1"/>
    <col min="15368" max="15368" width="12.7109375" customWidth="1"/>
    <col min="15369" max="15370" width="12.28515625" customWidth="1"/>
    <col min="15372" max="15372" width="13.42578125" bestFit="1" customWidth="1"/>
    <col min="15373" max="15373" width="9" bestFit="1" customWidth="1"/>
    <col min="15617" max="15622" width="12.28515625" customWidth="1"/>
    <col min="15623" max="15623" width="12.42578125" customWidth="1"/>
    <col min="15624" max="15624" width="12.7109375" customWidth="1"/>
    <col min="15625" max="15626" width="12.28515625" customWidth="1"/>
    <col min="15628" max="15628" width="13.42578125" bestFit="1" customWidth="1"/>
    <col min="15629" max="15629" width="9" bestFit="1" customWidth="1"/>
    <col min="15873" max="15878" width="12.28515625" customWidth="1"/>
    <col min="15879" max="15879" width="12.42578125" customWidth="1"/>
    <col min="15880" max="15880" width="12.7109375" customWidth="1"/>
    <col min="15881" max="15882" width="12.28515625" customWidth="1"/>
    <col min="15884" max="15884" width="13.42578125" bestFit="1" customWidth="1"/>
    <col min="15885" max="15885" width="9" bestFit="1" customWidth="1"/>
    <col min="16129" max="16134" width="12.28515625" customWidth="1"/>
    <col min="16135" max="16135" width="12.42578125" customWidth="1"/>
    <col min="16136" max="16136" width="12.7109375" customWidth="1"/>
    <col min="16137" max="16138" width="12.28515625" customWidth="1"/>
    <col min="16140" max="16140" width="13.42578125" bestFit="1" customWidth="1"/>
    <col min="16141" max="16141" width="9" bestFit="1" customWidth="1"/>
  </cols>
  <sheetData>
    <row r="1" spans="1:10" ht="18.75">
      <c r="A1" s="247" t="s">
        <v>112</v>
      </c>
      <c r="B1" s="248"/>
      <c r="C1" s="248"/>
      <c r="D1" s="248"/>
      <c r="E1" s="248"/>
      <c r="F1" s="248"/>
      <c r="G1" s="248"/>
      <c r="H1" s="248"/>
      <c r="I1" s="249" t="s">
        <v>113</v>
      </c>
      <c r="J1" s="249" t="s">
        <v>114</v>
      </c>
    </row>
    <row r="2" spans="1:10" ht="18.75">
      <c r="A2" s="247" t="s">
        <v>115</v>
      </c>
      <c r="B2" s="248"/>
      <c r="C2" s="248"/>
      <c r="D2" s="248"/>
      <c r="E2" s="248"/>
      <c r="F2" s="248"/>
      <c r="G2" s="248"/>
      <c r="H2" s="248"/>
      <c r="I2" s="248"/>
      <c r="J2" s="250" t="s">
        <v>116</v>
      </c>
    </row>
    <row r="3" spans="1:10" ht="15" customHeight="1" thickBot="1">
      <c r="A3" s="251" t="s">
        <v>117</v>
      </c>
      <c r="B3" s="252" t="s">
        <v>118</v>
      </c>
      <c r="C3" s="253"/>
      <c r="D3" s="251"/>
      <c r="E3" s="253"/>
      <c r="F3" s="253"/>
      <c r="G3" s="251" t="s">
        <v>119</v>
      </c>
      <c r="H3" s="254">
        <v>45853</v>
      </c>
      <c r="I3" s="251" t="s">
        <v>120</v>
      </c>
      <c r="J3" s="255">
        <v>0.24049768518518519</v>
      </c>
    </row>
    <row r="4" spans="1:10" ht="15" customHeight="1" thickBot="1">
      <c r="A4" s="256" t="s">
        <v>121</v>
      </c>
      <c r="B4" s="256" t="s">
        <v>122</v>
      </c>
      <c r="C4" s="256" t="s">
        <v>123</v>
      </c>
      <c r="D4" s="256" t="s">
        <v>124</v>
      </c>
      <c r="E4" s="257" t="s">
        <v>125</v>
      </c>
      <c r="F4" s="256" t="s">
        <v>126</v>
      </c>
      <c r="G4" s="256" t="s">
        <v>127</v>
      </c>
      <c r="H4" s="256" t="s">
        <v>128</v>
      </c>
      <c r="I4" s="256" t="s">
        <v>129</v>
      </c>
      <c r="J4" s="256" t="s">
        <v>130</v>
      </c>
    </row>
    <row r="5" spans="1:10" ht="15" customHeight="1" thickBot="1">
      <c r="A5" s="258">
        <v>2</v>
      </c>
      <c r="B5" s="259">
        <v>4000</v>
      </c>
      <c r="C5" s="260">
        <v>3600</v>
      </c>
      <c r="D5" s="258" t="s">
        <v>60</v>
      </c>
      <c r="E5" s="261">
        <v>4000</v>
      </c>
      <c r="F5" s="260">
        <v>60</v>
      </c>
      <c r="G5" s="258">
        <v>105</v>
      </c>
      <c r="H5" s="262" t="s">
        <v>131</v>
      </c>
      <c r="I5" s="263" t="s">
        <v>132</v>
      </c>
      <c r="J5" s="258" t="s">
        <v>66</v>
      </c>
    </row>
    <row r="6" spans="1:10" ht="15" customHeight="1" thickBot="1">
      <c r="A6" s="264" t="s">
        <v>133</v>
      </c>
      <c r="B6" s="265"/>
      <c r="C6" s="266"/>
      <c r="D6" s="267" t="s">
        <v>134</v>
      </c>
      <c r="E6" s="268"/>
      <c r="F6" s="269"/>
      <c r="G6" s="270"/>
      <c r="H6" s="271" t="s">
        <v>135</v>
      </c>
      <c r="I6" s="272"/>
      <c r="J6" s="273"/>
    </row>
    <row r="7" spans="1:10" ht="15" customHeight="1" thickBot="1">
      <c r="A7" s="274"/>
      <c r="B7" s="275" t="s">
        <v>136</v>
      </c>
      <c r="C7" s="276" t="s">
        <v>137</v>
      </c>
      <c r="D7" s="274"/>
      <c r="E7" s="277"/>
      <c r="F7" s="275" t="s">
        <v>138</v>
      </c>
      <c r="G7" s="276" t="s">
        <v>139</v>
      </c>
      <c r="H7" s="278" t="s">
        <v>140</v>
      </c>
      <c r="I7" s="279">
        <v>26.179916666666667</v>
      </c>
      <c r="J7" s="280" t="s">
        <v>141</v>
      </c>
    </row>
    <row r="8" spans="1:10" ht="15" customHeight="1">
      <c r="A8" s="278" t="s">
        <v>142</v>
      </c>
      <c r="B8" s="281">
        <v>3.5</v>
      </c>
      <c r="C8" s="282"/>
      <c r="D8" s="283"/>
      <c r="E8" s="284"/>
      <c r="F8" s="275"/>
      <c r="G8" s="276"/>
      <c r="H8" s="278" t="s">
        <v>143</v>
      </c>
      <c r="I8" s="279">
        <v>30.254877608695651</v>
      </c>
      <c r="J8" s="285" t="s">
        <v>144</v>
      </c>
    </row>
    <row r="9" spans="1:10" ht="15" customHeight="1" thickBot="1">
      <c r="A9" s="278" t="s">
        <v>145</v>
      </c>
      <c r="B9" s="281">
        <v>0.93000000715255737</v>
      </c>
      <c r="C9" s="282"/>
      <c r="D9" s="278" t="s">
        <v>146</v>
      </c>
      <c r="E9" s="286" t="s">
        <v>147</v>
      </c>
      <c r="F9" s="287" t="s">
        <v>148</v>
      </c>
      <c r="G9" s="288"/>
      <c r="H9" s="278" t="s">
        <v>149</v>
      </c>
      <c r="I9" s="281">
        <v>28.217397137681161</v>
      </c>
      <c r="J9" s="289">
        <v>629.38145760077362</v>
      </c>
    </row>
    <row r="10" spans="1:10" ht="15" customHeight="1">
      <c r="A10" s="278" t="s">
        <v>150</v>
      </c>
      <c r="B10" s="281">
        <v>820</v>
      </c>
      <c r="C10" s="290">
        <v>820</v>
      </c>
      <c r="D10" s="283"/>
      <c r="E10" s="284"/>
      <c r="F10" s="291" t="s">
        <v>151</v>
      </c>
      <c r="G10" s="292" t="s">
        <v>152</v>
      </c>
      <c r="H10" s="278" t="s">
        <v>153</v>
      </c>
      <c r="I10" s="279">
        <v>17.127578248316492</v>
      </c>
      <c r="J10" s="285" t="s">
        <v>154</v>
      </c>
    </row>
    <row r="11" spans="1:10" ht="15" customHeight="1" thickBot="1">
      <c r="A11" s="278" t="s">
        <v>155</v>
      </c>
      <c r="B11" s="281">
        <v>815</v>
      </c>
      <c r="C11" s="290">
        <v>443</v>
      </c>
      <c r="D11" s="278" t="s">
        <v>156</v>
      </c>
      <c r="E11" s="279">
        <v>0.62956666666666661</v>
      </c>
      <c r="F11" s="293"/>
      <c r="G11" s="294"/>
      <c r="H11" s="278" t="s">
        <v>157</v>
      </c>
      <c r="I11" s="279">
        <v>29.859305480929297</v>
      </c>
      <c r="J11" s="289">
        <v>112057.10710862043</v>
      </c>
    </row>
    <row r="12" spans="1:10" ht="15" customHeight="1">
      <c r="A12" s="278" t="s">
        <v>158</v>
      </c>
      <c r="B12" s="281">
        <v>450</v>
      </c>
      <c r="C12" s="290">
        <v>170</v>
      </c>
      <c r="D12" s="278" t="s">
        <v>159</v>
      </c>
      <c r="E12" s="295" t="s">
        <v>4</v>
      </c>
      <c r="F12" s="296" t="s">
        <v>160</v>
      </c>
      <c r="G12" s="297" t="s">
        <v>161</v>
      </c>
      <c r="H12" s="278" t="s">
        <v>162</v>
      </c>
      <c r="I12" s="279">
        <v>1.5285241314976885</v>
      </c>
      <c r="J12" s="285" t="s">
        <v>163</v>
      </c>
    </row>
    <row r="13" spans="1:10" ht="15" customHeight="1" thickBot="1">
      <c r="A13" s="278" t="s">
        <v>164</v>
      </c>
      <c r="B13" s="281">
        <v>109.5</v>
      </c>
      <c r="C13" s="290">
        <v>98.090000152587891</v>
      </c>
      <c r="D13" s="278" t="s">
        <v>165</v>
      </c>
      <c r="E13" s="298">
        <v>10</v>
      </c>
      <c r="F13" s="296"/>
      <c r="G13" s="297" t="s">
        <v>166</v>
      </c>
      <c r="H13" s="278" t="s">
        <v>167</v>
      </c>
      <c r="I13" s="279">
        <v>1.0132478676712358</v>
      </c>
      <c r="J13" s="289">
        <v>473.5089111328125</v>
      </c>
    </row>
    <row r="14" spans="1:10" ht="15" customHeight="1" thickBot="1">
      <c r="A14" s="299" t="s">
        <v>168</v>
      </c>
      <c r="B14" s="300">
        <v>617.52001953125</v>
      </c>
      <c r="C14" s="301">
        <v>673.32000732421875</v>
      </c>
      <c r="D14" s="278" t="s">
        <v>169</v>
      </c>
      <c r="E14" s="284" t="s">
        <v>170</v>
      </c>
      <c r="F14" s="284"/>
      <c r="G14" s="297" t="s">
        <v>171</v>
      </c>
      <c r="H14" s="251" t="s">
        <v>172</v>
      </c>
      <c r="I14" s="279">
        <v>1.5487738169240604</v>
      </c>
      <c r="J14" s="285" t="s">
        <v>173</v>
      </c>
    </row>
    <row r="15" spans="1:10" ht="15" customHeight="1" thickBot="1">
      <c r="A15" s="302" t="s">
        <v>174</v>
      </c>
      <c r="B15" s="303"/>
      <c r="C15" s="304"/>
      <c r="D15" s="278" t="s">
        <v>175</v>
      </c>
      <c r="E15" s="284" t="s">
        <v>170</v>
      </c>
      <c r="F15" s="284"/>
      <c r="G15" s="297"/>
      <c r="H15" s="278" t="s">
        <v>176</v>
      </c>
      <c r="I15" s="279">
        <v>0.83543300071747506</v>
      </c>
      <c r="J15" s="289">
        <v>51.321527777777774</v>
      </c>
    </row>
    <row r="16" spans="1:10" ht="15" customHeight="1">
      <c r="A16" s="278" t="s">
        <v>177</v>
      </c>
      <c r="B16" s="284">
        <v>54</v>
      </c>
      <c r="C16" s="282">
        <v>46</v>
      </c>
      <c r="D16" s="278" t="s">
        <v>178</v>
      </c>
      <c r="E16" s="284">
        <v>2</v>
      </c>
      <c r="F16" s="284"/>
      <c r="G16" s="297"/>
      <c r="H16" s="278" t="s">
        <v>179</v>
      </c>
      <c r="I16" s="279">
        <v>0.95529270900034158</v>
      </c>
      <c r="J16" s="305" t="s">
        <v>180</v>
      </c>
    </row>
    <row r="17" spans="1:17" ht="15" customHeight="1" thickBot="1">
      <c r="A17" s="278" t="s">
        <v>181</v>
      </c>
      <c r="B17" s="284" t="s">
        <v>182</v>
      </c>
      <c r="C17" s="282" t="s">
        <v>183</v>
      </c>
      <c r="D17" s="251" t="s">
        <v>184</v>
      </c>
      <c r="E17" s="284" t="s">
        <v>185</v>
      </c>
      <c r="F17" s="284"/>
      <c r="G17" s="297"/>
      <c r="H17" s="278" t="s">
        <v>186</v>
      </c>
      <c r="I17" s="279">
        <v>0.79808305444368111</v>
      </c>
      <c r="J17" s="289">
        <v>904.3361695182615</v>
      </c>
    </row>
    <row r="18" spans="1:17" ht="15" customHeight="1">
      <c r="A18" s="278" t="s">
        <v>187</v>
      </c>
      <c r="B18" s="284" t="s">
        <v>4</v>
      </c>
      <c r="C18" s="290">
        <v>0</v>
      </c>
      <c r="D18" s="278" t="s">
        <v>188</v>
      </c>
      <c r="E18" s="306">
        <v>1687</v>
      </c>
      <c r="F18" s="298">
        <v>1010.5370025634766</v>
      </c>
      <c r="G18" s="307"/>
      <c r="H18" s="302" t="s">
        <v>189</v>
      </c>
      <c r="I18" s="308" t="s">
        <v>190</v>
      </c>
      <c r="J18" s="309"/>
    </row>
    <row r="19" spans="1:17" ht="15" customHeight="1">
      <c r="A19" s="278" t="s">
        <v>191</v>
      </c>
      <c r="B19" s="281">
        <v>73</v>
      </c>
      <c r="C19" s="290">
        <v>38.409999847412109</v>
      </c>
      <c r="D19" s="278" t="s">
        <v>192</v>
      </c>
      <c r="E19" s="298">
        <v>90</v>
      </c>
      <c r="F19" s="284"/>
      <c r="G19" s="282"/>
      <c r="H19" s="310"/>
      <c r="I19" s="275" t="s">
        <v>193</v>
      </c>
      <c r="J19" s="311" t="s">
        <v>194</v>
      </c>
    </row>
    <row r="20" spans="1:17" ht="15" customHeight="1">
      <c r="A20" s="278" t="s">
        <v>195</v>
      </c>
      <c r="B20" s="281" t="s">
        <v>196</v>
      </c>
      <c r="C20" s="290"/>
      <c r="D20" s="278" t="s">
        <v>197</v>
      </c>
      <c r="E20" s="312">
        <v>2.5096533339072524E-2</v>
      </c>
      <c r="F20" s="284"/>
      <c r="G20" s="282"/>
      <c r="H20" s="278" t="s">
        <v>198</v>
      </c>
      <c r="I20" s="279">
        <v>14.993256568908691</v>
      </c>
      <c r="J20" s="313">
        <v>14.993256568908691</v>
      </c>
    </row>
    <row r="21" spans="1:17" ht="15" customHeight="1">
      <c r="A21" s="278" t="s">
        <v>199</v>
      </c>
      <c r="B21" s="281">
        <v>17.299999237060547</v>
      </c>
      <c r="C21" s="290">
        <v>3</v>
      </c>
      <c r="D21" s="278" t="s">
        <v>200</v>
      </c>
      <c r="E21" s="314">
        <v>3.3478479640923854E-2</v>
      </c>
      <c r="F21" s="314">
        <v>2.5015836581587791E-2</v>
      </c>
      <c r="G21" s="315">
        <v>5.5189454971167964E-3</v>
      </c>
      <c r="H21" s="278" t="s">
        <v>201</v>
      </c>
      <c r="I21" s="279">
        <v>16.318153381347656</v>
      </c>
      <c r="J21" s="313">
        <v>13.79779052734375</v>
      </c>
    </row>
    <row r="22" spans="1:17" ht="15" customHeight="1">
      <c r="A22" s="278" t="s">
        <v>202</v>
      </c>
      <c r="B22" s="281">
        <v>13.149999618530273</v>
      </c>
      <c r="C22" s="290">
        <v>3</v>
      </c>
      <c r="D22" s="278" t="s">
        <v>203</v>
      </c>
      <c r="E22" s="284" t="s">
        <v>204</v>
      </c>
      <c r="F22" s="284" t="s">
        <v>204</v>
      </c>
      <c r="G22" s="282" t="s">
        <v>204</v>
      </c>
      <c r="H22" s="278" t="s">
        <v>205</v>
      </c>
      <c r="I22" s="279">
        <v>4.6907854080200195</v>
      </c>
      <c r="J22" s="313">
        <v>3.8117082118988037</v>
      </c>
    </row>
    <row r="23" spans="1:17" ht="15" customHeight="1">
      <c r="A23" s="278" t="s">
        <v>206</v>
      </c>
      <c r="B23" s="281">
        <v>8.8799171447753906</v>
      </c>
      <c r="C23" s="290">
        <v>10.888422012329102</v>
      </c>
      <c r="D23" s="278" t="s">
        <v>207</v>
      </c>
      <c r="E23" s="279">
        <v>1.7419999837875366</v>
      </c>
      <c r="F23" s="279">
        <v>1.7419999837875366</v>
      </c>
      <c r="G23" s="313">
        <v>1.7419999837875366</v>
      </c>
      <c r="H23" s="278" t="s">
        <v>208</v>
      </c>
      <c r="I23" s="279">
        <v>22.062265080590219</v>
      </c>
      <c r="J23" s="276" t="s">
        <v>209</v>
      </c>
    </row>
    <row r="24" spans="1:17" ht="15" customHeight="1">
      <c r="A24" s="278" t="s">
        <v>210</v>
      </c>
      <c r="B24" s="281">
        <v>0</v>
      </c>
      <c r="C24" s="290">
        <v>0.80000001192092896</v>
      </c>
      <c r="D24" s="278" t="s">
        <v>211</v>
      </c>
      <c r="E24" s="279">
        <v>8.8900003433227539</v>
      </c>
      <c r="F24" s="279">
        <v>8.8900003433227539</v>
      </c>
      <c r="G24" s="313">
        <v>8.8900003433227539</v>
      </c>
      <c r="H24" s="278" t="s">
        <v>212</v>
      </c>
      <c r="I24" s="279">
        <v>6.7857612215462551</v>
      </c>
      <c r="J24" s="313">
        <v>5.5341985972286984</v>
      </c>
    </row>
    <row r="25" spans="1:17" ht="15" customHeight="1">
      <c r="A25" s="278" t="s">
        <v>213</v>
      </c>
      <c r="B25" s="284" t="s">
        <v>4</v>
      </c>
      <c r="C25" s="290">
        <v>5.7199997901916504</v>
      </c>
      <c r="D25" s="316" t="s">
        <v>214</v>
      </c>
      <c r="E25" s="286"/>
      <c r="F25" s="286"/>
      <c r="G25" s="317"/>
      <c r="H25" s="278" t="s">
        <v>215</v>
      </c>
      <c r="I25" s="279">
        <v>6.4013265073299408E-2</v>
      </c>
      <c r="J25" s="313">
        <v>0.16659495234489441</v>
      </c>
    </row>
    <row r="26" spans="1:17" ht="15" customHeight="1">
      <c r="A26" s="278" t="s">
        <v>216</v>
      </c>
      <c r="B26" s="286" t="s">
        <v>217</v>
      </c>
      <c r="C26" s="317" t="s">
        <v>218</v>
      </c>
      <c r="D26" s="278" t="s">
        <v>219</v>
      </c>
      <c r="E26" s="281">
        <v>213.37455691532506</v>
      </c>
      <c r="F26" s="281">
        <v>141.75762345651788</v>
      </c>
      <c r="G26" s="290">
        <v>84.531503356144583</v>
      </c>
      <c r="H26" s="278" t="s">
        <v>220</v>
      </c>
      <c r="I26" s="279">
        <v>0.80727547407150269</v>
      </c>
      <c r="J26" s="313">
        <v>0.74912786483764648</v>
      </c>
    </row>
    <row r="27" spans="1:17" ht="15" customHeight="1" thickBot="1">
      <c r="A27" s="278" t="s">
        <v>221</v>
      </c>
      <c r="B27" s="284" t="s">
        <v>222</v>
      </c>
      <c r="C27" s="282" t="s">
        <v>223</v>
      </c>
      <c r="D27" s="318" t="s">
        <v>224</v>
      </c>
      <c r="E27" s="319">
        <v>213.37455691532506</v>
      </c>
      <c r="F27" s="319" t="s">
        <v>4</v>
      </c>
      <c r="G27" s="320" t="s">
        <v>4</v>
      </c>
      <c r="H27" s="318" t="s">
        <v>225</v>
      </c>
      <c r="I27" s="321">
        <v>0.80980944633483887</v>
      </c>
      <c r="J27" s="322">
        <v>0.76742845773696899</v>
      </c>
      <c r="M27" s="323"/>
      <c r="N27" s="323"/>
      <c r="O27" s="323"/>
      <c r="P27" s="323"/>
      <c r="Q27" s="323"/>
    </row>
    <row r="28" spans="1:17" ht="15" customHeight="1">
      <c r="A28" s="283" t="s">
        <v>226</v>
      </c>
      <c r="B28" s="253"/>
      <c r="C28" s="324"/>
      <c r="D28" s="302" t="s">
        <v>227</v>
      </c>
      <c r="E28" s="325"/>
      <c r="F28" s="326"/>
      <c r="G28" s="327"/>
      <c r="H28" s="270"/>
      <c r="I28" s="328" t="s">
        <v>228</v>
      </c>
      <c r="J28" s="270"/>
      <c r="M28" s="323"/>
      <c r="N28" s="323"/>
      <c r="O28" s="323"/>
      <c r="P28" s="323"/>
      <c r="Q28" s="323"/>
    </row>
    <row r="29" spans="1:17" ht="15" customHeight="1">
      <c r="A29" s="329"/>
      <c r="B29" s="330" t="s">
        <v>229</v>
      </c>
      <c r="C29" s="331">
        <v>35.359193128881586</v>
      </c>
      <c r="D29" s="329"/>
      <c r="E29" s="275" t="s">
        <v>230</v>
      </c>
      <c r="F29" s="275" t="s">
        <v>231</v>
      </c>
      <c r="G29" s="275" t="s">
        <v>232</v>
      </c>
      <c r="H29" s="276" t="s">
        <v>233</v>
      </c>
      <c r="I29" s="275" t="s">
        <v>234</v>
      </c>
      <c r="J29" s="276" t="s">
        <v>235</v>
      </c>
      <c r="M29" s="332" t="str">
        <f>RIGHT(F$41,SEARCH("/",F$41,1)-1)</f>
        <v xml:space="preserve"> 3584.4</v>
      </c>
      <c r="N29" s="323" t="s">
        <v>236</v>
      </c>
      <c r="O29" s="323"/>
      <c r="P29" s="275" t="s">
        <v>237</v>
      </c>
      <c r="Q29" s="323"/>
    </row>
    <row r="30" spans="1:17" ht="15" customHeight="1" thickBot="1">
      <c r="A30" s="333"/>
      <c r="B30" s="334" t="s">
        <v>238</v>
      </c>
      <c r="C30" s="335">
        <v>35.395463326989393</v>
      </c>
      <c r="D30" s="278" t="s">
        <v>239</v>
      </c>
      <c r="E30" s="336">
        <v>64.009896249999997</v>
      </c>
      <c r="F30" s="336">
        <v>1352.3688427734376</v>
      </c>
      <c r="G30" s="336">
        <v>17.849337841883546</v>
      </c>
      <c r="H30" s="337">
        <v>1205.0331773526341</v>
      </c>
      <c r="I30" s="298">
        <v>149868.95696591251</v>
      </c>
      <c r="J30" s="307">
        <v>13592.628280260386</v>
      </c>
      <c r="M30" s="332" t="str">
        <f>RIGHT(E$41,SEARCH("/",E$41,1)-1)</f>
        <v xml:space="preserve"> 3589.7</v>
      </c>
      <c r="N30" s="323" t="s">
        <v>240</v>
      </c>
      <c r="O30" s="323"/>
      <c r="P30" s="338">
        <f>G30*6.4516</f>
        <v>115.15678802069588</v>
      </c>
      <c r="Q30" s="323"/>
    </row>
    <row r="31" spans="1:17" ht="15" customHeight="1">
      <c r="A31" s="264" t="s">
        <v>241</v>
      </c>
      <c r="B31" s="339"/>
      <c r="C31" s="340"/>
      <c r="D31" s="278" t="s">
        <v>242</v>
      </c>
      <c r="E31" s="336">
        <v>7.3000000000000007</v>
      </c>
      <c r="F31" s="336">
        <v>1480.5521843429469</v>
      </c>
      <c r="G31" s="336">
        <v>16.303976730285097</v>
      </c>
      <c r="H31" s="337">
        <v>94.301187727224317</v>
      </c>
      <c r="I31" s="298">
        <v>21616.061891407026</v>
      </c>
      <c r="J31" s="307">
        <v>1692.996494467895</v>
      </c>
      <c r="M31" s="332" t="str">
        <f>RIGHT(D$41,SEARCH("/",D$41,1)-1)</f>
        <v xml:space="preserve"> 3595.1</v>
      </c>
      <c r="N31" s="323" t="s">
        <v>243</v>
      </c>
      <c r="O31" s="323"/>
      <c r="P31" s="338">
        <f>G31*6.4516</f>
        <v>105.18673627310733</v>
      </c>
      <c r="Q31" s="323"/>
    </row>
    <row r="32" spans="1:17" ht="15" customHeight="1">
      <c r="A32" s="283" t="s">
        <v>244</v>
      </c>
      <c r="B32" s="279" t="s">
        <v>245</v>
      </c>
      <c r="C32" s="341"/>
      <c r="D32" s="278" t="s">
        <v>246</v>
      </c>
      <c r="E32" s="336">
        <v>28.759685678968431</v>
      </c>
      <c r="F32" s="336">
        <v>1702.4671965738526</v>
      </c>
      <c r="G32" s="336">
        <v>14.178768560168871</v>
      </c>
      <c r="H32" s="337">
        <v>205.90414957385889</v>
      </c>
      <c r="I32" s="342" t="s">
        <v>247</v>
      </c>
      <c r="J32" s="307">
        <v>15285.62477472828</v>
      </c>
      <c r="M32" s="332" t="str">
        <f>RIGHT(C$41,SEARCH("/",C$41,1)-1)</f>
        <v xml:space="preserve"> 3600.4</v>
      </c>
      <c r="N32" s="323" t="s">
        <v>248</v>
      </c>
      <c r="O32" s="323"/>
      <c r="P32" s="338">
        <f>G32*6.4516</f>
        <v>91.475743242785484</v>
      </c>
      <c r="Q32" s="323"/>
    </row>
    <row r="33" spans="1:17" ht="15" customHeight="1">
      <c r="A33" s="283" t="s">
        <v>249</v>
      </c>
      <c r="B33" s="279" t="s">
        <v>250</v>
      </c>
      <c r="C33" s="343" t="s">
        <v>251</v>
      </c>
      <c r="D33" s="278" t="s">
        <v>242</v>
      </c>
      <c r="E33" s="336">
        <v>3.8409999847412113</v>
      </c>
      <c r="F33" s="336">
        <v>1686.2202494908415</v>
      </c>
      <c r="G33" s="336">
        <v>14.315382802922084</v>
      </c>
      <c r="H33" s="337">
        <v>28.604872251497678</v>
      </c>
      <c r="I33" s="342" t="s">
        <v>252</v>
      </c>
      <c r="J33" s="290" t="s">
        <v>253</v>
      </c>
      <c r="M33" s="332" t="str">
        <f>RIGHT(B$41,SEARCH("/",B$41,1)-1)</f>
        <v xml:space="preserve"> 3605.6</v>
      </c>
      <c r="N33" s="323" t="s">
        <v>254</v>
      </c>
      <c r="O33" s="323"/>
      <c r="P33" s="338">
        <f>G33*6.4516</f>
        <v>92.35712369133212</v>
      </c>
      <c r="Q33" s="323"/>
    </row>
    <row r="34" spans="1:17" ht="15" customHeight="1" thickBot="1">
      <c r="A34" s="344" t="s">
        <v>255</v>
      </c>
      <c r="B34" s="321" t="s">
        <v>256</v>
      </c>
      <c r="C34" s="345">
        <v>24.138888361500175</v>
      </c>
      <c r="D34" s="318" t="s">
        <v>142</v>
      </c>
      <c r="E34" s="346">
        <v>0.35000000000000003</v>
      </c>
      <c r="F34" s="347">
        <v>3167.4042596760478</v>
      </c>
      <c r="G34" s="347">
        <v>7.6210317289808245</v>
      </c>
      <c r="H34" s="348">
        <v>2122.6203173737572</v>
      </c>
      <c r="I34" s="342" t="s">
        <v>257</v>
      </c>
      <c r="J34" s="290">
        <v>6.0500001907348633</v>
      </c>
      <c r="M34" s="323"/>
      <c r="N34" s="323"/>
      <c r="O34" s="323"/>
      <c r="P34" s="338">
        <f>G34*6.4516</f>
        <v>49.16784830269269</v>
      </c>
      <c r="Q34" s="323"/>
    </row>
    <row r="35" spans="1:17" ht="15" customHeight="1">
      <c r="A35" s="302" t="s">
        <v>258</v>
      </c>
      <c r="B35" s="269"/>
      <c r="C35" s="269"/>
      <c r="D35" s="349" t="s">
        <v>259</v>
      </c>
      <c r="E35" s="350" t="s">
        <v>260</v>
      </c>
      <c r="F35" s="270"/>
      <c r="G35" s="351" t="s">
        <v>261</v>
      </c>
      <c r="H35" s="352" t="s">
        <v>262</v>
      </c>
      <c r="I35" s="278" t="s">
        <v>263</v>
      </c>
      <c r="J35" s="307" t="s">
        <v>264</v>
      </c>
      <c r="M35" s="323"/>
      <c r="N35" s="323"/>
      <c r="O35" s="323"/>
      <c r="P35" s="323"/>
      <c r="Q35" s="323"/>
    </row>
    <row r="36" spans="1:17" ht="15" customHeight="1">
      <c r="A36" s="283" t="s">
        <v>265</v>
      </c>
      <c r="B36" s="275">
        <v>25</v>
      </c>
      <c r="C36" s="275">
        <v>50</v>
      </c>
      <c r="D36" s="275">
        <v>75</v>
      </c>
      <c r="E36" s="275">
        <v>100</v>
      </c>
      <c r="F36" s="276">
        <v>125</v>
      </c>
      <c r="G36" s="278" t="s">
        <v>266</v>
      </c>
      <c r="H36" s="307" t="s">
        <v>267</v>
      </c>
      <c r="I36" s="278" t="s">
        <v>268</v>
      </c>
      <c r="J36" s="307" t="s">
        <v>269</v>
      </c>
      <c r="M36" s="323"/>
      <c r="N36" s="323"/>
      <c r="O36" s="323"/>
      <c r="P36" s="323"/>
      <c r="Q36" s="323"/>
    </row>
    <row r="37" spans="1:17" ht="15" customHeight="1" thickBot="1">
      <c r="A37" s="278" t="s">
        <v>270</v>
      </c>
      <c r="B37" s="353" t="s">
        <v>271</v>
      </c>
      <c r="C37" s="353" t="s">
        <v>272</v>
      </c>
      <c r="D37" s="353" t="s">
        <v>273</v>
      </c>
      <c r="E37" s="353" t="s">
        <v>274</v>
      </c>
      <c r="F37" s="354" t="s">
        <v>275</v>
      </c>
      <c r="G37" s="278" t="s">
        <v>276</v>
      </c>
      <c r="H37" s="307" t="s">
        <v>277</v>
      </c>
      <c r="I37" s="318" t="s">
        <v>278</v>
      </c>
      <c r="J37" s="355" t="s">
        <v>279</v>
      </c>
      <c r="O37" s="356"/>
    </row>
    <row r="38" spans="1:17" ht="15" customHeight="1" thickBot="1">
      <c r="A38" s="278" t="s">
        <v>280</v>
      </c>
      <c r="B38" s="357" t="s">
        <v>281</v>
      </c>
      <c r="C38" s="357" t="s">
        <v>282</v>
      </c>
      <c r="D38" s="357" t="s">
        <v>283</v>
      </c>
      <c r="E38" s="357" t="s">
        <v>284</v>
      </c>
      <c r="F38" s="358" t="s">
        <v>285</v>
      </c>
      <c r="G38" s="344" t="s">
        <v>286</v>
      </c>
      <c r="H38" s="355" t="s">
        <v>287</v>
      </c>
      <c r="I38" s="359" t="s">
        <v>288</v>
      </c>
      <c r="J38" s="360">
        <v>31473.556640625</v>
      </c>
      <c r="L38" t="str">
        <f>LEFT(E38,SEARCH("/",E38,1)-1)</f>
        <v xml:space="preserve">0.972 </v>
      </c>
      <c r="M38" t="str">
        <f>RIGHT(E38,SEARCH("/",E38,1)-1)</f>
        <v xml:space="preserve"> 0.964</v>
      </c>
      <c r="N38" s="361">
        <f>M38/L38</f>
        <v>0.99176954732510292</v>
      </c>
      <c r="O38" s="356" t="s">
        <v>289</v>
      </c>
    </row>
    <row r="39" spans="1:17" ht="15" customHeight="1">
      <c r="A39" s="278" t="s">
        <v>290</v>
      </c>
      <c r="B39" s="357" t="s">
        <v>291</v>
      </c>
      <c r="C39" s="357" t="s">
        <v>292</v>
      </c>
      <c r="D39" s="357" t="s">
        <v>293</v>
      </c>
      <c r="E39" s="357" t="s">
        <v>294</v>
      </c>
      <c r="F39" s="358" t="s">
        <v>295</v>
      </c>
      <c r="G39" s="302" t="s">
        <v>296</v>
      </c>
      <c r="H39" s="269"/>
      <c r="I39" s="362" t="s">
        <v>297</v>
      </c>
      <c r="J39" s="363" t="s">
        <v>298</v>
      </c>
      <c r="L39" t="str">
        <f>LEFT(E39,SEARCH("/",E39,1)-1)</f>
        <v xml:space="preserve">0.936 </v>
      </c>
      <c r="M39" t="str">
        <f>RIGHT(E39,SEARCH("/",E39,1)-1)</f>
        <v xml:space="preserve"> 0.907</v>
      </c>
      <c r="N39" s="361">
        <f>M39/L39</f>
        <v>0.96901709401709402</v>
      </c>
      <c r="O39" s="356" t="s">
        <v>299</v>
      </c>
    </row>
    <row r="40" spans="1:17" ht="15" customHeight="1">
      <c r="A40" s="278" t="s">
        <v>297</v>
      </c>
      <c r="B40" s="364" t="s">
        <v>300</v>
      </c>
      <c r="C40" s="364" t="s">
        <v>301</v>
      </c>
      <c r="D40" s="364" t="s">
        <v>302</v>
      </c>
      <c r="E40" s="364" t="s">
        <v>132</v>
      </c>
      <c r="F40" s="365" t="s">
        <v>303</v>
      </c>
      <c r="G40" s="366" t="s">
        <v>304</v>
      </c>
      <c r="H40" s="367" t="s">
        <v>305</v>
      </c>
      <c r="I40" s="368"/>
      <c r="J40" s="369"/>
      <c r="L40" t="str">
        <f>LEFT(E37,SEARCH("/",E37,1)-1)</f>
        <v xml:space="preserve">473.51 </v>
      </c>
      <c r="M40">
        <v>493</v>
      </c>
      <c r="N40" s="361">
        <f>M40/L40</f>
        <v>1.041160693543959</v>
      </c>
      <c r="O40" s="356" t="s">
        <v>306</v>
      </c>
    </row>
    <row r="41" spans="1:17" ht="15" customHeight="1">
      <c r="A41" s="278" t="s">
        <v>123</v>
      </c>
      <c r="B41" s="370" t="s">
        <v>307</v>
      </c>
      <c r="C41" s="370" t="s">
        <v>308</v>
      </c>
      <c r="D41" s="370" t="s">
        <v>309</v>
      </c>
      <c r="E41" s="370" t="s">
        <v>131</v>
      </c>
      <c r="F41" s="371" t="s">
        <v>310</v>
      </c>
      <c r="G41" s="372" t="s">
        <v>311</v>
      </c>
      <c r="H41" s="373" t="s">
        <v>312</v>
      </c>
      <c r="I41" s="374"/>
      <c r="J41" s="375"/>
      <c r="L41" t="str">
        <f>LEFT(E41,SEARCH("/",E41,1)-1)</f>
        <v xml:space="preserve">3578.9 </v>
      </c>
      <c r="M41">
        <v>3589</v>
      </c>
      <c r="N41" s="361">
        <f>M41/L41</f>
        <v>1.0028220961748022</v>
      </c>
      <c r="O41" s="356" t="s">
        <v>123</v>
      </c>
    </row>
    <row r="42" spans="1:17" ht="15" customHeight="1">
      <c r="A42" s="278" t="s">
        <v>313</v>
      </c>
      <c r="B42" s="357">
        <v>1.8170744726301387</v>
      </c>
      <c r="C42" s="357">
        <v>1.8170744726301387</v>
      </c>
      <c r="D42" s="357">
        <v>1.8170744726301387</v>
      </c>
      <c r="E42" s="357">
        <v>1.8170744726301387</v>
      </c>
      <c r="F42" s="358">
        <v>1.8170744726301387</v>
      </c>
      <c r="G42" s="366" t="s">
        <v>314</v>
      </c>
      <c r="H42" s="367" t="s">
        <v>315</v>
      </c>
      <c r="I42" s="368"/>
      <c r="J42" s="376">
        <v>0.21708853163159955</v>
      </c>
    </row>
    <row r="43" spans="1:17" ht="15" customHeight="1" thickBot="1">
      <c r="A43" s="318" t="s">
        <v>316</v>
      </c>
      <c r="B43" s="377">
        <v>1.8170744726301387</v>
      </c>
      <c r="C43" s="378"/>
      <c r="D43" s="379" t="s">
        <v>317</v>
      </c>
      <c r="E43" s="379"/>
      <c r="F43" s="380"/>
      <c r="G43" s="372" t="s">
        <v>311</v>
      </c>
      <c r="H43" s="373" t="s">
        <v>318</v>
      </c>
      <c r="I43" s="374"/>
      <c r="J43" s="375"/>
    </row>
    <row r="44" spans="1:17" ht="15" customHeight="1">
      <c r="A44" s="381" t="s">
        <v>319</v>
      </c>
      <c r="B44" s="382"/>
      <c r="C44" s="253"/>
      <c r="D44" s="253"/>
      <c r="E44" s="381" t="s">
        <v>320</v>
      </c>
      <c r="F44" s="383"/>
      <c r="G44" s="366" t="s">
        <v>321</v>
      </c>
      <c r="H44" s="384">
        <v>9192.5672117703416</v>
      </c>
      <c r="I44" s="385">
        <v>3.7792006614698788E-2</v>
      </c>
      <c r="J44" s="376">
        <v>0.64459420902133491</v>
      </c>
    </row>
    <row r="45" spans="1:17" ht="15" customHeight="1">
      <c r="A45" s="278" t="s">
        <v>322</v>
      </c>
      <c r="B45" s="279">
        <v>0.21619260311126709</v>
      </c>
      <c r="C45" s="386" t="s">
        <v>323</v>
      </c>
      <c r="D45" s="313">
        <v>6.8534351885318756E-3</v>
      </c>
      <c r="E45" s="278" t="s">
        <v>324</v>
      </c>
      <c r="F45" s="307">
        <v>1211.5643612554743</v>
      </c>
      <c r="G45" s="387" t="s">
        <v>311</v>
      </c>
      <c r="H45" s="388" t="s">
        <v>325</v>
      </c>
      <c r="I45" s="389"/>
      <c r="J45" s="317"/>
    </row>
    <row r="46" spans="1:17" ht="15" customHeight="1">
      <c r="A46" s="278" t="s">
        <v>326</v>
      </c>
      <c r="B46" s="279">
        <v>0.15473812818527222</v>
      </c>
      <c r="C46" s="386" t="s">
        <v>327</v>
      </c>
      <c r="D46" s="313">
        <v>5.852891132235527E-3</v>
      </c>
      <c r="E46" s="278" t="s">
        <v>328</v>
      </c>
      <c r="F46" s="307">
        <v>1735.3514100311018</v>
      </c>
      <c r="G46" s="372" t="s">
        <v>329</v>
      </c>
      <c r="H46" s="390">
        <v>1980.5509993330584</v>
      </c>
      <c r="I46" s="374"/>
      <c r="J46" s="375"/>
      <c r="L46" s="391" t="s">
        <v>330</v>
      </c>
      <c r="M46" s="392">
        <f>B5^0.95</f>
        <v>2642.1470921992141</v>
      </c>
    </row>
    <row r="47" spans="1:17" ht="15" customHeight="1">
      <c r="A47" s="278" t="s">
        <v>331</v>
      </c>
      <c r="B47" s="279">
        <v>0.37093073129653931</v>
      </c>
      <c r="C47" s="386" t="s">
        <v>332</v>
      </c>
      <c r="D47" s="313">
        <v>3.5857909824699163E-3</v>
      </c>
      <c r="E47" s="278" t="s">
        <v>333</v>
      </c>
      <c r="F47" s="307">
        <v>593.89961301992651</v>
      </c>
      <c r="G47" s="393" t="s">
        <v>334</v>
      </c>
      <c r="H47" s="384">
        <v>8851.9851203805556</v>
      </c>
      <c r="I47" s="385">
        <v>3.6336041226453029E-2</v>
      </c>
      <c r="J47" s="394">
        <v>0.65813251814587037</v>
      </c>
      <c r="L47" s="391" t="s">
        <v>335</v>
      </c>
      <c r="M47" s="392">
        <f>B5^1.5</f>
        <v>252982.21281347031</v>
      </c>
    </row>
    <row r="48" spans="1:17" ht="15" customHeight="1">
      <c r="A48" s="278" t="s">
        <v>336</v>
      </c>
      <c r="B48" s="279">
        <v>1.1381623335182667E-2</v>
      </c>
      <c r="C48" s="386" t="s">
        <v>247</v>
      </c>
      <c r="D48" s="313">
        <v>2.7673739939928055E-2</v>
      </c>
      <c r="E48" s="278" t="s">
        <v>337</v>
      </c>
      <c r="F48" s="307">
        <v>437.57236896223526</v>
      </c>
      <c r="G48" s="395" t="s">
        <v>311</v>
      </c>
      <c r="H48" s="388">
        <v>296.64829491891942</v>
      </c>
      <c r="I48" s="389"/>
      <c r="J48" s="317"/>
      <c r="L48" s="391" t="s">
        <v>338</v>
      </c>
      <c r="M48" s="396">
        <f>IF(A5="",0,(7200/(1000*A5))^2.4)</f>
        <v>21.633460842025631</v>
      </c>
    </row>
    <row r="49" spans="1:13" ht="15" customHeight="1" thickBot="1">
      <c r="A49" s="333"/>
      <c r="B49" s="397"/>
      <c r="C49" s="398" t="s">
        <v>339</v>
      </c>
      <c r="D49" s="322">
        <v>0.97232627868652344</v>
      </c>
      <c r="E49" s="318" t="s">
        <v>340</v>
      </c>
      <c r="F49" s="355">
        <v>1116.3624420548604</v>
      </c>
      <c r="G49" s="399" t="s">
        <v>329</v>
      </c>
      <c r="H49" s="390">
        <v>1941.3059281239725</v>
      </c>
      <c r="I49" s="374"/>
      <c r="J49" s="400"/>
      <c r="L49" s="391" t="s">
        <v>341</v>
      </c>
      <c r="M49" s="396">
        <f>IF(A5="",0,(7200/(1000*A5))^1.8)</f>
        <v>10.031006258647469</v>
      </c>
    </row>
    <row r="50" spans="1:13" ht="15" customHeight="1">
      <c r="A50" s="302" t="s">
        <v>342</v>
      </c>
      <c r="B50" s="269"/>
      <c r="C50" s="269"/>
      <c r="D50" s="269"/>
      <c r="E50" s="269"/>
      <c r="F50" s="270"/>
      <c r="G50" s="302" t="s">
        <v>343</v>
      </c>
      <c r="H50" s="269"/>
      <c r="I50" s="327"/>
      <c r="J50" s="340"/>
      <c r="L50" s="391" t="s">
        <v>344</v>
      </c>
      <c r="M50" s="401">
        <f>IF(A5=2,27,24)</f>
        <v>27</v>
      </c>
    </row>
    <row r="51" spans="1:13" ht="15" customHeight="1">
      <c r="A51" s="278" t="s">
        <v>345</v>
      </c>
      <c r="B51" s="284">
        <v>46</v>
      </c>
      <c r="C51" s="342" t="s">
        <v>346</v>
      </c>
      <c r="D51" s="281" t="s">
        <v>4</v>
      </c>
      <c r="E51" s="342" t="s">
        <v>347</v>
      </c>
      <c r="F51" s="290" t="s">
        <v>4</v>
      </c>
      <c r="G51" s="342" t="s">
        <v>348</v>
      </c>
      <c r="H51" s="314">
        <v>0.1337033931097999</v>
      </c>
      <c r="I51" s="402" t="s">
        <v>349</v>
      </c>
      <c r="J51" s="324"/>
      <c r="L51" s="391" t="s">
        <v>350</v>
      </c>
      <c r="M51" s="401">
        <v>6.8500000000000005E-2</v>
      </c>
    </row>
    <row r="52" spans="1:13" ht="15" customHeight="1">
      <c r="A52" s="278" t="s">
        <v>191</v>
      </c>
      <c r="B52" s="281">
        <v>38.409999847412109</v>
      </c>
      <c r="C52" s="342" t="s">
        <v>351</v>
      </c>
      <c r="D52" s="281" t="s">
        <v>4</v>
      </c>
      <c r="E52" s="342" t="s">
        <v>352</v>
      </c>
      <c r="F52" s="290" t="s">
        <v>4</v>
      </c>
      <c r="G52" s="342" t="s">
        <v>353</v>
      </c>
      <c r="H52" s="281">
        <v>142084.27600000001</v>
      </c>
      <c r="I52" s="403" t="s">
        <v>354</v>
      </c>
      <c r="J52" s="404"/>
      <c r="L52" s="391" t="s">
        <v>355</v>
      </c>
      <c r="M52" s="405">
        <f>F5</f>
        <v>60</v>
      </c>
    </row>
    <row r="53" spans="1:13" ht="15" customHeight="1">
      <c r="A53" s="278" t="s">
        <v>199</v>
      </c>
      <c r="B53" s="281">
        <v>3</v>
      </c>
      <c r="C53" s="342" t="s">
        <v>356</v>
      </c>
      <c r="D53" s="281" t="s">
        <v>4</v>
      </c>
      <c r="E53" s="342" t="s">
        <v>357</v>
      </c>
      <c r="F53" s="290" t="s">
        <v>4</v>
      </c>
      <c r="G53" s="342" t="s">
        <v>358</v>
      </c>
      <c r="H53" s="279">
        <v>111.535588322896</v>
      </c>
      <c r="I53" s="402" t="s">
        <v>359</v>
      </c>
      <c r="J53" s="324"/>
      <c r="L53" s="391" t="s">
        <v>360</v>
      </c>
      <c r="M53" s="406">
        <f>IF(F5=60,M50*M46/M48-M51*M47/M49,IF(F5&lt;&gt;60,(60/M52)^2*(M50*M46/M48-M51*M47/M49),0))</f>
        <v>1570.0039433402194</v>
      </c>
    </row>
    <row r="54" spans="1:13" ht="15" customHeight="1">
      <c r="A54" s="278" t="s">
        <v>202</v>
      </c>
      <c r="B54" s="281">
        <v>3</v>
      </c>
      <c r="C54" s="342" t="s">
        <v>361</v>
      </c>
      <c r="D54" s="281" t="s">
        <v>4</v>
      </c>
      <c r="E54" s="342" t="s">
        <v>357</v>
      </c>
      <c r="F54" s="290" t="s">
        <v>4</v>
      </c>
      <c r="G54" s="342" t="s">
        <v>362</v>
      </c>
      <c r="H54" s="298">
        <v>441045.4</v>
      </c>
      <c r="I54" s="407" t="s">
        <v>363</v>
      </c>
      <c r="J54" s="375" t="s">
        <v>364</v>
      </c>
    </row>
    <row r="55" spans="1:13" ht="15" customHeight="1">
      <c r="A55" s="278" t="s">
        <v>365</v>
      </c>
      <c r="B55" s="281">
        <v>14.119999885559082</v>
      </c>
      <c r="C55" s="342" t="s">
        <v>366</v>
      </c>
      <c r="D55" s="281" t="s">
        <v>4</v>
      </c>
      <c r="E55" s="342" t="s">
        <v>367</v>
      </c>
      <c r="F55" s="290" t="s">
        <v>4</v>
      </c>
      <c r="G55" s="342" t="s">
        <v>368</v>
      </c>
      <c r="H55" s="281">
        <v>1</v>
      </c>
      <c r="I55" s="402" t="s">
        <v>369</v>
      </c>
      <c r="J55" s="324"/>
    </row>
    <row r="56" spans="1:13" ht="15" customHeight="1" thickBot="1">
      <c r="A56" s="318" t="s">
        <v>370</v>
      </c>
      <c r="B56" s="319" t="s">
        <v>4</v>
      </c>
      <c r="C56" s="408" t="s">
        <v>371</v>
      </c>
      <c r="D56" s="319" t="s">
        <v>4</v>
      </c>
      <c r="E56" s="408" t="s">
        <v>372</v>
      </c>
      <c r="F56" s="320" t="s">
        <v>4</v>
      </c>
      <c r="G56" s="408" t="s">
        <v>373</v>
      </c>
      <c r="H56" s="321">
        <v>0.69434999999999991</v>
      </c>
      <c r="I56" s="409" t="s">
        <v>374</v>
      </c>
      <c r="J56" s="400" t="s">
        <v>375</v>
      </c>
      <c r="M56">
        <f>0.25*M53</f>
        <v>392.50098583505485</v>
      </c>
    </row>
    <row r="57" spans="1:13" ht="15" customHeight="1">
      <c r="A57" s="264" t="s">
        <v>376</v>
      </c>
      <c r="B57" s="327"/>
      <c r="C57" s="327"/>
      <c r="D57" s="327"/>
      <c r="E57" s="327"/>
      <c r="F57" s="340"/>
      <c r="G57" s="410"/>
      <c r="H57" s="411"/>
      <c r="I57" s="411"/>
      <c r="J57" s="412"/>
    </row>
    <row r="58" spans="1:13" ht="15" customHeight="1">
      <c r="A58" s="413" t="s">
        <v>297</v>
      </c>
      <c r="B58" s="275" t="s">
        <v>377</v>
      </c>
      <c r="C58" s="276" t="s">
        <v>378</v>
      </c>
      <c r="D58" s="275" t="s">
        <v>297</v>
      </c>
      <c r="E58" s="275" t="s">
        <v>377</v>
      </c>
      <c r="F58" s="276" t="s">
        <v>379</v>
      </c>
      <c r="G58" s="414"/>
      <c r="H58" s="415"/>
      <c r="I58" s="415"/>
      <c r="J58" s="416"/>
    </row>
    <row r="59" spans="1:13" ht="15" customHeight="1">
      <c r="A59" s="417">
        <v>0</v>
      </c>
      <c r="B59" s="388">
        <v>0</v>
      </c>
      <c r="C59" s="418">
        <v>0.19443166255950928</v>
      </c>
      <c r="D59" s="419">
        <v>0.69999998807907104</v>
      </c>
      <c r="E59" s="388">
        <v>130.00013395138484</v>
      </c>
      <c r="F59" s="418">
        <v>622.6612548828125</v>
      </c>
      <c r="G59" s="414"/>
      <c r="H59" s="415"/>
      <c r="I59" s="415"/>
      <c r="J59" s="416"/>
    </row>
    <row r="60" spans="1:13" ht="15" customHeight="1">
      <c r="A60" s="420">
        <v>7.9999994486570358E-3</v>
      </c>
      <c r="B60" s="388">
        <v>108.27930360324906</v>
      </c>
      <c r="C60" s="418">
        <v>155.34750366210938</v>
      </c>
      <c r="D60" s="419">
        <v>0.80000001192092896</v>
      </c>
      <c r="E60" s="388">
        <v>130.00488327433703</v>
      </c>
      <c r="F60" s="418">
        <v>626.2086181640625</v>
      </c>
      <c r="G60" s="414"/>
      <c r="H60" s="415"/>
      <c r="I60" s="415"/>
      <c r="J60" s="416"/>
    </row>
    <row r="61" spans="1:13" ht="15" customHeight="1">
      <c r="A61" s="420">
        <v>3.9999999105930328E-2</v>
      </c>
      <c r="B61" s="388">
        <v>215</v>
      </c>
      <c r="C61" s="418">
        <v>474.07583618164063</v>
      </c>
      <c r="D61" s="419">
        <v>0.89999997615814209</v>
      </c>
      <c r="E61" s="388">
        <v>130.00657014325489</v>
      </c>
      <c r="F61" s="418">
        <v>629.23529052734375</v>
      </c>
      <c r="G61" s="414"/>
      <c r="H61" s="415"/>
      <c r="I61" s="415"/>
      <c r="J61" s="416"/>
    </row>
    <row r="62" spans="1:13" ht="15" customHeight="1">
      <c r="A62" s="417">
        <v>9.1428570449352264E-2</v>
      </c>
      <c r="B62" s="388">
        <v>164.55819173937701</v>
      </c>
      <c r="C62" s="418">
        <v>558.60107421875</v>
      </c>
      <c r="D62" s="421">
        <v>1</v>
      </c>
      <c r="E62" s="388">
        <v>130</v>
      </c>
      <c r="F62" s="418">
        <v>631.8458251953125</v>
      </c>
      <c r="G62" s="414"/>
      <c r="H62" s="415"/>
      <c r="I62" s="415"/>
      <c r="J62" s="416"/>
    </row>
    <row r="63" spans="1:13" ht="15" customHeight="1" thickBot="1">
      <c r="A63" s="417">
        <v>0.1428571492433548</v>
      </c>
      <c r="B63" s="388">
        <v>141.64781265484953</v>
      </c>
      <c r="C63" s="418">
        <v>581.24151611328125</v>
      </c>
      <c r="D63" s="422"/>
      <c r="E63" s="423"/>
      <c r="F63" s="424"/>
      <c r="G63" s="414"/>
      <c r="H63" s="415"/>
      <c r="I63" s="415"/>
      <c r="J63" s="416"/>
    </row>
    <row r="64" spans="1:13" ht="15" customHeight="1">
      <c r="A64" s="417">
        <v>0.19428572058677673</v>
      </c>
      <c r="B64" s="388">
        <v>134.07260097182962</v>
      </c>
      <c r="C64" s="418">
        <v>591.11712646484375</v>
      </c>
      <c r="D64" s="425" t="s">
        <v>380</v>
      </c>
      <c r="E64" s="426"/>
      <c r="F64" s="426"/>
      <c r="G64" s="414"/>
      <c r="H64" s="415"/>
      <c r="I64" s="415"/>
      <c r="J64" s="416"/>
    </row>
    <row r="65" spans="1:10" ht="15" customHeight="1">
      <c r="A65" s="417">
        <v>0.29714286327362061</v>
      </c>
      <c r="B65" s="388">
        <v>130.72708652208823</v>
      </c>
      <c r="C65" s="418">
        <v>600.97479248046875</v>
      </c>
      <c r="D65" s="427" t="s">
        <v>381</v>
      </c>
      <c r="E65" s="428" t="s">
        <v>382</v>
      </c>
      <c r="F65" s="428"/>
      <c r="G65" s="414"/>
      <c r="H65" s="415"/>
      <c r="I65" s="415"/>
      <c r="J65" s="416"/>
    </row>
    <row r="66" spans="1:10" ht="15" customHeight="1">
      <c r="A66" s="417">
        <v>0.40000000596046448</v>
      </c>
      <c r="B66" s="388">
        <v>130</v>
      </c>
      <c r="C66" s="418">
        <v>607.78570556640625</v>
      </c>
      <c r="D66" s="427" t="s">
        <v>383</v>
      </c>
      <c r="E66" s="428" t="s">
        <v>384</v>
      </c>
      <c r="F66" s="428"/>
      <c r="G66" s="414"/>
      <c r="H66" s="415"/>
      <c r="I66" s="415"/>
      <c r="J66" s="416"/>
    </row>
    <row r="67" spans="1:10" ht="15" customHeight="1">
      <c r="A67" s="417">
        <v>0.5</v>
      </c>
      <c r="B67" s="388">
        <v>130.00000681266414</v>
      </c>
      <c r="C67" s="418">
        <v>613.544921875</v>
      </c>
      <c r="D67" s="427" t="s">
        <v>385</v>
      </c>
      <c r="E67" s="428" t="s">
        <v>386</v>
      </c>
      <c r="F67" s="428"/>
      <c r="G67" s="414"/>
      <c r="H67" s="415"/>
      <c r="I67" s="415"/>
      <c r="J67" s="416"/>
    </row>
    <row r="68" spans="1:10" ht="15" customHeight="1" thickBot="1">
      <c r="A68" s="429">
        <v>0.60000002384185791</v>
      </c>
      <c r="B68" s="423">
        <v>130.00006173677744</v>
      </c>
      <c r="C68" s="430">
        <v>618.47625732421875</v>
      </c>
      <c r="D68" s="431" t="s">
        <v>387</v>
      </c>
      <c r="E68" s="432" t="s">
        <v>388</v>
      </c>
      <c r="F68" s="432"/>
      <c r="G68" s="433"/>
      <c r="H68" s="434"/>
      <c r="I68" s="434"/>
      <c r="J68" s="435"/>
    </row>
    <row r="69" spans="1:10" ht="15" customHeight="1">
      <c r="A69" s="436"/>
      <c r="B69" s="437"/>
      <c r="C69" s="415"/>
      <c r="D69" s="415"/>
      <c r="E69" s="415"/>
      <c r="F69" s="415"/>
      <c r="G69" s="415"/>
      <c r="H69" s="415"/>
      <c r="I69" s="415"/>
      <c r="J69" s="415"/>
    </row>
    <row r="70" spans="1:10" ht="15" customHeight="1">
      <c r="A70" s="415"/>
      <c r="B70" s="415"/>
      <c r="C70" s="415"/>
      <c r="D70" s="415"/>
      <c r="E70" s="415"/>
      <c r="F70" s="415"/>
      <c r="G70" s="415"/>
      <c r="H70" s="415"/>
      <c r="I70" s="415"/>
      <c r="J70" s="415"/>
    </row>
    <row r="71" spans="1:10">
      <c r="A71" s="253"/>
      <c r="B71" s="253"/>
      <c r="C71" s="253"/>
      <c r="D71" s="253"/>
      <c r="E71" s="253"/>
      <c r="F71" s="253"/>
      <c r="G71" s="253"/>
      <c r="H71" s="253"/>
      <c r="I71" s="253"/>
      <c r="J71" s="253"/>
    </row>
    <row r="99" spans="1:9">
      <c r="A99" s="438" t="s">
        <v>389</v>
      </c>
      <c r="B99" s="438" t="s">
        <v>390</v>
      </c>
      <c r="C99" s="438" t="s">
        <v>391</v>
      </c>
      <c r="D99" s="438"/>
      <c r="E99" s="438"/>
      <c r="F99" s="438"/>
      <c r="G99" s="438"/>
      <c r="H99" s="438"/>
      <c r="I99" s="438"/>
    </row>
    <row r="100" spans="1:9">
      <c r="A100" s="438">
        <v>100</v>
      </c>
      <c r="B100" s="438">
        <v>0</v>
      </c>
      <c r="C100" s="438">
        <v>76.683845520019531</v>
      </c>
      <c r="D100" s="438"/>
      <c r="E100" s="438"/>
      <c r="F100" s="438"/>
      <c r="G100" s="438"/>
      <c r="H100" s="438"/>
      <c r="I100" s="438"/>
    </row>
    <row r="101" spans="1:9">
      <c r="A101" s="438">
        <v>98.400001525878906</v>
      </c>
      <c r="B101" s="438">
        <v>69.298756948076345</v>
      </c>
      <c r="C101" s="438">
        <v>124.27800750732422</v>
      </c>
      <c r="D101" s="438"/>
      <c r="E101" s="438"/>
      <c r="F101" s="438"/>
      <c r="G101" s="438"/>
      <c r="H101" s="438"/>
      <c r="I101" s="438"/>
    </row>
    <row r="102" spans="1:9">
      <c r="A102" s="438">
        <v>89.75</v>
      </c>
      <c r="B102" s="438">
        <v>137.60000410079959</v>
      </c>
      <c r="C102" s="438">
        <v>379.26068115234375</v>
      </c>
      <c r="D102" s="438"/>
      <c r="E102" s="438"/>
      <c r="F102" s="438"/>
      <c r="G102" s="438"/>
      <c r="H102" s="438"/>
      <c r="I102" s="438"/>
    </row>
    <row r="103" spans="1:9">
      <c r="A103" s="438">
        <v>76.228569030761719</v>
      </c>
      <c r="B103" s="438">
        <v>105.31724923244855</v>
      </c>
      <c r="C103" s="438">
        <v>446.880859375</v>
      </c>
      <c r="D103" s="438"/>
      <c r="E103" s="438"/>
      <c r="F103" s="438"/>
      <c r="G103" s="438"/>
      <c r="H103" s="438"/>
      <c r="I103" s="438"/>
    </row>
    <row r="104" spans="1:9">
      <c r="A104" s="438">
        <v>62.857139587402344</v>
      </c>
      <c r="B104" s="438">
        <v>90.654602311092617</v>
      </c>
      <c r="C104" s="438">
        <v>464.99322509765625</v>
      </c>
      <c r="D104" s="438"/>
      <c r="E104" s="438"/>
      <c r="F104" s="438"/>
      <c r="G104" s="438"/>
      <c r="H104" s="438"/>
      <c r="I104" s="438"/>
    </row>
    <row r="105" spans="1:9">
      <c r="A105" s="438">
        <v>51.25714111328125</v>
      </c>
      <c r="B105" s="438">
        <v>85.806467400981944</v>
      </c>
      <c r="C105" s="438">
        <v>472.89370727539063</v>
      </c>
      <c r="D105" s="438"/>
      <c r="E105" s="438"/>
      <c r="F105" s="438"/>
      <c r="G105" s="438"/>
      <c r="H105" s="438"/>
      <c r="I105" s="438"/>
    </row>
    <row r="106" spans="1:9">
      <c r="A106" s="438">
        <v>33.485713958740234</v>
      </c>
      <c r="B106" s="438">
        <v>83.665334524671223</v>
      </c>
      <c r="C106" s="438">
        <v>480.77984619140625</v>
      </c>
      <c r="D106" s="438"/>
      <c r="E106" s="438"/>
      <c r="F106" s="438"/>
      <c r="G106" s="438"/>
      <c r="H106" s="438"/>
      <c r="I106" s="438"/>
    </row>
    <row r="107" spans="1:9">
      <c r="A107" s="438">
        <v>22</v>
      </c>
      <c r="B107" s="438">
        <v>83.200002479553234</v>
      </c>
      <c r="C107" s="438">
        <v>486.22857666015625</v>
      </c>
      <c r="D107" s="438"/>
      <c r="E107" s="438"/>
      <c r="F107" s="438"/>
      <c r="G107" s="438"/>
      <c r="H107" s="438"/>
      <c r="I107" s="438"/>
    </row>
    <row r="108" spans="1:9">
      <c r="A108" s="438">
        <v>14</v>
      </c>
      <c r="B108" s="438">
        <v>83.200002479553234</v>
      </c>
      <c r="C108" s="438">
        <v>490.8359375</v>
      </c>
      <c r="D108" s="438"/>
      <c r="E108" s="438"/>
      <c r="F108" s="438"/>
      <c r="G108" s="438"/>
      <c r="H108" s="438"/>
      <c r="I108" s="438"/>
    </row>
    <row r="109" spans="1:9">
      <c r="A109" s="438">
        <v>7.9999995231628418</v>
      </c>
      <c r="B109" s="438">
        <v>83.200041542054407</v>
      </c>
      <c r="C109" s="438">
        <v>494.781005859375</v>
      </c>
      <c r="D109" s="438"/>
      <c r="E109" s="438"/>
      <c r="F109" s="438"/>
      <c r="G109" s="438"/>
      <c r="H109" s="438"/>
      <c r="I109" s="438"/>
    </row>
    <row r="110" spans="1:9">
      <c r="A110" s="438">
        <v>5.9999995231628418</v>
      </c>
      <c r="B110" s="438">
        <v>83.20009037018086</v>
      </c>
      <c r="C110" s="438">
        <v>498.12899780273438</v>
      </c>
      <c r="D110" s="438"/>
      <c r="E110" s="438"/>
      <c r="F110" s="438"/>
      <c r="G110" s="438"/>
      <c r="H110" s="438"/>
      <c r="I110" s="438"/>
    </row>
    <row r="111" spans="1:9">
      <c r="A111" s="438">
        <v>8.0000009536743164</v>
      </c>
      <c r="B111" s="438">
        <v>83.203127479646369</v>
      </c>
      <c r="C111" s="438">
        <v>500.96688842773438</v>
      </c>
      <c r="D111" s="438"/>
      <c r="E111" s="438"/>
      <c r="F111" s="438"/>
      <c r="G111" s="438"/>
      <c r="H111" s="438"/>
      <c r="I111" s="438"/>
    </row>
    <row r="112" spans="1:9">
      <c r="A112" s="438">
        <v>14.999996185302734</v>
      </c>
      <c r="B112" s="438">
        <v>83.204211464053685</v>
      </c>
      <c r="C112" s="438">
        <v>503.38824462890625</v>
      </c>
      <c r="D112" s="438"/>
      <c r="E112" s="438"/>
      <c r="F112" s="438"/>
      <c r="G112" s="438"/>
      <c r="H112" s="438"/>
      <c r="I112" s="438"/>
    </row>
    <row r="113" spans="1:9">
      <c r="A113" s="438">
        <v>30</v>
      </c>
      <c r="B113" s="438">
        <v>83.200002479553234</v>
      </c>
      <c r="C113" s="438">
        <v>505.47665405273438</v>
      </c>
      <c r="D113" s="438"/>
      <c r="E113" s="438"/>
      <c r="F113" s="438"/>
      <c r="G113" s="438"/>
      <c r="H113" s="438"/>
      <c r="I113" s="438"/>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AD9E-5CD7-482E-AF98-C609168C3991}">
  <sheetPr>
    <pageSetUpPr fitToPage="1"/>
  </sheetPr>
  <dimension ref="A1:Z53"/>
  <sheetViews>
    <sheetView zoomScaleNormal="100" workbookViewId="0">
      <selection activeCell="N42" sqref="N42"/>
    </sheetView>
  </sheetViews>
  <sheetFormatPr defaultRowHeight="15.75"/>
  <cols>
    <col min="1" max="1" width="11.85546875" style="658" customWidth="1"/>
    <col min="2" max="2" width="6.140625" style="658" customWidth="1"/>
    <col min="3" max="3" width="7.42578125" style="658" customWidth="1"/>
    <col min="4" max="5" width="12.5703125" style="658" customWidth="1"/>
    <col min="6" max="6" width="9.42578125" style="658" customWidth="1"/>
    <col min="7" max="7" width="5.7109375" style="658" customWidth="1"/>
    <col min="8" max="8" width="7.85546875" style="658" customWidth="1"/>
    <col min="9" max="9" width="6.5703125" style="658" customWidth="1"/>
    <col min="10" max="11" width="12" style="658" customWidth="1"/>
    <col min="12" max="26" width="9.140625" style="440"/>
    <col min="27" max="256" width="9.140625" style="441"/>
    <col min="257" max="257" width="11.85546875" style="441" customWidth="1"/>
    <col min="258" max="258" width="6.140625" style="441" customWidth="1"/>
    <col min="259" max="259" width="7.42578125" style="441" customWidth="1"/>
    <col min="260" max="261" width="12.5703125" style="441" customWidth="1"/>
    <col min="262" max="262" width="9.42578125" style="441" customWidth="1"/>
    <col min="263" max="263" width="5.7109375" style="441" customWidth="1"/>
    <col min="264" max="264" width="7.85546875" style="441" customWidth="1"/>
    <col min="265" max="265" width="6.5703125" style="441" customWidth="1"/>
    <col min="266" max="267" width="12" style="441" customWidth="1"/>
    <col min="268" max="512" width="9.140625" style="441"/>
    <col min="513" max="513" width="11.85546875" style="441" customWidth="1"/>
    <col min="514" max="514" width="6.140625" style="441" customWidth="1"/>
    <col min="515" max="515" width="7.42578125" style="441" customWidth="1"/>
    <col min="516" max="517" width="12.5703125" style="441" customWidth="1"/>
    <col min="518" max="518" width="9.42578125" style="441" customWidth="1"/>
    <col min="519" max="519" width="5.7109375" style="441" customWidth="1"/>
    <col min="520" max="520" width="7.85546875" style="441" customWidth="1"/>
    <col min="521" max="521" width="6.5703125" style="441" customWidth="1"/>
    <col min="522" max="523" width="12" style="441" customWidth="1"/>
    <col min="524" max="768" width="9.140625" style="441"/>
    <col min="769" max="769" width="11.85546875" style="441" customWidth="1"/>
    <col min="770" max="770" width="6.140625" style="441" customWidth="1"/>
    <col min="771" max="771" width="7.42578125" style="441" customWidth="1"/>
    <col min="772" max="773" width="12.5703125" style="441" customWidth="1"/>
    <col min="774" max="774" width="9.42578125" style="441" customWidth="1"/>
    <col min="775" max="775" width="5.7109375" style="441" customWidth="1"/>
    <col min="776" max="776" width="7.85546875" style="441" customWidth="1"/>
    <col min="777" max="777" width="6.5703125" style="441" customWidth="1"/>
    <col min="778" max="779" width="12" style="441" customWidth="1"/>
    <col min="780" max="1024" width="9.140625" style="441"/>
    <col min="1025" max="1025" width="11.85546875" style="441" customWidth="1"/>
    <col min="1026" max="1026" width="6.140625" style="441" customWidth="1"/>
    <col min="1027" max="1027" width="7.42578125" style="441" customWidth="1"/>
    <col min="1028" max="1029" width="12.5703125" style="441" customWidth="1"/>
    <col min="1030" max="1030" width="9.42578125" style="441" customWidth="1"/>
    <col min="1031" max="1031" width="5.7109375" style="441" customWidth="1"/>
    <col min="1032" max="1032" width="7.85546875" style="441" customWidth="1"/>
    <col min="1033" max="1033" width="6.5703125" style="441" customWidth="1"/>
    <col min="1034" max="1035" width="12" style="441" customWidth="1"/>
    <col min="1036" max="1280" width="9.140625" style="441"/>
    <col min="1281" max="1281" width="11.85546875" style="441" customWidth="1"/>
    <col min="1282" max="1282" width="6.140625" style="441" customWidth="1"/>
    <col min="1283" max="1283" width="7.42578125" style="441" customWidth="1"/>
    <col min="1284" max="1285" width="12.5703125" style="441" customWidth="1"/>
    <col min="1286" max="1286" width="9.42578125" style="441" customWidth="1"/>
    <col min="1287" max="1287" width="5.7109375" style="441" customWidth="1"/>
    <col min="1288" max="1288" width="7.85546875" style="441" customWidth="1"/>
    <col min="1289" max="1289" width="6.5703125" style="441" customWidth="1"/>
    <col min="1290" max="1291" width="12" style="441" customWidth="1"/>
    <col min="1292" max="1536" width="9.140625" style="441"/>
    <col min="1537" max="1537" width="11.85546875" style="441" customWidth="1"/>
    <col min="1538" max="1538" width="6.140625" style="441" customWidth="1"/>
    <col min="1539" max="1539" width="7.42578125" style="441" customWidth="1"/>
    <col min="1540" max="1541" width="12.5703125" style="441" customWidth="1"/>
    <col min="1542" max="1542" width="9.42578125" style="441" customWidth="1"/>
    <col min="1543" max="1543" width="5.7109375" style="441" customWidth="1"/>
    <col min="1544" max="1544" width="7.85546875" style="441" customWidth="1"/>
    <col min="1545" max="1545" width="6.5703125" style="441" customWidth="1"/>
    <col min="1546" max="1547" width="12" style="441" customWidth="1"/>
    <col min="1548" max="1792" width="9.140625" style="441"/>
    <col min="1793" max="1793" width="11.85546875" style="441" customWidth="1"/>
    <col min="1794" max="1794" width="6.140625" style="441" customWidth="1"/>
    <col min="1795" max="1795" width="7.42578125" style="441" customWidth="1"/>
    <col min="1796" max="1797" width="12.5703125" style="441" customWidth="1"/>
    <col min="1798" max="1798" width="9.42578125" style="441" customWidth="1"/>
    <col min="1799" max="1799" width="5.7109375" style="441" customWidth="1"/>
    <col min="1800" max="1800" width="7.85546875" style="441" customWidth="1"/>
    <col min="1801" max="1801" width="6.5703125" style="441" customWidth="1"/>
    <col min="1802" max="1803" width="12" style="441" customWidth="1"/>
    <col min="1804" max="2048" width="9.140625" style="441"/>
    <col min="2049" max="2049" width="11.85546875" style="441" customWidth="1"/>
    <col min="2050" max="2050" width="6.140625" style="441" customWidth="1"/>
    <col min="2051" max="2051" width="7.42578125" style="441" customWidth="1"/>
    <col min="2052" max="2053" width="12.5703125" style="441" customWidth="1"/>
    <col min="2054" max="2054" width="9.42578125" style="441" customWidth="1"/>
    <col min="2055" max="2055" width="5.7109375" style="441" customWidth="1"/>
    <col min="2056" max="2056" width="7.85546875" style="441" customWidth="1"/>
    <col min="2057" max="2057" width="6.5703125" style="441" customWidth="1"/>
    <col min="2058" max="2059" width="12" style="441" customWidth="1"/>
    <col min="2060" max="2304" width="9.140625" style="441"/>
    <col min="2305" max="2305" width="11.85546875" style="441" customWidth="1"/>
    <col min="2306" max="2306" width="6.140625" style="441" customWidth="1"/>
    <col min="2307" max="2307" width="7.42578125" style="441" customWidth="1"/>
    <col min="2308" max="2309" width="12.5703125" style="441" customWidth="1"/>
    <col min="2310" max="2310" width="9.42578125" style="441" customWidth="1"/>
    <col min="2311" max="2311" width="5.7109375" style="441" customWidth="1"/>
    <col min="2312" max="2312" width="7.85546875" style="441" customWidth="1"/>
    <col min="2313" max="2313" width="6.5703125" style="441" customWidth="1"/>
    <col min="2314" max="2315" width="12" style="441" customWidth="1"/>
    <col min="2316" max="2560" width="9.140625" style="441"/>
    <col min="2561" max="2561" width="11.85546875" style="441" customWidth="1"/>
    <col min="2562" max="2562" width="6.140625" style="441" customWidth="1"/>
    <col min="2563" max="2563" width="7.42578125" style="441" customWidth="1"/>
    <col min="2564" max="2565" width="12.5703125" style="441" customWidth="1"/>
    <col min="2566" max="2566" width="9.42578125" style="441" customWidth="1"/>
    <col min="2567" max="2567" width="5.7109375" style="441" customWidth="1"/>
    <col min="2568" max="2568" width="7.85546875" style="441" customWidth="1"/>
    <col min="2569" max="2569" width="6.5703125" style="441" customWidth="1"/>
    <col min="2570" max="2571" width="12" style="441" customWidth="1"/>
    <col min="2572" max="2816" width="9.140625" style="441"/>
    <col min="2817" max="2817" width="11.85546875" style="441" customWidth="1"/>
    <col min="2818" max="2818" width="6.140625" style="441" customWidth="1"/>
    <col min="2819" max="2819" width="7.42578125" style="441" customWidth="1"/>
    <col min="2820" max="2821" width="12.5703125" style="441" customWidth="1"/>
    <col min="2822" max="2822" width="9.42578125" style="441" customWidth="1"/>
    <col min="2823" max="2823" width="5.7109375" style="441" customWidth="1"/>
    <col min="2824" max="2824" width="7.85546875" style="441" customWidth="1"/>
    <col min="2825" max="2825" width="6.5703125" style="441" customWidth="1"/>
    <col min="2826" max="2827" width="12" style="441" customWidth="1"/>
    <col min="2828" max="3072" width="9.140625" style="441"/>
    <col min="3073" max="3073" width="11.85546875" style="441" customWidth="1"/>
    <col min="3074" max="3074" width="6.140625" style="441" customWidth="1"/>
    <col min="3075" max="3075" width="7.42578125" style="441" customWidth="1"/>
    <col min="3076" max="3077" width="12.5703125" style="441" customWidth="1"/>
    <col min="3078" max="3078" width="9.42578125" style="441" customWidth="1"/>
    <col min="3079" max="3079" width="5.7109375" style="441" customWidth="1"/>
    <col min="3080" max="3080" width="7.85546875" style="441" customWidth="1"/>
    <col min="3081" max="3081" width="6.5703125" style="441" customWidth="1"/>
    <col min="3082" max="3083" width="12" style="441" customWidth="1"/>
    <col min="3084" max="3328" width="9.140625" style="441"/>
    <col min="3329" max="3329" width="11.85546875" style="441" customWidth="1"/>
    <col min="3330" max="3330" width="6.140625" style="441" customWidth="1"/>
    <col min="3331" max="3331" width="7.42578125" style="441" customWidth="1"/>
    <col min="3332" max="3333" width="12.5703125" style="441" customWidth="1"/>
    <col min="3334" max="3334" width="9.42578125" style="441" customWidth="1"/>
    <col min="3335" max="3335" width="5.7109375" style="441" customWidth="1"/>
    <col min="3336" max="3336" width="7.85546875" style="441" customWidth="1"/>
    <col min="3337" max="3337" width="6.5703125" style="441" customWidth="1"/>
    <col min="3338" max="3339" width="12" style="441" customWidth="1"/>
    <col min="3340" max="3584" width="9.140625" style="441"/>
    <col min="3585" max="3585" width="11.85546875" style="441" customWidth="1"/>
    <col min="3586" max="3586" width="6.140625" style="441" customWidth="1"/>
    <col min="3587" max="3587" width="7.42578125" style="441" customWidth="1"/>
    <col min="3588" max="3589" width="12.5703125" style="441" customWidth="1"/>
    <col min="3590" max="3590" width="9.42578125" style="441" customWidth="1"/>
    <col min="3591" max="3591" width="5.7109375" style="441" customWidth="1"/>
    <col min="3592" max="3592" width="7.85546875" style="441" customWidth="1"/>
    <col min="3593" max="3593" width="6.5703125" style="441" customWidth="1"/>
    <col min="3594" max="3595" width="12" style="441" customWidth="1"/>
    <col min="3596" max="3840" width="9.140625" style="441"/>
    <col min="3841" max="3841" width="11.85546875" style="441" customWidth="1"/>
    <col min="3842" max="3842" width="6.140625" style="441" customWidth="1"/>
    <col min="3843" max="3843" width="7.42578125" style="441" customWidth="1"/>
    <col min="3844" max="3845" width="12.5703125" style="441" customWidth="1"/>
    <col min="3846" max="3846" width="9.42578125" style="441" customWidth="1"/>
    <col min="3847" max="3847" width="5.7109375" style="441" customWidth="1"/>
    <col min="3848" max="3848" width="7.85546875" style="441" customWidth="1"/>
    <col min="3849" max="3849" width="6.5703125" style="441" customWidth="1"/>
    <col min="3850" max="3851" width="12" style="441" customWidth="1"/>
    <col min="3852" max="4096" width="9.140625" style="441"/>
    <col min="4097" max="4097" width="11.85546875" style="441" customWidth="1"/>
    <col min="4098" max="4098" width="6.140625" style="441" customWidth="1"/>
    <col min="4099" max="4099" width="7.42578125" style="441" customWidth="1"/>
    <col min="4100" max="4101" width="12.5703125" style="441" customWidth="1"/>
    <col min="4102" max="4102" width="9.42578125" style="441" customWidth="1"/>
    <col min="4103" max="4103" width="5.7109375" style="441" customWidth="1"/>
    <col min="4104" max="4104" width="7.85546875" style="441" customWidth="1"/>
    <col min="4105" max="4105" width="6.5703125" style="441" customWidth="1"/>
    <col min="4106" max="4107" width="12" style="441" customWidth="1"/>
    <col min="4108" max="4352" width="9.140625" style="441"/>
    <col min="4353" max="4353" width="11.85546875" style="441" customWidth="1"/>
    <col min="4354" max="4354" width="6.140625" style="441" customWidth="1"/>
    <col min="4355" max="4355" width="7.42578125" style="441" customWidth="1"/>
    <col min="4356" max="4357" width="12.5703125" style="441" customWidth="1"/>
    <col min="4358" max="4358" width="9.42578125" style="441" customWidth="1"/>
    <col min="4359" max="4359" width="5.7109375" style="441" customWidth="1"/>
    <col min="4360" max="4360" width="7.85546875" style="441" customWidth="1"/>
    <col min="4361" max="4361" width="6.5703125" style="441" customWidth="1"/>
    <col min="4362" max="4363" width="12" style="441" customWidth="1"/>
    <col min="4364" max="4608" width="9.140625" style="441"/>
    <col min="4609" max="4609" width="11.85546875" style="441" customWidth="1"/>
    <col min="4610" max="4610" width="6.140625" style="441" customWidth="1"/>
    <col min="4611" max="4611" width="7.42578125" style="441" customWidth="1"/>
    <col min="4612" max="4613" width="12.5703125" style="441" customWidth="1"/>
    <col min="4614" max="4614" width="9.42578125" style="441" customWidth="1"/>
    <col min="4615" max="4615" width="5.7109375" style="441" customWidth="1"/>
    <col min="4616" max="4616" width="7.85546875" style="441" customWidth="1"/>
    <col min="4617" max="4617" width="6.5703125" style="441" customWidth="1"/>
    <col min="4618" max="4619" width="12" style="441" customWidth="1"/>
    <col min="4620" max="4864" width="9.140625" style="441"/>
    <col min="4865" max="4865" width="11.85546875" style="441" customWidth="1"/>
    <col min="4866" max="4866" width="6.140625" style="441" customWidth="1"/>
    <col min="4867" max="4867" width="7.42578125" style="441" customWidth="1"/>
    <col min="4868" max="4869" width="12.5703125" style="441" customWidth="1"/>
    <col min="4870" max="4870" width="9.42578125" style="441" customWidth="1"/>
    <col min="4871" max="4871" width="5.7109375" style="441" customWidth="1"/>
    <col min="4872" max="4872" width="7.85546875" style="441" customWidth="1"/>
    <col min="4873" max="4873" width="6.5703125" style="441" customWidth="1"/>
    <col min="4874" max="4875" width="12" style="441" customWidth="1"/>
    <col min="4876" max="5120" width="9.140625" style="441"/>
    <col min="5121" max="5121" width="11.85546875" style="441" customWidth="1"/>
    <col min="5122" max="5122" width="6.140625" style="441" customWidth="1"/>
    <col min="5123" max="5123" width="7.42578125" style="441" customWidth="1"/>
    <col min="5124" max="5125" width="12.5703125" style="441" customWidth="1"/>
    <col min="5126" max="5126" width="9.42578125" style="441" customWidth="1"/>
    <col min="5127" max="5127" width="5.7109375" style="441" customWidth="1"/>
    <col min="5128" max="5128" width="7.85546875" style="441" customWidth="1"/>
    <col min="5129" max="5129" width="6.5703125" style="441" customWidth="1"/>
    <col min="5130" max="5131" width="12" style="441" customWidth="1"/>
    <col min="5132" max="5376" width="9.140625" style="441"/>
    <col min="5377" max="5377" width="11.85546875" style="441" customWidth="1"/>
    <col min="5378" max="5378" width="6.140625" style="441" customWidth="1"/>
    <col min="5379" max="5379" width="7.42578125" style="441" customWidth="1"/>
    <col min="5380" max="5381" width="12.5703125" style="441" customWidth="1"/>
    <col min="5382" max="5382" width="9.42578125" style="441" customWidth="1"/>
    <col min="5383" max="5383" width="5.7109375" style="441" customWidth="1"/>
    <col min="5384" max="5384" width="7.85546875" style="441" customWidth="1"/>
    <col min="5385" max="5385" width="6.5703125" style="441" customWidth="1"/>
    <col min="5386" max="5387" width="12" style="441" customWidth="1"/>
    <col min="5388" max="5632" width="9.140625" style="441"/>
    <col min="5633" max="5633" width="11.85546875" style="441" customWidth="1"/>
    <col min="5634" max="5634" width="6.140625" style="441" customWidth="1"/>
    <col min="5635" max="5635" width="7.42578125" style="441" customWidth="1"/>
    <col min="5636" max="5637" width="12.5703125" style="441" customWidth="1"/>
    <col min="5638" max="5638" width="9.42578125" style="441" customWidth="1"/>
    <col min="5639" max="5639" width="5.7109375" style="441" customWidth="1"/>
    <col min="5640" max="5640" width="7.85546875" style="441" customWidth="1"/>
    <col min="5641" max="5641" width="6.5703125" style="441" customWidth="1"/>
    <col min="5642" max="5643" width="12" style="441" customWidth="1"/>
    <col min="5644" max="5888" width="9.140625" style="441"/>
    <col min="5889" max="5889" width="11.85546875" style="441" customWidth="1"/>
    <col min="5890" max="5890" width="6.140625" style="441" customWidth="1"/>
    <col min="5891" max="5891" width="7.42578125" style="441" customWidth="1"/>
    <col min="5892" max="5893" width="12.5703125" style="441" customWidth="1"/>
    <col min="5894" max="5894" width="9.42578125" style="441" customWidth="1"/>
    <col min="5895" max="5895" width="5.7109375" style="441" customWidth="1"/>
    <col min="5896" max="5896" width="7.85546875" style="441" customWidth="1"/>
    <col min="5897" max="5897" width="6.5703125" style="441" customWidth="1"/>
    <col min="5898" max="5899" width="12" style="441" customWidth="1"/>
    <col min="5900" max="6144" width="9.140625" style="441"/>
    <col min="6145" max="6145" width="11.85546875" style="441" customWidth="1"/>
    <col min="6146" max="6146" width="6.140625" style="441" customWidth="1"/>
    <col min="6147" max="6147" width="7.42578125" style="441" customWidth="1"/>
    <col min="6148" max="6149" width="12.5703125" style="441" customWidth="1"/>
    <col min="6150" max="6150" width="9.42578125" style="441" customWidth="1"/>
    <col min="6151" max="6151" width="5.7109375" style="441" customWidth="1"/>
    <col min="6152" max="6152" width="7.85546875" style="441" customWidth="1"/>
    <col min="6153" max="6153" width="6.5703125" style="441" customWidth="1"/>
    <col min="6154" max="6155" width="12" style="441" customWidth="1"/>
    <col min="6156" max="6400" width="9.140625" style="441"/>
    <col min="6401" max="6401" width="11.85546875" style="441" customWidth="1"/>
    <col min="6402" max="6402" width="6.140625" style="441" customWidth="1"/>
    <col min="6403" max="6403" width="7.42578125" style="441" customWidth="1"/>
    <col min="6404" max="6405" width="12.5703125" style="441" customWidth="1"/>
    <col min="6406" max="6406" width="9.42578125" style="441" customWidth="1"/>
    <col min="6407" max="6407" width="5.7109375" style="441" customWidth="1"/>
    <col min="6408" max="6408" width="7.85546875" style="441" customWidth="1"/>
    <col min="6409" max="6409" width="6.5703125" style="441" customWidth="1"/>
    <col min="6410" max="6411" width="12" style="441" customWidth="1"/>
    <col min="6412" max="6656" width="9.140625" style="441"/>
    <col min="6657" max="6657" width="11.85546875" style="441" customWidth="1"/>
    <col min="6658" max="6658" width="6.140625" style="441" customWidth="1"/>
    <col min="6659" max="6659" width="7.42578125" style="441" customWidth="1"/>
    <col min="6660" max="6661" width="12.5703125" style="441" customWidth="1"/>
    <col min="6662" max="6662" width="9.42578125" style="441" customWidth="1"/>
    <col min="6663" max="6663" width="5.7109375" style="441" customWidth="1"/>
    <col min="6664" max="6664" width="7.85546875" style="441" customWidth="1"/>
    <col min="6665" max="6665" width="6.5703125" style="441" customWidth="1"/>
    <col min="6666" max="6667" width="12" style="441" customWidth="1"/>
    <col min="6668" max="6912" width="9.140625" style="441"/>
    <col min="6913" max="6913" width="11.85546875" style="441" customWidth="1"/>
    <col min="6914" max="6914" width="6.140625" style="441" customWidth="1"/>
    <col min="6915" max="6915" width="7.42578125" style="441" customWidth="1"/>
    <col min="6916" max="6917" width="12.5703125" style="441" customWidth="1"/>
    <col min="6918" max="6918" width="9.42578125" style="441" customWidth="1"/>
    <col min="6919" max="6919" width="5.7109375" style="441" customWidth="1"/>
    <col min="6920" max="6920" width="7.85546875" style="441" customWidth="1"/>
    <col min="6921" max="6921" width="6.5703125" style="441" customWidth="1"/>
    <col min="6922" max="6923" width="12" style="441" customWidth="1"/>
    <col min="6924" max="7168" width="9.140625" style="441"/>
    <col min="7169" max="7169" width="11.85546875" style="441" customWidth="1"/>
    <col min="7170" max="7170" width="6.140625" style="441" customWidth="1"/>
    <col min="7171" max="7171" width="7.42578125" style="441" customWidth="1"/>
    <col min="7172" max="7173" width="12.5703125" style="441" customWidth="1"/>
    <col min="7174" max="7174" width="9.42578125" style="441" customWidth="1"/>
    <col min="7175" max="7175" width="5.7109375" style="441" customWidth="1"/>
    <col min="7176" max="7176" width="7.85546875" style="441" customWidth="1"/>
    <col min="7177" max="7177" width="6.5703125" style="441" customWidth="1"/>
    <col min="7178" max="7179" width="12" style="441" customWidth="1"/>
    <col min="7180" max="7424" width="9.140625" style="441"/>
    <col min="7425" max="7425" width="11.85546875" style="441" customWidth="1"/>
    <col min="7426" max="7426" width="6.140625" style="441" customWidth="1"/>
    <col min="7427" max="7427" width="7.42578125" style="441" customWidth="1"/>
    <col min="7428" max="7429" width="12.5703125" style="441" customWidth="1"/>
    <col min="7430" max="7430" width="9.42578125" style="441" customWidth="1"/>
    <col min="7431" max="7431" width="5.7109375" style="441" customWidth="1"/>
    <col min="7432" max="7432" width="7.85546875" style="441" customWidth="1"/>
    <col min="7433" max="7433" width="6.5703125" style="441" customWidth="1"/>
    <col min="7434" max="7435" width="12" style="441" customWidth="1"/>
    <col min="7436" max="7680" width="9.140625" style="441"/>
    <col min="7681" max="7681" width="11.85546875" style="441" customWidth="1"/>
    <col min="7682" max="7682" width="6.140625" style="441" customWidth="1"/>
    <col min="7683" max="7683" width="7.42578125" style="441" customWidth="1"/>
    <col min="7684" max="7685" width="12.5703125" style="441" customWidth="1"/>
    <col min="7686" max="7686" width="9.42578125" style="441" customWidth="1"/>
    <col min="7687" max="7687" width="5.7109375" style="441" customWidth="1"/>
    <col min="7688" max="7688" width="7.85546875" style="441" customWidth="1"/>
    <col min="7689" max="7689" width="6.5703125" style="441" customWidth="1"/>
    <col min="7690" max="7691" width="12" style="441" customWidth="1"/>
    <col min="7692" max="7936" width="9.140625" style="441"/>
    <col min="7937" max="7937" width="11.85546875" style="441" customWidth="1"/>
    <col min="7938" max="7938" width="6.140625" style="441" customWidth="1"/>
    <col min="7939" max="7939" width="7.42578125" style="441" customWidth="1"/>
    <col min="7940" max="7941" width="12.5703125" style="441" customWidth="1"/>
    <col min="7942" max="7942" width="9.42578125" style="441" customWidth="1"/>
    <col min="7943" max="7943" width="5.7109375" style="441" customWidth="1"/>
    <col min="7944" max="7944" width="7.85546875" style="441" customWidth="1"/>
    <col min="7945" max="7945" width="6.5703125" style="441" customWidth="1"/>
    <col min="7946" max="7947" width="12" style="441" customWidth="1"/>
    <col min="7948" max="8192" width="9.140625" style="441"/>
    <col min="8193" max="8193" width="11.85546875" style="441" customWidth="1"/>
    <col min="8194" max="8194" width="6.140625" style="441" customWidth="1"/>
    <col min="8195" max="8195" width="7.42578125" style="441" customWidth="1"/>
    <col min="8196" max="8197" width="12.5703125" style="441" customWidth="1"/>
    <col min="8198" max="8198" width="9.42578125" style="441" customWidth="1"/>
    <col min="8199" max="8199" width="5.7109375" style="441" customWidth="1"/>
    <col min="8200" max="8200" width="7.85546875" style="441" customWidth="1"/>
    <col min="8201" max="8201" width="6.5703125" style="441" customWidth="1"/>
    <col min="8202" max="8203" width="12" style="441" customWidth="1"/>
    <col min="8204" max="8448" width="9.140625" style="441"/>
    <col min="8449" max="8449" width="11.85546875" style="441" customWidth="1"/>
    <col min="8450" max="8450" width="6.140625" style="441" customWidth="1"/>
    <col min="8451" max="8451" width="7.42578125" style="441" customWidth="1"/>
    <col min="8452" max="8453" width="12.5703125" style="441" customWidth="1"/>
    <col min="8454" max="8454" width="9.42578125" style="441" customWidth="1"/>
    <col min="8455" max="8455" width="5.7109375" style="441" customWidth="1"/>
    <col min="8456" max="8456" width="7.85546875" style="441" customWidth="1"/>
    <col min="8457" max="8457" width="6.5703125" style="441" customWidth="1"/>
    <col min="8458" max="8459" width="12" style="441" customWidth="1"/>
    <col min="8460" max="8704" width="9.140625" style="441"/>
    <col min="8705" max="8705" width="11.85546875" style="441" customWidth="1"/>
    <col min="8706" max="8706" width="6.140625" style="441" customWidth="1"/>
    <col min="8707" max="8707" width="7.42578125" style="441" customWidth="1"/>
    <col min="8708" max="8709" width="12.5703125" style="441" customWidth="1"/>
    <col min="8710" max="8710" width="9.42578125" style="441" customWidth="1"/>
    <col min="8711" max="8711" width="5.7109375" style="441" customWidth="1"/>
    <col min="8712" max="8712" width="7.85546875" style="441" customWidth="1"/>
    <col min="8713" max="8713" width="6.5703125" style="441" customWidth="1"/>
    <col min="8714" max="8715" width="12" style="441" customWidth="1"/>
    <col min="8716" max="8960" width="9.140625" style="441"/>
    <col min="8961" max="8961" width="11.85546875" style="441" customWidth="1"/>
    <col min="8962" max="8962" width="6.140625" style="441" customWidth="1"/>
    <col min="8963" max="8963" width="7.42578125" style="441" customWidth="1"/>
    <col min="8964" max="8965" width="12.5703125" style="441" customWidth="1"/>
    <col min="8966" max="8966" width="9.42578125" style="441" customWidth="1"/>
    <col min="8967" max="8967" width="5.7109375" style="441" customWidth="1"/>
    <col min="8968" max="8968" width="7.85546875" style="441" customWidth="1"/>
    <col min="8969" max="8969" width="6.5703125" style="441" customWidth="1"/>
    <col min="8970" max="8971" width="12" style="441" customWidth="1"/>
    <col min="8972" max="9216" width="9.140625" style="441"/>
    <col min="9217" max="9217" width="11.85546875" style="441" customWidth="1"/>
    <col min="9218" max="9218" width="6.140625" style="441" customWidth="1"/>
    <col min="9219" max="9219" width="7.42578125" style="441" customWidth="1"/>
    <col min="9220" max="9221" width="12.5703125" style="441" customWidth="1"/>
    <col min="9222" max="9222" width="9.42578125" style="441" customWidth="1"/>
    <col min="9223" max="9223" width="5.7109375" style="441" customWidth="1"/>
    <col min="9224" max="9224" width="7.85546875" style="441" customWidth="1"/>
    <col min="9225" max="9225" width="6.5703125" style="441" customWidth="1"/>
    <col min="9226" max="9227" width="12" style="441" customWidth="1"/>
    <col min="9228" max="9472" width="9.140625" style="441"/>
    <col min="9473" max="9473" width="11.85546875" style="441" customWidth="1"/>
    <col min="9474" max="9474" width="6.140625" style="441" customWidth="1"/>
    <col min="9475" max="9475" width="7.42578125" style="441" customWidth="1"/>
    <col min="9476" max="9477" width="12.5703125" style="441" customWidth="1"/>
    <col min="9478" max="9478" width="9.42578125" style="441" customWidth="1"/>
    <col min="9479" max="9479" width="5.7109375" style="441" customWidth="1"/>
    <col min="9480" max="9480" width="7.85546875" style="441" customWidth="1"/>
    <col min="9481" max="9481" width="6.5703125" style="441" customWidth="1"/>
    <col min="9482" max="9483" width="12" style="441" customWidth="1"/>
    <col min="9484" max="9728" width="9.140625" style="441"/>
    <col min="9729" max="9729" width="11.85546875" style="441" customWidth="1"/>
    <col min="9730" max="9730" width="6.140625" style="441" customWidth="1"/>
    <col min="9731" max="9731" width="7.42578125" style="441" customWidth="1"/>
    <col min="9732" max="9733" width="12.5703125" style="441" customWidth="1"/>
    <col min="9734" max="9734" width="9.42578125" style="441" customWidth="1"/>
    <col min="9735" max="9735" width="5.7109375" style="441" customWidth="1"/>
    <col min="9736" max="9736" width="7.85546875" style="441" customWidth="1"/>
    <col min="9737" max="9737" width="6.5703125" style="441" customWidth="1"/>
    <col min="9738" max="9739" width="12" style="441" customWidth="1"/>
    <col min="9740" max="9984" width="9.140625" style="441"/>
    <col min="9985" max="9985" width="11.85546875" style="441" customWidth="1"/>
    <col min="9986" max="9986" width="6.140625" style="441" customWidth="1"/>
    <col min="9987" max="9987" width="7.42578125" style="441" customWidth="1"/>
    <col min="9988" max="9989" width="12.5703125" style="441" customWidth="1"/>
    <col min="9990" max="9990" width="9.42578125" style="441" customWidth="1"/>
    <col min="9991" max="9991" width="5.7109375" style="441" customWidth="1"/>
    <col min="9992" max="9992" width="7.85546875" style="441" customWidth="1"/>
    <col min="9993" max="9993" width="6.5703125" style="441" customWidth="1"/>
    <col min="9994" max="9995" width="12" style="441" customWidth="1"/>
    <col min="9996" max="10240" width="9.140625" style="441"/>
    <col min="10241" max="10241" width="11.85546875" style="441" customWidth="1"/>
    <col min="10242" max="10242" width="6.140625" style="441" customWidth="1"/>
    <col min="10243" max="10243" width="7.42578125" style="441" customWidth="1"/>
    <col min="10244" max="10245" width="12.5703125" style="441" customWidth="1"/>
    <col min="10246" max="10246" width="9.42578125" style="441" customWidth="1"/>
    <col min="10247" max="10247" width="5.7109375" style="441" customWidth="1"/>
    <col min="10248" max="10248" width="7.85546875" style="441" customWidth="1"/>
    <col min="10249" max="10249" width="6.5703125" style="441" customWidth="1"/>
    <col min="10250" max="10251" width="12" style="441" customWidth="1"/>
    <col min="10252" max="10496" width="9.140625" style="441"/>
    <col min="10497" max="10497" width="11.85546875" style="441" customWidth="1"/>
    <col min="10498" max="10498" width="6.140625" style="441" customWidth="1"/>
    <col min="10499" max="10499" width="7.42578125" style="441" customWidth="1"/>
    <col min="10500" max="10501" width="12.5703125" style="441" customWidth="1"/>
    <col min="10502" max="10502" width="9.42578125" style="441" customWidth="1"/>
    <col min="10503" max="10503" width="5.7109375" style="441" customWidth="1"/>
    <col min="10504" max="10504" width="7.85546875" style="441" customWidth="1"/>
    <col min="10505" max="10505" width="6.5703125" style="441" customWidth="1"/>
    <col min="10506" max="10507" width="12" style="441" customWidth="1"/>
    <col min="10508" max="10752" width="9.140625" style="441"/>
    <col min="10753" max="10753" width="11.85546875" style="441" customWidth="1"/>
    <col min="10754" max="10754" width="6.140625" style="441" customWidth="1"/>
    <col min="10755" max="10755" width="7.42578125" style="441" customWidth="1"/>
    <col min="10756" max="10757" width="12.5703125" style="441" customWidth="1"/>
    <col min="10758" max="10758" width="9.42578125" style="441" customWidth="1"/>
    <col min="10759" max="10759" width="5.7109375" style="441" customWidth="1"/>
    <col min="10760" max="10760" width="7.85546875" style="441" customWidth="1"/>
    <col min="10761" max="10761" width="6.5703125" style="441" customWidth="1"/>
    <col min="10762" max="10763" width="12" style="441" customWidth="1"/>
    <col min="10764" max="11008" width="9.140625" style="441"/>
    <col min="11009" max="11009" width="11.85546875" style="441" customWidth="1"/>
    <col min="11010" max="11010" width="6.140625" style="441" customWidth="1"/>
    <col min="11011" max="11011" width="7.42578125" style="441" customWidth="1"/>
    <col min="11012" max="11013" width="12.5703125" style="441" customWidth="1"/>
    <col min="11014" max="11014" width="9.42578125" style="441" customWidth="1"/>
    <col min="11015" max="11015" width="5.7109375" style="441" customWidth="1"/>
    <col min="11016" max="11016" width="7.85546875" style="441" customWidth="1"/>
    <col min="11017" max="11017" width="6.5703125" style="441" customWidth="1"/>
    <col min="11018" max="11019" width="12" style="441" customWidth="1"/>
    <col min="11020" max="11264" width="9.140625" style="441"/>
    <col min="11265" max="11265" width="11.85546875" style="441" customWidth="1"/>
    <col min="11266" max="11266" width="6.140625" style="441" customWidth="1"/>
    <col min="11267" max="11267" width="7.42578125" style="441" customWidth="1"/>
    <col min="11268" max="11269" width="12.5703125" style="441" customWidth="1"/>
    <col min="11270" max="11270" width="9.42578125" style="441" customWidth="1"/>
    <col min="11271" max="11271" width="5.7109375" style="441" customWidth="1"/>
    <col min="11272" max="11272" width="7.85546875" style="441" customWidth="1"/>
    <col min="11273" max="11273" width="6.5703125" style="441" customWidth="1"/>
    <col min="11274" max="11275" width="12" style="441" customWidth="1"/>
    <col min="11276" max="11520" width="9.140625" style="441"/>
    <col min="11521" max="11521" width="11.85546875" style="441" customWidth="1"/>
    <col min="11522" max="11522" width="6.140625" style="441" customWidth="1"/>
    <col min="11523" max="11523" width="7.42578125" style="441" customWidth="1"/>
    <col min="11524" max="11525" width="12.5703125" style="441" customWidth="1"/>
    <col min="11526" max="11526" width="9.42578125" style="441" customWidth="1"/>
    <col min="11527" max="11527" width="5.7109375" style="441" customWidth="1"/>
    <col min="11528" max="11528" width="7.85546875" style="441" customWidth="1"/>
    <col min="11529" max="11529" width="6.5703125" style="441" customWidth="1"/>
    <col min="11530" max="11531" width="12" style="441" customWidth="1"/>
    <col min="11532" max="11776" width="9.140625" style="441"/>
    <col min="11777" max="11777" width="11.85546875" style="441" customWidth="1"/>
    <col min="11778" max="11778" width="6.140625" style="441" customWidth="1"/>
    <col min="11779" max="11779" width="7.42578125" style="441" customWidth="1"/>
    <col min="11780" max="11781" width="12.5703125" style="441" customWidth="1"/>
    <col min="11782" max="11782" width="9.42578125" style="441" customWidth="1"/>
    <col min="11783" max="11783" width="5.7109375" style="441" customWidth="1"/>
    <col min="11784" max="11784" width="7.85546875" style="441" customWidth="1"/>
    <col min="11785" max="11785" width="6.5703125" style="441" customWidth="1"/>
    <col min="11786" max="11787" width="12" style="441" customWidth="1"/>
    <col min="11788" max="12032" width="9.140625" style="441"/>
    <col min="12033" max="12033" width="11.85546875" style="441" customWidth="1"/>
    <col min="12034" max="12034" width="6.140625" style="441" customWidth="1"/>
    <col min="12035" max="12035" width="7.42578125" style="441" customWidth="1"/>
    <col min="12036" max="12037" width="12.5703125" style="441" customWidth="1"/>
    <col min="12038" max="12038" width="9.42578125" style="441" customWidth="1"/>
    <col min="12039" max="12039" width="5.7109375" style="441" customWidth="1"/>
    <col min="12040" max="12040" width="7.85546875" style="441" customWidth="1"/>
    <col min="12041" max="12041" width="6.5703125" style="441" customWidth="1"/>
    <col min="12042" max="12043" width="12" style="441" customWidth="1"/>
    <col min="12044" max="12288" width="9.140625" style="441"/>
    <col min="12289" max="12289" width="11.85546875" style="441" customWidth="1"/>
    <col min="12290" max="12290" width="6.140625" style="441" customWidth="1"/>
    <col min="12291" max="12291" width="7.42578125" style="441" customWidth="1"/>
    <col min="12292" max="12293" width="12.5703125" style="441" customWidth="1"/>
    <col min="12294" max="12294" width="9.42578125" style="441" customWidth="1"/>
    <col min="12295" max="12295" width="5.7109375" style="441" customWidth="1"/>
    <col min="12296" max="12296" width="7.85546875" style="441" customWidth="1"/>
    <col min="12297" max="12297" width="6.5703125" style="441" customWidth="1"/>
    <col min="12298" max="12299" width="12" style="441" customWidth="1"/>
    <col min="12300" max="12544" width="9.140625" style="441"/>
    <col min="12545" max="12545" width="11.85546875" style="441" customWidth="1"/>
    <col min="12546" max="12546" width="6.140625" style="441" customWidth="1"/>
    <col min="12547" max="12547" width="7.42578125" style="441" customWidth="1"/>
    <col min="12548" max="12549" width="12.5703125" style="441" customWidth="1"/>
    <col min="12550" max="12550" width="9.42578125" style="441" customWidth="1"/>
    <col min="12551" max="12551" width="5.7109375" style="441" customWidth="1"/>
    <col min="12552" max="12552" width="7.85546875" style="441" customWidth="1"/>
    <col min="12553" max="12553" width="6.5703125" style="441" customWidth="1"/>
    <col min="12554" max="12555" width="12" style="441" customWidth="1"/>
    <col min="12556" max="12800" width="9.140625" style="441"/>
    <col min="12801" max="12801" width="11.85546875" style="441" customWidth="1"/>
    <col min="12802" max="12802" width="6.140625" style="441" customWidth="1"/>
    <col min="12803" max="12803" width="7.42578125" style="441" customWidth="1"/>
    <col min="12804" max="12805" width="12.5703125" style="441" customWidth="1"/>
    <col min="12806" max="12806" width="9.42578125" style="441" customWidth="1"/>
    <col min="12807" max="12807" width="5.7109375" style="441" customWidth="1"/>
    <col min="12808" max="12808" width="7.85546875" style="441" customWidth="1"/>
    <col min="12809" max="12809" width="6.5703125" style="441" customWidth="1"/>
    <col min="12810" max="12811" width="12" style="441" customWidth="1"/>
    <col min="12812" max="13056" width="9.140625" style="441"/>
    <col min="13057" max="13057" width="11.85546875" style="441" customWidth="1"/>
    <col min="13058" max="13058" width="6.140625" style="441" customWidth="1"/>
    <col min="13059" max="13059" width="7.42578125" style="441" customWidth="1"/>
    <col min="13060" max="13061" width="12.5703125" style="441" customWidth="1"/>
    <col min="13062" max="13062" width="9.42578125" style="441" customWidth="1"/>
    <col min="13063" max="13063" width="5.7109375" style="441" customWidth="1"/>
    <col min="13064" max="13064" width="7.85546875" style="441" customWidth="1"/>
    <col min="13065" max="13065" width="6.5703125" style="441" customWidth="1"/>
    <col min="13066" max="13067" width="12" style="441" customWidth="1"/>
    <col min="13068" max="13312" width="9.140625" style="441"/>
    <col min="13313" max="13313" width="11.85546875" style="441" customWidth="1"/>
    <col min="13314" max="13314" width="6.140625" style="441" customWidth="1"/>
    <col min="13315" max="13315" width="7.42578125" style="441" customWidth="1"/>
    <col min="13316" max="13317" width="12.5703125" style="441" customWidth="1"/>
    <col min="13318" max="13318" width="9.42578125" style="441" customWidth="1"/>
    <col min="13319" max="13319" width="5.7109375" style="441" customWidth="1"/>
    <col min="13320" max="13320" width="7.85546875" style="441" customWidth="1"/>
    <col min="13321" max="13321" width="6.5703125" style="441" customWidth="1"/>
    <col min="13322" max="13323" width="12" style="441" customWidth="1"/>
    <col min="13324" max="13568" width="9.140625" style="441"/>
    <col min="13569" max="13569" width="11.85546875" style="441" customWidth="1"/>
    <col min="13570" max="13570" width="6.140625" style="441" customWidth="1"/>
    <col min="13571" max="13571" width="7.42578125" style="441" customWidth="1"/>
    <col min="13572" max="13573" width="12.5703125" style="441" customWidth="1"/>
    <col min="13574" max="13574" width="9.42578125" style="441" customWidth="1"/>
    <col min="13575" max="13575" width="5.7109375" style="441" customWidth="1"/>
    <col min="13576" max="13576" width="7.85546875" style="441" customWidth="1"/>
    <col min="13577" max="13577" width="6.5703125" style="441" customWidth="1"/>
    <col min="13578" max="13579" width="12" style="441" customWidth="1"/>
    <col min="13580" max="13824" width="9.140625" style="441"/>
    <col min="13825" max="13825" width="11.85546875" style="441" customWidth="1"/>
    <col min="13826" max="13826" width="6.140625" style="441" customWidth="1"/>
    <col min="13827" max="13827" width="7.42578125" style="441" customWidth="1"/>
    <col min="13828" max="13829" width="12.5703125" style="441" customWidth="1"/>
    <col min="13830" max="13830" width="9.42578125" style="441" customWidth="1"/>
    <col min="13831" max="13831" width="5.7109375" style="441" customWidth="1"/>
    <col min="13832" max="13832" width="7.85546875" style="441" customWidth="1"/>
    <col min="13833" max="13833" width="6.5703125" style="441" customWidth="1"/>
    <col min="13834" max="13835" width="12" style="441" customWidth="1"/>
    <col min="13836" max="14080" width="9.140625" style="441"/>
    <col min="14081" max="14081" width="11.85546875" style="441" customWidth="1"/>
    <col min="14082" max="14082" width="6.140625" style="441" customWidth="1"/>
    <col min="14083" max="14083" width="7.42578125" style="441" customWidth="1"/>
    <col min="14084" max="14085" width="12.5703125" style="441" customWidth="1"/>
    <col min="14086" max="14086" width="9.42578125" style="441" customWidth="1"/>
    <col min="14087" max="14087" width="5.7109375" style="441" customWidth="1"/>
    <col min="14088" max="14088" width="7.85546875" style="441" customWidth="1"/>
    <col min="14089" max="14089" width="6.5703125" style="441" customWidth="1"/>
    <col min="14090" max="14091" width="12" style="441" customWidth="1"/>
    <col min="14092" max="14336" width="9.140625" style="441"/>
    <col min="14337" max="14337" width="11.85546875" style="441" customWidth="1"/>
    <col min="14338" max="14338" width="6.140625" style="441" customWidth="1"/>
    <col min="14339" max="14339" width="7.42578125" style="441" customWidth="1"/>
    <col min="14340" max="14341" width="12.5703125" style="441" customWidth="1"/>
    <col min="14342" max="14342" width="9.42578125" style="441" customWidth="1"/>
    <col min="14343" max="14343" width="5.7109375" style="441" customWidth="1"/>
    <col min="14344" max="14344" width="7.85546875" style="441" customWidth="1"/>
    <col min="14345" max="14345" width="6.5703125" style="441" customWidth="1"/>
    <col min="14346" max="14347" width="12" style="441" customWidth="1"/>
    <col min="14348" max="14592" width="9.140625" style="441"/>
    <col min="14593" max="14593" width="11.85546875" style="441" customWidth="1"/>
    <col min="14594" max="14594" width="6.140625" style="441" customWidth="1"/>
    <col min="14595" max="14595" width="7.42578125" style="441" customWidth="1"/>
    <col min="14596" max="14597" width="12.5703125" style="441" customWidth="1"/>
    <col min="14598" max="14598" width="9.42578125" style="441" customWidth="1"/>
    <col min="14599" max="14599" width="5.7109375" style="441" customWidth="1"/>
    <col min="14600" max="14600" width="7.85546875" style="441" customWidth="1"/>
    <col min="14601" max="14601" width="6.5703125" style="441" customWidth="1"/>
    <col min="14602" max="14603" width="12" style="441" customWidth="1"/>
    <col min="14604" max="14848" width="9.140625" style="441"/>
    <col min="14849" max="14849" width="11.85546875" style="441" customWidth="1"/>
    <col min="14850" max="14850" width="6.140625" style="441" customWidth="1"/>
    <col min="14851" max="14851" width="7.42578125" style="441" customWidth="1"/>
    <col min="14852" max="14853" width="12.5703125" style="441" customWidth="1"/>
    <col min="14854" max="14854" width="9.42578125" style="441" customWidth="1"/>
    <col min="14855" max="14855" width="5.7109375" style="441" customWidth="1"/>
    <col min="14856" max="14856" width="7.85546875" style="441" customWidth="1"/>
    <col min="14857" max="14857" width="6.5703125" style="441" customWidth="1"/>
    <col min="14858" max="14859" width="12" style="441" customWidth="1"/>
    <col min="14860" max="15104" width="9.140625" style="441"/>
    <col min="15105" max="15105" width="11.85546875" style="441" customWidth="1"/>
    <col min="15106" max="15106" width="6.140625" style="441" customWidth="1"/>
    <col min="15107" max="15107" width="7.42578125" style="441" customWidth="1"/>
    <col min="15108" max="15109" width="12.5703125" style="441" customWidth="1"/>
    <col min="15110" max="15110" width="9.42578125" style="441" customWidth="1"/>
    <col min="15111" max="15111" width="5.7109375" style="441" customWidth="1"/>
    <col min="15112" max="15112" width="7.85546875" style="441" customWidth="1"/>
    <col min="15113" max="15113" width="6.5703125" style="441" customWidth="1"/>
    <col min="15114" max="15115" width="12" style="441" customWidth="1"/>
    <col min="15116" max="15360" width="9.140625" style="441"/>
    <col min="15361" max="15361" width="11.85546875" style="441" customWidth="1"/>
    <col min="15362" max="15362" width="6.140625" style="441" customWidth="1"/>
    <col min="15363" max="15363" width="7.42578125" style="441" customWidth="1"/>
    <col min="15364" max="15365" width="12.5703125" style="441" customWidth="1"/>
    <col min="15366" max="15366" width="9.42578125" style="441" customWidth="1"/>
    <col min="15367" max="15367" width="5.7109375" style="441" customWidth="1"/>
    <col min="15368" max="15368" width="7.85546875" style="441" customWidth="1"/>
    <col min="15369" max="15369" width="6.5703125" style="441" customWidth="1"/>
    <col min="15370" max="15371" width="12" style="441" customWidth="1"/>
    <col min="15372" max="15616" width="9.140625" style="441"/>
    <col min="15617" max="15617" width="11.85546875" style="441" customWidth="1"/>
    <col min="15618" max="15618" width="6.140625" style="441" customWidth="1"/>
    <col min="15619" max="15619" width="7.42578125" style="441" customWidth="1"/>
    <col min="15620" max="15621" width="12.5703125" style="441" customWidth="1"/>
    <col min="15622" max="15622" width="9.42578125" style="441" customWidth="1"/>
    <col min="15623" max="15623" width="5.7109375" style="441" customWidth="1"/>
    <col min="15624" max="15624" width="7.85546875" style="441" customWidth="1"/>
    <col min="15625" max="15625" width="6.5703125" style="441" customWidth="1"/>
    <col min="15626" max="15627" width="12" style="441" customWidth="1"/>
    <col min="15628" max="15872" width="9.140625" style="441"/>
    <col min="15873" max="15873" width="11.85546875" style="441" customWidth="1"/>
    <col min="15874" max="15874" width="6.140625" style="441" customWidth="1"/>
    <col min="15875" max="15875" width="7.42578125" style="441" customWidth="1"/>
    <col min="15876" max="15877" width="12.5703125" style="441" customWidth="1"/>
    <col min="15878" max="15878" width="9.42578125" style="441" customWidth="1"/>
    <col min="15879" max="15879" width="5.7109375" style="441" customWidth="1"/>
    <col min="15880" max="15880" width="7.85546875" style="441" customWidth="1"/>
    <col min="15881" max="15881" width="6.5703125" style="441" customWidth="1"/>
    <col min="15882" max="15883" width="12" style="441" customWidth="1"/>
    <col min="15884" max="16128" width="9.140625" style="441"/>
    <col min="16129" max="16129" width="11.85546875" style="441" customWidth="1"/>
    <col min="16130" max="16130" width="6.140625" style="441" customWidth="1"/>
    <col min="16131" max="16131" width="7.42578125" style="441" customWidth="1"/>
    <col min="16132" max="16133" width="12.5703125" style="441" customWidth="1"/>
    <col min="16134" max="16134" width="9.42578125" style="441" customWidth="1"/>
    <col min="16135" max="16135" width="5.7109375" style="441" customWidth="1"/>
    <col min="16136" max="16136" width="7.85546875" style="441" customWidth="1"/>
    <col min="16137" max="16137" width="6.5703125" style="441" customWidth="1"/>
    <col min="16138" max="16139" width="12" style="441" customWidth="1"/>
    <col min="16140" max="16384" width="9.140625" style="441"/>
  </cols>
  <sheetData>
    <row r="1" spans="1:26" ht="20.25" customHeight="1">
      <c r="A1" s="439" t="s">
        <v>92</v>
      </c>
      <c r="B1" s="439"/>
      <c r="C1" s="439"/>
      <c r="D1" s="439"/>
      <c r="E1" s="439"/>
      <c r="F1" s="439"/>
      <c r="G1" s="439"/>
      <c r="H1" s="439"/>
      <c r="I1" s="439"/>
      <c r="J1" s="439"/>
      <c r="K1" s="439"/>
    </row>
    <row r="2" spans="1:26" ht="20.25" customHeight="1">
      <c r="A2" s="442" t="s">
        <v>392</v>
      </c>
      <c r="B2" s="442"/>
      <c r="C2" s="442"/>
      <c r="D2" s="442"/>
      <c r="E2" s="442"/>
      <c r="F2" s="442"/>
      <c r="G2" s="442"/>
      <c r="H2" s="442"/>
      <c r="I2" s="442"/>
      <c r="J2" s="442"/>
      <c r="K2" s="442"/>
    </row>
    <row r="3" spans="1:26" ht="18.75" customHeight="1" thickBot="1">
      <c r="A3" s="443" t="s">
        <v>117</v>
      </c>
      <c r="B3" s="444" t="s">
        <v>33</v>
      </c>
      <c r="C3" s="445"/>
      <c r="D3" s="445"/>
      <c r="E3" s="445"/>
      <c r="F3" s="446"/>
      <c r="G3" s="445"/>
      <c r="H3" s="445"/>
      <c r="I3" s="443" t="s">
        <v>393</v>
      </c>
      <c r="J3" s="447" t="s">
        <v>394</v>
      </c>
      <c r="K3" s="447"/>
    </row>
    <row r="4" spans="1:26" s="456" customFormat="1" ht="18.399999999999999" customHeight="1" thickBot="1">
      <c r="A4" s="448" t="s">
        <v>395</v>
      </c>
      <c r="B4" s="449"/>
      <c r="C4" s="450"/>
      <c r="D4" s="450"/>
      <c r="E4" s="450"/>
      <c r="F4" s="450"/>
      <c r="G4" s="450"/>
      <c r="H4" s="450"/>
      <c r="I4" s="450"/>
      <c r="J4" s="450"/>
      <c r="K4" s="451"/>
      <c r="L4" s="452"/>
      <c r="M4" s="452"/>
      <c r="N4" s="452"/>
      <c r="O4" s="452"/>
      <c r="P4" s="452"/>
      <c r="Q4" s="453" t="s">
        <v>396</v>
      </c>
      <c r="R4" s="454"/>
      <c r="S4" s="452"/>
      <c r="T4" s="453" t="s">
        <v>397</v>
      </c>
      <c r="U4" s="455"/>
      <c r="V4" s="452"/>
      <c r="W4" s="452"/>
      <c r="X4" s="452"/>
      <c r="Y4" s="452"/>
      <c r="Z4" s="452"/>
    </row>
    <row r="5" spans="1:26" s="456" customFormat="1" ht="18.399999999999999" customHeight="1">
      <c r="A5" s="457" t="s">
        <v>398</v>
      </c>
      <c r="B5" s="458"/>
      <c r="C5" s="458"/>
      <c r="D5" s="459"/>
      <c r="E5" s="460"/>
      <c r="F5" s="461" t="s">
        <v>399</v>
      </c>
      <c r="G5" s="445"/>
      <c r="H5" s="445"/>
      <c r="I5" s="462"/>
      <c r="J5" s="463" t="s">
        <v>400</v>
      </c>
      <c r="K5" s="464" t="s">
        <v>401</v>
      </c>
      <c r="L5" s="452"/>
      <c r="M5" s="452"/>
      <c r="N5" s="452"/>
      <c r="O5" s="452"/>
      <c r="P5" s="452"/>
      <c r="Q5" s="465" t="s">
        <v>402</v>
      </c>
      <c r="R5" s="466"/>
      <c r="S5" s="452"/>
      <c r="T5" s="465" t="s">
        <v>403</v>
      </c>
      <c r="U5" s="467"/>
      <c r="V5" s="452"/>
      <c r="W5" s="452"/>
      <c r="X5" s="452"/>
      <c r="Y5" s="452"/>
      <c r="Z5" s="452"/>
    </row>
    <row r="6" spans="1:26" s="456" customFormat="1" ht="18.399999999999999" customHeight="1">
      <c r="A6" s="468" t="s">
        <v>203</v>
      </c>
      <c r="B6" s="469"/>
      <c r="C6" s="469"/>
      <c r="D6" s="470" t="s">
        <v>404</v>
      </c>
      <c r="E6" s="471"/>
      <c r="F6" s="472" t="s">
        <v>405</v>
      </c>
      <c r="G6" s="473"/>
      <c r="H6" s="473"/>
      <c r="I6" s="473"/>
      <c r="J6" s="473"/>
      <c r="K6" s="474"/>
      <c r="L6" s="452"/>
      <c r="M6" s="452"/>
      <c r="N6" s="452"/>
      <c r="O6" s="452"/>
      <c r="P6" s="452"/>
      <c r="Q6" s="465" t="s">
        <v>406</v>
      </c>
      <c r="R6" s="466"/>
      <c r="S6" s="452"/>
      <c r="T6" s="465" t="s">
        <v>407</v>
      </c>
      <c r="U6" s="467"/>
      <c r="V6" s="452"/>
      <c r="W6" s="452"/>
      <c r="X6" s="452"/>
      <c r="Y6" s="452"/>
      <c r="Z6" s="452"/>
    </row>
    <row r="7" spans="1:26" s="456" customFormat="1" ht="18.399999999999999" customHeight="1">
      <c r="A7" s="475" t="s">
        <v>142</v>
      </c>
      <c r="B7" s="476"/>
      <c r="C7" s="476"/>
      <c r="D7" s="477">
        <v>3.5</v>
      </c>
      <c r="E7" s="478"/>
      <c r="F7" s="479" t="s">
        <v>408</v>
      </c>
      <c r="G7" s="480"/>
      <c r="H7" s="481"/>
      <c r="I7" s="482"/>
      <c r="J7" s="483">
        <v>92</v>
      </c>
      <c r="K7" s="484" t="s">
        <v>4</v>
      </c>
      <c r="L7" s="452"/>
      <c r="M7" s="452"/>
      <c r="N7" s="452"/>
      <c r="O7" s="452"/>
      <c r="P7" s="452"/>
      <c r="Q7" s="465" t="s">
        <v>409</v>
      </c>
      <c r="R7" s="466"/>
      <c r="S7" s="452"/>
      <c r="T7" s="465" t="s">
        <v>404</v>
      </c>
      <c r="U7" s="467"/>
      <c r="V7" s="452"/>
      <c r="W7" s="452"/>
      <c r="X7" s="452"/>
      <c r="Y7" s="452"/>
      <c r="Z7" s="452"/>
    </row>
    <row r="8" spans="1:26" s="456" customFormat="1" ht="18.399999999999999" customHeight="1">
      <c r="A8" s="475" t="s">
        <v>410</v>
      </c>
      <c r="B8" s="476"/>
      <c r="C8" s="476"/>
      <c r="D8" s="485">
        <v>820</v>
      </c>
      <c r="E8" s="486"/>
      <c r="F8" s="487" t="s">
        <v>411</v>
      </c>
      <c r="G8" s="488"/>
      <c r="H8" s="489"/>
      <c r="I8" s="490"/>
      <c r="J8" s="491">
        <v>54644</v>
      </c>
      <c r="K8" s="492" t="s">
        <v>4</v>
      </c>
      <c r="L8" s="452"/>
      <c r="M8" s="452"/>
      <c r="N8" s="452"/>
      <c r="O8" s="452"/>
      <c r="P8" s="452"/>
      <c r="Q8" s="465" t="s">
        <v>412</v>
      </c>
      <c r="R8" s="466"/>
      <c r="S8" s="452"/>
      <c r="T8" s="465" t="s">
        <v>413</v>
      </c>
      <c r="U8" s="467"/>
      <c r="V8" s="452"/>
      <c r="W8" s="452"/>
      <c r="X8" s="452"/>
      <c r="Y8" s="452"/>
      <c r="Z8" s="452"/>
    </row>
    <row r="9" spans="1:26" s="456" customFormat="1" ht="18.399999999999999" customHeight="1">
      <c r="A9" s="493" t="s">
        <v>414</v>
      </c>
      <c r="B9" s="494"/>
      <c r="C9" s="495"/>
      <c r="D9" s="485">
        <v>5</v>
      </c>
      <c r="E9" s="486"/>
      <c r="F9" s="479" t="s">
        <v>415</v>
      </c>
      <c r="G9" s="480"/>
      <c r="H9" s="496">
        <v>1</v>
      </c>
      <c r="I9" s="497" t="s">
        <v>416</v>
      </c>
      <c r="J9" s="498">
        <v>865</v>
      </c>
      <c r="K9" s="492" t="s">
        <v>4</v>
      </c>
      <c r="L9" s="452"/>
      <c r="M9" s="452"/>
      <c r="N9" s="452"/>
      <c r="O9" s="452"/>
      <c r="P9" s="452"/>
      <c r="Q9" s="465" t="s">
        <v>417</v>
      </c>
      <c r="R9" s="466"/>
      <c r="S9" s="452"/>
      <c r="T9" s="465" t="s">
        <v>418</v>
      </c>
      <c r="U9" s="467"/>
      <c r="V9" s="452"/>
      <c r="W9" s="452"/>
      <c r="X9" s="452"/>
      <c r="Y9" s="452"/>
      <c r="Z9" s="452"/>
    </row>
    <row r="10" spans="1:26" s="456" customFormat="1" ht="18.399999999999999" customHeight="1" thickBot="1">
      <c r="A10" s="493" t="s">
        <v>419</v>
      </c>
      <c r="B10" s="494"/>
      <c r="C10" s="495"/>
      <c r="D10" s="499" t="s">
        <v>170</v>
      </c>
      <c r="E10" s="500"/>
      <c r="F10" s="479" t="s">
        <v>420</v>
      </c>
      <c r="G10" s="480"/>
      <c r="H10" s="496">
        <v>1</v>
      </c>
      <c r="I10" s="497" t="s">
        <v>416</v>
      </c>
      <c r="J10" s="498">
        <v>1150</v>
      </c>
      <c r="K10" s="492" t="s">
        <v>4</v>
      </c>
      <c r="L10" s="452"/>
      <c r="M10" s="452"/>
      <c r="N10" s="452"/>
      <c r="O10" s="452"/>
      <c r="P10" s="452"/>
      <c r="Q10" s="465" t="s">
        <v>421</v>
      </c>
      <c r="R10" s="466"/>
      <c r="S10" s="452"/>
      <c r="T10" s="501" t="s">
        <v>422</v>
      </c>
      <c r="U10" s="502"/>
      <c r="V10" s="452"/>
      <c r="W10" s="452"/>
      <c r="X10" s="452"/>
      <c r="Y10" s="452"/>
      <c r="Z10" s="452"/>
    </row>
    <row r="11" spans="1:26" s="456" customFormat="1" ht="18.399999999999999" customHeight="1" thickBot="1">
      <c r="A11" s="493" t="s">
        <v>423</v>
      </c>
      <c r="B11" s="494"/>
      <c r="C11" s="495"/>
      <c r="D11" s="503" t="s">
        <v>170</v>
      </c>
      <c r="E11" s="504"/>
      <c r="F11" s="505" t="s">
        <v>424</v>
      </c>
      <c r="G11" s="506"/>
      <c r="H11" s="507">
        <v>1</v>
      </c>
      <c r="I11" s="497" t="s">
        <v>416</v>
      </c>
      <c r="J11" s="508">
        <v>112057</v>
      </c>
      <c r="K11" s="509" t="s">
        <v>4</v>
      </c>
      <c r="L11" s="452"/>
      <c r="M11" s="452"/>
      <c r="N11" s="452"/>
      <c r="O11" s="452"/>
      <c r="P11" s="452"/>
      <c r="Q11" s="465" t="s">
        <v>425</v>
      </c>
      <c r="R11" s="466"/>
      <c r="S11" s="452"/>
      <c r="T11" s="453" t="s">
        <v>426</v>
      </c>
      <c r="U11" s="455"/>
      <c r="V11" s="452"/>
      <c r="W11" s="452"/>
      <c r="X11" s="452"/>
      <c r="Y11" s="452"/>
      <c r="Z11" s="452"/>
    </row>
    <row r="12" spans="1:26" s="456" customFormat="1" ht="18.399999999999999" customHeight="1" thickBot="1">
      <c r="A12" s="510" t="s">
        <v>427</v>
      </c>
      <c r="C12" s="511"/>
      <c r="D12" s="512" t="s">
        <v>4</v>
      </c>
      <c r="E12" s="513"/>
      <c r="F12" s="514" t="s">
        <v>428</v>
      </c>
      <c r="G12" s="515"/>
      <c r="H12" s="515"/>
      <c r="I12" s="515"/>
      <c r="J12" s="515"/>
      <c r="K12" s="516"/>
      <c r="L12" s="452"/>
      <c r="M12" s="452"/>
      <c r="N12" s="452"/>
      <c r="O12" s="452"/>
      <c r="P12" s="452"/>
      <c r="Q12" s="501" t="s">
        <v>429</v>
      </c>
      <c r="R12" s="517"/>
      <c r="S12" s="452"/>
      <c r="T12" s="452"/>
      <c r="U12" s="452"/>
      <c r="V12" s="452"/>
      <c r="W12" s="452"/>
      <c r="X12" s="452"/>
      <c r="Y12" s="452"/>
      <c r="Z12" s="452"/>
    </row>
    <row r="13" spans="1:26" s="456" customFormat="1" ht="18.399999999999999" customHeight="1">
      <c r="A13" s="493" t="s">
        <v>184</v>
      </c>
      <c r="B13" s="494"/>
      <c r="C13" s="495"/>
      <c r="D13" s="518" t="s">
        <v>430</v>
      </c>
      <c r="E13" s="519"/>
      <c r="F13" s="520"/>
      <c r="G13" s="521" t="s">
        <v>431</v>
      </c>
      <c r="H13" s="522"/>
      <c r="I13" s="523" t="s">
        <v>432</v>
      </c>
      <c r="J13" s="524" t="s">
        <v>433</v>
      </c>
      <c r="K13" s="525" t="s">
        <v>4</v>
      </c>
      <c r="L13" s="452"/>
      <c r="M13" s="452"/>
      <c r="N13" s="452"/>
      <c r="O13" s="452"/>
      <c r="P13" s="452"/>
      <c r="Q13" s="452"/>
      <c r="R13" s="452"/>
      <c r="S13" s="452"/>
      <c r="T13" s="452"/>
      <c r="U13" s="452"/>
      <c r="V13" s="452"/>
      <c r="W13" s="452"/>
      <c r="X13" s="452"/>
      <c r="Y13" s="452"/>
      <c r="Z13" s="452"/>
    </row>
    <row r="14" spans="1:26" s="456" customFormat="1" ht="18.399999999999999" customHeight="1">
      <c r="A14" s="493" t="s">
        <v>188</v>
      </c>
      <c r="B14" s="494"/>
      <c r="C14" s="495"/>
      <c r="D14" s="512">
        <v>1687</v>
      </c>
      <c r="E14" s="513"/>
      <c r="F14" s="520"/>
      <c r="G14" s="526" t="s">
        <v>130</v>
      </c>
      <c r="H14" s="527"/>
      <c r="I14" s="527"/>
      <c r="J14" s="498" t="s">
        <v>4</v>
      </c>
      <c r="K14" s="492" t="s">
        <v>4</v>
      </c>
      <c r="L14" s="452"/>
      <c r="M14" s="452"/>
      <c r="N14" s="452"/>
      <c r="O14" s="452"/>
      <c r="P14" s="452"/>
      <c r="Q14" s="452"/>
      <c r="R14" s="452"/>
      <c r="S14" s="452"/>
      <c r="T14" s="452"/>
      <c r="U14" s="452"/>
      <c r="V14" s="452"/>
      <c r="W14" s="452"/>
      <c r="X14" s="452"/>
      <c r="Y14" s="452"/>
      <c r="Z14" s="452"/>
    </row>
    <row r="15" spans="1:26" s="456" customFormat="1" ht="18.399999999999999" customHeight="1">
      <c r="A15" s="528" t="s">
        <v>434</v>
      </c>
      <c r="B15" s="529"/>
      <c r="C15" s="530"/>
      <c r="D15" s="531">
        <v>14.702000617980957</v>
      </c>
      <c r="E15" s="532"/>
      <c r="F15" s="520"/>
      <c r="G15" s="526" t="s">
        <v>435</v>
      </c>
      <c r="H15" s="527"/>
      <c r="I15" s="527"/>
      <c r="J15" s="498" t="s">
        <v>4</v>
      </c>
      <c r="K15" s="492" t="s">
        <v>4</v>
      </c>
      <c r="L15" s="452"/>
      <c r="M15" s="452"/>
      <c r="N15" s="452"/>
      <c r="O15" s="452"/>
      <c r="P15" s="452"/>
      <c r="Q15" s="452"/>
      <c r="R15" s="452"/>
      <c r="S15" s="452"/>
      <c r="T15" s="452"/>
      <c r="U15" s="452"/>
      <c r="V15" s="452"/>
      <c r="W15" s="452"/>
      <c r="X15" s="452"/>
      <c r="Y15" s="452"/>
      <c r="Z15" s="452"/>
    </row>
    <row r="16" spans="1:26" s="456" customFormat="1" ht="18.399999999999999" customHeight="1">
      <c r="A16" s="533" t="s">
        <v>436</v>
      </c>
      <c r="B16" s="534"/>
      <c r="C16" s="535"/>
      <c r="D16" s="531">
        <v>3.7935998439788818</v>
      </c>
      <c r="E16" s="532"/>
      <c r="F16" s="536"/>
      <c r="G16" s="537" t="s">
        <v>139</v>
      </c>
      <c r="H16" s="538"/>
      <c r="I16" s="538"/>
      <c r="J16" s="508" t="s">
        <v>4</v>
      </c>
      <c r="K16" s="509" t="s">
        <v>4</v>
      </c>
      <c r="L16" s="452"/>
      <c r="M16" s="452"/>
      <c r="N16" s="452"/>
      <c r="O16" s="452"/>
      <c r="P16" s="452"/>
      <c r="Q16" s="452"/>
      <c r="R16" s="452"/>
      <c r="S16" s="452"/>
      <c r="T16" s="452"/>
      <c r="U16" s="452"/>
      <c r="V16" s="452"/>
      <c r="W16" s="452"/>
      <c r="X16" s="452"/>
      <c r="Y16" s="452"/>
      <c r="Z16" s="452"/>
    </row>
    <row r="17" spans="1:26" s="456" customFormat="1" ht="18.399999999999999" customHeight="1">
      <c r="A17" s="539" t="s">
        <v>437</v>
      </c>
      <c r="B17" s="540"/>
      <c r="C17" s="541"/>
      <c r="D17" s="503" t="s">
        <v>438</v>
      </c>
      <c r="E17" s="504"/>
      <c r="F17" s="514" t="s">
        <v>439</v>
      </c>
      <c r="G17" s="515"/>
      <c r="H17" s="515"/>
      <c r="I17" s="515"/>
      <c r="J17" s="515"/>
      <c r="K17" s="516"/>
      <c r="L17" s="452"/>
      <c r="M17" s="452"/>
      <c r="N17" s="452"/>
      <c r="O17" s="452"/>
      <c r="P17" s="452"/>
      <c r="Q17" s="452"/>
      <c r="R17" s="452"/>
      <c r="S17" s="452"/>
      <c r="T17" s="452"/>
      <c r="U17" s="452"/>
      <c r="V17" s="452"/>
      <c r="W17" s="452"/>
      <c r="X17" s="452"/>
      <c r="Y17" s="452"/>
      <c r="Z17" s="452"/>
    </row>
    <row r="18" spans="1:26" s="456" customFormat="1" ht="18.399999999999999" customHeight="1">
      <c r="A18" s="542" t="s">
        <v>440</v>
      </c>
      <c r="B18" s="543"/>
      <c r="C18" s="541"/>
      <c r="D18" s="499" t="s">
        <v>4</v>
      </c>
      <c r="E18" s="500"/>
      <c r="F18" s="544"/>
      <c r="G18" s="545"/>
      <c r="H18" s="546" t="s">
        <v>441</v>
      </c>
      <c r="I18" s="547"/>
      <c r="J18" s="491">
        <v>493</v>
      </c>
      <c r="K18" s="492"/>
      <c r="L18" s="452"/>
      <c r="M18" s="452">
        <f>J18*6.5</f>
        <v>3204.5</v>
      </c>
      <c r="N18" s="452"/>
      <c r="O18" s="452"/>
      <c r="P18" s="452"/>
      <c r="Q18" s="452"/>
      <c r="R18" s="452"/>
      <c r="S18" s="452"/>
      <c r="T18" s="452"/>
      <c r="U18" s="452"/>
      <c r="V18" s="452"/>
      <c r="W18" s="452"/>
      <c r="X18" s="452"/>
      <c r="Y18" s="452"/>
      <c r="Z18" s="452"/>
    </row>
    <row r="19" spans="1:26" s="456" customFormat="1" ht="18.399999999999999" customHeight="1">
      <c r="A19" s="548" t="s">
        <v>442</v>
      </c>
      <c r="B19" s="549"/>
      <c r="C19" s="550"/>
      <c r="D19" s="551" t="s">
        <v>4</v>
      </c>
      <c r="E19" s="504"/>
      <c r="F19" s="552"/>
      <c r="G19" s="553"/>
      <c r="H19" s="546" t="s">
        <v>123</v>
      </c>
      <c r="I19" s="482"/>
      <c r="J19" s="491">
        <v>3585</v>
      </c>
      <c r="K19" s="492"/>
      <c r="L19" s="452"/>
      <c r="M19" s="452"/>
      <c r="N19" s="452"/>
      <c r="O19" s="452"/>
      <c r="P19" s="452"/>
      <c r="Q19" s="452"/>
      <c r="R19" s="452"/>
      <c r="S19" s="452"/>
      <c r="T19" s="452"/>
      <c r="U19" s="452"/>
      <c r="V19" s="452"/>
      <c r="W19" s="452"/>
      <c r="X19" s="452"/>
      <c r="Y19" s="452"/>
      <c r="Z19" s="452"/>
    </row>
    <row r="20" spans="1:26" s="456" customFormat="1" ht="18.399999999999999" customHeight="1" thickBot="1">
      <c r="A20" s="554" t="s">
        <v>443</v>
      </c>
      <c r="C20" s="555"/>
      <c r="D20" s="556" t="s">
        <v>147</v>
      </c>
      <c r="E20" s="486"/>
      <c r="F20" s="552"/>
      <c r="G20" s="553"/>
      <c r="H20" s="546" t="s">
        <v>444</v>
      </c>
      <c r="I20" s="482"/>
      <c r="J20" s="498" t="s">
        <v>51</v>
      </c>
      <c r="K20" s="492"/>
      <c r="L20" s="452"/>
      <c r="M20" s="452"/>
      <c r="N20" s="452"/>
      <c r="O20" s="452"/>
      <c r="P20" s="452"/>
      <c r="Q20" s="452"/>
      <c r="R20" s="452"/>
      <c r="S20" s="452"/>
      <c r="T20" s="452"/>
      <c r="U20" s="452"/>
      <c r="V20" s="452"/>
      <c r="W20" s="452"/>
      <c r="X20" s="452"/>
      <c r="Y20" s="452"/>
      <c r="Z20" s="452"/>
    </row>
    <row r="21" spans="1:26" s="456" customFormat="1" ht="18.399999999999999" customHeight="1" thickBot="1">
      <c r="A21" s="528" t="s">
        <v>445</v>
      </c>
      <c r="B21" s="529"/>
      <c r="C21" s="530"/>
      <c r="D21" s="485" t="s">
        <v>4</v>
      </c>
      <c r="E21" s="486"/>
      <c r="F21" s="552"/>
      <c r="G21" s="553"/>
      <c r="H21" s="557" t="s">
        <v>446</v>
      </c>
      <c r="I21" s="482"/>
      <c r="J21" s="498">
        <v>1.1499999999999999</v>
      </c>
      <c r="K21" s="492"/>
      <c r="L21" s="452"/>
      <c r="M21" s="452"/>
      <c r="N21" s="452"/>
      <c r="O21" s="452"/>
      <c r="P21" s="452"/>
      <c r="Q21" s="453" t="s">
        <v>447</v>
      </c>
      <c r="R21" s="455"/>
      <c r="S21" s="452"/>
      <c r="T21" s="452"/>
      <c r="U21" s="452"/>
      <c r="V21" s="452"/>
      <c r="W21" s="452"/>
      <c r="X21" s="452"/>
      <c r="Y21" s="452"/>
      <c r="Z21" s="452"/>
    </row>
    <row r="22" spans="1:26" s="456" customFormat="1" ht="18.399999999999999" customHeight="1">
      <c r="A22" s="542" t="s">
        <v>448</v>
      </c>
      <c r="B22" s="558"/>
      <c r="C22" s="558"/>
      <c r="D22" s="559">
        <v>2.5100000202655792E-2</v>
      </c>
      <c r="E22" s="560"/>
      <c r="F22" s="552"/>
      <c r="G22" s="553"/>
      <c r="H22" s="546" t="s">
        <v>400</v>
      </c>
      <c r="I22" s="482"/>
      <c r="J22" s="498"/>
      <c r="K22" s="492"/>
      <c r="L22" s="452"/>
      <c r="M22" s="452"/>
      <c r="N22" s="452"/>
      <c r="O22" s="452"/>
      <c r="P22" s="452"/>
      <c r="Q22" s="465" t="s">
        <v>449</v>
      </c>
      <c r="R22" s="467"/>
      <c r="S22" s="452"/>
      <c r="T22" s="452"/>
      <c r="U22" s="452"/>
      <c r="V22" s="452"/>
      <c r="W22" s="452"/>
      <c r="X22" s="452"/>
      <c r="Y22" s="452"/>
      <c r="Z22" s="452"/>
    </row>
    <row r="23" spans="1:26" s="456" customFormat="1" ht="18.399999999999999" customHeight="1">
      <c r="A23" s="561" t="s">
        <v>450</v>
      </c>
      <c r="B23" s="562" t="s">
        <v>451</v>
      </c>
      <c r="C23" s="563"/>
      <c r="D23" s="518">
        <v>469.4</v>
      </c>
      <c r="E23" s="519"/>
      <c r="F23" s="552"/>
      <c r="G23" s="553"/>
      <c r="H23" s="564" t="s">
        <v>452</v>
      </c>
      <c r="I23" s="565"/>
      <c r="J23" s="566"/>
      <c r="K23" s="567"/>
      <c r="L23" s="452"/>
      <c r="Q23" s="465" t="s">
        <v>453</v>
      </c>
      <c r="R23" s="467"/>
      <c r="S23" s="452"/>
      <c r="T23" s="452"/>
      <c r="U23" s="452"/>
      <c r="V23" s="452"/>
      <c r="W23" s="452"/>
      <c r="X23" s="452"/>
      <c r="Y23" s="452"/>
      <c r="Z23" s="452"/>
    </row>
    <row r="24" spans="1:26" s="456" customFormat="1" ht="18.399999999999999" customHeight="1" thickBot="1">
      <c r="A24" s="568" t="s">
        <v>454</v>
      </c>
      <c r="B24" s="569" t="s">
        <v>455</v>
      </c>
      <c r="C24" s="570"/>
      <c r="D24" s="571">
        <v>469.4</v>
      </c>
      <c r="E24" s="572"/>
      <c r="F24" s="552"/>
      <c r="G24" s="553"/>
      <c r="H24" s="546" t="s">
        <v>456</v>
      </c>
      <c r="I24" s="511"/>
      <c r="J24" s="573"/>
      <c r="K24" s="574"/>
      <c r="Q24" s="575" t="s">
        <v>4</v>
      </c>
      <c r="R24" s="576"/>
      <c r="S24" s="452"/>
      <c r="T24" s="452"/>
      <c r="U24" s="452"/>
      <c r="V24" s="452"/>
      <c r="W24" s="452"/>
      <c r="X24" s="452"/>
      <c r="Y24" s="452"/>
      <c r="Z24" s="452"/>
    </row>
    <row r="25" spans="1:26" s="456" customFormat="1" ht="18.399999999999999" customHeight="1">
      <c r="A25" s="577" t="s">
        <v>457</v>
      </c>
      <c r="B25" s="578"/>
      <c r="C25" s="578"/>
      <c r="D25" s="579"/>
      <c r="E25" s="579" t="s">
        <v>458</v>
      </c>
      <c r="F25" s="552"/>
      <c r="G25" s="553"/>
      <c r="H25" s="546" t="s">
        <v>459</v>
      </c>
      <c r="I25" s="511"/>
      <c r="J25" s="580">
        <v>90.5</v>
      </c>
      <c r="K25" s="574"/>
      <c r="R25" s="452"/>
      <c r="S25" s="452"/>
      <c r="T25" s="452"/>
      <c r="U25" s="452"/>
      <c r="V25" s="452"/>
      <c r="W25" s="452"/>
      <c r="X25" s="452"/>
      <c r="Y25" s="452"/>
      <c r="Z25" s="452"/>
    </row>
    <row r="26" spans="1:26" s="456" customFormat="1" ht="18.399999999999999" customHeight="1">
      <c r="A26" s="581" t="s">
        <v>460</v>
      </c>
      <c r="B26" s="582"/>
      <c r="C26" s="583"/>
      <c r="D26" s="584" t="s">
        <v>461</v>
      </c>
      <c r="E26" s="584" t="s">
        <v>462</v>
      </c>
      <c r="F26" s="585"/>
      <c r="G26" s="586"/>
      <c r="H26" s="587"/>
      <c r="I26" s="588"/>
      <c r="J26" s="589"/>
      <c r="K26" s="590"/>
      <c r="R26" s="452"/>
      <c r="S26" s="452"/>
      <c r="T26" s="452"/>
      <c r="U26" s="452"/>
      <c r="V26" s="452"/>
      <c r="W26" s="452"/>
      <c r="X26" s="452"/>
      <c r="Y26" s="452"/>
      <c r="Z26" s="452"/>
    </row>
    <row r="27" spans="1:26" s="456" customFormat="1" ht="18.399999999999999" customHeight="1">
      <c r="A27" s="591" t="s">
        <v>463</v>
      </c>
      <c r="B27" s="592"/>
      <c r="C27" s="592"/>
      <c r="D27" s="592"/>
      <c r="E27" s="592"/>
      <c r="F27" s="472" t="s">
        <v>464</v>
      </c>
      <c r="G27" s="473"/>
      <c r="H27" s="473"/>
      <c r="I27" s="473"/>
      <c r="J27" s="473"/>
      <c r="K27" s="474"/>
      <c r="R27" s="452"/>
      <c r="S27" s="452"/>
      <c r="T27" s="452"/>
      <c r="U27" s="452"/>
      <c r="V27" s="452"/>
      <c r="W27" s="452"/>
      <c r="X27" s="452"/>
      <c r="Y27" s="452"/>
      <c r="Z27" s="452"/>
    </row>
    <row r="28" spans="1:26" s="456" customFormat="1" ht="18.399999999999999" customHeight="1">
      <c r="A28" s="593"/>
      <c r="B28" s="594"/>
      <c r="C28" s="594"/>
      <c r="D28" s="594"/>
      <c r="E28" s="595"/>
      <c r="F28" s="596"/>
      <c r="G28" s="597"/>
      <c r="H28" s="526" t="s">
        <v>465</v>
      </c>
      <c r="I28" s="598" t="s">
        <v>466</v>
      </c>
      <c r="J28" s="491">
        <v>3115</v>
      </c>
      <c r="K28" s="599" t="s">
        <v>4</v>
      </c>
      <c r="M28" s="456">
        <f>(J28/J18)*100</f>
        <v>631.84584178498983</v>
      </c>
      <c r="N28" s="600"/>
      <c r="R28" s="452"/>
      <c r="S28" s="452"/>
      <c r="T28" s="452"/>
      <c r="U28" s="452"/>
      <c r="V28" s="452"/>
      <c r="W28" s="452"/>
      <c r="X28" s="452"/>
      <c r="Y28" s="452"/>
      <c r="Z28" s="452"/>
    </row>
    <row r="29" spans="1:26" s="456" customFormat="1" ht="18.399999999999999" customHeight="1">
      <c r="A29" s="593"/>
      <c r="B29" s="594"/>
      <c r="C29" s="594"/>
      <c r="D29" s="594"/>
      <c r="E29" s="595"/>
      <c r="F29" s="601"/>
      <c r="G29" s="602"/>
      <c r="H29" s="526" t="s">
        <v>467</v>
      </c>
      <c r="I29" s="603">
        <v>60</v>
      </c>
      <c r="J29" s="491">
        <v>132</v>
      </c>
      <c r="K29" s="484" t="s">
        <v>4</v>
      </c>
      <c r="Q29" s="452"/>
      <c r="R29" s="452"/>
      <c r="S29" s="452"/>
      <c r="T29" s="452"/>
      <c r="U29" s="452"/>
      <c r="V29" s="452"/>
      <c r="W29" s="452"/>
      <c r="X29" s="452"/>
      <c r="Y29" s="452"/>
      <c r="Z29" s="452"/>
    </row>
    <row r="30" spans="1:26" s="456" customFormat="1" ht="18.399999999999999" customHeight="1">
      <c r="A30" s="593"/>
      <c r="B30" s="594"/>
      <c r="C30" s="594"/>
      <c r="D30" s="594"/>
      <c r="E30" s="595"/>
      <c r="F30" s="601"/>
      <c r="G30" s="602"/>
      <c r="H30" s="526" t="s">
        <v>468</v>
      </c>
      <c r="I30" s="603">
        <v>175</v>
      </c>
      <c r="J30" s="491">
        <v>219</v>
      </c>
      <c r="K30" s="484" t="s">
        <v>4</v>
      </c>
      <c r="L30" s="452"/>
      <c r="R30" s="452"/>
      <c r="S30" s="452"/>
      <c r="T30" s="452"/>
      <c r="U30" s="452"/>
      <c r="V30" s="452"/>
      <c r="W30" s="452"/>
      <c r="X30" s="452"/>
      <c r="Y30" s="452"/>
      <c r="Z30" s="452"/>
    </row>
    <row r="31" spans="1:26" s="456" customFormat="1" ht="18.399999999999999" customHeight="1">
      <c r="A31" s="593"/>
      <c r="B31" s="594"/>
      <c r="C31" s="594"/>
      <c r="D31" s="594"/>
      <c r="E31" s="595"/>
      <c r="F31" s="601"/>
      <c r="G31" s="602"/>
      <c r="H31" s="526" t="s">
        <v>469</v>
      </c>
      <c r="I31" s="527"/>
      <c r="J31" s="604">
        <v>0.28999999999999998</v>
      </c>
      <c r="K31" s="484" t="s">
        <v>4</v>
      </c>
      <c r="L31" s="452"/>
      <c r="R31" s="452"/>
      <c r="S31" s="452"/>
      <c r="T31" s="452"/>
      <c r="U31" s="452"/>
      <c r="V31" s="452"/>
      <c r="W31" s="452"/>
      <c r="X31" s="452"/>
      <c r="Y31" s="452"/>
      <c r="Z31" s="452"/>
    </row>
    <row r="32" spans="1:26" s="456" customFormat="1" ht="18.399999999999999" customHeight="1">
      <c r="A32" s="605"/>
      <c r="B32" s="606"/>
      <c r="C32" s="606"/>
      <c r="D32" s="606"/>
      <c r="E32" s="607"/>
      <c r="F32" s="601"/>
      <c r="G32" s="608" t="s">
        <v>470</v>
      </c>
      <c r="H32" s="526" t="s">
        <v>471</v>
      </c>
      <c r="I32" s="609"/>
      <c r="J32" s="483">
        <v>96.4</v>
      </c>
      <c r="K32" s="484" t="s">
        <v>4</v>
      </c>
      <c r="L32" s="452"/>
      <c r="N32" s="610"/>
      <c r="R32" s="452"/>
      <c r="S32" s="452"/>
      <c r="T32" s="452"/>
      <c r="U32" s="452"/>
      <c r="V32" s="452"/>
      <c r="W32" s="452"/>
      <c r="X32" s="452"/>
      <c r="Y32" s="452"/>
      <c r="Z32" s="452"/>
    </row>
    <row r="33" spans="1:26" s="456" customFormat="1" ht="18.399999999999999" customHeight="1">
      <c r="A33" s="591" t="s">
        <v>472</v>
      </c>
      <c r="B33" s="592"/>
      <c r="C33" s="592"/>
      <c r="D33" s="592"/>
      <c r="E33" s="611"/>
      <c r="F33" s="612"/>
      <c r="G33" s="613"/>
      <c r="H33" s="614" t="s">
        <v>473</v>
      </c>
      <c r="I33" s="615"/>
      <c r="J33" s="616">
        <v>90.7</v>
      </c>
      <c r="K33" s="599" t="s">
        <v>4</v>
      </c>
      <c r="L33" s="452"/>
      <c r="R33" s="452"/>
      <c r="S33" s="452"/>
      <c r="T33" s="452"/>
      <c r="U33" s="452"/>
      <c r="V33" s="452"/>
      <c r="W33" s="452"/>
      <c r="X33" s="452"/>
      <c r="Y33" s="452"/>
      <c r="Z33" s="452"/>
    </row>
    <row r="34" spans="1:26" s="456" customFormat="1" ht="18.399999999999999" customHeight="1">
      <c r="A34" s="593"/>
      <c r="B34" s="594"/>
      <c r="C34" s="594"/>
      <c r="D34" s="594"/>
      <c r="E34" s="595"/>
      <c r="F34" s="487" t="s">
        <v>474</v>
      </c>
      <c r="G34" s="617"/>
      <c r="H34" s="618" t="s">
        <v>136</v>
      </c>
      <c r="I34" s="619"/>
      <c r="J34" s="620">
        <v>21312</v>
      </c>
      <c r="K34" s="599" t="s">
        <v>4</v>
      </c>
      <c r="L34" s="621"/>
      <c r="M34" s="622"/>
      <c r="R34" s="452"/>
      <c r="S34" s="452"/>
      <c r="T34" s="452"/>
      <c r="U34" s="452"/>
      <c r="V34" s="452"/>
      <c r="W34" s="452"/>
      <c r="X34" s="452"/>
      <c r="Y34" s="452"/>
      <c r="Z34" s="452"/>
    </row>
    <row r="35" spans="1:26" s="456" customFormat="1" ht="18.399999999999999" customHeight="1">
      <c r="A35" s="593"/>
      <c r="B35" s="594"/>
      <c r="C35" s="594"/>
      <c r="D35" s="594"/>
      <c r="E35" s="595"/>
      <c r="F35" s="520"/>
      <c r="G35" s="623"/>
      <c r="H35" s="624" t="s">
        <v>137</v>
      </c>
      <c r="I35" s="625"/>
      <c r="J35" s="491">
        <v>9508</v>
      </c>
      <c r="K35" s="599" t="s">
        <v>4</v>
      </c>
      <c r="M35" s="622"/>
      <c r="R35" s="452"/>
      <c r="S35" s="452"/>
      <c r="T35" s="452"/>
      <c r="U35" s="452"/>
      <c r="V35" s="452"/>
      <c r="W35" s="452"/>
      <c r="X35" s="452"/>
      <c r="Y35" s="452"/>
      <c r="Z35" s="452"/>
    </row>
    <row r="36" spans="1:26" s="456" customFormat="1" ht="18.399999999999999" customHeight="1">
      <c r="A36" s="593"/>
      <c r="B36" s="594"/>
      <c r="C36" s="594"/>
      <c r="D36" s="594"/>
      <c r="E36" s="595"/>
      <c r="F36" s="520"/>
      <c r="G36" s="623"/>
      <c r="H36" s="624" t="s">
        <v>475</v>
      </c>
      <c r="I36" s="625"/>
      <c r="J36" s="491">
        <v>18324</v>
      </c>
      <c r="K36" s="599" t="s">
        <v>4</v>
      </c>
      <c r="Q36" s="452"/>
      <c r="R36" s="452"/>
      <c r="S36" s="452"/>
      <c r="T36" s="452"/>
      <c r="U36" s="452"/>
      <c r="V36" s="452"/>
      <c r="W36" s="452"/>
      <c r="X36" s="452"/>
      <c r="Y36" s="452"/>
      <c r="Z36" s="452"/>
    </row>
    <row r="37" spans="1:26" s="456" customFormat="1" ht="18.399999999999999" customHeight="1">
      <c r="A37" s="593"/>
      <c r="B37" s="594"/>
      <c r="C37" s="594"/>
      <c r="D37" s="594"/>
      <c r="E37" s="595"/>
      <c r="F37" s="601"/>
      <c r="G37" s="623"/>
      <c r="H37" s="624" t="s">
        <v>476</v>
      </c>
      <c r="I37" s="625"/>
      <c r="J37" s="491">
        <v>29487</v>
      </c>
      <c r="K37" s="626" t="s">
        <v>4</v>
      </c>
      <c r="M37" s="627"/>
      <c r="R37" s="452"/>
      <c r="S37" s="452"/>
      <c r="T37" s="452"/>
      <c r="U37" s="452"/>
      <c r="V37" s="452"/>
      <c r="W37" s="452"/>
      <c r="X37" s="452"/>
      <c r="Y37" s="452"/>
      <c r="Z37" s="452"/>
    </row>
    <row r="38" spans="1:26" s="456" customFormat="1" ht="18.399999999999999" customHeight="1">
      <c r="A38" s="605"/>
      <c r="B38" s="606"/>
      <c r="C38" s="606"/>
      <c r="D38" s="606"/>
      <c r="E38" s="607"/>
      <c r="F38" s="536"/>
      <c r="G38" s="628"/>
      <c r="H38" s="629" t="s">
        <v>477</v>
      </c>
      <c r="I38" s="630"/>
      <c r="J38" s="631">
        <v>31474</v>
      </c>
      <c r="K38" s="599" t="s">
        <v>4</v>
      </c>
      <c r="R38" s="452"/>
      <c r="S38" s="452"/>
      <c r="T38" s="452"/>
      <c r="U38" s="452"/>
      <c r="V38" s="452"/>
      <c r="W38" s="452"/>
      <c r="X38" s="452"/>
      <c r="Y38" s="452"/>
      <c r="Z38" s="452"/>
    </row>
    <row r="39" spans="1:26" s="456" customFormat="1" ht="18.399999999999999" customHeight="1">
      <c r="A39" s="591" t="s">
        <v>478</v>
      </c>
      <c r="B39" s="592"/>
      <c r="C39" s="592"/>
      <c r="D39" s="592"/>
      <c r="E39" s="592"/>
      <c r="F39" s="632" t="s">
        <v>479</v>
      </c>
      <c r="G39" s="633"/>
      <c r="H39" s="633"/>
      <c r="I39" s="633"/>
      <c r="J39" s="633"/>
      <c r="K39" s="634"/>
      <c r="R39" s="452"/>
      <c r="S39" s="452"/>
      <c r="T39" s="452"/>
      <c r="U39" s="452"/>
      <c r="V39" s="452"/>
      <c r="W39" s="452"/>
      <c r="X39" s="452"/>
      <c r="Y39" s="452"/>
      <c r="Z39" s="452"/>
    </row>
    <row r="40" spans="1:26" s="456" customFormat="1" ht="18.399999999999999" customHeight="1">
      <c r="A40" s="593"/>
      <c r="B40" s="594"/>
      <c r="C40" s="594"/>
      <c r="D40" s="594"/>
      <c r="E40" s="595"/>
      <c r="F40" s="635" t="s">
        <v>480</v>
      </c>
      <c r="G40" s="636"/>
      <c r="H40" s="636"/>
      <c r="I40" s="636"/>
      <c r="J40" s="636"/>
      <c r="K40" s="637"/>
      <c r="R40" s="452"/>
      <c r="S40" s="452"/>
      <c r="T40" s="452"/>
      <c r="U40" s="452"/>
      <c r="V40" s="452"/>
      <c r="W40" s="452"/>
      <c r="X40" s="452"/>
      <c r="Y40" s="452"/>
      <c r="Z40" s="452"/>
    </row>
    <row r="41" spans="1:26" s="456" customFormat="1" ht="18.399999999999999" customHeight="1">
      <c r="A41" s="593"/>
      <c r="B41" s="594"/>
      <c r="C41" s="594"/>
      <c r="D41" s="594"/>
      <c r="E41" s="595"/>
      <c r="F41" s="635"/>
      <c r="G41" s="638" t="s">
        <v>481</v>
      </c>
      <c r="H41" s="638"/>
      <c r="I41" s="638"/>
      <c r="J41" s="638"/>
      <c r="K41" s="639"/>
      <c r="L41" s="640"/>
      <c r="R41" s="452"/>
      <c r="S41" s="452"/>
      <c r="T41" s="452"/>
      <c r="U41" s="452"/>
      <c r="V41" s="452"/>
      <c r="W41" s="452"/>
      <c r="X41" s="452"/>
      <c r="Y41" s="452"/>
      <c r="Z41" s="452"/>
    </row>
    <row r="42" spans="1:26" s="456" customFormat="1" ht="18.399999999999999" customHeight="1">
      <c r="A42" s="593"/>
      <c r="B42" s="594"/>
      <c r="C42" s="594"/>
      <c r="D42" s="594"/>
      <c r="E42" s="595"/>
      <c r="F42" s="635"/>
      <c r="G42" s="638" t="s">
        <v>482</v>
      </c>
      <c r="H42" s="638"/>
      <c r="I42" s="638"/>
      <c r="J42" s="638"/>
      <c r="K42" s="639"/>
      <c r="L42" s="452"/>
      <c r="M42" s="452"/>
      <c r="N42" s="452"/>
      <c r="O42" s="452"/>
      <c r="P42" s="452"/>
      <c r="Q42" s="452"/>
      <c r="R42" s="452"/>
      <c r="S42" s="452"/>
      <c r="T42" s="452"/>
      <c r="U42" s="452"/>
      <c r="V42" s="452"/>
      <c r="W42" s="452"/>
      <c r="X42" s="452"/>
      <c r="Y42" s="452"/>
      <c r="Z42" s="452"/>
    </row>
    <row r="43" spans="1:26" s="456" customFormat="1" ht="18.399999999999999" customHeight="1">
      <c r="A43" s="593"/>
      <c r="B43" s="594"/>
      <c r="C43" s="594"/>
      <c r="D43" s="594"/>
      <c r="E43" s="595"/>
      <c r="F43" s="635"/>
      <c r="G43" s="638"/>
      <c r="H43" s="638"/>
      <c r="I43" s="638"/>
      <c r="J43" s="638"/>
      <c r="K43" s="639"/>
      <c r="L43" s="452"/>
      <c r="M43" s="452"/>
      <c r="N43" s="452"/>
      <c r="O43" s="452"/>
      <c r="P43" s="452"/>
      <c r="Q43" s="452"/>
      <c r="R43" s="452"/>
      <c r="S43" s="452"/>
      <c r="T43" s="452"/>
      <c r="U43" s="452"/>
      <c r="V43" s="452"/>
      <c r="W43" s="452"/>
      <c r="X43" s="452"/>
      <c r="Y43" s="452"/>
      <c r="Z43" s="452"/>
    </row>
    <row r="44" spans="1:26" s="456" customFormat="1" ht="17.100000000000001" customHeight="1" thickBot="1">
      <c r="A44" s="641"/>
      <c r="B44" s="642"/>
      <c r="C44" s="642"/>
      <c r="D44" s="642"/>
      <c r="E44" s="643"/>
      <c r="F44" s="635"/>
      <c r="G44" s="638"/>
      <c r="H44" s="638"/>
      <c r="I44" s="638"/>
      <c r="J44" s="638"/>
      <c r="K44" s="639"/>
      <c r="L44" s="452"/>
      <c r="M44" s="452"/>
      <c r="N44" s="452"/>
      <c r="O44" s="452"/>
      <c r="P44" s="452"/>
      <c r="Q44" s="452"/>
      <c r="R44" s="452"/>
      <c r="S44" s="452"/>
      <c r="T44" s="452"/>
      <c r="U44" s="452"/>
      <c r="V44" s="452"/>
      <c r="W44" s="452"/>
      <c r="X44" s="452"/>
      <c r="Y44" s="452"/>
      <c r="Z44" s="452"/>
    </row>
    <row r="45" spans="1:26" s="456" customFormat="1" ht="17.100000000000001" customHeight="1">
      <c r="A45" s="644" t="s">
        <v>483</v>
      </c>
      <c r="B45" s="645" t="s">
        <v>484</v>
      </c>
      <c r="C45" s="646"/>
      <c r="D45" s="647" t="s">
        <v>485</v>
      </c>
      <c r="E45" s="648" t="s">
        <v>486</v>
      </c>
      <c r="F45" s="649"/>
      <c r="G45" s="638"/>
      <c r="H45" s="638"/>
      <c r="I45" s="638"/>
      <c r="J45" s="638"/>
      <c r="K45" s="639"/>
      <c r="L45" s="452"/>
      <c r="M45" s="452"/>
      <c r="N45" s="452"/>
      <c r="O45" s="452"/>
      <c r="P45" s="452"/>
      <c r="Q45" s="452"/>
      <c r="R45" s="452"/>
      <c r="S45" s="452"/>
      <c r="T45" s="452"/>
      <c r="U45" s="452"/>
      <c r="V45" s="452"/>
      <c r="W45" s="452"/>
      <c r="X45" s="452"/>
      <c r="Y45" s="452"/>
      <c r="Z45" s="452"/>
    </row>
    <row r="46" spans="1:26" s="456" customFormat="1" ht="17.100000000000001" customHeight="1" thickBot="1">
      <c r="A46" s="650" t="s">
        <v>487</v>
      </c>
      <c r="B46" s="651">
        <v>41360</v>
      </c>
      <c r="C46" s="652"/>
      <c r="D46" s="653" t="s">
        <v>487</v>
      </c>
      <c r="E46" s="654">
        <v>41348</v>
      </c>
      <c r="F46" s="655"/>
      <c r="G46" s="656" t="s">
        <v>488</v>
      </c>
      <c r="H46" s="656"/>
      <c r="I46" s="656"/>
      <c r="J46" s="656"/>
      <c r="K46" s="657"/>
      <c r="L46" s="452"/>
      <c r="M46" s="452"/>
      <c r="N46" s="452"/>
      <c r="O46" s="452"/>
      <c r="P46" s="452"/>
      <c r="Q46" s="452"/>
      <c r="R46" s="452"/>
      <c r="S46" s="452"/>
      <c r="T46" s="452"/>
      <c r="U46" s="452"/>
      <c r="V46" s="452"/>
      <c r="W46" s="452"/>
      <c r="X46" s="452"/>
      <c r="Y46" s="452"/>
      <c r="Z46" s="452"/>
    </row>
    <row r="47" spans="1:26" s="456" customFormat="1" ht="17.100000000000001" customHeight="1">
      <c r="F47" s="658"/>
      <c r="G47" s="452" t="s">
        <v>489</v>
      </c>
      <c r="H47" s="452"/>
      <c r="I47" s="452"/>
      <c r="J47" s="452"/>
      <c r="K47" s="452"/>
      <c r="L47" s="452"/>
      <c r="M47" s="452"/>
      <c r="N47" s="452"/>
      <c r="O47" s="452"/>
      <c r="P47" s="452"/>
      <c r="Q47" s="452"/>
      <c r="R47" s="452"/>
      <c r="S47" s="452"/>
      <c r="T47" s="452"/>
      <c r="U47" s="452"/>
    </row>
    <row r="48" spans="1:26" s="456" customFormat="1" ht="17.100000000000001" customHeight="1">
      <c r="F48" s="452"/>
      <c r="G48" s="452" t="s">
        <v>490</v>
      </c>
      <c r="H48" s="452"/>
      <c r="I48" s="452"/>
      <c r="J48" s="452"/>
      <c r="K48" s="452"/>
    </row>
    <row r="49" spans="2:26" ht="17.100000000000001" customHeight="1">
      <c r="F49" s="440"/>
      <c r="G49" s="440"/>
      <c r="H49" s="440"/>
      <c r="I49" s="440"/>
      <c r="J49" s="440"/>
      <c r="K49" s="440"/>
      <c r="L49" s="441"/>
      <c r="M49" s="441"/>
      <c r="N49" s="441"/>
      <c r="O49" s="441"/>
      <c r="P49" s="441"/>
      <c r="Q49" s="441"/>
      <c r="R49" s="441"/>
      <c r="S49" s="441"/>
      <c r="T49" s="441"/>
      <c r="U49" s="441"/>
      <c r="V49" s="441"/>
      <c r="W49" s="441"/>
      <c r="X49" s="441"/>
      <c r="Y49" s="441"/>
      <c r="Z49" s="441"/>
    </row>
    <row r="50" spans="2:26">
      <c r="F50" s="440"/>
      <c r="G50" s="440"/>
      <c r="H50" s="440"/>
      <c r="I50" s="440"/>
      <c r="J50" s="440"/>
      <c r="K50" s="440"/>
      <c r="L50" s="441"/>
      <c r="M50" s="441"/>
      <c r="N50" s="441"/>
      <c r="O50" s="441"/>
      <c r="P50" s="441"/>
      <c r="Q50" s="441"/>
      <c r="R50" s="441"/>
      <c r="S50" s="441"/>
      <c r="T50" s="441"/>
      <c r="U50" s="441"/>
      <c r="V50" s="441"/>
      <c r="W50" s="441"/>
      <c r="X50" s="441"/>
      <c r="Y50" s="441"/>
      <c r="Z50" s="441"/>
    </row>
    <row r="51" spans="2:26">
      <c r="F51" s="440"/>
      <c r="G51" s="440"/>
      <c r="H51" s="440"/>
      <c r="I51" s="440"/>
      <c r="J51" s="440"/>
      <c r="K51" s="440"/>
      <c r="L51" s="441"/>
      <c r="M51" s="441"/>
      <c r="N51" s="441"/>
      <c r="O51" s="441"/>
      <c r="P51" s="441"/>
      <c r="Q51" s="441"/>
      <c r="R51" s="441"/>
      <c r="S51" s="441"/>
      <c r="T51" s="441"/>
      <c r="U51" s="441"/>
      <c r="V51" s="441"/>
      <c r="W51" s="441"/>
      <c r="X51" s="441"/>
      <c r="Y51" s="441"/>
      <c r="Z51" s="441"/>
    </row>
    <row r="52" spans="2:26">
      <c r="B52" s="440"/>
      <c r="C52" s="440"/>
      <c r="D52" s="440"/>
      <c r="E52" s="440"/>
      <c r="F52" s="440"/>
      <c r="G52" s="440"/>
      <c r="H52" s="440"/>
      <c r="I52" s="440"/>
      <c r="J52" s="440"/>
      <c r="K52" s="440"/>
      <c r="Q52" s="441"/>
      <c r="R52" s="441"/>
      <c r="S52" s="441"/>
      <c r="T52" s="441"/>
      <c r="U52" s="441"/>
      <c r="V52" s="441"/>
      <c r="W52" s="441"/>
      <c r="X52" s="441"/>
      <c r="Y52" s="441"/>
      <c r="Z52" s="441"/>
    </row>
    <row r="53" spans="2:26">
      <c r="F53" s="440"/>
      <c r="G53" s="440"/>
      <c r="H53" s="440"/>
      <c r="I53" s="440"/>
      <c r="J53" s="440"/>
      <c r="K53" s="440"/>
      <c r="Q53" s="441"/>
      <c r="R53" s="441"/>
      <c r="S53" s="441"/>
      <c r="T53" s="441"/>
      <c r="U53" s="441"/>
      <c r="V53" s="441"/>
      <c r="W53" s="441"/>
      <c r="X53" s="441"/>
      <c r="Y53" s="441"/>
      <c r="Z53" s="441"/>
    </row>
  </sheetData>
  <mergeCells count="49">
    <mergeCell ref="B46:C46"/>
    <mergeCell ref="A28:E32"/>
    <mergeCell ref="A33:E33"/>
    <mergeCell ref="A34:E38"/>
    <mergeCell ref="A39:E39"/>
    <mergeCell ref="A40:E44"/>
    <mergeCell ref="B45:C45"/>
    <mergeCell ref="D21:E21"/>
    <mergeCell ref="D22:E22"/>
    <mergeCell ref="D23:E23"/>
    <mergeCell ref="D24:E24"/>
    <mergeCell ref="H26:I26"/>
    <mergeCell ref="A27:E27"/>
    <mergeCell ref="F27:K27"/>
    <mergeCell ref="A16:C16"/>
    <mergeCell ref="D16:E16"/>
    <mergeCell ref="D17:E17"/>
    <mergeCell ref="F17:K17"/>
    <mergeCell ref="D18:E18"/>
    <mergeCell ref="F18:G26"/>
    <mergeCell ref="A19:C19"/>
    <mergeCell ref="D19:E19"/>
    <mergeCell ref="D20:E20"/>
    <mergeCell ref="A21:C21"/>
    <mergeCell ref="A13:C13"/>
    <mergeCell ref="D13:E13"/>
    <mergeCell ref="A14:C14"/>
    <mergeCell ref="D14:E14"/>
    <mergeCell ref="A15:C15"/>
    <mergeCell ref="D15:E15"/>
    <mergeCell ref="A10:C10"/>
    <mergeCell ref="D10:E10"/>
    <mergeCell ref="A11:C11"/>
    <mergeCell ref="D11:E11"/>
    <mergeCell ref="D12:E12"/>
    <mergeCell ref="F12:K12"/>
    <mergeCell ref="A7:C7"/>
    <mergeCell ref="D7:E7"/>
    <mergeCell ref="A8:C8"/>
    <mergeCell ref="D8:E8"/>
    <mergeCell ref="A9:C9"/>
    <mergeCell ref="D9:E9"/>
    <mergeCell ref="A1:K1"/>
    <mergeCell ref="A2:K2"/>
    <mergeCell ref="J3:K3"/>
    <mergeCell ref="A5:C5"/>
    <mergeCell ref="A6:C6"/>
    <mergeCell ref="D6:E6"/>
    <mergeCell ref="F6:K6"/>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30D720E-68BD-4831-8EAF-2F2BF0BE981D}">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8CB9B9CB-44E9-4DBE-9D9B-09FE8F53417E}">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63373806-CFFB-4639-A945-04EB4A09A16D}">
      <formula1>$T$5:$T$11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8CD9F-1D2B-4A01-A313-E4487E7C6CD6}">
  <dimension ref="B1:N79"/>
  <sheetViews>
    <sheetView zoomScale="75" zoomScaleNormal="75" workbookViewId="0">
      <selection activeCell="N42" sqref="N42"/>
    </sheetView>
  </sheetViews>
  <sheetFormatPr defaultColWidth="9.140625" defaultRowHeight="12.75"/>
  <cols>
    <col min="1" max="1" width="9.140625" style="664" customWidth="1"/>
    <col min="2" max="2" width="18.140625" style="664" customWidth="1"/>
    <col min="3" max="3" width="21.5703125" style="664" customWidth="1"/>
    <col min="4" max="4" width="21.28515625" style="664" bestFit="1" customWidth="1"/>
    <col min="5" max="5" width="6.85546875" style="664" bestFit="1" customWidth="1"/>
    <col min="6" max="6" width="29.85546875" style="664" customWidth="1"/>
    <col min="7" max="7" width="43.7109375" style="664" customWidth="1"/>
    <col min="8" max="8" width="17.140625" style="664" customWidth="1"/>
    <col min="9" max="9" width="7.85546875" style="664" customWidth="1"/>
    <col min="10" max="10" width="2.28515625" style="664" bestFit="1" customWidth="1"/>
    <col min="11" max="12" width="2.28515625" style="664" customWidth="1"/>
    <col min="13" max="13" width="2.5703125" style="664" bestFit="1" customWidth="1"/>
    <col min="14" max="14" width="2.28515625" style="664" bestFit="1" customWidth="1"/>
    <col min="15" max="257" width="9.140625" style="664"/>
    <col min="258" max="258" width="18.140625" style="664" customWidth="1"/>
    <col min="259" max="259" width="21.5703125" style="664" customWidth="1"/>
    <col min="260" max="260" width="21.28515625" style="664" bestFit="1" customWidth="1"/>
    <col min="261" max="261" width="6.85546875" style="664" bestFit="1" customWidth="1"/>
    <col min="262" max="262" width="29.85546875" style="664" customWidth="1"/>
    <col min="263" max="263" width="43.7109375" style="664" customWidth="1"/>
    <col min="264" max="264" width="17.140625" style="664" customWidth="1"/>
    <col min="265" max="265" width="7.85546875" style="664" customWidth="1"/>
    <col min="266" max="266" width="2.28515625" style="664" bestFit="1" customWidth="1"/>
    <col min="267" max="268" width="2.28515625" style="664" customWidth="1"/>
    <col min="269" max="269" width="2.5703125" style="664" bestFit="1" customWidth="1"/>
    <col min="270" max="270" width="2.28515625" style="664" bestFit="1" customWidth="1"/>
    <col min="271" max="513" width="9.140625" style="664"/>
    <col min="514" max="514" width="18.140625" style="664" customWidth="1"/>
    <col min="515" max="515" width="21.5703125" style="664" customWidth="1"/>
    <col min="516" max="516" width="21.28515625" style="664" bestFit="1" customWidth="1"/>
    <col min="517" max="517" width="6.85546875" style="664" bestFit="1" customWidth="1"/>
    <col min="518" max="518" width="29.85546875" style="664" customWidth="1"/>
    <col min="519" max="519" width="43.7109375" style="664" customWidth="1"/>
    <col min="520" max="520" width="17.140625" style="664" customWidth="1"/>
    <col min="521" max="521" width="7.85546875" style="664" customWidth="1"/>
    <col min="522" max="522" width="2.28515625" style="664" bestFit="1" customWidth="1"/>
    <col min="523" max="524" width="2.28515625" style="664" customWidth="1"/>
    <col min="525" max="525" width="2.5703125" style="664" bestFit="1" customWidth="1"/>
    <col min="526" max="526" width="2.28515625" style="664" bestFit="1" customWidth="1"/>
    <col min="527" max="769" width="9.140625" style="664"/>
    <col min="770" max="770" width="18.140625" style="664" customWidth="1"/>
    <col min="771" max="771" width="21.5703125" style="664" customWidth="1"/>
    <col min="772" max="772" width="21.28515625" style="664" bestFit="1" customWidth="1"/>
    <col min="773" max="773" width="6.85546875" style="664" bestFit="1" customWidth="1"/>
    <col min="774" max="774" width="29.85546875" style="664" customWidth="1"/>
    <col min="775" max="775" width="43.7109375" style="664" customWidth="1"/>
    <col min="776" max="776" width="17.140625" style="664" customWidth="1"/>
    <col min="777" max="777" width="7.85546875" style="664" customWidth="1"/>
    <col min="778" max="778" width="2.28515625" style="664" bestFit="1" customWidth="1"/>
    <col min="779" max="780" width="2.28515625" style="664" customWidth="1"/>
    <col min="781" max="781" width="2.5703125" style="664" bestFit="1" customWidth="1"/>
    <col min="782" max="782" width="2.28515625" style="664" bestFit="1" customWidth="1"/>
    <col min="783" max="1025" width="9.140625" style="664"/>
    <col min="1026" max="1026" width="18.140625" style="664" customWidth="1"/>
    <col min="1027" max="1027" width="21.5703125" style="664" customWidth="1"/>
    <col min="1028" max="1028" width="21.28515625" style="664" bestFit="1" customWidth="1"/>
    <col min="1029" max="1029" width="6.85546875" style="664" bestFit="1" customWidth="1"/>
    <col min="1030" max="1030" width="29.85546875" style="664" customWidth="1"/>
    <col min="1031" max="1031" width="43.7109375" style="664" customWidth="1"/>
    <col min="1032" max="1032" width="17.140625" style="664" customWidth="1"/>
    <col min="1033" max="1033" width="7.85546875" style="664" customWidth="1"/>
    <col min="1034" max="1034" width="2.28515625" style="664" bestFit="1" customWidth="1"/>
    <col min="1035" max="1036" width="2.28515625" style="664" customWidth="1"/>
    <col min="1037" max="1037" width="2.5703125" style="664" bestFit="1" customWidth="1"/>
    <col min="1038" max="1038" width="2.28515625" style="664" bestFit="1" customWidth="1"/>
    <col min="1039" max="1281" width="9.140625" style="664"/>
    <col min="1282" max="1282" width="18.140625" style="664" customWidth="1"/>
    <col min="1283" max="1283" width="21.5703125" style="664" customWidth="1"/>
    <col min="1284" max="1284" width="21.28515625" style="664" bestFit="1" customWidth="1"/>
    <col min="1285" max="1285" width="6.85546875" style="664" bestFit="1" customWidth="1"/>
    <col min="1286" max="1286" width="29.85546875" style="664" customWidth="1"/>
    <col min="1287" max="1287" width="43.7109375" style="664" customWidth="1"/>
    <col min="1288" max="1288" width="17.140625" style="664" customWidth="1"/>
    <col min="1289" max="1289" width="7.85546875" style="664" customWidth="1"/>
    <col min="1290" max="1290" width="2.28515625" style="664" bestFit="1" customWidth="1"/>
    <col min="1291" max="1292" width="2.28515625" style="664" customWidth="1"/>
    <col min="1293" max="1293" width="2.5703125" style="664" bestFit="1" customWidth="1"/>
    <col min="1294" max="1294" width="2.28515625" style="664" bestFit="1" customWidth="1"/>
    <col min="1295" max="1537" width="9.140625" style="664"/>
    <col min="1538" max="1538" width="18.140625" style="664" customWidth="1"/>
    <col min="1539" max="1539" width="21.5703125" style="664" customWidth="1"/>
    <col min="1540" max="1540" width="21.28515625" style="664" bestFit="1" customWidth="1"/>
    <col min="1541" max="1541" width="6.85546875" style="664" bestFit="1" customWidth="1"/>
    <col min="1542" max="1542" width="29.85546875" style="664" customWidth="1"/>
    <col min="1543" max="1543" width="43.7109375" style="664" customWidth="1"/>
    <col min="1544" max="1544" width="17.140625" style="664" customWidth="1"/>
    <col min="1545" max="1545" width="7.85546875" style="664" customWidth="1"/>
    <col min="1546" max="1546" width="2.28515625" style="664" bestFit="1" customWidth="1"/>
    <col min="1547" max="1548" width="2.28515625" style="664" customWidth="1"/>
    <col min="1549" max="1549" width="2.5703125" style="664" bestFit="1" customWidth="1"/>
    <col min="1550" max="1550" width="2.28515625" style="664" bestFit="1" customWidth="1"/>
    <col min="1551" max="1793" width="9.140625" style="664"/>
    <col min="1794" max="1794" width="18.140625" style="664" customWidth="1"/>
    <col min="1795" max="1795" width="21.5703125" style="664" customWidth="1"/>
    <col min="1796" max="1796" width="21.28515625" style="664" bestFit="1" customWidth="1"/>
    <col min="1797" max="1797" width="6.85546875" style="664" bestFit="1" customWidth="1"/>
    <col min="1798" max="1798" width="29.85546875" style="664" customWidth="1"/>
    <col min="1799" max="1799" width="43.7109375" style="664" customWidth="1"/>
    <col min="1800" max="1800" width="17.140625" style="664" customWidth="1"/>
    <col min="1801" max="1801" width="7.85546875" style="664" customWidth="1"/>
    <col min="1802" max="1802" width="2.28515625" style="664" bestFit="1" customWidth="1"/>
    <col min="1803" max="1804" width="2.28515625" style="664" customWidth="1"/>
    <col min="1805" max="1805" width="2.5703125" style="664" bestFit="1" customWidth="1"/>
    <col min="1806" max="1806" width="2.28515625" style="664" bestFit="1" customWidth="1"/>
    <col min="1807" max="2049" width="9.140625" style="664"/>
    <col min="2050" max="2050" width="18.140625" style="664" customWidth="1"/>
    <col min="2051" max="2051" width="21.5703125" style="664" customWidth="1"/>
    <col min="2052" max="2052" width="21.28515625" style="664" bestFit="1" customWidth="1"/>
    <col min="2053" max="2053" width="6.85546875" style="664" bestFit="1" customWidth="1"/>
    <col min="2054" max="2054" width="29.85546875" style="664" customWidth="1"/>
    <col min="2055" max="2055" width="43.7109375" style="664" customWidth="1"/>
    <col min="2056" max="2056" width="17.140625" style="664" customWidth="1"/>
    <col min="2057" max="2057" width="7.85546875" style="664" customWidth="1"/>
    <col min="2058" max="2058" width="2.28515625" style="664" bestFit="1" customWidth="1"/>
    <col min="2059" max="2060" width="2.28515625" style="664" customWidth="1"/>
    <col min="2061" max="2061" width="2.5703125" style="664" bestFit="1" customWidth="1"/>
    <col min="2062" max="2062" width="2.28515625" style="664" bestFit="1" customWidth="1"/>
    <col min="2063" max="2305" width="9.140625" style="664"/>
    <col min="2306" max="2306" width="18.140625" style="664" customWidth="1"/>
    <col min="2307" max="2307" width="21.5703125" style="664" customWidth="1"/>
    <col min="2308" max="2308" width="21.28515625" style="664" bestFit="1" customWidth="1"/>
    <col min="2309" max="2309" width="6.85546875" style="664" bestFit="1" customWidth="1"/>
    <col min="2310" max="2310" width="29.85546875" style="664" customWidth="1"/>
    <col min="2311" max="2311" width="43.7109375" style="664" customWidth="1"/>
    <col min="2312" max="2312" width="17.140625" style="664" customWidth="1"/>
    <col min="2313" max="2313" width="7.85546875" style="664" customWidth="1"/>
    <col min="2314" max="2314" width="2.28515625" style="664" bestFit="1" customWidth="1"/>
    <col min="2315" max="2316" width="2.28515625" style="664" customWidth="1"/>
    <col min="2317" max="2317" width="2.5703125" style="664" bestFit="1" customWidth="1"/>
    <col min="2318" max="2318" width="2.28515625" style="664" bestFit="1" customWidth="1"/>
    <col min="2319" max="2561" width="9.140625" style="664"/>
    <col min="2562" max="2562" width="18.140625" style="664" customWidth="1"/>
    <col min="2563" max="2563" width="21.5703125" style="664" customWidth="1"/>
    <col min="2564" max="2564" width="21.28515625" style="664" bestFit="1" customWidth="1"/>
    <col min="2565" max="2565" width="6.85546875" style="664" bestFit="1" customWidth="1"/>
    <col min="2566" max="2566" width="29.85546875" style="664" customWidth="1"/>
    <col min="2567" max="2567" width="43.7109375" style="664" customWidth="1"/>
    <col min="2568" max="2568" width="17.140625" style="664" customWidth="1"/>
    <col min="2569" max="2569" width="7.85546875" style="664" customWidth="1"/>
    <col min="2570" max="2570" width="2.28515625" style="664" bestFit="1" customWidth="1"/>
    <col min="2571" max="2572" width="2.28515625" style="664" customWidth="1"/>
    <col min="2573" max="2573" width="2.5703125" style="664" bestFit="1" customWidth="1"/>
    <col min="2574" max="2574" width="2.28515625" style="664" bestFit="1" customWidth="1"/>
    <col min="2575" max="2817" width="9.140625" style="664"/>
    <col min="2818" max="2818" width="18.140625" style="664" customWidth="1"/>
    <col min="2819" max="2819" width="21.5703125" style="664" customWidth="1"/>
    <col min="2820" max="2820" width="21.28515625" style="664" bestFit="1" customWidth="1"/>
    <col min="2821" max="2821" width="6.85546875" style="664" bestFit="1" customWidth="1"/>
    <col min="2822" max="2822" width="29.85546875" style="664" customWidth="1"/>
    <col min="2823" max="2823" width="43.7109375" style="664" customWidth="1"/>
    <col min="2824" max="2824" width="17.140625" style="664" customWidth="1"/>
    <col min="2825" max="2825" width="7.85546875" style="664" customWidth="1"/>
    <col min="2826" max="2826" width="2.28515625" style="664" bestFit="1" customWidth="1"/>
    <col min="2827" max="2828" width="2.28515625" style="664" customWidth="1"/>
    <col min="2829" max="2829" width="2.5703125" style="664" bestFit="1" customWidth="1"/>
    <col min="2830" max="2830" width="2.28515625" style="664" bestFit="1" customWidth="1"/>
    <col min="2831" max="3073" width="9.140625" style="664"/>
    <col min="3074" max="3074" width="18.140625" style="664" customWidth="1"/>
    <col min="3075" max="3075" width="21.5703125" style="664" customWidth="1"/>
    <col min="3076" max="3076" width="21.28515625" style="664" bestFit="1" customWidth="1"/>
    <col min="3077" max="3077" width="6.85546875" style="664" bestFit="1" customWidth="1"/>
    <col min="3078" max="3078" width="29.85546875" style="664" customWidth="1"/>
    <col min="3079" max="3079" width="43.7109375" style="664" customWidth="1"/>
    <col min="3080" max="3080" width="17.140625" style="664" customWidth="1"/>
    <col min="3081" max="3081" width="7.85546875" style="664" customWidth="1"/>
    <col min="3082" max="3082" width="2.28515625" style="664" bestFit="1" customWidth="1"/>
    <col min="3083" max="3084" width="2.28515625" style="664" customWidth="1"/>
    <col min="3085" max="3085" width="2.5703125" style="664" bestFit="1" customWidth="1"/>
    <col min="3086" max="3086" width="2.28515625" style="664" bestFit="1" customWidth="1"/>
    <col min="3087" max="3329" width="9.140625" style="664"/>
    <col min="3330" max="3330" width="18.140625" style="664" customWidth="1"/>
    <col min="3331" max="3331" width="21.5703125" style="664" customWidth="1"/>
    <col min="3332" max="3332" width="21.28515625" style="664" bestFit="1" customWidth="1"/>
    <col min="3333" max="3333" width="6.85546875" style="664" bestFit="1" customWidth="1"/>
    <col min="3334" max="3334" width="29.85546875" style="664" customWidth="1"/>
    <col min="3335" max="3335" width="43.7109375" style="664" customWidth="1"/>
    <col min="3336" max="3336" width="17.140625" style="664" customWidth="1"/>
    <col min="3337" max="3337" width="7.85546875" style="664" customWidth="1"/>
    <col min="3338" max="3338" width="2.28515625" style="664" bestFit="1" customWidth="1"/>
    <col min="3339" max="3340" width="2.28515625" style="664" customWidth="1"/>
    <col min="3341" max="3341" width="2.5703125" style="664" bestFit="1" customWidth="1"/>
    <col min="3342" max="3342" width="2.28515625" style="664" bestFit="1" customWidth="1"/>
    <col min="3343" max="3585" width="9.140625" style="664"/>
    <col min="3586" max="3586" width="18.140625" style="664" customWidth="1"/>
    <col min="3587" max="3587" width="21.5703125" style="664" customWidth="1"/>
    <col min="3588" max="3588" width="21.28515625" style="664" bestFit="1" customWidth="1"/>
    <col min="3589" max="3589" width="6.85546875" style="664" bestFit="1" customWidth="1"/>
    <col min="3590" max="3590" width="29.85546875" style="664" customWidth="1"/>
    <col min="3591" max="3591" width="43.7109375" style="664" customWidth="1"/>
    <col min="3592" max="3592" width="17.140625" style="664" customWidth="1"/>
    <col min="3593" max="3593" width="7.85546875" style="664" customWidth="1"/>
    <col min="3594" max="3594" width="2.28515625" style="664" bestFit="1" customWidth="1"/>
    <col min="3595" max="3596" width="2.28515625" style="664" customWidth="1"/>
    <col min="3597" max="3597" width="2.5703125" style="664" bestFit="1" customWidth="1"/>
    <col min="3598" max="3598" width="2.28515625" style="664" bestFit="1" customWidth="1"/>
    <col min="3599" max="3841" width="9.140625" style="664"/>
    <col min="3842" max="3842" width="18.140625" style="664" customWidth="1"/>
    <col min="3843" max="3843" width="21.5703125" style="664" customWidth="1"/>
    <col min="3844" max="3844" width="21.28515625" style="664" bestFit="1" customWidth="1"/>
    <col min="3845" max="3845" width="6.85546875" style="664" bestFit="1" customWidth="1"/>
    <col min="3846" max="3846" width="29.85546875" style="664" customWidth="1"/>
    <col min="3847" max="3847" width="43.7109375" style="664" customWidth="1"/>
    <col min="3848" max="3848" width="17.140625" style="664" customWidth="1"/>
    <col min="3849" max="3849" width="7.85546875" style="664" customWidth="1"/>
    <col min="3850" max="3850" width="2.28515625" style="664" bestFit="1" customWidth="1"/>
    <col min="3851" max="3852" width="2.28515625" style="664" customWidth="1"/>
    <col min="3853" max="3853" width="2.5703125" style="664" bestFit="1" customWidth="1"/>
    <col min="3854" max="3854" width="2.28515625" style="664" bestFit="1" customWidth="1"/>
    <col min="3855" max="4097" width="9.140625" style="664"/>
    <col min="4098" max="4098" width="18.140625" style="664" customWidth="1"/>
    <col min="4099" max="4099" width="21.5703125" style="664" customWidth="1"/>
    <col min="4100" max="4100" width="21.28515625" style="664" bestFit="1" customWidth="1"/>
    <col min="4101" max="4101" width="6.85546875" style="664" bestFit="1" customWidth="1"/>
    <col min="4102" max="4102" width="29.85546875" style="664" customWidth="1"/>
    <col min="4103" max="4103" width="43.7109375" style="664" customWidth="1"/>
    <col min="4104" max="4104" width="17.140625" style="664" customWidth="1"/>
    <col min="4105" max="4105" width="7.85546875" style="664" customWidth="1"/>
    <col min="4106" max="4106" width="2.28515625" style="664" bestFit="1" customWidth="1"/>
    <col min="4107" max="4108" width="2.28515625" style="664" customWidth="1"/>
    <col min="4109" max="4109" width="2.5703125" style="664" bestFit="1" customWidth="1"/>
    <col min="4110" max="4110" width="2.28515625" style="664" bestFit="1" customWidth="1"/>
    <col min="4111" max="4353" width="9.140625" style="664"/>
    <col min="4354" max="4354" width="18.140625" style="664" customWidth="1"/>
    <col min="4355" max="4355" width="21.5703125" style="664" customWidth="1"/>
    <col min="4356" max="4356" width="21.28515625" style="664" bestFit="1" customWidth="1"/>
    <col min="4357" max="4357" width="6.85546875" style="664" bestFit="1" customWidth="1"/>
    <col min="4358" max="4358" width="29.85546875" style="664" customWidth="1"/>
    <col min="4359" max="4359" width="43.7109375" style="664" customWidth="1"/>
    <col min="4360" max="4360" width="17.140625" style="664" customWidth="1"/>
    <col min="4361" max="4361" width="7.85546875" style="664" customWidth="1"/>
    <col min="4362" max="4362" width="2.28515625" style="664" bestFit="1" customWidth="1"/>
    <col min="4363" max="4364" width="2.28515625" style="664" customWidth="1"/>
    <col min="4365" max="4365" width="2.5703125" style="664" bestFit="1" customWidth="1"/>
    <col min="4366" max="4366" width="2.28515625" style="664" bestFit="1" customWidth="1"/>
    <col min="4367" max="4609" width="9.140625" style="664"/>
    <col min="4610" max="4610" width="18.140625" style="664" customWidth="1"/>
    <col min="4611" max="4611" width="21.5703125" style="664" customWidth="1"/>
    <col min="4612" max="4612" width="21.28515625" style="664" bestFit="1" customWidth="1"/>
    <col min="4613" max="4613" width="6.85546875" style="664" bestFit="1" customWidth="1"/>
    <col min="4614" max="4614" width="29.85546875" style="664" customWidth="1"/>
    <col min="4615" max="4615" width="43.7109375" style="664" customWidth="1"/>
    <col min="4616" max="4616" width="17.140625" style="664" customWidth="1"/>
    <col min="4617" max="4617" width="7.85546875" style="664" customWidth="1"/>
    <col min="4618" max="4618" width="2.28515625" style="664" bestFit="1" customWidth="1"/>
    <col min="4619" max="4620" width="2.28515625" style="664" customWidth="1"/>
    <col min="4621" max="4621" width="2.5703125" style="664" bestFit="1" customWidth="1"/>
    <col min="4622" max="4622" width="2.28515625" style="664" bestFit="1" customWidth="1"/>
    <col min="4623" max="4865" width="9.140625" style="664"/>
    <col min="4866" max="4866" width="18.140625" style="664" customWidth="1"/>
    <col min="4867" max="4867" width="21.5703125" style="664" customWidth="1"/>
    <col min="4868" max="4868" width="21.28515625" style="664" bestFit="1" customWidth="1"/>
    <col min="4869" max="4869" width="6.85546875" style="664" bestFit="1" customWidth="1"/>
    <col min="4870" max="4870" width="29.85546875" style="664" customWidth="1"/>
    <col min="4871" max="4871" width="43.7109375" style="664" customWidth="1"/>
    <col min="4872" max="4872" width="17.140625" style="664" customWidth="1"/>
    <col min="4873" max="4873" width="7.85546875" style="664" customWidth="1"/>
    <col min="4874" max="4874" width="2.28515625" style="664" bestFit="1" customWidth="1"/>
    <col min="4875" max="4876" width="2.28515625" style="664" customWidth="1"/>
    <col min="4877" max="4877" width="2.5703125" style="664" bestFit="1" customWidth="1"/>
    <col min="4878" max="4878" width="2.28515625" style="664" bestFit="1" customWidth="1"/>
    <col min="4879" max="5121" width="9.140625" style="664"/>
    <col min="5122" max="5122" width="18.140625" style="664" customWidth="1"/>
    <col min="5123" max="5123" width="21.5703125" style="664" customWidth="1"/>
    <col min="5124" max="5124" width="21.28515625" style="664" bestFit="1" customWidth="1"/>
    <col min="5125" max="5125" width="6.85546875" style="664" bestFit="1" customWidth="1"/>
    <col min="5126" max="5126" width="29.85546875" style="664" customWidth="1"/>
    <col min="5127" max="5127" width="43.7109375" style="664" customWidth="1"/>
    <col min="5128" max="5128" width="17.140625" style="664" customWidth="1"/>
    <col min="5129" max="5129" width="7.85546875" style="664" customWidth="1"/>
    <col min="5130" max="5130" width="2.28515625" style="664" bestFit="1" customWidth="1"/>
    <col min="5131" max="5132" width="2.28515625" style="664" customWidth="1"/>
    <col min="5133" max="5133" width="2.5703125" style="664" bestFit="1" customWidth="1"/>
    <col min="5134" max="5134" width="2.28515625" style="664" bestFit="1" customWidth="1"/>
    <col min="5135" max="5377" width="9.140625" style="664"/>
    <col min="5378" max="5378" width="18.140625" style="664" customWidth="1"/>
    <col min="5379" max="5379" width="21.5703125" style="664" customWidth="1"/>
    <col min="5380" max="5380" width="21.28515625" style="664" bestFit="1" customWidth="1"/>
    <col min="5381" max="5381" width="6.85546875" style="664" bestFit="1" customWidth="1"/>
    <col min="5382" max="5382" width="29.85546875" style="664" customWidth="1"/>
    <col min="5383" max="5383" width="43.7109375" style="664" customWidth="1"/>
    <col min="5384" max="5384" width="17.140625" style="664" customWidth="1"/>
    <col min="5385" max="5385" width="7.85546875" style="664" customWidth="1"/>
    <col min="5386" max="5386" width="2.28515625" style="664" bestFit="1" customWidth="1"/>
    <col min="5387" max="5388" width="2.28515625" style="664" customWidth="1"/>
    <col min="5389" max="5389" width="2.5703125" style="664" bestFit="1" customWidth="1"/>
    <col min="5390" max="5390" width="2.28515625" style="664" bestFit="1" customWidth="1"/>
    <col min="5391" max="5633" width="9.140625" style="664"/>
    <col min="5634" max="5634" width="18.140625" style="664" customWidth="1"/>
    <col min="5635" max="5635" width="21.5703125" style="664" customWidth="1"/>
    <col min="5636" max="5636" width="21.28515625" style="664" bestFit="1" customWidth="1"/>
    <col min="5637" max="5637" width="6.85546875" style="664" bestFit="1" customWidth="1"/>
    <col min="5638" max="5638" width="29.85546875" style="664" customWidth="1"/>
    <col min="5639" max="5639" width="43.7109375" style="664" customWidth="1"/>
    <col min="5640" max="5640" width="17.140625" style="664" customWidth="1"/>
    <col min="5641" max="5641" width="7.85546875" style="664" customWidth="1"/>
    <col min="5642" max="5642" width="2.28515625" style="664" bestFit="1" customWidth="1"/>
    <col min="5643" max="5644" width="2.28515625" style="664" customWidth="1"/>
    <col min="5645" max="5645" width="2.5703125" style="664" bestFit="1" customWidth="1"/>
    <col min="5646" max="5646" width="2.28515625" style="664" bestFit="1" customWidth="1"/>
    <col min="5647" max="5889" width="9.140625" style="664"/>
    <col min="5890" max="5890" width="18.140625" style="664" customWidth="1"/>
    <col min="5891" max="5891" width="21.5703125" style="664" customWidth="1"/>
    <col min="5892" max="5892" width="21.28515625" style="664" bestFit="1" customWidth="1"/>
    <col min="5893" max="5893" width="6.85546875" style="664" bestFit="1" customWidth="1"/>
    <col min="5894" max="5894" width="29.85546875" style="664" customWidth="1"/>
    <col min="5895" max="5895" width="43.7109375" style="664" customWidth="1"/>
    <col min="5896" max="5896" width="17.140625" style="664" customWidth="1"/>
    <col min="5897" max="5897" width="7.85546875" style="664" customWidth="1"/>
    <col min="5898" max="5898" width="2.28515625" style="664" bestFit="1" customWidth="1"/>
    <col min="5899" max="5900" width="2.28515625" style="664" customWidth="1"/>
    <col min="5901" max="5901" width="2.5703125" style="664" bestFit="1" customWidth="1"/>
    <col min="5902" max="5902" width="2.28515625" style="664" bestFit="1" customWidth="1"/>
    <col min="5903" max="6145" width="9.140625" style="664"/>
    <col min="6146" max="6146" width="18.140625" style="664" customWidth="1"/>
    <col min="6147" max="6147" width="21.5703125" style="664" customWidth="1"/>
    <col min="6148" max="6148" width="21.28515625" style="664" bestFit="1" customWidth="1"/>
    <col min="6149" max="6149" width="6.85546875" style="664" bestFit="1" customWidth="1"/>
    <col min="6150" max="6150" width="29.85546875" style="664" customWidth="1"/>
    <col min="6151" max="6151" width="43.7109375" style="664" customWidth="1"/>
    <col min="6152" max="6152" width="17.140625" style="664" customWidth="1"/>
    <col min="6153" max="6153" width="7.85546875" style="664" customWidth="1"/>
    <col min="6154" max="6154" width="2.28515625" style="664" bestFit="1" customWidth="1"/>
    <col min="6155" max="6156" width="2.28515625" style="664" customWidth="1"/>
    <col min="6157" max="6157" width="2.5703125" style="664" bestFit="1" customWidth="1"/>
    <col min="6158" max="6158" width="2.28515625" style="664" bestFit="1" customWidth="1"/>
    <col min="6159" max="6401" width="9.140625" style="664"/>
    <col min="6402" max="6402" width="18.140625" style="664" customWidth="1"/>
    <col min="6403" max="6403" width="21.5703125" style="664" customWidth="1"/>
    <col min="6404" max="6404" width="21.28515625" style="664" bestFit="1" customWidth="1"/>
    <col min="6405" max="6405" width="6.85546875" style="664" bestFit="1" customWidth="1"/>
    <col min="6406" max="6406" width="29.85546875" style="664" customWidth="1"/>
    <col min="6407" max="6407" width="43.7109375" style="664" customWidth="1"/>
    <col min="6408" max="6408" width="17.140625" style="664" customWidth="1"/>
    <col min="6409" max="6409" width="7.85546875" style="664" customWidth="1"/>
    <col min="6410" max="6410" width="2.28515625" style="664" bestFit="1" customWidth="1"/>
    <col min="6411" max="6412" width="2.28515625" style="664" customWidth="1"/>
    <col min="6413" max="6413" width="2.5703125" style="664" bestFit="1" customWidth="1"/>
    <col min="6414" max="6414" width="2.28515625" style="664" bestFit="1" customWidth="1"/>
    <col min="6415" max="6657" width="9.140625" style="664"/>
    <col min="6658" max="6658" width="18.140625" style="664" customWidth="1"/>
    <col min="6659" max="6659" width="21.5703125" style="664" customWidth="1"/>
    <col min="6660" max="6660" width="21.28515625" style="664" bestFit="1" customWidth="1"/>
    <col min="6661" max="6661" width="6.85546875" style="664" bestFit="1" customWidth="1"/>
    <col min="6662" max="6662" width="29.85546875" style="664" customWidth="1"/>
    <col min="6663" max="6663" width="43.7109375" style="664" customWidth="1"/>
    <col min="6664" max="6664" width="17.140625" style="664" customWidth="1"/>
    <col min="6665" max="6665" width="7.85546875" style="664" customWidth="1"/>
    <col min="6666" max="6666" width="2.28515625" style="664" bestFit="1" customWidth="1"/>
    <col min="6667" max="6668" width="2.28515625" style="664" customWidth="1"/>
    <col min="6669" max="6669" width="2.5703125" style="664" bestFit="1" customWidth="1"/>
    <col min="6670" max="6670" width="2.28515625" style="664" bestFit="1" customWidth="1"/>
    <col min="6671" max="6913" width="9.140625" style="664"/>
    <col min="6914" max="6914" width="18.140625" style="664" customWidth="1"/>
    <col min="6915" max="6915" width="21.5703125" style="664" customWidth="1"/>
    <col min="6916" max="6916" width="21.28515625" style="664" bestFit="1" customWidth="1"/>
    <col min="6917" max="6917" width="6.85546875" style="664" bestFit="1" customWidth="1"/>
    <col min="6918" max="6918" width="29.85546875" style="664" customWidth="1"/>
    <col min="6919" max="6919" width="43.7109375" style="664" customWidth="1"/>
    <col min="6920" max="6920" width="17.140625" style="664" customWidth="1"/>
    <col min="6921" max="6921" width="7.85546875" style="664" customWidth="1"/>
    <col min="6922" max="6922" width="2.28515625" style="664" bestFit="1" customWidth="1"/>
    <col min="6923" max="6924" width="2.28515625" style="664" customWidth="1"/>
    <col min="6925" max="6925" width="2.5703125" style="664" bestFit="1" customWidth="1"/>
    <col min="6926" max="6926" width="2.28515625" style="664" bestFit="1" customWidth="1"/>
    <col min="6927" max="7169" width="9.140625" style="664"/>
    <col min="7170" max="7170" width="18.140625" style="664" customWidth="1"/>
    <col min="7171" max="7171" width="21.5703125" style="664" customWidth="1"/>
    <col min="7172" max="7172" width="21.28515625" style="664" bestFit="1" customWidth="1"/>
    <col min="7173" max="7173" width="6.85546875" style="664" bestFit="1" customWidth="1"/>
    <col min="7174" max="7174" width="29.85546875" style="664" customWidth="1"/>
    <col min="7175" max="7175" width="43.7109375" style="664" customWidth="1"/>
    <col min="7176" max="7176" width="17.140625" style="664" customWidth="1"/>
    <col min="7177" max="7177" width="7.85546875" style="664" customWidth="1"/>
    <col min="7178" max="7178" width="2.28515625" style="664" bestFit="1" customWidth="1"/>
    <col min="7179" max="7180" width="2.28515625" style="664" customWidth="1"/>
    <col min="7181" max="7181" width="2.5703125" style="664" bestFit="1" customWidth="1"/>
    <col min="7182" max="7182" width="2.28515625" style="664" bestFit="1" customWidth="1"/>
    <col min="7183" max="7425" width="9.140625" style="664"/>
    <col min="7426" max="7426" width="18.140625" style="664" customWidth="1"/>
    <col min="7427" max="7427" width="21.5703125" style="664" customWidth="1"/>
    <col min="7428" max="7428" width="21.28515625" style="664" bestFit="1" customWidth="1"/>
    <col min="7429" max="7429" width="6.85546875" style="664" bestFit="1" customWidth="1"/>
    <col min="7430" max="7430" width="29.85546875" style="664" customWidth="1"/>
    <col min="7431" max="7431" width="43.7109375" style="664" customWidth="1"/>
    <col min="7432" max="7432" width="17.140625" style="664" customWidth="1"/>
    <col min="7433" max="7433" width="7.85546875" style="664" customWidth="1"/>
    <col min="7434" max="7434" width="2.28515625" style="664" bestFit="1" customWidth="1"/>
    <col min="7435" max="7436" width="2.28515625" style="664" customWidth="1"/>
    <col min="7437" max="7437" width="2.5703125" style="664" bestFit="1" customWidth="1"/>
    <col min="7438" max="7438" width="2.28515625" style="664" bestFit="1" customWidth="1"/>
    <col min="7439" max="7681" width="9.140625" style="664"/>
    <col min="7682" max="7682" width="18.140625" style="664" customWidth="1"/>
    <col min="7683" max="7683" width="21.5703125" style="664" customWidth="1"/>
    <col min="7684" max="7684" width="21.28515625" style="664" bestFit="1" customWidth="1"/>
    <col min="7685" max="7685" width="6.85546875" style="664" bestFit="1" customWidth="1"/>
    <col min="7686" max="7686" width="29.85546875" style="664" customWidth="1"/>
    <col min="7687" max="7687" width="43.7109375" style="664" customWidth="1"/>
    <col min="7688" max="7688" width="17.140625" style="664" customWidth="1"/>
    <col min="7689" max="7689" width="7.85546875" style="664" customWidth="1"/>
    <col min="7690" max="7690" width="2.28515625" style="664" bestFit="1" customWidth="1"/>
    <col min="7691" max="7692" width="2.28515625" style="664" customWidth="1"/>
    <col min="7693" max="7693" width="2.5703125" style="664" bestFit="1" customWidth="1"/>
    <col min="7694" max="7694" width="2.28515625" style="664" bestFit="1" customWidth="1"/>
    <col min="7695" max="7937" width="9.140625" style="664"/>
    <col min="7938" max="7938" width="18.140625" style="664" customWidth="1"/>
    <col min="7939" max="7939" width="21.5703125" style="664" customWidth="1"/>
    <col min="7940" max="7940" width="21.28515625" style="664" bestFit="1" customWidth="1"/>
    <col min="7941" max="7941" width="6.85546875" style="664" bestFit="1" customWidth="1"/>
    <col min="7942" max="7942" width="29.85546875" style="664" customWidth="1"/>
    <col min="7943" max="7943" width="43.7109375" style="664" customWidth="1"/>
    <col min="7944" max="7944" width="17.140625" style="664" customWidth="1"/>
    <col min="7945" max="7945" width="7.85546875" style="664" customWidth="1"/>
    <col min="7946" max="7946" width="2.28515625" style="664" bestFit="1" customWidth="1"/>
    <col min="7947" max="7948" width="2.28515625" style="664" customWidth="1"/>
    <col min="7949" max="7949" width="2.5703125" style="664" bestFit="1" customWidth="1"/>
    <col min="7950" max="7950" width="2.28515625" style="664" bestFit="1" customWidth="1"/>
    <col min="7951" max="8193" width="9.140625" style="664"/>
    <col min="8194" max="8194" width="18.140625" style="664" customWidth="1"/>
    <col min="8195" max="8195" width="21.5703125" style="664" customWidth="1"/>
    <col min="8196" max="8196" width="21.28515625" style="664" bestFit="1" customWidth="1"/>
    <col min="8197" max="8197" width="6.85546875" style="664" bestFit="1" customWidth="1"/>
    <col min="8198" max="8198" width="29.85546875" style="664" customWidth="1"/>
    <col min="8199" max="8199" width="43.7109375" style="664" customWidth="1"/>
    <col min="8200" max="8200" width="17.140625" style="664" customWidth="1"/>
    <col min="8201" max="8201" width="7.85546875" style="664" customWidth="1"/>
    <col min="8202" max="8202" width="2.28515625" style="664" bestFit="1" customWidth="1"/>
    <col min="8203" max="8204" width="2.28515625" style="664" customWidth="1"/>
    <col min="8205" max="8205" width="2.5703125" style="664" bestFit="1" customWidth="1"/>
    <col min="8206" max="8206" width="2.28515625" style="664" bestFit="1" customWidth="1"/>
    <col min="8207" max="8449" width="9.140625" style="664"/>
    <col min="8450" max="8450" width="18.140625" style="664" customWidth="1"/>
    <col min="8451" max="8451" width="21.5703125" style="664" customWidth="1"/>
    <col min="8452" max="8452" width="21.28515625" style="664" bestFit="1" customWidth="1"/>
    <col min="8453" max="8453" width="6.85546875" style="664" bestFit="1" customWidth="1"/>
    <col min="8454" max="8454" width="29.85546875" style="664" customWidth="1"/>
    <col min="8455" max="8455" width="43.7109375" style="664" customWidth="1"/>
    <col min="8456" max="8456" width="17.140625" style="664" customWidth="1"/>
    <col min="8457" max="8457" width="7.85546875" style="664" customWidth="1"/>
    <col min="8458" max="8458" width="2.28515625" style="664" bestFit="1" customWidth="1"/>
    <col min="8459" max="8460" width="2.28515625" style="664" customWidth="1"/>
    <col min="8461" max="8461" width="2.5703125" style="664" bestFit="1" customWidth="1"/>
    <col min="8462" max="8462" width="2.28515625" style="664" bestFit="1" customWidth="1"/>
    <col min="8463" max="8705" width="9.140625" style="664"/>
    <col min="8706" max="8706" width="18.140625" style="664" customWidth="1"/>
    <col min="8707" max="8707" width="21.5703125" style="664" customWidth="1"/>
    <col min="8708" max="8708" width="21.28515625" style="664" bestFit="1" customWidth="1"/>
    <col min="8709" max="8709" width="6.85546875" style="664" bestFit="1" customWidth="1"/>
    <col min="8710" max="8710" width="29.85546875" style="664" customWidth="1"/>
    <col min="8711" max="8711" width="43.7109375" style="664" customWidth="1"/>
    <col min="8712" max="8712" width="17.140625" style="664" customWidth="1"/>
    <col min="8713" max="8713" width="7.85546875" style="664" customWidth="1"/>
    <col min="8714" max="8714" width="2.28515625" style="664" bestFit="1" customWidth="1"/>
    <col min="8715" max="8716" width="2.28515625" style="664" customWidth="1"/>
    <col min="8717" max="8717" width="2.5703125" style="664" bestFit="1" customWidth="1"/>
    <col min="8718" max="8718" width="2.28515625" style="664" bestFit="1" customWidth="1"/>
    <col min="8719" max="8961" width="9.140625" style="664"/>
    <col min="8962" max="8962" width="18.140625" style="664" customWidth="1"/>
    <col min="8963" max="8963" width="21.5703125" style="664" customWidth="1"/>
    <col min="8964" max="8964" width="21.28515625" style="664" bestFit="1" customWidth="1"/>
    <col min="8965" max="8965" width="6.85546875" style="664" bestFit="1" customWidth="1"/>
    <col min="8966" max="8966" width="29.85546875" style="664" customWidth="1"/>
    <col min="8967" max="8967" width="43.7109375" style="664" customWidth="1"/>
    <col min="8968" max="8968" width="17.140625" style="664" customWidth="1"/>
    <col min="8969" max="8969" width="7.85546875" style="664" customWidth="1"/>
    <col min="8970" max="8970" width="2.28515625" style="664" bestFit="1" customWidth="1"/>
    <col min="8971" max="8972" width="2.28515625" style="664" customWidth="1"/>
    <col min="8973" max="8973" width="2.5703125" style="664" bestFit="1" customWidth="1"/>
    <col min="8974" max="8974" width="2.28515625" style="664" bestFit="1" customWidth="1"/>
    <col min="8975" max="9217" width="9.140625" style="664"/>
    <col min="9218" max="9218" width="18.140625" style="664" customWidth="1"/>
    <col min="9219" max="9219" width="21.5703125" style="664" customWidth="1"/>
    <col min="9220" max="9220" width="21.28515625" style="664" bestFit="1" customWidth="1"/>
    <col min="9221" max="9221" width="6.85546875" style="664" bestFit="1" customWidth="1"/>
    <col min="9222" max="9222" width="29.85546875" style="664" customWidth="1"/>
    <col min="9223" max="9223" width="43.7109375" style="664" customWidth="1"/>
    <col min="9224" max="9224" width="17.140625" style="664" customWidth="1"/>
    <col min="9225" max="9225" width="7.85546875" style="664" customWidth="1"/>
    <col min="9226" max="9226" width="2.28515625" style="664" bestFit="1" customWidth="1"/>
    <col min="9227" max="9228" width="2.28515625" style="664" customWidth="1"/>
    <col min="9229" max="9229" width="2.5703125" style="664" bestFit="1" customWidth="1"/>
    <col min="9230" max="9230" width="2.28515625" style="664" bestFit="1" customWidth="1"/>
    <col min="9231" max="9473" width="9.140625" style="664"/>
    <col min="9474" max="9474" width="18.140625" style="664" customWidth="1"/>
    <col min="9475" max="9475" width="21.5703125" style="664" customWidth="1"/>
    <col min="9476" max="9476" width="21.28515625" style="664" bestFit="1" customWidth="1"/>
    <col min="9477" max="9477" width="6.85546875" style="664" bestFit="1" customWidth="1"/>
    <col min="9478" max="9478" width="29.85546875" style="664" customWidth="1"/>
    <col min="9479" max="9479" width="43.7109375" style="664" customWidth="1"/>
    <col min="9480" max="9480" width="17.140625" style="664" customWidth="1"/>
    <col min="9481" max="9481" width="7.85546875" style="664" customWidth="1"/>
    <col min="9482" max="9482" width="2.28515625" style="664" bestFit="1" customWidth="1"/>
    <col min="9483" max="9484" width="2.28515625" style="664" customWidth="1"/>
    <col min="9485" max="9485" width="2.5703125" style="664" bestFit="1" customWidth="1"/>
    <col min="9486" max="9486" width="2.28515625" style="664" bestFit="1" customWidth="1"/>
    <col min="9487" max="9729" width="9.140625" style="664"/>
    <col min="9730" max="9730" width="18.140625" style="664" customWidth="1"/>
    <col min="9731" max="9731" width="21.5703125" style="664" customWidth="1"/>
    <col min="9732" max="9732" width="21.28515625" style="664" bestFit="1" customWidth="1"/>
    <col min="9733" max="9733" width="6.85546875" style="664" bestFit="1" customWidth="1"/>
    <col min="9734" max="9734" width="29.85546875" style="664" customWidth="1"/>
    <col min="9735" max="9735" width="43.7109375" style="664" customWidth="1"/>
    <col min="9736" max="9736" width="17.140625" style="664" customWidth="1"/>
    <col min="9737" max="9737" width="7.85546875" style="664" customWidth="1"/>
    <col min="9738" max="9738" width="2.28515625" style="664" bestFit="1" customWidth="1"/>
    <col min="9739" max="9740" width="2.28515625" style="664" customWidth="1"/>
    <col min="9741" max="9741" width="2.5703125" style="664" bestFit="1" customWidth="1"/>
    <col min="9742" max="9742" width="2.28515625" style="664" bestFit="1" customWidth="1"/>
    <col min="9743" max="9985" width="9.140625" style="664"/>
    <col min="9986" max="9986" width="18.140625" style="664" customWidth="1"/>
    <col min="9987" max="9987" width="21.5703125" style="664" customWidth="1"/>
    <col min="9988" max="9988" width="21.28515625" style="664" bestFit="1" customWidth="1"/>
    <col min="9989" max="9989" width="6.85546875" style="664" bestFit="1" customWidth="1"/>
    <col min="9990" max="9990" width="29.85546875" style="664" customWidth="1"/>
    <col min="9991" max="9991" width="43.7109375" style="664" customWidth="1"/>
    <col min="9992" max="9992" width="17.140625" style="664" customWidth="1"/>
    <col min="9993" max="9993" width="7.85546875" style="664" customWidth="1"/>
    <col min="9994" max="9994" width="2.28515625" style="664" bestFit="1" customWidth="1"/>
    <col min="9995" max="9996" width="2.28515625" style="664" customWidth="1"/>
    <col min="9997" max="9997" width="2.5703125" style="664" bestFit="1" customWidth="1"/>
    <col min="9998" max="9998" width="2.28515625" style="664" bestFit="1" customWidth="1"/>
    <col min="9999" max="10241" width="9.140625" style="664"/>
    <col min="10242" max="10242" width="18.140625" style="664" customWidth="1"/>
    <col min="10243" max="10243" width="21.5703125" style="664" customWidth="1"/>
    <col min="10244" max="10244" width="21.28515625" style="664" bestFit="1" customWidth="1"/>
    <col min="10245" max="10245" width="6.85546875" style="664" bestFit="1" customWidth="1"/>
    <col min="10246" max="10246" width="29.85546875" style="664" customWidth="1"/>
    <col min="10247" max="10247" width="43.7109375" style="664" customWidth="1"/>
    <col min="10248" max="10248" width="17.140625" style="664" customWidth="1"/>
    <col min="10249" max="10249" width="7.85546875" style="664" customWidth="1"/>
    <col min="10250" max="10250" width="2.28515625" style="664" bestFit="1" customWidth="1"/>
    <col min="10251" max="10252" width="2.28515625" style="664" customWidth="1"/>
    <col min="10253" max="10253" width="2.5703125" style="664" bestFit="1" customWidth="1"/>
    <col min="10254" max="10254" width="2.28515625" style="664" bestFit="1" customWidth="1"/>
    <col min="10255" max="10497" width="9.140625" style="664"/>
    <col min="10498" max="10498" width="18.140625" style="664" customWidth="1"/>
    <col min="10499" max="10499" width="21.5703125" style="664" customWidth="1"/>
    <col min="10500" max="10500" width="21.28515625" style="664" bestFit="1" customWidth="1"/>
    <col min="10501" max="10501" width="6.85546875" style="664" bestFit="1" customWidth="1"/>
    <col min="10502" max="10502" width="29.85546875" style="664" customWidth="1"/>
    <col min="10503" max="10503" width="43.7109375" style="664" customWidth="1"/>
    <col min="10504" max="10504" width="17.140625" style="664" customWidth="1"/>
    <col min="10505" max="10505" width="7.85546875" style="664" customWidth="1"/>
    <col min="10506" max="10506" width="2.28515625" style="664" bestFit="1" customWidth="1"/>
    <col min="10507" max="10508" width="2.28515625" style="664" customWidth="1"/>
    <col min="10509" max="10509" width="2.5703125" style="664" bestFit="1" customWidth="1"/>
    <col min="10510" max="10510" width="2.28515625" style="664" bestFit="1" customWidth="1"/>
    <col min="10511" max="10753" width="9.140625" style="664"/>
    <col min="10754" max="10754" width="18.140625" style="664" customWidth="1"/>
    <col min="10755" max="10755" width="21.5703125" style="664" customWidth="1"/>
    <col min="10756" max="10756" width="21.28515625" style="664" bestFit="1" customWidth="1"/>
    <col min="10757" max="10757" width="6.85546875" style="664" bestFit="1" customWidth="1"/>
    <col min="10758" max="10758" width="29.85546875" style="664" customWidth="1"/>
    <col min="10759" max="10759" width="43.7109375" style="664" customWidth="1"/>
    <col min="10760" max="10760" width="17.140625" style="664" customWidth="1"/>
    <col min="10761" max="10761" width="7.85546875" style="664" customWidth="1"/>
    <col min="10762" max="10762" width="2.28515625" style="664" bestFit="1" customWidth="1"/>
    <col min="10763" max="10764" width="2.28515625" style="664" customWidth="1"/>
    <col min="10765" max="10765" width="2.5703125" style="664" bestFit="1" customWidth="1"/>
    <col min="10766" max="10766" width="2.28515625" style="664" bestFit="1" customWidth="1"/>
    <col min="10767" max="11009" width="9.140625" style="664"/>
    <col min="11010" max="11010" width="18.140625" style="664" customWidth="1"/>
    <col min="11011" max="11011" width="21.5703125" style="664" customWidth="1"/>
    <col min="11012" max="11012" width="21.28515625" style="664" bestFit="1" customWidth="1"/>
    <col min="11013" max="11013" width="6.85546875" style="664" bestFit="1" customWidth="1"/>
    <col min="11014" max="11014" width="29.85546875" style="664" customWidth="1"/>
    <col min="11015" max="11015" width="43.7109375" style="664" customWidth="1"/>
    <col min="11016" max="11016" width="17.140625" style="664" customWidth="1"/>
    <col min="11017" max="11017" width="7.85546875" style="664" customWidth="1"/>
    <col min="11018" max="11018" width="2.28515625" style="664" bestFit="1" customWidth="1"/>
    <col min="11019" max="11020" width="2.28515625" style="664" customWidth="1"/>
    <col min="11021" max="11021" width="2.5703125" style="664" bestFit="1" customWidth="1"/>
    <col min="11022" max="11022" width="2.28515625" style="664" bestFit="1" customWidth="1"/>
    <col min="11023" max="11265" width="9.140625" style="664"/>
    <col min="11266" max="11266" width="18.140625" style="664" customWidth="1"/>
    <col min="11267" max="11267" width="21.5703125" style="664" customWidth="1"/>
    <col min="11268" max="11268" width="21.28515625" style="664" bestFit="1" customWidth="1"/>
    <col min="11269" max="11269" width="6.85546875" style="664" bestFit="1" customWidth="1"/>
    <col min="11270" max="11270" width="29.85546875" style="664" customWidth="1"/>
    <col min="11271" max="11271" width="43.7109375" style="664" customWidth="1"/>
    <col min="11272" max="11272" width="17.140625" style="664" customWidth="1"/>
    <col min="11273" max="11273" width="7.85546875" style="664" customWidth="1"/>
    <col min="11274" max="11274" width="2.28515625" style="664" bestFit="1" customWidth="1"/>
    <col min="11275" max="11276" width="2.28515625" style="664" customWidth="1"/>
    <col min="11277" max="11277" width="2.5703125" style="664" bestFit="1" customWidth="1"/>
    <col min="11278" max="11278" width="2.28515625" style="664" bestFit="1" customWidth="1"/>
    <col min="11279" max="11521" width="9.140625" style="664"/>
    <col min="11522" max="11522" width="18.140625" style="664" customWidth="1"/>
    <col min="11523" max="11523" width="21.5703125" style="664" customWidth="1"/>
    <col min="11524" max="11524" width="21.28515625" style="664" bestFit="1" customWidth="1"/>
    <col min="11525" max="11525" width="6.85546875" style="664" bestFit="1" customWidth="1"/>
    <col min="11526" max="11526" width="29.85546875" style="664" customWidth="1"/>
    <col min="11527" max="11527" width="43.7109375" style="664" customWidth="1"/>
    <col min="11528" max="11528" width="17.140625" style="664" customWidth="1"/>
    <col min="11529" max="11529" width="7.85546875" style="664" customWidth="1"/>
    <col min="11530" max="11530" width="2.28515625" style="664" bestFit="1" customWidth="1"/>
    <col min="11531" max="11532" width="2.28515625" style="664" customWidth="1"/>
    <col min="11533" max="11533" width="2.5703125" style="664" bestFit="1" customWidth="1"/>
    <col min="11534" max="11534" width="2.28515625" style="664" bestFit="1" customWidth="1"/>
    <col min="11535" max="11777" width="9.140625" style="664"/>
    <col min="11778" max="11778" width="18.140625" style="664" customWidth="1"/>
    <col min="11779" max="11779" width="21.5703125" style="664" customWidth="1"/>
    <col min="11780" max="11780" width="21.28515625" style="664" bestFit="1" customWidth="1"/>
    <col min="11781" max="11781" width="6.85546875" style="664" bestFit="1" customWidth="1"/>
    <col min="11782" max="11782" width="29.85546875" style="664" customWidth="1"/>
    <col min="11783" max="11783" width="43.7109375" style="664" customWidth="1"/>
    <col min="11784" max="11784" width="17.140625" style="664" customWidth="1"/>
    <col min="11785" max="11785" width="7.85546875" style="664" customWidth="1"/>
    <col min="11786" max="11786" width="2.28515625" style="664" bestFit="1" customWidth="1"/>
    <col min="11787" max="11788" width="2.28515625" style="664" customWidth="1"/>
    <col min="11789" max="11789" width="2.5703125" style="664" bestFit="1" customWidth="1"/>
    <col min="11790" max="11790" width="2.28515625" style="664" bestFit="1" customWidth="1"/>
    <col min="11791" max="12033" width="9.140625" style="664"/>
    <col min="12034" max="12034" width="18.140625" style="664" customWidth="1"/>
    <col min="12035" max="12035" width="21.5703125" style="664" customWidth="1"/>
    <col min="12036" max="12036" width="21.28515625" style="664" bestFit="1" customWidth="1"/>
    <col min="12037" max="12037" width="6.85546875" style="664" bestFit="1" customWidth="1"/>
    <col min="12038" max="12038" width="29.85546875" style="664" customWidth="1"/>
    <col min="12039" max="12039" width="43.7109375" style="664" customWidth="1"/>
    <col min="12040" max="12040" width="17.140625" style="664" customWidth="1"/>
    <col min="12041" max="12041" width="7.85546875" style="664" customWidth="1"/>
    <col min="12042" max="12042" width="2.28515625" style="664" bestFit="1" customWidth="1"/>
    <col min="12043" max="12044" width="2.28515625" style="664" customWidth="1"/>
    <col min="12045" max="12045" width="2.5703125" style="664" bestFit="1" customWidth="1"/>
    <col min="12046" max="12046" width="2.28515625" style="664" bestFit="1" customWidth="1"/>
    <col min="12047" max="12289" width="9.140625" style="664"/>
    <col min="12290" max="12290" width="18.140625" style="664" customWidth="1"/>
    <col min="12291" max="12291" width="21.5703125" style="664" customWidth="1"/>
    <col min="12292" max="12292" width="21.28515625" style="664" bestFit="1" customWidth="1"/>
    <col min="12293" max="12293" width="6.85546875" style="664" bestFit="1" customWidth="1"/>
    <col min="12294" max="12294" width="29.85546875" style="664" customWidth="1"/>
    <col min="12295" max="12295" width="43.7109375" style="664" customWidth="1"/>
    <col min="12296" max="12296" width="17.140625" style="664" customWidth="1"/>
    <col min="12297" max="12297" width="7.85546875" style="664" customWidth="1"/>
    <col min="12298" max="12298" width="2.28515625" style="664" bestFit="1" customWidth="1"/>
    <col min="12299" max="12300" width="2.28515625" style="664" customWidth="1"/>
    <col min="12301" max="12301" width="2.5703125" style="664" bestFit="1" customWidth="1"/>
    <col min="12302" max="12302" width="2.28515625" style="664" bestFit="1" customWidth="1"/>
    <col min="12303" max="12545" width="9.140625" style="664"/>
    <col min="12546" max="12546" width="18.140625" style="664" customWidth="1"/>
    <col min="12547" max="12547" width="21.5703125" style="664" customWidth="1"/>
    <col min="12548" max="12548" width="21.28515625" style="664" bestFit="1" customWidth="1"/>
    <col min="12549" max="12549" width="6.85546875" style="664" bestFit="1" customWidth="1"/>
    <col min="12550" max="12550" width="29.85546875" style="664" customWidth="1"/>
    <col min="12551" max="12551" width="43.7109375" style="664" customWidth="1"/>
    <col min="12552" max="12552" width="17.140625" style="664" customWidth="1"/>
    <col min="12553" max="12553" width="7.85546875" style="664" customWidth="1"/>
    <col min="12554" max="12554" width="2.28515625" style="664" bestFit="1" customWidth="1"/>
    <col min="12555" max="12556" width="2.28515625" style="664" customWidth="1"/>
    <col min="12557" max="12557" width="2.5703125" style="664" bestFit="1" customWidth="1"/>
    <col min="12558" max="12558" width="2.28515625" style="664" bestFit="1" customWidth="1"/>
    <col min="12559" max="12801" width="9.140625" style="664"/>
    <col min="12802" max="12802" width="18.140625" style="664" customWidth="1"/>
    <col min="12803" max="12803" width="21.5703125" style="664" customWidth="1"/>
    <col min="12804" max="12804" width="21.28515625" style="664" bestFit="1" customWidth="1"/>
    <col min="12805" max="12805" width="6.85546875" style="664" bestFit="1" customWidth="1"/>
    <col min="12806" max="12806" width="29.85546875" style="664" customWidth="1"/>
    <col min="12807" max="12807" width="43.7109375" style="664" customWidth="1"/>
    <col min="12808" max="12808" width="17.140625" style="664" customWidth="1"/>
    <col min="12809" max="12809" width="7.85546875" style="664" customWidth="1"/>
    <col min="12810" max="12810" width="2.28515625" style="664" bestFit="1" customWidth="1"/>
    <col min="12811" max="12812" width="2.28515625" style="664" customWidth="1"/>
    <col min="12813" max="12813" width="2.5703125" style="664" bestFit="1" customWidth="1"/>
    <col min="12814" max="12814" width="2.28515625" style="664" bestFit="1" customWidth="1"/>
    <col min="12815" max="13057" width="9.140625" style="664"/>
    <col min="13058" max="13058" width="18.140625" style="664" customWidth="1"/>
    <col min="13059" max="13059" width="21.5703125" style="664" customWidth="1"/>
    <col min="13060" max="13060" width="21.28515625" style="664" bestFit="1" customWidth="1"/>
    <col min="13061" max="13061" width="6.85546875" style="664" bestFit="1" customWidth="1"/>
    <col min="13062" max="13062" width="29.85546875" style="664" customWidth="1"/>
    <col min="13063" max="13063" width="43.7109375" style="664" customWidth="1"/>
    <col min="13064" max="13064" width="17.140625" style="664" customWidth="1"/>
    <col min="13065" max="13065" width="7.85546875" style="664" customWidth="1"/>
    <col min="13066" max="13066" width="2.28515625" style="664" bestFit="1" customWidth="1"/>
    <col min="13067" max="13068" width="2.28515625" style="664" customWidth="1"/>
    <col min="13069" max="13069" width="2.5703125" style="664" bestFit="1" customWidth="1"/>
    <col min="13070" max="13070" width="2.28515625" style="664" bestFit="1" customWidth="1"/>
    <col min="13071" max="13313" width="9.140625" style="664"/>
    <col min="13314" max="13314" width="18.140625" style="664" customWidth="1"/>
    <col min="13315" max="13315" width="21.5703125" style="664" customWidth="1"/>
    <col min="13316" max="13316" width="21.28515625" style="664" bestFit="1" customWidth="1"/>
    <col min="13317" max="13317" width="6.85546875" style="664" bestFit="1" customWidth="1"/>
    <col min="13318" max="13318" width="29.85546875" style="664" customWidth="1"/>
    <col min="13319" max="13319" width="43.7109375" style="664" customWidth="1"/>
    <col min="13320" max="13320" width="17.140625" style="664" customWidth="1"/>
    <col min="13321" max="13321" width="7.85546875" style="664" customWidth="1"/>
    <col min="13322" max="13322" width="2.28515625" style="664" bestFit="1" customWidth="1"/>
    <col min="13323" max="13324" width="2.28515625" style="664" customWidth="1"/>
    <col min="13325" max="13325" width="2.5703125" style="664" bestFit="1" customWidth="1"/>
    <col min="13326" max="13326" width="2.28515625" style="664" bestFit="1" customWidth="1"/>
    <col min="13327" max="13569" width="9.140625" style="664"/>
    <col min="13570" max="13570" width="18.140625" style="664" customWidth="1"/>
    <col min="13571" max="13571" width="21.5703125" style="664" customWidth="1"/>
    <col min="13572" max="13572" width="21.28515625" style="664" bestFit="1" customWidth="1"/>
    <col min="13573" max="13573" width="6.85546875" style="664" bestFit="1" customWidth="1"/>
    <col min="13574" max="13574" width="29.85546875" style="664" customWidth="1"/>
    <col min="13575" max="13575" width="43.7109375" style="664" customWidth="1"/>
    <col min="13576" max="13576" width="17.140625" style="664" customWidth="1"/>
    <col min="13577" max="13577" width="7.85546875" style="664" customWidth="1"/>
    <col min="13578" max="13578" width="2.28515625" style="664" bestFit="1" customWidth="1"/>
    <col min="13579" max="13580" width="2.28515625" style="664" customWidth="1"/>
    <col min="13581" max="13581" width="2.5703125" style="664" bestFit="1" customWidth="1"/>
    <col min="13582" max="13582" width="2.28515625" style="664" bestFit="1" customWidth="1"/>
    <col min="13583" max="13825" width="9.140625" style="664"/>
    <col min="13826" max="13826" width="18.140625" style="664" customWidth="1"/>
    <col min="13827" max="13827" width="21.5703125" style="664" customWidth="1"/>
    <col min="13828" max="13828" width="21.28515625" style="664" bestFit="1" customWidth="1"/>
    <col min="13829" max="13829" width="6.85546875" style="664" bestFit="1" customWidth="1"/>
    <col min="13830" max="13830" width="29.85546875" style="664" customWidth="1"/>
    <col min="13831" max="13831" width="43.7109375" style="664" customWidth="1"/>
    <col min="13832" max="13832" width="17.140625" style="664" customWidth="1"/>
    <col min="13833" max="13833" width="7.85546875" style="664" customWidth="1"/>
    <col min="13834" max="13834" width="2.28515625" style="664" bestFit="1" customWidth="1"/>
    <col min="13835" max="13836" width="2.28515625" style="664" customWidth="1"/>
    <col min="13837" max="13837" width="2.5703125" style="664" bestFit="1" customWidth="1"/>
    <col min="13838" max="13838" width="2.28515625" style="664" bestFit="1" customWidth="1"/>
    <col min="13839" max="14081" width="9.140625" style="664"/>
    <col min="14082" max="14082" width="18.140625" style="664" customWidth="1"/>
    <col min="14083" max="14083" width="21.5703125" style="664" customWidth="1"/>
    <col min="14084" max="14084" width="21.28515625" style="664" bestFit="1" customWidth="1"/>
    <col min="14085" max="14085" width="6.85546875" style="664" bestFit="1" customWidth="1"/>
    <col min="14086" max="14086" width="29.85546875" style="664" customWidth="1"/>
    <col min="14087" max="14087" width="43.7109375" style="664" customWidth="1"/>
    <col min="14088" max="14088" width="17.140625" style="664" customWidth="1"/>
    <col min="14089" max="14089" width="7.85546875" style="664" customWidth="1"/>
    <col min="14090" max="14090" width="2.28515625" style="664" bestFit="1" customWidth="1"/>
    <col min="14091" max="14092" width="2.28515625" style="664" customWidth="1"/>
    <col min="14093" max="14093" width="2.5703125" style="664" bestFit="1" customWidth="1"/>
    <col min="14094" max="14094" width="2.28515625" style="664" bestFit="1" customWidth="1"/>
    <col min="14095" max="14337" width="9.140625" style="664"/>
    <col min="14338" max="14338" width="18.140625" style="664" customWidth="1"/>
    <col min="14339" max="14339" width="21.5703125" style="664" customWidth="1"/>
    <col min="14340" max="14340" width="21.28515625" style="664" bestFit="1" customWidth="1"/>
    <col min="14341" max="14341" width="6.85546875" style="664" bestFit="1" customWidth="1"/>
    <col min="14342" max="14342" width="29.85546875" style="664" customWidth="1"/>
    <col min="14343" max="14343" width="43.7109375" style="664" customWidth="1"/>
    <col min="14344" max="14344" width="17.140625" style="664" customWidth="1"/>
    <col min="14345" max="14345" width="7.85546875" style="664" customWidth="1"/>
    <col min="14346" max="14346" width="2.28515625" style="664" bestFit="1" customWidth="1"/>
    <col min="14347" max="14348" width="2.28515625" style="664" customWidth="1"/>
    <col min="14349" max="14349" width="2.5703125" style="664" bestFit="1" customWidth="1"/>
    <col min="14350" max="14350" width="2.28515625" style="664" bestFit="1" customWidth="1"/>
    <col min="14351" max="14593" width="9.140625" style="664"/>
    <col min="14594" max="14594" width="18.140625" style="664" customWidth="1"/>
    <col min="14595" max="14595" width="21.5703125" style="664" customWidth="1"/>
    <col min="14596" max="14596" width="21.28515625" style="664" bestFit="1" customWidth="1"/>
    <col min="14597" max="14597" width="6.85546875" style="664" bestFit="1" customWidth="1"/>
    <col min="14598" max="14598" width="29.85546875" style="664" customWidth="1"/>
    <col min="14599" max="14599" width="43.7109375" style="664" customWidth="1"/>
    <col min="14600" max="14600" width="17.140625" style="664" customWidth="1"/>
    <col min="14601" max="14601" width="7.85546875" style="664" customWidth="1"/>
    <col min="14602" max="14602" width="2.28515625" style="664" bestFit="1" customWidth="1"/>
    <col min="14603" max="14604" width="2.28515625" style="664" customWidth="1"/>
    <col min="14605" max="14605" width="2.5703125" style="664" bestFit="1" customWidth="1"/>
    <col min="14606" max="14606" width="2.28515625" style="664" bestFit="1" customWidth="1"/>
    <col min="14607" max="14849" width="9.140625" style="664"/>
    <col min="14850" max="14850" width="18.140625" style="664" customWidth="1"/>
    <col min="14851" max="14851" width="21.5703125" style="664" customWidth="1"/>
    <col min="14852" max="14852" width="21.28515625" style="664" bestFit="1" customWidth="1"/>
    <col min="14853" max="14853" width="6.85546875" style="664" bestFit="1" customWidth="1"/>
    <col min="14854" max="14854" width="29.85546875" style="664" customWidth="1"/>
    <col min="14855" max="14855" width="43.7109375" style="664" customWidth="1"/>
    <col min="14856" max="14856" width="17.140625" style="664" customWidth="1"/>
    <col min="14857" max="14857" width="7.85546875" style="664" customWidth="1"/>
    <col min="14858" max="14858" width="2.28515625" style="664" bestFit="1" customWidth="1"/>
    <col min="14859" max="14860" width="2.28515625" style="664" customWidth="1"/>
    <col min="14861" max="14861" width="2.5703125" style="664" bestFit="1" customWidth="1"/>
    <col min="14862" max="14862" width="2.28515625" style="664" bestFit="1" customWidth="1"/>
    <col min="14863" max="15105" width="9.140625" style="664"/>
    <col min="15106" max="15106" width="18.140625" style="664" customWidth="1"/>
    <col min="15107" max="15107" width="21.5703125" style="664" customWidth="1"/>
    <col min="15108" max="15108" width="21.28515625" style="664" bestFit="1" customWidth="1"/>
    <col min="15109" max="15109" width="6.85546875" style="664" bestFit="1" customWidth="1"/>
    <col min="15110" max="15110" width="29.85546875" style="664" customWidth="1"/>
    <col min="15111" max="15111" width="43.7109375" style="664" customWidth="1"/>
    <col min="15112" max="15112" width="17.140625" style="664" customWidth="1"/>
    <col min="15113" max="15113" width="7.85546875" style="664" customWidth="1"/>
    <col min="15114" max="15114" width="2.28515625" style="664" bestFit="1" customWidth="1"/>
    <col min="15115" max="15116" width="2.28515625" style="664" customWidth="1"/>
    <col min="15117" max="15117" width="2.5703125" style="664" bestFit="1" customWidth="1"/>
    <col min="15118" max="15118" width="2.28515625" style="664" bestFit="1" customWidth="1"/>
    <col min="15119" max="15361" width="9.140625" style="664"/>
    <col min="15362" max="15362" width="18.140625" style="664" customWidth="1"/>
    <col min="15363" max="15363" width="21.5703125" style="664" customWidth="1"/>
    <col min="15364" max="15364" width="21.28515625" style="664" bestFit="1" customWidth="1"/>
    <col min="15365" max="15365" width="6.85546875" style="664" bestFit="1" customWidth="1"/>
    <col min="15366" max="15366" width="29.85546875" style="664" customWidth="1"/>
    <col min="15367" max="15367" width="43.7109375" style="664" customWidth="1"/>
    <col min="15368" max="15368" width="17.140625" style="664" customWidth="1"/>
    <col min="15369" max="15369" width="7.85546875" style="664" customWidth="1"/>
    <col min="15370" max="15370" width="2.28515625" style="664" bestFit="1" customWidth="1"/>
    <col min="15371" max="15372" width="2.28515625" style="664" customWidth="1"/>
    <col min="15373" max="15373" width="2.5703125" style="664" bestFit="1" customWidth="1"/>
    <col min="15374" max="15374" width="2.28515625" style="664" bestFit="1" customWidth="1"/>
    <col min="15375" max="15617" width="9.140625" style="664"/>
    <col min="15618" max="15618" width="18.140625" style="664" customWidth="1"/>
    <col min="15619" max="15619" width="21.5703125" style="664" customWidth="1"/>
    <col min="15620" max="15620" width="21.28515625" style="664" bestFit="1" customWidth="1"/>
    <col min="15621" max="15621" width="6.85546875" style="664" bestFit="1" customWidth="1"/>
    <col min="15622" max="15622" width="29.85546875" style="664" customWidth="1"/>
    <col min="15623" max="15623" width="43.7109375" style="664" customWidth="1"/>
    <col min="15624" max="15624" width="17.140625" style="664" customWidth="1"/>
    <col min="15625" max="15625" width="7.85546875" style="664" customWidth="1"/>
    <col min="15626" max="15626" width="2.28515625" style="664" bestFit="1" customWidth="1"/>
    <col min="15627" max="15628" width="2.28515625" style="664" customWidth="1"/>
    <col min="15629" max="15629" width="2.5703125" style="664" bestFit="1" customWidth="1"/>
    <col min="15630" max="15630" width="2.28515625" style="664" bestFit="1" customWidth="1"/>
    <col min="15631" max="15873" width="9.140625" style="664"/>
    <col min="15874" max="15874" width="18.140625" style="664" customWidth="1"/>
    <col min="15875" max="15875" width="21.5703125" style="664" customWidth="1"/>
    <col min="15876" max="15876" width="21.28515625" style="664" bestFit="1" customWidth="1"/>
    <col min="15877" max="15877" width="6.85546875" style="664" bestFit="1" customWidth="1"/>
    <col min="15878" max="15878" width="29.85546875" style="664" customWidth="1"/>
    <col min="15879" max="15879" width="43.7109375" style="664" customWidth="1"/>
    <col min="15880" max="15880" width="17.140625" style="664" customWidth="1"/>
    <col min="15881" max="15881" width="7.85546875" style="664" customWidth="1"/>
    <col min="15882" max="15882" width="2.28515625" style="664" bestFit="1" customWidth="1"/>
    <col min="15883" max="15884" width="2.28515625" style="664" customWidth="1"/>
    <col min="15885" max="15885" width="2.5703125" style="664" bestFit="1" customWidth="1"/>
    <col min="15886" max="15886" width="2.28515625" style="664" bestFit="1" customWidth="1"/>
    <col min="15887" max="16129" width="9.140625" style="664"/>
    <col min="16130" max="16130" width="18.140625" style="664" customWidth="1"/>
    <col min="16131" max="16131" width="21.5703125" style="664" customWidth="1"/>
    <col min="16132" max="16132" width="21.28515625" style="664" bestFit="1" customWidth="1"/>
    <col min="16133" max="16133" width="6.85546875" style="664" bestFit="1" customWidth="1"/>
    <col min="16134" max="16134" width="29.85546875" style="664" customWidth="1"/>
    <col min="16135" max="16135" width="43.7109375" style="664" customWidth="1"/>
    <col min="16136" max="16136" width="17.140625" style="664" customWidth="1"/>
    <col min="16137" max="16137" width="7.85546875" style="664" customWidth="1"/>
    <col min="16138" max="16138" width="2.28515625" style="664" bestFit="1" customWidth="1"/>
    <col min="16139" max="16140" width="2.28515625" style="664" customWidth="1"/>
    <col min="16141" max="16141" width="2.5703125" style="664" bestFit="1" customWidth="1"/>
    <col min="16142" max="16142" width="2.28515625" style="664" bestFit="1" customWidth="1"/>
    <col min="16143" max="16384" width="9.140625" style="664"/>
  </cols>
  <sheetData>
    <row r="1" spans="2:14" ht="12.75" customHeight="1">
      <c r="B1" s="659"/>
      <c r="C1" s="660"/>
      <c r="D1" s="660"/>
      <c r="E1" s="660"/>
      <c r="F1" s="660"/>
      <c r="G1" s="660"/>
      <c r="H1" s="661"/>
      <c r="I1" s="662"/>
      <c r="J1" s="663" t="s">
        <v>491</v>
      </c>
      <c r="K1" s="663" t="s">
        <v>492</v>
      </c>
      <c r="L1" s="663" t="s">
        <v>493</v>
      </c>
      <c r="M1" s="663" t="s">
        <v>492</v>
      </c>
      <c r="N1" s="663"/>
    </row>
    <row r="2" spans="2:14" ht="12.75" customHeight="1">
      <c r="B2" s="665" t="s">
        <v>494</v>
      </c>
      <c r="C2" s="666"/>
      <c r="D2" s="666"/>
      <c r="E2" s="666"/>
      <c r="F2" s="666"/>
      <c r="G2" s="666"/>
      <c r="H2" s="667"/>
      <c r="I2" s="668"/>
      <c r="J2" s="669" t="s">
        <v>495</v>
      </c>
      <c r="K2" s="669" t="s">
        <v>496</v>
      </c>
      <c r="L2" s="669" t="s">
        <v>497</v>
      </c>
      <c r="M2" s="669" t="s">
        <v>498</v>
      </c>
      <c r="N2" s="669" t="s">
        <v>499</v>
      </c>
    </row>
    <row r="3" spans="2:14" ht="12.75" customHeight="1">
      <c r="B3" s="665"/>
      <c r="C3" s="666"/>
      <c r="D3" s="666"/>
      <c r="E3" s="666"/>
      <c r="F3" s="666"/>
      <c r="G3" s="666"/>
      <c r="H3" s="667"/>
      <c r="I3" s="668"/>
      <c r="J3" s="669" t="s">
        <v>500</v>
      </c>
      <c r="K3" s="669"/>
      <c r="L3" s="669" t="s">
        <v>501</v>
      </c>
      <c r="M3" s="669" t="s">
        <v>491</v>
      </c>
      <c r="N3" s="669"/>
    </row>
    <row r="4" spans="2:14" ht="12.75" customHeight="1">
      <c r="B4" s="665"/>
      <c r="C4" s="666"/>
      <c r="D4" s="666"/>
      <c r="E4" s="666"/>
      <c r="F4" s="666"/>
      <c r="G4" s="666"/>
      <c r="H4" s="667"/>
      <c r="I4" s="668"/>
      <c r="J4" s="669" t="s">
        <v>51</v>
      </c>
      <c r="K4" s="669"/>
      <c r="L4" s="669" t="s">
        <v>497</v>
      </c>
      <c r="M4" s="669" t="s">
        <v>495</v>
      </c>
      <c r="N4" s="669"/>
    </row>
    <row r="5" spans="2:14" ht="12.75" customHeight="1">
      <c r="B5" s="670"/>
      <c r="C5" s="671"/>
      <c r="D5" s="671"/>
      <c r="E5" s="671"/>
      <c r="F5" s="671"/>
      <c r="G5" s="671"/>
      <c r="H5" s="667"/>
      <c r="I5" s="668"/>
      <c r="J5" s="669"/>
      <c r="K5" s="669" t="s">
        <v>502</v>
      </c>
      <c r="L5" s="669" t="s">
        <v>492</v>
      </c>
      <c r="M5" s="669"/>
      <c r="N5" s="669" t="s">
        <v>497</v>
      </c>
    </row>
    <row r="6" spans="2:14" ht="12" customHeight="1">
      <c r="B6" s="672"/>
      <c r="C6" s="673"/>
      <c r="D6" s="673"/>
      <c r="F6" s="673"/>
      <c r="H6" s="674"/>
      <c r="I6" s="668"/>
      <c r="J6" s="669" t="s">
        <v>496</v>
      </c>
      <c r="K6" s="669" t="s">
        <v>503</v>
      </c>
      <c r="L6" s="669"/>
      <c r="M6" s="669" t="s">
        <v>492</v>
      </c>
      <c r="N6" s="669" t="s">
        <v>504</v>
      </c>
    </row>
    <row r="7" spans="2:14" ht="12.75" customHeight="1">
      <c r="B7" s="672"/>
      <c r="D7" s="675"/>
      <c r="H7" s="674"/>
      <c r="I7" s="668"/>
      <c r="J7" s="669" t="s">
        <v>344</v>
      </c>
      <c r="K7" s="669" t="s">
        <v>500</v>
      </c>
      <c r="L7" s="669" t="s">
        <v>500</v>
      </c>
      <c r="M7" s="669" t="s">
        <v>495</v>
      </c>
      <c r="N7" s="669" t="s">
        <v>505</v>
      </c>
    </row>
    <row r="8" spans="2:14" ht="12.75" customHeight="1">
      <c r="B8" s="672"/>
      <c r="G8" s="675"/>
      <c r="H8" s="676"/>
      <c r="I8" s="669" t="s">
        <v>505</v>
      </c>
      <c r="J8" s="669" t="s">
        <v>492</v>
      </c>
      <c r="K8" s="669" t="s">
        <v>506</v>
      </c>
      <c r="L8" s="669" t="s">
        <v>495</v>
      </c>
      <c r="M8" s="669" t="s">
        <v>505</v>
      </c>
      <c r="N8" s="669" t="s">
        <v>503</v>
      </c>
    </row>
    <row r="9" spans="2:14">
      <c r="B9" s="669" t="s">
        <v>507</v>
      </c>
      <c r="C9" s="676" t="s">
        <v>508</v>
      </c>
      <c r="D9" s="676" t="s">
        <v>509</v>
      </c>
      <c r="E9" s="676" t="s">
        <v>510</v>
      </c>
      <c r="F9" s="669" t="s">
        <v>511</v>
      </c>
      <c r="G9" s="669" t="s">
        <v>512</v>
      </c>
      <c r="H9" s="669" t="s">
        <v>513</v>
      </c>
      <c r="I9" s="669" t="s">
        <v>51</v>
      </c>
      <c r="J9" s="669" t="s">
        <v>344</v>
      </c>
      <c r="K9" s="669" t="s">
        <v>495</v>
      </c>
      <c r="L9" s="669" t="s">
        <v>506</v>
      </c>
      <c r="M9" s="669" t="s">
        <v>492</v>
      </c>
      <c r="N9" s="669" t="s">
        <v>493</v>
      </c>
    </row>
    <row r="10" spans="2:14" ht="15" customHeight="1">
      <c r="B10" s="677"/>
      <c r="C10" s="678"/>
      <c r="D10" s="678"/>
      <c r="E10" s="678"/>
      <c r="F10" s="679"/>
      <c r="G10" s="680"/>
      <c r="H10" s="680"/>
      <c r="I10" s="681"/>
      <c r="J10" s="682"/>
      <c r="K10" s="682"/>
      <c r="L10" s="682"/>
      <c r="M10" s="682"/>
      <c r="N10" s="683"/>
    </row>
    <row r="11" spans="2:14" ht="15" customHeight="1">
      <c r="B11" s="677"/>
      <c r="C11" s="679"/>
      <c r="D11" s="679"/>
      <c r="E11" s="679"/>
      <c r="F11" s="679"/>
      <c r="G11" s="679"/>
      <c r="H11" s="679"/>
      <c r="I11" s="684"/>
      <c r="J11" s="682"/>
      <c r="K11" s="682"/>
      <c r="L11" s="682"/>
      <c r="M11" s="682"/>
      <c r="N11" s="683"/>
    </row>
    <row r="12" spans="2:14" ht="15" customHeight="1">
      <c r="B12" s="677"/>
      <c r="C12" s="679"/>
      <c r="D12" s="679"/>
      <c r="E12" s="679"/>
      <c r="F12" s="679"/>
      <c r="G12" s="679"/>
      <c r="H12" s="679"/>
      <c r="I12" s="684"/>
      <c r="J12" s="685"/>
      <c r="K12" s="682"/>
      <c r="L12" s="682"/>
      <c r="M12" s="682"/>
      <c r="N12" s="683"/>
    </row>
    <row r="13" spans="2:14" ht="15" customHeight="1">
      <c r="B13" s="677"/>
      <c r="C13" s="679"/>
      <c r="D13" s="679"/>
      <c r="E13" s="679"/>
      <c r="F13" s="679"/>
      <c r="G13" s="679"/>
      <c r="H13" s="679"/>
      <c r="I13" s="684"/>
      <c r="J13" s="682"/>
      <c r="K13" s="682"/>
      <c r="L13" s="682"/>
      <c r="M13" s="682"/>
      <c r="N13" s="683"/>
    </row>
    <row r="14" spans="2:14" ht="15" customHeight="1">
      <c r="B14" s="677"/>
      <c r="C14" s="679"/>
      <c r="D14" s="679"/>
      <c r="E14" s="679"/>
      <c r="F14" s="679"/>
      <c r="G14" s="679"/>
      <c r="H14" s="679"/>
      <c r="I14" s="684"/>
      <c r="J14" s="682"/>
      <c r="K14" s="682"/>
      <c r="L14" s="682"/>
      <c r="M14" s="682"/>
      <c r="N14" s="683"/>
    </row>
    <row r="15" spans="2:14" ht="15" customHeight="1">
      <c r="B15" s="677"/>
      <c r="C15" s="679"/>
      <c r="D15" s="679"/>
      <c r="E15" s="679"/>
      <c r="F15" s="679"/>
      <c r="G15" s="679"/>
      <c r="H15" s="679"/>
      <c r="I15" s="684"/>
      <c r="J15" s="682"/>
      <c r="K15" s="682"/>
      <c r="L15" s="682"/>
      <c r="M15" s="682"/>
      <c r="N15" s="683"/>
    </row>
    <row r="16" spans="2:14" ht="15" customHeight="1">
      <c r="B16" s="677"/>
      <c r="C16" s="679"/>
      <c r="D16" s="679"/>
      <c r="E16" s="679"/>
      <c r="F16" s="679"/>
      <c r="G16" s="679"/>
      <c r="H16" s="679"/>
      <c r="I16" s="684"/>
      <c r="J16" s="682"/>
      <c r="K16" s="682"/>
      <c r="L16" s="682"/>
      <c r="M16" s="682"/>
      <c r="N16" s="683"/>
    </row>
    <row r="17" spans="2:14" ht="15" customHeight="1">
      <c r="B17" s="677"/>
      <c r="C17" s="679"/>
      <c r="D17" s="679"/>
      <c r="E17" s="679"/>
      <c r="F17" s="679"/>
      <c r="G17" s="679"/>
      <c r="H17" s="679"/>
      <c r="I17" s="684"/>
      <c r="J17" s="682"/>
      <c r="K17" s="682"/>
      <c r="L17" s="682"/>
      <c r="M17" s="682"/>
      <c r="N17" s="683"/>
    </row>
    <row r="18" spans="2:14" ht="15" customHeight="1">
      <c r="B18" s="677"/>
      <c r="C18" s="679"/>
      <c r="D18" s="679"/>
      <c r="E18" s="679"/>
      <c r="F18" s="679"/>
      <c r="G18" s="679"/>
      <c r="H18" s="679"/>
      <c r="I18" s="684"/>
      <c r="J18" s="682"/>
      <c r="K18" s="682"/>
      <c r="L18" s="682"/>
      <c r="M18" s="682"/>
      <c r="N18" s="683"/>
    </row>
    <row r="19" spans="2:14" ht="15" customHeight="1">
      <c r="B19" s="677"/>
      <c r="C19" s="679"/>
      <c r="D19" s="679"/>
      <c r="E19" s="679"/>
      <c r="F19" s="679"/>
      <c r="G19" s="679"/>
      <c r="H19" s="679"/>
      <c r="I19" s="684"/>
      <c r="J19" s="682"/>
      <c r="K19" s="682"/>
      <c r="L19" s="682"/>
      <c r="M19" s="682"/>
      <c r="N19" s="683"/>
    </row>
    <row r="20" spans="2:14" ht="15" customHeight="1">
      <c r="B20" s="677"/>
      <c r="C20" s="679"/>
      <c r="D20" s="679"/>
      <c r="E20" s="679"/>
      <c r="F20" s="679"/>
      <c r="G20" s="679"/>
      <c r="H20" s="679"/>
      <c r="I20" s="684"/>
      <c r="J20" s="682"/>
      <c r="K20" s="682"/>
      <c r="L20" s="682"/>
      <c r="M20" s="682"/>
      <c r="N20" s="683"/>
    </row>
    <row r="21" spans="2:14" ht="15" customHeight="1">
      <c r="B21" s="677"/>
      <c r="C21" s="679"/>
      <c r="D21" s="679"/>
      <c r="E21" s="679"/>
      <c r="F21" s="679"/>
      <c r="G21" s="679"/>
      <c r="H21" s="679"/>
      <c r="I21" s="684"/>
      <c r="J21" s="682"/>
      <c r="K21" s="682"/>
      <c r="L21" s="682"/>
      <c r="M21" s="682"/>
      <c r="N21" s="683"/>
    </row>
    <row r="22" spans="2:14" ht="15" customHeight="1">
      <c r="B22" s="677"/>
      <c r="C22" s="679"/>
      <c r="D22" s="679"/>
      <c r="E22" s="679"/>
      <c r="F22" s="679"/>
      <c r="G22" s="679"/>
      <c r="H22" s="679"/>
      <c r="I22" s="684"/>
      <c r="J22" s="682"/>
      <c r="K22" s="682"/>
      <c r="L22" s="682"/>
      <c r="M22" s="682"/>
      <c r="N22" s="683"/>
    </row>
    <row r="23" spans="2:14" ht="15" customHeight="1">
      <c r="B23" s="677"/>
      <c r="C23" s="679"/>
      <c r="D23" s="679"/>
      <c r="E23" s="679"/>
      <c r="F23" s="679"/>
      <c r="G23" s="679"/>
      <c r="H23" s="679"/>
      <c r="I23" s="684"/>
      <c r="J23" s="682"/>
      <c r="K23" s="682"/>
      <c r="L23" s="682"/>
      <c r="M23" s="682"/>
      <c r="N23" s="683"/>
    </row>
    <row r="24" spans="2:14" ht="15" customHeight="1">
      <c r="B24" s="677"/>
      <c r="C24" s="679"/>
      <c r="D24" s="679"/>
      <c r="E24" s="679"/>
      <c r="F24" s="679"/>
      <c r="G24" s="679"/>
      <c r="H24" s="679"/>
      <c r="I24" s="684"/>
      <c r="J24" s="682"/>
      <c r="K24" s="682"/>
      <c r="L24" s="682"/>
      <c r="M24" s="682"/>
      <c r="N24" s="683"/>
    </row>
    <row r="25" spans="2:14" ht="15" customHeight="1">
      <c r="B25" s="677"/>
      <c r="C25" s="679"/>
      <c r="D25" s="679"/>
      <c r="E25" s="679"/>
      <c r="F25" s="679"/>
      <c r="G25" s="679"/>
      <c r="H25" s="679"/>
      <c r="I25" s="684"/>
      <c r="J25" s="682"/>
      <c r="K25" s="682"/>
      <c r="L25" s="682"/>
      <c r="M25" s="682"/>
      <c r="N25" s="683"/>
    </row>
    <row r="26" spans="2:14" ht="15" customHeight="1">
      <c r="B26" s="677"/>
      <c r="C26" s="679"/>
      <c r="D26" s="679"/>
      <c r="E26" s="679"/>
      <c r="F26" s="679"/>
      <c r="G26" s="679"/>
      <c r="H26" s="679"/>
      <c r="I26" s="684"/>
      <c r="J26" s="682"/>
      <c r="K26" s="682"/>
      <c r="L26" s="682"/>
      <c r="M26" s="682"/>
      <c r="N26" s="683"/>
    </row>
    <row r="27" spans="2:14" ht="15" customHeight="1">
      <c r="B27" s="677"/>
      <c r="C27" s="679"/>
      <c r="D27" s="679"/>
      <c r="E27" s="679"/>
      <c r="F27" s="679"/>
      <c r="G27" s="679"/>
      <c r="H27" s="679"/>
      <c r="I27" s="684"/>
      <c r="J27" s="682"/>
      <c r="K27" s="682"/>
      <c r="L27" s="682"/>
      <c r="M27" s="682"/>
      <c r="N27" s="683"/>
    </row>
    <row r="28" spans="2:14" ht="15" customHeight="1">
      <c r="B28" s="677"/>
      <c r="C28" s="679"/>
      <c r="D28" s="679"/>
      <c r="E28" s="679"/>
      <c r="F28" s="679"/>
      <c r="G28" s="679"/>
      <c r="H28" s="679"/>
      <c r="I28" s="684"/>
      <c r="J28" s="682"/>
      <c r="K28" s="682"/>
      <c r="L28" s="682"/>
      <c r="M28" s="682"/>
      <c r="N28" s="683"/>
    </row>
    <row r="29" spans="2:14" ht="15" customHeight="1">
      <c r="B29" s="677"/>
      <c r="C29" s="679"/>
      <c r="D29" s="679"/>
      <c r="E29" s="679"/>
      <c r="F29" s="679"/>
      <c r="G29" s="679"/>
      <c r="H29" s="679"/>
      <c r="I29" s="684"/>
      <c r="J29" s="682"/>
      <c r="K29" s="682"/>
      <c r="L29" s="682"/>
      <c r="M29" s="682"/>
      <c r="N29" s="683"/>
    </row>
    <row r="30" spans="2:14" ht="15" customHeight="1">
      <c r="B30" s="677"/>
      <c r="C30" s="679"/>
      <c r="D30" s="679"/>
      <c r="E30" s="679"/>
      <c r="F30" s="679"/>
      <c r="G30" s="679"/>
      <c r="H30" s="679"/>
      <c r="I30" s="684"/>
      <c r="J30" s="682"/>
      <c r="K30" s="682"/>
      <c r="L30" s="682"/>
      <c r="M30" s="682"/>
      <c r="N30" s="683"/>
    </row>
    <row r="31" spans="2:14" ht="15" customHeight="1">
      <c r="B31" s="677"/>
      <c r="C31" s="679"/>
      <c r="D31" s="679"/>
      <c r="E31" s="679"/>
      <c r="F31" s="679"/>
      <c r="G31" s="679"/>
      <c r="H31" s="679"/>
      <c r="I31" s="684"/>
      <c r="J31" s="682"/>
      <c r="K31" s="682"/>
      <c r="L31" s="682"/>
      <c r="M31" s="682"/>
      <c r="N31" s="683"/>
    </row>
    <row r="32" spans="2:14" ht="15" customHeight="1">
      <c r="B32" s="677"/>
      <c r="C32" s="679"/>
      <c r="D32" s="679"/>
      <c r="E32" s="679"/>
      <c r="F32" s="679"/>
      <c r="G32" s="679"/>
      <c r="H32" s="679"/>
      <c r="I32" s="684"/>
      <c r="J32" s="682"/>
      <c r="K32" s="682"/>
      <c r="L32" s="682"/>
      <c r="M32" s="682"/>
      <c r="N32" s="683"/>
    </row>
    <row r="33" spans="2:14" ht="15" customHeight="1">
      <c r="B33" s="677"/>
      <c r="C33" s="679"/>
      <c r="D33" s="679"/>
      <c r="E33" s="679"/>
      <c r="F33" s="679"/>
      <c r="G33" s="679"/>
      <c r="H33" s="679"/>
      <c r="I33" s="684"/>
      <c r="J33" s="682"/>
      <c r="K33" s="682"/>
      <c r="L33" s="682"/>
      <c r="M33" s="682"/>
      <c r="N33" s="683"/>
    </row>
    <row r="34" spans="2:14" ht="15" customHeight="1">
      <c r="B34" s="677"/>
      <c r="C34" s="679"/>
      <c r="D34" s="679"/>
      <c r="E34" s="679"/>
      <c r="F34" s="679"/>
      <c r="G34" s="679"/>
      <c r="H34" s="679"/>
      <c r="I34" s="684"/>
      <c r="J34" s="682"/>
      <c r="K34" s="682"/>
      <c r="L34" s="682"/>
      <c r="M34" s="682"/>
      <c r="N34" s="683"/>
    </row>
    <row r="35" spans="2:14" ht="15" customHeight="1">
      <c r="B35" s="677"/>
      <c r="C35" s="679"/>
      <c r="D35" s="679"/>
      <c r="E35" s="679"/>
      <c r="F35" s="679"/>
      <c r="G35" s="679"/>
      <c r="H35" s="679"/>
      <c r="I35" s="684"/>
      <c r="J35" s="682"/>
      <c r="K35" s="682"/>
      <c r="L35" s="682"/>
      <c r="M35" s="682"/>
      <c r="N35" s="683"/>
    </row>
    <row r="36" spans="2:14" ht="15" customHeight="1">
      <c r="B36" s="677"/>
      <c r="C36" s="679"/>
      <c r="D36" s="679"/>
      <c r="E36" s="679"/>
      <c r="F36" s="679"/>
      <c r="G36" s="679"/>
      <c r="H36" s="679"/>
      <c r="I36" s="684"/>
      <c r="J36" s="682"/>
      <c r="K36" s="682"/>
      <c r="L36" s="682"/>
      <c r="M36" s="682"/>
      <c r="N36" s="683"/>
    </row>
    <row r="37" spans="2:14" ht="15" customHeight="1">
      <c r="B37" s="677"/>
      <c r="C37" s="679"/>
      <c r="D37" s="679"/>
      <c r="E37" s="679"/>
      <c r="F37" s="679"/>
      <c r="G37" s="679"/>
      <c r="H37" s="679"/>
      <c r="I37" s="684"/>
      <c r="J37" s="682"/>
      <c r="K37" s="682"/>
      <c r="L37" s="682"/>
      <c r="M37" s="682"/>
      <c r="N37" s="683"/>
    </row>
    <row r="38" spans="2:14" ht="15" customHeight="1">
      <c r="B38" s="677"/>
      <c r="C38" s="679"/>
      <c r="D38" s="679"/>
      <c r="E38" s="679"/>
      <c r="F38" s="679"/>
      <c r="G38" s="679"/>
      <c r="H38" s="679"/>
      <c r="I38" s="684"/>
      <c r="J38" s="682"/>
      <c r="K38" s="682"/>
      <c r="L38" s="682"/>
      <c r="M38" s="682"/>
      <c r="N38" s="683"/>
    </row>
    <row r="39" spans="2:14" ht="15" customHeight="1">
      <c r="B39" s="677"/>
      <c r="C39" s="679"/>
      <c r="D39" s="679"/>
      <c r="E39" s="679"/>
      <c r="F39" s="679"/>
      <c r="G39" s="679"/>
      <c r="H39" s="679"/>
      <c r="I39" s="684"/>
      <c r="J39" s="682"/>
      <c r="K39" s="682"/>
      <c r="L39" s="682"/>
      <c r="M39" s="682"/>
      <c r="N39" s="683"/>
    </row>
    <row r="40" spans="2:14" ht="15" customHeight="1">
      <c r="B40" s="677"/>
      <c r="C40" s="679"/>
      <c r="D40" s="679"/>
      <c r="E40" s="679"/>
      <c r="F40" s="679"/>
      <c r="G40" s="679"/>
      <c r="H40" s="679"/>
      <c r="I40" s="684"/>
      <c r="J40" s="682"/>
      <c r="K40" s="682"/>
      <c r="L40" s="682"/>
      <c r="M40" s="682"/>
      <c r="N40" s="683"/>
    </row>
    <row r="41" spans="2:14" ht="15" customHeight="1">
      <c r="B41" s="677"/>
      <c r="C41" s="679"/>
      <c r="D41" s="679"/>
      <c r="E41" s="679"/>
      <c r="F41" s="679"/>
      <c r="G41" s="679"/>
      <c r="H41" s="679"/>
      <c r="I41" s="684"/>
      <c r="J41" s="682"/>
      <c r="K41" s="682"/>
      <c r="L41" s="682"/>
      <c r="M41" s="682"/>
      <c r="N41" s="683"/>
    </row>
    <row r="42" spans="2:14" ht="15" customHeight="1">
      <c r="B42" s="677"/>
      <c r="C42" s="679"/>
      <c r="D42" s="679"/>
      <c r="E42" s="679"/>
      <c r="F42" s="679"/>
      <c r="G42" s="679"/>
      <c r="H42" s="679"/>
      <c r="I42" s="684"/>
      <c r="J42" s="682"/>
      <c r="K42" s="682"/>
      <c r="L42" s="682"/>
      <c r="M42" s="682"/>
      <c r="N42" s="683"/>
    </row>
    <row r="43" spans="2:14" ht="15" customHeight="1">
      <c r="B43" s="677"/>
      <c r="C43" s="679"/>
      <c r="D43" s="679"/>
      <c r="E43" s="679"/>
      <c r="F43" s="679"/>
      <c r="G43" s="679"/>
      <c r="H43" s="679"/>
      <c r="I43" s="684"/>
      <c r="J43" s="682"/>
      <c r="K43" s="682"/>
      <c r="L43" s="682"/>
      <c r="M43" s="682"/>
      <c r="N43" s="683"/>
    </row>
    <row r="44" spans="2:14" ht="15" customHeight="1">
      <c r="B44" s="677"/>
      <c r="C44" s="679"/>
      <c r="D44" s="679"/>
      <c r="E44" s="679"/>
      <c r="F44" s="679"/>
      <c r="G44" s="679"/>
      <c r="H44" s="679"/>
      <c r="I44" s="684"/>
      <c r="J44" s="682"/>
      <c r="K44" s="682"/>
      <c r="L44" s="682"/>
      <c r="M44" s="682"/>
      <c r="N44" s="683"/>
    </row>
    <row r="45" spans="2:14" ht="15" customHeight="1">
      <c r="B45" s="677"/>
      <c r="C45" s="679"/>
      <c r="D45" s="679"/>
      <c r="E45" s="679"/>
      <c r="F45" s="679"/>
      <c r="G45" s="679"/>
      <c r="H45" s="679"/>
      <c r="I45" s="684"/>
      <c r="J45" s="682"/>
      <c r="K45" s="682"/>
      <c r="L45" s="682"/>
      <c r="M45" s="682"/>
      <c r="N45" s="683"/>
    </row>
    <row r="46" spans="2:14" ht="15" customHeight="1">
      <c r="B46" s="677"/>
      <c r="C46" s="679"/>
      <c r="D46" s="679"/>
      <c r="E46" s="679"/>
      <c r="F46" s="679"/>
      <c r="G46" s="679"/>
      <c r="H46" s="679"/>
      <c r="I46" s="684"/>
      <c r="J46" s="682"/>
      <c r="K46" s="682"/>
      <c r="L46" s="682"/>
      <c r="M46" s="682"/>
      <c r="N46" s="683"/>
    </row>
    <row r="47" spans="2:14" ht="15" customHeight="1">
      <c r="B47" s="677"/>
      <c r="C47" s="679"/>
      <c r="D47" s="679"/>
      <c r="E47" s="679"/>
      <c r="F47" s="679"/>
      <c r="G47" s="679"/>
      <c r="H47" s="679"/>
      <c r="I47" s="684"/>
      <c r="J47" s="682"/>
      <c r="K47" s="682"/>
      <c r="L47" s="682"/>
      <c r="M47" s="682"/>
      <c r="N47" s="683"/>
    </row>
    <row r="48" spans="2:14" ht="15" customHeight="1">
      <c r="B48" s="677"/>
      <c r="C48" s="679"/>
      <c r="D48" s="679"/>
      <c r="E48" s="679"/>
      <c r="F48" s="679"/>
      <c r="G48" s="679"/>
      <c r="H48" s="679"/>
      <c r="I48" s="684"/>
      <c r="J48" s="682"/>
      <c r="K48" s="682"/>
      <c r="L48" s="682"/>
      <c r="M48" s="682"/>
      <c r="N48" s="683"/>
    </row>
    <row r="49" spans="2:14" ht="15" customHeight="1">
      <c r="B49" s="677"/>
      <c r="C49" s="679"/>
      <c r="D49" s="679"/>
      <c r="E49" s="679"/>
      <c r="F49" s="679"/>
      <c r="G49" s="679"/>
      <c r="H49" s="679"/>
      <c r="I49" s="684"/>
      <c r="J49" s="682"/>
      <c r="K49" s="682"/>
      <c r="L49" s="682"/>
      <c r="M49" s="682"/>
      <c r="N49" s="683"/>
    </row>
    <row r="50" spans="2:14" ht="15" customHeight="1">
      <c r="B50" s="677"/>
      <c r="C50" s="679"/>
      <c r="D50" s="679"/>
      <c r="E50" s="679"/>
      <c r="F50" s="679"/>
      <c r="G50" s="679"/>
      <c r="H50" s="679"/>
      <c r="I50" s="684"/>
      <c r="J50" s="682"/>
      <c r="K50" s="682"/>
      <c r="L50" s="682"/>
      <c r="M50" s="682"/>
      <c r="N50" s="683"/>
    </row>
    <row r="51" spans="2:14" ht="15" customHeight="1">
      <c r="B51" s="677"/>
      <c r="C51" s="679"/>
      <c r="D51" s="679"/>
      <c r="E51" s="679"/>
      <c r="F51" s="679"/>
      <c r="G51" s="679"/>
      <c r="H51" s="679"/>
      <c r="I51" s="684"/>
      <c r="J51" s="682"/>
      <c r="K51" s="682"/>
      <c r="L51" s="682"/>
      <c r="M51" s="682"/>
      <c r="N51" s="683"/>
    </row>
    <row r="52" spans="2:14" ht="15" customHeight="1" thickBot="1">
      <c r="B52" s="686"/>
      <c r="C52" s="687"/>
      <c r="D52" s="687"/>
      <c r="E52" s="687"/>
      <c r="F52" s="687"/>
      <c r="G52" s="687"/>
      <c r="H52" s="687"/>
      <c r="I52" s="688"/>
      <c r="J52" s="689"/>
      <c r="K52" s="689"/>
      <c r="L52" s="689"/>
      <c r="M52" s="689"/>
      <c r="N52" s="690"/>
    </row>
    <row r="53" spans="2:14" ht="20.25" customHeight="1" thickBot="1">
      <c r="B53" s="691" t="s">
        <v>514</v>
      </c>
      <c r="C53" s="691"/>
      <c r="D53" s="691"/>
      <c r="E53" s="691"/>
      <c r="F53" s="691"/>
      <c r="G53" s="691"/>
      <c r="H53" s="691"/>
      <c r="I53" s="691"/>
      <c r="J53" s="691"/>
      <c r="K53" s="691"/>
      <c r="L53" s="691"/>
      <c r="M53" s="691"/>
      <c r="N53" s="691"/>
    </row>
    <row r="54" spans="2:14" ht="15" customHeight="1" thickBot="1">
      <c r="B54" s="692" t="s">
        <v>515</v>
      </c>
      <c r="C54" s="693" t="s">
        <v>512</v>
      </c>
      <c r="D54" s="694"/>
      <c r="E54" s="694"/>
      <c r="F54" s="694"/>
      <c r="G54" s="694"/>
      <c r="H54" s="695"/>
      <c r="I54" s="693" t="s">
        <v>507</v>
      </c>
      <c r="J54" s="694"/>
      <c r="K54" s="696"/>
      <c r="L54" s="693" t="s">
        <v>516</v>
      </c>
      <c r="M54" s="694"/>
      <c r="N54" s="697"/>
    </row>
    <row r="55" spans="2:14" ht="15" customHeight="1">
      <c r="B55" s="698"/>
      <c r="C55" s="699"/>
      <c r="D55" s="700"/>
      <c r="E55" s="700"/>
      <c r="F55" s="700"/>
      <c r="G55" s="700"/>
      <c r="H55" s="701"/>
      <c r="I55" s="702"/>
      <c r="J55" s="703"/>
      <c r="K55" s="704"/>
      <c r="L55" s="705"/>
      <c r="M55" s="706"/>
      <c r="N55" s="707"/>
    </row>
    <row r="56" spans="2:14" ht="15" customHeight="1">
      <c r="B56" s="708"/>
      <c r="C56" s="709"/>
      <c r="D56" s="710"/>
      <c r="E56" s="710"/>
      <c r="F56" s="710"/>
      <c r="G56" s="710"/>
      <c r="H56" s="711"/>
      <c r="I56" s="712"/>
      <c r="J56" s="713"/>
      <c r="K56" s="714"/>
      <c r="L56" s="715"/>
      <c r="M56" s="716"/>
      <c r="N56" s="717"/>
    </row>
    <row r="57" spans="2:14" ht="15" customHeight="1">
      <c r="B57" s="708"/>
      <c r="C57" s="709"/>
      <c r="D57" s="710"/>
      <c r="E57" s="710"/>
      <c r="F57" s="710"/>
      <c r="G57" s="710"/>
      <c r="H57" s="711"/>
      <c r="I57" s="712"/>
      <c r="J57" s="713"/>
      <c r="K57" s="714"/>
      <c r="L57" s="715"/>
      <c r="M57" s="716"/>
      <c r="N57" s="717"/>
    </row>
    <row r="58" spans="2:14" ht="15" customHeight="1">
      <c r="B58" s="708"/>
      <c r="C58" s="709"/>
      <c r="D58" s="710"/>
      <c r="E58" s="710"/>
      <c r="F58" s="710"/>
      <c r="G58" s="710"/>
      <c r="H58" s="711"/>
      <c r="I58" s="712"/>
      <c r="J58" s="713"/>
      <c r="K58" s="714"/>
      <c r="L58" s="715"/>
      <c r="M58" s="716"/>
      <c r="N58" s="717"/>
    </row>
    <row r="59" spans="2:14" ht="15" customHeight="1">
      <c r="B59" s="708"/>
      <c r="C59" s="709"/>
      <c r="D59" s="710"/>
      <c r="E59" s="710"/>
      <c r="F59" s="710"/>
      <c r="G59" s="710"/>
      <c r="H59" s="711"/>
      <c r="I59" s="712"/>
      <c r="J59" s="713"/>
      <c r="K59" s="714"/>
      <c r="L59" s="715"/>
      <c r="M59" s="716"/>
      <c r="N59" s="717"/>
    </row>
    <row r="60" spans="2:14" ht="15" customHeight="1">
      <c r="B60" s="708"/>
      <c r="C60" s="709"/>
      <c r="D60" s="710"/>
      <c r="E60" s="710"/>
      <c r="F60" s="710"/>
      <c r="G60" s="710"/>
      <c r="H60" s="711"/>
      <c r="I60" s="712"/>
      <c r="J60" s="713"/>
      <c r="K60" s="714"/>
      <c r="L60" s="715"/>
      <c r="M60" s="716"/>
      <c r="N60" s="717"/>
    </row>
    <row r="61" spans="2:14" ht="15" customHeight="1">
      <c r="B61" s="708"/>
      <c r="C61" s="709"/>
      <c r="D61" s="710"/>
      <c r="E61" s="710"/>
      <c r="F61" s="710"/>
      <c r="G61" s="710"/>
      <c r="H61" s="711"/>
      <c r="I61" s="712"/>
      <c r="J61" s="713"/>
      <c r="K61" s="714"/>
      <c r="L61" s="715"/>
      <c r="M61" s="716"/>
      <c r="N61" s="717"/>
    </row>
    <row r="62" spans="2:14" ht="15" customHeight="1">
      <c r="B62" s="708"/>
      <c r="C62" s="709"/>
      <c r="D62" s="710"/>
      <c r="E62" s="710"/>
      <c r="F62" s="710"/>
      <c r="G62" s="710"/>
      <c r="H62" s="711"/>
      <c r="I62" s="712"/>
      <c r="J62" s="713"/>
      <c r="K62" s="714"/>
      <c r="L62" s="715"/>
      <c r="M62" s="716"/>
      <c r="N62" s="717"/>
    </row>
    <row r="63" spans="2:14" ht="15" customHeight="1">
      <c r="B63" s="708"/>
      <c r="C63" s="709"/>
      <c r="D63" s="710"/>
      <c r="E63" s="710"/>
      <c r="F63" s="710"/>
      <c r="G63" s="710"/>
      <c r="H63" s="711"/>
      <c r="I63" s="712"/>
      <c r="J63" s="713"/>
      <c r="K63" s="714"/>
      <c r="L63" s="715"/>
      <c r="M63" s="716"/>
      <c r="N63" s="717"/>
    </row>
    <row r="64" spans="2:14" ht="15" customHeight="1">
      <c r="B64" s="708"/>
      <c r="C64" s="709"/>
      <c r="D64" s="710"/>
      <c r="E64" s="710"/>
      <c r="F64" s="710"/>
      <c r="G64" s="710"/>
      <c r="H64" s="711"/>
      <c r="I64" s="712"/>
      <c r="J64" s="713"/>
      <c r="K64" s="714"/>
      <c r="L64" s="715"/>
      <c r="M64" s="716"/>
      <c r="N64" s="717"/>
    </row>
    <row r="65" spans="2:14" ht="15" customHeight="1">
      <c r="B65" s="708"/>
      <c r="C65" s="709"/>
      <c r="D65" s="710"/>
      <c r="E65" s="710"/>
      <c r="F65" s="710"/>
      <c r="G65" s="710"/>
      <c r="H65" s="711"/>
      <c r="I65" s="712"/>
      <c r="J65" s="713"/>
      <c r="K65" s="714"/>
      <c r="L65" s="715"/>
      <c r="M65" s="716"/>
      <c r="N65" s="717"/>
    </row>
    <row r="66" spans="2:14" ht="15" customHeight="1">
      <c r="B66" s="708"/>
      <c r="C66" s="709"/>
      <c r="D66" s="710"/>
      <c r="E66" s="710"/>
      <c r="F66" s="710"/>
      <c r="G66" s="710"/>
      <c r="H66" s="711"/>
      <c r="I66" s="712"/>
      <c r="J66" s="713"/>
      <c r="K66" s="714"/>
      <c r="L66" s="715"/>
      <c r="M66" s="716"/>
      <c r="N66" s="717"/>
    </row>
    <row r="67" spans="2:14" ht="15" customHeight="1">
      <c r="B67" s="708"/>
      <c r="C67" s="709"/>
      <c r="D67" s="710"/>
      <c r="E67" s="710"/>
      <c r="F67" s="710"/>
      <c r="G67" s="710"/>
      <c r="H67" s="711"/>
      <c r="I67" s="712"/>
      <c r="J67" s="713"/>
      <c r="K67" s="714"/>
      <c r="L67" s="715"/>
      <c r="M67" s="716"/>
      <c r="N67" s="717"/>
    </row>
    <row r="68" spans="2:14" ht="15" customHeight="1">
      <c r="B68" s="708"/>
      <c r="C68" s="709"/>
      <c r="D68" s="710"/>
      <c r="E68" s="710"/>
      <c r="F68" s="710"/>
      <c r="G68" s="710"/>
      <c r="H68" s="711"/>
      <c r="I68" s="712"/>
      <c r="J68" s="713"/>
      <c r="K68" s="714"/>
      <c r="L68" s="715"/>
      <c r="M68" s="716"/>
      <c r="N68" s="717"/>
    </row>
    <row r="69" spans="2:14" ht="15" customHeight="1">
      <c r="B69" s="708"/>
      <c r="C69" s="709"/>
      <c r="D69" s="710"/>
      <c r="E69" s="710"/>
      <c r="F69" s="710"/>
      <c r="G69" s="710"/>
      <c r="H69" s="711"/>
      <c r="I69" s="712"/>
      <c r="J69" s="713"/>
      <c r="K69" s="714"/>
      <c r="L69" s="715"/>
      <c r="M69" s="716"/>
      <c r="N69" s="717"/>
    </row>
    <row r="70" spans="2:14" ht="15" customHeight="1">
      <c r="B70" s="708"/>
      <c r="C70" s="709"/>
      <c r="D70" s="710"/>
      <c r="E70" s="710"/>
      <c r="F70" s="710"/>
      <c r="G70" s="710"/>
      <c r="H70" s="711"/>
      <c r="I70" s="712"/>
      <c r="J70" s="713"/>
      <c r="K70" s="714"/>
      <c r="L70" s="715"/>
      <c r="M70" s="716"/>
      <c r="N70" s="717"/>
    </row>
    <row r="71" spans="2:14" ht="15" customHeight="1">
      <c r="B71" s="708"/>
      <c r="C71" s="709"/>
      <c r="D71" s="710"/>
      <c r="E71" s="710"/>
      <c r="F71" s="710"/>
      <c r="G71" s="710"/>
      <c r="H71" s="711"/>
      <c r="I71" s="712"/>
      <c r="J71" s="713"/>
      <c r="K71" s="714"/>
      <c r="L71" s="715"/>
      <c r="M71" s="716"/>
      <c r="N71" s="717"/>
    </row>
    <row r="72" spans="2:14">
      <c r="B72" s="708"/>
      <c r="C72" s="709"/>
      <c r="D72" s="710"/>
      <c r="E72" s="710"/>
      <c r="F72" s="710"/>
      <c r="G72" s="710"/>
      <c r="H72" s="711"/>
      <c r="I72" s="712"/>
      <c r="J72" s="713"/>
      <c r="K72" s="714"/>
      <c r="L72" s="715"/>
      <c r="M72" s="716"/>
      <c r="N72" s="717"/>
    </row>
    <row r="73" spans="2:14">
      <c r="B73" s="708"/>
      <c r="C73" s="709"/>
      <c r="D73" s="710"/>
      <c r="E73" s="710"/>
      <c r="F73" s="710"/>
      <c r="G73" s="710"/>
      <c r="H73" s="711"/>
      <c r="I73" s="712"/>
      <c r="J73" s="713"/>
      <c r="K73" s="714"/>
      <c r="L73" s="715"/>
      <c r="M73" s="716"/>
      <c r="N73" s="717"/>
    </row>
    <row r="74" spans="2:14">
      <c r="B74" s="708"/>
      <c r="C74" s="709"/>
      <c r="D74" s="710"/>
      <c r="E74" s="710"/>
      <c r="F74" s="710"/>
      <c r="G74" s="710"/>
      <c r="H74" s="711"/>
      <c r="I74" s="712"/>
      <c r="J74" s="713"/>
      <c r="K74" s="714"/>
      <c r="L74" s="715"/>
      <c r="M74" s="716"/>
      <c r="N74" s="717"/>
    </row>
    <row r="75" spans="2:14">
      <c r="B75" s="708"/>
      <c r="C75" s="709"/>
      <c r="D75" s="710"/>
      <c r="E75" s="710"/>
      <c r="F75" s="710"/>
      <c r="G75" s="710"/>
      <c r="H75" s="711"/>
      <c r="I75" s="712"/>
      <c r="J75" s="713"/>
      <c r="K75" s="714"/>
      <c r="L75" s="715"/>
      <c r="M75" s="716"/>
      <c r="N75" s="717"/>
    </row>
    <row r="76" spans="2:14">
      <c r="B76" s="708"/>
      <c r="C76" s="709"/>
      <c r="D76" s="710"/>
      <c r="E76" s="710"/>
      <c r="F76" s="710"/>
      <c r="G76" s="710"/>
      <c r="H76" s="711"/>
      <c r="I76" s="712"/>
      <c r="J76" s="713"/>
      <c r="K76" s="714"/>
      <c r="L76" s="715"/>
      <c r="M76" s="716"/>
      <c r="N76" s="717"/>
    </row>
    <row r="77" spans="2:14">
      <c r="B77" s="708"/>
      <c r="C77" s="709"/>
      <c r="D77" s="710"/>
      <c r="E77" s="710"/>
      <c r="F77" s="710"/>
      <c r="G77" s="710"/>
      <c r="H77" s="711"/>
      <c r="I77" s="712"/>
      <c r="J77" s="713"/>
      <c r="K77" s="714"/>
      <c r="L77" s="715"/>
      <c r="M77" s="716"/>
      <c r="N77" s="717"/>
    </row>
    <row r="78" spans="2:14">
      <c r="B78" s="708"/>
      <c r="C78" s="709"/>
      <c r="D78" s="710"/>
      <c r="E78" s="710"/>
      <c r="F78" s="710"/>
      <c r="G78" s="710"/>
      <c r="H78" s="711"/>
      <c r="I78" s="712"/>
      <c r="J78" s="713"/>
      <c r="K78" s="714"/>
      <c r="L78" s="715"/>
      <c r="M78" s="716"/>
      <c r="N78" s="717"/>
    </row>
    <row r="79" spans="2:14" ht="13.5" thickBot="1">
      <c r="B79" s="718"/>
      <c r="C79" s="719"/>
      <c r="D79" s="720"/>
      <c r="E79" s="720"/>
      <c r="F79" s="720"/>
      <c r="G79" s="720"/>
      <c r="H79" s="721"/>
      <c r="I79" s="722"/>
      <c r="J79" s="723"/>
      <c r="K79" s="724"/>
      <c r="L79" s="725"/>
      <c r="M79" s="726"/>
      <c r="N79" s="727"/>
    </row>
  </sheetData>
  <mergeCells count="80">
    <mergeCell ref="C78:G78"/>
    <mergeCell ref="I78:K78"/>
    <mergeCell ref="L78:N78"/>
    <mergeCell ref="C79:G79"/>
    <mergeCell ref="I79:K79"/>
    <mergeCell ref="L79:N79"/>
    <mergeCell ref="C76:G76"/>
    <mergeCell ref="I76:K76"/>
    <mergeCell ref="L76:N76"/>
    <mergeCell ref="C77:G77"/>
    <mergeCell ref="I77:K77"/>
    <mergeCell ref="L77:N77"/>
    <mergeCell ref="C74:G74"/>
    <mergeCell ref="I74:K74"/>
    <mergeCell ref="L74:N74"/>
    <mergeCell ref="C75:G75"/>
    <mergeCell ref="I75:K75"/>
    <mergeCell ref="L75:N75"/>
    <mergeCell ref="C72:G72"/>
    <mergeCell ref="I72:K72"/>
    <mergeCell ref="L72:N72"/>
    <mergeCell ref="C73:G73"/>
    <mergeCell ref="I73:K73"/>
    <mergeCell ref="L73:N73"/>
    <mergeCell ref="C70:G70"/>
    <mergeCell ref="I70:K70"/>
    <mergeCell ref="L70:N70"/>
    <mergeCell ref="C71:G71"/>
    <mergeCell ref="I71:K71"/>
    <mergeCell ref="L71:N71"/>
    <mergeCell ref="C68:G68"/>
    <mergeCell ref="I68:K68"/>
    <mergeCell ref="L68:N68"/>
    <mergeCell ref="C69:G69"/>
    <mergeCell ref="I69:K69"/>
    <mergeCell ref="L69:N69"/>
    <mergeCell ref="C66:G66"/>
    <mergeCell ref="I66:K66"/>
    <mergeCell ref="L66:N66"/>
    <mergeCell ref="C67:G67"/>
    <mergeCell ref="I67:K67"/>
    <mergeCell ref="L67:N67"/>
    <mergeCell ref="C64:G64"/>
    <mergeCell ref="I64:K64"/>
    <mergeCell ref="L64:N64"/>
    <mergeCell ref="C65:G65"/>
    <mergeCell ref="I65:K65"/>
    <mergeCell ref="L65:N65"/>
    <mergeCell ref="C62:G62"/>
    <mergeCell ref="I62:K62"/>
    <mergeCell ref="L62:N62"/>
    <mergeCell ref="C63:G63"/>
    <mergeCell ref="I63:K63"/>
    <mergeCell ref="L63:N63"/>
    <mergeCell ref="C60:G60"/>
    <mergeCell ref="I60:K60"/>
    <mergeCell ref="L60:N60"/>
    <mergeCell ref="C61:G61"/>
    <mergeCell ref="I61:K61"/>
    <mergeCell ref="L61:N61"/>
    <mergeCell ref="C58:G58"/>
    <mergeCell ref="I58:K58"/>
    <mergeCell ref="L58:N58"/>
    <mergeCell ref="C59:G59"/>
    <mergeCell ref="I59:K59"/>
    <mergeCell ref="L59:N59"/>
    <mergeCell ref="C56:G56"/>
    <mergeCell ref="I56:K56"/>
    <mergeCell ref="L56:N56"/>
    <mergeCell ref="C57:G57"/>
    <mergeCell ref="I57:K57"/>
    <mergeCell ref="L57:N57"/>
    <mergeCell ref="B2:G4"/>
    <mergeCell ref="B53:N53"/>
    <mergeCell ref="C54:G54"/>
    <mergeCell ref="I54:K54"/>
    <mergeCell ref="L54:N54"/>
    <mergeCell ref="C55:G55"/>
    <mergeCell ref="I55:K55"/>
    <mergeCell ref="L55:N55"/>
  </mergeCells>
  <printOptions horizontalCentered="1"/>
  <pageMargins left="0" right="0" top="0.5" bottom="0.5" header="0.5" footer="0.5"/>
  <pageSetup scale="53" orientation="portrait" horizont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FB82-4486-476B-B2E0-73A8CFE1A265}">
  <sheetPr syncVertical="1" syncRef="A1" transitionEvaluation="1"/>
  <dimension ref="A1:N120"/>
  <sheetViews>
    <sheetView showGridLines="0" tabSelected="1" zoomScaleNormal="100" workbookViewId="0">
      <selection activeCell="J22" sqref="J22"/>
    </sheetView>
  </sheetViews>
  <sheetFormatPr defaultColWidth="12.5703125" defaultRowHeight="15.75"/>
  <cols>
    <col min="1" max="13" width="7" style="817" customWidth="1"/>
    <col min="14" max="14" width="7.140625" style="817" customWidth="1"/>
    <col min="15" max="256" width="12.5703125" style="817"/>
    <col min="257" max="269" width="7" style="817" customWidth="1"/>
    <col min="270" max="270" width="7.140625" style="817" customWidth="1"/>
    <col min="271" max="512" width="12.5703125" style="817"/>
    <col min="513" max="525" width="7" style="817" customWidth="1"/>
    <col min="526" max="526" width="7.140625" style="817" customWidth="1"/>
    <col min="527" max="768" width="12.5703125" style="817"/>
    <col min="769" max="781" width="7" style="817" customWidth="1"/>
    <col min="782" max="782" width="7.140625" style="817" customWidth="1"/>
    <col min="783" max="1024" width="12.5703125" style="817"/>
    <col min="1025" max="1037" width="7" style="817" customWidth="1"/>
    <col min="1038" max="1038" width="7.140625" style="817" customWidth="1"/>
    <col min="1039" max="1280" width="12.5703125" style="817"/>
    <col min="1281" max="1293" width="7" style="817" customWidth="1"/>
    <col min="1294" max="1294" width="7.140625" style="817" customWidth="1"/>
    <col min="1295" max="1536" width="12.5703125" style="817"/>
    <col min="1537" max="1549" width="7" style="817" customWidth="1"/>
    <col min="1550" max="1550" width="7.140625" style="817" customWidth="1"/>
    <col min="1551" max="1792" width="12.5703125" style="817"/>
    <col min="1793" max="1805" width="7" style="817" customWidth="1"/>
    <col min="1806" max="1806" width="7.140625" style="817" customWidth="1"/>
    <col min="1807" max="2048" width="12.5703125" style="817"/>
    <col min="2049" max="2061" width="7" style="817" customWidth="1"/>
    <col min="2062" max="2062" width="7.140625" style="817" customWidth="1"/>
    <col min="2063" max="2304" width="12.5703125" style="817"/>
    <col min="2305" max="2317" width="7" style="817" customWidth="1"/>
    <col min="2318" max="2318" width="7.140625" style="817" customWidth="1"/>
    <col min="2319" max="2560" width="12.5703125" style="817"/>
    <col min="2561" max="2573" width="7" style="817" customWidth="1"/>
    <col min="2574" max="2574" width="7.140625" style="817" customWidth="1"/>
    <col min="2575" max="2816" width="12.5703125" style="817"/>
    <col min="2817" max="2829" width="7" style="817" customWidth="1"/>
    <col min="2830" max="2830" width="7.140625" style="817" customWidth="1"/>
    <col min="2831" max="3072" width="12.5703125" style="817"/>
    <col min="3073" max="3085" width="7" style="817" customWidth="1"/>
    <col min="3086" max="3086" width="7.140625" style="817" customWidth="1"/>
    <col min="3087" max="3328" width="12.5703125" style="817"/>
    <col min="3329" max="3341" width="7" style="817" customWidth="1"/>
    <col min="3342" max="3342" width="7.140625" style="817" customWidth="1"/>
    <col min="3343" max="3584" width="12.5703125" style="817"/>
    <col min="3585" max="3597" width="7" style="817" customWidth="1"/>
    <col min="3598" max="3598" width="7.140625" style="817" customWidth="1"/>
    <col min="3599" max="3840" width="12.5703125" style="817"/>
    <col min="3841" max="3853" width="7" style="817" customWidth="1"/>
    <col min="3854" max="3854" width="7.140625" style="817" customWidth="1"/>
    <col min="3855" max="4096" width="12.5703125" style="817"/>
    <col min="4097" max="4109" width="7" style="817" customWidth="1"/>
    <col min="4110" max="4110" width="7.140625" style="817" customWidth="1"/>
    <col min="4111" max="4352" width="12.5703125" style="817"/>
    <col min="4353" max="4365" width="7" style="817" customWidth="1"/>
    <col min="4366" max="4366" width="7.140625" style="817" customWidth="1"/>
    <col min="4367" max="4608" width="12.5703125" style="817"/>
    <col min="4609" max="4621" width="7" style="817" customWidth="1"/>
    <col min="4622" max="4622" width="7.140625" style="817" customWidth="1"/>
    <col min="4623" max="4864" width="12.5703125" style="817"/>
    <col min="4865" max="4877" width="7" style="817" customWidth="1"/>
    <col min="4878" max="4878" width="7.140625" style="817" customWidth="1"/>
    <col min="4879" max="5120" width="12.5703125" style="817"/>
    <col min="5121" max="5133" width="7" style="817" customWidth="1"/>
    <col min="5134" max="5134" width="7.140625" style="817" customWidth="1"/>
    <col min="5135" max="5376" width="12.5703125" style="817"/>
    <col min="5377" max="5389" width="7" style="817" customWidth="1"/>
    <col min="5390" max="5390" width="7.140625" style="817" customWidth="1"/>
    <col min="5391" max="5632" width="12.5703125" style="817"/>
    <col min="5633" max="5645" width="7" style="817" customWidth="1"/>
    <col min="5646" max="5646" width="7.140625" style="817" customWidth="1"/>
    <col min="5647" max="5888" width="12.5703125" style="817"/>
    <col min="5889" max="5901" width="7" style="817" customWidth="1"/>
    <col min="5902" max="5902" width="7.140625" style="817" customWidth="1"/>
    <col min="5903" max="6144" width="12.5703125" style="817"/>
    <col min="6145" max="6157" width="7" style="817" customWidth="1"/>
    <col min="6158" max="6158" width="7.140625" style="817" customWidth="1"/>
    <col min="6159" max="6400" width="12.5703125" style="817"/>
    <col min="6401" max="6413" width="7" style="817" customWidth="1"/>
    <col min="6414" max="6414" width="7.140625" style="817" customWidth="1"/>
    <col min="6415" max="6656" width="12.5703125" style="817"/>
    <col min="6657" max="6669" width="7" style="817" customWidth="1"/>
    <col min="6670" max="6670" width="7.140625" style="817" customWidth="1"/>
    <col min="6671" max="6912" width="12.5703125" style="817"/>
    <col min="6913" max="6925" width="7" style="817" customWidth="1"/>
    <col min="6926" max="6926" width="7.140625" style="817" customWidth="1"/>
    <col min="6927" max="7168" width="12.5703125" style="817"/>
    <col min="7169" max="7181" width="7" style="817" customWidth="1"/>
    <col min="7182" max="7182" width="7.140625" style="817" customWidth="1"/>
    <col min="7183" max="7424" width="12.5703125" style="817"/>
    <col min="7425" max="7437" width="7" style="817" customWidth="1"/>
    <col min="7438" max="7438" width="7.140625" style="817" customWidth="1"/>
    <col min="7439" max="7680" width="12.5703125" style="817"/>
    <col min="7681" max="7693" width="7" style="817" customWidth="1"/>
    <col min="7694" max="7694" width="7.140625" style="817" customWidth="1"/>
    <col min="7695" max="7936" width="12.5703125" style="817"/>
    <col min="7937" max="7949" width="7" style="817" customWidth="1"/>
    <col min="7950" max="7950" width="7.140625" style="817" customWidth="1"/>
    <col min="7951" max="8192" width="12.5703125" style="817"/>
    <col min="8193" max="8205" width="7" style="817" customWidth="1"/>
    <col min="8206" max="8206" width="7.140625" style="817" customWidth="1"/>
    <col min="8207" max="8448" width="12.5703125" style="817"/>
    <col min="8449" max="8461" width="7" style="817" customWidth="1"/>
    <col min="8462" max="8462" width="7.140625" style="817" customWidth="1"/>
    <col min="8463" max="8704" width="12.5703125" style="817"/>
    <col min="8705" max="8717" width="7" style="817" customWidth="1"/>
    <col min="8718" max="8718" width="7.140625" style="817" customWidth="1"/>
    <col min="8719" max="8960" width="12.5703125" style="817"/>
    <col min="8961" max="8973" width="7" style="817" customWidth="1"/>
    <col min="8974" max="8974" width="7.140625" style="817" customWidth="1"/>
    <col min="8975" max="9216" width="12.5703125" style="817"/>
    <col min="9217" max="9229" width="7" style="817" customWidth="1"/>
    <col min="9230" max="9230" width="7.140625" style="817" customWidth="1"/>
    <col min="9231" max="9472" width="12.5703125" style="817"/>
    <col min="9473" max="9485" width="7" style="817" customWidth="1"/>
    <col min="9486" max="9486" width="7.140625" style="817" customWidth="1"/>
    <col min="9487" max="9728" width="12.5703125" style="817"/>
    <col min="9729" max="9741" width="7" style="817" customWidth="1"/>
    <col min="9742" max="9742" width="7.140625" style="817" customWidth="1"/>
    <col min="9743" max="9984" width="12.5703125" style="817"/>
    <col min="9985" max="9997" width="7" style="817" customWidth="1"/>
    <col min="9998" max="9998" width="7.140625" style="817" customWidth="1"/>
    <col min="9999" max="10240" width="12.5703125" style="817"/>
    <col min="10241" max="10253" width="7" style="817" customWidth="1"/>
    <col min="10254" max="10254" width="7.140625" style="817" customWidth="1"/>
    <col min="10255" max="10496" width="12.5703125" style="817"/>
    <col min="10497" max="10509" width="7" style="817" customWidth="1"/>
    <col min="10510" max="10510" width="7.140625" style="817" customWidth="1"/>
    <col min="10511" max="10752" width="12.5703125" style="817"/>
    <col min="10753" max="10765" width="7" style="817" customWidth="1"/>
    <col min="10766" max="10766" width="7.140625" style="817" customWidth="1"/>
    <col min="10767" max="11008" width="12.5703125" style="817"/>
    <col min="11009" max="11021" width="7" style="817" customWidth="1"/>
    <col min="11022" max="11022" width="7.140625" style="817" customWidth="1"/>
    <col min="11023" max="11264" width="12.5703125" style="817"/>
    <col min="11265" max="11277" width="7" style="817" customWidth="1"/>
    <col min="11278" max="11278" width="7.140625" style="817" customWidth="1"/>
    <col min="11279" max="11520" width="12.5703125" style="817"/>
    <col min="11521" max="11533" width="7" style="817" customWidth="1"/>
    <col min="11534" max="11534" width="7.140625" style="817" customWidth="1"/>
    <col min="11535" max="11776" width="12.5703125" style="817"/>
    <col min="11777" max="11789" width="7" style="817" customWidth="1"/>
    <col min="11790" max="11790" width="7.140625" style="817" customWidth="1"/>
    <col min="11791" max="12032" width="12.5703125" style="817"/>
    <col min="12033" max="12045" width="7" style="817" customWidth="1"/>
    <col min="12046" max="12046" width="7.140625" style="817" customWidth="1"/>
    <col min="12047" max="12288" width="12.5703125" style="817"/>
    <col min="12289" max="12301" width="7" style="817" customWidth="1"/>
    <col min="12302" max="12302" width="7.140625" style="817" customWidth="1"/>
    <col min="12303" max="12544" width="12.5703125" style="817"/>
    <col min="12545" max="12557" width="7" style="817" customWidth="1"/>
    <col min="12558" max="12558" width="7.140625" style="817" customWidth="1"/>
    <col min="12559" max="12800" width="12.5703125" style="817"/>
    <col min="12801" max="12813" width="7" style="817" customWidth="1"/>
    <col min="12814" max="12814" width="7.140625" style="817" customWidth="1"/>
    <col min="12815" max="13056" width="12.5703125" style="817"/>
    <col min="13057" max="13069" width="7" style="817" customWidth="1"/>
    <col min="13070" max="13070" width="7.140625" style="817" customWidth="1"/>
    <col min="13071" max="13312" width="12.5703125" style="817"/>
    <col min="13313" max="13325" width="7" style="817" customWidth="1"/>
    <col min="13326" max="13326" width="7.140625" style="817" customWidth="1"/>
    <col min="13327" max="13568" width="12.5703125" style="817"/>
    <col min="13569" max="13581" width="7" style="817" customWidth="1"/>
    <col min="13582" max="13582" width="7.140625" style="817" customWidth="1"/>
    <col min="13583" max="13824" width="12.5703125" style="817"/>
    <col min="13825" max="13837" width="7" style="817" customWidth="1"/>
    <col min="13838" max="13838" width="7.140625" style="817" customWidth="1"/>
    <col min="13839" max="14080" width="12.5703125" style="817"/>
    <col min="14081" max="14093" width="7" style="817" customWidth="1"/>
    <col min="14094" max="14094" width="7.140625" style="817" customWidth="1"/>
    <col min="14095" max="14336" width="12.5703125" style="817"/>
    <col min="14337" max="14349" width="7" style="817" customWidth="1"/>
    <col min="14350" max="14350" width="7.140625" style="817" customWidth="1"/>
    <col min="14351" max="14592" width="12.5703125" style="817"/>
    <col min="14593" max="14605" width="7" style="817" customWidth="1"/>
    <col min="14606" max="14606" width="7.140625" style="817" customWidth="1"/>
    <col min="14607" max="14848" width="12.5703125" style="817"/>
    <col min="14849" max="14861" width="7" style="817" customWidth="1"/>
    <col min="14862" max="14862" width="7.140625" style="817" customWidth="1"/>
    <col min="14863" max="15104" width="12.5703125" style="817"/>
    <col min="15105" max="15117" width="7" style="817" customWidth="1"/>
    <col min="15118" max="15118" width="7.140625" style="817" customWidth="1"/>
    <col min="15119" max="15360" width="12.5703125" style="817"/>
    <col min="15361" max="15373" width="7" style="817" customWidth="1"/>
    <col min="15374" max="15374" width="7.140625" style="817" customWidth="1"/>
    <col min="15375" max="15616" width="12.5703125" style="817"/>
    <col min="15617" max="15629" width="7" style="817" customWidth="1"/>
    <col min="15630" max="15630" width="7.140625" style="817" customWidth="1"/>
    <col min="15631" max="15872" width="12.5703125" style="817"/>
    <col min="15873" max="15885" width="7" style="817" customWidth="1"/>
    <col min="15886" max="15886" width="7.140625" style="817" customWidth="1"/>
    <col min="15887" max="16128" width="12.5703125" style="817"/>
    <col min="16129" max="16141" width="7" style="817" customWidth="1"/>
    <col min="16142" max="16142" width="7.140625" style="817" customWidth="1"/>
    <col min="16143" max="16384" width="12.5703125" style="817"/>
  </cols>
  <sheetData>
    <row r="1" spans="1:14" ht="17.100000000000001" customHeight="1">
      <c r="A1" s="810" t="s">
        <v>92</v>
      </c>
      <c r="B1" s="811"/>
      <c r="C1" s="811"/>
      <c r="D1" s="811"/>
      <c r="E1" s="811"/>
      <c r="F1" s="811"/>
      <c r="G1" s="811"/>
      <c r="H1" s="811"/>
      <c r="I1" s="811"/>
      <c r="J1" s="812" t="s">
        <v>91</v>
      </c>
      <c r="K1" s="813"/>
      <c r="L1" s="814" t="s">
        <v>704</v>
      </c>
      <c r="M1" s="815"/>
      <c r="N1" s="816"/>
    </row>
    <row r="2" spans="1:14" ht="17.100000000000001" customHeight="1">
      <c r="A2" s="818" t="s">
        <v>89</v>
      </c>
      <c r="B2" s="819"/>
      <c r="C2" s="819"/>
      <c r="D2" s="819"/>
      <c r="E2" s="819"/>
      <c r="F2" s="819"/>
      <c r="G2" s="819"/>
      <c r="H2" s="819"/>
      <c r="I2" s="819"/>
      <c r="J2" s="820" t="s">
        <v>88</v>
      </c>
      <c r="K2" s="821"/>
      <c r="L2" s="822" t="s">
        <v>87</v>
      </c>
      <c r="M2" s="823"/>
      <c r="N2" s="816"/>
    </row>
    <row r="3" spans="1:14" ht="15.95" customHeight="1">
      <c r="A3" s="824"/>
      <c r="B3" s="825"/>
      <c r="C3" s="825"/>
      <c r="D3" s="825"/>
      <c r="E3" s="825"/>
      <c r="F3" s="825"/>
      <c r="G3" s="825"/>
      <c r="H3" s="825"/>
      <c r="I3" s="825"/>
      <c r="J3" s="820" t="s">
        <v>86</v>
      </c>
      <c r="K3" s="821"/>
      <c r="L3" s="826" t="s">
        <v>705</v>
      </c>
      <c r="M3" s="823"/>
      <c r="N3" s="816"/>
    </row>
    <row r="4" spans="1:14" ht="15.95" customHeight="1">
      <c r="A4" s="827"/>
      <c r="B4" s="825"/>
      <c r="C4" s="825"/>
      <c r="D4" s="825"/>
      <c r="E4" s="825"/>
      <c r="F4" s="825"/>
      <c r="G4" s="825"/>
      <c r="H4" s="825"/>
      <c r="I4" s="825"/>
      <c r="J4" s="820" t="s">
        <v>84</v>
      </c>
      <c r="K4" s="821"/>
      <c r="L4" s="826" t="s">
        <v>706</v>
      </c>
      <c r="M4" s="823"/>
      <c r="N4" s="816"/>
    </row>
    <row r="5" spans="1:14" ht="15.95" customHeight="1">
      <c r="A5" s="824"/>
      <c r="B5" s="825"/>
      <c r="C5" s="825"/>
      <c r="D5" s="825"/>
      <c r="E5" s="825"/>
      <c r="F5" s="825"/>
      <c r="G5" s="825"/>
      <c r="H5" s="825"/>
      <c r="I5" s="825"/>
      <c r="J5" s="820" t="s">
        <v>82</v>
      </c>
      <c r="K5" s="821"/>
      <c r="L5" s="822">
        <v>2</v>
      </c>
      <c r="M5" s="823"/>
      <c r="N5" s="816"/>
    </row>
    <row r="6" spans="1:14" ht="15.95" customHeight="1">
      <c r="A6" s="828" t="s">
        <v>81</v>
      </c>
      <c r="B6" s="825"/>
      <c r="C6" s="825"/>
      <c r="D6" s="825"/>
      <c r="E6" s="825"/>
      <c r="F6" s="825"/>
      <c r="G6" s="825"/>
      <c r="H6" s="825"/>
      <c r="I6" s="825"/>
      <c r="J6" s="820" t="s">
        <v>80</v>
      </c>
      <c r="K6" s="821"/>
      <c r="L6" s="822" t="s">
        <v>108</v>
      </c>
      <c r="M6" s="823"/>
      <c r="N6" s="816"/>
    </row>
    <row r="7" spans="1:14" ht="15.95" customHeight="1" thickBot="1">
      <c r="A7" s="829" t="s">
        <v>707</v>
      </c>
      <c r="B7" s="830"/>
      <c r="C7" s="830"/>
      <c r="D7" s="830"/>
      <c r="E7" s="830"/>
      <c r="F7" s="830"/>
      <c r="G7" s="830"/>
      <c r="H7" s="830"/>
      <c r="I7" s="830"/>
      <c r="J7" s="831" t="s">
        <v>77</v>
      </c>
      <c r="K7" s="832"/>
      <c r="L7" s="833" t="s">
        <v>708</v>
      </c>
      <c r="M7" s="834"/>
      <c r="N7" s="816"/>
    </row>
    <row r="8" spans="1:14" ht="15.95" customHeight="1">
      <c r="A8" s="835"/>
      <c r="B8" s="825"/>
      <c r="C8" s="825"/>
      <c r="D8" s="825"/>
      <c r="E8" s="825"/>
      <c r="F8" s="825"/>
      <c r="G8" s="825"/>
      <c r="H8" s="825"/>
      <c r="I8" s="825"/>
      <c r="J8" s="825"/>
      <c r="K8" s="836"/>
      <c r="L8" s="118"/>
      <c r="M8" s="837"/>
      <c r="N8" s="825"/>
    </row>
    <row r="9" spans="1:14" ht="12" customHeight="1">
      <c r="A9" s="106"/>
      <c r="B9" s="105" t="s">
        <v>75</v>
      </c>
      <c r="C9" s="109" t="s">
        <v>772</v>
      </c>
      <c r="D9" s="120"/>
      <c r="E9" s="120"/>
      <c r="F9" s="120"/>
      <c r="G9" s="120"/>
      <c r="H9" s="120"/>
      <c r="I9" s="120"/>
      <c r="J9" s="120"/>
      <c r="K9" s="121"/>
      <c r="L9" s="106"/>
      <c r="M9" s="120"/>
      <c r="N9" s="825"/>
    </row>
    <row r="10" spans="1:14" ht="12" customHeight="1">
      <c r="A10" s="106"/>
      <c r="B10" s="105" t="s">
        <v>74</v>
      </c>
      <c r="C10" s="838" t="s">
        <v>773</v>
      </c>
      <c r="D10" s="106"/>
      <c r="E10" s="106"/>
      <c r="F10" s="106"/>
      <c r="G10" s="106"/>
      <c r="H10" s="106"/>
      <c r="I10" s="106"/>
      <c r="J10" s="106"/>
      <c r="K10" s="106"/>
      <c r="L10" s="106"/>
      <c r="M10" s="106"/>
      <c r="N10" s="118"/>
    </row>
    <row r="11" spans="1:14" ht="16.5" thickBot="1">
      <c r="A11" s="118"/>
      <c r="B11" s="118"/>
      <c r="C11" s="118"/>
      <c r="D11" s="118"/>
      <c r="E11" s="118"/>
      <c r="F11" s="118"/>
      <c r="G11" s="118"/>
      <c r="H11" s="118"/>
      <c r="I11" s="118"/>
      <c r="J11" s="118"/>
      <c r="K11" s="118"/>
      <c r="L11" s="118"/>
      <c r="M11" s="118"/>
      <c r="N11" s="118"/>
    </row>
    <row r="12" spans="1:14" ht="20.100000000000001" customHeight="1" thickBot="1">
      <c r="A12" s="116" t="s">
        <v>73</v>
      </c>
      <c r="B12" s="115"/>
      <c r="C12" s="115"/>
      <c r="D12" s="115"/>
      <c r="E12" s="115"/>
      <c r="F12" s="115"/>
      <c r="G12" s="115"/>
      <c r="H12" s="115"/>
      <c r="I12" s="115"/>
      <c r="J12" s="115"/>
      <c r="K12" s="115"/>
      <c r="L12" s="115"/>
      <c r="M12" s="114"/>
      <c r="N12" s="816"/>
    </row>
    <row r="13" spans="1:14" ht="12.95" customHeight="1" thickTop="1">
      <c r="A13" s="110"/>
      <c r="B13" s="105" t="s">
        <v>72</v>
      </c>
      <c r="C13" s="113">
        <v>4000</v>
      </c>
      <c r="D13" s="106"/>
      <c r="E13" s="105" t="s">
        <v>71</v>
      </c>
      <c r="F13" s="113">
        <v>4000</v>
      </c>
      <c r="G13" s="106"/>
      <c r="H13" s="105" t="s">
        <v>70</v>
      </c>
      <c r="I13" s="113" t="s">
        <v>69</v>
      </c>
      <c r="J13" s="106"/>
      <c r="K13" s="106"/>
      <c r="L13" s="105" t="s">
        <v>68</v>
      </c>
      <c r="M13" s="111">
        <v>3600</v>
      </c>
      <c r="N13" s="816"/>
    </row>
    <row r="14" spans="1:14" ht="12.95" customHeight="1">
      <c r="A14" s="110"/>
      <c r="B14" s="105" t="s">
        <v>67</v>
      </c>
      <c r="C14" s="113" t="s">
        <v>66</v>
      </c>
      <c r="D14" s="106"/>
      <c r="E14" s="105" t="s">
        <v>65</v>
      </c>
      <c r="F14" s="108" t="s">
        <v>64</v>
      </c>
      <c r="G14" s="106"/>
      <c r="H14" s="105" t="s">
        <v>63</v>
      </c>
      <c r="I14" s="113">
        <v>493</v>
      </c>
      <c r="J14" s="106"/>
      <c r="K14" s="106"/>
      <c r="L14" s="105" t="s">
        <v>62</v>
      </c>
      <c r="M14" s="111">
        <v>3589</v>
      </c>
      <c r="N14" s="816"/>
    </row>
    <row r="15" spans="1:14" ht="12.95" customHeight="1">
      <c r="A15" s="110"/>
      <c r="B15" s="105" t="s">
        <v>61</v>
      </c>
      <c r="C15" s="113" t="s">
        <v>60</v>
      </c>
      <c r="D15" s="106"/>
      <c r="E15" s="105" t="s">
        <v>59</v>
      </c>
      <c r="F15" s="839" t="s">
        <v>774</v>
      </c>
      <c r="G15" s="106"/>
      <c r="H15" s="105" t="s">
        <v>58</v>
      </c>
      <c r="I15" s="108" t="s">
        <v>4</v>
      </c>
      <c r="J15" s="106"/>
      <c r="K15" s="106"/>
      <c r="L15" s="105" t="s">
        <v>57</v>
      </c>
      <c r="M15" s="111" t="s">
        <v>51</v>
      </c>
      <c r="N15" s="816"/>
    </row>
    <row r="16" spans="1:14" ht="12.95" customHeight="1">
      <c r="A16" s="110"/>
      <c r="B16" s="105" t="s">
        <v>56</v>
      </c>
      <c r="C16" s="113" t="s">
        <v>55</v>
      </c>
      <c r="D16" s="106"/>
      <c r="E16" s="105" t="s">
        <v>54</v>
      </c>
      <c r="F16" s="840">
        <v>40</v>
      </c>
      <c r="G16" s="106"/>
      <c r="H16" s="112" t="s">
        <v>52</v>
      </c>
      <c r="I16" s="107" t="s">
        <v>51</v>
      </c>
      <c r="J16" s="106"/>
      <c r="K16" s="106"/>
      <c r="L16" s="105" t="s">
        <v>50</v>
      </c>
      <c r="M16" s="111" t="s">
        <v>49</v>
      </c>
      <c r="N16" s="816"/>
    </row>
    <row r="17" spans="1:14" ht="12.95" customHeight="1">
      <c r="A17" s="110"/>
      <c r="B17" s="105" t="s">
        <v>48</v>
      </c>
      <c r="C17" s="109" t="s">
        <v>775</v>
      </c>
      <c r="D17" s="106"/>
      <c r="E17" s="105"/>
      <c r="F17" s="108"/>
      <c r="G17" s="106"/>
      <c r="H17" s="105" t="s">
        <v>47</v>
      </c>
      <c r="I17" s="107" t="s">
        <v>4</v>
      </c>
      <c r="J17" s="106"/>
      <c r="K17" s="106"/>
      <c r="L17" s="105"/>
      <c r="M17" s="104"/>
      <c r="N17" s="816"/>
    </row>
    <row r="18" spans="1:14" ht="12.95" customHeight="1" thickBot="1">
      <c r="A18" s="103"/>
      <c r="B18" s="101" t="s">
        <v>46</v>
      </c>
      <c r="C18" s="100">
        <v>96.2</v>
      </c>
      <c r="D18" s="99"/>
      <c r="E18" s="101" t="s">
        <v>45</v>
      </c>
      <c r="F18" s="100"/>
      <c r="G18" s="102"/>
      <c r="H18" s="101" t="s">
        <v>44</v>
      </c>
      <c r="I18" s="100">
        <v>90.5</v>
      </c>
      <c r="J18" s="99"/>
      <c r="K18" s="99"/>
      <c r="L18" s="99"/>
      <c r="M18" s="98"/>
      <c r="N18" s="816"/>
    </row>
    <row r="19" spans="1:14" ht="16.5" thickBot="1">
      <c r="A19" s="816"/>
      <c r="B19" s="816"/>
      <c r="C19" s="816"/>
      <c r="D19" s="816"/>
      <c r="E19" s="816"/>
      <c r="F19" s="816"/>
      <c r="G19" s="816"/>
      <c r="H19" s="816"/>
      <c r="I19" s="816"/>
      <c r="J19" s="816"/>
      <c r="K19" s="816"/>
      <c r="L19" s="816"/>
      <c r="M19" s="816"/>
      <c r="N19" s="816"/>
    </row>
    <row r="20" spans="1:14" ht="20.100000000000001" customHeight="1" thickBot="1">
      <c r="A20" s="116"/>
      <c r="B20" s="115"/>
      <c r="C20" s="115"/>
      <c r="D20" s="115"/>
      <c r="E20" s="115"/>
      <c r="F20" s="115"/>
      <c r="G20" s="115"/>
      <c r="H20" s="115"/>
      <c r="I20" s="115"/>
      <c r="J20" s="115"/>
      <c r="K20" s="115"/>
      <c r="L20" s="115"/>
      <c r="M20" s="114"/>
    </row>
    <row r="21" spans="1:14" ht="15.95" customHeight="1" thickTop="1">
      <c r="A21" s="841" t="s">
        <v>709</v>
      </c>
      <c r="B21" s="842"/>
      <c r="C21" s="118"/>
      <c r="D21" s="843"/>
      <c r="E21" s="844" t="s">
        <v>710</v>
      </c>
      <c r="F21" s="845"/>
      <c r="G21" s="845"/>
      <c r="H21" s="846"/>
      <c r="I21" s="847" t="s">
        <v>711</v>
      </c>
      <c r="J21" s="845"/>
      <c r="K21" s="845"/>
      <c r="L21" s="118"/>
      <c r="M21" s="848"/>
    </row>
    <row r="22" spans="1:14" ht="15.95" customHeight="1">
      <c r="A22" s="849"/>
      <c r="B22" s="106"/>
      <c r="C22" s="105" t="s">
        <v>712</v>
      </c>
      <c r="D22" s="850">
        <v>3115</v>
      </c>
      <c r="E22" s="105"/>
      <c r="G22" s="112" t="s">
        <v>713</v>
      </c>
      <c r="H22" s="851">
        <v>5853</v>
      </c>
      <c r="I22" s="105"/>
      <c r="J22" s="106"/>
      <c r="K22" s="105" t="s">
        <v>714</v>
      </c>
      <c r="L22" s="106"/>
      <c r="M22" s="104"/>
    </row>
    <row r="23" spans="1:14" ht="15.95" customHeight="1">
      <c r="A23" s="849"/>
      <c r="B23" s="105"/>
      <c r="C23" s="121"/>
      <c r="D23" s="852"/>
      <c r="E23" s="105"/>
      <c r="G23" s="105" t="s">
        <v>715</v>
      </c>
      <c r="H23" s="850">
        <v>130</v>
      </c>
      <c r="I23" s="106"/>
      <c r="J23" s="106"/>
      <c r="K23" s="105" t="s">
        <v>716</v>
      </c>
      <c r="L23" s="106"/>
      <c r="M23" s="104"/>
    </row>
    <row r="24" spans="1:14" ht="15.95" customHeight="1">
      <c r="A24" s="110"/>
      <c r="B24" s="105"/>
      <c r="C24" s="106"/>
      <c r="D24" s="852"/>
      <c r="E24" s="105"/>
      <c r="G24" s="112" t="s">
        <v>717</v>
      </c>
      <c r="H24" s="850">
        <v>215</v>
      </c>
      <c r="I24" s="106"/>
      <c r="J24" s="105"/>
      <c r="K24" s="106"/>
      <c r="L24" s="106"/>
      <c r="M24" s="104"/>
    </row>
    <row r="25" spans="1:14" ht="15.95" customHeight="1" thickBot="1">
      <c r="A25" s="103"/>
      <c r="B25" s="101"/>
      <c r="C25" s="99"/>
      <c r="D25" s="853"/>
      <c r="E25" s="101"/>
      <c r="F25" s="101"/>
      <c r="G25" s="101"/>
      <c r="H25" s="854"/>
      <c r="I25" s="99"/>
      <c r="J25" s="101"/>
      <c r="K25" s="99"/>
      <c r="L25" s="99"/>
      <c r="M25" s="98"/>
    </row>
    <row r="26" spans="1:14" ht="18.95" customHeight="1" thickBot="1">
      <c r="A26" s="835"/>
      <c r="B26" s="835"/>
      <c r="C26" s="835"/>
      <c r="D26" s="816"/>
      <c r="E26" s="816"/>
      <c r="F26" s="816"/>
      <c r="G26" s="816"/>
      <c r="H26" s="816"/>
      <c r="I26" s="816"/>
      <c r="J26" s="816"/>
      <c r="K26" s="816"/>
      <c r="L26" s="816"/>
      <c r="M26" s="816"/>
      <c r="N26" s="816"/>
    </row>
    <row r="27" spans="1:14" ht="20.100000000000001" customHeight="1" thickBot="1">
      <c r="A27" s="855"/>
      <c r="B27" s="856"/>
      <c r="C27" s="856"/>
      <c r="D27" s="856"/>
      <c r="E27" s="856"/>
      <c r="F27" s="856"/>
      <c r="G27" s="857"/>
      <c r="H27" s="856"/>
      <c r="I27" s="856"/>
      <c r="J27" s="856"/>
      <c r="K27" s="856"/>
      <c r="L27" s="856"/>
      <c r="M27" s="858"/>
    </row>
    <row r="28" spans="1:14" ht="15.95" customHeight="1" thickTop="1">
      <c r="A28" s="859" t="s">
        <v>718</v>
      </c>
      <c r="B28" s="842"/>
      <c r="C28" s="118"/>
      <c r="D28" s="118"/>
      <c r="E28" s="845"/>
      <c r="F28" s="845"/>
      <c r="G28" s="860"/>
      <c r="H28" s="844" t="s">
        <v>719</v>
      </c>
      <c r="I28" s="845"/>
      <c r="J28" s="845"/>
      <c r="K28" s="844"/>
      <c r="L28" s="845"/>
      <c r="M28" s="848"/>
    </row>
    <row r="29" spans="1:14" ht="15.95" customHeight="1">
      <c r="A29" s="110"/>
      <c r="B29" s="105"/>
      <c r="C29" s="105" t="s">
        <v>720</v>
      </c>
      <c r="D29" s="861">
        <v>96.4</v>
      </c>
      <c r="E29" s="105"/>
      <c r="F29" s="105"/>
      <c r="G29" s="860"/>
      <c r="H29" s="112"/>
      <c r="I29" s="105"/>
      <c r="J29" s="105" t="s">
        <v>720</v>
      </c>
      <c r="K29" s="861">
        <v>90.7</v>
      </c>
      <c r="L29" s="106"/>
      <c r="M29" s="104"/>
    </row>
    <row r="30" spans="1:14" ht="15.95" customHeight="1">
      <c r="A30" s="862"/>
      <c r="B30" s="106"/>
      <c r="C30" s="105" t="s">
        <v>721</v>
      </c>
      <c r="D30" s="861">
        <v>96.2</v>
      </c>
      <c r="E30" s="105"/>
      <c r="F30" s="105"/>
      <c r="G30" s="860"/>
      <c r="H30" s="105"/>
      <c r="I30" s="106"/>
      <c r="J30" s="105" t="s">
        <v>721</v>
      </c>
      <c r="K30" s="861">
        <v>89.7</v>
      </c>
      <c r="L30" s="106"/>
      <c r="M30" s="104"/>
    </row>
    <row r="31" spans="1:14" ht="15.95" customHeight="1">
      <c r="A31" s="110"/>
      <c r="B31" s="105"/>
      <c r="C31" s="105" t="s">
        <v>722</v>
      </c>
      <c r="D31" s="861">
        <v>95.4</v>
      </c>
      <c r="E31" s="105"/>
      <c r="F31" s="105"/>
      <c r="G31" s="860"/>
      <c r="H31" s="105"/>
      <c r="I31" s="106"/>
      <c r="J31" s="105" t="s">
        <v>722</v>
      </c>
      <c r="K31" s="861">
        <v>86.1</v>
      </c>
      <c r="L31" s="105"/>
      <c r="M31" s="104"/>
    </row>
    <row r="32" spans="1:14" ht="15.95" customHeight="1" thickBot="1">
      <c r="A32" s="103"/>
      <c r="B32" s="101"/>
      <c r="C32" s="99"/>
      <c r="D32" s="99"/>
      <c r="E32" s="101"/>
      <c r="F32" s="101"/>
      <c r="G32" s="863"/>
      <c r="H32" s="101"/>
      <c r="I32" s="99"/>
      <c r="J32" s="101"/>
      <c r="K32" s="99"/>
      <c r="L32" s="101"/>
      <c r="M32" s="98"/>
    </row>
    <row r="33" spans="1:14" ht="20.100000000000001" customHeight="1" thickBot="1">
      <c r="A33" s="864"/>
      <c r="B33" s="864"/>
      <c r="C33" s="864"/>
      <c r="D33" s="864"/>
      <c r="E33" s="864"/>
      <c r="F33" s="864"/>
      <c r="G33" s="864"/>
      <c r="H33" s="864"/>
      <c r="I33" s="864"/>
      <c r="J33" s="864"/>
      <c r="K33" s="864"/>
      <c r="L33" s="864"/>
      <c r="M33" s="864"/>
      <c r="N33" s="864"/>
    </row>
    <row r="34" spans="1:14" ht="20.100000000000001" customHeight="1" thickBot="1">
      <c r="A34" s="865"/>
      <c r="B34" s="866"/>
      <c r="C34" s="866"/>
      <c r="D34" s="866"/>
      <c r="E34" s="866"/>
      <c r="F34" s="866"/>
      <c r="G34" s="866"/>
      <c r="H34" s="866"/>
      <c r="I34" s="866"/>
      <c r="J34" s="866"/>
      <c r="K34" s="866"/>
      <c r="L34" s="866"/>
      <c r="M34" s="867"/>
    </row>
    <row r="35" spans="1:14" ht="15.95" customHeight="1" thickTop="1">
      <c r="A35" s="868" t="s">
        <v>723</v>
      </c>
      <c r="B35" s="121"/>
      <c r="C35" s="121"/>
      <c r="D35" s="121"/>
      <c r="E35" s="121"/>
      <c r="F35" s="121"/>
      <c r="G35" s="121"/>
      <c r="H35" s="121"/>
      <c r="I35" s="121"/>
      <c r="J35" s="121"/>
      <c r="K35" s="121"/>
      <c r="L35" s="121"/>
      <c r="M35" s="869"/>
    </row>
    <row r="36" spans="1:14" ht="15.95" customHeight="1">
      <c r="A36" s="862" t="s">
        <v>724</v>
      </c>
      <c r="B36" s="121"/>
      <c r="C36" s="121"/>
      <c r="D36" s="121"/>
      <c r="E36" s="121"/>
      <c r="F36" s="121"/>
      <c r="G36" s="121"/>
      <c r="H36" s="121"/>
      <c r="I36" s="121"/>
      <c r="J36" s="121"/>
      <c r="K36" s="121"/>
      <c r="L36" s="121"/>
      <c r="M36" s="869"/>
    </row>
    <row r="37" spans="1:14" ht="15.95" customHeight="1">
      <c r="A37" s="870" t="s">
        <v>725</v>
      </c>
      <c r="B37" s="121"/>
      <c r="C37" s="121"/>
      <c r="D37" s="121"/>
      <c r="E37" s="871"/>
      <c r="F37" s="121"/>
      <c r="G37" s="121"/>
      <c r="H37" s="121"/>
      <c r="I37" s="121"/>
      <c r="J37" s="121"/>
      <c r="K37" s="121"/>
      <c r="L37" s="121"/>
      <c r="M37" s="869"/>
    </row>
    <row r="38" spans="1:14" ht="15.95" customHeight="1">
      <c r="A38" s="872" t="s">
        <v>726</v>
      </c>
      <c r="B38" s="121"/>
      <c r="C38" s="121"/>
      <c r="D38" s="121"/>
      <c r="E38" s="121"/>
      <c r="F38" s="121"/>
      <c r="G38" s="121"/>
      <c r="H38" s="121"/>
      <c r="I38" s="121"/>
      <c r="J38" s="121"/>
      <c r="K38" s="121"/>
      <c r="L38" s="121"/>
      <c r="M38" s="869"/>
    </row>
    <row r="39" spans="1:14" ht="15.95" customHeight="1">
      <c r="A39" s="873" t="s">
        <v>727</v>
      </c>
      <c r="B39" s="121"/>
      <c r="C39" s="121"/>
      <c r="D39" s="121"/>
      <c r="E39" s="121"/>
      <c r="F39" s="121"/>
      <c r="G39" s="121"/>
      <c r="H39" s="121"/>
      <c r="I39" s="121"/>
      <c r="J39" s="121"/>
      <c r="K39" s="121"/>
      <c r="L39" s="121"/>
      <c r="M39" s="869"/>
    </row>
    <row r="40" spans="1:14" ht="15.95" customHeight="1" thickBot="1">
      <c r="A40" s="874" t="s">
        <v>728</v>
      </c>
      <c r="B40" s="875"/>
      <c r="C40" s="875"/>
      <c r="D40" s="875"/>
      <c r="E40" s="875"/>
      <c r="F40" s="875"/>
      <c r="G40" s="875"/>
      <c r="H40" s="875"/>
      <c r="I40" s="875"/>
      <c r="J40" s="875"/>
      <c r="K40" s="875"/>
      <c r="L40" s="875"/>
      <c r="M40" s="876"/>
    </row>
    <row r="41" spans="1:14" ht="15.95" customHeight="1"/>
    <row r="42" spans="1:14" ht="18">
      <c r="A42" s="877"/>
      <c r="B42" s="877"/>
      <c r="C42" s="877"/>
      <c r="D42" s="877"/>
      <c r="E42" s="877"/>
      <c r="F42" s="877"/>
      <c r="G42" s="877"/>
      <c r="H42" s="816"/>
      <c r="I42" s="816"/>
      <c r="J42" s="878" t="s">
        <v>2</v>
      </c>
      <c r="K42" s="879" t="s">
        <v>729</v>
      </c>
      <c r="L42" s="879"/>
      <c r="M42" s="879"/>
      <c r="N42" s="877"/>
    </row>
    <row r="43" spans="1:14" ht="7.5" customHeight="1">
      <c r="H43" s="816"/>
      <c r="I43" s="816"/>
      <c r="J43" s="816"/>
      <c r="K43" s="816"/>
      <c r="L43" s="816"/>
      <c r="M43" s="816"/>
    </row>
    <row r="44" spans="1:14" ht="16.5">
      <c r="H44" s="816"/>
      <c r="I44" s="816"/>
      <c r="J44" s="878" t="s">
        <v>1</v>
      </c>
      <c r="K44" s="880">
        <v>45853</v>
      </c>
      <c r="L44" s="880"/>
      <c r="M44" s="880"/>
    </row>
    <row r="59" spans="1:5">
      <c r="A59" s="817" t="s">
        <v>4</v>
      </c>
      <c r="B59" s="817" t="s">
        <v>730</v>
      </c>
      <c r="D59" s="817">
        <v>1</v>
      </c>
      <c r="E59" s="881" t="s">
        <v>4</v>
      </c>
    </row>
    <row r="60" spans="1:5">
      <c r="A60" s="817" t="s">
        <v>731</v>
      </c>
      <c r="B60" s="817" t="s">
        <v>732</v>
      </c>
      <c r="D60" s="817">
        <v>1.1499999999999999</v>
      </c>
      <c r="E60" s="881" t="s">
        <v>344</v>
      </c>
    </row>
    <row r="61" spans="1:5">
      <c r="A61" s="817" t="s">
        <v>733</v>
      </c>
      <c r="B61" s="817" t="s">
        <v>734</v>
      </c>
      <c r="E61" s="881" t="s">
        <v>735</v>
      </c>
    </row>
    <row r="62" spans="1:5">
      <c r="B62" s="817" t="s">
        <v>736</v>
      </c>
    </row>
    <row r="63" spans="1:5">
      <c r="B63" s="817" t="s">
        <v>737</v>
      </c>
    </row>
    <row r="64" spans="1:5">
      <c r="B64" s="817" t="s">
        <v>738</v>
      </c>
    </row>
    <row r="65" spans="2:2">
      <c r="B65" s="817" t="s">
        <v>739</v>
      </c>
    </row>
    <row r="66" spans="2:2">
      <c r="B66" s="817" t="s">
        <v>740</v>
      </c>
    </row>
    <row r="67" spans="2:2">
      <c r="B67" s="817" t="s">
        <v>741</v>
      </c>
    </row>
    <row r="68" spans="2:2">
      <c r="B68" s="817" t="s">
        <v>742</v>
      </c>
    </row>
    <row r="69" spans="2:2">
      <c r="B69" s="817" t="s">
        <v>743</v>
      </c>
    </row>
    <row r="70" spans="2:2">
      <c r="B70" s="817" t="s">
        <v>744</v>
      </c>
    </row>
    <row r="71" spans="2:2">
      <c r="B71" s="817" t="s">
        <v>745</v>
      </c>
    </row>
    <row r="72" spans="2:2">
      <c r="B72" s="817" t="s">
        <v>746</v>
      </c>
    </row>
    <row r="73" spans="2:2">
      <c r="B73" s="817" t="s">
        <v>747</v>
      </c>
    </row>
    <row r="74" spans="2:2">
      <c r="B74" s="817" t="s">
        <v>748</v>
      </c>
    </row>
    <row r="75" spans="2:2">
      <c r="B75" s="817" t="s">
        <v>749</v>
      </c>
    </row>
    <row r="76" spans="2:2">
      <c r="B76" s="817" t="s">
        <v>750</v>
      </c>
    </row>
    <row r="77" spans="2:2">
      <c r="B77" s="817" t="s">
        <v>751</v>
      </c>
    </row>
    <row r="78" spans="2:2">
      <c r="B78" s="817" t="s">
        <v>752</v>
      </c>
    </row>
    <row r="79" spans="2:2">
      <c r="B79" s="817" t="s">
        <v>753</v>
      </c>
    </row>
    <row r="80" spans="2:2">
      <c r="B80" s="817">
        <v>6312</v>
      </c>
    </row>
    <row r="81" spans="2:2">
      <c r="B81" s="817" t="s">
        <v>754</v>
      </c>
    </row>
    <row r="82" spans="2:2">
      <c r="B82" s="817" t="s">
        <v>755</v>
      </c>
    </row>
    <row r="83" spans="2:2">
      <c r="B83" s="817" t="s">
        <v>756</v>
      </c>
    </row>
    <row r="84" spans="2:2">
      <c r="B84" s="817" t="s">
        <v>757</v>
      </c>
    </row>
    <row r="85" spans="2:2">
      <c r="B85" s="817">
        <v>6313</v>
      </c>
    </row>
    <row r="86" spans="2:2">
      <c r="B86" s="817" t="s">
        <v>758</v>
      </c>
    </row>
    <row r="87" spans="2:2">
      <c r="B87" s="817" t="s">
        <v>759</v>
      </c>
    </row>
    <row r="88" spans="2:2">
      <c r="B88" s="817" t="s">
        <v>760</v>
      </c>
    </row>
    <row r="89" spans="2:2">
      <c r="B89" s="817">
        <v>6314</v>
      </c>
    </row>
    <row r="90" spans="2:2">
      <c r="B90" s="817" t="s">
        <v>761</v>
      </c>
    </row>
    <row r="91" spans="2:2">
      <c r="B91" s="817">
        <v>6317</v>
      </c>
    </row>
    <row r="92" spans="2:2">
      <c r="B92" s="817" t="s">
        <v>762</v>
      </c>
    </row>
    <row r="93" spans="2:2">
      <c r="B93" s="817">
        <v>6318</v>
      </c>
    </row>
    <row r="94" spans="2:2">
      <c r="B94" s="817" t="s">
        <v>763</v>
      </c>
    </row>
    <row r="95" spans="2:2">
      <c r="B95" s="817" t="s">
        <v>764</v>
      </c>
    </row>
    <row r="96" spans="2:2">
      <c r="B96" s="817" t="s">
        <v>765</v>
      </c>
    </row>
    <row r="97" spans="2:2">
      <c r="B97" s="817">
        <v>6320</v>
      </c>
    </row>
    <row r="98" spans="2:2">
      <c r="B98" s="817" t="s">
        <v>766</v>
      </c>
    </row>
    <row r="99" spans="2:2">
      <c r="B99" s="817" t="s">
        <v>767</v>
      </c>
    </row>
    <row r="100" spans="2:2">
      <c r="B100" s="817" t="s">
        <v>768</v>
      </c>
    </row>
    <row r="101" spans="2:2">
      <c r="B101" s="817" t="s">
        <v>769</v>
      </c>
    </row>
    <row r="102" spans="2:2">
      <c r="B102" s="817" t="s">
        <v>769</v>
      </c>
    </row>
    <row r="118" spans="2:2">
      <c r="B118" s="817" t="s">
        <v>770</v>
      </c>
    </row>
    <row r="120" spans="2:2">
      <c r="B120" s="817" t="s">
        <v>771</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4CA36-3E11-402D-A2AD-15A4081AF292}">
  <sheetPr>
    <pageSetUpPr fitToPage="1"/>
  </sheetPr>
  <dimension ref="A1:L67"/>
  <sheetViews>
    <sheetView topLeftCell="A6" workbookViewId="0">
      <selection activeCell="N42" sqref="N42"/>
    </sheetView>
  </sheetViews>
  <sheetFormatPr defaultRowHeight="12.75"/>
  <cols>
    <col min="1" max="6" width="16.7109375" style="731" customWidth="1"/>
    <col min="7" max="256" width="9.140625" style="731"/>
    <col min="257" max="262" width="16.7109375" style="731" customWidth="1"/>
    <col min="263" max="512" width="9.140625" style="731"/>
    <col min="513" max="518" width="16.7109375" style="731" customWidth="1"/>
    <col min="519" max="768" width="9.140625" style="731"/>
    <col min="769" max="774" width="16.7109375" style="731" customWidth="1"/>
    <col min="775" max="1024" width="9.140625" style="731"/>
    <col min="1025" max="1030" width="16.7109375" style="731" customWidth="1"/>
    <col min="1031" max="1280" width="9.140625" style="731"/>
    <col min="1281" max="1286" width="16.7109375" style="731" customWidth="1"/>
    <col min="1287" max="1536" width="9.140625" style="731"/>
    <col min="1537" max="1542" width="16.7109375" style="731" customWidth="1"/>
    <col min="1543" max="1792" width="9.140625" style="731"/>
    <col min="1793" max="1798" width="16.7109375" style="731" customWidth="1"/>
    <col min="1799" max="2048" width="9.140625" style="731"/>
    <col min="2049" max="2054" width="16.7109375" style="731" customWidth="1"/>
    <col min="2055" max="2304" width="9.140625" style="731"/>
    <col min="2305" max="2310" width="16.7109375" style="731" customWidth="1"/>
    <col min="2311" max="2560" width="9.140625" style="731"/>
    <col min="2561" max="2566" width="16.7109375" style="731" customWidth="1"/>
    <col min="2567" max="2816" width="9.140625" style="731"/>
    <col min="2817" max="2822" width="16.7109375" style="731" customWidth="1"/>
    <col min="2823" max="3072" width="9.140625" style="731"/>
    <col min="3073" max="3078" width="16.7109375" style="731" customWidth="1"/>
    <col min="3079" max="3328" width="9.140625" style="731"/>
    <col min="3329" max="3334" width="16.7109375" style="731" customWidth="1"/>
    <col min="3335" max="3584" width="9.140625" style="731"/>
    <col min="3585" max="3590" width="16.7109375" style="731" customWidth="1"/>
    <col min="3591" max="3840" width="9.140625" style="731"/>
    <col min="3841" max="3846" width="16.7109375" style="731" customWidth="1"/>
    <col min="3847" max="4096" width="9.140625" style="731"/>
    <col min="4097" max="4102" width="16.7109375" style="731" customWidth="1"/>
    <col min="4103" max="4352" width="9.140625" style="731"/>
    <col min="4353" max="4358" width="16.7109375" style="731" customWidth="1"/>
    <col min="4359" max="4608" width="9.140625" style="731"/>
    <col min="4609" max="4614" width="16.7109375" style="731" customWidth="1"/>
    <col min="4615" max="4864" width="9.140625" style="731"/>
    <col min="4865" max="4870" width="16.7109375" style="731" customWidth="1"/>
    <col min="4871" max="5120" width="9.140625" style="731"/>
    <col min="5121" max="5126" width="16.7109375" style="731" customWidth="1"/>
    <col min="5127" max="5376" width="9.140625" style="731"/>
    <col min="5377" max="5382" width="16.7109375" style="731" customWidth="1"/>
    <col min="5383" max="5632" width="9.140625" style="731"/>
    <col min="5633" max="5638" width="16.7109375" style="731" customWidth="1"/>
    <col min="5639" max="5888" width="9.140625" style="731"/>
    <col min="5889" max="5894" width="16.7109375" style="731" customWidth="1"/>
    <col min="5895" max="6144" width="9.140625" style="731"/>
    <col min="6145" max="6150" width="16.7109375" style="731" customWidth="1"/>
    <col min="6151" max="6400" width="9.140625" style="731"/>
    <col min="6401" max="6406" width="16.7109375" style="731" customWidth="1"/>
    <col min="6407" max="6656" width="9.140625" style="731"/>
    <col min="6657" max="6662" width="16.7109375" style="731" customWidth="1"/>
    <col min="6663" max="6912" width="9.140625" style="731"/>
    <col min="6913" max="6918" width="16.7109375" style="731" customWidth="1"/>
    <col min="6919" max="7168" width="9.140625" style="731"/>
    <col min="7169" max="7174" width="16.7109375" style="731" customWidth="1"/>
    <col min="7175" max="7424" width="9.140625" style="731"/>
    <col min="7425" max="7430" width="16.7109375" style="731" customWidth="1"/>
    <col min="7431" max="7680" width="9.140625" style="731"/>
    <col min="7681" max="7686" width="16.7109375" style="731" customWidth="1"/>
    <col min="7687" max="7936" width="9.140625" style="731"/>
    <col min="7937" max="7942" width="16.7109375" style="731" customWidth="1"/>
    <col min="7943" max="8192" width="9.140625" style="731"/>
    <col min="8193" max="8198" width="16.7109375" style="731" customWidth="1"/>
    <col min="8199" max="8448" width="9.140625" style="731"/>
    <col min="8449" max="8454" width="16.7109375" style="731" customWidth="1"/>
    <col min="8455" max="8704" width="9.140625" style="731"/>
    <col min="8705" max="8710" width="16.7109375" style="731" customWidth="1"/>
    <col min="8711" max="8960" width="9.140625" style="731"/>
    <col min="8961" max="8966" width="16.7109375" style="731" customWidth="1"/>
    <col min="8967" max="9216" width="9.140625" style="731"/>
    <col min="9217" max="9222" width="16.7109375" style="731" customWidth="1"/>
    <col min="9223" max="9472" width="9.140625" style="731"/>
    <col min="9473" max="9478" width="16.7109375" style="731" customWidth="1"/>
    <col min="9479" max="9728" width="9.140625" style="731"/>
    <col min="9729" max="9734" width="16.7109375" style="731" customWidth="1"/>
    <col min="9735" max="9984" width="9.140625" style="731"/>
    <col min="9985" max="9990" width="16.7109375" style="731" customWidth="1"/>
    <col min="9991" max="10240" width="9.140625" style="731"/>
    <col min="10241" max="10246" width="16.7109375" style="731" customWidth="1"/>
    <col min="10247" max="10496" width="9.140625" style="731"/>
    <col min="10497" max="10502" width="16.7109375" style="731" customWidth="1"/>
    <col min="10503" max="10752" width="9.140625" style="731"/>
    <col min="10753" max="10758" width="16.7109375" style="731" customWidth="1"/>
    <col min="10759" max="11008" width="9.140625" style="731"/>
    <col min="11009" max="11014" width="16.7109375" style="731" customWidth="1"/>
    <col min="11015" max="11264" width="9.140625" style="731"/>
    <col min="11265" max="11270" width="16.7109375" style="731" customWidth="1"/>
    <col min="11271" max="11520" width="9.140625" style="731"/>
    <col min="11521" max="11526" width="16.7109375" style="731" customWidth="1"/>
    <col min="11527" max="11776" width="9.140625" style="731"/>
    <col min="11777" max="11782" width="16.7109375" style="731" customWidth="1"/>
    <col min="11783" max="12032" width="9.140625" style="731"/>
    <col min="12033" max="12038" width="16.7109375" style="731" customWidth="1"/>
    <col min="12039" max="12288" width="9.140625" style="731"/>
    <col min="12289" max="12294" width="16.7109375" style="731" customWidth="1"/>
    <col min="12295" max="12544" width="9.140625" style="731"/>
    <col min="12545" max="12550" width="16.7109375" style="731" customWidth="1"/>
    <col min="12551" max="12800" width="9.140625" style="731"/>
    <col min="12801" max="12806" width="16.7109375" style="731" customWidth="1"/>
    <col min="12807" max="13056" width="9.140625" style="731"/>
    <col min="13057" max="13062" width="16.7109375" style="731" customWidth="1"/>
    <col min="13063" max="13312" width="9.140625" style="731"/>
    <col min="13313" max="13318" width="16.7109375" style="731" customWidth="1"/>
    <col min="13319" max="13568" width="9.140625" style="731"/>
    <col min="13569" max="13574" width="16.7109375" style="731" customWidth="1"/>
    <col min="13575" max="13824" width="9.140625" style="731"/>
    <col min="13825" max="13830" width="16.7109375" style="731" customWidth="1"/>
    <col min="13831" max="14080" width="9.140625" style="731"/>
    <col min="14081" max="14086" width="16.7109375" style="731" customWidth="1"/>
    <col min="14087" max="14336" width="9.140625" style="731"/>
    <col min="14337" max="14342" width="16.7109375" style="731" customWidth="1"/>
    <col min="14343" max="14592" width="9.140625" style="731"/>
    <col min="14593" max="14598" width="16.7109375" style="731" customWidth="1"/>
    <col min="14599" max="14848" width="9.140625" style="731"/>
    <col min="14849" max="14854" width="16.7109375" style="731" customWidth="1"/>
    <col min="14855" max="15104" width="9.140625" style="731"/>
    <col min="15105" max="15110" width="16.7109375" style="731" customWidth="1"/>
    <col min="15111" max="15360" width="9.140625" style="731"/>
    <col min="15361" max="15366" width="16.7109375" style="731" customWidth="1"/>
    <col min="15367" max="15616" width="9.140625" style="731"/>
    <col min="15617" max="15622" width="16.7109375" style="731" customWidth="1"/>
    <col min="15623" max="15872" width="9.140625" style="731"/>
    <col min="15873" max="15878" width="16.7109375" style="731" customWidth="1"/>
    <col min="15879" max="16128" width="9.140625" style="731"/>
    <col min="16129" max="16134" width="16.7109375" style="731" customWidth="1"/>
    <col min="16135" max="16384" width="9.140625" style="731"/>
  </cols>
  <sheetData>
    <row r="1" spans="1:6" ht="18.95" customHeight="1">
      <c r="A1" s="728"/>
      <c r="B1" s="729"/>
      <c r="C1" s="729"/>
      <c r="D1" s="729"/>
      <c r="E1" s="729"/>
      <c r="F1" s="730"/>
    </row>
    <row r="2" spans="1:6" ht="26.1" customHeight="1">
      <c r="A2" s="732" t="s">
        <v>92</v>
      </c>
      <c r="B2" s="733"/>
      <c r="C2" s="733"/>
      <c r="D2" s="733"/>
      <c r="E2" s="733"/>
      <c r="F2" s="734"/>
    </row>
    <row r="3" spans="1:6" ht="18.95" customHeight="1">
      <c r="A3" s="735" t="s">
        <v>517</v>
      </c>
      <c r="B3" s="733"/>
      <c r="C3" s="733"/>
      <c r="D3" s="733"/>
      <c r="E3" s="733"/>
      <c r="F3" s="734"/>
    </row>
    <row r="4" spans="1:6" ht="18.95" customHeight="1">
      <c r="A4" s="736"/>
      <c r="B4" s="737"/>
      <c r="C4" s="737"/>
      <c r="D4" s="737"/>
      <c r="E4" s="737"/>
      <c r="F4" s="738"/>
    </row>
    <row r="5" spans="1:6" ht="18.95" customHeight="1">
      <c r="A5" s="736"/>
      <c r="B5" s="737"/>
      <c r="C5" s="737"/>
      <c r="D5" s="737"/>
      <c r="E5" s="737"/>
      <c r="F5" s="738"/>
    </row>
    <row r="6" spans="1:6" ht="18.95" customHeight="1">
      <c r="A6" s="739" t="s">
        <v>518</v>
      </c>
      <c r="B6" s="740"/>
      <c r="C6" s="741"/>
      <c r="D6" s="742"/>
      <c r="E6" s="739" t="s">
        <v>519</v>
      </c>
      <c r="F6" s="743">
        <v>493</v>
      </c>
    </row>
    <row r="7" spans="1:6" ht="18.95" customHeight="1">
      <c r="A7" s="739" t="s">
        <v>520</v>
      </c>
      <c r="B7" s="743" t="s">
        <v>60</v>
      </c>
      <c r="C7" s="739" t="s">
        <v>521</v>
      </c>
      <c r="D7" s="743" t="s">
        <v>522</v>
      </c>
      <c r="E7" s="739" t="s">
        <v>523</v>
      </c>
      <c r="F7" s="743" t="s">
        <v>66</v>
      </c>
    </row>
    <row r="8" spans="1:6" ht="18.95" customHeight="1">
      <c r="A8" s="739" t="s">
        <v>524</v>
      </c>
      <c r="B8" s="743">
        <v>2</v>
      </c>
      <c r="C8" s="739" t="s">
        <v>525</v>
      </c>
      <c r="D8" s="743" t="s">
        <v>526</v>
      </c>
      <c r="E8" s="739" t="s">
        <v>527</v>
      </c>
      <c r="F8" s="743" t="s">
        <v>51</v>
      </c>
    </row>
    <row r="9" spans="1:6" ht="18.95" customHeight="1">
      <c r="A9" s="739" t="s">
        <v>528</v>
      </c>
      <c r="B9" s="743">
        <v>4000</v>
      </c>
      <c r="C9" s="739" t="s">
        <v>529</v>
      </c>
      <c r="D9" s="743" t="s">
        <v>530</v>
      </c>
      <c r="E9" s="739" t="s">
        <v>119</v>
      </c>
      <c r="F9" s="744">
        <v>45853</v>
      </c>
    </row>
    <row r="10" spans="1:6" ht="18.95" customHeight="1">
      <c r="A10" s="739" t="s">
        <v>62</v>
      </c>
      <c r="B10" s="743">
        <v>3585</v>
      </c>
      <c r="C10" s="739" t="s">
        <v>383</v>
      </c>
      <c r="D10" s="743" t="s">
        <v>531</v>
      </c>
      <c r="E10" s="739" t="s">
        <v>117</v>
      </c>
      <c r="F10" s="743" t="s">
        <v>33</v>
      </c>
    </row>
    <row r="11" spans="1:6" ht="18.95" customHeight="1">
      <c r="A11" s="736"/>
      <c r="B11" s="737"/>
      <c r="C11" s="737"/>
      <c r="D11" s="737"/>
      <c r="E11" s="737"/>
      <c r="F11" s="738"/>
    </row>
    <row r="12" spans="1:6" ht="18.95" customHeight="1">
      <c r="A12" s="736"/>
      <c r="B12" s="745" t="s">
        <v>532</v>
      </c>
      <c r="C12" s="746" t="s">
        <v>533</v>
      </c>
      <c r="D12" s="745" t="s">
        <v>381</v>
      </c>
      <c r="E12" s="746" t="s">
        <v>382</v>
      </c>
      <c r="F12" s="738"/>
    </row>
    <row r="13" spans="1:6" ht="18.95" customHeight="1">
      <c r="A13" s="736"/>
      <c r="B13" s="745" t="s">
        <v>534</v>
      </c>
      <c r="C13" s="747">
        <v>1.3</v>
      </c>
      <c r="D13" s="745" t="s">
        <v>535</v>
      </c>
      <c r="E13" s="746" t="s">
        <v>536</v>
      </c>
      <c r="F13" s="738"/>
    </row>
    <row r="14" spans="1:6" ht="18.95" customHeight="1">
      <c r="A14" s="736"/>
      <c r="B14" s="745" t="s">
        <v>537</v>
      </c>
      <c r="C14" s="747">
        <v>2.15</v>
      </c>
      <c r="D14" s="745" t="s">
        <v>385</v>
      </c>
      <c r="E14" s="746" t="s">
        <v>538</v>
      </c>
      <c r="F14" s="738"/>
    </row>
    <row r="15" spans="1:6" ht="18.95" customHeight="1">
      <c r="A15" s="736"/>
      <c r="B15" s="745" t="s">
        <v>387</v>
      </c>
      <c r="C15" s="746" t="s">
        <v>539</v>
      </c>
      <c r="D15" s="737"/>
      <c r="E15" s="737"/>
      <c r="F15" s="738"/>
    </row>
    <row r="16" spans="1:6" ht="18.95" customHeight="1">
      <c r="A16" s="736"/>
      <c r="B16" s="737"/>
      <c r="C16" s="737"/>
      <c r="D16" s="737"/>
      <c r="E16" s="737"/>
      <c r="F16" s="738"/>
    </row>
    <row r="17" spans="1:6" ht="18.95" customHeight="1">
      <c r="A17" s="736"/>
      <c r="B17" s="737"/>
      <c r="C17" s="737"/>
      <c r="D17" s="737"/>
      <c r="E17" s="737"/>
      <c r="F17" s="738"/>
    </row>
    <row r="18" spans="1:6" ht="18.95" customHeight="1">
      <c r="A18" s="736"/>
      <c r="B18" s="737"/>
      <c r="C18" s="737"/>
      <c r="D18" s="737"/>
      <c r="E18" s="737"/>
      <c r="F18" s="738"/>
    </row>
    <row r="19" spans="1:6" ht="18.95" customHeight="1">
      <c r="A19" s="736"/>
      <c r="B19" s="737"/>
      <c r="C19" s="737"/>
      <c r="D19" s="737"/>
      <c r="E19" s="737"/>
      <c r="F19" s="738"/>
    </row>
    <row r="20" spans="1:6" ht="18.95" customHeight="1">
      <c r="A20" s="736"/>
      <c r="B20" s="737"/>
      <c r="C20" s="737"/>
      <c r="D20" s="737"/>
      <c r="E20" s="737"/>
      <c r="F20" s="738"/>
    </row>
    <row r="21" spans="1:6" ht="18.95" customHeight="1">
      <c r="A21" s="736"/>
      <c r="B21" s="737"/>
      <c r="C21" s="737"/>
      <c r="D21" s="737"/>
      <c r="E21" s="737"/>
      <c r="F21" s="738"/>
    </row>
    <row r="22" spans="1:6" ht="18.95" customHeight="1">
      <c r="A22" s="736"/>
      <c r="B22" s="737"/>
      <c r="C22" s="737"/>
      <c r="D22" s="737"/>
      <c r="E22" s="737"/>
      <c r="F22" s="738"/>
    </row>
    <row r="23" spans="1:6" ht="18.95" customHeight="1">
      <c r="A23" s="736"/>
      <c r="B23" s="737"/>
      <c r="C23" s="737"/>
      <c r="D23" s="737"/>
      <c r="E23" s="737"/>
      <c r="F23" s="738"/>
    </row>
    <row r="24" spans="1:6" ht="18.95" customHeight="1">
      <c r="A24" s="736"/>
      <c r="B24" s="737"/>
      <c r="C24" s="737"/>
      <c r="D24" s="737"/>
      <c r="E24" s="737"/>
      <c r="F24" s="738"/>
    </row>
    <row r="25" spans="1:6" ht="18.95" customHeight="1">
      <c r="A25" s="736"/>
      <c r="B25" s="737"/>
      <c r="C25" s="737"/>
      <c r="D25" s="737"/>
      <c r="E25" s="737"/>
      <c r="F25" s="738"/>
    </row>
    <row r="26" spans="1:6" ht="18.95" customHeight="1">
      <c r="A26" s="736"/>
      <c r="B26" s="737"/>
      <c r="C26" s="737"/>
      <c r="D26" s="737"/>
      <c r="E26" s="737"/>
      <c r="F26" s="738"/>
    </row>
    <row r="27" spans="1:6" ht="18.95" customHeight="1">
      <c r="A27" s="736"/>
      <c r="B27" s="737"/>
      <c r="C27" s="737"/>
      <c r="D27" s="737"/>
      <c r="E27" s="737"/>
      <c r="F27" s="738"/>
    </row>
    <row r="28" spans="1:6" ht="18.95" customHeight="1">
      <c r="A28" s="736"/>
      <c r="B28" s="737"/>
      <c r="C28" s="737"/>
      <c r="D28" s="737"/>
      <c r="E28" s="737"/>
      <c r="F28" s="738"/>
    </row>
    <row r="29" spans="1:6" ht="18.95" customHeight="1">
      <c r="A29" s="736"/>
      <c r="B29" s="737"/>
      <c r="C29" s="737"/>
      <c r="D29" s="737"/>
      <c r="E29" s="737"/>
      <c r="F29" s="738"/>
    </row>
    <row r="30" spans="1:6" ht="18.95" customHeight="1">
      <c r="A30" s="736"/>
      <c r="B30" s="737"/>
      <c r="C30" s="737"/>
      <c r="D30" s="737"/>
      <c r="E30" s="737"/>
      <c r="F30" s="738"/>
    </row>
    <row r="31" spans="1:6" ht="18.95" customHeight="1">
      <c r="A31" s="736"/>
      <c r="B31" s="737"/>
      <c r="C31" s="737"/>
      <c r="D31" s="737"/>
      <c r="E31" s="737"/>
      <c r="F31" s="738"/>
    </row>
    <row r="32" spans="1:6" ht="18.95" customHeight="1">
      <c r="A32" s="736"/>
      <c r="B32" s="737"/>
      <c r="C32" s="737"/>
      <c r="D32" s="737"/>
      <c r="E32" s="737"/>
      <c r="F32" s="738"/>
    </row>
    <row r="33" spans="1:6" ht="18.95" customHeight="1">
      <c r="A33" s="736"/>
      <c r="B33" s="737"/>
      <c r="C33" s="737"/>
      <c r="D33" s="737"/>
      <c r="E33" s="737"/>
      <c r="F33" s="738"/>
    </row>
    <row r="34" spans="1:6" ht="18.95" customHeight="1">
      <c r="A34" s="736"/>
      <c r="B34" s="737"/>
      <c r="C34" s="737"/>
      <c r="D34" s="737"/>
      <c r="E34" s="737"/>
      <c r="F34" s="738"/>
    </row>
    <row r="35" spans="1:6" ht="18.95" customHeight="1">
      <c r="A35" s="736"/>
      <c r="B35" s="737"/>
      <c r="C35" s="737"/>
      <c r="D35" s="737"/>
      <c r="E35" s="737"/>
      <c r="F35" s="738"/>
    </row>
    <row r="36" spans="1:6" ht="18.95" customHeight="1">
      <c r="A36" s="736"/>
      <c r="B36" s="737"/>
      <c r="C36" s="737"/>
      <c r="D36" s="737"/>
      <c r="E36" s="737"/>
      <c r="F36" s="738"/>
    </row>
    <row r="37" spans="1:6" ht="18.95" customHeight="1">
      <c r="A37" s="736"/>
      <c r="B37" s="737"/>
      <c r="C37" s="737"/>
      <c r="D37" s="737"/>
      <c r="E37" s="737"/>
      <c r="F37" s="738"/>
    </row>
    <row r="38" spans="1:6" ht="18.95" customHeight="1">
      <c r="A38" s="736"/>
      <c r="B38" s="737"/>
      <c r="C38" s="737"/>
      <c r="D38" s="737"/>
      <c r="E38" s="737"/>
      <c r="F38" s="738"/>
    </row>
    <row r="39" spans="1:6" ht="18.95" customHeight="1">
      <c r="A39" s="748" t="s">
        <v>540</v>
      </c>
      <c r="B39" s="749"/>
      <c r="C39" s="749"/>
      <c r="D39" s="737"/>
      <c r="E39" s="745" t="s">
        <v>541</v>
      </c>
      <c r="F39" s="750"/>
    </row>
    <row r="40" spans="1:6" ht="18.95" customHeight="1">
      <c r="A40" s="736"/>
      <c r="B40" s="749"/>
      <c r="C40" s="749"/>
      <c r="D40" s="737"/>
      <c r="E40" s="737"/>
      <c r="F40" s="738"/>
    </row>
    <row r="41" spans="1:6" ht="18.95" customHeight="1">
      <c r="A41" s="736"/>
      <c r="B41" s="749"/>
      <c r="C41" s="749"/>
      <c r="D41" s="737"/>
      <c r="E41" s="737"/>
      <c r="F41" s="738"/>
    </row>
    <row r="42" spans="1:6" ht="18.95" customHeight="1">
      <c r="A42" s="736"/>
      <c r="B42" s="737"/>
      <c r="C42" s="737"/>
      <c r="D42" s="737"/>
      <c r="E42" s="737"/>
      <c r="F42" s="738"/>
    </row>
    <row r="43" spans="1:6" ht="18.95" customHeight="1">
      <c r="A43" s="751"/>
      <c r="B43" s="749"/>
      <c r="C43" s="752" t="s">
        <v>542</v>
      </c>
      <c r="D43" s="753"/>
      <c r="E43" s="752" t="s">
        <v>543</v>
      </c>
      <c r="F43" s="753"/>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438" t="s">
        <v>389</v>
      </c>
      <c r="E53" s="438" t="s">
        <v>390</v>
      </c>
      <c r="F53" s="438" t="s">
        <v>391</v>
      </c>
      <c r="G53" s="438"/>
      <c r="H53" s="438"/>
      <c r="I53" s="438"/>
      <c r="J53" s="438"/>
      <c r="K53" s="438"/>
      <c r="L53" s="438"/>
    </row>
    <row r="54" spans="1:12" ht="15" customHeight="1">
      <c r="A54" s="754">
        <v>100</v>
      </c>
      <c r="B54" s="438">
        <v>0</v>
      </c>
      <c r="C54" s="438">
        <v>0.19443166255950928</v>
      </c>
      <c r="D54" s="438">
        <v>100</v>
      </c>
      <c r="E54" s="438">
        <v>0</v>
      </c>
      <c r="F54" s="438">
        <v>76.683845520019531</v>
      </c>
      <c r="G54" s="438"/>
      <c r="H54" s="438"/>
      <c r="I54" s="438"/>
      <c r="J54" s="438"/>
      <c r="K54" s="438"/>
      <c r="L54" s="438"/>
    </row>
    <row r="55" spans="1:12" ht="15" customHeight="1">
      <c r="A55" s="754">
        <v>99.200000055134296</v>
      </c>
      <c r="B55" s="438">
        <v>108.27930360324906</v>
      </c>
      <c r="C55" s="438">
        <v>155.34750366210938</v>
      </c>
      <c r="D55" s="438">
        <v>98.400001525878906</v>
      </c>
      <c r="E55" s="438">
        <v>69.298756948076345</v>
      </c>
      <c r="F55" s="438">
        <v>124.27800750732422</v>
      </c>
      <c r="G55" s="438"/>
      <c r="H55" s="438"/>
      <c r="I55" s="438"/>
      <c r="J55" s="438"/>
      <c r="K55" s="438"/>
      <c r="L55" s="438"/>
    </row>
    <row r="56" spans="1:12" ht="15" customHeight="1">
      <c r="A56" s="754">
        <v>96.000000089406967</v>
      </c>
      <c r="B56" s="438">
        <v>215</v>
      </c>
      <c r="C56" s="438">
        <v>474.07583618164063</v>
      </c>
      <c r="D56" s="438">
        <v>89.75</v>
      </c>
      <c r="E56" s="438">
        <v>137.60000410079959</v>
      </c>
      <c r="F56" s="438">
        <v>379.26068115234375</v>
      </c>
      <c r="G56" s="438"/>
      <c r="H56" s="438"/>
      <c r="I56" s="438"/>
      <c r="J56" s="438"/>
      <c r="K56" s="438"/>
      <c r="L56" s="438"/>
    </row>
    <row r="57" spans="1:12">
      <c r="A57" s="754">
        <v>90.857142955064774</v>
      </c>
      <c r="B57" s="438">
        <v>164.55819173937701</v>
      </c>
      <c r="C57" s="438">
        <v>558.60107421875</v>
      </c>
      <c r="D57" s="438">
        <v>76.228569030761719</v>
      </c>
      <c r="E57" s="438">
        <v>105.31724923244855</v>
      </c>
      <c r="F57" s="438">
        <v>446.880859375</v>
      </c>
      <c r="G57" s="438"/>
      <c r="H57" s="438"/>
      <c r="I57" s="438"/>
      <c r="J57" s="438"/>
      <c r="K57" s="438"/>
      <c r="L57" s="438"/>
    </row>
    <row r="58" spans="1:12">
      <c r="A58" s="754">
        <v>85.71428507566452</v>
      </c>
      <c r="B58" s="438">
        <v>141.64781265484953</v>
      </c>
      <c r="C58" s="438">
        <v>581.24151611328125</v>
      </c>
      <c r="D58" s="438">
        <v>62.857139587402344</v>
      </c>
      <c r="E58" s="438">
        <v>90.654602311092617</v>
      </c>
      <c r="F58" s="438">
        <v>464.99322509765625</v>
      </c>
      <c r="G58" s="438"/>
      <c r="H58" s="438"/>
      <c r="I58" s="438"/>
      <c r="J58" s="438"/>
      <c r="K58" s="438"/>
      <c r="L58" s="438"/>
    </row>
    <row r="59" spans="1:12">
      <c r="A59" s="754">
        <v>80.571427941322327</v>
      </c>
      <c r="B59" s="438">
        <v>134.07260097182962</v>
      </c>
      <c r="C59" s="438">
        <v>591.11712646484375</v>
      </c>
      <c r="D59" s="438">
        <v>51.25714111328125</v>
      </c>
      <c r="E59" s="438">
        <v>85.806467400981944</v>
      </c>
      <c r="F59" s="438">
        <v>472.89370727539063</v>
      </c>
      <c r="G59" s="438"/>
      <c r="H59" s="438"/>
      <c r="I59" s="438"/>
      <c r="J59" s="438"/>
      <c r="K59" s="438"/>
      <c r="L59" s="438"/>
    </row>
    <row r="60" spans="1:12">
      <c r="A60" s="754">
        <v>70.285713672637939</v>
      </c>
      <c r="B60" s="438">
        <v>130.72708652208823</v>
      </c>
      <c r="C60" s="438">
        <v>600.97479248046875</v>
      </c>
      <c r="D60" s="438">
        <v>33.485713958740234</v>
      </c>
      <c r="E60" s="438">
        <v>83.665334524671223</v>
      </c>
      <c r="F60" s="438">
        <v>480.77984619140625</v>
      </c>
      <c r="G60" s="438"/>
      <c r="H60" s="438"/>
      <c r="I60" s="438"/>
      <c r="J60" s="438"/>
      <c r="K60" s="438"/>
      <c r="L60" s="438"/>
    </row>
    <row r="61" spans="1:12">
      <c r="A61" s="754">
        <v>59.999999403953552</v>
      </c>
      <c r="B61" s="438">
        <v>130</v>
      </c>
      <c r="C61" s="438">
        <v>607.78570556640625</v>
      </c>
      <c r="D61" s="438">
        <v>22</v>
      </c>
      <c r="E61" s="438">
        <v>83.200002479553234</v>
      </c>
      <c r="F61" s="438">
        <v>486.22857666015625</v>
      </c>
      <c r="G61" s="438"/>
      <c r="H61" s="438"/>
      <c r="I61" s="438"/>
      <c r="J61" s="438"/>
      <c r="K61" s="438"/>
      <c r="L61" s="438"/>
    </row>
    <row r="62" spans="1:12">
      <c r="A62" s="754">
        <v>50</v>
      </c>
      <c r="B62" s="438">
        <v>130.00000681266414</v>
      </c>
      <c r="C62" s="438">
        <v>613.544921875</v>
      </c>
      <c r="D62" s="438">
        <v>14</v>
      </c>
      <c r="E62" s="438">
        <v>83.200002479553234</v>
      </c>
      <c r="F62" s="438">
        <v>490.8359375</v>
      </c>
      <c r="G62" s="438"/>
      <c r="H62" s="438"/>
      <c r="I62" s="438"/>
      <c r="J62" s="438"/>
      <c r="K62" s="438"/>
      <c r="L62" s="438"/>
    </row>
    <row r="63" spans="1:12">
      <c r="A63" s="754">
        <v>39.999997615814209</v>
      </c>
      <c r="B63" s="438">
        <v>130.00006173677744</v>
      </c>
      <c r="C63" s="438">
        <v>618.47625732421875</v>
      </c>
      <c r="D63" s="438">
        <v>7.9999995231628418</v>
      </c>
      <c r="E63" s="438">
        <v>83.200041542054407</v>
      </c>
      <c r="F63" s="438">
        <v>494.781005859375</v>
      </c>
      <c r="G63" s="438"/>
      <c r="H63" s="438"/>
      <c r="I63" s="438"/>
      <c r="J63" s="438"/>
      <c r="K63" s="438"/>
      <c r="L63" s="438"/>
    </row>
    <row r="64" spans="1:12">
      <c r="A64" s="754">
        <v>30.000001192092896</v>
      </c>
      <c r="B64" s="438">
        <v>130.00013395138484</v>
      </c>
      <c r="C64" s="438">
        <v>622.6612548828125</v>
      </c>
      <c r="D64" s="438">
        <v>5.9999995231628418</v>
      </c>
      <c r="E64" s="438">
        <v>83.20009037018086</v>
      </c>
      <c r="F64" s="438">
        <v>498.12899780273438</v>
      </c>
      <c r="G64" s="438"/>
      <c r="H64" s="438"/>
      <c r="I64" s="438"/>
      <c r="J64" s="438"/>
      <c r="K64" s="438"/>
      <c r="L64" s="438"/>
    </row>
    <row r="65" spans="1:12">
      <c r="A65" s="754">
        <v>19.999998807907104</v>
      </c>
      <c r="B65" s="438">
        <v>130.00488327433703</v>
      </c>
      <c r="C65" s="438">
        <v>626.2086181640625</v>
      </c>
      <c r="D65" s="438">
        <v>8.0000009536743164</v>
      </c>
      <c r="E65" s="438">
        <v>83.203127479646369</v>
      </c>
      <c r="F65" s="438">
        <v>500.96688842773438</v>
      </c>
      <c r="G65" s="438"/>
      <c r="H65" s="438"/>
      <c r="I65" s="438"/>
      <c r="J65" s="438"/>
      <c r="K65" s="438"/>
      <c r="L65" s="438"/>
    </row>
    <row r="66" spans="1:12">
      <c r="A66" s="754">
        <v>10.000002384185791</v>
      </c>
      <c r="B66" s="438">
        <v>130.00657014325489</v>
      </c>
      <c r="C66" s="438">
        <v>629.23529052734375</v>
      </c>
      <c r="D66" s="438">
        <v>14.999996185302734</v>
      </c>
      <c r="E66" s="438">
        <v>83.204211464053685</v>
      </c>
      <c r="F66" s="438">
        <v>503.38824462890625</v>
      </c>
      <c r="G66" s="438"/>
      <c r="H66" s="438"/>
      <c r="I66" s="438"/>
      <c r="J66" s="438"/>
      <c r="K66" s="438"/>
      <c r="L66" s="438"/>
    </row>
    <row r="67" spans="1:12">
      <c r="A67" s="755">
        <v>0</v>
      </c>
      <c r="B67" s="438">
        <v>130</v>
      </c>
      <c r="C67" s="438">
        <v>631.8458251953125</v>
      </c>
      <c r="D67" s="438">
        <v>30</v>
      </c>
      <c r="E67" s="438">
        <v>83.200002479553234</v>
      </c>
      <c r="F67" s="438">
        <v>505.47665405273438</v>
      </c>
      <c r="G67" s="438"/>
      <c r="H67" s="438"/>
      <c r="I67" s="438"/>
      <c r="J67" s="438"/>
      <c r="K67" s="438"/>
      <c r="L67" s="438"/>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4016-E68F-4E69-92B7-45B9BDE0F335}">
  <sheetPr>
    <pageSetUpPr fitToPage="1"/>
  </sheetPr>
  <dimension ref="A1:I81"/>
  <sheetViews>
    <sheetView topLeftCell="A44" workbookViewId="0">
      <selection activeCell="B69" sqref="B69"/>
    </sheetView>
  </sheetViews>
  <sheetFormatPr defaultRowHeight="12.75"/>
  <cols>
    <col min="1" max="6" width="16.7109375" style="731" customWidth="1"/>
    <col min="7" max="256" width="9.140625" style="731"/>
    <col min="257" max="262" width="16.7109375" style="731" customWidth="1"/>
    <col min="263" max="512" width="9.140625" style="731"/>
    <col min="513" max="518" width="16.7109375" style="731" customWidth="1"/>
    <col min="519" max="768" width="9.140625" style="731"/>
    <col min="769" max="774" width="16.7109375" style="731" customWidth="1"/>
    <col min="775" max="1024" width="9.140625" style="731"/>
    <col min="1025" max="1030" width="16.7109375" style="731" customWidth="1"/>
    <col min="1031" max="1280" width="9.140625" style="731"/>
    <col min="1281" max="1286" width="16.7109375" style="731" customWidth="1"/>
    <col min="1287" max="1536" width="9.140625" style="731"/>
    <col min="1537" max="1542" width="16.7109375" style="731" customWidth="1"/>
    <col min="1543" max="1792" width="9.140625" style="731"/>
    <col min="1793" max="1798" width="16.7109375" style="731" customWidth="1"/>
    <col min="1799" max="2048" width="9.140625" style="731"/>
    <col min="2049" max="2054" width="16.7109375" style="731" customWidth="1"/>
    <col min="2055" max="2304" width="9.140625" style="731"/>
    <col min="2305" max="2310" width="16.7109375" style="731" customWidth="1"/>
    <col min="2311" max="2560" width="9.140625" style="731"/>
    <col min="2561" max="2566" width="16.7109375" style="731" customWidth="1"/>
    <col min="2567" max="2816" width="9.140625" style="731"/>
    <col min="2817" max="2822" width="16.7109375" style="731" customWidth="1"/>
    <col min="2823" max="3072" width="9.140625" style="731"/>
    <col min="3073" max="3078" width="16.7109375" style="731" customWidth="1"/>
    <col min="3079" max="3328" width="9.140625" style="731"/>
    <col min="3329" max="3334" width="16.7109375" style="731" customWidth="1"/>
    <col min="3335" max="3584" width="9.140625" style="731"/>
    <col min="3585" max="3590" width="16.7109375" style="731" customWidth="1"/>
    <col min="3591" max="3840" width="9.140625" style="731"/>
    <col min="3841" max="3846" width="16.7109375" style="731" customWidth="1"/>
    <col min="3847" max="4096" width="9.140625" style="731"/>
    <col min="4097" max="4102" width="16.7109375" style="731" customWidth="1"/>
    <col min="4103" max="4352" width="9.140625" style="731"/>
    <col min="4353" max="4358" width="16.7109375" style="731" customWidth="1"/>
    <col min="4359" max="4608" width="9.140625" style="731"/>
    <col min="4609" max="4614" width="16.7109375" style="731" customWidth="1"/>
    <col min="4615" max="4864" width="9.140625" style="731"/>
    <col min="4865" max="4870" width="16.7109375" style="731" customWidth="1"/>
    <col min="4871" max="5120" width="9.140625" style="731"/>
    <col min="5121" max="5126" width="16.7109375" style="731" customWidth="1"/>
    <col min="5127" max="5376" width="9.140625" style="731"/>
    <col min="5377" max="5382" width="16.7109375" style="731" customWidth="1"/>
    <col min="5383" max="5632" width="9.140625" style="731"/>
    <col min="5633" max="5638" width="16.7109375" style="731" customWidth="1"/>
    <col min="5639" max="5888" width="9.140625" style="731"/>
    <col min="5889" max="5894" width="16.7109375" style="731" customWidth="1"/>
    <col min="5895" max="6144" width="9.140625" style="731"/>
    <col min="6145" max="6150" width="16.7109375" style="731" customWidth="1"/>
    <col min="6151" max="6400" width="9.140625" style="731"/>
    <col min="6401" max="6406" width="16.7109375" style="731" customWidth="1"/>
    <col min="6407" max="6656" width="9.140625" style="731"/>
    <col min="6657" max="6662" width="16.7109375" style="731" customWidth="1"/>
    <col min="6663" max="6912" width="9.140625" style="731"/>
    <col min="6913" max="6918" width="16.7109375" style="731" customWidth="1"/>
    <col min="6919" max="7168" width="9.140625" style="731"/>
    <col min="7169" max="7174" width="16.7109375" style="731" customWidth="1"/>
    <col min="7175" max="7424" width="9.140625" style="731"/>
    <col min="7425" max="7430" width="16.7109375" style="731" customWidth="1"/>
    <col min="7431" max="7680" width="9.140625" style="731"/>
    <col min="7681" max="7686" width="16.7109375" style="731" customWidth="1"/>
    <col min="7687" max="7936" width="9.140625" style="731"/>
    <col min="7937" max="7942" width="16.7109375" style="731" customWidth="1"/>
    <col min="7943" max="8192" width="9.140625" style="731"/>
    <col min="8193" max="8198" width="16.7109375" style="731" customWidth="1"/>
    <col min="8199" max="8448" width="9.140625" style="731"/>
    <col min="8449" max="8454" width="16.7109375" style="731" customWidth="1"/>
    <col min="8455" max="8704" width="9.140625" style="731"/>
    <col min="8705" max="8710" width="16.7109375" style="731" customWidth="1"/>
    <col min="8711" max="8960" width="9.140625" style="731"/>
    <col min="8961" max="8966" width="16.7109375" style="731" customWidth="1"/>
    <col min="8967" max="9216" width="9.140625" style="731"/>
    <col min="9217" max="9222" width="16.7109375" style="731" customWidth="1"/>
    <col min="9223" max="9472" width="9.140625" style="731"/>
    <col min="9473" max="9478" width="16.7109375" style="731" customWidth="1"/>
    <col min="9479" max="9728" width="9.140625" style="731"/>
    <col min="9729" max="9734" width="16.7109375" style="731" customWidth="1"/>
    <col min="9735" max="9984" width="9.140625" style="731"/>
    <col min="9985" max="9990" width="16.7109375" style="731" customWidth="1"/>
    <col min="9991" max="10240" width="9.140625" style="731"/>
    <col min="10241" max="10246" width="16.7109375" style="731" customWidth="1"/>
    <col min="10247" max="10496" width="9.140625" style="731"/>
    <col min="10497" max="10502" width="16.7109375" style="731" customWidth="1"/>
    <col min="10503" max="10752" width="9.140625" style="731"/>
    <col min="10753" max="10758" width="16.7109375" style="731" customWidth="1"/>
    <col min="10759" max="11008" width="9.140625" style="731"/>
    <col min="11009" max="11014" width="16.7109375" style="731" customWidth="1"/>
    <col min="11015" max="11264" width="9.140625" style="731"/>
    <col min="11265" max="11270" width="16.7109375" style="731" customWidth="1"/>
    <col min="11271" max="11520" width="9.140625" style="731"/>
    <col min="11521" max="11526" width="16.7109375" style="731" customWidth="1"/>
    <col min="11527" max="11776" width="9.140625" style="731"/>
    <col min="11777" max="11782" width="16.7109375" style="731" customWidth="1"/>
    <col min="11783" max="12032" width="9.140625" style="731"/>
    <col min="12033" max="12038" width="16.7109375" style="731" customWidth="1"/>
    <col min="12039" max="12288" width="9.140625" style="731"/>
    <col min="12289" max="12294" width="16.7109375" style="731" customWidth="1"/>
    <col min="12295" max="12544" width="9.140625" style="731"/>
    <col min="12545" max="12550" width="16.7109375" style="731" customWidth="1"/>
    <col min="12551" max="12800" width="9.140625" style="731"/>
    <col min="12801" max="12806" width="16.7109375" style="731" customWidth="1"/>
    <col min="12807" max="13056" width="9.140625" style="731"/>
    <col min="13057" max="13062" width="16.7109375" style="731" customWidth="1"/>
    <col min="13063" max="13312" width="9.140625" style="731"/>
    <col min="13313" max="13318" width="16.7109375" style="731" customWidth="1"/>
    <col min="13319" max="13568" width="9.140625" style="731"/>
    <col min="13569" max="13574" width="16.7109375" style="731" customWidth="1"/>
    <col min="13575" max="13824" width="9.140625" style="731"/>
    <col min="13825" max="13830" width="16.7109375" style="731" customWidth="1"/>
    <col min="13831" max="14080" width="9.140625" style="731"/>
    <col min="14081" max="14086" width="16.7109375" style="731" customWidth="1"/>
    <col min="14087" max="14336" width="9.140625" style="731"/>
    <col min="14337" max="14342" width="16.7109375" style="731" customWidth="1"/>
    <col min="14343" max="14592" width="9.140625" style="731"/>
    <col min="14593" max="14598" width="16.7109375" style="731" customWidth="1"/>
    <col min="14599" max="14848" width="9.140625" style="731"/>
    <col min="14849" max="14854" width="16.7109375" style="731" customWidth="1"/>
    <col min="14855" max="15104" width="9.140625" style="731"/>
    <col min="15105" max="15110" width="16.7109375" style="731" customWidth="1"/>
    <col min="15111" max="15360" width="9.140625" style="731"/>
    <col min="15361" max="15366" width="16.7109375" style="731" customWidth="1"/>
    <col min="15367" max="15616" width="9.140625" style="731"/>
    <col min="15617" max="15622" width="16.7109375" style="731" customWidth="1"/>
    <col min="15623" max="15872" width="9.140625" style="731"/>
    <col min="15873" max="15878" width="16.7109375" style="731" customWidth="1"/>
    <col min="15879" max="16128" width="9.140625" style="731"/>
    <col min="16129" max="16134" width="16.7109375" style="731" customWidth="1"/>
    <col min="16135" max="16384" width="9.140625" style="731"/>
  </cols>
  <sheetData>
    <row r="1" spans="1:6" ht="18.95" customHeight="1">
      <c r="A1" s="728"/>
      <c r="B1" s="729"/>
      <c r="C1" s="729"/>
      <c r="D1" s="729"/>
      <c r="E1" s="729"/>
      <c r="F1" s="730"/>
    </row>
    <row r="2" spans="1:6" ht="26.1" customHeight="1">
      <c r="A2" s="732" t="s">
        <v>92</v>
      </c>
      <c r="B2" s="733"/>
      <c r="C2" s="733"/>
      <c r="D2" s="733"/>
      <c r="E2" s="733"/>
      <c r="F2" s="734"/>
    </row>
    <row r="3" spans="1:6" ht="18.95" customHeight="1">
      <c r="A3" s="756" t="s">
        <v>544</v>
      </c>
      <c r="B3" s="757"/>
      <c r="C3" s="757"/>
      <c r="D3" s="757"/>
      <c r="E3" s="757"/>
      <c r="F3" s="758"/>
    </row>
    <row r="4" spans="1:6" ht="18.95" customHeight="1">
      <c r="A4" s="759" t="s">
        <v>545</v>
      </c>
      <c r="B4" s="760"/>
      <c r="C4" s="760"/>
      <c r="D4" s="760"/>
      <c r="E4" s="760"/>
      <c r="F4" s="761"/>
    </row>
    <row r="5" spans="1:6" ht="18.95" customHeight="1">
      <c r="A5" s="736"/>
      <c r="B5" s="737"/>
      <c r="C5" s="737"/>
      <c r="D5" s="737"/>
      <c r="E5" s="737"/>
      <c r="F5" s="738"/>
    </row>
    <row r="6" spans="1:6" ht="18.95" customHeight="1">
      <c r="A6" s="739" t="s">
        <v>518</v>
      </c>
      <c r="B6" s="740"/>
      <c r="C6" s="741"/>
      <c r="D6" s="742"/>
      <c r="E6" s="739" t="s">
        <v>519</v>
      </c>
      <c r="F6" s="743">
        <v>493</v>
      </c>
    </row>
    <row r="7" spans="1:6" ht="18.95" customHeight="1">
      <c r="A7" s="739" t="s">
        <v>520</v>
      </c>
      <c r="B7" s="743" t="s">
        <v>60</v>
      </c>
      <c r="C7" s="739" t="s">
        <v>521</v>
      </c>
      <c r="D7" s="743" t="s">
        <v>522</v>
      </c>
      <c r="E7" s="739" t="s">
        <v>523</v>
      </c>
      <c r="F7" s="743" t="s">
        <v>66</v>
      </c>
    </row>
    <row r="8" spans="1:6" ht="18.95" customHeight="1">
      <c r="A8" s="739" t="s">
        <v>524</v>
      </c>
      <c r="B8" s="743">
        <v>2</v>
      </c>
      <c r="C8" s="739" t="s">
        <v>525</v>
      </c>
      <c r="D8" s="743" t="s">
        <v>526</v>
      </c>
      <c r="E8" s="739" t="s">
        <v>527</v>
      </c>
      <c r="F8" s="743" t="s">
        <v>51</v>
      </c>
    </row>
    <row r="9" spans="1:6" ht="18.95" customHeight="1">
      <c r="A9" s="739" t="s">
        <v>528</v>
      </c>
      <c r="B9" s="743">
        <v>4000</v>
      </c>
      <c r="C9" s="739" t="s">
        <v>529</v>
      </c>
      <c r="D9" s="743" t="s">
        <v>530</v>
      </c>
      <c r="E9" s="739" t="s">
        <v>119</v>
      </c>
      <c r="F9" s="744">
        <v>45853</v>
      </c>
    </row>
    <row r="10" spans="1:6" ht="18.95" customHeight="1">
      <c r="A10" s="739" t="s">
        <v>62</v>
      </c>
      <c r="B10" s="743">
        <v>3585</v>
      </c>
      <c r="C10" s="739" t="s">
        <v>383</v>
      </c>
      <c r="D10" s="743" t="s">
        <v>531</v>
      </c>
      <c r="E10" s="739" t="s">
        <v>117</v>
      </c>
      <c r="F10" s="743" t="s">
        <v>33</v>
      </c>
    </row>
    <row r="11" spans="1:6" ht="18.95" customHeight="1">
      <c r="A11" s="736"/>
      <c r="B11" s="737"/>
      <c r="C11" s="737"/>
      <c r="D11" s="737"/>
      <c r="E11" s="737"/>
      <c r="F11" s="738"/>
    </row>
    <row r="12" spans="1:6" ht="18.95" customHeight="1">
      <c r="A12" s="736"/>
      <c r="B12" s="745"/>
      <c r="C12" s="746"/>
      <c r="D12" s="745"/>
      <c r="E12" s="746"/>
      <c r="F12" s="738"/>
    </row>
    <row r="13" spans="1:6" ht="18.95" customHeight="1">
      <c r="A13" s="736"/>
      <c r="B13" s="745"/>
      <c r="C13" s="747"/>
      <c r="D13" s="745"/>
      <c r="E13" s="746"/>
      <c r="F13" s="738"/>
    </row>
    <row r="14" spans="1:6" ht="18.95" customHeight="1">
      <c r="A14" s="736"/>
      <c r="B14" s="745"/>
      <c r="C14" s="747"/>
      <c r="D14" s="745"/>
      <c r="E14" s="746"/>
      <c r="F14" s="738"/>
    </row>
    <row r="15" spans="1:6" ht="18.95" customHeight="1">
      <c r="A15" s="736"/>
      <c r="B15" s="745"/>
      <c r="C15" s="746"/>
      <c r="D15" s="737"/>
      <c r="E15" s="737"/>
      <c r="F15" s="738"/>
    </row>
    <row r="16" spans="1:6" ht="18.95" customHeight="1">
      <c r="A16" s="736"/>
      <c r="B16" s="737"/>
      <c r="C16" s="737"/>
      <c r="D16" s="737"/>
      <c r="E16" s="737"/>
      <c r="F16" s="738"/>
    </row>
    <row r="17" spans="1:6" ht="18.95" customHeight="1">
      <c r="A17" s="736"/>
      <c r="B17" s="737"/>
      <c r="C17" s="737"/>
      <c r="D17" s="737"/>
      <c r="E17" s="737"/>
      <c r="F17" s="738"/>
    </row>
    <row r="18" spans="1:6" ht="18.95" customHeight="1">
      <c r="A18" s="736"/>
      <c r="B18" s="737"/>
      <c r="C18" s="737"/>
      <c r="D18" s="737"/>
      <c r="E18" s="737"/>
      <c r="F18" s="738"/>
    </row>
    <row r="19" spans="1:6" ht="18.95" customHeight="1">
      <c r="A19" s="736"/>
      <c r="B19" s="737"/>
      <c r="C19" s="737"/>
      <c r="D19" s="737"/>
      <c r="E19" s="737"/>
      <c r="F19" s="738"/>
    </row>
    <row r="20" spans="1:6" ht="18.95" customHeight="1">
      <c r="A20" s="736"/>
      <c r="B20" s="737"/>
      <c r="C20" s="737"/>
      <c r="D20" s="737"/>
      <c r="E20" s="737"/>
      <c r="F20" s="738"/>
    </row>
    <row r="21" spans="1:6" ht="18.95" customHeight="1">
      <c r="A21" s="736"/>
      <c r="B21" s="737"/>
      <c r="C21" s="737"/>
      <c r="D21" s="737"/>
      <c r="E21" s="737"/>
      <c r="F21" s="738"/>
    </row>
    <row r="22" spans="1:6" ht="18.95" customHeight="1">
      <c r="A22" s="736"/>
      <c r="B22" s="737"/>
      <c r="C22" s="737"/>
      <c r="D22" s="737"/>
      <c r="E22" s="737"/>
      <c r="F22" s="738"/>
    </row>
    <row r="23" spans="1:6" ht="18.95" customHeight="1">
      <c r="A23" s="736"/>
      <c r="B23" s="737"/>
      <c r="C23" s="737"/>
      <c r="D23" s="737"/>
      <c r="E23" s="737"/>
      <c r="F23" s="738"/>
    </row>
    <row r="24" spans="1:6" ht="18.95" customHeight="1">
      <c r="A24" s="736"/>
      <c r="B24" s="737"/>
      <c r="C24" s="737"/>
      <c r="D24" s="737"/>
      <c r="E24" s="737"/>
      <c r="F24" s="738"/>
    </row>
    <row r="25" spans="1:6" ht="18.95" customHeight="1">
      <c r="A25" s="736"/>
      <c r="B25" s="737"/>
      <c r="C25" s="737"/>
      <c r="D25" s="737"/>
      <c r="E25" s="737"/>
      <c r="F25" s="738"/>
    </row>
    <row r="26" spans="1:6" ht="18.95" customHeight="1">
      <c r="A26" s="736"/>
      <c r="B26" s="737"/>
      <c r="C26" s="737"/>
      <c r="D26" s="737"/>
      <c r="E26" s="737"/>
      <c r="F26" s="738"/>
    </row>
    <row r="27" spans="1:6" ht="18.95" customHeight="1">
      <c r="A27" s="736"/>
      <c r="B27" s="737"/>
      <c r="C27" s="737"/>
      <c r="D27" s="737"/>
      <c r="E27" s="737"/>
      <c r="F27" s="738"/>
    </row>
    <row r="28" spans="1:6" ht="18.95" customHeight="1">
      <c r="A28" s="736"/>
      <c r="B28" s="737"/>
      <c r="C28" s="737"/>
      <c r="D28" s="737"/>
      <c r="E28" s="737"/>
      <c r="F28" s="738"/>
    </row>
    <row r="29" spans="1:6" ht="18.95" customHeight="1">
      <c r="A29" s="736"/>
      <c r="B29" s="737"/>
      <c r="C29" s="737"/>
      <c r="D29" s="737"/>
      <c r="E29" s="737"/>
      <c r="F29" s="738"/>
    </row>
    <row r="30" spans="1:6" ht="18.95" customHeight="1">
      <c r="A30" s="736"/>
      <c r="B30" s="737"/>
      <c r="C30" s="737"/>
      <c r="D30" s="737"/>
      <c r="E30" s="737"/>
      <c r="F30" s="738"/>
    </row>
    <row r="31" spans="1:6" ht="18.95" customHeight="1">
      <c r="A31" s="736"/>
      <c r="B31" s="737"/>
      <c r="C31" s="737"/>
      <c r="D31" s="737"/>
      <c r="E31" s="737"/>
      <c r="F31" s="738"/>
    </row>
    <row r="32" spans="1:6" ht="18.95" customHeight="1">
      <c r="A32" s="736"/>
      <c r="B32" s="737"/>
      <c r="C32" s="737"/>
      <c r="D32" s="737"/>
      <c r="E32" s="737"/>
      <c r="F32" s="738"/>
    </row>
    <row r="33" spans="1:6" ht="18.95" customHeight="1">
      <c r="A33" s="736"/>
      <c r="B33" s="737"/>
      <c r="C33" s="737"/>
      <c r="D33" s="737"/>
      <c r="E33" s="737"/>
      <c r="F33" s="738"/>
    </row>
    <row r="34" spans="1:6" ht="18.95" customHeight="1">
      <c r="A34" s="736"/>
      <c r="B34" s="737"/>
      <c r="C34" s="737"/>
      <c r="D34" s="737"/>
      <c r="E34" s="737"/>
      <c r="F34" s="738"/>
    </row>
    <row r="35" spans="1:6" ht="18.95" customHeight="1">
      <c r="A35" s="736"/>
      <c r="B35" s="737"/>
      <c r="C35" s="737"/>
      <c r="D35" s="737"/>
      <c r="E35" s="737"/>
      <c r="F35" s="738"/>
    </row>
    <row r="36" spans="1:6" ht="18.95" customHeight="1">
      <c r="A36" s="736"/>
      <c r="B36" s="737"/>
      <c r="C36" s="737"/>
      <c r="D36" s="737"/>
      <c r="E36" s="737"/>
      <c r="F36" s="738"/>
    </row>
    <row r="37" spans="1:6" ht="18.95" customHeight="1">
      <c r="A37" s="736"/>
      <c r="B37" s="737"/>
      <c r="C37" s="737"/>
      <c r="D37" s="737"/>
      <c r="E37" s="737"/>
      <c r="F37" s="738"/>
    </row>
    <row r="38" spans="1:6" ht="18.95" customHeight="1">
      <c r="A38" s="736"/>
      <c r="B38" s="737"/>
      <c r="C38" s="737"/>
      <c r="D38" s="737"/>
      <c r="E38" s="737"/>
      <c r="F38" s="738"/>
    </row>
    <row r="39" spans="1:6" ht="18.95" customHeight="1">
      <c r="A39" s="748" t="s">
        <v>540</v>
      </c>
      <c r="B39" s="749"/>
      <c r="C39" s="749"/>
      <c r="D39" s="737"/>
      <c r="E39" s="745" t="s">
        <v>541</v>
      </c>
      <c r="F39" s="750"/>
    </row>
    <row r="40" spans="1:6" ht="18.95" customHeight="1">
      <c r="A40" s="736"/>
      <c r="B40" s="749"/>
      <c r="C40" s="749"/>
      <c r="D40" s="737"/>
      <c r="E40" s="737"/>
      <c r="F40" s="738"/>
    </row>
    <row r="41" spans="1:6" ht="18.95" customHeight="1">
      <c r="A41" s="736"/>
      <c r="B41" s="749"/>
      <c r="C41" s="749"/>
      <c r="D41" s="737"/>
      <c r="E41" s="737"/>
      <c r="F41" s="738"/>
    </row>
    <row r="42" spans="1:6" ht="18.95" customHeight="1">
      <c r="A42" s="736"/>
      <c r="B42" s="737"/>
      <c r="C42" s="737"/>
      <c r="D42" s="737"/>
      <c r="E42" s="737"/>
      <c r="F42" s="738"/>
    </row>
    <row r="43" spans="1:6" ht="18.95" customHeight="1">
      <c r="A43" s="751"/>
      <c r="B43" s="749"/>
      <c r="C43" s="752" t="s">
        <v>542</v>
      </c>
      <c r="D43" s="753"/>
      <c r="E43" s="752" t="s">
        <v>543</v>
      </c>
      <c r="F43" s="753"/>
    </row>
    <row r="44" spans="1:6" ht="15" customHeight="1"/>
    <row r="45" spans="1:6" ht="15" customHeight="1"/>
    <row r="46" spans="1:6" ht="15" customHeight="1"/>
    <row r="47" spans="1:6" ht="15" customHeight="1"/>
    <row r="48" spans="1:6" ht="15" customHeight="1"/>
    <row r="49" spans="6:9" ht="15" customHeight="1"/>
    <row r="50" spans="6:9" ht="15" customHeight="1">
      <c r="F50" s="762" t="e">
        <f>5252.1*B50/D53</f>
        <v>#DIV/0!</v>
      </c>
      <c r="G50" s="762"/>
    </row>
    <row r="51" spans="6:9" ht="15" customHeight="1"/>
    <row r="52" spans="6:9" ht="15" customHeight="1"/>
    <row r="53" spans="6:9" ht="15" customHeight="1"/>
    <row r="54" spans="6:9" ht="15" customHeight="1"/>
    <row r="55" spans="6:9" ht="15" customHeight="1"/>
    <row r="56" spans="6:9" ht="15" customHeight="1"/>
    <row r="62" spans="6:9">
      <c r="I62" s="763"/>
    </row>
    <row r="63" spans="6:9">
      <c r="I63" s="731" t="s">
        <v>546</v>
      </c>
    </row>
    <row r="66" spans="1:8">
      <c r="D66" s="762" t="e">
        <f>D65/D64</f>
        <v>#DIV/0!</v>
      </c>
    </row>
    <row r="67" spans="1:8">
      <c r="A67" s="764" t="s">
        <v>378</v>
      </c>
      <c r="B67" s="764" t="s">
        <v>547</v>
      </c>
      <c r="C67" s="764" t="s">
        <v>548</v>
      </c>
      <c r="E67" s="764" t="s">
        <v>549</v>
      </c>
      <c r="F67" s="764" t="s">
        <v>550</v>
      </c>
    </row>
    <row r="68" spans="1:8">
      <c r="A68" s="765">
        <v>631.84584178498983</v>
      </c>
      <c r="B68" s="766">
        <v>15</v>
      </c>
      <c r="C68" s="766">
        <v>10</v>
      </c>
      <c r="E68" s="765">
        <f>A68</f>
        <v>631.84584178498983</v>
      </c>
      <c r="F68" s="766">
        <v>1E-4</v>
      </c>
      <c r="G68" s="731">
        <f>0.8*E68</f>
        <v>505.4766734279919</v>
      </c>
      <c r="H68" s="767">
        <f>F68</f>
        <v>1E-4</v>
      </c>
    </row>
    <row r="69" spans="1:8">
      <c r="A69" s="765">
        <f>FLOOR(A68,100)</f>
        <v>600</v>
      </c>
      <c r="B69" s="766">
        <f>((A68/A69)^2)*B68</f>
        <v>16.634548657540932</v>
      </c>
      <c r="C69" s="766">
        <f>((A68/A69)^2)*C68</f>
        <v>11.08969910502729</v>
      </c>
      <c r="E69" s="765">
        <v>630.54766734279917</v>
      </c>
      <c r="F69" s="766">
        <v>0.19499999284744263</v>
      </c>
      <c r="G69" s="731">
        <f t="shared" ref="G69:G81" si="0">0.8*E69</f>
        <v>504.43813387423938</v>
      </c>
      <c r="H69" s="731">
        <f t="shared" ref="H69:H80" si="1">2*F69</f>
        <v>0.38999998569488525</v>
      </c>
    </row>
    <row r="70" spans="1:8">
      <c r="A70" s="765">
        <f>A69-100</f>
        <v>500</v>
      </c>
      <c r="B70" s="766">
        <f>((A68/A70)^2)*B68</f>
        <v>23.953750066858944</v>
      </c>
      <c r="C70" s="766">
        <f>((A68/A70)^2)*C68</f>
        <v>15.969166711239296</v>
      </c>
      <c r="E70" s="765">
        <v>627.72819472616629</v>
      </c>
      <c r="F70" s="766">
        <v>0.37199997901916504</v>
      </c>
      <c r="G70" s="731">
        <f t="shared" si="0"/>
        <v>502.18255578093306</v>
      </c>
      <c r="H70" s="731">
        <f t="shared" si="1"/>
        <v>0.74399995803833008</v>
      </c>
    </row>
    <row r="71" spans="1:8">
      <c r="A71" s="765">
        <f>A70-100</f>
        <v>400</v>
      </c>
      <c r="B71" s="766">
        <f>((A68/A71)^2)*B68</f>
        <v>37.427734479467098</v>
      </c>
      <c r="C71" s="766">
        <f>((A68/A71)^2)*C68</f>
        <v>24.951822986311399</v>
      </c>
      <c r="E71" s="765">
        <v>624.44219066937114</v>
      </c>
      <c r="F71" s="766">
        <v>0.5429999828338623</v>
      </c>
      <c r="G71" s="731">
        <f t="shared" si="0"/>
        <v>499.55375253549693</v>
      </c>
      <c r="H71" s="731">
        <f t="shared" si="1"/>
        <v>1.0859999656677246</v>
      </c>
    </row>
    <row r="72" spans="1:8">
      <c r="A72" s="765">
        <f>A71-100</f>
        <v>300</v>
      </c>
      <c r="B72" s="766">
        <f>((A68/A72)^2)*B68</f>
        <v>66.53819463016373</v>
      </c>
      <c r="C72" s="766"/>
      <c r="E72" s="765">
        <v>620.56795131845843</v>
      </c>
      <c r="F72" s="766">
        <v>0.71399998664855957</v>
      </c>
      <c r="G72" s="731">
        <f t="shared" si="0"/>
        <v>496.45436105476676</v>
      </c>
      <c r="H72" s="731">
        <f t="shared" si="1"/>
        <v>1.4279999732971191</v>
      </c>
    </row>
    <row r="73" spans="1:8">
      <c r="A73" s="765">
        <f>A72-100</f>
        <v>200</v>
      </c>
      <c r="B73" s="766">
        <f>((A68/A73)^2)*B68</f>
        <v>149.71093791786839</v>
      </c>
      <c r="C73" s="766"/>
      <c r="E73" s="765">
        <v>616.00405679513187</v>
      </c>
      <c r="F73" s="766">
        <v>0.89099997282028198</v>
      </c>
      <c r="G73" s="731">
        <f t="shared" si="0"/>
        <v>492.8032454361055</v>
      </c>
      <c r="H73" s="731">
        <f t="shared" si="1"/>
        <v>1.781999945640564</v>
      </c>
    </row>
    <row r="74" spans="1:8">
      <c r="A74" s="765">
        <v>215</v>
      </c>
      <c r="B74" s="766">
        <f>((A68/A74)^2)*B68</f>
        <v>129.54975698679797</v>
      </c>
      <c r="C74" s="766">
        <f>((A68/A74)^2)*C68</f>
        <v>86.36650465786532</v>
      </c>
      <c r="E74" s="765">
        <v>610.66937119675458</v>
      </c>
      <c r="F74" s="766">
        <v>1.0789999961853027</v>
      </c>
      <c r="G74" s="731">
        <f t="shared" si="0"/>
        <v>488.53549695740367</v>
      </c>
      <c r="H74" s="731">
        <f t="shared" si="1"/>
        <v>2.1579999923706055</v>
      </c>
    </row>
    <row r="75" spans="1:8">
      <c r="A75" s="768">
        <v>180</v>
      </c>
      <c r="B75" s="766">
        <f>((A68/A75)^2)*B69</f>
        <v>204.96904373340507</v>
      </c>
      <c r="C75" s="766">
        <f>((A68/A75)^2)*C68</f>
        <v>123.21887894474764</v>
      </c>
      <c r="E75" s="765">
        <v>604.3813387423935</v>
      </c>
      <c r="F75" s="766">
        <v>1.2899999618530273</v>
      </c>
      <c r="G75" s="731">
        <f t="shared" si="0"/>
        <v>483.50507099391484</v>
      </c>
      <c r="H75" s="731">
        <f t="shared" si="1"/>
        <v>2.5799999237060547</v>
      </c>
    </row>
    <row r="76" spans="1:8">
      <c r="A76" s="768">
        <v>145</v>
      </c>
      <c r="B76" s="766">
        <f>((A68/A76)^2)*B68</f>
        <v>284.82461435028472</v>
      </c>
      <c r="C76" s="766">
        <f>((A68/A76)^2)*C68</f>
        <v>189.88307623352313</v>
      </c>
      <c r="E76" s="765">
        <v>596.04462474645027</v>
      </c>
      <c r="F76" s="766">
        <v>1.5299999713897705</v>
      </c>
      <c r="G76" s="731">
        <f t="shared" si="0"/>
        <v>476.83569979716026</v>
      </c>
      <c r="H76" s="731">
        <f t="shared" si="1"/>
        <v>3.059999942779541</v>
      </c>
    </row>
    <row r="77" spans="1:8">
      <c r="A77" s="768">
        <v>125</v>
      </c>
      <c r="B77" s="766"/>
      <c r="C77" s="765">
        <f>CEILING(C76*2,100)</f>
        <v>400</v>
      </c>
      <c r="E77" s="765">
        <v>586.18661257606493</v>
      </c>
      <c r="F77" s="766">
        <v>1.6639999151229858</v>
      </c>
      <c r="G77" s="731">
        <f t="shared" si="0"/>
        <v>468.94929006085198</v>
      </c>
      <c r="H77" s="731">
        <f t="shared" si="1"/>
        <v>3.3279998302459717</v>
      </c>
    </row>
    <row r="78" spans="1:8">
      <c r="A78" s="768">
        <v>125</v>
      </c>
      <c r="B78" s="766"/>
      <c r="C78" s="765">
        <f>2*C77</f>
        <v>800</v>
      </c>
      <c r="E78" s="765">
        <v>569.9188640973631</v>
      </c>
      <c r="F78" s="766">
        <v>1.7929998636245728</v>
      </c>
      <c r="G78" s="731">
        <f t="shared" si="0"/>
        <v>455.93509127789048</v>
      </c>
      <c r="H78" s="731">
        <f t="shared" si="1"/>
        <v>3.5859997272491455</v>
      </c>
    </row>
    <row r="79" spans="1:8">
      <c r="A79" s="768">
        <v>125</v>
      </c>
      <c r="B79" s="768"/>
      <c r="C79" s="768">
        <v>10000</v>
      </c>
      <c r="E79" s="765">
        <v>516.32860040567948</v>
      </c>
      <c r="F79" s="766">
        <v>1.8939998149871826</v>
      </c>
      <c r="G79" s="731">
        <f t="shared" si="0"/>
        <v>413.06288032454358</v>
      </c>
      <c r="H79" s="731">
        <f t="shared" si="1"/>
        <v>3.7879996299743652</v>
      </c>
    </row>
    <row r="80" spans="1:8">
      <c r="E80" s="765">
        <v>314.70588235294116</v>
      </c>
      <c r="F80" s="766">
        <v>1.992999792098999</v>
      </c>
      <c r="G80" s="731">
        <f t="shared" si="0"/>
        <v>251.76470588235293</v>
      </c>
      <c r="H80" s="731">
        <f t="shared" si="1"/>
        <v>3.985999584197998</v>
      </c>
    </row>
    <row r="81" spans="5:8">
      <c r="E81" s="765">
        <v>120</v>
      </c>
      <c r="F81" s="766">
        <v>2</v>
      </c>
      <c r="G81" s="731">
        <v>120</v>
      </c>
      <c r="H81" s="731">
        <f>2*F81</f>
        <v>4</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6DED-188C-4373-AF8E-C582279582EE}">
  <sheetPr>
    <pageSetUpPr fitToPage="1"/>
  </sheetPr>
  <dimension ref="A1:L61"/>
  <sheetViews>
    <sheetView workbookViewId="0">
      <selection activeCell="N42" sqref="N42"/>
    </sheetView>
  </sheetViews>
  <sheetFormatPr defaultRowHeight="12.75"/>
  <cols>
    <col min="1" max="1" width="19.7109375" style="731" customWidth="1"/>
    <col min="2" max="7" width="10.7109375" style="731" customWidth="1"/>
    <col min="8" max="256" width="9.140625" style="731"/>
    <col min="257" max="257" width="19.7109375" style="731" customWidth="1"/>
    <col min="258" max="263" width="10.7109375" style="731" customWidth="1"/>
    <col min="264" max="512" width="9.140625" style="731"/>
    <col min="513" max="513" width="19.7109375" style="731" customWidth="1"/>
    <col min="514" max="519" width="10.7109375" style="731" customWidth="1"/>
    <col min="520" max="768" width="9.140625" style="731"/>
    <col min="769" max="769" width="19.7109375" style="731" customWidth="1"/>
    <col min="770" max="775" width="10.7109375" style="731" customWidth="1"/>
    <col min="776" max="1024" width="9.140625" style="731"/>
    <col min="1025" max="1025" width="19.7109375" style="731" customWidth="1"/>
    <col min="1026" max="1031" width="10.7109375" style="731" customWidth="1"/>
    <col min="1032" max="1280" width="9.140625" style="731"/>
    <col min="1281" max="1281" width="19.7109375" style="731" customWidth="1"/>
    <col min="1282" max="1287" width="10.7109375" style="731" customWidth="1"/>
    <col min="1288" max="1536" width="9.140625" style="731"/>
    <col min="1537" max="1537" width="19.7109375" style="731" customWidth="1"/>
    <col min="1538" max="1543" width="10.7109375" style="731" customWidth="1"/>
    <col min="1544" max="1792" width="9.140625" style="731"/>
    <col min="1793" max="1793" width="19.7109375" style="731" customWidth="1"/>
    <col min="1794" max="1799" width="10.7109375" style="731" customWidth="1"/>
    <col min="1800" max="2048" width="9.140625" style="731"/>
    <col min="2049" max="2049" width="19.7109375" style="731" customWidth="1"/>
    <col min="2050" max="2055" width="10.7109375" style="731" customWidth="1"/>
    <col min="2056" max="2304" width="9.140625" style="731"/>
    <col min="2305" max="2305" width="19.7109375" style="731" customWidth="1"/>
    <col min="2306" max="2311" width="10.7109375" style="731" customWidth="1"/>
    <col min="2312" max="2560" width="9.140625" style="731"/>
    <col min="2561" max="2561" width="19.7109375" style="731" customWidth="1"/>
    <col min="2562" max="2567" width="10.7109375" style="731" customWidth="1"/>
    <col min="2568" max="2816" width="9.140625" style="731"/>
    <col min="2817" max="2817" width="19.7109375" style="731" customWidth="1"/>
    <col min="2818" max="2823" width="10.7109375" style="731" customWidth="1"/>
    <col min="2824" max="3072" width="9.140625" style="731"/>
    <col min="3073" max="3073" width="19.7109375" style="731" customWidth="1"/>
    <col min="3074" max="3079" width="10.7109375" style="731" customWidth="1"/>
    <col min="3080" max="3328" width="9.140625" style="731"/>
    <col min="3329" max="3329" width="19.7109375" style="731" customWidth="1"/>
    <col min="3330" max="3335" width="10.7109375" style="731" customWidth="1"/>
    <col min="3336" max="3584" width="9.140625" style="731"/>
    <col min="3585" max="3585" width="19.7109375" style="731" customWidth="1"/>
    <col min="3586" max="3591" width="10.7109375" style="731" customWidth="1"/>
    <col min="3592" max="3840" width="9.140625" style="731"/>
    <col min="3841" max="3841" width="19.7109375" style="731" customWidth="1"/>
    <col min="3842" max="3847" width="10.7109375" style="731" customWidth="1"/>
    <col min="3848" max="4096" width="9.140625" style="731"/>
    <col min="4097" max="4097" width="19.7109375" style="731" customWidth="1"/>
    <col min="4098" max="4103" width="10.7109375" style="731" customWidth="1"/>
    <col min="4104" max="4352" width="9.140625" style="731"/>
    <col min="4353" max="4353" width="19.7109375" style="731" customWidth="1"/>
    <col min="4354" max="4359" width="10.7109375" style="731" customWidth="1"/>
    <col min="4360" max="4608" width="9.140625" style="731"/>
    <col min="4609" max="4609" width="19.7109375" style="731" customWidth="1"/>
    <col min="4610" max="4615" width="10.7109375" style="731" customWidth="1"/>
    <col min="4616" max="4864" width="9.140625" style="731"/>
    <col min="4865" max="4865" width="19.7109375" style="731" customWidth="1"/>
    <col min="4866" max="4871" width="10.7109375" style="731" customWidth="1"/>
    <col min="4872" max="5120" width="9.140625" style="731"/>
    <col min="5121" max="5121" width="19.7109375" style="731" customWidth="1"/>
    <col min="5122" max="5127" width="10.7109375" style="731" customWidth="1"/>
    <col min="5128" max="5376" width="9.140625" style="731"/>
    <col min="5377" max="5377" width="19.7109375" style="731" customWidth="1"/>
    <col min="5378" max="5383" width="10.7109375" style="731" customWidth="1"/>
    <col min="5384" max="5632" width="9.140625" style="731"/>
    <col min="5633" max="5633" width="19.7109375" style="731" customWidth="1"/>
    <col min="5634" max="5639" width="10.7109375" style="731" customWidth="1"/>
    <col min="5640" max="5888" width="9.140625" style="731"/>
    <col min="5889" max="5889" width="19.7109375" style="731" customWidth="1"/>
    <col min="5890" max="5895" width="10.7109375" style="731" customWidth="1"/>
    <col min="5896" max="6144" width="9.140625" style="731"/>
    <col min="6145" max="6145" width="19.7109375" style="731" customWidth="1"/>
    <col min="6146" max="6151" width="10.7109375" style="731" customWidth="1"/>
    <col min="6152" max="6400" width="9.140625" style="731"/>
    <col min="6401" max="6401" width="19.7109375" style="731" customWidth="1"/>
    <col min="6402" max="6407" width="10.7109375" style="731" customWidth="1"/>
    <col min="6408" max="6656" width="9.140625" style="731"/>
    <col min="6657" max="6657" width="19.7109375" style="731" customWidth="1"/>
    <col min="6658" max="6663" width="10.7109375" style="731" customWidth="1"/>
    <col min="6664" max="6912" width="9.140625" style="731"/>
    <col min="6913" max="6913" width="19.7109375" style="731" customWidth="1"/>
    <col min="6914" max="6919" width="10.7109375" style="731" customWidth="1"/>
    <col min="6920" max="7168" width="9.140625" style="731"/>
    <col min="7169" max="7169" width="19.7109375" style="731" customWidth="1"/>
    <col min="7170" max="7175" width="10.7109375" style="731" customWidth="1"/>
    <col min="7176" max="7424" width="9.140625" style="731"/>
    <col min="7425" max="7425" width="19.7109375" style="731" customWidth="1"/>
    <col min="7426" max="7431" width="10.7109375" style="731" customWidth="1"/>
    <col min="7432" max="7680" width="9.140625" style="731"/>
    <col min="7681" max="7681" width="19.7109375" style="731" customWidth="1"/>
    <col min="7682" max="7687" width="10.7109375" style="731" customWidth="1"/>
    <col min="7688" max="7936" width="9.140625" style="731"/>
    <col min="7937" max="7937" width="19.7109375" style="731" customWidth="1"/>
    <col min="7938" max="7943" width="10.7109375" style="731" customWidth="1"/>
    <col min="7944" max="8192" width="9.140625" style="731"/>
    <col min="8193" max="8193" width="19.7109375" style="731" customWidth="1"/>
    <col min="8194" max="8199" width="10.7109375" style="731" customWidth="1"/>
    <col min="8200" max="8448" width="9.140625" style="731"/>
    <col min="8449" max="8449" width="19.7109375" style="731" customWidth="1"/>
    <col min="8450" max="8455" width="10.7109375" style="731" customWidth="1"/>
    <col min="8456" max="8704" width="9.140625" style="731"/>
    <col min="8705" max="8705" width="19.7109375" style="731" customWidth="1"/>
    <col min="8706" max="8711" width="10.7109375" style="731" customWidth="1"/>
    <col min="8712" max="8960" width="9.140625" style="731"/>
    <col min="8961" max="8961" width="19.7109375" style="731" customWidth="1"/>
    <col min="8962" max="8967" width="10.7109375" style="731" customWidth="1"/>
    <col min="8968" max="9216" width="9.140625" style="731"/>
    <col min="9217" max="9217" width="19.7109375" style="731" customWidth="1"/>
    <col min="9218" max="9223" width="10.7109375" style="731" customWidth="1"/>
    <col min="9224" max="9472" width="9.140625" style="731"/>
    <col min="9473" max="9473" width="19.7109375" style="731" customWidth="1"/>
    <col min="9474" max="9479" width="10.7109375" style="731" customWidth="1"/>
    <col min="9480" max="9728" width="9.140625" style="731"/>
    <col min="9729" max="9729" width="19.7109375" style="731" customWidth="1"/>
    <col min="9730" max="9735" width="10.7109375" style="731" customWidth="1"/>
    <col min="9736" max="9984" width="9.140625" style="731"/>
    <col min="9985" max="9985" width="19.7109375" style="731" customWidth="1"/>
    <col min="9986" max="9991" width="10.7109375" style="731" customWidth="1"/>
    <col min="9992" max="10240" width="9.140625" style="731"/>
    <col min="10241" max="10241" width="19.7109375" style="731" customWidth="1"/>
    <col min="10242" max="10247" width="10.7109375" style="731" customWidth="1"/>
    <col min="10248" max="10496" width="9.140625" style="731"/>
    <col min="10497" max="10497" width="19.7109375" style="731" customWidth="1"/>
    <col min="10498" max="10503" width="10.7109375" style="731" customWidth="1"/>
    <col min="10504" max="10752" width="9.140625" style="731"/>
    <col min="10753" max="10753" width="19.7109375" style="731" customWidth="1"/>
    <col min="10754" max="10759" width="10.7109375" style="731" customWidth="1"/>
    <col min="10760" max="11008" width="9.140625" style="731"/>
    <col min="11009" max="11009" width="19.7109375" style="731" customWidth="1"/>
    <col min="11010" max="11015" width="10.7109375" style="731" customWidth="1"/>
    <col min="11016" max="11264" width="9.140625" style="731"/>
    <col min="11265" max="11265" width="19.7109375" style="731" customWidth="1"/>
    <col min="11266" max="11271" width="10.7109375" style="731" customWidth="1"/>
    <col min="11272" max="11520" width="9.140625" style="731"/>
    <col min="11521" max="11521" width="19.7109375" style="731" customWidth="1"/>
    <col min="11522" max="11527" width="10.7109375" style="731" customWidth="1"/>
    <col min="11528" max="11776" width="9.140625" style="731"/>
    <col min="11777" max="11777" width="19.7109375" style="731" customWidth="1"/>
    <col min="11778" max="11783" width="10.7109375" style="731" customWidth="1"/>
    <col min="11784" max="12032" width="9.140625" style="731"/>
    <col min="12033" max="12033" width="19.7109375" style="731" customWidth="1"/>
    <col min="12034" max="12039" width="10.7109375" style="731" customWidth="1"/>
    <col min="12040" max="12288" width="9.140625" style="731"/>
    <col min="12289" max="12289" width="19.7109375" style="731" customWidth="1"/>
    <col min="12290" max="12295" width="10.7109375" style="731" customWidth="1"/>
    <col min="12296" max="12544" width="9.140625" style="731"/>
    <col min="12545" max="12545" width="19.7109375" style="731" customWidth="1"/>
    <col min="12546" max="12551" width="10.7109375" style="731" customWidth="1"/>
    <col min="12552" max="12800" width="9.140625" style="731"/>
    <col min="12801" max="12801" width="19.7109375" style="731" customWidth="1"/>
    <col min="12802" max="12807" width="10.7109375" style="731" customWidth="1"/>
    <col min="12808" max="13056" width="9.140625" style="731"/>
    <col min="13057" max="13057" width="19.7109375" style="731" customWidth="1"/>
    <col min="13058" max="13063" width="10.7109375" style="731" customWidth="1"/>
    <col min="13064" max="13312" width="9.140625" style="731"/>
    <col min="13313" max="13313" width="19.7109375" style="731" customWidth="1"/>
    <col min="13314" max="13319" width="10.7109375" style="731" customWidth="1"/>
    <col min="13320" max="13568" width="9.140625" style="731"/>
    <col min="13569" max="13569" width="19.7109375" style="731" customWidth="1"/>
    <col min="13570" max="13575" width="10.7109375" style="731" customWidth="1"/>
    <col min="13576" max="13824" width="9.140625" style="731"/>
    <col min="13825" max="13825" width="19.7109375" style="731" customWidth="1"/>
    <col min="13826" max="13831" width="10.7109375" style="731" customWidth="1"/>
    <col min="13832" max="14080" width="9.140625" style="731"/>
    <col min="14081" max="14081" width="19.7109375" style="731" customWidth="1"/>
    <col min="14082" max="14087" width="10.7109375" style="731" customWidth="1"/>
    <col min="14088" max="14336" width="9.140625" style="731"/>
    <col min="14337" max="14337" width="19.7109375" style="731" customWidth="1"/>
    <col min="14338" max="14343" width="10.7109375" style="731" customWidth="1"/>
    <col min="14344" max="14592" width="9.140625" style="731"/>
    <col min="14593" max="14593" width="19.7109375" style="731" customWidth="1"/>
    <col min="14594" max="14599" width="10.7109375" style="731" customWidth="1"/>
    <col min="14600" max="14848" width="9.140625" style="731"/>
    <col min="14849" max="14849" width="19.7109375" style="731" customWidth="1"/>
    <col min="14850" max="14855" width="10.7109375" style="731" customWidth="1"/>
    <col min="14856" max="15104" width="9.140625" style="731"/>
    <col min="15105" max="15105" width="19.7109375" style="731" customWidth="1"/>
    <col min="15106" max="15111" width="10.7109375" style="731" customWidth="1"/>
    <col min="15112" max="15360" width="9.140625" style="731"/>
    <col min="15361" max="15361" width="19.7109375" style="731" customWidth="1"/>
    <col min="15362" max="15367" width="10.7109375" style="731" customWidth="1"/>
    <col min="15368" max="15616" width="9.140625" style="731"/>
    <col min="15617" max="15617" width="19.7109375" style="731" customWidth="1"/>
    <col min="15618" max="15623" width="10.7109375" style="731" customWidth="1"/>
    <col min="15624" max="15872" width="9.140625" style="731"/>
    <col min="15873" max="15873" width="19.7109375" style="731" customWidth="1"/>
    <col min="15874" max="15879" width="10.7109375" style="731" customWidth="1"/>
    <col min="15880" max="16128" width="9.140625" style="731"/>
    <col min="16129" max="16129" width="19.7109375" style="731" customWidth="1"/>
    <col min="16130" max="16135" width="10.7109375" style="731" customWidth="1"/>
    <col min="16136" max="16384" width="9.140625" style="731"/>
  </cols>
  <sheetData>
    <row r="1" spans="1:12" ht="21" customHeight="1">
      <c r="A1" s="769" t="s">
        <v>551</v>
      </c>
      <c r="B1" s="770" t="s">
        <v>552</v>
      </c>
      <c r="C1" s="770"/>
      <c r="D1" s="770"/>
      <c r="E1" s="770"/>
      <c r="F1" s="770"/>
      <c r="G1" s="770"/>
    </row>
    <row r="2" spans="1:12" ht="15" customHeight="1"/>
    <row r="3" spans="1:12" ht="20.25">
      <c r="A3" s="771" t="s">
        <v>553</v>
      </c>
    </row>
    <row r="4" spans="1:12" ht="12" customHeight="1">
      <c r="A4" s="772"/>
      <c r="B4" s="772"/>
      <c r="C4" s="772"/>
      <c r="D4" s="772" t="s">
        <v>554</v>
      </c>
      <c r="E4" s="772"/>
      <c r="F4" s="772"/>
      <c r="G4" s="772"/>
      <c r="H4" s="772"/>
      <c r="I4" s="772"/>
      <c r="J4" s="772"/>
      <c r="K4" s="772"/>
      <c r="L4" s="772"/>
    </row>
    <row r="5" spans="1:12" ht="15.6" customHeight="1">
      <c r="A5" s="773" t="s">
        <v>123</v>
      </c>
      <c r="B5" s="773" t="s">
        <v>555</v>
      </c>
      <c r="C5" s="773" t="s">
        <v>556</v>
      </c>
      <c r="D5" s="773" t="s">
        <v>557</v>
      </c>
      <c r="E5" s="773" t="s">
        <v>558</v>
      </c>
      <c r="F5" s="773" t="s">
        <v>559</v>
      </c>
      <c r="G5" s="773" t="s">
        <v>560</v>
      </c>
      <c r="H5" s="772"/>
      <c r="I5" s="772"/>
      <c r="J5" s="772"/>
      <c r="K5" s="772"/>
      <c r="L5" s="772"/>
    </row>
    <row r="6" spans="1:12" ht="15.6" customHeight="1">
      <c r="A6" s="774" t="s">
        <v>561</v>
      </c>
      <c r="B6" s="774" t="s">
        <v>377</v>
      </c>
      <c r="C6" s="774" t="s">
        <v>377</v>
      </c>
      <c r="D6" s="774" t="s">
        <v>562</v>
      </c>
      <c r="E6" s="774" t="s">
        <v>329</v>
      </c>
      <c r="F6" s="774" t="s">
        <v>563</v>
      </c>
      <c r="G6" s="774" t="s">
        <v>563</v>
      </c>
      <c r="H6" s="772"/>
      <c r="I6" s="772"/>
      <c r="J6" s="772"/>
      <c r="K6" s="772"/>
      <c r="L6" s="772"/>
    </row>
    <row r="7" spans="1:12" ht="15.95" customHeight="1">
      <c r="A7" s="775" t="s">
        <v>564</v>
      </c>
      <c r="B7" s="775" t="s">
        <v>565</v>
      </c>
      <c r="C7" s="775" t="s">
        <v>566</v>
      </c>
      <c r="D7" s="775" t="s">
        <v>567</v>
      </c>
      <c r="E7" s="775" t="s">
        <v>568</v>
      </c>
      <c r="F7" s="775" t="s">
        <v>569</v>
      </c>
      <c r="G7" s="775" t="s">
        <v>570</v>
      </c>
      <c r="H7" s="772"/>
      <c r="I7" s="772"/>
      <c r="J7" s="772"/>
      <c r="K7" s="772"/>
      <c r="L7" s="772"/>
    </row>
    <row r="8" spans="1:12" ht="15.95" customHeight="1">
      <c r="A8" s="775" t="s">
        <v>571</v>
      </c>
      <c r="B8" s="775" t="s">
        <v>565</v>
      </c>
      <c r="C8" s="775" t="s">
        <v>572</v>
      </c>
      <c r="D8" s="775" t="s">
        <v>573</v>
      </c>
      <c r="E8" s="775" t="s">
        <v>574</v>
      </c>
      <c r="F8" s="775" t="s">
        <v>575</v>
      </c>
      <c r="G8" s="775" t="s">
        <v>576</v>
      </c>
      <c r="H8" s="772"/>
      <c r="I8" s="772"/>
      <c r="J8" s="772"/>
      <c r="K8" s="772"/>
      <c r="L8" s="772"/>
    </row>
    <row r="9" spans="1:12" ht="15.95" customHeight="1">
      <c r="A9" s="775" t="s">
        <v>577</v>
      </c>
      <c r="B9" s="775" t="s">
        <v>565</v>
      </c>
      <c r="C9" s="775" t="s">
        <v>578</v>
      </c>
      <c r="D9" s="775" t="s">
        <v>579</v>
      </c>
      <c r="E9" s="775" t="s">
        <v>580</v>
      </c>
      <c r="F9" s="775" t="s">
        <v>581</v>
      </c>
      <c r="G9" s="775" t="s">
        <v>582</v>
      </c>
      <c r="H9" s="772"/>
      <c r="I9" s="772"/>
      <c r="J9" s="772"/>
      <c r="K9" s="772"/>
      <c r="L9" s="772"/>
    </row>
    <row r="10" spans="1:12" ht="15.95" customHeight="1">
      <c r="A10" s="775" t="s">
        <v>583</v>
      </c>
      <c r="B10" s="775" t="s">
        <v>565</v>
      </c>
      <c r="C10" s="775" t="s">
        <v>578</v>
      </c>
      <c r="D10" s="775" t="s">
        <v>579</v>
      </c>
      <c r="E10" s="775" t="s">
        <v>584</v>
      </c>
      <c r="F10" s="775" t="s">
        <v>585</v>
      </c>
      <c r="G10" s="775" t="s">
        <v>586</v>
      </c>
      <c r="H10" s="772"/>
      <c r="I10" s="772"/>
      <c r="J10" s="772"/>
      <c r="K10" s="772"/>
      <c r="L10" s="772"/>
    </row>
    <row r="11" spans="1:12" ht="15.95" customHeight="1">
      <c r="A11" s="775" t="s">
        <v>587</v>
      </c>
      <c r="B11" s="775" t="s">
        <v>565</v>
      </c>
      <c r="C11" s="775" t="s">
        <v>588</v>
      </c>
      <c r="D11" s="775" t="s">
        <v>573</v>
      </c>
      <c r="E11" s="775" t="s">
        <v>589</v>
      </c>
      <c r="F11" s="775" t="s">
        <v>590</v>
      </c>
      <c r="G11" s="775" t="s">
        <v>591</v>
      </c>
      <c r="H11" s="772"/>
      <c r="I11" s="772"/>
      <c r="J11" s="772"/>
      <c r="K11" s="772"/>
      <c r="L11" s="772"/>
    </row>
    <row r="12" spans="1:12" ht="15.95" customHeight="1">
      <c r="A12" s="775" t="s">
        <v>592</v>
      </c>
      <c r="B12" s="775" t="s">
        <v>565</v>
      </c>
      <c r="C12" s="775" t="s">
        <v>593</v>
      </c>
      <c r="D12" s="775" t="s">
        <v>594</v>
      </c>
      <c r="E12" s="775" t="s">
        <v>595</v>
      </c>
      <c r="F12" s="775" t="s">
        <v>596</v>
      </c>
      <c r="G12" s="775" t="s">
        <v>597</v>
      </c>
      <c r="H12" s="772"/>
      <c r="I12" s="772"/>
      <c r="J12" s="772"/>
      <c r="K12" s="772"/>
      <c r="L12" s="772"/>
    </row>
    <row r="13" spans="1:12" ht="15.95" customHeight="1">
      <c r="A13" s="775" t="s">
        <v>598</v>
      </c>
      <c r="B13" s="775" t="s">
        <v>599</v>
      </c>
      <c r="C13" s="775" t="s">
        <v>600</v>
      </c>
      <c r="D13" s="775" t="s">
        <v>601</v>
      </c>
      <c r="E13" s="775" t="s">
        <v>602</v>
      </c>
      <c r="F13" s="775" t="s">
        <v>603</v>
      </c>
      <c r="G13" s="775" t="s">
        <v>604</v>
      </c>
      <c r="H13" s="772"/>
      <c r="I13" s="772"/>
      <c r="J13" s="772"/>
      <c r="K13" s="772"/>
      <c r="L13" s="772"/>
    </row>
    <row r="14" spans="1:12" ht="15.95" customHeight="1">
      <c r="A14" s="775" t="s">
        <v>605</v>
      </c>
      <c r="B14" s="775" t="s">
        <v>606</v>
      </c>
      <c r="C14" s="775" t="s">
        <v>607</v>
      </c>
      <c r="D14" s="775" t="s">
        <v>608</v>
      </c>
      <c r="E14" s="775" t="s">
        <v>609</v>
      </c>
      <c r="F14" s="775" t="s">
        <v>610</v>
      </c>
      <c r="G14" s="775" t="s">
        <v>611</v>
      </c>
      <c r="H14" s="772"/>
      <c r="I14" s="772"/>
      <c r="J14" s="772"/>
      <c r="K14" s="772"/>
      <c r="L14" s="772"/>
    </row>
    <row r="15" spans="1:12" ht="15.95" customHeight="1">
      <c r="A15" s="775" t="s">
        <v>612</v>
      </c>
      <c r="B15" s="775" t="s">
        <v>613</v>
      </c>
      <c r="C15" s="775" t="s">
        <v>614</v>
      </c>
      <c r="D15" s="775" t="s">
        <v>615</v>
      </c>
      <c r="E15" s="775" t="s">
        <v>616</v>
      </c>
      <c r="F15" s="775" t="s">
        <v>617</v>
      </c>
      <c r="G15" s="775" t="s">
        <v>618</v>
      </c>
      <c r="H15" s="772"/>
      <c r="I15" s="772"/>
      <c r="J15" s="772"/>
      <c r="K15" s="772"/>
      <c r="L15" s="772"/>
    </row>
    <row r="16" spans="1:12" ht="15.95" customHeight="1">
      <c r="A16" s="775" t="s">
        <v>619</v>
      </c>
      <c r="B16" s="775" t="s">
        <v>620</v>
      </c>
      <c r="C16" s="775" t="s">
        <v>621</v>
      </c>
      <c r="D16" s="775" t="s">
        <v>622</v>
      </c>
      <c r="E16" s="775" t="s">
        <v>623</v>
      </c>
      <c r="F16" s="775" t="s">
        <v>624</v>
      </c>
      <c r="G16" s="775" t="s">
        <v>625</v>
      </c>
      <c r="H16" s="772"/>
      <c r="I16" s="772"/>
      <c r="J16" s="772"/>
      <c r="K16" s="772"/>
      <c r="L16" s="772"/>
    </row>
    <row r="17" spans="1:12" ht="15.95" customHeight="1">
      <c r="A17" s="775" t="s">
        <v>626</v>
      </c>
      <c r="B17" s="775" t="s">
        <v>627</v>
      </c>
      <c r="C17" s="775" t="s">
        <v>628</v>
      </c>
      <c r="D17" s="775" t="s">
        <v>629</v>
      </c>
      <c r="E17" s="775" t="s">
        <v>630</v>
      </c>
      <c r="F17" s="775" t="s">
        <v>631</v>
      </c>
      <c r="G17" s="775" t="s">
        <v>632</v>
      </c>
      <c r="H17" s="772"/>
      <c r="I17" s="772"/>
      <c r="J17" s="772"/>
      <c r="K17" s="772"/>
      <c r="L17" s="772"/>
    </row>
    <row r="18" spans="1:12" ht="15.95" customHeight="1">
      <c r="A18" s="775" t="s">
        <v>633</v>
      </c>
      <c r="B18" s="775" t="s">
        <v>585</v>
      </c>
      <c r="C18" s="775" t="s">
        <v>634</v>
      </c>
      <c r="D18" s="775" t="s">
        <v>635</v>
      </c>
      <c r="E18" s="775" t="s">
        <v>636</v>
      </c>
      <c r="F18" s="775" t="s">
        <v>637</v>
      </c>
      <c r="G18" s="775" t="s">
        <v>638</v>
      </c>
      <c r="H18" s="772"/>
      <c r="I18" s="772"/>
      <c r="J18" s="772"/>
      <c r="K18" s="772"/>
      <c r="L18" s="772"/>
    </row>
    <row r="19" spans="1:12" ht="15.95" customHeight="1">
      <c r="A19" s="775" t="s">
        <v>639</v>
      </c>
      <c r="B19" s="775" t="s">
        <v>640</v>
      </c>
      <c r="C19" s="775" t="s">
        <v>641</v>
      </c>
      <c r="D19" s="775" t="s">
        <v>642</v>
      </c>
      <c r="E19" s="775" t="s">
        <v>643</v>
      </c>
      <c r="F19" s="775" t="s">
        <v>644</v>
      </c>
      <c r="G19" s="775" t="s">
        <v>645</v>
      </c>
      <c r="H19" s="772"/>
      <c r="I19" s="772"/>
      <c r="J19" s="772"/>
      <c r="K19" s="772"/>
      <c r="L19" s="772"/>
    </row>
    <row r="20" spans="1:12" ht="15.75">
      <c r="A20" s="772"/>
      <c r="B20" s="772"/>
      <c r="C20" s="772"/>
      <c r="D20" s="772"/>
      <c r="E20" s="772"/>
      <c r="F20" s="772"/>
      <c r="G20" s="772"/>
      <c r="H20" s="772"/>
      <c r="I20" s="772"/>
      <c r="J20" s="772"/>
      <c r="K20" s="772"/>
      <c r="L20" s="772"/>
    </row>
    <row r="21" spans="1:12" ht="15.75">
      <c r="A21" s="772"/>
      <c r="B21" s="772"/>
      <c r="C21" s="772"/>
      <c r="D21" s="776" t="s">
        <v>646</v>
      </c>
      <c r="E21" s="777"/>
      <c r="F21" s="777"/>
      <c r="G21" s="778"/>
      <c r="H21" s="772"/>
      <c r="I21" s="772"/>
      <c r="J21" s="772"/>
      <c r="K21" s="772"/>
      <c r="L21" s="772"/>
    </row>
    <row r="22" spans="1:12" ht="17.25" customHeight="1">
      <c r="A22" s="772"/>
      <c r="B22" s="779" t="s">
        <v>647</v>
      </c>
      <c r="C22" s="779"/>
      <c r="D22" s="779" t="s">
        <v>648</v>
      </c>
      <c r="E22" s="779"/>
      <c r="F22" s="779" t="s">
        <v>649</v>
      </c>
      <c r="G22" s="779"/>
      <c r="H22" s="772"/>
      <c r="I22" s="772"/>
      <c r="J22" s="772"/>
      <c r="K22" s="772"/>
      <c r="L22" s="772"/>
    </row>
    <row r="23" spans="1:12" ht="15.75">
      <c r="A23" s="780" t="s">
        <v>650</v>
      </c>
      <c r="B23" s="781" t="s">
        <v>651</v>
      </c>
      <c r="C23" s="781"/>
      <c r="D23" s="781" t="s">
        <v>652</v>
      </c>
      <c r="E23" s="781"/>
      <c r="F23" s="781" t="s">
        <v>653</v>
      </c>
      <c r="G23" s="781"/>
      <c r="H23" s="772"/>
      <c r="I23" s="772"/>
      <c r="J23" s="772"/>
      <c r="K23" s="772"/>
      <c r="L23" s="772"/>
    </row>
    <row r="24" spans="1:12" ht="18" customHeight="1">
      <c r="A24" s="780" t="s">
        <v>654</v>
      </c>
      <c r="B24" s="781" t="s">
        <v>655</v>
      </c>
      <c r="C24" s="781"/>
      <c r="D24" s="781" t="s">
        <v>656</v>
      </c>
      <c r="E24" s="781"/>
      <c r="F24" s="781" t="s">
        <v>657</v>
      </c>
      <c r="G24" s="781"/>
      <c r="H24" s="772"/>
      <c r="I24" s="772"/>
      <c r="J24" s="772"/>
      <c r="K24" s="772"/>
      <c r="L24" s="772"/>
    </row>
    <row r="25" spans="1:12" ht="15.75">
      <c r="A25" s="780" t="s">
        <v>658</v>
      </c>
      <c r="B25" s="781" t="s">
        <v>659</v>
      </c>
      <c r="C25" s="781"/>
      <c r="D25" s="781" t="s">
        <v>660</v>
      </c>
      <c r="E25" s="781"/>
      <c r="F25" s="781" t="s">
        <v>661</v>
      </c>
      <c r="G25" s="781"/>
      <c r="H25" s="772"/>
      <c r="I25" s="772"/>
      <c r="J25" s="772"/>
      <c r="K25" s="772"/>
      <c r="L25" s="772"/>
    </row>
    <row r="26" spans="1:12" ht="15.75">
      <c r="A26" s="772"/>
      <c r="B26" s="772"/>
      <c r="C26" s="772"/>
      <c r="D26" s="772"/>
      <c r="E26" s="772"/>
      <c r="F26" s="772"/>
      <c r="G26" s="772"/>
      <c r="H26" s="772"/>
      <c r="I26" s="772"/>
      <c r="J26" s="772"/>
      <c r="K26" s="772"/>
      <c r="L26" s="772"/>
    </row>
    <row r="27" spans="1:12" ht="20.25">
      <c r="A27" s="771" t="s">
        <v>662</v>
      </c>
      <c r="B27" s="772"/>
      <c r="C27" s="772"/>
      <c r="D27" s="772"/>
      <c r="E27" s="772"/>
      <c r="F27" s="772"/>
      <c r="G27" s="772"/>
      <c r="H27" s="772"/>
      <c r="I27" s="772"/>
      <c r="J27" s="772"/>
      <c r="K27" s="772"/>
      <c r="L27" s="772"/>
    </row>
    <row r="28" spans="1:12" ht="15.75">
      <c r="A28" s="772"/>
      <c r="B28" s="772"/>
      <c r="C28" s="772"/>
      <c r="D28" s="772"/>
      <c r="E28" s="782" t="s">
        <v>663</v>
      </c>
      <c r="F28" s="777"/>
      <c r="G28" s="778"/>
      <c r="H28" s="772"/>
      <c r="I28" s="772"/>
      <c r="J28" s="772"/>
      <c r="K28" s="772"/>
      <c r="L28" s="772"/>
    </row>
    <row r="29" spans="1:12" ht="15.75">
      <c r="A29" s="772"/>
      <c r="B29" s="779" t="s">
        <v>664</v>
      </c>
      <c r="C29" s="779"/>
      <c r="D29" s="783" t="s">
        <v>665</v>
      </c>
      <c r="E29" s="783" t="s">
        <v>666</v>
      </c>
      <c r="F29" s="779" t="s">
        <v>667</v>
      </c>
      <c r="G29" s="779"/>
      <c r="H29" s="772"/>
      <c r="I29" s="772"/>
      <c r="J29" s="772"/>
      <c r="K29" s="772"/>
      <c r="L29" s="772"/>
    </row>
    <row r="30" spans="1:12" ht="15.75">
      <c r="A30" s="780" t="s">
        <v>668</v>
      </c>
      <c r="B30" s="781" t="s">
        <v>669</v>
      </c>
      <c r="C30" s="781"/>
      <c r="D30" s="775" t="s">
        <v>670</v>
      </c>
      <c r="E30" s="775" t="s">
        <v>671</v>
      </c>
      <c r="F30" s="781" t="s">
        <v>672</v>
      </c>
      <c r="G30" s="781"/>
      <c r="H30" s="772"/>
      <c r="I30" s="772"/>
      <c r="J30" s="772"/>
      <c r="K30" s="772"/>
      <c r="L30" s="772"/>
    </row>
    <row r="31" spans="1:12" ht="15.75">
      <c r="A31" s="780" t="s">
        <v>673</v>
      </c>
      <c r="B31" s="781" t="s">
        <v>674</v>
      </c>
      <c r="C31" s="781"/>
      <c r="D31" s="775" t="s">
        <v>675</v>
      </c>
      <c r="E31" s="775" t="s">
        <v>676</v>
      </c>
      <c r="F31" s="781" t="s">
        <v>677</v>
      </c>
      <c r="G31" s="781"/>
      <c r="H31" s="772"/>
      <c r="I31" s="772"/>
      <c r="J31" s="772"/>
      <c r="K31" s="772"/>
      <c r="L31" s="772"/>
    </row>
    <row r="32" spans="1:12" ht="15.75">
      <c r="A32" s="780" t="s">
        <v>678</v>
      </c>
      <c r="B32" s="781" t="s">
        <v>679</v>
      </c>
      <c r="C32" s="781"/>
      <c r="D32" s="775" t="s">
        <v>680</v>
      </c>
      <c r="E32" s="775" t="s">
        <v>681</v>
      </c>
      <c r="F32" s="781" t="s">
        <v>682</v>
      </c>
      <c r="G32" s="781"/>
      <c r="H32" s="772"/>
      <c r="I32" s="772"/>
      <c r="J32" s="772"/>
      <c r="K32" s="772"/>
      <c r="L32" s="772"/>
    </row>
    <row r="33" spans="1:12" ht="15.75">
      <c r="A33" s="772"/>
      <c r="B33" s="772"/>
      <c r="C33" s="772"/>
      <c r="D33" s="772"/>
      <c r="E33" s="772"/>
      <c r="F33" s="772"/>
      <c r="G33" s="772"/>
      <c r="H33" s="772"/>
      <c r="I33" s="772"/>
      <c r="J33" s="772"/>
      <c r="K33" s="772"/>
      <c r="L33" s="772"/>
    </row>
    <row r="34" spans="1:12" ht="15.75">
      <c r="A34" s="772"/>
      <c r="B34" s="772"/>
      <c r="C34" s="772"/>
      <c r="D34" s="772"/>
      <c r="E34" s="782" t="s">
        <v>683</v>
      </c>
      <c r="F34" s="777"/>
      <c r="G34" s="778"/>
      <c r="H34" s="772"/>
      <c r="I34" s="772"/>
      <c r="J34" s="772"/>
      <c r="K34" s="772"/>
      <c r="L34" s="772"/>
    </row>
    <row r="35" spans="1:12" ht="15.75">
      <c r="A35" s="772"/>
      <c r="B35" s="779" t="s">
        <v>684</v>
      </c>
      <c r="C35" s="779"/>
      <c r="D35" s="783" t="s">
        <v>666</v>
      </c>
      <c r="E35" s="783" t="s">
        <v>685</v>
      </c>
      <c r="F35" s="783" t="s">
        <v>247</v>
      </c>
      <c r="G35" s="783" t="s">
        <v>686</v>
      </c>
      <c r="H35" s="772"/>
      <c r="I35" s="772"/>
      <c r="J35" s="772"/>
      <c r="K35" s="772"/>
      <c r="L35" s="772"/>
    </row>
    <row r="36" spans="1:12" ht="15.75">
      <c r="A36" s="780" t="s">
        <v>668</v>
      </c>
      <c r="B36" s="784" t="s">
        <v>687</v>
      </c>
      <c r="C36" s="785"/>
      <c r="D36" s="786" t="s">
        <v>688</v>
      </c>
      <c r="E36" s="786" t="s">
        <v>53</v>
      </c>
      <c r="F36" s="787" t="s">
        <v>689</v>
      </c>
      <c r="G36" s="775" t="s">
        <v>690</v>
      </c>
      <c r="H36" s="772"/>
      <c r="I36" s="772"/>
      <c r="J36" s="772"/>
      <c r="K36" s="772"/>
      <c r="L36" s="772"/>
    </row>
    <row r="37" spans="1:12" ht="15.75">
      <c r="A37" s="780" t="s">
        <v>673</v>
      </c>
      <c r="B37" s="784" t="s">
        <v>691</v>
      </c>
      <c r="C37" s="785"/>
      <c r="D37" s="786" t="s">
        <v>692</v>
      </c>
      <c r="E37" s="786" t="s">
        <v>53</v>
      </c>
      <c r="F37" s="787" t="s">
        <v>693</v>
      </c>
      <c r="G37" s="788" t="s">
        <v>694</v>
      </c>
      <c r="H37" s="772"/>
      <c r="I37" s="772"/>
      <c r="J37" s="772"/>
      <c r="K37" s="772"/>
      <c r="L37" s="772"/>
    </row>
    <row r="38" spans="1:12" ht="15.75">
      <c r="A38" s="780" t="s">
        <v>678</v>
      </c>
      <c r="B38" s="784" t="s">
        <v>691</v>
      </c>
      <c r="C38" s="785"/>
      <c r="D38" s="786" t="s">
        <v>695</v>
      </c>
      <c r="E38" s="786" t="s">
        <v>53</v>
      </c>
      <c r="F38" s="787" t="s">
        <v>696</v>
      </c>
      <c r="G38" s="775" t="s">
        <v>697</v>
      </c>
      <c r="H38" s="772"/>
      <c r="I38" s="772"/>
      <c r="J38" s="772"/>
      <c r="K38" s="772"/>
      <c r="L38" s="772"/>
    </row>
    <row r="39" spans="1:12" ht="15.75">
      <c r="A39" s="772"/>
      <c r="B39" s="772"/>
      <c r="C39" s="772"/>
      <c r="D39" s="772"/>
      <c r="E39" s="772"/>
      <c r="F39" s="772"/>
      <c r="G39" s="772"/>
      <c r="H39" s="772"/>
      <c r="I39" s="772"/>
      <c r="J39" s="772"/>
      <c r="K39" s="772"/>
      <c r="L39" s="772"/>
    </row>
    <row r="40" spans="1:12" ht="15.75">
      <c r="A40" s="789" t="s">
        <v>698</v>
      </c>
      <c r="B40" s="790" t="s">
        <v>699</v>
      </c>
      <c r="C40" s="790"/>
      <c r="D40" s="791" t="s">
        <v>700</v>
      </c>
      <c r="E40" s="791"/>
      <c r="F40" s="790" t="s">
        <v>701</v>
      </c>
      <c r="G40" s="790"/>
      <c r="H40" s="772"/>
      <c r="I40" s="772"/>
      <c r="J40" s="772"/>
      <c r="K40" s="772"/>
      <c r="L40" s="772"/>
    </row>
    <row r="41" spans="1:12" ht="15.75">
      <c r="A41" s="772"/>
      <c r="B41" s="772"/>
      <c r="C41" s="772"/>
      <c r="D41" s="772"/>
      <c r="E41" s="772"/>
      <c r="F41" s="772"/>
      <c r="G41" s="772"/>
      <c r="H41" s="772"/>
      <c r="I41" s="772"/>
      <c r="J41" s="772"/>
      <c r="K41" s="772"/>
      <c r="L41" s="772"/>
    </row>
    <row r="42" spans="1:12" ht="15.75">
      <c r="A42" s="772"/>
      <c r="B42" s="772"/>
      <c r="C42" s="772"/>
      <c r="D42" s="772"/>
      <c r="E42" s="772"/>
      <c r="F42" s="772"/>
      <c r="G42" s="772"/>
      <c r="H42" s="772"/>
      <c r="I42" s="772"/>
      <c r="J42" s="772"/>
      <c r="K42" s="772"/>
      <c r="L42" s="772"/>
    </row>
    <row r="43" spans="1:12" ht="15.75">
      <c r="A43" s="772"/>
      <c r="B43" s="772"/>
      <c r="C43" s="772"/>
      <c r="D43" s="772"/>
      <c r="E43" s="772"/>
      <c r="F43" s="772"/>
      <c r="G43" s="772"/>
      <c r="H43" s="772"/>
      <c r="I43" s="772"/>
      <c r="J43" s="772"/>
      <c r="K43" s="772"/>
      <c r="L43" s="772"/>
    </row>
    <row r="44" spans="1:12" ht="15.75">
      <c r="A44" s="772"/>
      <c r="B44" s="772"/>
      <c r="C44" s="772"/>
      <c r="D44" s="772"/>
      <c r="E44" s="772"/>
      <c r="F44" s="772"/>
      <c r="G44" s="772"/>
      <c r="H44" s="772"/>
      <c r="I44" s="772"/>
      <c r="J44" s="772"/>
      <c r="K44" s="772"/>
      <c r="L44" s="772"/>
    </row>
    <row r="45" spans="1:12" ht="15.75">
      <c r="A45" s="772"/>
      <c r="B45" s="772"/>
      <c r="C45" s="772"/>
      <c r="D45" s="772"/>
      <c r="E45" s="772"/>
      <c r="F45" s="772"/>
      <c r="G45" s="772"/>
      <c r="H45" s="772"/>
      <c r="I45" s="772"/>
      <c r="J45" s="772"/>
      <c r="K45" s="772"/>
      <c r="L45" s="772"/>
    </row>
    <row r="46" spans="1:12" ht="15.75">
      <c r="A46" s="772"/>
      <c r="B46" s="772"/>
      <c r="C46" s="772"/>
      <c r="D46" s="772"/>
      <c r="E46" s="772"/>
      <c r="F46" s="772"/>
      <c r="G46" s="772"/>
      <c r="H46" s="772"/>
      <c r="I46" s="772"/>
      <c r="J46" s="772"/>
      <c r="K46" s="772"/>
      <c r="L46" s="772"/>
    </row>
    <row r="47" spans="1:12" ht="15.75">
      <c r="A47" s="772"/>
      <c r="B47" s="772"/>
      <c r="C47" s="772"/>
      <c r="D47" s="772"/>
      <c r="E47" s="772"/>
      <c r="F47" s="772"/>
      <c r="G47" s="772"/>
      <c r="H47" s="772"/>
      <c r="I47" s="772"/>
      <c r="J47" s="772"/>
      <c r="K47" s="772"/>
      <c r="L47" s="772"/>
    </row>
    <row r="48" spans="1:12" ht="15.75">
      <c r="A48" s="772"/>
      <c r="B48" s="772"/>
      <c r="C48" s="772"/>
      <c r="D48" s="772"/>
      <c r="E48" s="772"/>
      <c r="F48" s="772"/>
      <c r="G48" s="772"/>
      <c r="H48" s="772"/>
      <c r="I48" s="772"/>
      <c r="J48" s="772"/>
      <c r="K48" s="772"/>
      <c r="L48" s="772"/>
    </row>
    <row r="49" spans="1:12" ht="15.75">
      <c r="A49" s="772"/>
      <c r="B49" s="772"/>
      <c r="C49" s="772"/>
      <c r="D49" s="772"/>
      <c r="E49" s="772"/>
      <c r="F49" s="772"/>
      <c r="G49" s="772"/>
      <c r="H49" s="772"/>
      <c r="I49" s="772"/>
      <c r="J49" s="772"/>
      <c r="K49" s="772"/>
      <c r="L49" s="772"/>
    </row>
    <row r="50" spans="1:12" ht="15.75">
      <c r="A50" s="772"/>
      <c r="B50" s="772"/>
      <c r="C50" s="772"/>
      <c r="D50" s="772"/>
      <c r="E50" s="772"/>
      <c r="F50" s="772"/>
      <c r="G50" s="772"/>
      <c r="H50" s="772"/>
      <c r="I50" s="772"/>
      <c r="J50" s="772"/>
      <c r="K50" s="772"/>
      <c r="L50" s="772"/>
    </row>
    <row r="51" spans="1:12" ht="15.75">
      <c r="A51" s="772"/>
      <c r="B51" s="772"/>
      <c r="C51" s="772"/>
      <c r="D51" s="772"/>
      <c r="E51" s="772"/>
      <c r="F51" s="772"/>
      <c r="G51" s="772"/>
      <c r="H51" s="772"/>
      <c r="I51" s="772"/>
      <c r="J51" s="772"/>
      <c r="K51" s="772"/>
      <c r="L51" s="772"/>
    </row>
    <row r="52" spans="1:12" ht="15.75">
      <c r="A52" s="772"/>
      <c r="B52" s="772"/>
      <c r="C52" s="772"/>
      <c r="D52" s="772"/>
      <c r="E52" s="772"/>
      <c r="F52" s="772"/>
      <c r="G52" s="772"/>
      <c r="H52" s="772"/>
      <c r="I52" s="772"/>
      <c r="J52" s="772"/>
      <c r="K52" s="772"/>
      <c r="L52" s="772"/>
    </row>
    <row r="53" spans="1:12" ht="15.75">
      <c r="A53" s="772"/>
      <c r="B53" s="772"/>
      <c r="C53" s="772"/>
      <c r="D53" s="772"/>
      <c r="E53" s="772"/>
      <c r="F53" s="772"/>
      <c r="G53" s="772"/>
      <c r="H53" s="772"/>
      <c r="I53" s="772"/>
      <c r="J53" s="772"/>
      <c r="K53" s="772"/>
      <c r="L53" s="772"/>
    </row>
    <row r="54" spans="1:12" ht="15.75">
      <c r="A54" s="772"/>
      <c r="B54" s="772"/>
      <c r="C54" s="772"/>
      <c r="D54" s="772"/>
      <c r="E54" s="772"/>
      <c r="F54" s="772"/>
      <c r="G54" s="772"/>
      <c r="H54" s="772"/>
      <c r="I54" s="772"/>
      <c r="J54" s="772"/>
      <c r="K54" s="772"/>
      <c r="L54" s="772"/>
    </row>
    <row r="55" spans="1:12" ht="15.75">
      <c r="A55" s="772"/>
      <c r="B55" s="772"/>
      <c r="C55" s="772"/>
      <c r="D55" s="772"/>
      <c r="E55" s="772"/>
      <c r="F55" s="772"/>
      <c r="G55" s="772"/>
      <c r="H55" s="772"/>
      <c r="I55" s="772"/>
      <c r="J55" s="772"/>
      <c r="K55" s="772"/>
      <c r="L55" s="772"/>
    </row>
    <row r="56" spans="1:12" ht="15.75">
      <c r="A56" s="772"/>
      <c r="B56" s="772"/>
      <c r="C56" s="772"/>
      <c r="D56" s="772"/>
      <c r="E56" s="772"/>
      <c r="F56" s="772"/>
      <c r="G56" s="772"/>
      <c r="H56" s="772"/>
      <c r="I56" s="772"/>
      <c r="J56" s="772"/>
      <c r="K56" s="772"/>
      <c r="L56" s="772"/>
    </row>
    <row r="57" spans="1:12" ht="15.75">
      <c r="A57" s="772"/>
      <c r="B57" s="772"/>
      <c r="C57" s="772"/>
      <c r="D57" s="772"/>
      <c r="E57" s="772"/>
      <c r="F57" s="772"/>
      <c r="G57" s="772"/>
      <c r="H57" s="772"/>
      <c r="I57" s="772"/>
      <c r="J57" s="772"/>
      <c r="K57" s="772"/>
      <c r="L57" s="772"/>
    </row>
    <row r="58" spans="1:12" ht="15.75">
      <c r="A58" s="772"/>
      <c r="B58" s="772"/>
      <c r="C58" s="772"/>
      <c r="D58" s="772"/>
      <c r="E58" s="772"/>
      <c r="F58" s="772"/>
      <c r="G58" s="772"/>
      <c r="H58" s="772"/>
      <c r="I58" s="772"/>
      <c r="J58" s="772"/>
      <c r="K58" s="772"/>
      <c r="L58" s="772"/>
    </row>
    <row r="59" spans="1:12" ht="15.75">
      <c r="A59" s="772"/>
      <c r="B59" s="772"/>
      <c r="C59" s="772"/>
      <c r="D59" s="772"/>
      <c r="E59" s="772"/>
      <c r="F59" s="772"/>
      <c r="G59" s="772"/>
      <c r="H59" s="772"/>
      <c r="I59" s="772"/>
      <c r="J59" s="772"/>
      <c r="K59" s="772"/>
      <c r="L59" s="772"/>
    </row>
    <row r="60" spans="1:12" ht="15.75">
      <c r="A60" s="772"/>
      <c r="B60" s="772"/>
      <c r="C60" s="772"/>
      <c r="D60" s="772"/>
      <c r="E60" s="772"/>
      <c r="F60" s="772"/>
      <c r="G60" s="772"/>
      <c r="H60" s="772"/>
      <c r="I60" s="772"/>
      <c r="J60" s="772"/>
      <c r="K60" s="772"/>
      <c r="L60" s="772"/>
    </row>
    <row r="61" spans="1:12" ht="15.75">
      <c r="A61" s="772"/>
      <c r="B61" s="772"/>
      <c r="C61" s="772"/>
      <c r="D61" s="772"/>
      <c r="E61" s="772"/>
      <c r="F61" s="772"/>
      <c r="G61" s="772"/>
      <c r="H61" s="772"/>
      <c r="I61" s="772"/>
      <c r="J61" s="772"/>
      <c r="K61" s="772"/>
      <c r="L61" s="772"/>
    </row>
  </sheetData>
  <mergeCells count="31">
    <mergeCell ref="B38:C38"/>
    <mergeCell ref="B40:C40"/>
    <mergeCell ref="D40:E40"/>
    <mergeCell ref="F40:G40"/>
    <mergeCell ref="B32:C32"/>
    <mergeCell ref="F32:G32"/>
    <mergeCell ref="E34:G34"/>
    <mergeCell ref="B35:C35"/>
    <mergeCell ref="B36:C36"/>
    <mergeCell ref="B37:C37"/>
    <mergeCell ref="E28:G28"/>
    <mergeCell ref="B29:C29"/>
    <mergeCell ref="F29:G29"/>
    <mergeCell ref="B30:C30"/>
    <mergeCell ref="F30:G30"/>
    <mergeCell ref="B31:C31"/>
    <mergeCell ref="F31:G31"/>
    <mergeCell ref="B24:C24"/>
    <mergeCell ref="D24:E24"/>
    <mergeCell ref="F24:G24"/>
    <mergeCell ref="B25:C25"/>
    <mergeCell ref="D25:E25"/>
    <mergeCell ref="F25:G25"/>
    <mergeCell ref="B1:G1"/>
    <mergeCell ref="D21:G21"/>
    <mergeCell ref="B22:C22"/>
    <mergeCell ref="D22:E22"/>
    <mergeCell ref="F22:G22"/>
    <mergeCell ref="B23:C23"/>
    <mergeCell ref="D23:E23"/>
    <mergeCell ref="F23:G23"/>
  </mergeCells>
  <printOptions horizontalCentered="1"/>
  <pageMargins left="0.75" right="0.75" top="1" bottom="1" header="0.5" footer="0.5"/>
  <pageSetup scale="98" orientation="portrait" horizontalDpi="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B14A-40B0-47D2-8E6E-9E8BE9433BC2}">
  <sheetPr>
    <pageSetUpPr fitToPage="1"/>
  </sheetPr>
  <dimension ref="A1:H67"/>
  <sheetViews>
    <sheetView topLeftCell="A11" workbookViewId="0">
      <selection activeCell="N42" sqref="N42"/>
    </sheetView>
  </sheetViews>
  <sheetFormatPr defaultRowHeight="12.75"/>
  <cols>
    <col min="1" max="6" width="16.7109375" style="731" customWidth="1"/>
    <col min="7" max="256" width="9.140625" style="731"/>
    <col min="257" max="262" width="16.7109375" style="731" customWidth="1"/>
    <col min="263" max="512" width="9.140625" style="731"/>
    <col min="513" max="518" width="16.7109375" style="731" customWidth="1"/>
    <col min="519" max="768" width="9.140625" style="731"/>
    <col min="769" max="774" width="16.7109375" style="731" customWidth="1"/>
    <col min="775" max="1024" width="9.140625" style="731"/>
    <col min="1025" max="1030" width="16.7109375" style="731" customWidth="1"/>
    <col min="1031" max="1280" width="9.140625" style="731"/>
    <col min="1281" max="1286" width="16.7109375" style="731" customWidth="1"/>
    <col min="1287" max="1536" width="9.140625" style="731"/>
    <col min="1537" max="1542" width="16.7109375" style="731" customWidth="1"/>
    <col min="1543" max="1792" width="9.140625" style="731"/>
    <col min="1793" max="1798" width="16.7109375" style="731" customWidth="1"/>
    <col min="1799" max="2048" width="9.140625" style="731"/>
    <col min="2049" max="2054" width="16.7109375" style="731" customWidth="1"/>
    <col min="2055" max="2304" width="9.140625" style="731"/>
    <col min="2305" max="2310" width="16.7109375" style="731" customWidth="1"/>
    <col min="2311" max="2560" width="9.140625" style="731"/>
    <col min="2561" max="2566" width="16.7109375" style="731" customWidth="1"/>
    <col min="2567" max="2816" width="9.140625" style="731"/>
    <col min="2817" max="2822" width="16.7109375" style="731" customWidth="1"/>
    <col min="2823" max="3072" width="9.140625" style="731"/>
    <col min="3073" max="3078" width="16.7109375" style="731" customWidth="1"/>
    <col min="3079" max="3328" width="9.140625" style="731"/>
    <col min="3329" max="3334" width="16.7109375" style="731" customWidth="1"/>
    <col min="3335" max="3584" width="9.140625" style="731"/>
    <col min="3585" max="3590" width="16.7109375" style="731" customWidth="1"/>
    <col min="3591" max="3840" width="9.140625" style="731"/>
    <col min="3841" max="3846" width="16.7109375" style="731" customWidth="1"/>
    <col min="3847" max="4096" width="9.140625" style="731"/>
    <col min="4097" max="4102" width="16.7109375" style="731" customWidth="1"/>
    <col min="4103" max="4352" width="9.140625" style="731"/>
    <col min="4353" max="4358" width="16.7109375" style="731" customWidth="1"/>
    <col min="4359" max="4608" width="9.140625" style="731"/>
    <col min="4609" max="4614" width="16.7109375" style="731" customWidth="1"/>
    <col min="4615" max="4864" width="9.140625" style="731"/>
    <col min="4865" max="4870" width="16.7109375" style="731" customWidth="1"/>
    <col min="4871" max="5120" width="9.140625" style="731"/>
    <col min="5121" max="5126" width="16.7109375" style="731" customWidth="1"/>
    <col min="5127" max="5376" width="9.140625" style="731"/>
    <col min="5377" max="5382" width="16.7109375" style="731" customWidth="1"/>
    <col min="5383" max="5632" width="9.140625" style="731"/>
    <col min="5633" max="5638" width="16.7109375" style="731" customWidth="1"/>
    <col min="5639" max="5888" width="9.140625" style="731"/>
    <col min="5889" max="5894" width="16.7109375" style="731" customWidth="1"/>
    <col min="5895" max="6144" width="9.140625" style="731"/>
    <col min="6145" max="6150" width="16.7109375" style="731" customWidth="1"/>
    <col min="6151" max="6400" width="9.140625" style="731"/>
    <col min="6401" max="6406" width="16.7109375" style="731" customWidth="1"/>
    <col min="6407" max="6656" width="9.140625" style="731"/>
    <col min="6657" max="6662" width="16.7109375" style="731" customWidth="1"/>
    <col min="6663" max="6912" width="9.140625" style="731"/>
    <col min="6913" max="6918" width="16.7109375" style="731" customWidth="1"/>
    <col min="6919" max="7168" width="9.140625" style="731"/>
    <col min="7169" max="7174" width="16.7109375" style="731" customWidth="1"/>
    <col min="7175" max="7424" width="9.140625" style="731"/>
    <col min="7425" max="7430" width="16.7109375" style="731" customWidth="1"/>
    <col min="7431" max="7680" width="9.140625" style="731"/>
    <col min="7681" max="7686" width="16.7109375" style="731" customWidth="1"/>
    <col min="7687" max="7936" width="9.140625" style="731"/>
    <col min="7937" max="7942" width="16.7109375" style="731" customWidth="1"/>
    <col min="7943" max="8192" width="9.140625" style="731"/>
    <col min="8193" max="8198" width="16.7109375" style="731" customWidth="1"/>
    <col min="8199" max="8448" width="9.140625" style="731"/>
    <col min="8449" max="8454" width="16.7109375" style="731" customWidth="1"/>
    <col min="8455" max="8704" width="9.140625" style="731"/>
    <col min="8705" max="8710" width="16.7109375" style="731" customWidth="1"/>
    <col min="8711" max="8960" width="9.140625" style="731"/>
    <col min="8961" max="8966" width="16.7109375" style="731" customWidth="1"/>
    <col min="8967" max="9216" width="9.140625" style="731"/>
    <col min="9217" max="9222" width="16.7109375" style="731" customWidth="1"/>
    <col min="9223" max="9472" width="9.140625" style="731"/>
    <col min="9473" max="9478" width="16.7109375" style="731" customWidth="1"/>
    <col min="9479" max="9728" width="9.140625" style="731"/>
    <col min="9729" max="9734" width="16.7109375" style="731" customWidth="1"/>
    <col min="9735" max="9984" width="9.140625" style="731"/>
    <col min="9985" max="9990" width="16.7109375" style="731" customWidth="1"/>
    <col min="9991" max="10240" width="9.140625" style="731"/>
    <col min="10241" max="10246" width="16.7109375" style="731" customWidth="1"/>
    <col min="10247" max="10496" width="9.140625" style="731"/>
    <col min="10497" max="10502" width="16.7109375" style="731" customWidth="1"/>
    <col min="10503" max="10752" width="9.140625" style="731"/>
    <col min="10753" max="10758" width="16.7109375" style="731" customWidth="1"/>
    <col min="10759" max="11008" width="9.140625" style="731"/>
    <col min="11009" max="11014" width="16.7109375" style="731" customWidth="1"/>
    <col min="11015" max="11264" width="9.140625" style="731"/>
    <col min="11265" max="11270" width="16.7109375" style="731" customWidth="1"/>
    <col min="11271" max="11520" width="9.140625" style="731"/>
    <col min="11521" max="11526" width="16.7109375" style="731" customWidth="1"/>
    <col min="11527" max="11776" width="9.140625" style="731"/>
    <col min="11777" max="11782" width="16.7109375" style="731" customWidth="1"/>
    <col min="11783" max="12032" width="9.140625" style="731"/>
    <col min="12033" max="12038" width="16.7109375" style="731" customWidth="1"/>
    <col min="12039" max="12288" width="9.140625" style="731"/>
    <col min="12289" max="12294" width="16.7109375" style="731" customWidth="1"/>
    <col min="12295" max="12544" width="9.140625" style="731"/>
    <col min="12545" max="12550" width="16.7109375" style="731" customWidth="1"/>
    <col min="12551" max="12800" width="9.140625" style="731"/>
    <col min="12801" max="12806" width="16.7109375" style="731" customWidth="1"/>
    <col min="12807" max="13056" width="9.140625" style="731"/>
    <col min="13057" max="13062" width="16.7109375" style="731" customWidth="1"/>
    <col min="13063" max="13312" width="9.140625" style="731"/>
    <col min="13313" max="13318" width="16.7109375" style="731" customWidth="1"/>
    <col min="13319" max="13568" width="9.140625" style="731"/>
    <col min="13569" max="13574" width="16.7109375" style="731" customWidth="1"/>
    <col min="13575" max="13824" width="9.140625" style="731"/>
    <col min="13825" max="13830" width="16.7109375" style="731" customWidth="1"/>
    <col min="13831" max="14080" width="9.140625" style="731"/>
    <col min="14081" max="14086" width="16.7109375" style="731" customWidth="1"/>
    <col min="14087" max="14336" width="9.140625" style="731"/>
    <col min="14337" max="14342" width="16.7109375" style="731" customWidth="1"/>
    <col min="14343" max="14592" width="9.140625" style="731"/>
    <col min="14593" max="14598" width="16.7109375" style="731" customWidth="1"/>
    <col min="14599" max="14848" width="9.140625" style="731"/>
    <col min="14849" max="14854" width="16.7109375" style="731" customWidth="1"/>
    <col min="14855" max="15104" width="9.140625" style="731"/>
    <col min="15105" max="15110" width="16.7109375" style="731" customWidth="1"/>
    <col min="15111" max="15360" width="9.140625" style="731"/>
    <col min="15361" max="15366" width="16.7109375" style="731" customWidth="1"/>
    <col min="15367" max="15616" width="9.140625" style="731"/>
    <col min="15617" max="15622" width="16.7109375" style="731" customWidth="1"/>
    <col min="15623" max="15872" width="9.140625" style="731"/>
    <col min="15873" max="15878" width="16.7109375" style="731" customWidth="1"/>
    <col min="15879" max="16128" width="9.140625" style="731"/>
    <col min="16129" max="16134" width="16.7109375" style="731" customWidth="1"/>
    <col min="16135" max="16384" width="9.140625" style="731"/>
  </cols>
  <sheetData>
    <row r="1" spans="1:6" ht="18.95" customHeight="1">
      <c r="A1" s="728"/>
      <c r="B1" s="729"/>
      <c r="C1" s="729"/>
      <c r="D1" s="729"/>
      <c r="E1" s="729"/>
      <c r="F1" s="730"/>
    </row>
    <row r="2" spans="1:6" ht="26.1" customHeight="1">
      <c r="A2" s="732" t="s">
        <v>92</v>
      </c>
      <c r="B2" s="733"/>
      <c r="C2" s="733"/>
      <c r="D2" s="733"/>
      <c r="E2" s="733"/>
      <c r="F2" s="734"/>
    </row>
    <row r="3" spans="1:6" ht="18.95" customHeight="1">
      <c r="A3" s="735" t="s">
        <v>702</v>
      </c>
      <c r="B3" s="733"/>
      <c r="C3" s="733"/>
      <c r="D3" s="733"/>
      <c r="E3" s="733"/>
      <c r="F3" s="734"/>
    </row>
    <row r="4" spans="1:6" ht="18.95" customHeight="1">
      <c r="A4" s="759" t="s">
        <v>545</v>
      </c>
      <c r="B4" s="760"/>
      <c r="C4" s="760"/>
      <c r="D4" s="760"/>
      <c r="E4" s="760"/>
      <c r="F4" s="761"/>
    </row>
    <row r="5" spans="1:6" ht="18.95" customHeight="1">
      <c r="A5" s="736"/>
      <c r="B5" s="737"/>
      <c r="C5" s="737"/>
      <c r="D5" s="737"/>
      <c r="E5" s="737"/>
      <c r="F5" s="738"/>
    </row>
    <row r="6" spans="1:6" ht="18.95" customHeight="1">
      <c r="A6" s="739" t="s">
        <v>518</v>
      </c>
      <c r="B6" s="740"/>
      <c r="C6" s="741"/>
      <c r="D6" s="742"/>
      <c r="E6" s="739" t="s">
        <v>519</v>
      </c>
      <c r="F6" s="743">
        <v>493</v>
      </c>
    </row>
    <row r="7" spans="1:6" ht="18.95" customHeight="1">
      <c r="A7" s="739" t="s">
        <v>520</v>
      </c>
      <c r="B7" s="743" t="s">
        <v>60</v>
      </c>
      <c r="C7" s="739" t="s">
        <v>521</v>
      </c>
      <c r="D7" s="743" t="s">
        <v>522</v>
      </c>
      <c r="E7" s="739" t="s">
        <v>523</v>
      </c>
      <c r="F7" s="743" t="s">
        <v>66</v>
      </c>
    </row>
    <row r="8" spans="1:6" ht="18.95" customHeight="1">
      <c r="A8" s="739" t="s">
        <v>524</v>
      </c>
      <c r="B8" s="743">
        <v>2</v>
      </c>
      <c r="C8" s="739" t="s">
        <v>525</v>
      </c>
      <c r="D8" s="743" t="s">
        <v>526</v>
      </c>
      <c r="E8" s="739" t="s">
        <v>527</v>
      </c>
      <c r="F8" s="743" t="s">
        <v>51</v>
      </c>
    </row>
    <row r="9" spans="1:6" ht="18.95" customHeight="1">
      <c r="A9" s="739" t="s">
        <v>528</v>
      </c>
      <c r="B9" s="743">
        <v>4000</v>
      </c>
      <c r="C9" s="739" t="s">
        <v>529</v>
      </c>
      <c r="D9" s="743" t="s">
        <v>530</v>
      </c>
      <c r="E9" s="739" t="s">
        <v>119</v>
      </c>
      <c r="F9" s="744">
        <v>45853</v>
      </c>
    </row>
    <row r="10" spans="1:6" ht="18.95" customHeight="1">
      <c r="A10" s="739" t="s">
        <v>62</v>
      </c>
      <c r="B10" s="743">
        <v>3585</v>
      </c>
      <c r="C10" s="739" t="s">
        <v>383</v>
      </c>
      <c r="D10" s="743" t="s">
        <v>531</v>
      </c>
      <c r="E10" s="739" t="s">
        <v>117</v>
      </c>
      <c r="F10" s="743" t="s">
        <v>33</v>
      </c>
    </row>
    <row r="11" spans="1:6" ht="18.95" customHeight="1">
      <c r="A11" s="736"/>
      <c r="B11" s="737"/>
      <c r="C11" s="737"/>
      <c r="D11" s="737"/>
      <c r="E11" s="737"/>
      <c r="F11" s="738"/>
    </row>
    <row r="12" spans="1:6" ht="18.95" customHeight="1">
      <c r="A12" s="736"/>
      <c r="B12" s="745" t="s">
        <v>532</v>
      </c>
      <c r="C12" s="746" t="s">
        <v>533</v>
      </c>
      <c r="D12" s="745" t="s">
        <v>381</v>
      </c>
      <c r="E12" s="746" t="s">
        <v>382</v>
      </c>
      <c r="F12" s="738"/>
    </row>
    <row r="13" spans="1:6" ht="18.95" customHeight="1">
      <c r="A13" s="736"/>
      <c r="B13" s="745" t="s">
        <v>534</v>
      </c>
      <c r="C13" s="747">
        <v>1.3</v>
      </c>
      <c r="D13" s="745" t="s">
        <v>535</v>
      </c>
      <c r="E13" s="746" t="s">
        <v>536</v>
      </c>
      <c r="F13" s="738"/>
    </row>
    <row r="14" spans="1:6" ht="18.95" customHeight="1">
      <c r="A14" s="736"/>
      <c r="B14" s="745" t="s">
        <v>537</v>
      </c>
      <c r="C14" s="747">
        <v>2.15</v>
      </c>
      <c r="D14" s="745" t="s">
        <v>385</v>
      </c>
      <c r="E14" s="746" t="s">
        <v>386</v>
      </c>
      <c r="F14" s="738"/>
    </row>
    <row r="15" spans="1:6" ht="18.95" customHeight="1">
      <c r="A15" s="736"/>
      <c r="B15" s="745" t="s">
        <v>387</v>
      </c>
      <c r="C15" s="746" t="s">
        <v>539</v>
      </c>
      <c r="D15" s="737"/>
      <c r="E15" s="737"/>
      <c r="F15" s="738"/>
    </row>
    <row r="16" spans="1:6" ht="18.95" customHeight="1">
      <c r="A16" s="736"/>
      <c r="B16" s="737"/>
      <c r="C16" s="737"/>
      <c r="D16" s="737"/>
      <c r="E16" s="737"/>
      <c r="F16" s="738"/>
    </row>
    <row r="17" spans="1:8" ht="18.95" customHeight="1">
      <c r="A17" s="736"/>
      <c r="B17" s="737"/>
      <c r="C17" s="737"/>
      <c r="D17" s="737"/>
      <c r="E17" s="737"/>
      <c r="F17" s="738"/>
    </row>
    <row r="18" spans="1:8" ht="18.95" customHeight="1">
      <c r="A18" s="736"/>
      <c r="B18" s="737"/>
      <c r="C18" s="737"/>
      <c r="D18" s="737"/>
      <c r="E18" s="737"/>
      <c r="F18" s="738"/>
    </row>
    <row r="19" spans="1:8" ht="18.95" customHeight="1">
      <c r="A19" s="736"/>
      <c r="B19" s="737"/>
      <c r="C19" s="737"/>
      <c r="D19" s="737"/>
      <c r="E19" s="737"/>
      <c r="F19" s="738"/>
    </row>
    <row r="20" spans="1:8" ht="18.95" customHeight="1">
      <c r="A20" s="736"/>
      <c r="B20" s="737"/>
      <c r="C20" s="737"/>
      <c r="D20" s="737"/>
      <c r="E20" s="737"/>
      <c r="F20" s="738"/>
    </row>
    <row r="21" spans="1:8" ht="18.95" customHeight="1">
      <c r="A21" s="736"/>
      <c r="B21" s="737"/>
      <c r="C21" s="737"/>
      <c r="D21" s="737"/>
      <c r="E21" s="737"/>
      <c r="F21" s="738"/>
    </row>
    <row r="22" spans="1:8" ht="18.95" customHeight="1">
      <c r="A22" s="736"/>
      <c r="B22" s="737"/>
      <c r="C22" s="737"/>
      <c r="D22" s="737"/>
      <c r="E22" s="737"/>
      <c r="F22" s="738"/>
    </row>
    <row r="23" spans="1:8" ht="18.95" customHeight="1">
      <c r="A23" s="736"/>
      <c r="B23" s="737"/>
      <c r="C23" s="737"/>
      <c r="D23" s="737"/>
      <c r="E23" s="737"/>
      <c r="F23" s="738"/>
    </row>
    <row r="24" spans="1:8" ht="18.95" customHeight="1">
      <c r="A24" s="736"/>
      <c r="B24" s="737"/>
      <c r="C24" s="737"/>
      <c r="D24" s="737"/>
      <c r="E24" s="737"/>
      <c r="F24" s="738"/>
      <c r="H24" s="792"/>
    </row>
    <row r="25" spans="1:8" ht="18.95" customHeight="1">
      <c r="A25" s="736"/>
      <c r="B25" s="737"/>
      <c r="C25" s="737"/>
      <c r="D25" s="737"/>
      <c r="E25" s="737"/>
      <c r="F25" s="738"/>
    </row>
    <row r="26" spans="1:8" ht="18.95" customHeight="1">
      <c r="A26" s="736"/>
      <c r="B26" s="737"/>
      <c r="C26" s="737"/>
      <c r="D26" s="737"/>
      <c r="E26" s="737"/>
      <c r="F26" s="738"/>
    </row>
    <row r="27" spans="1:8" ht="18.95" customHeight="1">
      <c r="A27" s="736"/>
      <c r="B27" s="737"/>
      <c r="C27" s="737"/>
      <c r="D27" s="737"/>
      <c r="E27" s="737"/>
      <c r="F27" s="738"/>
    </row>
    <row r="28" spans="1:8" ht="18.95" customHeight="1">
      <c r="A28" s="736"/>
      <c r="B28" s="737"/>
      <c r="C28" s="737"/>
      <c r="D28" s="737"/>
      <c r="E28" s="737"/>
      <c r="F28" s="738"/>
    </row>
    <row r="29" spans="1:8" ht="18.95" customHeight="1">
      <c r="A29" s="736"/>
      <c r="B29" s="737"/>
      <c r="C29" s="737"/>
      <c r="D29" s="737"/>
      <c r="E29" s="737"/>
      <c r="F29" s="738"/>
    </row>
    <row r="30" spans="1:8" ht="18.95" customHeight="1">
      <c r="A30" s="736"/>
      <c r="B30" s="737"/>
      <c r="C30" s="737"/>
      <c r="D30" s="737"/>
      <c r="E30" s="737"/>
      <c r="F30" s="738"/>
    </row>
    <row r="31" spans="1:8" ht="18.95" customHeight="1">
      <c r="A31" s="736"/>
      <c r="B31" s="737"/>
      <c r="C31" s="737"/>
      <c r="D31" s="737"/>
      <c r="E31" s="737"/>
      <c r="F31" s="738"/>
    </row>
    <row r="32" spans="1:8" ht="18.95" customHeight="1">
      <c r="A32" s="736"/>
      <c r="B32" s="737"/>
      <c r="C32" s="737"/>
      <c r="D32" s="737"/>
      <c r="E32" s="737"/>
      <c r="F32" s="738"/>
    </row>
    <row r="33" spans="1:6" ht="18.95" customHeight="1">
      <c r="A33" s="736"/>
      <c r="B33" s="737"/>
      <c r="C33" s="737"/>
      <c r="D33" s="737"/>
      <c r="E33" s="737"/>
      <c r="F33" s="738"/>
    </row>
    <row r="34" spans="1:6" ht="18.95" customHeight="1">
      <c r="A34" s="736"/>
      <c r="B34" s="737"/>
      <c r="C34" s="737"/>
      <c r="D34" s="737"/>
      <c r="E34" s="737"/>
      <c r="F34" s="738"/>
    </row>
    <row r="35" spans="1:6" ht="18.95" customHeight="1">
      <c r="A35" s="736"/>
      <c r="B35" s="737"/>
      <c r="C35" s="737"/>
      <c r="D35" s="737"/>
      <c r="E35" s="737"/>
      <c r="F35" s="738"/>
    </row>
    <row r="36" spans="1:6" ht="18.95" customHeight="1">
      <c r="A36" s="736"/>
      <c r="B36" s="737"/>
      <c r="C36" s="737"/>
      <c r="D36" s="737"/>
      <c r="E36" s="737"/>
      <c r="F36" s="738"/>
    </row>
    <row r="37" spans="1:6" ht="18.95" customHeight="1">
      <c r="A37" s="736"/>
      <c r="B37" s="737"/>
      <c r="C37" s="737"/>
      <c r="D37" s="737"/>
      <c r="E37" s="737"/>
      <c r="F37" s="738"/>
    </row>
    <row r="38" spans="1:6" ht="18.95" customHeight="1">
      <c r="A38" s="736"/>
      <c r="B38" s="737"/>
      <c r="C38" s="737"/>
      <c r="D38" s="737"/>
      <c r="E38" s="737"/>
      <c r="F38" s="738"/>
    </row>
    <row r="39" spans="1:6" ht="18.95" customHeight="1">
      <c r="A39" s="748" t="s">
        <v>540</v>
      </c>
      <c r="B39" s="749"/>
      <c r="C39" s="749"/>
      <c r="D39" s="737"/>
      <c r="E39" s="745" t="s">
        <v>541</v>
      </c>
      <c r="F39" s="750"/>
    </row>
    <row r="40" spans="1:6" ht="18.95" customHeight="1">
      <c r="A40" s="736"/>
      <c r="B40" s="749"/>
      <c r="C40" s="749"/>
      <c r="D40" s="737"/>
      <c r="E40" s="737"/>
      <c r="F40" s="738"/>
    </row>
    <row r="41" spans="1:6" ht="18.95" customHeight="1">
      <c r="A41" s="736"/>
      <c r="B41" s="749"/>
      <c r="C41" s="749"/>
      <c r="D41" s="737"/>
      <c r="E41" s="737"/>
      <c r="F41" s="738"/>
    </row>
    <row r="42" spans="1:6" ht="18.95" customHeight="1">
      <c r="A42" s="736"/>
      <c r="B42" s="737"/>
      <c r="C42" s="737"/>
      <c r="D42" s="737"/>
      <c r="E42" s="737"/>
      <c r="F42" s="738"/>
    </row>
    <row r="43" spans="1:6" ht="18.95" customHeight="1">
      <c r="A43" s="751"/>
      <c r="B43" s="749"/>
      <c r="C43" s="752" t="s">
        <v>542</v>
      </c>
      <c r="D43" s="753"/>
      <c r="E43" s="752" t="s">
        <v>543</v>
      </c>
      <c r="F43" s="753"/>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793" t="s">
        <v>389</v>
      </c>
      <c r="B53" s="793" t="s">
        <v>339</v>
      </c>
      <c r="C53" s="793" t="s">
        <v>298</v>
      </c>
      <c r="D53" s="793" t="s">
        <v>329</v>
      </c>
      <c r="E53" s="793" t="s">
        <v>123</v>
      </c>
      <c r="F53" s="794" t="s">
        <v>703</v>
      </c>
    </row>
    <row r="54" spans="1:6" ht="15" customHeight="1">
      <c r="A54" s="795">
        <v>0</v>
      </c>
      <c r="B54" s="796"/>
      <c r="C54" s="797"/>
      <c r="D54" s="797">
        <v>99.804028326334887</v>
      </c>
      <c r="E54" s="797">
        <v>100</v>
      </c>
      <c r="F54" s="798">
        <v>0.68305500000000008</v>
      </c>
    </row>
    <row r="55" spans="1:6" ht="15" customHeight="1">
      <c r="A55" s="799">
        <v>25</v>
      </c>
      <c r="B55" s="800">
        <v>92.779006958007813</v>
      </c>
      <c r="C55" s="801">
        <v>71.735328674316406</v>
      </c>
      <c r="D55" s="801">
        <v>161.88267517089844</v>
      </c>
      <c r="E55" s="801">
        <v>95</v>
      </c>
      <c r="F55" s="802">
        <v>10.056604464411102</v>
      </c>
    </row>
    <row r="56" spans="1:6" ht="15" customHeight="1">
      <c r="A56" s="799">
        <v>50</v>
      </c>
      <c r="B56" s="800">
        <v>95.437828063964844</v>
      </c>
      <c r="C56" s="801">
        <v>86.144477844238281</v>
      </c>
      <c r="D56" s="801">
        <v>262.098876953125</v>
      </c>
      <c r="E56" s="801">
        <v>80</v>
      </c>
      <c r="F56" s="802">
        <v>19.552870017519787</v>
      </c>
    </row>
    <row r="57" spans="1:6">
      <c r="A57" s="799">
        <v>75</v>
      </c>
      <c r="B57" s="800">
        <v>96.152656555175781</v>
      </c>
      <c r="C57" s="801">
        <v>89.702629089355469</v>
      </c>
      <c r="D57" s="801">
        <v>374.74685668945313</v>
      </c>
      <c r="E57" s="801">
        <v>71.855038226607348</v>
      </c>
      <c r="F57" s="802">
        <v>29.111263738395191</v>
      </c>
    </row>
    <row r="58" spans="1:6">
      <c r="A58" s="799">
        <v>100</v>
      </c>
      <c r="B58" s="800">
        <v>96.359207153320313</v>
      </c>
      <c r="C58" s="801">
        <v>90.716781616210938</v>
      </c>
      <c r="D58" s="801">
        <v>493.01748657226563</v>
      </c>
      <c r="E58" s="801">
        <v>44.752755466168992</v>
      </c>
      <c r="F58" s="802">
        <v>38.73181583800686</v>
      </c>
    </row>
    <row r="59" spans="1:6" ht="13.5" thickBot="1">
      <c r="A59" s="803">
        <v>125</v>
      </c>
      <c r="B59" s="804">
        <v>96.351173400878906</v>
      </c>
      <c r="C59" s="805">
        <v>90.775184631347656</v>
      </c>
      <c r="D59" s="805">
        <v>615.92669677734375</v>
      </c>
      <c r="E59" s="805">
        <v>18.10283303745166</v>
      </c>
      <c r="F59" s="806">
        <v>48.418805066313396</v>
      </c>
    </row>
    <row r="60" spans="1:6">
      <c r="A60" s="807"/>
      <c r="B60" s="808"/>
      <c r="C60" s="808"/>
    </row>
    <row r="61" spans="1:6">
      <c r="A61" s="807"/>
      <c r="B61" s="808"/>
      <c r="C61" s="808"/>
    </row>
    <row r="62" spans="1:6">
      <c r="A62" s="807"/>
      <c r="B62" s="808"/>
      <c r="C62" s="808"/>
    </row>
    <row r="63" spans="1:6">
      <c r="A63" s="807"/>
      <c r="B63" s="808"/>
      <c r="C63" s="808"/>
    </row>
    <row r="64" spans="1:6">
      <c r="A64" s="807"/>
      <c r="B64" s="808"/>
      <c r="C64" s="808"/>
    </row>
    <row r="65" spans="1:3">
      <c r="A65" s="807"/>
      <c r="B65" s="808"/>
      <c r="C65" s="808"/>
    </row>
    <row r="66" spans="1:3">
      <c r="A66" s="807"/>
      <c r="B66" s="808"/>
      <c r="C66" s="808"/>
    </row>
    <row r="67" spans="1:3">
      <c r="A67" s="809"/>
      <c r="B67" s="808"/>
      <c r="C67" s="808"/>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05893-AD86-4FD3-B760-B758A2BFA5DD}">
  <sheetPr syncVertical="1" syncRef="A1" transitionEvaluation="1"/>
  <dimension ref="A1:U63"/>
  <sheetViews>
    <sheetView showGridLines="0" zoomScale="75" zoomScaleNormal="75" workbookViewId="0">
      <selection activeCell="O24" sqref="O24"/>
    </sheetView>
  </sheetViews>
  <sheetFormatPr defaultColWidth="12.5703125" defaultRowHeight="15.75"/>
  <cols>
    <col min="1" max="3" width="7" style="1" customWidth="1"/>
    <col min="4" max="4" width="8.28515625" style="1" customWidth="1"/>
    <col min="5" max="5" width="7" style="1" customWidth="1"/>
    <col min="6" max="6" width="7.5703125" style="1" customWidth="1"/>
    <col min="7" max="13" width="7" style="1" customWidth="1"/>
    <col min="14" max="14" width="7.140625" style="1" customWidth="1"/>
    <col min="15" max="256" width="12.5703125" style="1"/>
    <col min="257" max="259" width="7" style="1" customWidth="1"/>
    <col min="260" max="260" width="8.28515625" style="1" customWidth="1"/>
    <col min="261" max="261" width="7" style="1" customWidth="1"/>
    <col min="262" max="262" width="7.5703125" style="1" customWidth="1"/>
    <col min="263" max="269" width="7" style="1" customWidth="1"/>
    <col min="270" max="270" width="7.140625" style="1" customWidth="1"/>
    <col min="271" max="512" width="12.5703125" style="1"/>
    <col min="513" max="515" width="7" style="1" customWidth="1"/>
    <col min="516" max="516" width="8.28515625" style="1" customWidth="1"/>
    <col min="517" max="517" width="7" style="1" customWidth="1"/>
    <col min="518" max="518" width="7.5703125" style="1" customWidth="1"/>
    <col min="519" max="525" width="7" style="1" customWidth="1"/>
    <col min="526" max="526" width="7.140625" style="1" customWidth="1"/>
    <col min="527" max="768" width="12.5703125" style="1"/>
    <col min="769" max="771" width="7" style="1" customWidth="1"/>
    <col min="772" max="772" width="8.28515625" style="1" customWidth="1"/>
    <col min="773" max="773" width="7" style="1" customWidth="1"/>
    <col min="774" max="774" width="7.5703125" style="1" customWidth="1"/>
    <col min="775" max="781" width="7" style="1" customWidth="1"/>
    <col min="782" max="782" width="7.140625" style="1" customWidth="1"/>
    <col min="783" max="1024" width="12.5703125" style="1"/>
    <col min="1025" max="1027" width="7" style="1" customWidth="1"/>
    <col min="1028" max="1028" width="8.28515625" style="1" customWidth="1"/>
    <col min="1029" max="1029" width="7" style="1" customWidth="1"/>
    <col min="1030" max="1030" width="7.5703125" style="1" customWidth="1"/>
    <col min="1031" max="1037" width="7" style="1" customWidth="1"/>
    <col min="1038" max="1038" width="7.140625" style="1" customWidth="1"/>
    <col min="1039" max="1280" width="12.5703125" style="1"/>
    <col min="1281" max="1283" width="7" style="1" customWidth="1"/>
    <col min="1284" max="1284" width="8.28515625" style="1" customWidth="1"/>
    <col min="1285" max="1285" width="7" style="1" customWidth="1"/>
    <col min="1286" max="1286" width="7.5703125" style="1" customWidth="1"/>
    <col min="1287" max="1293" width="7" style="1" customWidth="1"/>
    <col min="1294" max="1294" width="7.140625" style="1" customWidth="1"/>
    <col min="1295" max="1536" width="12.5703125" style="1"/>
    <col min="1537" max="1539" width="7" style="1" customWidth="1"/>
    <col min="1540" max="1540" width="8.28515625" style="1" customWidth="1"/>
    <col min="1541" max="1541" width="7" style="1" customWidth="1"/>
    <col min="1542" max="1542" width="7.5703125" style="1" customWidth="1"/>
    <col min="1543" max="1549" width="7" style="1" customWidth="1"/>
    <col min="1550" max="1550" width="7.140625" style="1" customWidth="1"/>
    <col min="1551" max="1792" width="12.5703125" style="1"/>
    <col min="1793" max="1795" width="7" style="1" customWidth="1"/>
    <col min="1796" max="1796" width="8.28515625" style="1" customWidth="1"/>
    <col min="1797" max="1797" width="7" style="1" customWidth="1"/>
    <col min="1798" max="1798" width="7.5703125" style="1" customWidth="1"/>
    <col min="1799" max="1805" width="7" style="1" customWidth="1"/>
    <col min="1806" max="1806" width="7.140625" style="1" customWidth="1"/>
    <col min="1807" max="2048" width="12.5703125" style="1"/>
    <col min="2049" max="2051" width="7" style="1" customWidth="1"/>
    <col min="2052" max="2052" width="8.28515625" style="1" customWidth="1"/>
    <col min="2053" max="2053" width="7" style="1" customWidth="1"/>
    <col min="2054" max="2054" width="7.5703125" style="1" customWidth="1"/>
    <col min="2055" max="2061" width="7" style="1" customWidth="1"/>
    <col min="2062" max="2062" width="7.140625" style="1" customWidth="1"/>
    <col min="2063" max="2304" width="12.5703125" style="1"/>
    <col min="2305" max="2307" width="7" style="1" customWidth="1"/>
    <col min="2308" max="2308" width="8.28515625" style="1" customWidth="1"/>
    <col min="2309" max="2309" width="7" style="1" customWidth="1"/>
    <col min="2310" max="2310" width="7.5703125" style="1" customWidth="1"/>
    <col min="2311" max="2317" width="7" style="1" customWidth="1"/>
    <col min="2318" max="2318" width="7.140625" style="1" customWidth="1"/>
    <col min="2319" max="2560" width="12.5703125" style="1"/>
    <col min="2561" max="2563" width="7" style="1" customWidth="1"/>
    <col min="2564" max="2564" width="8.28515625" style="1" customWidth="1"/>
    <col min="2565" max="2565" width="7" style="1" customWidth="1"/>
    <col min="2566" max="2566" width="7.5703125" style="1" customWidth="1"/>
    <col min="2567" max="2573" width="7" style="1" customWidth="1"/>
    <col min="2574" max="2574" width="7.140625" style="1" customWidth="1"/>
    <col min="2575" max="2816" width="12.5703125" style="1"/>
    <col min="2817" max="2819" width="7" style="1" customWidth="1"/>
    <col min="2820" max="2820" width="8.28515625" style="1" customWidth="1"/>
    <col min="2821" max="2821" width="7" style="1" customWidth="1"/>
    <col min="2822" max="2822" width="7.5703125" style="1" customWidth="1"/>
    <col min="2823" max="2829" width="7" style="1" customWidth="1"/>
    <col min="2830" max="2830" width="7.140625" style="1" customWidth="1"/>
    <col min="2831" max="3072" width="12.5703125" style="1"/>
    <col min="3073" max="3075" width="7" style="1" customWidth="1"/>
    <col min="3076" max="3076" width="8.28515625" style="1" customWidth="1"/>
    <col min="3077" max="3077" width="7" style="1" customWidth="1"/>
    <col min="3078" max="3078" width="7.5703125" style="1" customWidth="1"/>
    <col min="3079" max="3085" width="7" style="1" customWidth="1"/>
    <col min="3086" max="3086" width="7.140625" style="1" customWidth="1"/>
    <col min="3087" max="3328" width="12.5703125" style="1"/>
    <col min="3329" max="3331" width="7" style="1" customWidth="1"/>
    <col min="3332" max="3332" width="8.28515625" style="1" customWidth="1"/>
    <col min="3333" max="3333" width="7" style="1" customWidth="1"/>
    <col min="3334" max="3334" width="7.5703125" style="1" customWidth="1"/>
    <col min="3335" max="3341" width="7" style="1" customWidth="1"/>
    <col min="3342" max="3342" width="7.140625" style="1" customWidth="1"/>
    <col min="3343" max="3584" width="12.5703125" style="1"/>
    <col min="3585" max="3587" width="7" style="1" customWidth="1"/>
    <col min="3588" max="3588" width="8.28515625" style="1" customWidth="1"/>
    <col min="3589" max="3589" width="7" style="1" customWidth="1"/>
    <col min="3590" max="3590" width="7.5703125" style="1" customWidth="1"/>
    <col min="3591" max="3597" width="7" style="1" customWidth="1"/>
    <col min="3598" max="3598" width="7.140625" style="1" customWidth="1"/>
    <col min="3599" max="3840" width="12.5703125" style="1"/>
    <col min="3841" max="3843" width="7" style="1" customWidth="1"/>
    <col min="3844" max="3844" width="8.28515625" style="1" customWidth="1"/>
    <col min="3845" max="3845" width="7" style="1" customWidth="1"/>
    <col min="3846" max="3846" width="7.5703125" style="1" customWidth="1"/>
    <col min="3847" max="3853" width="7" style="1" customWidth="1"/>
    <col min="3854" max="3854" width="7.140625" style="1" customWidth="1"/>
    <col min="3855" max="4096" width="12.5703125" style="1"/>
    <col min="4097" max="4099" width="7" style="1" customWidth="1"/>
    <col min="4100" max="4100" width="8.28515625" style="1" customWidth="1"/>
    <col min="4101" max="4101" width="7" style="1" customWidth="1"/>
    <col min="4102" max="4102" width="7.5703125" style="1" customWidth="1"/>
    <col min="4103" max="4109" width="7" style="1" customWidth="1"/>
    <col min="4110" max="4110" width="7.140625" style="1" customWidth="1"/>
    <col min="4111" max="4352" width="12.5703125" style="1"/>
    <col min="4353" max="4355" width="7" style="1" customWidth="1"/>
    <col min="4356" max="4356" width="8.28515625" style="1" customWidth="1"/>
    <col min="4357" max="4357" width="7" style="1" customWidth="1"/>
    <col min="4358" max="4358" width="7.5703125" style="1" customWidth="1"/>
    <col min="4359" max="4365" width="7" style="1" customWidth="1"/>
    <col min="4366" max="4366" width="7.140625" style="1" customWidth="1"/>
    <col min="4367" max="4608" width="12.5703125" style="1"/>
    <col min="4609" max="4611" width="7" style="1" customWidth="1"/>
    <col min="4612" max="4612" width="8.28515625" style="1" customWidth="1"/>
    <col min="4613" max="4613" width="7" style="1" customWidth="1"/>
    <col min="4614" max="4614" width="7.5703125" style="1" customWidth="1"/>
    <col min="4615" max="4621" width="7" style="1" customWidth="1"/>
    <col min="4622" max="4622" width="7.140625" style="1" customWidth="1"/>
    <col min="4623" max="4864" width="12.5703125" style="1"/>
    <col min="4865" max="4867" width="7" style="1" customWidth="1"/>
    <col min="4868" max="4868" width="8.28515625" style="1" customWidth="1"/>
    <col min="4869" max="4869" width="7" style="1" customWidth="1"/>
    <col min="4870" max="4870" width="7.5703125" style="1" customWidth="1"/>
    <col min="4871" max="4877" width="7" style="1" customWidth="1"/>
    <col min="4878" max="4878" width="7.140625" style="1" customWidth="1"/>
    <col min="4879" max="5120" width="12.5703125" style="1"/>
    <col min="5121" max="5123" width="7" style="1" customWidth="1"/>
    <col min="5124" max="5124" width="8.28515625" style="1" customWidth="1"/>
    <col min="5125" max="5125" width="7" style="1" customWidth="1"/>
    <col min="5126" max="5126" width="7.5703125" style="1" customWidth="1"/>
    <col min="5127" max="5133" width="7" style="1" customWidth="1"/>
    <col min="5134" max="5134" width="7.140625" style="1" customWidth="1"/>
    <col min="5135" max="5376" width="12.5703125" style="1"/>
    <col min="5377" max="5379" width="7" style="1" customWidth="1"/>
    <col min="5380" max="5380" width="8.28515625" style="1" customWidth="1"/>
    <col min="5381" max="5381" width="7" style="1" customWidth="1"/>
    <col min="5382" max="5382" width="7.5703125" style="1" customWidth="1"/>
    <col min="5383" max="5389" width="7" style="1" customWidth="1"/>
    <col min="5390" max="5390" width="7.140625" style="1" customWidth="1"/>
    <col min="5391" max="5632" width="12.5703125" style="1"/>
    <col min="5633" max="5635" width="7" style="1" customWidth="1"/>
    <col min="5636" max="5636" width="8.28515625" style="1" customWidth="1"/>
    <col min="5637" max="5637" width="7" style="1" customWidth="1"/>
    <col min="5638" max="5638" width="7.5703125" style="1" customWidth="1"/>
    <col min="5639" max="5645" width="7" style="1" customWidth="1"/>
    <col min="5646" max="5646" width="7.140625" style="1" customWidth="1"/>
    <col min="5647" max="5888" width="12.5703125" style="1"/>
    <col min="5889" max="5891" width="7" style="1" customWidth="1"/>
    <col min="5892" max="5892" width="8.28515625" style="1" customWidth="1"/>
    <col min="5893" max="5893" width="7" style="1" customWidth="1"/>
    <col min="5894" max="5894" width="7.5703125" style="1" customWidth="1"/>
    <col min="5895" max="5901" width="7" style="1" customWidth="1"/>
    <col min="5902" max="5902" width="7.140625" style="1" customWidth="1"/>
    <col min="5903" max="6144" width="12.5703125" style="1"/>
    <col min="6145" max="6147" width="7" style="1" customWidth="1"/>
    <col min="6148" max="6148" width="8.28515625" style="1" customWidth="1"/>
    <col min="6149" max="6149" width="7" style="1" customWidth="1"/>
    <col min="6150" max="6150" width="7.5703125" style="1" customWidth="1"/>
    <col min="6151" max="6157" width="7" style="1" customWidth="1"/>
    <col min="6158" max="6158" width="7.140625" style="1" customWidth="1"/>
    <col min="6159" max="6400" width="12.5703125" style="1"/>
    <col min="6401" max="6403" width="7" style="1" customWidth="1"/>
    <col min="6404" max="6404" width="8.28515625" style="1" customWidth="1"/>
    <col min="6405" max="6405" width="7" style="1" customWidth="1"/>
    <col min="6406" max="6406" width="7.5703125" style="1" customWidth="1"/>
    <col min="6407" max="6413" width="7" style="1" customWidth="1"/>
    <col min="6414" max="6414" width="7.140625" style="1" customWidth="1"/>
    <col min="6415" max="6656" width="12.5703125" style="1"/>
    <col min="6657" max="6659" width="7" style="1" customWidth="1"/>
    <col min="6660" max="6660" width="8.28515625" style="1" customWidth="1"/>
    <col min="6661" max="6661" width="7" style="1" customWidth="1"/>
    <col min="6662" max="6662" width="7.5703125" style="1" customWidth="1"/>
    <col min="6663" max="6669" width="7" style="1" customWidth="1"/>
    <col min="6670" max="6670" width="7.140625" style="1" customWidth="1"/>
    <col min="6671" max="6912" width="12.5703125" style="1"/>
    <col min="6913" max="6915" width="7" style="1" customWidth="1"/>
    <col min="6916" max="6916" width="8.28515625" style="1" customWidth="1"/>
    <col min="6917" max="6917" width="7" style="1" customWidth="1"/>
    <col min="6918" max="6918" width="7.5703125" style="1" customWidth="1"/>
    <col min="6919" max="6925" width="7" style="1" customWidth="1"/>
    <col min="6926" max="6926" width="7.140625" style="1" customWidth="1"/>
    <col min="6927" max="7168" width="12.5703125" style="1"/>
    <col min="7169" max="7171" width="7" style="1" customWidth="1"/>
    <col min="7172" max="7172" width="8.28515625" style="1" customWidth="1"/>
    <col min="7173" max="7173" width="7" style="1" customWidth="1"/>
    <col min="7174" max="7174" width="7.5703125" style="1" customWidth="1"/>
    <col min="7175" max="7181" width="7" style="1" customWidth="1"/>
    <col min="7182" max="7182" width="7.140625" style="1" customWidth="1"/>
    <col min="7183" max="7424" width="12.5703125" style="1"/>
    <col min="7425" max="7427" width="7" style="1" customWidth="1"/>
    <col min="7428" max="7428" width="8.28515625" style="1" customWidth="1"/>
    <col min="7429" max="7429" width="7" style="1" customWidth="1"/>
    <col min="7430" max="7430" width="7.5703125" style="1" customWidth="1"/>
    <col min="7431" max="7437" width="7" style="1" customWidth="1"/>
    <col min="7438" max="7438" width="7.140625" style="1" customWidth="1"/>
    <col min="7439" max="7680" width="12.5703125" style="1"/>
    <col min="7681" max="7683" width="7" style="1" customWidth="1"/>
    <col min="7684" max="7684" width="8.28515625" style="1" customWidth="1"/>
    <col min="7685" max="7685" width="7" style="1" customWidth="1"/>
    <col min="7686" max="7686" width="7.5703125" style="1" customWidth="1"/>
    <col min="7687" max="7693" width="7" style="1" customWidth="1"/>
    <col min="7694" max="7694" width="7.140625" style="1" customWidth="1"/>
    <col min="7695" max="7936" width="12.5703125" style="1"/>
    <col min="7937" max="7939" width="7" style="1" customWidth="1"/>
    <col min="7940" max="7940" width="8.28515625" style="1" customWidth="1"/>
    <col min="7941" max="7941" width="7" style="1" customWidth="1"/>
    <col min="7942" max="7942" width="7.5703125" style="1" customWidth="1"/>
    <col min="7943" max="7949" width="7" style="1" customWidth="1"/>
    <col min="7950" max="7950" width="7.140625" style="1" customWidth="1"/>
    <col min="7951" max="8192" width="12.5703125" style="1"/>
    <col min="8193" max="8195" width="7" style="1" customWidth="1"/>
    <col min="8196" max="8196" width="8.28515625" style="1" customWidth="1"/>
    <col min="8197" max="8197" width="7" style="1" customWidth="1"/>
    <col min="8198" max="8198" width="7.5703125" style="1" customWidth="1"/>
    <col min="8199" max="8205" width="7" style="1" customWidth="1"/>
    <col min="8206" max="8206" width="7.140625" style="1" customWidth="1"/>
    <col min="8207" max="8448" width="12.5703125" style="1"/>
    <col min="8449" max="8451" width="7" style="1" customWidth="1"/>
    <col min="8452" max="8452" width="8.28515625" style="1" customWidth="1"/>
    <col min="8453" max="8453" width="7" style="1" customWidth="1"/>
    <col min="8454" max="8454" width="7.5703125" style="1" customWidth="1"/>
    <col min="8455" max="8461" width="7" style="1" customWidth="1"/>
    <col min="8462" max="8462" width="7.140625" style="1" customWidth="1"/>
    <col min="8463" max="8704" width="12.5703125" style="1"/>
    <col min="8705" max="8707" width="7" style="1" customWidth="1"/>
    <col min="8708" max="8708" width="8.28515625" style="1" customWidth="1"/>
    <col min="8709" max="8709" width="7" style="1" customWidth="1"/>
    <col min="8710" max="8710" width="7.5703125" style="1" customWidth="1"/>
    <col min="8711" max="8717" width="7" style="1" customWidth="1"/>
    <col min="8718" max="8718" width="7.140625" style="1" customWidth="1"/>
    <col min="8719" max="8960" width="12.5703125" style="1"/>
    <col min="8961" max="8963" width="7" style="1" customWidth="1"/>
    <col min="8964" max="8964" width="8.28515625" style="1" customWidth="1"/>
    <col min="8965" max="8965" width="7" style="1" customWidth="1"/>
    <col min="8966" max="8966" width="7.5703125" style="1" customWidth="1"/>
    <col min="8967" max="8973" width="7" style="1" customWidth="1"/>
    <col min="8974" max="8974" width="7.140625" style="1" customWidth="1"/>
    <col min="8975" max="9216" width="12.5703125" style="1"/>
    <col min="9217" max="9219" width="7" style="1" customWidth="1"/>
    <col min="9220" max="9220" width="8.28515625" style="1" customWidth="1"/>
    <col min="9221" max="9221" width="7" style="1" customWidth="1"/>
    <col min="9222" max="9222" width="7.5703125" style="1" customWidth="1"/>
    <col min="9223" max="9229" width="7" style="1" customWidth="1"/>
    <col min="9230" max="9230" width="7.140625" style="1" customWidth="1"/>
    <col min="9231" max="9472" width="12.5703125" style="1"/>
    <col min="9473" max="9475" width="7" style="1" customWidth="1"/>
    <col min="9476" max="9476" width="8.28515625" style="1" customWidth="1"/>
    <col min="9477" max="9477" width="7" style="1" customWidth="1"/>
    <col min="9478" max="9478" width="7.5703125" style="1" customWidth="1"/>
    <col min="9479" max="9485" width="7" style="1" customWidth="1"/>
    <col min="9486" max="9486" width="7.140625" style="1" customWidth="1"/>
    <col min="9487" max="9728" width="12.5703125" style="1"/>
    <col min="9729" max="9731" width="7" style="1" customWidth="1"/>
    <col min="9732" max="9732" width="8.28515625" style="1" customWidth="1"/>
    <col min="9733" max="9733" width="7" style="1" customWidth="1"/>
    <col min="9734" max="9734" width="7.5703125" style="1" customWidth="1"/>
    <col min="9735" max="9741" width="7" style="1" customWidth="1"/>
    <col min="9742" max="9742" width="7.140625" style="1" customWidth="1"/>
    <col min="9743" max="9984" width="12.5703125" style="1"/>
    <col min="9985" max="9987" width="7" style="1" customWidth="1"/>
    <col min="9988" max="9988" width="8.28515625" style="1" customWidth="1"/>
    <col min="9989" max="9989" width="7" style="1" customWidth="1"/>
    <col min="9990" max="9990" width="7.5703125" style="1" customWidth="1"/>
    <col min="9991" max="9997" width="7" style="1" customWidth="1"/>
    <col min="9998" max="9998" width="7.140625" style="1" customWidth="1"/>
    <col min="9999" max="10240" width="12.5703125" style="1"/>
    <col min="10241" max="10243" width="7" style="1" customWidth="1"/>
    <col min="10244" max="10244" width="8.28515625" style="1" customWidth="1"/>
    <col min="10245" max="10245" width="7" style="1" customWidth="1"/>
    <col min="10246" max="10246" width="7.5703125" style="1" customWidth="1"/>
    <col min="10247" max="10253" width="7" style="1" customWidth="1"/>
    <col min="10254" max="10254" width="7.140625" style="1" customWidth="1"/>
    <col min="10255" max="10496" width="12.5703125" style="1"/>
    <col min="10497" max="10499" width="7" style="1" customWidth="1"/>
    <col min="10500" max="10500" width="8.28515625" style="1" customWidth="1"/>
    <col min="10501" max="10501" width="7" style="1" customWidth="1"/>
    <col min="10502" max="10502" width="7.5703125" style="1" customWidth="1"/>
    <col min="10503" max="10509" width="7" style="1" customWidth="1"/>
    <col min="10510" max="10510" width="7.140625" style="1" customWidth="1"/>
    <col min="10511" max="10752" width="12.5703125" style="1"/>
    <col min="10753" max="10755" width="7" style="1" customWidth="1"/>
    <col min="10756" max="10756" width="8.28515625" style="1" customWidth="1"/>
    <col min="10757" max="10757" width="7" style="1" customWidth="1"/>
    <col min="10758" max="10758" width="7.5703125" style="1" customWidth="1"/>
    <col min="10759" max="10765" width="7" style="1" customWidth="1"/>
    <col min="10766" max="10766" width="7.140625" style="1" customWidth="1"/>
    <col min="10767" max="11008" width="12.5703125" style="1"/>
    <col min="11009" max="11011" width="7" style="1" customWidth="1"/>
    <col min="11012" max="11012" width="8.28515625" style="1" customWidth="1"/>
    <col min="11013" max="11013" width="7" style="1" customWidth="1"/>
    <col min="11014" max="11014" width="7.5703125" style="1" customWidth="1"/>
    <col min="11015" max="11021" width="7" style="1" customWidth="1"/>
    <col min="11022" max="11022" width="7.140625" style="1" customWidth="1"/>
    <col min="11023" max="11264" width="12.5703125" style="1"/>
    <col min="11265" max="11267" width="7" style="1" customWidth="1"/>
    <col min="11268" max="11268" width="8.28515625" style="1" customWidth="1"/>
    <col min="11269" max="11269" width="7" style="1" customWidth="1"/>
    <col min="11270" max="11270" width="7.5703125" style="1" customWidth="1"/>
    <col min="11271" max="11277" width="7" style="1" customWidth="1"/>
    <col min="11278" max="11278" width="7.140625" style="1" customWidth="1"/>
    <col min="11279" max="11520" width="12.5703125" style="1"/>
    <col min="11521" max="11523" width="7" style="1" customWidth="1"/>
    <col min="11524" max="11524" width="8.28515625" style="1" customWidth="1"/>
    <col min="11525" max="11525" width="7" style="1" customWidth="1"/>
    <col min="11526" max="11526" width="7.5703125" style="1" customWidth="1"/>
    <col min="11527" max="11533" width="7" style="1" customWidth="1"/>
    <col min="11534" max="11534" width="7.140625" style="1" customWidth="1"/>
    <col min="11535" max="11776" width="12.5703125" style="1"/>
    <col min="11777" max="11779" width="7" style="1" customWidth="1"/>
    <col min="11780" max="11780" width="8.28515625" style="1" customWidth="1"/>
    <col min="11781" max="11781" width="7" style="1" customWidth="1"/>
    <col min="11782" max="11782" width="7.5703125" style="1" customWidth="1"/>
    <col min="11783" max="11789" width="7" style="1" customWidth="1"/>
    <col min="11790" max="11790" width="7.140625" style="1" customWidth="1"/>
    <col min="11791" max="12032" width="12.5703125" style="1"/>
    <col min="12033" max="12035" width="7" style="1" customWidth="1"/>
    <col min="12036" max="12036" width="8.28515625" style="1" customWidth="1"/>
    <col min="12037" max="12037" width="7" style="1" customWidth="1"/>
    <col min="12038" max="12038" width="7.5703125" style="1" customWidth="1"/>
    <col min="12039" max="12045" width="7" style="1" customWidth="1"/>
    <col min="12046" max="12046" width="7.140625" style="1" customWidth="1"/>
    <col min="12047" max="12288" width="12.5703125" style="1"/>
    <col min="12289" max="12291" width="7" style="1" customWidth="1"/>
    <col min="12292" max="12292" width="8.28515625" style="1" customWidth="1"/>
    <col min="12293" max="12293" width="7" style="1" customWidth="1"/>
    <col min="12294" max="12294" width="7.5703125" style="1" customWidth="1"/>
    <col min="12295" max="12301" width="7" style="1" customWidth="1"/>
    <col min="12302" max="12302" width="7.140625" style="1" customWidth="1"/>
    <col min="12303" max="12544" width="12.5703125" style="1"/>
    <col min="12545" max="12547" width="7" style="1" customWidth="1"/>
    <col min="12548" max="12548" width="8.28515625" style="1" customWidth="1"/>
    <col min="12549" max="12549" width="7" style="1" customWidth="1"/>
    <col min="12550" max="12550" width="7.5703125" style="1" customWidth="1"/>
    <col min="12551" max="12557" width="7" style="1" customWidth="1"/>
    <col min="12558" max="12558" width="7.140625" style="1" customWidth="1"/>
    <col min="12559" max="12800" width="12.5703125" style="1"/>
    <col min="12801" max="12803" width="7" style="1" customWidth="1"/>
    <col min="12804" max="12804" width="8.28515625" style="1" customWidth="1"/>
    <col min="12805" max="12805" width="7" style="1" customWidth="1"/>
    <col min="12806" max="12806" width="7.5703125" style="1" customWidth="1"/>
    <col min="12807" max="12813" width="7" style="1" customWidth="1"/>
    <col min="12814" max="12814" width="7.140625" style="1" customWidth="1"/>
    <col min="12815" max="13056" width="12.5703125" style="1"/>
    <col min="13057" max="13059" width="7" style="1" customWidth="1"/>
    <col min="13060" max="13060" width="8.28515625" style="1" customWidth="1"/>
    <col min="13061" max="13061" width="7" style="1" customWidth="1"/>
    <col min="13062" max="13062" width="7.5703125" style="1" customWidth="1"/>
    <col min="13063" max="13069" width="7" style="1" customWidth="1"/>
    <col min="13070" max="13070" width="7.140625" style="1" customWidth="1"/>
    <col min="13071" max="13312" width="12.5703125" style="1"/>
    <col min="13313" max="13315" width="7" style="1" customWidth="1"/>
    <col min="13316" max="13316" width="8.28515625" style="1" customWidth="1"/>
    <col min="13317" max="13317" width="7" style="1" customWidth="1"/>
    <col min="13318" max="13318" width="7.5703125" style="1" customWidth="1"/>
    <col min="13319" max="13325" width="7" style="1" customWidth="1"/>
    <col min="13326" max="13326" width="7.140625" style="1" customWidth="1"/>
    <col min="13327" max="13568" width="12.5703125" style="1"/>
    <col min="13569" max="13571" width="7" style="1" customWidth="1"/>
    <col min="13572" max="13572" width="8.28515625" style="1" customWidth="1"/>
    <col min="13573" max="13573" width="7" style="1" customWidth="1"/>
    <col min="13574" max="13574" width="7.5703125" style="1" customWidth="1"/>
    <col min="13575" max="13581" width="7" style="1" customWidth="1"/>
    <col min="13582" max="13582" width="7.140625" style="1" customWidth="1"/>
    <col min="13583" max="13824" width="12.5703125" style="1"/>
    <col min="13825" max="13827" width="7" style="1" customWidth="1"/>
    <col min="13828" max="13828" width="8.28515625" style="1" customWidth="1"/>
    <col min="13829" max="13829" width="7" style="1" customWidth="1"/>
    <col min="13830" max="13830" width="7.5703125" style="1" customWidth="1"/>
    <col min="13831" max="13837" width="7" style="1" customWidth="1"/>
    <col min="13838" max="13838" width="7.140625" style="1" customWidth="1"/>
    <col min="13839" max="14080" width="12.5703125" style="1"/>
    <col min="14081" max="14083" width="7" style="1" customWidth="1"/>
    <col min="14084" max="14084" width="8.28515625" style="1" customWidth="1"/>
    <col min="14085" max="14085" width="7" style="1" customWidth="1"/>
    <col min="14086" max="14086" width="7.5703125" style="1" customWidth="1"/>
    <col min="14087" max="14093" width="7" style="1" customWidth="1"/>
    <col min="14094" max="14094" width="7.140625" style="1" customWidth="1"/>
    <col min="14095" max="14336" width="12.5703125" style="1"/>
    <col min="14337" max="14339" width="7" style="1" customWidth="1"/>
    <col min="14340" max="14340" width="8.28515625" style="1" customWidth="1"/>
    <col min="14341" max="14341" width="7" style="1" customWidth="1"/>
    <col min="14342" max="14342" width="7.5703125" style="1" customWidth="1"/>
    <col min="14343" max="14349" width="7" style="1" customWidth="1"/>
    <col min="14350" max="14350" width="7.140625" style="1" customWidth="1"/>
    <col min="14351" max="14592" width="12.5703125" style="1"/>
    <col min="14593" max="14595" width="7" style="1" customWidth="1"/>
    <col min="14596" max="14596" width="8.28515625" style="1" customWidth="1"/>
    <col min="14597" max="14597" width="7" style="1" customWidth="1"/>
    <col min="14598" max="14598" width="7.5703125" style="1" customWidth="1"/>
    <col min="14599" max="14605" width="7" style="1" customWidth="1"/>
    <col min="14606" max="14606" width="7.140625" style="1" customWidth="1"/>
    <col min="14607" max="14848" width="12.5703125" style="1"/>
    <col min="14849" max="14851" width="7" style="1" customWidth="1"/>
    <col min="14852" max="14852" width="8.28515625" style="1" customWidth="1"/>
    <col min="14853" max="14853" width="7" style="1" customWidth="1"/>
    <col min="14854" max="14854" width="7.5703125" style="1" customWidth="1"/>
    <col min="14855" max="14861" width="7" style="1" customWidth="1"/>
    <col min="14862" max="14862" width="7.140625" style="1" customWidth="1"/>
    <col min="14863" max="15104" width="12.5703125" style="1"/>
    <col min="15105" max="15107" width="7" style="1" customWidth="1"/>
    <col min="15108" max="15108" width="8.28515625" style="1" customWidth="1"/>
    <col min="15109" max="15109" width="7" style="1" customWidth="1"/>
    <col min="15110" max="15110" width="7.5703125" style="1" customWidth="1"/>
    <col min="15111" max="15117" width="7" style="1" customWidth="1"/>
    <col min="15118" max="15118" width="7.140625" style="1" customWidth="1"/>
    <col min="15119" max="15360" width="12.5703125" style="1"/>
    <col min="15361" max="15363" width="7" style="1" customWidth="1"/>
    <col min="15364" max="15364" width="8.28515625" style="1" customWidth="1"/>
    <col min="15365" max="15365" width="7" style="1" customWidth="1"/>
    <col min="15366" max="15366" width="7.5703125" style="1" customWidth="1"/>
    <col min="15367" max="15373" width="7" style="1" customWidth="1"/>
    <col min="15374" max="15374" width="7.140625" style="1" customWidth="1"/>
    <col min="15375" max="15616" width="12.5703125" style="1"/>
    <col min="15617" max="15619" width="7" style="1" customWidth="1"/>
    <col min="15620" max="15620" width="8.28515625" style="1" customWidth="1"/>
    <col min="15621" max="15621" width="7" style="1" customWidth="1"/>
    <col min="15622" max="15622" width="7.5703125" style="1" customWidth="1"/>
    <col min="15623" max="15629" width="7" style="1" customWidth="1"/>
    <col min="15630" max="15630" width="7.140625" style="1" customWidth="1"/>
    <col min="15631" max="15872" width="12.5703125" style="1"/>
    <col min="15873" max="15875" width="7" style="1" customWidth="1"/>
    <col min="15876" max="15876" width="8.28515625" style="1" customWidth="1"/>
    <col min="15877" max="15877" width="7" style="1" customWidth="1"/>
    <col min="15878" max="15878" width="7.5703125" style="1" customWidth="1"/>
    <col min="15879" max="15885" width="7" style="1" customWidth="1"/>
    <col min="15886" max="15886" width="7.140625" style="1" customWidth="1"/>
    <col min="15887" max="16128" width="12.5703125" style="1"/>
    <col min="16129" max="16131" width="7" style="1" customWidth="1"/>
    <col min="16132" max="16132" width="8.28515625" style="1" customWidth="1"/>
    <col min="16133" max="16133" width="7" style="1" customWidth="1"/>
    <col min="16134" max="16134" width="7.5703125" style="1" customWidth="1"/>
    <col min="16135" max="16141" width="7" style="1" customWidth="1"/>
    <col min="16142" max="16142" width="7.140625" style="1" customWidth="1"/>
    <col min="16143" max="16384" width="12.5703125" style="1"/>
  </cols>
  <sheetData>
    <row r="1" spans="1:14" ht="17.100000000000001" customHeight="1">
      <c r="A1" s="147" t="s">
        <v>92</v>
      </c>
      <c r="B1" s="146"/>
      <c r="C1" s="146"/>
      <c r="D1" s="146"/>
      <c r="E1" s="146"/>
      <c r="F1" s="146"/>
      <c r="G1" s="146"/>
      <c r="H1" s="146"/>
      <c r="I1" s="146"/>
      <c r="J1" s="145" t="s">
        <v>91</v>
      </c>
      <c r="K1" s="144"/>
      <c r="L1" s="143" t="s">
        <v>90</v>
      </c>
      <c r="M1" s="142"/>
      <c r="N1" s="97"/>
    </row>
    <row r="2" spans="1:14" ht="17.100000000000001" customHeight="1">
      <c r="A2" s="141" t="s">
        <v>89</v>
      </c>
      <c r="B2" s="140"/>
      <c r="C2" s="140"/>
      <c r="D2" s="140"/>
      <c r="E2" s="140"/>
      <c r="F2" s="140"/>
      <c r="G2" s="140"/>
      <c r="H2" s="140"/>
      <c r="I2" s="140"/>
      <c r="J2" s="131" t="s">
        <v>88</v>
      </c>
      <c r="K2" s="130"/>
      <c r="L2" s="139" t="s">
        <v>87</v>
      </c>
      <c r="M2" s="138"/>
      <c r="N2" s="97"/>
    </row>
    <row r="3" spans="1:14" ht="15.95" customHeight="1">
      <c r="A3" s="133"/>
      <c r="B3" s="119"/>
      <c r="C3" s="119"/>
      <c r="D3" s="119"/>
      <c r="E3" s="119"/>
      <c r="F3" s="119"/>
      <c r="G3" s="119"/>
      <c r="H3" s="119"/>
      <c r="I3" s="119"/>
      <c r="J3" s="131" t="s">
        <v>86</v>
      </c>
      <c r="K3" s="130"/>
      <c r="L3" s="137" t="s">
        <v>85</v>
      </c>
      <c r="M3" s="136"/>
      <c r="N3" s="97"/>
    </row>
    <row r="4" spans="1:14" ht="15.95" customHeight="1">
      <c r="A4" s="135"/>
      <c r="B4" s="119"/>
      <c r="C4" s="119"/>
      <c r="D4" s="119"/>
      <c r="E4" s="119"/>
      <c r="F4" s="119"/>
      <c r="G4" s="119"/>
      <c r="H4" s="119"/>
      <c r="I4" s="119"/>
      <c r="J4" s="131" t="s">
        <v>84</v>
      </c>
      <c r="K4" s="130"/>
      <c r="L4" s="129" t="s">
        <v>83</v>
      </c>
      <c r="M4" s="134"/>
      <c r="N4" s="97"/>
    </row>
    <row r="5" spans="1:14" ht="15.95" customHeight="1">
      <c r="A5" s="133"/>
      <c r="B5" s="119"/>
      <c r="C5" s="119"/>
      <c r="D5" s="119"/>
      <c r="E5" s="119"/>
      <c r="F5" s="119"/>
      <c r="G5" s="119"/>
      <c r="H5" s="119"/>
      <c r="I5" s="119"/>
      <c r="J5" s="131" t="s">
        <v>82</v>
      </c>
      <c r="K5" s="130"/>
      <c r="L5" s="129">
        <v>0</v>
      </c>
      <c r="M5" s="128"/>
      <c r="N5" s="97"/>
    </row>
    <row r="6" spans="1:14" ht="15.95" customHeight="1">
      <c r="A6" s="132" t="s">
        <v>81</v>
      </c>
      <c r="B6" s="119"/>
      <c r="C6" s="119"/>
      <c r="D6" s="119"/>
      <c r="E6" s="119"/>
      <c r="F6" s="119"/>
      <c r="G6" s="119"/>
      <c r="H6" s="119"/>
      <c r="I6" s="119"/>
      <c r="J6" s="131" t="s">
        <v>80</v>
      </c>
      <c r="K6" s="130"/>
      <c r="L6" s="129" t="s">
        <v>79</v>
      </c>
      <c r="M6" s="128"/>
      <c r="N6" s="97"/>
    </row>
    <row r="7" spans="1:14" ht="15.95" customHeight="1" thickBot="1">
      <c r="A7" s="127" t="s">
        <v>78</v>
      </c>
      <c r="B7" s="126"/>
      <c r="C7" s="126"/>
      <c r="D7" s="126"/>
      <c r="E7" s="126"/>
      <c r="F7" s="126"/>
      <c r="G7" s="126"/>
      <c r="H7" s="126"/>
      <c r="I7" s="126"/>
      <c r="J7" s="125" t="s">
        <v>77</v>
      </c>
      <c r="K7" s="124"/>
      <c r="L7" s="123" t="s">
        <v>76</v>
      </c>
      <c r="M7" s="122"/>
      <c r="N7" s="97"/>
    </row>
    <row r="8" spans="1:14" ht="6.75" customHeight="1">
      <c r="A8" s="835"/>
      <c r="B8" s="825"/>
      <c r="C8" s="825"/>
      <c r="D8" s="825"/>
      <c r="E8" s="825"/>
      <c r="F8" s="825"/>
      <c r="G8" s="825"/>
      <c r="H8" s="825"/>
      <c r="I8" s="825"/>
      <c r="J8" s="825"/>
      <c r="K8" s="836"/>
      <c r="L8" s="118"/>
      <c r="M8" s="837"/>
      <c r="N8" s="119"/>
    </row>
    <row r="9" spans="1:14" ht="12" customHeight="1">
      <c r="A9" s="106"/>
      <c r="B9" s="105" t="s">
        <v>75</v>
      </c>
      <c r="C9" s="109" t="s">
        <v>772</v>
      </c>
      <c r="D9" s="120"/>
      <c r="E9" s="120"/>
      <c r="F9" s="120"/>
      <c r="G9" s="120"/>
      <c r="H9" s="120"/>
      <c r="I9" s="120"/>
      <c r="J9" s="120"/>
      <c r="K9" s="121"/>
      <c r="L9" s="106"/>
      <c r="M9" s="120"/>
      <c r="N9" s="119"/>
    </row>
    <row r="10" spans="1:14" ht="12" customHeight="1">
      <c r="A10" s="106"/>
      <c r="B10" s="105" t="s">
        <v>74</v>
      </c>
      <c r="C10" s="838" t="s">
        <v>773</v>
      </c>
      <c r="D10" s="106"/>
      <c r="E10" s="106"/>
      <c r="F10" s="106"/>
      <c r="G10" s="106"/>
      <c r="H10" s="106"/>
      <c r="I10" s="106"/>
      <c r="J10" s="106"/>
      <c r="K10" s="106"/>
      <c r="L10" s="106"/>
      <c r="M10" s="106"/>
      <c r="N10" s="117"/>
    </row>
    <row r="11" spans="1:14" ht="6.75" customHeight="1" thickBot="1">
      <c r="A11" s="118"/>
      <c r="B11" s="118"/>
      <c r="C11" s="118"/>
      <c r="D11" s="118"/>
      <c r="E11" s="118"/>
      <c r="F11" s="118"/>
      <c r="G11" s="118"/>
      <c r="H11" s="118"/>
      <c r="I11" s="118"/>
      <c r="J11" s="118"/>
      <c r="K11" s="118"/>
      <c r="L11" s="118"/>
      <c r="M11" s="118"/>
      <c r="N11" s="117"/>
    </row>
    <row r="12" spans="1:14" ht="20.100000000000001" customHeight="1" thickBot="1">
      <c r="A12" s="116" t="s">
        <v>73</v>
      </c>
      <c r="B12" s="115"/>
      <c r="C12" s="115"/>
      <c r="D12" s="115"/>
      <c r="E12" s="115"/>
      <c r="F12" s="115"/>
      <c r="G12" s="115"/>
      <c r="H12" s="115"/>
      <c r="I12" s="115"/>
      <c r="J12" s="115"/>
      <c r="K12" s="115"/>
      <c r="L12" s="115"/>
      <c r="M12" s="114"/>
      <c r="N12" s="97"/>
    </row>
    <row r="13" spans="1:14" ht="12.95" customHeight="1" thickTop="1">
      <c r="A13" s="110"/>
      <c r="B13" s="105" t="s">
        <v>72</v>
      </c>
      <c r="C13" s="113">
        <v>4000</v>
      </c>
      <c r="D13" s="106"/>
      <c r="E13" s="105" t="s">
        <v>71</v>
      </c>
      <c r="F13" s="113">
        <v>4000</v>
      </c>
      <c r="G13" s="106"/>
      <c r="H13" s="105" t="s">
        <v>70</v>
      </c>
      <c r="I13" s="113" t="s">
        <v>69</v>
      </c>
      <c r="J13" s="106"/>
      <c r="K13" s="106"/>
      <c r="L13" s="105" t="s">
        <v>68</v>
      </c>
      <c r="M13" s="111">
        <v>3600</v>
      </c>
      <c r="N13" s="97"/>
    </row>
    <row r="14" spans="1:14" ht="12.95" customHeight="1">
      <c r="A14" s="110"/>
      <c r="B14" s="105" t="s">
        <v>67</v>
      </c>
      <c r="C14" s="113" t="s">
        <v>66</v>
      </c>
      <c r="D14" s="106"/>
      <c r="E14" s="105" t="s">
        <v>65</v>
      </c>
      <c r="F14" s="108" t="s">
        <v>64</v>
      </c>
      <c r="G14" s="106"/>
      <c r="H14" s="105" t="s">
        <v>63</v>
      </c>
      <c r="I14" s="113">
        <v>493</v>
      </c>
      <c r="J14" s="106"/>
      <c r="K14" s="106"/>
      <c r="L14" s="105" t="s">
        <v>62</v>
      </c>
      <c r="M14" s="111">
        <v>3589</v>
      </c>
      <c r="N14" s="97"/>
    </row>
    <row r="15" spans="1:14" ht="12.95" customHeight="1">
      <c r="A15" s="110"/>
      <c r="B15" s="105" t="s">
        <v>61</v>
      </c>
      <c r="C15" s="113" t="s">
        <v>60</v>
      </c>
      <c r="D15" s="106"/>
      <c r="E15" s="105" t="s">
        <v>59</v>
      </c>
      <c r="F15" s="839" t="s">
        <v>774</v>
      </c>
      <c r="G15" s="106"/>
      <c r="H15" s="105" t="s">
        <v>58</v>
      </c>
      <c r="I15" s="108" t="s">
        <v>4</v>
      </c>
      <c r="J15" s="106"/>
      <c r="K15" s="106"/>
      <c r="L15" s="105" t="s">
        <v>57</v>
      </c>
      <c r="M15" s="111" t="s">
        <v>51</v>
      </c>
      <c r="N15" s="97"/>
    </row>
    <row r="16" spans="1:14" ht="12.95" customHeight="1">
      <c r="A16" s="110"/>
      <c r="B16" s="105" t="s">
        <v>56</v>
      </c>
      <c r="C16" s="113" t="s">
        <v>55</v>
      </c>
      <c r="D16" s="106"/>
      <c r="E16" s="105" t="s">
        <v>54</v>
      </c>
      <c r="F16" s="840">
        <v>40</v>
      </c>
      <c r="G16" s="106"/>
      <c r="H16" s="112" t="s">
        <v>52</v>
      </c>
      <c r="I16" s="107" t="s">
        <v>51</v>
      </c>
      <c r="J16" s="106"/>
      <c r="K16" s="106"/>
      <c r="L16" s="105" t="s">
        <v>50</v>
      </c>
      <c r="M16" s="111" t="s">
        <v>49</v>
      </c>
      <c r="N16" s="97"/>
    </row>
    <row r="17" spans="1:14" ht="12.95" customHeight="1">
      <c r="A17" s="110"/>
      <c r="B17" s="105" t="s">
        <v>48</v>
      </c>
      <c r="C17" s="109" t="s">
        <v>775</v>
      </c>
      <c r="D17" s="106"/>
      <c r="E17" s="105"/>
      <c r="F17" s="108"/>
      <c r="G17" s="106"/>
      <c r="H17" s="105" t="s">
        <v>47</v>
      </c>
      <c r="I17" s="107" t="s">
        <v>4</v>
      </c>
      <c r="J17" s="106"/>
      <c r="K17" s="106"/>
      <c r="L17" s="105"/>
      <c r="M17" s="104"/>
      <c r="N17" s="97"/>
    </row>
    <row r="18" spans="1:14" ht="12.95" customHeight="1" thickBot="1">
      <c r="A18" s="103"/>
      <c r="B18" s="101" t="s">
        <v>46</v>
      </c>
      <c r="C18" s="100">
        <v>96.2</v>
      </c>
      <c r="D18" s="99"/>
      <c r="E18" s="101" t="s">
        <v>45</v>
      </c>
      <c r="F18" s="100"/>
      <c r="G18" s="102"/>
      <c r="H18" s="101" t="s">
        <v>44</v>
      </c>
      <c r="I18" s="100">
        <v>90.5</v>
      </c>
      <c r="J18" s="99"/>
      <c r="K18" s="99"/>
      <c r="L18" s="99"/>
      <c r="M18" s="98"/>
      <c r="N18" s="97"/>
    </row>
    <row r="19" spans="1:14" ht="16.5" thickBot="1"/>
    <row r="20" spans="1:14" ht="16.5" thickBot="1">
      <c r="A20" s="85" t="s">
        <v>43</v>
      </c>
      <c r="B20" s="84"/>
      <c r="C20" s="84"/>
      <c r="D20" s="84"/>
      <c r="E20" s="84"/>
      <c r="F20" s="84"/>
      <c r="G20" s="84"/>
      <c r="H20" s="84"/>
      <c r="I20" s="84"/>
      <c r="J20" s="84"/>
      <c r="K20" s="84"/>
      <c r="L20" s="84"/>
      <c r="M20" s="83"/>
    </row>
    <row r="21" spans="1:14" ht="16.5" thickTop="1">
      <c r="A21" s="96"/>
      <c r="B21" s="95"/>
      <c r="C21" s="45"/>
      <c r="D21" s="94" t="s">
        <v>42</v>
      </c>
      <c r="E21" s="93" t="s">
        <v>783</v>
      </c>
      <c r="F21" s="91"/>
      <c r="G21" s="45"/>
      <c r="H21" s="45"/>
      <c r="I21" s="44" t="s">
        <v>41</v>
      </c>
      <c r="J21" s="92">
        <v>21.3</v>
      </c>
      <c r="K21" s="91"/>
      <c r="L21" s="91"/>
      <c r="M21" s="90"/>
    </row>
    <row r="22" spans="1:14" ht="16.5" thickBot="1">
      <c r="A22" s="41"/>
      <c r="B22" s="38"/>
      <c r="C22" s="38"/>
      <c r="D22" s="37" t="s">
        <v>40</v>
      </c>
      <c r="E22" s="89" t="s">
        <v>837</v>
      </c>
      <c r="F22" s="88"/>
      <c r="G22" s="38"/>
      <c r="H22" s="38"/>
      <c r="I22" s="38"/>
      <c r="J22" s="38"/>
      <c r="K22" s="38"/>
      <c r="L22" s="38"/>
      <c r="M22" s="87"/>
    </row>
    <row r="23" spans="1:14" ht="16.5" thickBot="1"/>
    <row r="24" spans="1:14" ht="16.5" thickBot="1">
      <c r="A24" s="85" t="s">
        <v>39</v>
      </c>
      <c r="B24" s="84"/>
      <c r="C24" s="84"/>
      <c r="D24" s="84"/>
      <c r="E24" s="84"/>
      <c r="F24" s="83"/>
      <c r="G24" s="86"/>
      <c r="H24" s="85" t="s">
        <v>38</v>
      </c>
      <c r="I24" s="84"/>
      <c r="J24" s="84"/>
      <c r="K24" s="84"/>
      <c r="L24" s="84"/>
      <c r="M24" s="83"/>
    </row>
    <row r="25" spans="1:14" ht="17.25" thickTop="1" thickBot="1">
      <c r="A25" s="49"/>
      <c r="B25" s="45"/>
      <c r="C25" s="44"/>
      <c r="D25" s="44"/>
      <c r="E25" s="44" t="s">
        <v>37</v>
      </c>
      <c r="F25" s="48">
        <v>5860</v>
      </c>
      <c r="G25" s="82"/>
      <c r="H25" s="45"/>
      <c r="I25" s="45"/>
      <c r="J25" s="47" t="s">
        <v>36</v>
      </c>
      <c r="K25" s="79" t="s">
        <v>33</v>
      </c>
      <c r="L25" s="78"/>
      <c r="M25" s="77"/>
    </row>
    <row r="26" spans="1:14" ht="17.25" thickTop="1" thickBot="1">
      <c r="A26" s="63"/>
      <c r="D26" s="60"/>
      <c r="E26" s="60" t="s">
        <v>35</v>
      </c>
      <c r="F26" s="81">
        <v>130</v>
      </c>
      <c r="G26" s="76"/>
      <c r="J26" s="80" t="s">
        <v>34</v>
      </c>
      <c r="K26" s="79" t="s">
        <v>33</v>
      </c>
      <c r="L26" s="78"/>
      <c r="M26" s="77"/>
    </row>
    <row r="27" spans="1:14" ht="16.5" thickTop="1">
      <c r="A27" s="63"/>
      <c r="D27" s="60"/>
      <c r="E27" s="60" t="s">
        <v>32</v>
      </c>
      <c r="F27" s="81">
        <v>130</v>
      </c>
      <c r="G27" s="76"/>
      <c r="J27" s="80" t="s">
        <v>31</v>
      </c>
      <c r="K27" s="79" t="s">
        <v>33</v>
      </c>
      <c r="L27" s="78"/>
      <c r="M27" s="77"/>
    </row>
    <row r="28" spans="1:14" ht="16.5" thickBot="1">
      <c r="A28" s="41"/>
      <c r="B28" s="38"/>
      <c r="C28" s="38"/>
      <c r="D28" s="37"/>
      <c r="E28" s="37" t="s">
        <v>30</v>
      </c>
      <c r="F28" s="40">
        <v>215</v>
      </c>
      <c r="G28" s="76"/>
      <c r="H28" s="38"/>
      <c r="I28" s="38"/>
      <c r="J28" s="75"/>
      <c r="K28" s="74"/>
      <c r="L28" s="74"/>
      <c r="M28" s="73"/>
    </row>
    <row r="29" spans="1:14" ht="16.5" thickBot="1"/>
    <row r="30" spans="1:14" ht="16.5" thickBot="1">
      <c r="A30" s="52" t="s">
        <v>29</v>
      </c>
      <c r="B30" s="51"/>
      <c r="C30" s="51"/>
      <c r="D30" s="51"/>
      <c r="E30" s="51"/>
      <c r="F30" s="51"/>
      <c r="G30" s="51"/>
      <c r="H30" s="51"/>
      <c r="I30" s="51"/>
      <c r="J30" s="51"/>
      <c r="K30" s="51"/>
      <c r="L30" s="51"/>
      <c r="M30" s="50"/>
    </row>
    <row r="31" spans="1:14" ht="16.5" thickTop="1">
      <c r="A31" s="72" t="s">
        <v>28</v>
      </c>
      <c r="B31" s="68"/>
      <c r="C31" s="68"/>
      <c r="D31" s="68"/>
      <c r="E31" s="68"/>
      <c r="F31" s="71"/>
      <c r="G31" s="70"/>
      <c r="H31" s="69" t="s">
        <v>27</v>
      </c>
      <c r="I31" s="68"/>
      <c r="J31" s="68"/>
      <c r="K31" s="68"/>
      <c r="L31" s="68"/>
      <c r="M31" s="67"/>
    </row>
    <row r="32" spans="1:14">
      <c r="A32" s="63"/>
      <c r="B32" s="62"/>
      <c r="C32" s="60" t="s">
        <v>26</v>
      </c>
      <c r="D32" s="65" t="s">
        <v>23</v>
      </c>
      <c r="E32" s="65"/>
      <c r="F32" s="66"/>
      <c r="G32" s="55"/>
      <c r="J32" s="60" t="s">
        <v>26</v>
      </c>
      <c r="K32" s="65" t="s">
        <v>780</v>
      </c>
      <c r="L32" s="65"/>
      <c r="M32" s="64"/>
    </row>
    <row r="33" spans="1:21">
      <c r="A33" s="63"/>
      <c r="B33" s="62"/>
      <c r="C33" s="60" t="s">
        <v>24</v>
      </c>
      <c r="D33" s="59" t="s">
        <v>777</v>
      </c>
      <c r="E33" s="59"/>
      <c r="F33" s="61"/>
      <c r="G33" s="55"/>
      <c r="J33" s="60" t="s">
        <v>24</v>
      </c>
      <c r="K33" s="59" t="s">
        <v>25</v>
      </c>
      <c r="L33" s="59"/>
      <c r="M33" s="58"/>
    </row>
    <row r="34" spans="1:21">
      <c r="A34" s="63"/>
      <c r="B34" s="62"/>
      <c r="C34" s="60" t="s">
        <v>22</v>
      </c>
      <c r="D34" s="59" t="s">
        <v>778</v>
      </c>
      <c r="E34" s="59"/>
      <c r="F34" s="61"/>
      <c r="G34" s="55"/>
      <c r="J34" s="60" t="s">
        <v>22</v>
      </c>
      <c r="K34" s="59" t="s">
        <v>781</v>
      </c>
      <c r="L34" s="59"/>
      <c r="M34" s="58"/>
    </row>
    <row r="35" spans="1:21" ht="16.5" thickBot="1">
      <c r="A35" s="41"/>
      <c r="B35" s="57"/>
      <c r="C35" s="37" t="s">
        <v>21</v>
      </c>
      <c r="D35" s="54" t="s">
        <v>779</v>
      </c>
      <c r="E35" s="54"/>
      <c r="F35" s="56"/>
      <c r="G35" s="55"/>
      <c r="H35" s="38"/>
      <c r="I35" s="38"/>
      <c r="J35" s="37" t="s">
        <v>21</v>
      </c>
      <c r="K35" s="54" t="s">
        <v>782</v>
      </c>
      <c r="L35" s="54"/>
      <c r="M35" s="53"/>
    </row>
    <row r="36" spans="1:21" ht="16.5" thickBot="1"/>
    <row r="37" spans="1:21" ht="16.5" thickBot="1">
      <c r="A37" s="52" t="s">
        <v>20</v>
      </c>
      <c r="B37" s="51"/>
      <c r="C37" s="51"/>
      <c r="D37" s="51"/>
      <c r="E37" s="51"/>
      <c r="F37" s="51"/>
      <c r="G37" s="51"/>
      <c r="H37" s="51"/>
      <c r="I37" s="51"/>
      <c r="J37" s="51"/>
      <c r="K37" s="51"/>
      <c r="L37" s="51"/>
      <c r="M37" s="50"/>
      <c r="P37" s="10"/>
      <c r="Q37" s="10"/>
      <c r="R37" s="10"/>
      <c r="S37" s="10"/>
      <c r="T37" s="10"/>
      <c r="U37" s="10"/>
    </row>
    <row r="38" spans="1:21" ht="16.5" thickTop="1">
      <c r="A38" s="49"/>
      <c r="B38" s="48"/>
      <c r="C38" s="47" t="s">
        <v>19</v>
      </c>
      <c r="D38" s="46" t="s">
        <v>18</v>
      </c>
      <c r="E38" s="46"/>
      <c r="F38" s="46"/>
      <c r="G38" s="46"/>
      <c r="H38" s="45"/>
      <c r="I38" s="45"/>
      <c r="J38" s="44" t="s">
        <v>17</v>
      </c>
      <c r="K38" s="43" t="s">
        <v>776</v>
      </c>
      <c r="L38" s="43"/>
      <c r="M38" s="42"/>
      <c r="O38" s="34"/>
      <c r="P38" s="34"/>
      <c r="Q38" s="34"/>
      <c r="R38" s="10"/>
      <c r="S38" s="10"/>
      <c r="T38" s="10"/>
      <c r="U38" s="10"/>
    </row>
    <row r="39" spans="1:21" ht="16.5" thickBot="1">
      <c r="A39" s="41"/>
      <c r="B39" s="38"/>
      <c r="C39" s="40" t="s">
        <v>16</v>
      </c>
      <c r="D39" s="39" t="s">
        <v>15</v>
      </c>
      <c r="E39" s="39"/>
      <c r="F39" s="39"/>
      <c r="G39" s="39"/>
      <c r="H39" s="38"/>
      <c r="I39" s="38"/>
      <c r="J39" s="37" t="s">
        <v>14</v>
      </c>
      <c r="K39" s="36" t="s">
        <v>4</v>
      </c>
      <c r="L39" s="36"/>
      <c r="M39" s="35"/>
      <c r="O39" s="34"/>
      <c r="P39" s="34"/>
      <c r="Q39" s="34"/>
      <c r="R39" s="10"/>
      <c r="S39" s="10"/>
      <c r="T39" s="10"/>
      <c r="U39" s="10"/>
    </row>
    <row r="40" spans="1:21" ht="16.5" thickBot="1">
      <c r="A40" s="30"/>
      <c r="B40" s="30"/>
      <c r="C40" s="30"/>
      <c r="D40" s="33" t="s">
        <v>13</v>
      </c>
      <c r="E40" s="32"/>
      <c r="F40" s="32"/>
      <c r="G40" s="32"/>
      <c r="H40" s="32"/>
      <c r="I40" s="32"/>
      <c r="J40" s="31"/>
      <c r="K40" s="30"/>
      <c r="L40" s="30"/>
      <c r="M40" s="30"/>
      <c r="O40"/>
      <c r="P40"/>
      <c r="Q40"/>
      <c r="R40"/>
      <c r="S40"/>
      <c r="T40" s="10"/>
      <c r="U40" s="10"/>
    </row>
    <row r="41" spans="1:21">
      <c r="D41" s="29" t="s">
        <v>12</v>
      </c>
      <c r="E41" s="28"/>
      <c r="F41" s="27"/>
      <c r="G41" s="26" t="s">
        <v>11</v>
      </c>
      <c r="H41" s="25" t="s">
        <v>10</v>
      </c>
      <c r="I41" s="24" t="s">
        <v>9</v>
      </c>
      <c r="J41" s="23">
        <v>1.1499999999999999</v>
      </c>
      <c r="O41"/>
      <c r="P41"/>
      <c r="Q41"/>
      <c r="R41"/>
      <c r="S41"/>
      <c r="T41" s="10"/>
      <c r="U41" s="10"/>
    </row>
    <row r="42" spans="1:21">
      <c r="D42" s="22" t="s">
        <v>8</v>
      </c>
      <c r="E42" s="21"/>
      <c r="F42" s="20"/>
      <c r="G42" s="19">
        <v>261.8</v>
      </c>
      <c r="H42" s="18">
        <v>374.4</v>
      </c>
      <c r="I42" s="18">
        <v>493</v>
      </c>
      <c r="J42" s="17" t="s">
        <v>4</v>
      </c>
      <c r="O42"/>
      <c r="P42"/>
      <c r="Q42"/>
      <c r="R42"/>
      <c r="S42"/>
      <c r="T42" s="10"/>
      <c r="U42" s="10"/>
    </row>
    <row r="43" spans="1:21">
      <c r="D43" s="22" t="s">
        <v>7</v>
      </c>
      <c r="E43" s="21"/>
      <c r="F43" s="20"/>
      <c r="G43" s="19">
        <v>95.5</v>
      </c>
      <c r="H43" s="18">
        <v>96.2</v>
      </c>
      <c r="I43" s="18">
        <v>96.4</v>
      </c>
      <c r="J43" s="17" t="s">
        <v>4</v>
      </c>
      <c r="O43"/>
      <c r="P43"/>
      <c r="Q43"/>
      <c r="R43"/>
      <c r="S43"/>
      <c r="T43" s="10"/>
      <c r="U43" s="10"/>
    </row>
    <row r="44" spans="1:21">
      <c r="D44" s="22" t="s">
        <v>6</v>
      </c>
      <c r="E44" s="21"/>
      <c r="F44" s="20"/>
      <c r="G44" s="19">
        <v>86.1</v>
      </c>
      <c r="H44" s="18">
        <v>89.6</v>
      </c>
      <c r="I44" s="18">
        <v>90.7</v>
      </c>
      <c r="J44" s="17" t="s">
        <v>4</v>
      </c>
      <c r="O44"/>
      <c r="P44"/>
      <c r="Q44"/>
      <c r="R44"/>
      <c r="S44"/>
      <c r="T44" s="10"/>
      <c r="U44" s="10"/>
    </row>
    <row r="45" spans="1:21" ht="16.5" thickBot="1">
      <c r="D45" s="16" t="s">
        <v>5</v>
      </c>
      <c r="E45" s="15"/>
      <c r="F45" s="14"/>
      <c r="G45" s="13" t="s">
        <v>4</v>
      </c>
      <c r="H45" s="12" t="s">
        <v>4</v>
      </c>
      <c r="I45" s="12" t="s">
        <v>4</v>
      </c>
      <c r="J45" s="11" t="s">
        <v>4</v>
      </c>
      <c r="O45"/>
      <c r="P45"/>
      <c r="Q45"/>
      <c r="R45"/>
      <c r="S45"/>
      <c r="T45" s="10"/>
      <c r="U45" s="10"/>
    </row>
    <row r="46" spans="1:21">
      <c r="A46" s="9" t="s">
        <v>3</v>
      </c>
      <c r="B46" s="9"/>
      <c r="C46" s="9"/>
      <c r="D46" s="9"/>
      <c r="E46" s="9"/>
      <c r="F46" s="9"/>
      <c r="G46" s="9"/>
      <c r="H46" s="9"/>
      <c r="I46" s="9"/>
      <c r="J46" s="9"/>
      <c r="K46" s="9"/>
      <c r="L46" s="9"/>
      <c r="M46" s="9"/>
      <c r="O46"/>
      <c r="P46"/>
      <c r="Q46"/>
      <c r="R46"/>
      <c r="S46"/>
    </row>
    <row r="47" spans="1:21">
      <c r="O47"/>
      <c r="P47"/>
      <c r="Q47"/>
      <c r="R47"/>
      <c r="S47"/>
    </row>
    <row r="48" spans="1:21">
      <c r="J48" s="6" t="s">
        <v>2</v>
      </c>
      <c r="K48" s="8" t="str">
        <f>'[1]Circuit Param.'!J40</f>
        <v>JERRY R</v>
      </c>
      <c r="L48" s="8"/>
      <c r="M48" s="8"/>
    </row>
    <row r="49" spans="1:13">
      <c r="K49" s="7"/>
      <c r="L49" s="7"/>
      <c r="M49" s="7"/>
    </row>
    <row r="50" spans="1:13">
      <c r="J50" s="6" t="s">
        <v>1</v>
      </c>
      <c r="K50" s="5">
        <v>45853</v>
      </c>
      <c r="L50" s="5"/>
      <c r="M50" s="5"/>
    </row>
    <row r="52" spans="1:13">
      <c r="A52" s="4"/>
    </row>
    <row r="53" spans="1:13">
      <c r="A53" s="3" t="s">
        <v>0</v>
      </c>
    </row>
    <row r="54" spans="1:13">
      <c r="A54" s="2"/>
    </row>
    <row r="55" spans="1:13">
      <c r="D55"/>
      <c r="E55"/>
      <c r="F55"/>
      <c r="G55"/>
      <c r="H55"/>
      <c r="I55"/>
      <c r="J55"/>
    </row>
    <row r="56" spans="1:13">
      <c r="D56"/>
      <c r="E56"/>
      <c r="F56"/>
      <c r="G56"/>
      <c r="H56"/>
      <c r="I56"/>
      <c r="J56"/>
    </row>
    <row r="57" spans="1:13">
      <c r="D57"/>
      <c r="E57"/>
      <c r="F57"/>
      <c r="G57"/>
      <c r="H57"/>
      <c r="I57"/>
      <c r="J57"/>
    </row>
    <row r="58" spans="1:13">
      <c r="D58"/>
      <c r="E58"/>
      <c r="F58"/>
      <c r="G58"/>
      <c r="H58"/>
      <c r="I58"/>
      <c r="J58"/>
    </row>
    <row r="59" spans="1:13">
      <c r="D59"/>
      <c r="E59"/>
      <c r="F59"/>
      <c r="G59"/>
      <c r="H59"/>
      <c r="I59"/>
      <c r="J59"/>
    </row>
    <row r="60" spans="1:13">
      <c r="D60"/>
      <c r="E60"/>
      <c r="F60"/>
      <c r="G60"/>
      <c r="H60"/>
      <c r="I60"/>
      <c r="J60"/>
    </row>
    <row r="61" spans="1:13">
      <c r="D61"/>
      <c r="E61"/>
      <c r="F61"/>
      <c r="G61"/>
      <c r="H61"/>
      <c r="I61"/>
      <c r="J61"/>
    </row>
    <row r="62" spans="1:13">
      <c r="D62"/>
      <c r="E62"/>
      <c r="F62"/>
      <c r="G62"/>
      <c r="H62"/>
      <c r="I62"/>
      <c r="J62"/>
    </row>
    <row r="63" spans="1:13">
      <c r="D63"/>
      <c r="E63"/>
      <c r="F63"/>
      <c r="G63"/>
      <c r="H63"/>
      <c r="I63"/>
      <c r="J63"/>
    </row>
  </sheetData>
  <mergeCells count="38">
    <mergeCell ref="D45:F45"/>
    <mergeCell ref="A46:M46"/>
    <mergeCell ref="D38:G38"/>
    <mergeCell ref="K38:M38"/>
    <mergeCell ref="D39:G39"/>
    <mergeCell ref="K39:M39"/>
    <mergeCell ref="K48:M48"/>
    <mergeCell ref="K50:M50"/>
    <mergeCell ref="D41:F41"/>
    <mergeCell ref="D42:F42"/>
    <mergeCell ref="D43:F43"/>
    <mergeCell ref="D44:F44"/>
    <mergeCell ref="D32:F32"/>
    <mergeCell ref="K32:M32"/>
    <mergeCell ref="D40:J40"/>
    <mergeCell ref="D33:F33"/>
    <mergeCell ref="K33:M33"/>
    <mergeCell ref="D34:F34"/>
    <mergeCell ref="K34:M34"/>
    <mergeCell ref="D35:F35"/>
    <mergeCell ref="K35:M35"/>
    <mergeCell ref="A37:M37"/>
    <mergeCell ref="K25:M25"/>
    <mergeCell ref="K26:M26"/>
    <mergeCell ref="K28:M28"/>
    <mergeCell ref="A30:M30"/>
    <mergeCell ref="A31:F31"/>
    <mergeCell ref="H31:M31"/>
    <mergeCell ref="K27:M27"/>
    <mergeCell ref="L1:M1"/>
    <mergeCell ref="L3:M3"/>
    <mergeCell ref="L4:M4"/>
    <mergeCell ref="L5:M5"/>
    <mergeCell ref="L6:M6"/>
    <mergeCell ref="L7:M7"/>
    <mergeCell ref="A20:M20"/>
    <mergeCell ref="A24:F24"/>
    <mergeCell ref="H24:M24"/>
  </mergeCells>
  <dataValidations count="3">
    <dataValidation type="list" errorStyle="warning" allowBlank="1" showInputMessage="1" showErrorMessage="1" error="You should choose from the list!" prompt="Choose Enclosure Type" sqref="WVN983054 JB14 SX14 ACT14 AMP14 AWL14 BGH14 BQD14 BZZ14 CJV14 CTR14 DDN14 DNJ14 DXF14 EHB14 EQX14 FAT14 FKP14 FUL14 GEH14 GOD14 GXZ14 HHV14 HRR14 IBN14 ILJ14 IVF14 JFB14 JOX14 JYT14 KIP14 KSL14 LCH14 LMD14 LVZ14 MFV14 MPR14 MZN14 NJJ14 NTF14 ODB14 OMX14 OWT14 PGP14 PQL14 QAH14 QKD14 QTZ14 RDV14 RNR14 RXN14 SHJ14 SRF14 TBB14 TKX14 TUT14 UEP14 UOL14 UYH14 VID14 VRZ14 WBV14 WLR14 WVN14 F65550 JB65550 SX65550 ACT65550 AMP65550 AWL65550 BGH65550 BQD65550 BZZ65550 CJV65550 CTR65550 DDN65550 DNJ65550 DXF65550 EHB65550 EQX65550 FAT65550 FKP65550 FUL65550 GEH65550 GOD65550 GXZ65550 HHV65550 HRR65550 IBN65550 ILJ65550 IVF65550 JFB65550 JOX65550 JYT65550 KIP65550 KSL65550 LCH65550 LMD65550 LVZ65550 MFV65550 MPR65550 MZN65550 NJJ65550 NTF65550 ODB65550 OMX65550 OWT65550 PGP65550 PQL65550 QAH65550 QKD65550 QTZ65550 RDV65550 RNR65550 RXN65550 SHJ65550 SRF65550 TBB65550 TKX65550 TUT65550 UEP65550 UOL65550 UYH65550 VID65550 VRZ65550 WBV65550 WLR65550 WVN65550 F131086 JB131086 SX131086 ACT131086 AMP131086 AWL131086 BGH131086 BQD131086 BZZ131086 CJV131086 CTR131086 DDN131086 DNJ131086 DXF131086 EHB131086 EQX131086 FAT131086 FKP131086 FUL131086 GEH131086 GOD131086 GXZ131086 HHV131086 HRR131086 IBN131086 ILJ131086 IVF131086 JFB131086 JOX131086 JYT131086 KIP131086 KSL131086 LCH131086 LMD131086 LVZ131086 MFV131086 MPR131086 MZN131086 NJJ131086 NTF131086 ODB131086 OMX131086 OWT131086 PGP131086 PQL131086 QAH131086 QKD131086 QTZ131086 RDV131086 RNR131086 RXN131086 SHJ131086 SRF131086 TBB131086 TKX131086 TUT131086 UEP131086 UOL131086 UYH131086 VID131086 VRZ131086 WBV131086 WLR131086 WVN131086 F196622 JB196622 SX196622 ACT196622 AMP196622 AWL196622 BGH196622 BQD196622 BZZ196622 CJV196622 CTR196622 DDN196622 DNJ196622 DXF196622 EHB196622 EQX196622 FAT196622 FKP196622 FUL196622 GEH196622 GOD196622 GXZ196622 HHV196622 HRR196622 IBN196622 ILJ196622 IVF196622 JFB196622 JOX196622 JYT196622 KIP196622 KSL196622 LCH196622 LMD196622 LVZ196622 MFV196622 MPR196622 MZN196622 NJJ196622 NTF196622 ODB196622 OMX196622 OWT196622 PGP196622 PQL196622 QAH196622 QKD196622 QTZ196622 RDV196622 RNR196622 RXN196622 SHJ196622 SRF196622 TBB196622 TKX196622 TUT196622 UEP196622 UOL196622 UYH196622 VID196622 VRZ196622 WBV196622 WLR196622 WVN196622 F262158 JB262158 SX262158 ACT262158 AMP262158 AWL262158 BGH262158 BQD262158 BZZ262158 CJV262158 CTR262158 DDN262158 DNJ262158 DXF262158 EHB262158 EQX262158 FAT262158 FKP262158 FUL262158 GEH262158 GOD262158 GXZ262158 HHV262158 HRR262158 IBN262158 ILJ262158 IVF262158 JFB262158 JOX262158 JYT262158 KIP262158 KSL262158 LCH262158 LMD262158 LVZ262158 MFV262158 MPR262158 MZN262158 NJJ262158 NTF262158 ODB262158 OMX262158 OWT262158 PGP262158 PQL262158 QAH262158 QKD262158 QTZ262158 RDV262158 RNR262158 RXN262158 SHJ262158 SRF262158 TBB262158 TKX262158 TUT262158 UEP262158 UOL262158 UYH262158 VID262158 VRZ262158 WBV262158 WLR262158 WVN262158 F327694 JB327694 SX327694 ACT327694 AMP327694 AWL327694 BGH327694 BQD327694 BZZ327694 CJV327694 CTR327694 DDN327694 DNJ327694 DXF327694 EHB327694 EQX327694 FAT327694 FKP327694 FUL327694 GEH327694 GOD327694 GXZ327694 HHV327694 HRR327694 IBN327694 ILJ327694 IVF327694 JFB327694 JOX327694 JYT327694 KIP327694 KSL327694 LCH327694 LMD327694 LVZ327694 MFV327694 MPR327694 MZN327694 NJJ327694 NTF327694 ODB327694 OMX327694 OWT327694 PGP327694 PQL327694 QAH327694 QKD327694 QTZ327694 RDV327694 RNR327694 RXN327694 SHJ327694 SRF327694 TBB327694 TKX327694 TUT327694 UEP327694 UOL327694 UYH327694 VID327694 VRZ327694 WBV327694 WLR327694 WVN327694 F393230 JB393230 SX393230 ACT393230 AMP393230 AWL393230 BGH393230 BQD393230 BZZ393230 CJV393230 CTR393230 DDN393230 DNJ393230 DXF393230 EHB393230 EQX393230 FAT393230 FKP393230 FUL393230 GEH393230 GOD393230 GXZ393230 HHV393230 HRR393230 IBN393230 ILJ393230 IVF393230 JFB393230 JOX393230 JYT393230 KIP393230 KSL393230 LCH393230 LMD393230 LVZ393230 MFV393230 MPR393230 MZN393230 NJJ393230 NTF393230 ODB393230 OMX393230 OWT393230 PGP393230 PQL393230 QAH393230 QKD393230 QTZ393230 RDV393230 RNR393230 RXN393230 SHJ393230 SRF393230 TBB393230 TKX393230 TUT393230 UEP393230 UOL393230 UYH393230 VID393230 VRZ393230 WBV393230 WLR393230 WVN393230 F458766 JB458766 SX458766 ACT458766 AMP458766 AWL458766 BGH458766 BQD458766 BZZ458766 CJV458766 CTR458766 DDN458766 DNJ458766 DXF458766 EHB458766 EQX458766 FAT458766 FKP458766 FUL458766 GEH458766 GOD458766 GXZ458766 HHV458766 HRR458766 IBN458766 ILJ458766 IVF458766 JFB458766 JOX458766 JYT458766 KIP458766 KSL458766 LCH458766 LMD458766 LVZ458766 MFV458766 MPR458766 MZN458766 NJJ458766 NTF458766 ODB458766 OMX458766 OWT458766 PGP458766 PQL458766 QAH458766 QKD458766 QTZ458766 RDV458766 RNR458766 RXN458766 SHJ458766 SRF458766 TBB458766 TKX458766 TUT458766 UEP458766 UOL458766 UYH458766 VID458766 VRZ458766 WBV458766 WLR458766 WVN458766 F524302 JB524302 SX524302 ACT524302 AMP524302 AWL524302 BGH524302 BQD524302 BZZ524302 CJV524302 CTR524302 DDN524302 DNJ524302 DXF524302 EHB524302 EQX524302 FAT524302 FKP524302 FUL524302 GEH524302 GOD524302 GXZ524302 HHV524302 HRR524302 IBN524302 ILJ524302 IVF524302 JFB524302 JOX524302 JYT524302 KIP524302 KSL524302 LCH524302 LMD524302 LVZ524302 MFV524302 MPR524302 MZN524302 NJJ524302 NTF524302 ODB524302 OMX524302 OWT524302 PGP524302 PQL524302 QAH524302 QKD524302 QTZ524302 RDV524302 RNR524302 RXN524302 SHJ524302 SRF524302 TBB524302 TKX524302 TUT524302 UEP524302 UOL524302 UYH524302 VID524302 VRZ524302 WBV524302 WLR524302 WVN524302 F589838 JB589838 SX589838 ACT589838 AMP589838 AWL589838 BGH589838 BQD589838 BZZ589838 CJV589838 CTR589838 DDN589838 DNJ589838 DXF589838 EHB589838 EQX589838 FAT589838 FKP589838 FUL589838 GEH589838 GOD589838 GXZ589838 HHV589838 HRR589838 IBN589838 ILJ589838 IVF589838 JFB589838 JOX589838 JYT589838 KIP589838 KSL589838 LCH589838 LMD589838 LVZ589838 MFV589838 MPR589838 MZN589838 NJJ589838 NTF589838 ODB589838 OMX589838 OWT589838 PGP589838 PQL589838 QAH589838 QKD589838 QTZ589838 RDV589838 RNR589838 RXN589838 SHJ589838 SRF589838 TBB589838 TKX589838 TUT589838 UEP589838 UOL589838 UYH589838 VID589838 VRZ589838 WBV589838 WLR589838 WVN589838 F655374 JB655374 SX655374 ACT655374 AMP655374 AWL655374 BGH655374 BQD655374 BZZ655374 CJV655374 CTR655374 DDN655374 DNJ655374 DXF655374 EHB655374 EQX655374 FAT655374 FKP655374 FUL655374 GEH655374 GOD655374 GXZ655374 HHV655374 HRR655374 IBN655374 ILJ655374 IVF655374 JFB655374 JOX655374 JYT655374 KIP655374 KSL655374 LCH655374 LMD655374 LVZ655374 MFV655374 MPR655374 MZN655374 NJJ655374 NTF655374 ODB655374 OMX655374 OWT655374 PGP655374 PQL655374 QAH655374 QKD655374 QTZ655374 RDV655374 RNR655374 RXN655374 SHJ655374 SRF655374 TBB655374 TKX655374 TUT655374 UEP655374 UOL655374 UYH655374 VID655374 VRZ655374 WBV655374 WLR655374 WVN655374 F720910 JB720910 SX720910 ACT720910 AMP720910 AWL720910 BGH720910 BQD720910 BZZ720910 CJV720910 CTR720910 DDN720910 DNJ720910 DXF720910 EHB720910 EQX720910 FAT720910 FKP720910 FUL720910 GEH720910 GOD720910 GXZ720910 HHV720910 HRR720910 IBN720910 ILJ720910 IVF720910 JFB720910 JOX720910 JYT720910 KIP720910 KSL720910 LCH720910 LMD720910 LVZ720910 MFV720910 MPR720910 MZN720910 NJJ720910 NTF720910 ODB720910 OMX720910 OWT720910 PGP720910 PQL720910 QAH720910 QKD720910 QTZ720910 RDV720910 RNR720910 RXN720910 SHJ720910 SRF720910 TBB720910 TKX720910 TUT720910 UEP720910 UOL720910 UYH720910 VID720910 VRZ720910 WBV720910 WLR720910 WVN720910 F786446 JB786446 SX786446 ACT786446 AMP786446 AWL786446 BGH786446 BQD786446 BZZ786446 CJV786446 CTR786446 DDN786446 DNJ786446 DXF786446 EHB786446 EQX786446 FAT786446 FKP786446 FUL786446 GEH786446 GOD786446 GXZ786446 HHV786446 HRR786446 IBN786446 ILJ786446 IVF786446 JFB786446 JOX786446 JYT786446 KIP786446 KSL786446 LCH786446 LMD786446 LVZ786446 MFV786446 MPR786446 MZN786446 NJJ786446 NTF786446 ODB786446 OMX786446 OWT786446 PGP786446 PQL786446 QAH786446 QKD786446 QTZ786446 RDV786446 RNR786446 RXN786446 SHJ786446 SRF786446 TBB786446 TKX786446 TUT786446 UEP786446 UOL786446 UYH786446 VID786446 VRZ786446 WBV786446 WLR786446 WVN786446 F851982 JB851982 SX851982 ACT851982 AMP851982 AWL851982 BGH851982 BQD851982 BZZ851982 CJV851982 CTR851982 DDN851982 DNJ851982 DXF851982 EHB851982 EQX851982 FAT851982 FKP851982 FUL851982 GEH851982 GOD851982 GXZ851982 HHV851982 HRR851982 IBN851982 ILJ851982 IVF851982 JFB851982 JOX851982 JYT851982 KIP851982 KSL851982 LCH851982 LMD851982 LVZ851982 MFV851982 MPR851982 MZN851982 NJJ851982 NTF851982 ODB851982 OMX851982 OWT851982 PGP851982 PQL851982 QAH851982 QKD851982 QTZ851982 RDV851982 RNR851982 RXN851982 SHJ851982 SRF851982 TBB851982 TKX851982 TUT851982 UEP851982 UOL851982 UYH851982 VID851982 VRZ851982 WBV851982 WLR851982 WVN851982 F917518 JB917518 SX917518 ACT917518 AMP917518 AWL917518 BGH917518 BQD917518 BZZ917518 CJV917518 CTR917518 DDN917518 DNJ917518 DXF917518 EHB917518 EQX917518 FAT917518 FKP917518 FUL917518 GEH917518 GOD917518 GXZ917518 HHV917518 HRR917518 IBN917518 ILJ917518 IVF917518 JFB917518 JOX917518 JYT917518 KIP917518 KSL917518 LCH917518 LMD917518 LVZ917518 MFV917518 MPR917518 MZN917518 NJJ917518 NTF917518 ODB917518 OMX917518 OWT917518 PGP917518 PQL917518 QAH917518 QKD917518 QTZ917518 RDV917518 RNR917518 RXN917518 SHJ917518 SRF917518 TBB917518 TKX917518 TUT917518 UEP917518 UOL917518 UYH917518 VID917518 VRZ917518 WBV917518 WLR917518 WVN917518 F983054 JB983054 SX983054 ACT983054 AMP983054 AWL983054 BGH983054 BQD983054 BZZ983054 CJV983054 CTR983054 DDN983054 DNJ983054 DXF983054 EHB983054 EQX983054 FAT983054 FKP983054 FUL983054 GEH983054 GOD983054 GXZ983054 HHV983054 HRR983054 IBN983054 ILJ983054 IVF983054 JFB983054 JOX983054 JYT983054 KIP983054 KSL983054 LCH983054 LMD983054 LVZ983054 MFV983054 MPR983054 MZN983054 NJJ983054 NTF983054 ODB983054 OMX983054 OWT983054 PGP983054 PQL983054 QAH983054 QKD983054 QTZ983054 RDV983054 RNR983054 RXN983054 SHJ983054 SRF983054 TBB983054 TKX983054 TUT983054 UEP983054 UOL983054 UYH983054 VID983054 VRZ983054 WBV983054 WLR983054 F14" xr:uid="{00000000-0002-0000-0800-000002000000}">
      <formula1>$A$60:$A$62</formula1>
    </dataValidation>
    <dataValidation type="list" allowBlank="1" showInputMessage="1" showErrorMessage="1" prompt="Pick from list" sqref="WVN983055 JB15 SX15 ACT15 AMP15 AWL15 BGH15 BQD15 BZZ15 CJV15 CTR15 DDN15 DNJ15 DXF15 EHB15 EQX15 FAT15 FKP15 FUL15 GEH15 GOD15 GXZ15 HHV15 HRR15 IBN15 ILJ15 IVF15 JFB15 JOX15 JYT15 KIP15 KSL15 LCH15 LMD15 LVZ15 MFV15 MPR15 MZN15 NJJ15 NTF15 ODB15 OMX15 OWT15 PGP15 PQL15 QAH15 QKD15 QTZ15 RDV15 RNR15 RXN15 SHJ15 SRF15 TBB15 TKX15 TUT15 UEP15 UOL15 UYH15 VID15 VRZ15 WBV15 WLR15 WVN15 F65551 JB65551 SX65551 ACT65551 AMP65551 AWL65551 BGH65551 BQD65551 BZZ65551 CJV65551 CTR65551 DDN65551 DNJ65551 DXF65551 EHB65551 EQX65551 FAT65551 FKP65551 FUL65551 GEH65551 GOD65551 GXZ65551 HHV65551 HRR65551 IBN65551 ILJ65551 IVF65551 JFB65551 JOX65551 JYT65551 KIP65551 KSL65551 LCH65551 LMD65551 LVZ65551 MFV65551 MPR65551 MZN65551 NJJ65551 NTF65551 ODB65551 OMX65551 OWT65551 PGP65551 PQL65551 QAH65551 QKD65551 QTZ65551 RDV65551 RNR65551 RXN65551 SHJ65551 SRF65551 TBB65551 TKX65551 TUT65551 UEP65551 UOL65551 UYH65551 VID65551 VRZ65551 WBV65551 WLR65551 WVN65551 F131087 JB131087 SX131087 ACT131087 AMP131087 AWL131087 BGH131087 BQD131087 BZZ131087 CJV131087 CTR131087 DDN131087 DNJ131087 DXF131087 EHB131087 EQX131087 FAT131087 FKP131087 FUL131087 GEH131087 GOD131087 GXZ131087 HHV131087 HRR131087 IBN131087 ILJ131087 IVF131087 JFB131087 JOX131087 JYT131087 KIP131087 KSL131087 LCH131087 LMD131087 LVZ131087 MFV131087 MPR131087 MZN131087 NJJ131087 NTF131087 ODB131087 OMX131087 OWT131087 PGP131087 PQL131087 QAH131087 QKD131087 QTZ131087 RDV131087 RNR131087 RXN131087 SHJ131087 SRF131087 TBB131087 TKX131087 TUT131087 UEP131087 UOL131087 UYH131087 VID131087 VRZ131087 WBV131087 WLR131087 WVN131087 F196623 JB196623 SX196623 ACT196623 AMP196623 AWL196623 BGH196623 BQD196623 BZZ196623 CJV196623 CTR196623 DDN196623 DNJ196623 DXF196623 EHB196623 EQX196623 FAT196623 FKP196623 FUL196623 GEH196623 GOD196623 GXZ196623 HHV196623 HRR196623 IBN196623 ILJ196623 IVF196623 JFB196623 JOX196623 JYT196623 KIP196623 KSL196623 LCH196623 LMD196623 LVZ196623 MFV196623 MPR196623 MZN196623 NJJ196623 NTF196623 ODB196623 OMX196623 OWT196623 PGP196623 PQL196623 QAH196623 QKD196623 QTZ196623 RDV196623 RNR196623 RXN196623 SHJ196623 SRF196623 TBB196623 TKX196623 TUT196623 UEP196623 UOL196623 UYH196623 VID196623 VRZ196623 WBV196623 WLR196623 WVN196623 F262159 JB262159 SX262159 ACT262159 AMP262159 AWL262159 BGH262159 BQD262159 BZZ262159 CJV262159 CTR262159 DDN262159 DNJ262159 DXF262159 EHB262159 EQX262159 FAT262159 FKP262159 FUL262159 GEH262159 GOD262159 GXZ262159 HHV262159 HRR262159 IBN262159 ILJ262159 IVF262159 JFB262159 JOX262159 JYT262159 KIP262159 KSL262159 LCH262159 LMD262159 LVZ262159 MFV262159 MPR262159 MZN262159 NJJ262159 NTF262159 ODB262159 OMX262159 OWT262159 PGP262159 PQL262159 QAH262159 QKD262159 QTZ262159 RDV262159 RNR262159 RXN262159 SHJ262159 SRF262159 TBB262159 TKX262159 TUT262159 UEP262159 UOL262159 UYH262159 VID262159 VRZ262159 WBV262159 WLR262159 WVN262159 F327695 JB327695 SX327695 ACT327695 AMP327695 AWL327695 BGH327695 BQD327695 BZZ327695 CJV327695 CTR327695 DDN327695 DNJ327695 DXF327695 EHB327695 EQX327695 FAT327695 FKP327695 FUL327695 GEH327695 GOD327695 GXZ327695 HHV327695 HRR327695 IBN327695 ILJ327695 IVF327695 JFB327695 JOX327695 JYT327695 KIP327695 KSL327695 LCH327695 LMD327695 LVZ327695 MFV327695 MPR327695 MZN327695 NJJ327695 NTF327695 ODB327695 OMX327695 OWT327695 PGP327695 PQL327695 QAH327695 QKD327695 QTZ327695 RDV327695 RNR327695 RXN327695 SHJ327695 SRF327695 TBB327695 TKX327695 TUT327695 UEP327695 UOL327695 UYH327695 VID327695 VRZ327695 WBV327695 WLR327695 WVN327695 F393231 JB393231 SX393231 ACT393231 AMP393231 AWL393231 BGH393231 BQD393231 BZZ393231 CJV393231 CTR393231 DDN393231 DNJ393231 DXF393231 EHB393231 EQX393231 FAT393231 FKP393231 FUL393231 GEH393231 GOD393231 GXZ393231 HHV393231 HRR393231 IBN393231 ILJ393231 IVF393231 JFB393231 JOX393231 JYT393231 KIP393231 KSL393231 LCH393231 LMD393231 LVZ393231 MFV393231 MPR393231 MZN393231 NJJ393231 NTF393231 ODB393231 OMX393231 OWT393231 PGP393231 PQL393231 QAH393231 QKD393231 QTZ393231 RDV393231 RNR393231 RXN393231 SHJ393231 SRF393231 TBB393231 TKX393231 TUT393231 UEP393231 UOL393231 UYH393231 VID393231 VRZ393231 WBV393231 WLR393231 WVN393231 F458767 JB458767 SX458767 ACT458767 AMP458767 AWL458767 BGH458767 BQD458767 BZZ458767 CJV458767 CTR458767 DDN458767 DNJ458767 DXF458767 EHB458767 EQX458767 FAT458767 FKP458767 FUL458767 GEH458767 GOD458767 GXZ458767 HHV458767 HRR458767 IBN458767 ILJ458767 IVF458767 JFB458767 JOX458767 JYT458767 KIP458767 KSL458767 LCH458767 LMD458767 LVZ458767 MFV458767 MPR458767 MZN458767 NJJ458767 NTF458767 ODB458767 OMX458767 OWT458767 PGP458767 PQL458767 QAH458767 QKD458767 QTZ458767 RDV458767 RNR458767 RXN458767 SHJ458767 SRF458767 TBB458767 TKX458767 TUT458767 UEP458767 UOL458767 UYH458767 VID458767 VRZ458767 WBV458767 WLR458767 WVN458767 F524303 JB524303 SX524303 ACT524303 AMP524303 AWL524303 BGH524303 BQD524303 BZZ524303 CJV524303 CTR524303 DDN524303 DNJ524303 DXF524303 EHB524303 EQX524303 FAT524303 FKP524303 FUL524303 GEH524303 GOD524303 GXZ524303 HHV524303 HRR524303 IBN524303 ILJ524303 IVF524303 JFB524303 JOX524303 JYT524303 KIP524303 KSL524303 LCH524303 LMD524303 LVZ524303 MFV524303 MPR524303 MZN524303 NJJ524303 NTF524303 ODB524303 OMX524303 OWT524303 PGP524303 PQL524303 QAH524303 QKD524303 QTZ524303 RDV524303 RNR524303 RXN524303 SHJ524303 SRF524303 TBB524303 TKX524303 TUT524303 UEP524303 UOL524303 UYH524303 VID524303 VRZ524303 WBV524303 WLR524303 WVN524303 F589839 JB589839 SX589839 ACT589839 AMP589839 AWL589839 BGH589839 BQD589839 BZZ589839 CJV589839 CTR589839 DDN589839 DNJ589839 DXF589839 EHB589839 EQX589839 FAT589839 FKP589839 FUL589839 GEH589839 GOD589839 GXZ589839 HHV589839 HRR589839 IBN589839 ILJ589839 IVF589839 JFB589839 JOX589839 JYT589839 KIP589839 KSL589839 LCH589839 LMD589839 LVZ589839 MFV589839 MPR589839 MZN589839 NJJ589839 NTF589839 ODB589839 OMX589839 OWT589839 PGP589839 PQL589839 QAH589839 QKD589839 QTZ589839 RDV589839 RNR589839 RXN589839 SHJ589839 SRF589839 TBB589839 TKX589839 TUT589839 UEP589839 UOL589839 UYH589839 VID589839 VRZ589839 WBV589839 WLR589839 WVN589839 F655375 JB655375 SX655375 ACT655375 AMP655375 AWL655375 BGH655375 BQD655375 BZZ655375 CJV655375 CTR655375 DDN655375 DNJ655375 DXF655375 EHB655375 EQX655375 FAT655375 FKP655375 FUL655375 GEH655375 GOD655375 GXZ655375 HHV655375 HRR655375 IBN655375 ILJ655375 IVF655375 JFB655375 JOX655375 JYT655375 KIP655375 KSL655375 LCH655375 LMD655375 LVZ655375 MFV655375 MPR655375 MZN655375 NJJ655375 NTF655375 ODB655375 OMX655375 OWT655375 PGP655375 PQL655375 QAH655375 QKD655375 QTZ655375 RDV655375 RNR655375 RXN655375 SHJ655375 SRF655375 TBB655375 TKX655375 TUT655375 UEP655375 UOL655375 UYH655375 VID655375 VRZ655375 WBV655375 WLR655375 WVN655375 F720911 JB720911 SX720911 ACT720911 AMP720911 AWL720911 BGH720911 BQD720911 BZZ720911 CJV720911 CTR720911 DDN720911 DNJ720911 DXF720911 EHB720911 EQX720911 FAT720911 FKP720911 FUL720911 GEH720911 GOD720911 GXZ720911 HHV720911 HRR720911 IBN720911 ILJ720911 IVF720911 JFB720911 JOX720911 JYT720911 KIP720911 KSL720911 LCH720911 LMD720911 LVZ720911 MFV720911 MPR720911 MZN720911 NJJ720911 NTF720911 ODB720911 OMX720911 OWT720911 PGP720911 PQL720911 QAH720911 QKD720911 QTZ720911 RDV720911 RNR720911 RXN720911 SHJ720911 SRF720911 TBB720911 TKX720911 TUT720911 UEP720911 UOL720911 UYH720911 VID720911 VRZ720911 WBV720911 WLR720911 WVN720911 F786447 JB786447 SX786447 ACT786447 AMP786447 AWL786447 BGH786447 BQD786447 BZZ786447 CJV786447 CTR786447 DDN786447 DNJ786447 DXF786447 EHB786447 EQX786447 FAT786447 FKP786447 FUL786447 GEH786447 GOD786447 GXZ786447 HHV786447 HRR786447 IBN786447 ILJ786447 IVF786447 JFB786447 JOX786447 JYT786447 KIP786447 KSL786447 LCH786447 LMD786447 LVZ786447 MFV786447 MPR786447 MZN786447 NJJ786447 NTF786447 ODB786447 OMX786447 OWT786447 PGP786447 PQL786447 QAH786447 QKD786447 QTZ786447 RDV786447 RNR786447 RXN786447 SHJ786447 SRF786447 TBB786447 TKX786447 TUT786447 UEP786447 UOL786447 UYH786447 VID786447 VRZ786447 WBV786447 WLR786447 WVN786447 F851983 JB851983 SX851983 ACT851983 AMP851983 AWL851983 BGH851983 BQD851983 BZZ851983 CJV851983 CTR851983 DDN851983 DNJ851983 DXF851983 EHB851983 EQX851983 FAT851983 FKP851983 FUL851983 GEH851983 GOD851983 GXZ851983 HHV851983 HRR851983 IBN851983 ILJ851983 IVF851983 JFB851983 JOX851983 JYT851983 KIP851983 KSL851983 LCH851983 LMD851983 LVZ851983 MFV851983 MPR851983 MZN851983 NJJ851983 NTF851983 ODB851983 OMX851983 OWT851983 PGP851983 PQL851983 QAH851983 QKD851983 QTZ851983 RDV851983 RNR851983 RXN851983 SHJ851983 SRF851983 TBB851983 TKX851983 TUT851983 UEP851983 UOL851983 UYH851983 VID851983 VRZ851983 WBV851983 WLR851983 WVN851983 F917519 JB917519 SX917519 ACT917519 AMP917519 AWL917519 BGH917519 BQD917519 BZZ917519 CJV917519 CTR917519 DDN917519 DNJ917519 DXF917519 EHB917519 EQX917519 FAT917519 FKP917519 FUL917519 GEH917519 GOD917519 GXZ917519 HHV917519 HRR917519 IBN917519 ILJ917519 IVF917519 JFB917519 JOX917519 JYT917519 KIP917519 KSL917519 LCH917519 LMD917519 LVZ917519 MFV917519 MPR917519 MZN917519 NJJ917519 NTF917519 ODB917519 OMX917519 OWT917519 PGP917519 PQL917519 QAH917519 QKD917519 QTZ917519 RDV917519 RNR917519 RXN917519 SHJ917519 SRF917519 TBB917519 TKX917519 TUT917519 UEP917519 UOL917519 UYH917519 VID917519 VRZ917519 WBV917519 WLR917519 WVN917519 F983055 JB983055 SX983055 ACT983055 AMP983055 AWL983055 BGH983055 BQD983055 BZZ983055 CJV983055 CTR983055 DDN983055 DNJ983055 DXF983055 EHB983055 EQX983055 FAT983055 FKP983055 FUL983055 GEH983055 GOD983055 GXZ983055 HHV983055 HRR983055 IBN983055 ILJ983055 IVF983055 JFB983055 JOX983055 JYT983055 KIP983055 KSL983055 LCH983055 LMD983055 LVZ983055 MFV983055 MPR983055 MZN983055 NJJ983055 NTF983055 ODB983055 OMX983055 OWT983055 PGP983055 PQL983055 QAH983055 QKD983055 QTZ983055 RDV983055 RNR983055 RXN983055 SHJ983055 SRF983055 TBB983055 TKX983055 TUT983055 UEP983055 UOL983055 UYH983055 VID983055 VRZ983055 WBV983055 WLR983055 F15" xr:uid="{00000000-0002-0000-0800-000001000000}">
      <formula1>$D$60:$D$61</formula1>
    </dataValidation>
    <dataValidation type="list" allowBlank="1" showInputMessage="1" showErrorMessage="1" prompt="Pick one!" sqref="WVQ983055 JE15 TA15 ACW15 AMS15 AWO15 BGK15 BQG15 CAC15 CJY15 CTU15 DDQ15 DNM15 DXI15 EHE15 ERA15 FAW15 FKS15 FUO15 GEK15 GOG15 GYC15 HHY15 HRU15 IBQ15 ILM15 IVI15 JFE15 JPA15 JYW15 KIS15 KSO15 LCK15 LMG15 LWC15 MFY15 MPU15 MZQ15 NJM15 NTI15 ODE15 ONA15 OWW15 PGS15 PQO15 QAK15 QKG15 QUC15 RDY15 RNU15 RXQ15 SHM15 SRI15 TBE15 TLA15 TUW15 UES15 UOO15 UYK15 VIG15 VSC15 WBY15 WLU15 WVQ15 I65551 JE65551 TA65551 ACW65551 AMS65551 AWO65551 BGK65551 BQG65551 CAC65551 CJY65551 CTU65551 DDQ65551 DNM65551 DXI65551 EHE65551 ERA65551 FAW65551 FKS65551 FUO65551 GEK65551 GOG65551 GYC65551 HHY65551 HRU65551 IBQ65551 ILM65551 IVI65551 JFE65551 JPA65551 JYW65551 KIS65551 KSO65551 LCK65551 LMG65551 LWC65551 MFY65551 MPU65551 MZQ65551 NJM65551 NTI65551 ODE65551 ONA65551 OWW65551 PGS65551 PQO65551 QAK65551 QKG65551 QUC65551 RDY65551 RNU65551 RXQ65551 SHM65551 SRI65551 TBE65551 TLA65551 TUW65551 UES65551 UOO65551 UYK65551 VIG65551 VSC65551 WBY65551 WLU65551 WVQ65551 I131087 JE131087 TA131087 ACW131087 AMS131087 AWO131087 BGK131087 BQG131087 CAC131087 CJY131087 CTU131087 DDQ131087 DNM131087 DXI131087 EHE131087 ERA131087 FAW131087 FKS131087 FUO131087 GEK131087 GOG131087 GYC131087 HHY131087 HRU131087 IBQ131087 ILM131087 IVI131087 JFE131087 JPA131087 JYW131087 KIS131087 KSO131087 LCK131087 LMG131087 LWC131087 MFY131087 MPU131087 MZQ131087 NJM131087 NTI131087 ODE131087 ONA131087 OWW131087 PGS131087 PQO131087 QAK131087 QKG131087 QUC131087 RDY131087 RNU131087 RXQ131087 SHM131087 SRI131087 TBE131087 TLA131087 TUW131087 UES131087 UOO131087 UYK131087 VIG131087 VSC131087 WBY131087 WLU131087 WVQ131087 I196623 JE196623 TA196623 ACW196623 AMS196623 AWO196623 BGK196623 BQG196623 CAC196623 CJY196623 CTU196623 DDQ196623 DNM196623 DXI196623 EHE196623 ERA196623 FAW196623 FKS196623 FUO196623 GEK196623 GOG196623 GYC196623 HHY196623 HRU196623 IBQ196623 ILM196623 IVI196623 JFE196623 JPA196623 JYW196623 KIS196623 KSO196623 LCK196623 LMG196623 LWC196623 MFY196623 MPU196623 MZQ196623 NJM196623 NTI196623 ODE196623 ONA196623 OWW196623 PGS196623 PQO196623 QAK196623 QKG196623 QUC196623 RDY196623 RNU196623 RXQ196623 SHM196623 SRI196623 TBE196623 TLA196623 TUW196623 UES196623 UOO196623 UYK196623 VIG196623 VSC196623 WBY196623 WLU196623 WVQ196623 I262159 JE262159 TA262159 ACW262159 AMS262159 AWO262159 BGK262159 BQG262159 CAC262159 CJY262159 CTU262159 DDQ262159 DNM262159 DXI262159 EHE262159 ERA262159 FAW262159 FKS262159 FUO262159 GEK262159 GOG262159 GYC262159 HHY262159 HRU262159 IBQ262159 ILM262159 IVI262159 JFE262159 JPA262159 JYW262159 KIS262159 KSO262159 LCK262159 LMG262159 LWC262159 MFY262159 MPU262159 MZQ262159 NJM262159 NTI262159 ODE262159 ONA262159 OWW262159 PGS262159 PQO262159 QAK262159 QKG262159 QUC262159 RDY262159 RNU262159 RXQ262159 SHM262159 SRI262159 TBE262159 TLA262159 TUW262159 UES262159 UOO262159 UYK262159 VIG262159 VSC262159 WBY262159 WLU262159 WVQ262159 I327695 JE327695 TA327695 ACW327695 AMS327695 AWO327695 BGK327695 BQG327695 CAC327695 CJY327695 CTU327695 DDQ327695 DNM327695 DXI327695 EHE327695 ERA327695 FAW327695 FKS327695 FUO327695 GEK327695 GOG327695 GYC327695 HHY327695 HRU327695 IBQ327695 ILM327695 IVI327695 JFE327695 JPA327695 JYW327695 KIS327695 KSO327695 LCK327695 LMG327695 LWC327695 MFY327695 MPU327695 MZQ327695 NJM327695 NTI327695 ODE327695 ONA327695 OWW327695 PGS327695 PQO327695 QAK327695 QKG327695 QUC327695 RDY327695 RNU327695 RXQ327695 SHM327695 SRI327695 TBE327695 TLA327695 TUW327695 UES327695 UOO327695 UYK327695 VIG327695 VSC327695 WBY327695 WLU327695 WVQ327695 I393231 JE393231 TA393231 ACW393231 AMS393231 AWO393231 BGK393231 BQG393231 CAC393231 CJY393231 CTU393231 DDQ393231 DNM393231 DXI393231 EHE393231 ERA393231 FAW393231 FKS393231 FUO393231 GEK393231 GOG393231 GYC393231 HHY393231 HRU393231 IBQ393231 ILM393231 IVI393231 JFE393231 JPA393231 JYW393231 KIS393231 KSO393231 LCK393231 LMG393231 LWC393231 MFY393231 MPU393231 MZQ393231 NJM393231 NTI393231 ODE393231 ONA393231 OWW393231 PGS393231 PQO393231 QAK393231 QKG393231 QUC393231 RDY393231 RNU393231 RXQ393231 SHM393231 SRI393231 TBE393231 TLA393231 TUW393231 UES393231 UOO393231 UYK393231 VIG393231 VSC393231 WBY393231 WLU393231 WVQ393231 I458767 JE458767 TA458767 ACW458767 AMS458767 AWO458767 BGK458767 BQG458767 CAC458767 CJY458767 CTU458767 DDQ458767 DNM458767 DXI458767 EHE458767 ERA458767 FAW458767 FKS458767 FUO458767 GEK458767 GOG458767 GYC458767 HHY458767 HRU458767 IBQ458767 ILM458767 IVI458767 JFE458767 JPA458767 JYW458767 KIS458767 KSO458767 LCK458767 LMG458767 LWC458767 MFY458767 MPU458767 MZQ458767 NJM458767 NTI458767 ODE458767 ONA458767 OWW458767 PGS458767 PQO458767 QAK458767 QKG458767 QUC458767 RDY458767 RNU458767 RXQ458767 SHM458767 SRI458767 TBE458767 TLA458767 TUW458767 UES458767 UOO458767 UYK458767 VIG458767 VSC458767 WBY458767 WLU458767 WVQ458767 I524303 JE524303 TA524303 ACW524303 AMS524303 AWO524303 BGK524303 BQG524303 CAC524303 CJY524303 CTU524303 DDQ524303 DNM524303 DXI524303 EHE524303 ERA524303 FAW524303 FKS524303 FUO524303 GEK524303 GOG524303 GYC524303 HHY524303 HRU524303 IBQ524303 ILM524303 IVI524303 JFE524303 JPA524303 JYW524303 KIS524303 KSO524303 LCK524303 LMG524303 LWC524303 MFY524303 MPU524303 MZQ524303 NJM524303 NTI524303 ODE524303 ONA524303 OWW524303 PGS524303 PQO524303 QAK524303 QKG524303 QUC524303 RDY524303 RNU524303 RXQ524303 SHM524303 SRI524303 TBE524303 TLA524303 TUW524303 UES524303 UOO524303 UYK524303 VIG524303 VSC524303 WBY524303 WLU524303 WVQ524303 I589839 JE589839 TA589839 ACW589839 AMS589839 AWO589839 BGK589839 BQG589839 CAC589839 CJY589839 CTU589839 DDQ589839 DNM589839 DXI589839 EHE589839 ERA589839 FAW589839 FKS589839 FUO589839 GEK589839 GOG589839 GYC589839 HHY589839 HRU589839 IBQ589839 ILM589839 IVI589839 JFE589839 JPA589839 JYW589839 KIS589839 KSO589839 LCK589839 LMG589839 LWC589839 MFY589839 MPU589839 MZQ589839 NJM589839 NTI589839 ODE589839 ONA589839 OWW589839 PGS589839 PQO589839 QAK589839 QKG589839 QUC589839 RDY589839 RNU589839 RXQ589839 SHM589839 SRI589839 TBE589839 TLA589839 TUW589839 UES589839 UOO589839 UYK589839 VIG589839 VSC589839 WBY589839 WLU589839 WVQ589839 I655375 JE655375 TA655375 ACW655375 AMS655375 AWO655375 BGK655375 BQG655375 CAC655375 CJY655375 CTU655375 DDQ655375 DNM655375 DXI655375 EHE655375 ERA655375 FAW655375 FKS655375 FUO655375 GEK655375 GOG655375 GYC655375 HHY655375 HRU655375 IBQ655375 ILM655375 IVI655375 JFE655375 JPA655375 JYW655375 KIS655375 KSO655375 LCK655375 LMG655375 LWC655375 MFY655375 MPU655375 MZQ655375 NJM655375 NTI655375 ODE655375 ONA655375 OWW655375 PGS655375 PQO655375 QAK655375 QKG655375 QUC655375 RDY655375 RNU655375 RXQ655375 SHM655375 SRI655375 TBE655375 TLA655375 TUW655375 UES655375 UOO655375 UYK655375 VIG655375 VSC655375 WBY655375 WLU655375 WVQ655375 I720911 JE720911 TA720911 ACW720911 AMS720911 AWO720911 BGK720911 BQG720911 CAC720911 CJY720911 CTU720911 DDQ720911 DNM720911 DXI720911 EHE720911 ERA720911 FAW720911 FKS720911 FUO720911 GEK720911 GOG720911 GYC720911 HHY720911 HRU720911 IBQ720911 ILM720911 IVI720911 JFE720911 JPA720911 JYW720911 KIS720911 KSO720911 LCK720911 LMG720911 LWC720911 MFY720911 MPU720911 MZQ720911 NJM720911 NTI720911 ODE720911 ONA720911 OWW720911 PGS720911 PQO720911 QAK720911 QKG720911 QUC720911 RDY720911 RNU720911 RXQ720911 SHM720911 SRI720911 TBE720911 TLA720911 TUW720911 UES720911 UOO720911 UYK720911 VIG720911 VSC720911 WBY720911 WLU720911 WVQ720911 I786447 JE786447 TA786447 ACW786447 AMS786447 AWO786447 BGK786447 BQG786447 CAC786447 CJY786447 CTU786447 DDQ786447 DNM786447 DXI786447 EHE786447 ERA786447 FAW786447 FKS786447 FUO786447 GEK786447 GOG786447 GYC786447 HHY786447 HRU786447 IBQ786447 ILM786447 IVI786447 JFE786447 JPA786447 JYW786447 KIS786447 KSO786447 LCK786447 LMG786447 LWC786447 MFY786447 MPU786447 MZQ786447 NJM786447 NTI786447 ODE786447 ONA786447 OWW786447 PGS786447 PQO786447 QAK786447 QKG786447 QUC786447 RDY786447 RNU786447 RXQ786447 SHM786447 SRI786447 TBE786447 TLA786447 TUW786447 UES786447 UOO786447 UYK786447 VIG786447 VSC786447 WBY786447 WLU786447 WVQ786447 I851983 JE851983 TA851983 ACW851983 AMS851983 AWO851983 BGK851983 BQG851983 CAC851983 CJY851983 CTU851983 DDQ851983 DNM851983 DXI851983 EHE851983 ERA851983 FAW851983 FKS851983 FUO851983 GEK851983 GOG851983 GYC851983 HHY851983 HRU851983 IBQ851983 ILM851983 IVI851983 JFE851983 JPA851983 JYW851983 KIS851983 KSO851983 LCK851983 LMG851983 LWC851983 MFY851983 MPU851983 MZQ851983 NJM851983 NTI851983 ODE851983 ONA851983 OWW851983 PGS851983 PQO851983 QAK851983 QKG851983 QUC851983 RDY851983 RNU851983 RXQ851983 SHM851983 SRI851983 TBE851983 TLA851983 TUW851983 UES851983 UOO851983 UYK851983 VIG851983 VSC851983 WBY851983 WLU851983 WVQ851983 I917519 JE917519 TA917519 ACW917519 AMS917519 AWO917519 BGK917519 BQG917519 CAC917519 CJY917519 CTU917519 DDQ917519 DNM917519 DXI917519 EHE917519 ERA917519 FAW917519 FKS917519 FUO917519 GEK917519 GOG917519 GYC917519 HHY917519 HRU917519 IBQ917519 ILM917519 IVI917519 JFE917519 JPA917519 JYW917519 KIS917519 KSO917519 LCK917519 LMG917519 LWC917519 MFY917519 MPU917519 MZQ917519 NJM917519 NTI917519 ODE917519 ONA917519 OWW917519 PGS917519 PQO917519 QAK917519 QKG917519 QUC917519 RDY917519 RNU917519 RXQ917519 SHM917519 SRI917519 TBE917519 TLA917519 TUW917519 UES917519 UOO917519 UYK917519 VIG917519 VSC917519 WBY917519 WLU917519 WVQ917519 I983055 JE983055 TA983055 ACW983055 AMS983055 AWO983055 BGK983055 BQG983055 CAC983055 CJY983055 CTU983055 DDQ983055 DNM983055 DXI983055 EHE983055 ERA983055 FAW983055 FKS983055 FUO983055 GEK983055 GOG983055 GYC983055 HHY983055 HRU983055 IBQ983055 ILM983055 IVI983055 JFE983055 JPA983055 JYW983055 KIS983055 KSO983055 LCK983055 LMG983055 LWC983055 MFY983055 MPU983055 MZQ983055 NJM983055 NTI983055 ODE983055 ONA983055 OWW983055 PGS983055 PQO983055 QAK983055 QKG983055 QUC983055 RDY983055 RNU983055 RXQ983055 SHM983055 SRI983055 TBE983055 TLA983055 TUW983055 UES983055 UOO983055 UYK983055 VIG983055 VSC983055 WBY983055 WLU983055 I15" xr:uid="{00000000-0002-0000-0800-000000000000}">
      <formula1>$E$60:$E$62</formula1>
    </dataValidation>
  </dataValidations>
  <printOptions horizontalCentered="1" gridLinesSet="0"/>
  <pageMargins left="0.5" right="0.5" top="0.5" bottom="0.5" header="0.5" footer="0.5"/>
  <pageSetup scale="89" orientation="portrait"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A551-A843-4A91-9884-083A9E7CAE2C}">
  <sheetPr syncVertical="1" syncRef="A14" transitionEvaluation="1"/>
  <dimension ref="A1:AB45"/>
  <sheetViews>
    <sheetView showGridLines="0" topLeftCell="A14" zoomScale="75" zoomScaleNormal="75" workbookViewId="0">
      <selection activeCell="F39" sqref="F39"/>
    </sheetView>
  </sheetViews>
  <sheetFormatPr defaultColWidth="9.7109375" defaultRowHeight="12.75"/>
  <cols>
    <col min="1" max="13" width="6.5703125" style="148" customWidth="1"/>
    <col min="14" max="14" width="6.42578125" style="148" customWidth="1"/>
    <col min="15" max="256" width="9.7109375" style="148"/>
    <col min="257" max="269" width="6.5703125" style="148" customWidth="1"/>
    <col min="270" max="270" width="6.42578125" style="148" customWidth="1"/>
    <col min="271" max="512" width="9.7109375" style="148"/>
    <col min="513" max="525" width="6.5703125" style="148" customWidth="1"/>
    <col min="526" max="526" width="6.42578125" style="148" customWidth="1"/>
    <col min="527" max="768" width="9.7109375" style="148"/>
    <col min="769" max="781" width="6.5703125" style="148" customWidth="1"/>
    <col min="782" max="782" width="6.42578125" style="148" customWidth="1"/>
    <col min="783" max="1024" width="9.7109375" style="148"/>
    <col min="1025" max="1037" width="6.5703125" style="148" customWidth="1"/>
    <col min="1038" max="1038" width="6.42578125" style="148" customWidth="1"/>
    <col min="1039" max="1280" width="9.7109375" style="148"/>
    <col min="1281" max="1293" width="6.5703125" style="148" customWidth="1"/>
    <col min="1294" max="1294" width="6.42578125" style="148" customWidth="1"/>
    <col min="1295" max="1536" width="9.7109375" style="148"/>
    <col min="1537" max="1549" width="6.5703125" style="148" customWidth="1"/>
    <col min="1550" max="1550" width="6.42578125" style="148" customWidth="1"/>
    <col min="1551" max="1792" width="9.7109375" style="148"/>
    <col min="1793" max="1805" width="6.5703125" style="148" customWidth="1"/>
    <col min="1806" max="1806" width="6.42578125" style="148" customWidth="1"/>
    <col min="1807" max="2048" width="9.7109375" style="148"/>
    <col min="2049" max="2061" width="6.5703125" style="148" customWidth="1"/>
    <col min="2062" max="2062" width="6.42578125" style="148" customWidth="1"/>
    <col min="2063" max="2304" width="9.7109375" style="148"/>
    <col min="2305" max="2317" width="6.5703125" style="148" customWidth="1"/>
    <col min="2318" max="2318" width="6.42578125" style="148" customWidth="1"/>
    <col min="2319" max="2560" width="9.7109375" style="148"/>
    <col min="2561" max="2573" width="6.5703125" style="148" customWidth="1"/>
    <col min="2574" max="2574" width="6.42578125" style="148" customWidth="1"/>
    <col min="2575" max="2816" width="9.7109375" style="148"/>
    <col min="2817" max="2829" width="6.5703125" style="148" customWidth="1"/>
    <col min="2830" max="2830" width="6.42578125" style="148" customWidth="1"/>
    <col min="2831" max="3072" width="9.7109375" style="148"/>
    <col min="3073" max="3085" width="6.5703125" style="148" customWidth="1"/>
    <col min="3086" max="3086" width="6.42578125" style="148" customWidth="1"/>
    <col min="3087" max="3328" width="9.7109375" style="148"/>
    <col min="3329" max="3341" width="6.5703125" style="148" customWidth="1"/>
    <col min="3342" max="3342" width="6.42578125" style="148" customWidth="1"/>
    <col min="3343" max="3584" width="9.7109375" style="148"/>
    <col min="3585" max="3597" width="6.5703125" style="148" customWidth="1"/>
    <col min="3598" max="3598" width="6.42578125" style="148" customWidth="1"/>
    <col min="3599" max="3840" width="9.7109375" style="148"/>
    <col min="3841" max="3853" width="6.5703125" style="148" customWidth="1"/>
    <col min="3854" max="3854" width="6.42578125" style="148" customWidth="1"/>
    <col min="3855" max="4096" width="9.7109375" style="148"/>
    <col min="4097" max="4109" width="6.5703125" style="148" customWidth="1"/>
    <col min="4110" max="4110" width="6.42578125" style="148" customWidth="1"/>
    <col min="4111" max="4352" width="9.7109375" style="148"/>
    <col min="4353" max="4365" width="6.5703125" style="148" customWidth="1"/>
    <col min="4366" max="4366" width="6.42578125" style="148" customWidth="1"/>
    <col min="4367" max="4608" width="9.7109375" style="148"/>
    <col min="4609" max="4621" width="6.5703125" style="148" customWidth="1"/>
    <col min="4622" max="4622" width="6.42578125" style="148" customWidth="1"/>
    <col min="4623" max="4864" width="9.7109375" style="148"/>
    <col min="4865" max="4877" width="6.5703125" style="148" customWidth="1"/>
    <col min="4878" max="4878" width="6.42578125" style="148" customWidth="1"/>
    <col min="4879" max="5120" width="9.7109375" style="148"/>
    <col min="5121" max="5133" width="6.5703125" style="148" customWidth="1"/>
    <col min="5134" max="5134" width="6.42578125" style="148" customWidth="1"/>
    <col min="5135" max="5376" width="9.7109375" style="148"/>
    <col min="5377" max="5389" width="6.5703125" style="148" customWidth="1"/>
    <col min="5390" max="5390" width="6.42578125" style="148" customWidth="1"/>
    <col min="5391" max="5632" width="9.7109375" style="148"/>
    <col min="5633" max="5645" width="6.5703125" style="148" customWidth="1"/>
    <col min="5646" max="5646" width="6.42578125" style="148" customWidth="1"/>
    <col min="5647" max="5888" width="9.7109375" style="148"/>
    <col min="5889" max="5901" width="6.5703125" style="148" customWidth="1"/>
    <col min="5902" max="5902" width="6.42578125" style="148" customWidth="1"/>
    <col min="5903" max="6144" width="9.7109375" style="148"/>
    <col min="6145" max="6157" width="6.5703125" style="148" customWidth="1"/>
    <col min="6158" max="6158" width="6.42578125" style="148" customWidth="1"/>
    <col min="6159" max="6400" width="9.7109375" style="148"/>
    <col min="6401" max="6413" width="6.5703125" style="148" customWidth="1"/>
    <col min="6414" max="6414" width="6.42578125" style="148" customWidth="1"/>
    <col min="6415" max="6656" width="9.7109375" style="148"/>
    <col min="6657" max="6669" width="6.5703125" style="148" customWidth="1"/>
    <col min="6670" max="6670" width="6.42578125" style="148" customWidth="1"/>
    <col min="6671" max="6912" width="9.7109375" style="148"/>
    <col min="6913" max="6925" width="6.5703125" style="148" customWidth="1"/>
    <col min="6926" max="6926" width="6.42578125" style="148" customWidth="1"/>
    <col min="6927" max="7168" width="9.7109375" style="148"/>
    <col min="7169" max="7181" width="6.5703125" style="148" customWidth="1"/>
    <col min="7182" max="7182" width="6.42578125" style="148" customWidth="1"/>
    <col min="7183" max="7424" width="9.7109375" style="148"/>
    <col min="7425" max="7437" width="6.5703125" style="148" customWidth="1"/>
    <col min="7438" max="7438" width="6.42578125" style="148" customWidth="1"/>
    <col min="7439" max="7680" width="9.7109375" style="148"/>
    <col min="7681" max="7693" width="6.5703125" style="148" customWidth="1"/>
    <col min="7694" max="7694" width="6.42578125" style="148" customWidth="1"/>
    <col min="7695" max="7936" width="9.7109375" style="148"/>
    <col min="7937" max="7949" width="6.5703125" style="148" customWidth="1"/>
    <col min="7950" max="7950" width="6.42578125" style="148" customWidth="1"/>
    <col min="7951" max="8192" width="9.7109375" style="148"/>
    <col min="8193" max="8205" width="6.5703125" style="148" customWidth="1"/>
    <col min="8206" max="8206" width="6.42578125" style="148" customWidth="1"/>
    <col min="8207" max="8448" width="9.7109375" style="148"/>
    <col min="8449" max="8461" width="6.5703125" style="148" customWidth="1"/>
    <col min="8462" max="8462" width="6.42578125" style="148" customWidth="1"/>
    <col min="8463" max="8704" width="9.7109375" style="148"/>
    <col min="8705" max="8717" width="6.5703125" style="148" customWidth="1"/>
    <col min="8718" max="8718" width="6.42578125" style="148" customWidth="1"/>
    <col min="8719" max="8960" width="9.7109375" style="148"/>
    <col min="8961" max="8973" width="6.5703125" style="148" customWidth="1"/>
    <col min="8974" max="8974" width="6.42578125" style="148" customWidth="1"/>
    <col min="8975" max="9216" width="9.7109375" style="148"/>
    <col min="9217" max="9229" width="6.5703125" style="148" customWidth="1"/>
    <col min="9230" max="9230" width="6.42578125" style="148" customWidth="1"/>
    <col min="9231" max="9472" width="9.7109375" style="148"/>
    <col min="9473" max="9485" width="6.5703125" style="148" customWidth="1"/>
    <col min="9486" max="9486" width="6.42578125" style="148" customWidth="1"/>
    <col min="9487" max="9728" width="9.7109375" style="148"/>
    <col min="9729" max="9741" width="6.5703125" style="148" customWidth="1"/>
    <col min="9742" max="9742" width="6.42578125" style="148" customWidth="1"/>
    <col min="9743" max="9984" width="9.7109375" style="148"/>
    <col min="9985" max="9997" width="6.5703125" style="148" customWidth="1"/>
    <col min="9998" max="9998" width="6.42578125" style="148" customWidth="1"/>
    <col min="9999" max="10240" width="9.7109375" style="148"/>
    <col min="10241" max="10253" width="6.5703125" style="148" customWidth="1"/>
    <col min="10254" max="10254" width="6.42578125" style="148" customWidth="1"/>
    <col min="10255" max="10496" width="9.7109375" style="148"/>
    <col min="10497" max="10509" width="6.5703125" style="148" customWidth="1"/>
    <col min="10510" max="10510" width="6.42578125" style="148" customWidth="1"/>
    <col min="10511" max="10752" width="9.7109375" style="148"/>
    <col min="10753" max="10765" width="6.5703125" style="148" customWidth="1"/>
    <col min="10766" max="10766" width="6.42578125" style="148" customWidth="1"/>
    <col min="10767" max="11008" width="9.7109375" style="148"/>
    <col min="11009" max="11021" width="6.5703125" style="148" customWidth="1"/>
    <col min="11022" max="11022" width="6.42578125" style="148" customWidth="1"/>
    <col min="11023" max="11264" width="9.7109375" style="148"/>
    <col min="11265" max="11277" width="6.5703125" style="148" customWidth="1"/>
    <col min="11278" max="11278" width="6.42578125" style="148" customWidth="1"/>
    <col min="11279" max="11520" width="9.7109375" style="148"/>
    <col min="11521" max="11533" width="6.5703125" style="148" customWidth="1"/>
    <col min="11534" max="11534" width="6.42578125" style="148" customWidth="1"/>
    <col min="11535" max="11776" width="9.7109375" style="148"/>
    <col min="11777" max="11789" width="6.5703125" style="148" customWidth="1"/>
    <col min="11790" max="11790" width="6.42578125" style="148" customWidth="1"/>
    <col min="11791" max="12032" width="9.7109375" style="148"/>
    <col min="12033" max="12045" width="6.5703125" style="148" customWidth="1"/>
    <col min="12046" max="12046" width="6.42578125" style="148" customWidth="1"/>
    <col min="12047" max="12288" width="9.7109375" style="148"/>
    <col min="12289" max="12301" width="6.5703125" style="148" customWidth="1"/>
    <col min="12302" max="12302" width="6.42578125" style="148" customWidth="1"/>
    <col min="12303" max="12544" width="9.7109375" style="148"/>
    <col min="12545" max="12557" width="6.5703125" style="148" customWidth="1"/>
    <col min="12558" max="12558" width="6.42578125" style="148" customWidth="1"/>
    <col min="12559" max="12800" width="9.7109375" style="148"/>
    <col min="12801" max="12813" width="6.5703125" style="148" customWidth="1"/>
    <col min="12814" max="12814" width="6.42578125" style="148" customWidth="1"/>
    <col min="12815" max="13056" width="9.7109375" style="148"/>
    <col min="13057" max="13069" width="6.5703125" style="148" customWidth="1"/>
    <col min="13070" max="13070" width="6.42578125" style="148" customWidth="1"/>
    <col min="13071" max="13312" width="9.7109375" style="148"/>
    <col min="13313" max="13325" width="6.5703125" style="148" customWidth="1"/>
    <col min="13326" max="13326" width="6.42578125" style="148" customWidth="1"/>
    <col min="13327" max="13568" width="9.7109375" style="148"/>
    <col min="13569" max="13581" width="6.5703125" style="148" customWidth="1"/>
    <col min="13582" max="13582" width="6.42578125" style="148" customWidth="1"/>
    <col min="13583" max="13824" width="9.7109375" style="148"/>
    <col min="13825" max="13837" width="6.5703125" style="148" customWidth="1"/>
    <col min="13838" max="13838" width="6.42578125" style="148" customWidth="1"/>
    <col min="13839" max="14080" width="9.7109375" style="148"/>
    <col min="14081" max="14093" width="6.5703125" style="148" customWidth="1"/>
    <col min="14094" max="14094" width="6.42578125" style="148" customWidth="1"/>
    <col min="14095" max="14336" width="9.7109375" style="148"/>
    <col min="14337" max="14349" width="6.5703125" style="148" customWidth="1"/>
    <col min="14350" max="14350" width="6.42578125" style="148" customWidth="1"/>
    <col min="14351" max="14592" width="9.7109375" style="148"/>
    <col min="14593" max="14605" width="6.5703125" style="148" customWidth="1"/>
    <col min="14606" max="14606" width="6.42578125" style="148" customWidth="1"/>
    <col min="14607" max="14848" width="9.7109375" style="148"/>
    <col min="14849" max="14861" width="6.5703125" style="148" customWidth="1"/>
    <col min="14862" max="14862" width="6.42578125" style="148" customWidth="1"/>
    <col min="14863" max="15104" width="9.7109375" style="148"/>
    <col min="15105" max="15117" width="6.5703125" style="148" customWidth="1"/>
    <col min="15118" max="15118" width="6.42578125" style="148" customWidth="1"/>
    <col min="15119" max="15360" width="9.7109375" style="148"/>
    <col min="15361" max="15373" width="6.5703125" style="148" customWidth="1"/>
    <col min="15374" max="15374" width="6.42578125" style="148" customWidth="1"/>
    <col min="15375" max="15616" width="9.7109375" style="148"/>
    <col min="15617" max="15629" width="6.5703125" style="148" customWidth="1"/>
    <col min="15630" max="15630" width="6.42578125" style="148" customWidth="1"/>
    <col min="15631" max="15872" width="9.7109375" style="148"/>
    <col min="15873" max="15885" width="6.5703125" style="148" customWidth="1"/>
    <col min="15886" max="15886" width="6.42578125" style="148" customWidth="1"/>
    <col min="15887" max="16128" width="9.7109375" style="148"/>
    <col min="16129" max="16141" width="6.5703125" style="148" customWidth="1"/>
    <col min="16142" max="16142" width="6.42578125" style="148" customWidth="1"/>
    <col min="16143" max="16384" width="9.7109375" style="148"/>
  </cols>
  <sheetData>
    <row r="1" spans="1:14" ht="15.75" customHeight="1">
      <c r="A1" s="246" t="s">
        <v>92</v>
      </c>
      <c r="B1" s="245"/>
      <c r="C1" s="245"/>
      <c r="D1" s="245"/>
      <c r="E1" s="245"/>
      <c r="F1" s="245"/>
      <c r="G1" s="245"/>
      <c r="H1" s="245"/>
      <c r="I1" s="245"/>
      <c r="J1" s="244" t="s">
        <v>91</v>
      </c>
      <c r="K1" s="243"/>
      <c r="L1" s="242" t="s">
        <v>111</v>
      </c>
      <c r="M1" s="241"/>
    </row>
    <row r="2" spans="1:14" ht="15.75" customHeight="1">
      <c r="A2" s="240" t="s">
        <v>89</v>
      </c>
      <c r="B2" s="239"/>
      <c r="C2" s="239"/>
      <c r="D2" s="239"/>
      <c r="E2" s="239"/>
      <c r="F2" s="239"/>
      <c r="G2" s="239"/>
      <c r="H2" s="239"/>
      <c r="I2" s="239"/>
      <c r="J2" s="229" t="s">
        <v>88</v>
      </c>
      <c r="K2" s="228"/>
      <c r="L2" s="227" t="s">
        <v>87</v>
      </c>
      <c r="M2" s="226"/>
    </row>
    <row r="3" spans="1:14" ht="15.75" customHeight="1">
      <c r="A3" s="238"/>
      <c r="B3" s="151"/>
      <c r="C3" s="151"/>
      <c r="D3" s="151"/>
      <c r="E3" s="151"/>
      <c r="F3" s="151"/>
      <c r="G3" s="151"/>
      <c r="H3" s="151"/>
      <c r="I3" s="151"/>
      <c r="J3" s="229" t="s">
        <v>86</v>
      </c>
      <c r="K3" s="228"/>
      <c r="L3" s="237">
        <v>38309</v>
      </c>
      <c r="M3" s="236"/>
    </row>
    <row r="4" spans="1:14" ht="15.75" customHeight="1">
      <c r="A4" s="233" t="s">
        <v>110</v>
      </c>
      <c r="B4" s="235"/>
      <c r="C4" s="235"/>
      <c r="D4" s="235"/>
      <c r="E4" s="235"/>
      <c r="F4" s="235"/>
      <c r="G4" s="235"/>
      <c r="H4" s="235"/>
      <c r="I4" s="234"/>
      <c r="J4" s="229" t="s">
        <v>84</v>
      </c>
      <c r="K4" s="228"/>
      <c r="L4" s="227" t="s">
        <v>83</v>
      </c>
      <c r="M4" s="226"/>
    </row>
    <row r="5" spans="1:14" ht="15.75" customHeight="1">
      <c r="A5" s="233"/>
      <c r="B5" s="232"/>
      <c r="C5" s="232"/>
      <c r="D5" s="232"/>
      <c r="E5" s="232"/>
      <c r="F5" s="232"/>
      <c r="G5" s="232"/>
      <c r="H5" s="232"/>
      <c r="I5" s="231"/>
      <c r="J5" s="229" t="s">
        <v>82</v>
      </c>
      <c r="K5" s="228"/>
      <c r="L5" s="227" t="s">
        <v>109</v>
      </c>
      <c r="M5" s="226"/>
    </row>
    <row r="6" spans="1:14" ht="15.75" customHeight="1">
      <c r="A6" s="230"/>
      <c r="B6" s="151"/>
      <c r="C6" s="151"/>
      <c r="D6" s="151"/>
      <c r="E6" s="151"/>
      <c r="F6" s="151"/>
      <c r="G6" s="151"/>
      <c r="H6" s="151"/>
      <c r="I6" s="151"/>
      <c r="J6" s="229" t="s">
        <v>80</v>
      </c>
      <c r="K6" s="228"/>
      <c r="L6" s="227" t="s">
        <v>108</v>
      </c>
      <c r="M6" s="226"/>
    </row>
    <row r="7" spans="1:14" ht="15.75" customHeight="1" thickBot="1">
      <c r="A7" s="225" t="s">
        <v>107</v>
      </c>
      <c r="B7" s="224"/>
      <c r="C7" s="224"/>
      <c r="D7" s="224"/>
      <c r="E7" s="224"/>
      <c r="F7" s="224"/>
      <c r="G7" s="224"/>
      <c r="H7" s="224"/>
      <c r="I7" s="224"/>
      <c r="J7" s="223" t="s">
        <v>77</v>
      </c>
      <c r="K7" s="222"/>
      <c r="L7" s="221" t="s">
        <v>106</v>
      </c>
      <c r="M7" s="220"/>
    </row>
    <row r="8" spans="1:14" ht="15.75" customHeight="1">
      <c r="A8" s="835"/>
      <c r="B8" s="825"/>
      <c r="C8" s="825"/>
      <c r="D8" s="825"/>
      <c r="E8" s="825"/>
      <c r="F8" s="825"/>
      <c r="G8" s="825"/>
      <c r="H8" s="825"/>
      <c r="I8" s="825"/>
      <c r="J8" s="825"/>
      <c r="K8" s="836"/>
      <c r="L8" s="118"/>
      <c r="M8" s="837"/>
      <c r="N8" s="152"/>
    </row>
    <row r="9" spans="1:14" ht="15.75" customHeight="1">
      <c r="A9" s="106"/>
      <c r="B9" s="105" t="s">
        <v>75</v>
      </c>
      <c r="C9" s="109" t="s">
        <v>772</v>
      </c>
      <c r="D9" s="120"/>
      <c r="E9" s="120"/>
      <c r="F9" s="120"/>
      <c r="G9" s="120"/>
      <c r="H9" s="120"/>
      <c r="I9" s="120"/>
      <c r="J9" s="120"/>
      <c r="K9" s="121"/>
      <c r="L9" s="106"/>
      <c r="M9" s="120"/>
      <c r="N9" s="152"/>
    </row>
    <row r="10" spans="1:14" ht="15.75" customHeight="1">
      <c r="A10" s="106"/>
      <c r="B10" s="105" t="s">
        <v>74</v>
      </c>
      <c r="C10" s="838" t="s">
        <v>773</v>
      </c>
      <c r="D10" s="106"/>
      <c r="E10" s="106"/>
      <c r="F10" s="106"/>
      <c r="G10" s="106"/>
      <c r="H10" s="106"/>
      <c r="I10" s="106"/>
      <c r="J10" s="106"/>
      <c r="K10" s="106"/>
      <c r="L10" s="106"/>
      <c r="M10" s="106"/>
      <c r="N10" s="152"/>
    </row>
    <row r="11" spans="1:14" ht="15.75" customHeight="1" thickBot="1">
      <c r="A11" s="118"/>
      <c r="B11" s="118"/>
      <c r="C11" s="118"/>
      <c r="D11" s="118"/>
      <c r="E11" s="118"/>
      <c r="F11" s="118"/>
      <c r="G11" s="118"/>
      <c r="H11" s="118"/>
      <c r="I11" s="118"/>
      <c r="J11" s="118"/>
      <c r="K11" s="118"/>
      <c r="L11" s="118"/>
      <c r="M11" s="118"/>
      <c r="N11" s="152"/>
    </row>
    <row r="12" spans="1:14" ht="15.75" customHeight="1" thickBot="1">
      <c r="A12" s="116" t="s">
        <v>73</v>
      </c>
      <c r="B12" s="115"/>
      <c r="C12" s="115"/>
      <c r="D12" s="115"/>
      <c r="E12" s="115"/>
      <c r="F12" s="115"/>
      <c r="G12" s="115"/>
      <c r="H12" s="115"/>
      <c r="I12" s="115"/>
      <c r="J12" s="115"/>
      <c r="K12" s="115"/>
      <c r="L12" s="115"/>
      <c r="M12" s="114"/>
      <c r="N12" s="152"/>
    </row>
    <row r="13" spans="1:14" ht="15.75" customHeight="1" thickTop="1">
      <c r="A13" s="110"/>
      <c r="B13" s="105" t="s">
        <v>72</v>
      </c>
      <c r="C13" s="113">
        <v>4000</v>
      </c>
      <c r="D13" s="106"/>
      <c r="E13" s="105" t="s">
        <v>71</v>
      </c>
      <c r="F13" s="113">
        <v>4000</v>
      </c>
      <c r="G13" s="106"/>
      <c r="H13" s="105" t="s">
        <v>70</v>
      </c>
      <c r="I13" s="113" t="s">
        <v>69</v>
      </c>
      <c r="J13" s="106"/>
      <c r="K13" s="106"/>
      <c r="L13" s="105" t="s">
        <v>68</v>
      </c>
      <c r="M13" s="111">
        <v>3600</v>
      </c>
      <c r="N13" s="152"/>
    </row>
    <row r="14" spans="1:14" ht="15.75" customHeight="1">
      <c r="A14" s="110"/>
      <c r="B14" s="105" t="s">
        <v>67</v>
      </c>
      <c r="C14" s="113" t="s">
        <v>66</v>
      </c>
      <c r="D14" s="106"/>
      <c r="E14" s="105" t="s">
        <v>65</v>
      </c>
      <c r="F14" s="108" t="s">
        <v>64</v>
      </c>
      <c r="G14" s="106"/>
      <c r="H14" s="105" t="s">
        <v>63</v>
      </c>
      <c r="I14" s="113">
        <v>493</v>
      </c>
      <c r="J14" s="106"/>
      <c r="K14" s="106"/>
      <c r="L14" s="105" t="s">
        <v>62</v>
      </c>
      <c r="M14" s="111">
        <v>3589</v>
      </c>
    </row>
    <row r="15" spans="1:14" ht="13.5" customHeight="1">
      <c r="A15" s="110"/>
      <c r="B15" s="105" t="s">
        <v>61</v>
      </c>
      <c r="C15" s="113" t="s">
        <v>60</v>
      </c>
      <c r="D15" s="106"/>
      <c r="E15" s="105" t="s">
        <v>59</v>
      </c>
      <c r="F15" s="839" t="s">
        <v>774</v>
      </c>
      <c r="G15" s="106"/>
      <c r="H15" s="105" t="s">
        <v>58</v>
      </c>
      <c r="I15" s="108" t="s">
        <v>4</v>
      </c>
      <c r="J15" s="106"/>
      <c r="K15" s="106"/>
      <c r="L15" s="105" t="s">
        <v>57</v>
      </c>
      <c r="M15" s="111" t="s">
        <v>51</v>
      </c>
    </row>
    <row r="16" spans="1:14" ht="11.25" customHeight="1">
      <c r="A16" s="110"/>
      <c r="B16" s="105" t="s">
        <v>56</v>
      </c>
      <c r="C16" s="113" t="s">
        <v>55</v>
      </c>
      <c r="D16" s="106"/>
      <c r="E16" s="105" t="s">
        <v>54</v>
      </c>
      <c r="F16" s="840">
        <v>40</v>
      </c>
      <c r="G16" s="106"/>
      <c r="H16" s="112" t="s">
        <v>52</v>
      </c>
      <c r="I16" s="107" t="s">
        <v>51</v>
      </c>
      <c r="J16" s="106"/>
      <c r="K16" s="106"/>
      <c r="L16" s="105" t="s">
        <v>50</v>
      </c>
      <c r="M16" s="111" t="s">
        <v>49</v>
      </c>
    </row>
    <row r="17" spans="1:22" ht="11.25" customHeight="1">
      <c r="A17" s="110"/>
      <c r="B17" s="105" t="s">
        <v>48</v>
      </c>
      <c r="C17" s="109" t="s">
        <v>775</v>
      </c>
      <c r="D17" s="106"/>
      <c r="E17" s="105"/>
      <c r="F17" s="108"/>
      <c r="G17" s="106"/>
      <c r="H17" s="105" t="s">
        <v>47</v>
      </c>
      <c r="I17" s="107" t="s">
        <v>4</v>
      </c>
      <c r="J17" s="106"/>
      <c r="K17" s="106"/>
      <c r="L17" s="105"/>
      <c r="M17" s="104"/>
    </row>
    <row r="18" spans="1:22" ht="12" customHeight="1" thickBot="1">
      <c r="A18" s="103"/>
      <c r="B18" s="101" t="s">
        <v>46</v>
      </c>
      <c r="C18" s="100">
        <v>96.2</v>
      </c>
      <c r="D18" s="99"/>
      <c r="E18" s="101" t="s">
        <v>45</v>
      </c>
      <c r="F18" s="100"/>
      <c r="G18" s="102"/>
      <c r="H18" s="101" t="s">
        <v>44</v>
      </c>
      <c r="I18" s="100">
        <v>90.5</v>
      </c>
      <c r="J18" s="99"/>
      <c r="K18" s="99"/>
      <c r="L18" s="99"/>
      <c r="M18" s="98"/>
    </row>
    <row r="19" spans="1:22" ht="12" customHeight="1">
      <c r="A19" s="160"/>
      <c r="B19" s="217"/>
      <c r="C19" s="164"/>
      <c r="D19" s="160"/>
      <c r="E19" s="160"/>
      <c r="F19" s="164"/>
      <c r="G19" s="160"/>
      <c r="H19" s="217"/>
      <c r="I19" s="219"/>
      <c r="J19" s="218"/>
      <c r="K19" s="218"/>
      <c r="L19" s="217"/>
      <c r="M19" s="216"/>
    </row>
    <row r="20" spans="1:22" ht="12" customHeight="1">
      <c r="A20" s="160"/>
      <c r="B20" s="215"/>
      <c r="C20" s="216"/>
      <c r="D20" s="160"/>
      <c r="E20" s="215"/>
      <c r="F20" s="216"/>
      <c r="G20" s="160"/>
      <c r="H20" s="215"/>
      <c r="I20" s="214"/>
      <c r="J20" s="160"/>
      <c r="K20" s="202"/>
      <c r="L20" s="202"/>
      <c r="M20" s="164"/>
    </row>
    <row r="21" spans="1:22" ht="15.75" customHeight="1">
      <c r="A21" s="152"/>
      <c r="B21" s="152"/>
      <c r="C21" s="151"/>
      <c r="D21" s="151"/>
      <c r="E21" s="151"/>
      <c r="F21" s="151"/>
      <c r="G21" s="151"/>
      <c r="H21" s="151"/>
      <c r="I21" s="151"/>
      <c r="J21" s="151"/>
      <c r="K21" s="151"/>
      <c r="L21" s="151"/>
      <c r="M21" s="151"/>
      <c r="N21" s="152"/>
    </row>
    <row r="22" spans="1:22" ht="15.75" customHeight="1" thickBot="1">
      <c r="A22" s="213"/>
      <c r="B22" s="213"/>
      <c r="C22" s="213"/>
      <c r="D22" s="213"/>
      <c r="E22" s="213"/>
      <c r="F22" s="213"/>
      <c r="G22" s="213"/>
      <c r="H22" s="213"/>
      <c r="I22" s="213"/>
      <c r="J22" s="213"/>
      <c r="K22" s="213"/>
      <c r="L22" s="213"/>
      <c r="M22" s="213"/>
    </row>
    <row r="23" spans="1:22" ht="15.75" customHeight="1">
      <c r="A23" s="212" t="s">
        <v>105</v>
      </c>
      <c r="B23" s="211"/>
      <c r="C23" s="211"/>
      <c r="D23" s="211"/>
      <c r="E23" s="211"/>
      <c r="F23" s="210" t="s">
        <v>784</v>
      </c>
      <c r="G23" s="210"/>
      <c r="H23" s="210"/>
      <c r="I23" s="209"/>
      <c r="J23" s="169"/>
      <c r="K23" s="169"/>
      <c r="L23" s="169"/>
      <c r="M23" s="169"/>
    </row>
    <row r="24" spans="1:22" ht="15.75" customHeight="1">
      <c r="A24" s="181" t="s">
        <v>104</v>
      </c>
      <c r="B24" s="180"/>
      <c r="C24" s="180"/>
      <c r="D24" s="180"/>
      <c r="E24" s="180"/>
      <c r="F24" s="183" t="s">
        <v>785</v>
      </c>
      <c r="G24" s="183"/>
      <c r="H24" s="183"/>
      <c r="I24" s="182"/>
      <c r="J24" s="208"/>
      <c r="K24" s="207"/>
      <c r="L24" s="207"/>
      <c r="M24" s="207"/>
    </row>
    <row r="25" spans="1:22" ht="15.75" customHeight="1">
      <c r="A25" s="181" t="s">
        <v>103</v>
      </c>
      <c r="B25" s="180"/>
      <c r="C25" s="180"/>
      <c r="D25" s="180"/>
      <c r="E25" s="180"/>
      <c r="F25" s="183" t="s">
        <v>786</v>
      </c>
      <c r="G25" s="183"/>
      <c r="H25" s="183"/>
      <c r="I25" s="182"/>
      <c r="J25" s="161"/>
      <c r="K25" s="206"/>
      <c r="L25" s="206"/>
      <c r="M25" s="206"/>
    </row>
    <row r="26" spans="1:22" ht="15.75" customHeight="1">
      <c r="A26" s="189"/>
      <c r="B26" s="188"/>
      <c r="C26" s="188"/>
      <c r="D26" s="205"/>
      <c r="E26" s="205"/>
      <c r="F26" s="204"/>
      <c r="G26" s="203"/>
      <c r="H26" s="203"/>
      <c r="I26" s="192"/>
      <c r="J26" s="160"/>
      <c r="K26" s="202"/>
      <c r="L26" s="202"/>
      <c r="M26" s="160"/>
      <c r="N26" s="152"/>
    </row>
    <row r="27" spans="1:22" ht="15.75" customHeight="1">
      <c r="A27" s="201" t="s">
        <v>102</v>
      </c>
      <c r="B27" s="200"/>
      <c r="C27" s="200"/>
      <c r="D27" s="200"/>
      <c r="E27" s="200"/>
      <c r="F27" s="183" t="s">
        <v>787</v>
      </c>
      <c r="G27" s="183"/>
      <c r="H27" s="183"/>
      <c r="I27" s="182"/>
      <c r="J27" s="184"/>
      <c r="K27" s="184"/>
      <c r="L27" s="184"/>
      <c r="M27" s="169"/>
      <c r="N27" s="152"/>
      <c r="Q27" s="199"/>
      <c r="R27" s="199"/>
      <c r="S27" s="199"/>
      <c r="T27" s="199"/>
      <c r="U27" s="199"/>
      <c r="V27" s="199"/>
    </row>
    <row r="28" spans="1:22" ht="15.75" customHeight="1">
      <c r="A28" s="198" t="s">
        <v>101</v>
      </c>
      <c r="B28" s="197"/>
      <c r="C28" s="197"/>
      <c r="D28" s="197"/>
      <c r="E28" s="197"/>
      <c r="F28" s="183" t="s">
        <v>788</v>
      </c>
      <c r="G28" s="183"/>
      <c r="H28" s="183"/>
      <c r="I28" s="182"/>
      <c r="J28" s="196"/>
      <c r="K28" s="196"/>
      <c r="L28" s="196"/>
      <c r="M28" s="169"/>
      <c r="N28" s="152"/>
      <c r="Q28" s="167"/>
      <c r="R28" s="167"/>
      <c r="S28" s="167"/>
      <c r="T28" s="167"/>
      <c r="U28" s="168"/>
      <c r="V28" s="167"/>
    </row>
    <row r="29" spans="1:22" ht="15.75" customHeight="1">
      <c r="A29" s="198" t="s">
        <v>100</v>
      </c>
      <c r="B29" s="197"/>
      <c r="C29" s="197"/>
      <c r="D29" s="197"/>
      <c r="E29" s="197"/>
      <c r="F29" s="183" t="s">
        <v>789</v>
      </c>
      <c r="G29" s="183"/>
      <c r="H29" s="183"/>
      <c r="I29" s="182"/>
      <c r="J29" s="196"/>
      <c r="K29" s="170"/>
      <c r="L29" s="170"/>
      <c r="M29" s="169"/>
      <c r="N29" s="152"/>
      <c r="Q29" s="167"/>
      <c r="R29" s="167"/>
      <c r="S29" s="167"/>
      <c r="T29" s="167"/>
      <c r="U29" s="167"/>
      <c r="V29" s="167"/>
    </row>
    <row r="30" spans="1:22" ht="15.75" customHeight="1">
      <c r="A30" s="189"/>
      <c r="B30" s="188"/>
      <c r="C30" s="188"/>
      <c r="D30" s="195"/>
      <c r="E30" s="195"/>
      <c r="F30" s="194"/>
      <c r="G30" s="193"/>
      <c r="H30" s="193"/>
      <c r="I30" s="192"/>
      <c r="J30" s="170"/>
      <c r="K30" s="170"/>
      <c r="L30" s="169"/>
      <c r="M30" s="169"/>
      <c r="N30" s="152"/>
      <c r="Q30" s="159"/>
      <c r="R30" s="159"/>
      <c r="S30" s="159"/>
      <c r="T30" s="159"/>
      <c r="U30" s="159"/>
      <c r="V30" s="159"/>
    </row>
    <row r="31" spans="1:22" ht="15.75" customHeight="1">
      <c r="A31" s="181" t="s">
        <v>99</v>
      </c>
      <c r="B31" s="180"/>
      <c r="C31" s="180"/>
      <c r="D31" s="180"/>
      <c r="E31" s="180"/>
      <c r="F31" s="183" t="s">
        <v>790</v>
      </c>
      <c r="G31" s="183"/>
      <c r="H31" s="183"/>
      <c r="I31" s="182"/>
      <c r="J31" s="169"/>
      <c r="K31" s="169"/>
      <c r="L31" s="169"/>
      <c r="M31" s="161"/>
      <c r="N31" s="152"/>
      <c r="Q31" s="191"/>
      <c r="R31" s="191"/>
      <c r="S31" s="191"/>
      <c r="T31" s="191"/>
      <c r="U31" s="191"/>
      <c r="V31" s="190"/>
    </row>
    <row r="32" spans="1:22" ht="15.75" customHeight="1">
      <c r="A32" s="189"/>
      <c r="B32" s="188"/>
      <c r="C32" s="188"/>
      <c r="D32" s="188"/>
      <c r="E32" s="188"/>
      <c r="F32" s="187"/>
      <c r="G32" s="186"/>
      <c r="H32" s="186"/>
      <c r="I32" s="185"/>
      <c r="J32" s="184"/>
      <c r="K32" s="184"/>
      <c r="L32" s="184"/>
      <c r="M32" s="160"/>
      <c r="N32" s="152"/>
    </row>
    <row r="33" spans="1:28" ht="15.75" customHeight="1">
      <c r="A33" s="181" t="s">
        <v>98</v>
      </c>
      <c r="B33" s="180"/>
      <c r="C33" s="180"/>
      <c r="D33" s="180"/>
      <c r="E33" s="180"/>
      <c r="F33" s="183" t="s">
        <v>791</v>
      </c>
      <c r="G33" s="183"/>
      <c r="H33" s="183"/>
      <c r="I33" s="182"/>
      <c r="J33" s="169"/>
      <c r="K33" s="169"/>
      <c r="L33" s="169"/>
      <c r="M33" s="160"/>
      <c r="N33" s="152"/>
    </row>
    <row r="34" spans="1:28" ht="15.75" customHeight="1">
      <c r="A34" s="181" t="s">
        <v>97</v>
      </c>
      <c r="B34" s="180"/>
      <c r="C34" s="180"/>
      <c r="D34" s="180"/>
      <c r="E34" s="180"/>
      <c r="F34" s="183" t="s">
        <v>792</v>
      </c>
      <c r="G34" s="183"/>
      <c r="H34" s="183"/>
      <c r="I34" s="182"/>
      <c r="J34" s="169"/>
      <c r="K34" s="169"/>
      <c r="L34" s="169"/>
      <c r="M34" s="160"/>
      <c r="N34" s="152"/>
    </row>
    <row r="35" spans="1:28" ht="15.75" customHeight="1">
      <c r="A35" s="181" t="s">
        <v>96</v>
      </c>
      <c r="B35" s="180"/>
      <c r="C35" s="180"/>
      <c r="D35" s="180"/>
      <c r="E35" s="180"/>
      <c r="F35" s="179">
        <v>0.10299999999999999</v>
      </c>
      <c r="G35" s="179"/>
      <c r="H35" s="179"/>
      <c r="I35" s="178"/>
      <c r="J35" s="160"/>
      <c r="K35" s="160"/>
      <c r="L35" s="160"/>
      <c r="M35" s="160"/>
      <c r="N35" s="152"/>
    </row>
    <row r="36" spans="1:28" ht="15.75" customHeight="1">
      <c r="A36" s="181" t="s">
        <v>95</v>
      </c>
      <c r="B36" s="180"/>
      <c r="C36" s="180"/>
      <c r="D36" s="180"/>
      <c r="E36" s="180"/>
      <c r="F36" s="179">
        <v>1.2E-2</v>
      </c>
      <c r="G36" s="179"/>
      <c r="H36" s="179"/>
      <c r="I36" s="178"/>
      <c r="M36" s="160"/>
      <c r="N36" s="152"/>
    </row>
    <row r="37" spans="1:28" ht="15.75" customHeight="1" thickBot="1">
      <c r="A37" s="177" t="s">
        <v>94</v>
      </c>
      <c r="B37" s="176"/>
      <c r="C37" s="176"/>
      <c r="D37" s="176"/>
      <c r="E37" s="176"/>
      <c r="F37" s="175">
        <v>6.52</v>
      </c>
      <c r="G37" s="175"/>
      <c r="H37" s="175"/>
      <c r="I37" s="174"/>
      <c r="M37" s="160"/>
      <c r="N37" s="152"/>
      <c r="T37" s="173"/>
      <c r="U37" s="167"/>
      <c r="V37" s="167"/>
      <c r="W37" s="167"/>
      <c r="X37" s="167"/>
      <c r="Y37" s="167"/>
      <c r="Z37" s="172"/>
      <c r="AA37" s="171"/>
      <c r="AB37" s="168"/>
    </row>
    <row r="38" spans="1:28" ht="15.75" customHeight="1">
      <c r="A38" s="164"/>
      <c r="E38" s="170"/>
      <c r="F38" s="170"/>
      <c r="G38" s="170"/>
      <c r="H38" s="169"/>
      <c r="I38" s="169"/>
      <c r="M38" s="160"/>
      <c r="N38" s="152"/>
      <c r="T38" s="167"/>
      <c r="U38" s="167"/>
      <c r="V38" s="167"/>
      <c r="W38" s="167"/>
      <c r="X38" s="168"/>
      <c r="Y38" s="167"/>
      <c r="Z38" s="166"/>
      <c r="AA38" s="166"/>
      <c r="AB38" s="165"/>
    </row>
    <row r="39" spans="1:28" ht="15.75" customHeight="1">
      <c r="A39" s="164"/>
      <c r="E39" s="162"/>
      <c r="F39" s="162"/>
      <c r="G39" s="162"/>
      <c r="H39" s="161"/>
      <c r="I39" s="161"/>
      <c r="M39" s="160"/>
      <c r="N39" s="152"/>
      <c r="T39" s="167"/>
      <c r="U39" s="167"/>
      <c r="V39" s="167"/>
      <c r="W39" s="167"/>
      <c r="X39" s="167"/>
      <c r="Y39" s="167"/>
      <c r="Z39" s="166"/>
      <c r="AA39" s="166"/>
      <c r="AB39" s="165"/>
    </row>
    <row r="40" spans="1:28" ht="15.75" customHeight="1">
      <c r="A40" s="164"/>
      <c r="B40" s="160"/>
      <c r="C40" s="160"/>
      <c r="D40" s="163"/>
      <c r="E40" s="162"/>
      <c r="F40" s="162"/>
      <c r="G40" s="162"/>
      <c r="H40" s="161"/>
      <c r="I40" s="161"/>
      <c r="J40" s="160"/>
      <c r="K40" s="160"/>
      <c r="L40" s="160"/>
      <c r="M40" s="160"/>
      <c r="N40" s="152"/>
      <c r="T40" s="159"/>
      <c r="U40" s="159"/>
      <c r="V40" s="159"/>
      <c r="W40" s="159"/>
      <c r="X40" s="159"/>
      <c r="Y40" s="159"/>
      <c r="Z40" s="158"/>
      <c r="AA40" s="158"/>
      <c r="AB40" s="157"/>
    </row>
    <row r="41" spans="1:28" ht="15.75" customHeight="1">
      <c r="A41" s="152"/>
      <c r="B41" s="152"/>
      <c r="C41" s="152"/>
      <c r="D41" s="152"/>
      <c r="E41" s="152"/>
      <c r="F41" s="152"/>
      <c r="G41" s="152"/>
      <c r="H41" s="152"/>
      <c r="I41" s="152"/>
      <c r="J41" s="152"/>
      <c r="K41" s="152"/>
      <c r="L41" s="152"/>
      <c r="M41" s="152"/>
      <c r="N41" s="151"/>
    </row>
    <row r="42" spans="1:28" ht="15.75" customHeight="1">
      <c r="A42" s="156"/>
      <c r="B42" s="152"/>
      <c r="C42" s="155"/>
      <c r="D42" s="154"/>
      <c r="E42" s="152"/>
      <c r="F42" s="152"/>
      <c r="G42" s="152"/>
      <c r="H42" s="151"/>
      <c r="I42" s="150" t="s">
        <v>2</v>
      </c>
      <c r="J42" s="153" t="s">
        <v>93</v>
      </c>
      <c r="K42" s="153"/>
      <c r="L42" s="153"/>
      <c r="M42" s="153"/>
      <c r="N42" s="152"/>
    </row>
    <row r="43" spans="1:28" ht="15.75" customHeight="1">
      <c r="A43" s="152"/>
      <c r="B43" s="152"/>
      <c r="C43" s="152"/>
      <c r="D43" s="152"/>
      <c r="E43" s="152"/>
      <c r="F43" s="152"/>
      <c r="G43" s="152"/>
      <c r="H43" s="152"/>
      <c r="I43" s="152"/>
      <c r="J43" s="151"/>
      <c r="K43" s="151"/>
      <c r="L43" s="151"/>
      <c r="M43" s="151"/>
    </row>
    <row r="44" spans="1:28" ht="15.75" customHeight="1">
      <c r="A44" s="152"/>
      <c r="B44" s="152"/>
      <c r="C44" s="152"/>
      <c r="D44" s="152"/>
      <c r="E44" s="152"/>
      <c r="F44" s="152"/>
      <c r="G44" s="152"/>
      <c r="H44" s="151"/>
      <c r="I44" s="150" t="s">
        <v>1</v>
      </c>
      <c r="J44" s="149">
        <v>45853</v>
      </c>
      <c r="K44" s="149"/>
      <c r="L44" s="149"/>
      <c r="M44" s="149"/>
    </row>
    <row r="45" spans="1:28" ht="15.95" customHeight="1"/>
  </sheetData>
  <mergeCells count="34">
    <mergeCell ref="F34:I34"/>
    <mergeCell ref="A35:E35"/>
    <mergeCell ref="F35:I35"/>
    <mergeCell ref="Z40:AA40"/>
    <mergeCell ref="J42:M42"/>
    <mergeCell ref="A36:E36"/>
    <mergeCell ref="F36:I36"/>
    <mergeCell ref="A37:E37"/>
    <mergeCell ref="F37:I37"/>
    <mergeCell ref="Z38:AA38"/>
    <mergeCell ref="Q27:V27"/>
    <mergeCell ref="A28:E28"/>
    <mergeCell ref="F28:I28"/>
    <mergeCell ref="A29:E29"/>
    <mergeCell ref="F29:I29"/>
    <mergeCell ref="AB38:AB39"/>
    <mergeCell ref="Z39:AA39"/>
    <mergeCell ref="A33:E33"/>
    <mergeCell ref="F33:I33"/>
    <mergeCell ref="A34:E34"/>
    <mergeCell ref="A31:E31"/>
    <mergeCell ref="F31:I31"/>
    <mergeCell ref="A24:E24"/>
    <mergeCell ref="F24:I24"/>
    <mergeCell ref="A25:E25"/>
    <mergeCell ref="F25:I25"/>
    <mergeCell ref="A27:E27"/>
    <mergeCell ref="F27:I27"/>
    <mergeCell ref="L3:M3"/>
    <mergeCell ref="A4:I4"/>
    <mergeCell ref="A5:I5"/>
    <mergeCell ref="I19:K19"/>
    <mergeCell ref="A23:E23"/>
    <mergeCell ref="F23:I23"/>
  </mergeCells>
  <dataValidations count="3">
    <dataValidation type="list" errorStyle="warning" allowBlank="1" showInputMessage="1" showErrorMessage="1" error="You should choose from the list!" prompt="Choose Enclosure Type" sqref="WVN983054 JB14 SX14 ACT14 AMP14 AWL14 BGH14 BQD14 BZZ14 CJV14 CTR14 DDN14 DNJ14 DXF14 EHB14 EQX14 FAT14 FKP14 FUL14 GEH14 GOD14 GXZ14 HHV14 HRR14 IBN14 ILJ14 IVF14 JFB14 JOX14 JYT14 KIP14 KSL14 LCH14 LMD14 LVZ14 MFV14 MPR14 MZN14 NJJ14 NTF14 ODB14 OMX14 OWT14 PGP14 PQL14 QAH14 QKD14 QTZ14 RDV14 RNR14 RXN14 SHJ14 SRF14 TBB14 TKX14 TUT14 UEP14 UOL14 UYH14 VID14 VRZ14 WBV14 WLR14 WVN14 F65550 JB65550 SX65550 ACT65550 AMP65550 AWL65550 BGH65550 BQD65550 BZZ65550 CJV65550 CTR65550 DDN65550 DNJ65550 DXF65550 EHB65550 EQX65550 FAT65550 FKP65550 FUL65550 GEH65550 GOD65550 GXZ65550 HHV65550 HRR65550 IBN65550 ILJ65550 IVF65550 JFB65550 JOX65550 JYT65550 KIP65550 KSL65550 LCH65550 LMD65550 LVZ65550 MFV65550 MPR65550 MZN65550 NJJ65550 NTF65550 ODB65550 OMX65550 OWT65550 PGP65550 PQL65550 QAH65550 QKD65550 QTZ65550 RDV65550 RNR65550 RXN65550 SHJ65550 SRF65550 TBB65550 TKX65550 TUT65550 UEP65550 UOL65550 UYH65550 VID65550 VRZ65550 WBV65550 WLR65550 WVN65550 F131086 JB131086 SX131086 ACT131086 AMP131086 AWL131086 BGH131086 BQD131086 BZZ131086 CJV131086 CTR131086 DDN131086 DNJ131086 DXF131086 EHB131086 EQX131086 FAT131086 FKP131086 FUL131086 GEH131086 GOD131086 GXZ131086 HHV131086 HRR131086 IBN131086 ILJ131086 IVF131086 JFB131086 JOX131086 JYT131086 KIP131086 KSL131086 LCH131086 LMD131086 LVZ131086 MFV131086 MPR131086 MZN131086 NJJ131086 NTF131086 ODB131086 OMX131086 OWT131086 PGP131086 PQL131086 QAH131086 QKD131086 QTZ131086 RDV131086 RNR131086 RXN131086 SHJ131086 SRF131086 TBB131086 TKX131086 TUT131086 UEP131086 UOL131086 UYH131086 VID131086 VRZ131086 WBV131086 WLR131086 WVN131086 F196622 JB196622 SX196622 ACT196622 AMP196622 AWL196622 BGH196622 BQD196622 BZZ196622 CJV196622 CTR196622 DDN196622 DNJ196622 DXF196622 EHB196622 EQX196622 FAT196622 FKP196622 FUL196622 GEH196622 GOD196622 GXZ196622 HHV196622 HRR196622 IBN196622 ILJ196622 IVF196622 JFB196622 JOX196622 JYT196622 KIP196622 KSL196622 LCH196622 LMD196622 LVZ196622 MFV196622 MPR196622 MZN196622 NJJ196622 NTF196622 ODB196622 OMX196622 OWT196622 PGP196622 PQL196622 QAH196622 QKD196622 QTZ196622 RDV196622 RNR196622 RXN196622 SHJ196622 SRF196622 TBB196622 TKX196622 TUT196622 UEP196622 UOL196622 UYH196622 VID196622 VRZ196622 WBV196622 WLR196622 WVN196622 F262158 JB262158 SX262158 ACT262158 AMP262158 AWL262158 BGH262158 BQD262158 BZZ262158 CJV262158 CTR262158 DDN262158 DNJ262158 DXF262158 EHB262158 EQX262158 FAT262158 FKP262158 FUL262158 GEH262158 GOD262158 GXZ262158 HHV262158 HRR262158 IBN262158 ILJ262158 IVF262158 JFB262158 JOX262158 JYT262158 KIP262158 KSL262158 LCH262158 LMD262158 LVZ262158 MFV262158 MPR262158 MZN262158 NJJ262158 NTF262158 ODB262158 OMX262158 OWT262158 PGP262158 PQL262158 QAH262158 QKD262158 QTZ262158 RDV262158 RNR262158 RXN262158 SHJ262158 SRF262158 TBB262158 TKX262158 TUT262158 UEP262158 UOL262158 UYH262158 VID262158 VRZ262158 WBV262158 WLR262158 WVN262158 F327694 JB327694 SX327694 ACT327694 AMP327694 AWL327694 BGH327694 BQD327694 BZZ327694 CJV327694 CTR327694 DDN327694 DNJ327694 DXF327694 EHB327694 EQX327694 FAT327694 FKP327694 FUL327694 GEH327694 GOD327694 GXZ327694 HHV327694 HRR327694 IBN327694 ILJ327694 IVF327694 JFB327694 JOX327694 JYT327694 KIP327694 KSL327694 LCH327694 LMD327694 LVZ327694 MFV327694 MPR327694 MZN327694 NJJ327694 NTF327694 ODB327694 OMX327694 OWT327694 PGP327694 PQL327694 QAH327694 QKD327694 QTZ327694 RDV327694 RNR327694 RXN327694 SHJ327694 SRF327694 TBB327694 TKX327694 TUT327694 UEP327694 UOL327694 UYH327694 VID327694 VRZ327694 WBV327694 WLR327694 WVN327694 F393230 JB393230 SX393230 ACT393230 AMP393230 AWL393230 BGH393230 BQD393230 BZZ393230 CJV393230 CTR393230 DDN393230 DNJ393230 DXF393230 EHB393230 EQX393230 FAT393230 FKP393230 FUL393230 GEH393230 GOD393230 GXZ393230 HHV393230 HRR393230 IBN393230 ILJ393230 IVF393230 JFB393230 JOX393230 JYT393230 KIP393230 KSL393230 LCH393230 LMD393230 LVZ393230 MFV393230 MPR393230 MZN393230 NJJ393230 NTF393230 ODB393230 OMX393230 OWT393230 PGP393230 PQL393230 QAH393230 QKD393230 QTZ393230 RDV393230 RNR393230 RXN393230 SHJ393230 SRF393230 TBB393230 TKX393230 TUT393230 UEP393230 UOL393230 UYH393230 VID393230 VRZ393230 WBV393230 WLR393230 WVN393230 F458766 JB458766 SX458766 ACT458766 AMP458766 AWL458766 BGH458766 BQD458766 BZZ458766 CJV458766 CTR458766 DDN458766 DNJ458766 DXF458766 EHB458766 EQX458766 FAT458766 FKP458766 FUL458766 GEH458766 GOD458766 GXZ458766 HHV458766 HRR458766 IBN458766 ILJ458766 IVF458766 JFB458766 JOX458766 JYT458766 KIP458766 KSL458766 LCH458766 LMD458766 LVZ458766 MFV458766 MPR458766 MZN458766 NJJ458766 NTF458766 ODB458766 OMX458766 OWT458766 PGP458766 PQL458766 QAH458766 QKD458766 QTZ458766 RDV458766 RNR458766 RXN458766 SHJ458766 SRF458766 TBB458766 TKX458766 TUT458766 UEP458766 UOL458766 UYH458766 VID458766 VRZ458766 WBV458766 WLR458766 WVN458766 F524302 JB524302 SX524302 ACT524302 AMP524302 AWL524302 BGH524302 BQD524302 BZZ524302 CJV524302 CTR524302 DDN524302 DNJ524302 DXF524302 EHB524302 EQX524302 FAT524302 FKP524302 FUL524302 GEH524302 GOD524302 GXZ524302 HHV524302 HRR524302 IBN524302 ILJ524302 IVF524302 JFB524302 JOX524302 JYT524302 KIP524302 KSL524302 LCH524302 LMD524302 LVZ524302 MFV524302 MPR524302 MZN524302 NJJ524302 NTF524302 ODB524302 OMX524302 OWT524302 PGP524302 PQL524302 QAH524302 QKD524302 QTZ524302 RDV524302 RNR524302 RXN524302 SHJ524302 SRF524302 TBB524302 TKX524302 TUT524302 UEP524302 UOL524302 UYH524302 VID524302 VRZ524302 WBV524302 WLR524302 WVN524302 F589838 JB589838 SX589838 ACT589838 AMP589838 AWL589838 BGH589838 BQD589838 BZZ589838 CJV589838 CTR589838 DDN589838 DNJ589838 DXF589838 EHB589838 EQX589838 FAT589838 FKP589838 FUL589838 GEH589838 GOD589838 GXZ589838 HHV589838 HRR589838 IBN589838 ILJ589838 IVF589838 JFB589838 JOX589838 JYT589838 KIP589838 KSL589838 LCH589838 LMD589838 LVZ589838 MFV589838 MPR589838 MZN589838 NJJ589838 NTF589838 ODB589838 OMX589838 OWT589838 PGP589838 PQL589838 QAH589838 QKD589838 QTZ589838 RDV589838 RNR589838 RXN589838 SHJ589838 SRF589838 TBB589838 TKX589838 TUT589838 UEP589838 UOL589838 UYH589838 VID589838 VRZ589838 WBV589838 WLR589838 WVN589838 F655374 JB655374 SX655374 ACT655374 AMP655374 AWL655374 BGH655374 BQD655374 BZZ655374 CJV655374 CTR655374 DDN655374 DNJ655374 DXF655374 EHB655374 EQX655374 FAT655374 FKP655374 FUL655374 GEH655374 GOD655374 GXZ655374 HHV655374 HRR655374 IBN655374 ILJ655374 IVF655374 JFB655374 JOX655374 JYT655374 KIP655374 KSL655374 LCH655374 LMD655374 LVZ655374 MFV655374 MPR655374 MZN655374 NJJ655374 NTF655374 ODB655374 OMX655374 OWT655374 PGP655374 PQL655374 QAH655374 QKD655374 QTZ655374 RDV655374 RNR655374 RXN655374 SHJ655374 SRF655374 TBB655374 TKX655374 TUT655374 UEP655374 UOL655374 UYH655374 VID655374 VRZ655374 WBV655374 WLR655374 WVN655374 F720910 JB720910 SX720910 ACT720910 AMP720910 AWL720910 BGH720910 BQD720910 BZZ720910 CJV720910 CTR720910 DDN720910 DNJ720910 DXF720910 EHB720910 EQX720910 FAT720910 FKP720910 FUL720910 GEH720910 GOD720910 GXZ720910 HHV720910 HRR720910 IBN720910 ILJ720910 IVF720910 JFB720910 JOX720910 JYT720910 KIP720910 KSL720910 LCH720910 LMD720910 LVZ720910 MFV720910 MPR720910 MZN720910 NJJ720910 NTF720910 ODB720910 OMX720910 OWT720910 PGP720910 PQL720910 QAH720910 QKD720910 QTZ720910 RDV720910 RNR720910 RXN720910 SHJ720910 SRF720910 TBB720910 TKX720910 TUT720910 UEP720910 UOL720910 UYH720910 VID720910 VRZ720910 WBV720910 WLR720910 WVN720910 F786446 JB786446 SX786446 ACT786446 AMP786446 AWL786446 BGH786446 BQD786446 BZZ786446 CJV786446 CTR786446 DDN786446 DNJ786446 DXF786446 EHB786446 EQX786446 FAT786446 FKP786446 FUL786446 GEH786446 GOD786446 GXZ786446 HHV786446 HRR786446 IBN786446 ILJ786446 IVF786446 JFB786446 JOX786446 JYT786446 KIP786446 KSL786446 LCH786446 LMD786446 LVZ786446 MFV786446 MPR786446 MZN786446 NJJ786446 NTF786446 ODB786446 OMX786446 OWT786446 PGP786446 PQL786446 QAH786446 QKD786446 QTZ786446 RDV786446 RNR786446 RXN786446 SHJ786446 SRF786446 TBB786446 TKX786446 TUT786446 UEP786446 UOL786446 UYH786446 VID786446 VRZ786446 WBV786446 WLR786446 WVN786446 F851982 JB851982 SX851982 ACT851982 AMP851982 AWL851982 BGH851982 BQD851982 BZZ851982 CJV851982 CTR851982 DDN851982 DNJ851982 DXF851982 EHB851982 EQX851982 FAT851982 FKP851982 FUL851982 GEH851982 GOD851982 GXZ851982 HHV851982 HRR851982 IBN851982 ILJ851982 IVF851982 JFB851982 JOX851982 JYT851982 KIP851982 KSL851982 LCH851982 LMD851982 LVZ851982 MFV851982 MPR851982 MZN851982 NJJ851982 NTF851982 ODB851982 OMX851982 OWT851982 PGP851982 PQL851982 QAH851982 QKD851982 QTZ851982 RDV851982 RNR851982 RXN851982 SHJ851982 SRF851982 TBB851982 TKX851982 TUT851982 UEP851982 UOL851982 UYH851982 VID851982 VRZ851982 WBV851982 WLR851982 WVN851982 F917518 JB917518 SX917518 ACT917518 AMP917518 AWL917518 BGH917518 BQD917518 BZZ917518 CJV917518 CTR917518 DDN917518 DNJ917518 DXF917518 EHB917518 EQX917518 FAT917518 FKP917518 FUL917518 GEH917518 GOD917518 GXZ917518 HHV917518 HRR917518 IBN917518 ILJ917518 IVF917518 JFB917518 JOX917518 JYT917518 KIP917518 KSL917518 LCH917518 LMD917518 LVZ917518 MFV917518 MPR917518 MZN917518 NJJ917518 NTF917518 ODB917518 OMX917518 OWT917518 PGP917518 PQL917518 QAH917518 QKD917518 QTZ917518 RDV917518 RNR917518 RXN917518 SHJ917518 SRF917518 TBB917518 TKX917518 TUT917518 UEP917518 UOL917518 UYH917518 VID917518 VRZ917518 WBV917518 WLR917518 WVN917518 F983054 JB983054 SX983054 ACT983054 AMP983054 AWL983054 BGH983054 BQD983054 BZZ983054 CJV983054 CTR983054 DDN983054 DNJ983054 DXF983054 EHB983054 EQX983054 FAT983054 FKP983054 FUL983054 GEH983054 GOD983054 GXZ983054 HHV983054 HRR983054 IBN983054 ILJ983054 IVF983054 JFB983054 JOX983054 JYT983054 KIP983054 KSL983054 LCH983054 LMD983054 LVZ983054 MFV983054 MPR983054 MZN983054 NJJ983054 NTF983054 ODB983054 OMX983054 OWT983054 PGP983054 PQL983054 QAH983054 QKD983054 QTZ983054 RDV983054 RNR983054 RXN983054 SHJ983054 SRF983054 TBB983054 TKX983054 TUT983054 UEP983054 UOL983054 UYH983054 VID983054 VRZ983054 WBV983054 WLR983054 F14" xr:uid="{00000000-0002-0000-0900-000002000000}">
      <formula1>$A$60:$A$62</formula1>
    </dataValidation>
    <dataValidation type="list" allowBlank="1" showInputMessage="1" showErrorMessage="1" prompt="Pick from list" sqref="WVN983055 JB15 SX15 ACT15 AMP15 AWL15 BGH15 BQD15 BZZ15 CJV15 CTR15 DDN15 DNJ15 DXF15 EHB15 EQX15 FAT15 FKP15 FUL15 GEH15 GOD15 GXZ15 HHV15 HRR15 IBN15 ILJ15 IVF15 JFB15 JOX15 JYT15 KIP15 KSL15 LCH15 LMD15 LVZ15 MFV15 MPR15 MZN15 NJJ15 NTF15 ODB15 OMX15 OWT15 PGP15 PQL15 QAH15 QKD15 QTZ15 RDV15 RNR15 RXN15 SHJ15 SRF15 TBB15 TKX15 TUT15 UEP15 UOL15 UYH15 VID15 VRZ15 WBV15 WLR15 WVN15 F65551 JB65551 SX65551 ACT65551 AMP65551 AWL65551 BGH65551 BQD65551 BZZ65551 CJV65551 CTR65551 DDN65551 DNJ65551 DXF65551 EHB65551 EQX65551 FAT65551 FKP65551 FUL65551 GEH65551 GOD65551 GXZ65551 HHV65551 HRR65551 IBN65551 ILJ65551 IVF65551 JFB65551 JOX65551 JYT65551 KIP65551 KSL65551 LCH65551 LMD65551 LVZ65551 MFV65551 MPR65551 MZN65551 NJJ65551 NTF65551 ODB65551 OMX65551 OWT65551 PGP65551 PQL65551 QAH65551 QKD65551 QTZ65551 RDV65551 RNR65551 RXN65551 SHJ65551 SRF65551 TBB65551 TKX65551 TUT65551 UEP65551 UOL65551 UYH65551 VID65551 VRZ65551 WBV65551 WLR65551 WVN65551 F131087 JB131087 SX131087 ACT131087 AMP131087 AWL131087 BGH131087 BQD131087 BZZ131087 CJV131087 CTR131087 DDN131087 DNJ131087 DXF131087 EHB131087 EQX131087 FAT131087 FKP131087 FUL131087 GEH131087 GOD131087 GXZ131087 HHV131087 HRR131087 IBN131087 ILJ131087 IVF131087 JFB131087 JOX131087 JYT131087 KIP131087 KSL131087 LCH131087 LMD131087 LVZ131087 MFV131087 MPR131087 MZN131087 NJJ131087 NTF131087 ODB131087 OMX131087 OWT131087 PGP131087 PQL131087 QAH131087 QKD131087 QTZ131087 RDV131087 RNR131087 RXN131087 SHJ131087 SRF131087 TBB131087 TKX131087 TUT131087 UEP131087 UOL131087 UYH131087 VID131087 VRZ131087 WBV131087 WLR131087 WVN131087 F196623 JB196623 SX196623 ACT196623 AMP196623 AWL196623 BGH196623 BQD196623 BZZ196623 CJV196623 CTR196623 DDN196623 DNJ196623 DXF196623 EHB196623 EQX196623 FAT196623 FKP196623 FUL196623 GEH196623 GOD196623 GXZ196623 HHV196623 HRR196623 IBN196623 ILJ196623 IVF196623 JFB196623 JOX196623 JYT196623 KIP196623 KSL196623 LCH196623 LMD196623 LVZ196623 MFV196623 MPR196623 MZN196623 NJJ196623 NTF196623 ODB196623 OMX196623 OWT196623 PGP196623 PQL196623 QAH196623 QKD196623 QTZ196623 RDV196623 RNR196623 RXN196623 SHJ196623 SRF196623 TBB196623 TKX196623 TUT196623 UEP196623 UOL196623 UYH196623 VID196623 VRZ196623 WBV196623 WLR196623 WVN196623 F262159 JB262159 SX262159 ACT262159 AMP262159 AWL262159 BGH262159 BQD262159 BZZ262159 CJV262159 CTR262159 DDN262159 DNJ262159 DXF262159 EHB262159 EQX262159 FAT262159 FKP262159 FUL262159 GEH262159 GOD262159 GXZ262159 HHV262159 HRR262159 IBN262159 ILJ262159 IVF262159 JFB262159 JOX262159 JYT262159 KIP262159 KSL262159 LCH262159 LMD262159 LVZ262159 MFV262159 MPR262159 MZN262159 NJJ262159 NTF262159 ODB262159 OMX262159 OWT262159 PGP262159 PQL262159 QAH262159 QKD262159 QTZ262159 RDV262159 RNR262159 RXN262159 SHJ262159 SRF262159 TBB262159 TKX262159 TUT262159 UEP262159 UOL262159 UYH262159 VID262159 VRZ262159 WBV262159 WLR262159 WVN262159 F327695 JB327695 SX327695 ACT327695 AMP327695 AWL327695 BGH327695 BQD327695 BZZ327695 CJV327695 CTR327695 DDN327695 DNJ327695 DXF327695 EHB327695 EQX327695 FAT327695 FKP327695 FUL327695 GEH327695 GOD327695 GXZ327695 HHV327695 HRR327695 IBN327695 ILJ327695 IVF327695 JFB327695 JOX327695 JYT327695 KIP327695 KSL327695 LCH327695 LMD327695 LVZ327695 MFV327695 MPR327695 MZN327695 NJJ327695 NTF327695 ODB327695 OMX327695 OWT327695 PGP327695 PQL327695 QAH327695 QKD327695 QTZ327695 RDV327695 RNR327695 RXN327695 SHJ327695 SRF327695 TBB327695 TKX327695 TUT327695 UEP327695 UOL327695 UYH327695 VID327695 VRZ327695 WBV327695 WLR327695 WVN327695 F393231 JB393231 SX393231 ACT393231 AMP393231 AWL393231 BGH393231 BQD393231 BZZ393231 CJV393231 CTR393231 DDN393231 DNJ393231 DXF393231 EHB393231 EQX393231 FAT393231 FKP393231 FUL393231 GEH393231 GOD393231 GXZ393231 HHV393231 HRR393231 IBN393231 ILJ393231 IVF393231 JFB393231 JOX393231 JYT393231 KIP393231 KSL393231 LCH393231 LMD393231 LVZ393231 MFV393231 MPR393231 MZN393231 NJJ393231 NTF393231 ODB393231 OMX393231 OWT393231 PGP393231 PQL393231 QAH393231 QKD393231 QTZ393231 RDV393231 RNR393231 RXN393231 SHJ393231 SRF393231 TBB393231 TKX393231 TUT393231 UEP393231 UOL393231 UYH393231 VID393231 VRZ393231 WBV393231 WLR393231 WVN393231 F458767 JB458767 SX458767 ACT458767 AMP458767 AWL458767 BGH458767 BQD458767 BZZ458767 CJV458767 CTR458767 DDN458767 DNJ458767 DXF458767 EHB458767 EQX458767 FAT458767 FKP458767 FUL458767 GEH458767 GOD458767 GXZ458767 HHV458767 HRR458767 IBN458767 ILJ458767 IVF458767 JFB458767 JOX458767 JYT458767 KIP458767 KSL458767 LCH458767 LMD458767 LVZ458767 MFV458767 MPR458767 MZN458767 NJJ458767 NTF458767 ODB458767 OMX458767 OWT458767 PGP458767 PQL458767 QAH458767 QKD458767 QTZ458767 RDV458767 RNR458767 RXN458767 SHJ458767 SRF458767 TBB458767 TKX458767 TUT458767 UEP458767 UOL458767 UYH458767 VID458767 VRZ458767 WBV458767 WLR458767 WVN458767 F524303 JB524303 SX524303 ACT524303 AMP524303 AWL524303 BGH524303 BQD524303 BZZ524303 CJV524303 CTR524303 DDN524303 DNJ524303 DXF524303 EHB524303 EQX524303 FAT524303 FKP524303 FUL524303 GEH524303 GOD524303 GXZ524303 HHV524303 HRR524303 IBN524303 ILJ524303 IVF524303 JFB524303 JOX524303 JYT524303 KIP524303 KSL524303 LCH524303 LMD524303 LVZ524303 MFV524303 MPR524303 MZN524303 NJJ524303 NTF524303 ODB524303 OMX524303 OWT524303 PGP524303 PQL524303 QAH524303 QKD524303 QTZ524303 RDV524303 RNR524303 RXN524303 SHJ524303 SRF524303 TBB524303 TKX524303 TUT524303 UEP524303 UOL524303 UYH524303 VID524303 VRZ524303 WBV524303 WLR524303 WVN524303 F589839 JB589839 SX589839 ACT589839 AMP589839 AWL589839 BGH589839 BQD589839 BZZ589839 CJV589839 CTR589839 DDN589839 DNJ589839 DXF589839 EHB589839 EQX589839 FAT589839 FKP589839 FUL589839 GEH589839 GOD589839 GXZ589839 HHV589839 HRR589839 IBN589839 ILJ589839 IVF589839 JFB589839 JOX589839 JYT589839 KIP589839 KSL589839 LCH589839 LMD589839 LVZ589839 MFV589839 MPR589839 MZN589839 NJJ589839 NTF589839 ODB589839 OMX589839 OWT589839 PGP589839 PQL589839 QAH589839 QKD589839 QTZ589839 RDV589839 RNR589839 RXN589839 SHJ589839 SRF589839 TBB589839 TKX589839 TUT589839 UEP589839 UOL589839 UYH589839 VID589839 VRZ589839 WBV589839 WLR589839 WVN589839 F655375 JB655375 SX655375 ACT655375 AMP655375 AWL655375 BGH655375 BQD655375 BZZ655375 CJV655375 CTR655375 DDN655375 DNJ655375 DXF655375 EHB655375 EQX655375 FAT655375 FKP655375 FUL655375 GEH655375 GOD655375 GXZ655375 HHV655375 HRR655375 IBN655375 ILJ655375 IVF655375 JFB655375 JOX655375 JYT655375 KIP655375 KSL655375 LCH655375 LMD655375 LVZ655375 MFV655375 MPR655375 MZN655375 NJJ655375 NTF655375 ODB655375 OMX655375 OWT655375 PGP655375 PQL655375 QAH655375 QKD655375 QTZ655375 RDV655375 RNR655375 RXN655375 SHJ655375 SRF655375 TBB655375 TKX655375 TUT655375 UEP655375 UOL655375 UYH655375 VID655375 VRZ655375 WBV655375 WLR655375 WVN655375 F720911 JB720911 SX720911 ACT720911 AMP720911 AWL720911 BGH720911 BQD720911 BZZ720911 CJV720911 CTR720911 DDN720911 DNJ720911 DXF720911 EHB720911 EQX720911 FAT720911 FKP720911 FUL720911 GEH720911 GOD720911 GXZ720911 HHV720911 HRR720911 IBN720911 ILJ720911 IVF720911 JFB720911 JOX720911 JYT720911 KIP720911 KSL720911 LCH720911 LMD720911 LVZ720911 MFV720911 MPR720911 MZN720911 NJJ720911 NTF720911 ODB720911 OMX720911 OWT720911 PGP720911 PQL720911 QAH720911 QKD720911 QTZ720911 RDV720911 RNR720911 RXN720911 SHJ720911 SRF720911 TBB720911 TKX720911 TUT720911 UEP720911 UOL720911 UYH720911 VID720911 VRZ720911 WBV720911 WLR720911 WVN720911 F786447 JB786447 SX786447 ACT786447 AMP786447 AWL786447 BGH786447 BQD786447 BZZ786447 CJV786447 CTR786447 DDN786447 DNJ786447 DXF786447 EHB786447 EQX786447 FAT786447 FKP786447 FUL786447 GEH786447 GOD786447 GXZ786447 HHV786447 HRR786447 IBN786447 ILJ786447 IVF786447 JFB786447 JOX786447 JYT786447 KIP786447 KSL786447 LCH786447 LMD786447 LVZ786447 MFV786447 MPR786447 MZN786447 NJJ786447 NTF786447 ODB786447 OMX786447 OWT786447 PGP786447 PQL786447 QAH786447 QKD786447 QTZ786447 RDV786447 RNR786447 RXN786447 SHJ786447 SRF786447 TBB786447 TKX786447 TUT786447 UEP786447 UOL786447 UYH786447 VID786447 VRZ786447 WBV786447 WLR786447 WVN786447 F851983 JB851983 SX851983 ACT851983 AMP851983 AWL851983 BGH851983 BQD851983 BZZ851983 CJV851983 CTR851983 DDN851983 DNJ851983 DXF851983 EHB851983 EQX851983 FAT851983 FKP851983 FUL851983 GEH851983 GOD851983 GXZ851983 HHV851983 HRR851983 IBN851983 ILJ851983 IVF851983 JFB851983 JOX851983 JYT851983 KIP851983 KSL851983 LCH851983 LMD851983 LVZ851983 MFV851983 MPR851983 MZN851983 NJJ851983 NTF851983 ODB851983 OMX851983 OWT851983 PGP851983 PQL851983 QAH851983 QKD851983 QTZ851983 RDV851983 RNR851983 RXN851983 SHJ851983 SRF851983 TBB851983 TKX851983 TUT851983 UEP851983 UOL851983 UYH851983 VID851983 VRZ851983 WBV851983 WLR851983 WVN851983 F917519 JB917519 SX917519 ACT917519 AMP917519 AWL917519 BGH917519 BQD917519 BZZ917519 CJV917519 CTR917519 DDN917519 DNJ917519 DXF917519 EHB917519 EQX917519 FAT917519 FKP917519 FUL917519 GEH917519 GOD917519 GXZ917519 HHV917519 HRR917519 IBN917519 ILJ917519 IVF917519 JFB917519 JOX917519 JYT917519 KIP917519 KSL917519 LCH917519 LMD917519 LVZ917519 MFV917519 MPR917519 MZN917519 NJJ917519 NTF917519 ODB917519 OMX917519 OWT917519 PGP917519 PQL917519 QAH917519 QKD917519 QTZ917519 RDV917519 RNR917519 RXN917519 SHJ917519 SRF917519 TBB917519 TKX917519 TUT917519 UEP917519 UOL917519 UYH917519 VID917519 VRZ917519 WBV917519 WLR917519 WVN917519 F983055 JB983055 SX983055 ACT983055 AMP983055 AWL983055 BGH983055 BQD983055 BZZ983055 CJV983055 CTR983055 DDN983055 DNJ983055 DXF983055 EHB983055 EQX983055 FAT983055 FKP983055 FUL983055 GEH983055 GOD983055 GXZ983055 HHV983055 HRR983055 IBN983055 ILJ983055 IVF983055 JFB983055 JOX983055 JYT983055 KIP983055 KSL983055 LCH983055 LMD983055 LVZ983055 MFV983055 MPR983055 MZN983055 NJJ983055 NTF983055 ODB983055 OMX983055 OWT983055 PGP983055 PQL983055 QAH983055 QKD983055 QTZ983055 RDV983055 RNR983055 RXN983055 SHJ983055 SRF983055 TBB983055 TKX983055 TUT983055 UEP983055 UOL983055 UYH983055 VID983055 VRZ983055 WBV983055 WLR983055 F15" xr:uid="{00000000-0002-0000-0900-000001000000}">
      <formula1>$D$60:$D$61</formula1>
    </dataValidation>
    <dataValidation type="list" allowBlank="1" showInputMessage="1" showErrorMessage="1" prompt="Pick one!" sqref="WVQ983055 JE15 TA15 ACW15 AMS15 AWO15 BGK15 BQG15 CAC15 CJY15 CTU15 DDQ15 DNM15 DXI15 EHE15 ERA15 FAW15 FKS15 FUO15 GEK15 GOG15 GYC15 HHY15 HRU15 IBQ15 ILM15 IVI15 JFE15 JPA15 JYW15 KIS15 KSO15 LCK15 LMG15 LWC15 MFY15 MPU15 MZQ15 NJM15 NTI15 ODE15 ONA15 OWW15 PGS15 PQO15 QAK15 QKG15 QUC15 RDY15 RNU15 RXQ15 SHM15 SRI15 TBE15 TLA15 TUW15 UES15 UOO15 UYK15 VIG15 VSC15 WBY15 WLU15 WVQ15 I65551 JE65551 TA65551 ACW65551 AMS65551 AWO65551 BGK65551 BQG65551 CAC65551 CJY65551 CTU65551 DDQ65551 DNM65551 DXI65551 EHE65551 ERA65551 FAW65551 FKS65551 FUO65551 GEK65551 GOG65551 GYC65551 HHY65551 HRU65551 IBQ65551 ILM65551 IVI65551 JFE65551 JPA65551 JYW65551 KIS65551 KSO65551 LCK65551 LMG65551 LWC65551 MFY65551 MPU65551 MZQ65551 NJM65551 NTI65551 ODE65551 ONA65551 OWW65551 PGS65551 PQO65551 QAK65551 QKG65551 QUC65551 RDY65551 RNU65551 RXQ65551 SHM65551 SRI65551 TBE65551 TLA65551 TUW65551 UES65551 UOO65551 UYK65551 VIG65551 VSC65551 WBY65551 WLU65551 WVQ65551 I131087 JE131087 TA131087 ACW131087 AMS131087 AWO131087 BGK131087 BQG131087 CAC131087 CJY131087 CTU131087 DDQ131087 DNM131087 DXI131087 EHE131087 ERA131087 FAW131087 FKS131087 FUO131087 GEK131087 GOG131087 GYC131087 HHY131087 HRU131087 IBQ131087 ILM131087 IVI131087 JFE131087 JPA131087 JYW131087 KIS131087 KSO131087 LCK131087 LMG131087 LWC131087 MFY131087 MPU131087 MZQ131087 NJM131087 NTI131087 ODE131087 ONA131087 OWW131087 PGS131087 PQO131087 QAK131087 QKG131087 QUC131087 RDY131087 RNU131087 RXQ131087 SHM131087 SRI131087 TBE131087 TLA131087 TUW131087 UES131087 UOO131087 UYK131087 VIG131087 VSC131087 WBY131087 WLU131087 WVQ131087 I196623 JE196623 TA196623 ACW196623 AMS196623 AWO196623 BGK196623 BQG196623 CAC196623 CJY196623 CTU196623 DDQ196623 DNM196623 DXI196623 EHE196623 ERA196623 FAW196623 FKS196623 FUO196623 GEK196623 GOG196623 GYC196623 HHY196623 HRU196623 IBQ196623 ILM196623 IVI196623 JFE196623 JPA196623 JYW196623 KIS196623 KSO196623 LCK196623 LMG196623 LWC196623 MFY196623 MPU196623 MZQ196623 NJM196623 NTI196623 ODE196623 ONA196623 OWW196623 PGS196623 PQO196623 QAK196623 QKG196623 QUC196623 RDY196623 RNU196623 RXQ196623 SHM196623 SRI196623 TBE196623 TLA196623 TUW196623 UES196623 UOO196623 UYK196623 VIG196623 VSC196623 WBY196623 WLU196623 WVQ196623 I262159 JE262159 TA262159 ACW262159 AMS262159 AWO262159 BGK262159 BQG262159 CAC262159 CJY262159 CTU262159 DDQ262159 DNM262159 DXI262159 EHE262159 ERA262159 FAW262159 FKS262159 FUO262159 GEK262159 GOG262159 GYC262159 HHY262159 HRU262159 IBQ262159 ILM262159 IVI262159 JFE262159 JPA262159 JYW262159 KIS262159 KSO262159 LCK262159 LMG262159 LWC262159 MFY262159 MPU262159 MZQ262159 NJM262159 NTI262159 ODE262159 ONA262159 OWW262159 PGS262159 PQO262159 QAK262159 QKG262159 QUC262159 RDY262159 RNU262159 RXQ262159 SHM262159 SRI262159 TBE262159 TLA262159 TUW262159 UES262159 UOO262159 UYK262159 VIG262159 VSC262159 WBY262159 WLU262159 WVQ262159 I327695 JE327695 TA327695 ACW327695 AMS327695 AWO327695 BGK327695 BQG327695 CAC327695 CJY327695 CTU327695 DDQ327695 DNM327695 DXI327695 EHE327695 ERA327695 FAW327695 FKS327695 FUO327695 GEK327695 GOG327695 GYC327695 HHY327695 HRU327695 IBQ327695 ILM327695 IVI327695 JFE327695 JPA327695 JYW327695 KIS327695 KSO327695 LCK327695 LMG327695 LWC327695 MFY327695 MPU327695 MZQ327695 NJM327695 NTI327695 ODE327695 ONA327695 OWW327695 PGS327695 PQO327695 QAK327695 QKG327695 QUC327695 RDY327695 RNU327695 RXQ327695 SHM327695 SRI327695 TBE327695 TLA327695 TUW327695 UES327695 UOO327695 UYK327695 VIG327695 VSC327695 WBY327695 WLU327695 WVQ327695 I393231 JE393231 TA393231 ACW393231 AMS393231 AWO393231 BGK393231 BQG393231 CAC393231 CJY393231 CTU393231 DDQ393231 DNM393231 DXI393231 EHE393231 ERA393231 FAW393231 FKS393231 FUO393231 GEK393231 GOG393231 GYC393231 HHY393231 HRU393231 IBQ393231 ILM393231 IVI393231 JFE393231 JPA393231 JYW393231 KIS393231 KSO393231 LCK393231 LMG393231 LWC393231 MFY393231 MPU393231 MZQ393231 NJM393231 NTI393231 ODE393231 ONA393231 OWW393231 PGS393231 PQO393231 QAK393231 QKG393231 QUC393231 RDY393231 RNU393231 RXQ393231 SHM393231 SRI393231 TBE393231 TLA393231 TUW393231 UES393231 UOO393231 UYK393231 VIG393231 VSC393231 WBY393231 WLU393231 WVQ393231 I458767 JE458767 TA458767 ACW458767 AMS458767 AWO458767 BGK458767 BQG458767 CAC458767 CJY458767 CTU458767 DDQ458767 DNM458767 DXI458767 EHE458767 ERA458767 FAW458767 FKS458767 FUO458767 GEK458767 GOG458767 GYC458767 HHY458767 HRU458767 IBQ458767 ILM458767 IVI458767 JFE458767 JPA458767 JYW458767 KIS458767 KSO458767 LCK458767 LMG458767 LWC458767 MFY458767 MPU458767 MZQ458767 NJM458767 NTI458767 ODE458767 ONA458767 OWW458767 PGS458767 PQO458767 QAK458767 QKG458767 QUC458767 RDY458767 RNU458767 RXQ458767 SHM458767 SRI458767 TBE458767 TLA458767 TUW458767 UES458767 UOO458767 UYK458767 VIG458767 VSC458767 WBY458767 WLU458767 WVQ458767 I524303 JE524303 TA524303 ACW524303 AMS524303 AWO524303 BGK524303 BQG524303 CAC524303 CJY524303 CTU524303 DDQ524303 DNM524303 DXI524303 EHE524303 ERA524303 FAW524303 FKS524303 FUO524303 GEK524303 GOG524303 GYC524303 HHY524303 HRU524303 IBQ524303 ILM524303 IVI524303 JFE524303 JPA524303 JYW524303 KIS524303 KSO524303 LCK524303 LMG524303 LWC524303 MFY524303 MPU524303 MZQ524303 NJM524303 NTI524303 ODE524303 ONA524303 OWW524303 PGS524303 PQO524303 QAK524303 QKG524303 QUC524303 RDY524303 RNU524303 RXQ524303 SHM524303 SRI524303 TBE524303 TLA524303 TUW524303 UES524303 UOO524303 UYK524303 VIG524303 VSC524303 WBY524303 WLU524303 WVQ524303 I589839 JE589839 TA589839 ACW589839 AMS589839 AWO589839 BGK589839 BQG589839 CAC589839 CJY589839 CTU589839 DDQ589839 DNM589839 DXI589839 EHE589839 ERA589839 FAW589839 FKS589839 FUO589839 GEK589839 GOG589839 GYC589839 HHY589839 HRU589839 IBQ589839 ILM589839 IVI589839 JFE589839 JPA589839 JYW589839 KIS589839 KSO589839 LCK589839 LMG589839 LWC589839 MFY589839 MPU589839 MZQ589839 NJM589839 NTI589839 ODE589839 ONA589839 OWW589839 PGS589839 PQO589839 QAK589839 QKG589839 QUC589839 RDY589839 RNU589839 RXQ589839 SHM589839 SRI589839 TBE589839 TLA589839 TUW589839 UES589839 UOO589839 UYK589839 VIG589839 VSC589839 WBY589839 WLU589839 WVQ589839 I655375 JE655375 TA655375 ACW655375 AMS655375 AWO655375 BGK655375 BQG655375 CAC655375 CJY655375 CTU655375 DDQ655375 DNM655375 DXI655375 EHE655375 ERA655375 FAW655375 FKS655375 FUO655375 GEK655375 GOG655375 GYC655375 HHY655375 HRU655375 IBQ655375 ILM655375 IVI655375 JFE655375 JPA655375 JYW655375 KIS655375 KSO655375 LCK655375 LMG655375 LWC655375 MFY655375 MPU655375 MZQ655375 NJM655375 NTI655375 ODE655375 ONA655375 OWW655375 PGS655375 PQO655375 QAK655375 QKG655375 QUC655375 RDY655375 RNU655375 RXQ655375 SHM655375 SRI655375 TBE655375 TLA655375 TUW655375 UES655375 UOO655375 UYK655375 VIG655375 VSC655375 WBY655375 WLU655375 WVQ655375 I720911 JE720911 TA720911 ACW720911 AMS720911 AWO720911 BGK720911 BQG720911 CAC720911 CJY720911 CTU720911 DDQ720911 DNM720911 DXI720911 EHE720911 ERA720911 FAW720911 FKS720911 FUO720911 GEK720911 GOG720911 GYC720911 HHY720911 HRU720911 IBQ720911 ILM720911 IVI720911 JFE720911 JPA720911 JYW720911 KIS720911 KSO720911 LCK720911 LMG720911 LWC720911 MFY720911 MPU720911 MZQ720911 NJM720911 NTI720911 ODE720911 ONA720911 OWW720911 PGS720911 PQO720911 QAK720911 QKG720911 QUC720911 RDY720911 RNU720911 RXQ720911 SHM720911 SRI720911 TBE720911 TLA720911 TUW720911 UES720911 UOO720911 UYK720911 VIG720911 VSC720911 WBY720911 WLU720911 WVQ720911 I786447 JE786447 TA786447 ACW786447 AMS786447 AWO786447 BGK786447 BQG786447 CAC786447 CJY786447 CTU786447 DDQ786447 DNM786447 DXI786447 EHE786447 ERA786447 FAW786447 FKS786447 FUO786447 GEK786447 GOG786447 GYC786447 HHY786447 HRU786447 IBQ786447 ILM786447 IVI786447 JFE786447 JPA786447 JYW786447 KIS786447 KSO786447 LCK786447 LMG786447 LWC786447 MFY786447 MPU786447 MZQ786447 NJM786447 NTI786447 ODE786447 ONA786447 OWW786447 PGS786447 PQO786447 QAK786447 QKG786447 QUC786447 RDY786447 RNU786447 RXQ786447 SHM786447 SRI786447 TBE786447 TLA786447 TUW786447 UES786447 UOO786447 UYK786447 VIG786447 VSC786447 WBY786447 WLU786447 WVQ786447 I851983 JE851983 TA851983 ACW851983 AMS851983 AWO851983 BGK851983 BQG851983 CAC851983 CJY851983 CTU851983 DDQ851983 DNM851983 DXI851983 EHE851983 ERA851983 FAW851983 FKS851983 FUO851983 GEK851983 GOG851983 GYC851983 HHY851983 HRU851983 IBQ851983 ILM851983 IVI851983 JFE851983 JPA851983 JYW851983 KIS851983 KSO851983 LCK851983 LMG851983 LWC851983 MFY851983 MPU851983 MZQ851983 NJM851983 NTI851983 ODE851983 ONA851983 OWW851983 PGS851983 PQO851983 QAK851983 QKG851983 QUC851983 RDY851983 RNU851983 RXQ851983 SHM851983 SRI851983 TBE851983 TLA851983 TUW851983 UES851983 UOO851983 UYK851983 VIG851983 VSC851983 WBY851983 WLU851983 WVQ851983 I917519 JE917519 TA917519 ACW917519 AMS917519 AWO917519 BGK917519 BQG917519 CAC917519 CJY917519 CTU917519 DDQ917519 DNM917519 DXI917519 EHE917519 ERA917519 FAW917519 FKS917519 FUO917519 GEK917519 GOG917519 GYC917519 HHY917519 HRU917519 IBQ917519 ILM917519 IVI917519 JFE917519 JPA917519 JYW917519 KIS917519 KSO917519 LCK917519 LMG917519 LWC917519 MFY917519 MPU917519 MZQ917519 NJM917519 NTI917519 ODE917519 ONA917519 OWW917519 PGS917519 PQO917519 QAK917519 QKG917519 QUC917519 RDY917519 RNU917519 RXQ917519 SHM917519 SRI917519 TBE917519 TLA917519 TUW917519 UES917519 UOO917519 UYK917519 VIG917519 VSC917519 WBY917519 WLU917519 WVQ917519 I983055 JE983055 TA983055 ACW983055 AMS983055 AWO983055 BGK983055 BQG983055 CAC983055 CJY983055 CTU983055 DDQ983055 DNM983055 DXI983055 EHE983055 ERA983055 FAW983055 FKS983055 FUO983055 GEK983055 GOG983055 GYC983055 HHY983055 HRU983055 IBQ983055 ILM983055 IVI983055 JFE983055 JPA983055 JYW983055 KIS983055 KSO983055 LCK983055 LMG983055 LWC983055 MFY983055 MPU983055 MZQ983055 NJM983055 NTI983055 ODE983055 ONA983055 OWW983055 PGS983055 PQO983055 QAK983055 QKG983055 QUC983055 RDY983055 RNU983055 RXQ983055 SHM983055 SRI983055 TBE983055 TLA983055 TUW983055 UES983055 UOO983055 UYK983055 VIG983055 VSC983055 WBY983055 WLU983055 I15" xr:uid="{00000000-0002-0000-0900-000000000000}">
      <formula1>$E$60:$E$62</formula1>
    </dataValidation>
  </dataValidations>
  <printOptions horizontalCentered="1" gridLinesSet="0"/>
  <pageMargins left="0.5" right="0.5" top="0.5" bottom="0.5" header="0.5" footer="0.5"/>
  <pageSetup scale="94" orientation="portrait" horizontalDpi="4294967292"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631CDD2FB78245898BE62063B9B0A0" ma:contentTypeVersion="15" ma:contentTypeDescription="Create a new document." ma:contentTypeScope="" ma:versionID="b9f0938b1b01491b66c0244d23eba4cf">
  <xsd:schema xmlns:xsd="http://www.w3.org/2001/XMLSchema" xmlns:xs="http://www.w3.org/2001/XMLSchema" xmlns:p="http://schemas.microsoft.com/office/2006/metadata/properties" xmlns:ns3="72cdc605-11f0-42e0-872b-8a41438ff951" xmlns:ns4="8cb20de8-a807-4686-a312-8bbdce0412dc" targetNamespace="http://schemas.microsoft.com/office/2006/metadata/properties" ma:root="true" ma:fieldsID="824c1152f801c608be2df48892c9b2dd" ns3:_="" ns4:_="">
    <xsd:import namespace="72cdc605-11f0-42e0-872b-8a41438ff951"/>
    <xsd:import namespace="8cb20de8-a807-4686-a312-8bbdce0412d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dc605-11f0-42e0-872b-8a41438ff95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b20de8-a807-4686-a312-8bbdce0412d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cb20de8-a807-4686-a312-8bbdce0412dc" xsi:nil="true"/>
  </documentManagement>
</p:properties>
</file>

<file path=customXml/itemProps1.xml><?xml version="1.0" encoding="utf-8"?>
<ds:datastoreItem xmlns:ds="http://schemas.openxmlformats.org/officeDocument/2006/customXml" ds:itemID="{53E84E6C-6056-4976-9088-3B4203AE9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cdc605-11f0-42e0-872b-8a41438ff951"/>
    <ds:schemaRef ds:uri="8cb20de8-a807-4686-a312-8bbdce0412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D1932F-1BF1-4AB4-95AB-AEA7DD3DDCA6}">
  <ds:schemaRefs>
    <ds:schemaRef ds:uri="http://schemas.microsoft.com/sharepoint/v3/contenttype/forms"/>
  </ds:schemaRefs>
</ds:datastoreItem>
</file>

<file path=customXml/itemProps3.xml><?xml version="1.0" encoding="utf-8"?>
<ds:datastoreItem xmlns:ds="http://schemas.openxmlformats.org/officeDocument/2006/customXml" ds:itemID="{BAB0A72E-7107-400E-A754-FEC411B42E1E}">
  <ds:schemaRefs>
    <ds:schemaRef ds:uri="http://schemas.microsoft.com/office/2006/documentManagement/types"/>
    <ds:schemaRef ds:uri="http://schemas.microsoft.com/office/infopath/2007/PartnerControls"/>
    <ds:schemaRef ds:uri="72cdc605-11f0-42e0-872b-8a41438ff951"/>
    <ds:schemaRef ds:uri="http://purl.org/dc/elements/1.1/"/>
    <ds:schemaRef ds:uri="http://schemas.microsoft.com/office/2006/metadata/properties"/>
    <ds:schemaRef ds:uri="8cb20de8-a807-4686-a312-8bbdce0412dc"/>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14</vt:i4>
      </vt:variant>
    </vt:vector>
  </HeadingPairs>
  <TitlesOfParts>
    <vt:vector size="25" baseType="lpstr">
      <vt:lpstr>DesignSheet 0.8V</vt:lpstr>
      <vt:lpstr>DesignSheet</vt:lpstr>
      <vt:lpstr>Data Sheet</vt:lpstr>
      <vt:lpstr>LoginSheet</vt:lpstr>
      <vt:lpstr>Performance Data Sheet</vt:lpstr>
      <vt:lpstr>STCurve</vt:lpstr>
      <vt:lpstr>Thermdam</vt:lpstr>
      <vt:lpstr>StallTime</vt:lpstr>
      <vt:lpstr>Performance</vt:lpstr>
      <vt:lpstr>PERFORMANCE 4160V</vt:lpstr>
      <vt:lpstr>Rev. 1</vt:lpstr>
      <vt:lpstr>'Data Sheet'!Print_Area</vt:lpstr>
      <vt:lpstr>DesignSheet!Print_Area</vt:lpstr>
      <vt:lpstr>'DesignSheet 0.8V'!Print_Area</vt:lpstr>
      <vt:lpstr>LoginSheet!Print_Area</vt:lpstr>
      <vt:lpstr>Performance!Print_Area</vt:lpstr>
      <vt:lpstr>'PERFORMANCE 4160V'!Print_Area</vt:lpstr>
      <vt:lpstr>'Performance Data Sheet'!Print_Area</vt:lpstr>
      <vt:lpstr>'Rev. 1'!Print_Area</vt:lpstr>
      <vt:lpstr>StallTime!Print_Area</vt:lpstr>
      <vt:lpstr>STCurve!Print_Area</vt:lpstr>
      <vt:lpstr>Thermdam!Print_Area</vt:lpstr>
      <vt:lpstr>'PERFORMANCE 4160V'!Print_Area_MI</vt:lpstr>
      <vt:lpstr>'Rev. 1'!Print_Area_MI</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2025-07-15T11:11:48Z</dcterms:created>
  <dcterms:modified xsi:type="dcterms:W3CDTF">2025-07-15T11:32:04Z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0x010100A7631CDD2FB78245898BE62063B9B0A0</vt:lpwstr>
  </property>
</Properties>
</file>